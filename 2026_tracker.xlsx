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etric_Catalog" sheetId="3" state="visible" r:id="rId3"/>
    <sheet xmlns:r="http://schemas.openxmlformats.org/officeDocument/2006/relationships" name="Goal_Catalog" sheetId="4" state="visible" r:id="rId4"/>
    <sheet xmlns:r="http://schemas.openxmlformats.org/officeDocument/2006/relationships" name="Tile_Catalog" sheetId="5" state="visible" r:id="rId5"/>
    <sheet xmlns:r="http://schemas.openxmlformats.org/officeDocument/2006/relationships" name="Drink_Templates" sheetId="6" state="visible" r:id="rId6"/>
    <sheet xmlns:r="http://schemas.openxmlformats.org/officeDocument/2006/relationships" name="People" sheetId="7" state="visible" r:id="rId7"/>
    <sheet xmlns:r="http://schemas.openxmlformats.org/officeDocument/2006/relationships" name="Raw_Events" sheetId="8" state="visible" r:id="rId8"/>
    <sheet xmlns:r="http://schemas.openxmlformats.org/officeDocument/2006/relationships" name="Raw_Weekly" sheetId="9" state="visible" r:id="rId9"/>
    <sheet xmlns:r="http://schemas.openxmlformats.org/officeDocument/2006/relationships" name="Body_Metrics" sheetId="10" state="visible" r:id="rId10"/>
    <sheet xmlns:r="http://schemas.openxmlformats.org/officeDocument/2006/relationships" name="Daily_Agg" sheetId="11" state="visible" r:id="rId11"/>
    <sheet xmlns:r="http://schemas.openxmlformats.org/officeDocument/2006/relationships" name="Weekly_Agg" sheetId="12" state="visible" r:id="rId12"/>
    <sheet xmlns:r="http://schemas.openxmlformats.org/officeDocument/2006/relationships" name="Monthly_Agg" sheetId="13" state="visible" r:id="rId13"/>
    <sheet xmlns:r="http://schemas.openxmlformats.org/officeDocument/2006/relationships" name="Quarterly_Agg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Dashboard_Charts" sheetId="16" state="visible" r:id="rId16"/>
    <sheet xmlns:r="http://schemas.openxmlformats.org/officeDocument/2006/relationships" name="Milestones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#,##0.0"/>
    <numFmt numFmtId="166" formatCode="0.0"/>
    <numFmt numFmtId="167" formatCode="0.0%"/>
    <numFmt numFmtId="168" formatCode="yyyy\-mm\-dd\ h:mm:ss"/>
    <numFmt numFmtId="169" formatCode="yyyy\-mm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FF0000FF"/>
      <sz val="11"/>
    </font>
    <font>
      <name val="Calibri"/>
      <i val="1"/>
      <color rgb="FF666666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6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0" fillId="0" borderId="0" pivotButton="0" quotePrefix="0" xfId="0"/>
    <xf numFmtId="0" fontId="6" fillId="2" borderId="0" pivotButton="0" quotePrefix="0" xfId="0"/>
    <xf numFmtId="0" fontId="4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0" pivotButton="0" quotePrefix="0" xfId="0"/>
    <xf numFmtId="166" fontId="0" fillId="4" borderId="1" applyAlignment="1" pivotButton="0" quotePrefix="0" xfId="0">
      <alignment vertical="center"/>
    </xf>
    <xf numFmtId="0" fontId="2" fillId="5" borderId="1" pivotButton="0" quotePrefix="0" xfId="0"/>
    <xf numFmtId="0" fontId="5" fillId="3" borderId="0" pivotButton="0" quotePrefix="0" xfId="0"/>
    <xf numFmtId="166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8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9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tabSelected="1" workbookViewId="0">
      <selection activeCell="A1" sqref="A1"/>
    </sheetView>
  </sheetViews>
  <sheetFormatPr baseColWidth="10" defaultRowHeight="16"/>
  <sheetData>
    <row r="1" ht="19" customHeight="1">
      <c r="A1" s="1" t="inlineStr">
        <is>
          <t>2026 Tracking System (template for Google Sheets)</t>
        </is>
      </c>
    </row>
    <row r="2"/>
    <row r="3" ht="15" customHeight="1">
      <c r="A3" t="inlineStr">
        <is>
          <t>How to use:</t>
        </is>
      </c>
    </row>
    <row r="4" ht="15" customHeight="1">
      <c r="A4" t="inlineStr">
        <is>
          <t>1) Import this .xlsx into Google Sheets (File → Import).</t>
        </is>
      </c>
    </row>
    <row r="5" ht="15" customHeight="1">
      <c r="A5" t="inlineStr">
        <is>
          <t>2) Your app/webapp should append rows into: Raw_Events (event logs) and Raw_Weekly (weekly inputs).</t>
        </is>
      </c>
    </row>
    <row r="6" ht="15" customHeight="1">
      <c r="A6" t="inlineStr">
        <is>
          <t>3) Maintain People list (or let the app create people and reference PersonID in Raw_Events).</t>
        </is>
      </c>
    </row>
    <row r="7" ht="15" customHeight="1">
      <c r="A7" t="inlineStr">
        <is>
          <t>4) Review Dashboard weekly; Monthly/Quarterly tabs support your review cadence.</t>
        </is>
      </c>
    </row>
    <row r="8"/>
    <row r="9" ht="15" customHeight="1">
      <c r="A9" t="inlineStr">
        <is>
          <t>Data-entry principles:</t>
        </is>
      </c>
    </row>
    <row r="10" ht="15" customHeight="1">
      <c r="A10" t="inlineStr">
        <is>
          <t>- Prefer event-based logging (multiple quick logs per day).</t>
        </is>
      </c>
    </row>
    <row r="11" ht="15" customHeight="1">
      <c r="A11" t="inlineStr">
        <is>
          <t>- Weekly inputs are only: WorkHours + PersonalExpenses + ExcludedRenovationExpenses (+ optional NetWorth_RUB + notes).</t>
        </is>
      </c>
    </row>
    <row r="12"/>
    <row r="13" ht="15" customHeight="1">
      <c r="A13" t="inlineStr">
        <is>
          <t>Key tabs:</t>
        </is>
      </c>
    </row>
    <row r="14" ht="15" customHeight="1">
      <c r="A14" t="inlineStr">
        <is>
          <t>- Settings: targets and constants (blue cells are editable).</t>
        </is>
      </c>
    </row>
    <row r="15" ht="15" customHeight="1">
      <c r="A15" t="inlineStr">
        <is>
          <t>- Raw_Events: event log (app writes here).</t>
        </is>
      </c>
    </row>
    <row r="16" ht="15" customHeight="1">
      <c r="A16" t="inlineStr">
        <is>
          <t>- Raw_Weekly: weekly inputs from your bank app + work hours.</t>
        </is>
      </c>
    </row>
    <row r="17" ht="15" customHeight="1">
      <c r="A17" t="inlineStr">
        <is>
          <t>- Dashboard: key charts + KPI cards.</t>
        </is>
      </c>
    </row>
    <row r="18" ht="15" customHeight="1">
      <c r="A18" t="inlineStr">
        <is>
          <t>- Net worth KPI: fill Raw_Weekly → NetWorth_RUB (optional). Settings contains starting and target net worth.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C21" sqref="C21"/>
    </sheetView>
  </sheetViews>
  <sheetFormatPr baseColWidth="10" defaultRowHeight="16" outlineLevelCol="0"/>
  <cols>
    <col width="35.83203125" bestFit="1" customWidth="1" min="1" max="1"/>
    <col width="20.6640625" bestFit="1" customWidth="1" min="2" max="2"/>
  </cols>
  <sheetData>
    <row r="1" ht="19" customHeight="1">
      <c r="A1" s="2" t="inlineStr">
        <is>
          <t>2026 Tracking Targets &amp; Constants</t>
        </is>
      </c>
    </row>
    <row r="2"/>
    <row r="3" ht="15" customHeight="1">
      <c r="A3" t="inlineStr">
        <is>
          <t>Year</t>
        </is>
      </c>
      <c r="B3" s="3" t="n">
        <v>2026</v>
      </c>
      <c r="D3" t="inlineStr">
        <is>
          <t>Notes</t>
        </is>
      </c>
    </row>
    <row r="4" ht="15" customHeight="1">
      <c r="A4" t="inlineStr">
        <is>
          <t>Year Start</t>
        </is>
      </c>
      <c r="B4" s="4" t="n">
        <v>46023</v>
      </c>
      <c r="D4" s="5" t="inlineStr">
        <is>
          <t>Edit blue cells only.</t>
        </is>
      </c>
    </row>
    <row r="5" ht="15" customHeight="1">
      <c r="A5" t="inlineStr">
        <is>
          <t>Year End</t>
        </is>
      </c>
      <c r="B5" s="4" t="n">
        <v>46387</v>
      </c>
    </row>
    <row r="6" ht="15" customHeight="1">
      <c r="A6" t="inlineStr">
        <is>
          <t>Days in year</t>
        </is>
      </c>
      <c r="B6">
        <f>B5-B4+1</f>
        <v/>
      </c>
    </row>
    <row r="7" ht="15" customHeight="1">
      <c r="A7" t="inlineStr">
        <is>
          <t>As-of date (for dashboard)</t>
        </is>
      </c>
      <c r="B7" s="4">
        <f>TODAY()</f>
        <v/>
      </c>
    </row>
    <row r="8" ht="15" customHeight="1">
      <c r="A8" t="inlineStr">
        <is>
          <t>Max Raw_Events rows (for formulas)</t>
        </is>
      </c>
      <c r="B8" s="25" t="n">
        <v>8000</v>
      </c>
    </row>
    <row r="9" ht="15" customHeight="1">
      <c r="A9" s="6" t="inlineStr">
        <is>
          <t>Targets (from plan)</t>
        </is>
      </c>
    </row>
    <row r="10" ht="48" customHeight="1">
      <c r="A10" s="7" t="inlineStr">
        <is>
          <t>Metric</t>
        </is>
      </c>
      <c r="B10" s="7" t="inlineStr">
        <is>
          <t>Time scale</t>
        </is>
      </c>
      <c r="C10" s="7" t="inlineStr">
        <is>
          <t>Target</t>
        </is>
      </c>
      <c r="D10" s="7" t="inlineStr">
        <is>
          <t>Unit</t>
        </is>
      </c>
      <c r="E10" s="7" t="inlineStr">
        <is>
          <t>Plan reference / notes</t>
        </is>
      </c>
    </row>
    <row r="11" ht="15" customHeight="1">
      <c r="A11" s="8" t="inlineStr">
        <is>
          <t>Expenses (personal, excl. renovation)</t>
        </is>
      </c>
      <c r="B11" s="8" t="inlineStr">
        <is>
          <t>Annual cap</t>
        </is>
      </c>
      <c r="C11" s="9" t="n">
        <v>9000000</v>
      </c>
      <c r="D11" s="8" t="inlineStr">
        <is>
          <t>RUB</t>
        </is>
      </c>
      <c r="E11" s="8" t="inlineStr">
        <is>
          <t>Total expenses &lt;9m; excludes ex-partner renovation</t>
        </is>
      </c>
    </row>
    <row r="12" ht="15" customHeight="1">
      <c r="A12" s="8" t="inlineStr">
        <is>
          <t>Expenses (personal)</t>
        </is>
      </c>
      <c r="B12" s="8" t="inlineStr">
        <is>
          <t>Weekly cap</t>
        </is>
      </c>
      <c r="C12" s="9" t="n">
        <v>175000</v>
      </c>
      <c r="D12" s="8" t="inlineStr">
        <is>
          <t>RUB</t>
        </is>
      </c>
      <c r="E12" s="8" t="inlineStr">
        <is>
          <t>Weekly expenses &lt;175k</t>
        </is>
      </c>
    </row>
    <row r="13" ht="15" customHeight="1">
      <c r="A13" s="8" t="inlineStr">
        <is>
          <t>Work hours</t>
        </is>
      </c>
      <c r="B13" s="8" t="inlineStr">
        <is>
          <t>Weekly target</t>
        </is>
      </c>
      <c r="C13" s="9" t="n">
        <v>55</v>
      </c>
      <c r="D13" s="8" t="inlineStr">
        <is>
          <t>hours</t>
        </is>
      </c>
      <c r="E13" s="8" t="inlineStr">
        <is>
          <t>Work hours &lt;55/week</t>
        </is>
      </c>
    </row>
    <row r="14" ht="15" customHeight="1">
      <c r="A14" s="8" t="inlineStr">
        <is>
          <t>Deal spike threshold</t>
        </is>
      </c>
      <c r="B14" s="8" t="inlineStr">
        <is>
          <t>Weekly trigger</t>
        </is>
      </c>
      <c r="C14" s="9" t="n">
        <v>60</v>
      </c>
      <c r="D14" s="8" t="inlineStr">
        <is>
          <t>hours</t>
        </is>
      </c>
      <c r="E14" s="8" t="inlineStr">
        <is>
          <t>Busy Week Protocol triggers &gt;60h</t>
        </is>
      </c>
    </row>
    <row r="15" ht="15" customHeight="1">
      <c r="A15" s="8" t="inlineStr">
        <is>
          <t>Mindfulness</t>
        </is>
      </c>
      <c r="B15" s="8" t="inlineStr">
        <is>
          <t>Weekly target</t>
        </is>
      </c>
      <c r="C15" s="9" t="n">
        <v>100</v>
      </c>
      <c r="D15" s="8" t="inlineStr">
        <is>
          <t>minutes</t>
        </is>
      </c>
      <c r="E15" s="8" t="inlineStr">
        <is>
          <t>Mindfulness 100 min/week</t>
        </is>
      </c>
    </row>
    <row r="16" ht="15" customHeight="1">
      <c r="A16" s="8" t="inlineStr">
        <is>
          <t>Net worth (RUB)</t>
        </is>
      </c>
      <c r="B16" s="8" t="inlineStr">
        <is>
          <t>Year-end target</t>
        </is>
      </c>
      <c r="C16" s="9" t="n">
        <v>120000000</v>
      </c>
      <c r="D16" s="8" t="inlineStr">
        <is>
          <t>RUB</t>
        </is>
      </c>
      <c r="E16" s="8" t="inlineStr">
        <is>
          <t>Desired net worth outcome: RUB &gt;120m (starting: ca. RUB 88m)</t>
        </is>
      </c>
    </row>
    <row r="17" ht="15" customHeight="1">
      <c r="A17" s="8" t="inlineStr">
        <is>
          <t>Posture training (15 min session)</t>
        </is>
      </c>
      <c r="B17" s="8" t="inlineStr">
        <is>
          <t>Daily target</t>
        </is>
      </c>
      <c r="C17" s="9" t="n">
        <v>1</v>
      </c>
      <c r="D17" s="8" t="inlineStr">
        <is>
          <t>session</t>
        </is>
      </c>
      <c r="E17" s="8" t="inlineStr">
        <is>
          <t>1 session/day; session = 15 min</t>
        </is>
      </c>
    </row>
    <row r="18" ht="15" customHeight="1">
      <c r="A18" s="8" t="inlineStr">
        <is>
          <t>Sleep</t>
        </is>
      </c>
      <c r="B18" s="8" t="inlineStr">
        <is>
          <t>Average</t>
        </is>
      </c>
      <c r="C18" s="10" t="n">
        <v>7.5</v>
      </c>
      <c r="D18" s="8" t="inlineStr">
        <is>
          <t>hours/day</t>
        </is>
      </c>
      <c r="E18" s="8" t="inlineStr">
        <is>
          <t>Sleep 7:30 average</t>
        </is>
      </c>
    </row>
    <row r="19" ht="15" customHeight="1">
      <c r="A19" s="8" t="inlineStr">
        <is>
          <t>Alcohol</t>
        </is>
      </c>
      <c r="B19" s="8" t="inlineStr">
        <is>
          <t>Average cap</t>
        </is>
      </c>
      <c r="C19" s="10" t="n">
        <v>0.4</v>
      </c>
      <c r="D19" s="8" t="inlineStr">
        <is>
          <t>std drinks/day</t>
        </is>
      </c>
      <c r="E19" s="8" t="inlineStr">
        <is>
          <t>Alcohol &lt;0.4 average</t>
        </is>
      </c>
    </row>
    <row r="20" ht="15" customHeight="1">
      <c r="A20" s="8" t="inlineStr">
        <is>
          <t>Cigarettes</t>
        </is>
      </c>
      <c r="B20" s="8" t="inlineStr">
        <is>
          <t>Annual cap</t>
        </is>
      </c>
      <c r="C20" s="9" t="n">
        <v>100</v>
      </c>
      <c r="D20" s="8" t="inlineStr">
        <is>
          <t>cigarettes</t>
        </is>
      </c>
      <c r="E20" s="8" t="inlineStr">
        <is>
          <t>Cigarettes &lt;100/year</t>
        </is>
      </c>
    </row>
    <row r="21" ht="15" customHeight="1">
      <c r="A21" s="8" t="inlineStr">
        <is>
          <t>Unhealthy meals &amp; snacks</t>
        </is>
      </c>
      <c r="B21" s="8" t="inlineStr">
        <is>
          <t>Annual cap</t>
        </is>
      </c>
      <c r="C21" s="9" t="n">
        <v>150</v>
      </c>
      <c r="D21" s="8" t="inlineStr">
        <is>
          <t>count</t>
        </is>
      </c>
      <c r="E21" s="8" t="inlineStr">
        <is>
          <t>Unhealthy meals/snacks &lt;150/year</t>
        </is>
      </c>
    </row>
    <row r="22" ht="15" customHeight="1">
      <c r="A22" s="8" t="inlineStr">
        <is>
          <t>Workouts skipped</t>
        </is>
      </c>
      <c r="B22" s="8" t="inlineStr">
        <is>
          <t>Annual cap</t>
        </is>
      </c>
      <c r="C22" s="9" t="n">
        <v>8</v>
      </c>
      <c r="D22" s="8" t="inlineStr">
        <is>
          <t>count</t>
        </is>
      </c>
      <c r="E22" s="8" t="inlineStr">
        <is>
          <t>Workouts skipped &lt;8/year</t>
        </is>
      </c>
    </row>
    <row r="23" ht="15" customHeight="1">
      <c r="A23" s="8" t="inlineStr">
        <is>
          <t>Lean body weight gain</t>
        </is>
      </c>
      <c r="B23" s="8" t="inlineStr">
        <is>
          <t>Annual target</t>
        </is>
      </c>
      <c r="C23" s="9" t="n">
        <v>4</v>
      </c>
      <c r="D23" s="8" t="inlineStr">
        <is>
          <t>kg</t>
        </is>
      </c>
      <c r="E23" s="8" t="inlineStr">
        <is>
          <t>Lean body weight +4kg</t>
        </is>
      </c>
    </row>
    <row r="24" ht="15" customHeight="1">
      <c r="A24" s="8" t="inlineStr">
        <is>
          <t>Books read</t>
        </is>
      </c>
      <c r="B24" s="8" t="inlineStr">
        <is>
          <t>Annual target</t>
        </is>
      </c>
      <c r="C24" s="9" t="n">
        <v>15</v>
      </c>
      <c r="D24" s="8" t="inlineStr">
        <is>
          <t>books</t>
        </is>
      </c>
      <c r="E24" s="8" t="inlineStr">
        <is>
          <t>Books read 15</t>
        </is>
      </c>
    </row>
    <row r="25" ht="15" customHeight="1">
      <c r="A25" s="8" t="inlineStr">
        <is>
          <t>Training (public speaking etc.)</t>
        </is>
      </c>
      <c r="B25" s="8" t="inlineStr">
        <is>
          <t>Annual target</t>
        </is>
      </c>
      <c r="C25" s="9" t="n">
        <v>100</v>
      </c>
      <c r="D25" s="8" t="inlineStr">
        <is>
          <t>hours</t>
        </is>
      </c>
      <c r="E25" s="8" t="inlineStr">
        <is>
          <t>100 hours training</t>
        </is>
      </c>
    </row>
    <row r="26" ht="15" customHeight="1">
      <c r="A26" s="8" t="inlineStr">
        <is>
          <t>New professional contacts</t>
        </is>
      </c>
      <c r="B26" s="8" t="inlineStr">
        <is>
          <t>Annual target</t>
        </is>
      </c>
      <c r="C26" s="9" t="n">
        <v>20</v>
      </c>
      <c r="D26" s="8" t="inlineStr">
        <is>
          <t>people</t>
        </is>
      </c>
      <c r="E26" s="8" t="inlineStr">
        <is>
          <t>20 contacts</t>
        </is>
      </c>
    </row>
    <row r="27" ht="15" customHeight="1">
      <c r="A27" s="8" t="inlineStr">
        <is>
          <t>Initiatives presented to VP</t>
        </is>
      </c>
      <c r="B27" s="8" t="inlineStr">
        <is>
          <t>Annual target</t>
        </is>
      </c>
      <c r="C27" s="9" t="n">
        <v>2</v>
      </c>
      <c r="D27" s="8" t="inlineStr">
        <is>
          <t>count</t>
        </is>
      </c>
      <c r="E27" s="8" t="inlineStr">
        <is>
          <t>2 initiatives</t>
        </is>
      </c>
    </row>
    <row r="28" ht="15" customHeight="1">
      <c r="A28" s="8" t="inlineStr">
        <is>
          <t>Origination list size</t>
        </is>
      </c>
      <c r="B28" s="8" t="inlineStr">
        <is>
          <t>Ongoing</t>
        </is>
      </c>
      <c r="C28" s="9" t="n">
        <v>10</v>
      </c>
      <c r="D28" s="8" t="inlineStr">
        <is>
          <t>ideas</t>
        </is>
      </c>
      <c r="E28" s="8" t="inlineStr">
        <is>
          <t>Maintain list of 10 initiative ideas</t>
        </is>
      </c>
    </row>
    <row r="29" ht="15" customHeight="1">
      <c r="A29" s="8" t="inlineStr">
        <is>
          <t>Stakeholder conversations</t>
        </is>
      </c>
      <c r="B29" s="8" t="inlineStr">
        <is>
          <t>Monthly minimum</t>
        </is>
      </c>
      <c r="C29" s="9" t="n">
        <v>1</v>
      </c>
      <c r="D29" s="8" t="inlineStr">
        <is>
          <t>count</t>
        </is>
      </c>
      <c r="E29" s="8" t="inlineStr">
        <is>
          <t>Monthly stakeholder conversations</t>
        </is>
      </c>
    </row>
    <row r="30" ht="15" customHeight="1">
      <c r="A30" s="8" t="inlineStr">
        <is>
          <t>Written memo</t>
        </is>
      </c>
      <c r="B30" s="8" t="inlineStr">
        <is>
          <t>Quarterly minimum</t>
        </is>
      </c>
      <c r="C30" s="9" t="n">
        <v>1</v>
      </c>
      <c r="D30" s="8" t="inlineStr">
        <is>
          <t>count</t>
        </is>
      </c>
      <c r="E30" s="8" t="inlineStr">
        <is>
          <t>1 memo/quarter</t>
        </is>
      </c>
    </row>
    <row r="31" ht="15" customHeight="1">
      <c r="A31" s="8" t="inlineStr">
        <is>
          <t>New activities tried</t>
        </is>
      </c>
      <c r="B31" s="8" t="inlineStr">
        <is>
          <t>Annual target</t>
        </is>
      </c>
      <c r="C31" s="9" t="n">
        <v>12</v>
      </c>
      <c r="D31" s="8" t="inlineStr">
        <is>
          <t>count</t>
        </is>
      </c>
      <c r="E31" s="8" t="inlineStr">
        <is>
          <t>12 activities</t>
        </is>
      </c>
    </row>
    <row r="32" ht="15" customHeight="1">
      <c r="A32" s="8" t="inlineStr">
        <is>
          <t>Travel</t>
        </is>
      </c>
      <c r="B32" s="8" t="inlineStr">
        <is>
          <t>Annual target</t>
        </is>
      </c>
      <c r="C32" s="9" t="n">
        <v>11</v>
      </c>
      <c r="D32" s="8" t="inlineStr">
        <is>
          <t>nights</t>
        </is>
      </c>
      <c r="E32" s="8" t="inlineStr">
        <is>
          <t>&gt;10 nights (use 11 as minimum)</t>
        </is>
      </c>
    </row>
    <row r="33" ht="15" customHeight="1">
      <c r="A33" s="8" t="inlineStr">
        <is>
          <t>Ideas written</t>
        </is>
      </c>
      <c r="B33" s="8" t="inlineStr">
        <is>
          <t>Annual target</t>
        </is>
      </c>
      <c r="C33" s="9" t="n">
        <v>500</v>
      </c>
      <c r="D33" s="8" t="inlineStr">
        <is>
          <t>count</t>
        </is>
      </c>
      <c r="E33" s="8" t="inlineStr">
        <is>
          <t>500 ideas total</t>
        </is>
      </c>
    </row>
    <row r="34" ht="15" customHeight="1">
      <c r="A34" s="8" t="inlineStr">
        <is>
          <t>Ideas written</t>
        </is>
      </c>
      <c r="B34" s="8" t="inlineStr">
        <is>
          <t>Weekly target</t>
        </is>
      </c>
      <c r="C34" s="9" t="n">
        <v>10</v>
      </c>
      <c r="D34" s="8" t="inlineStr">
        <is>
          <t>count</t>
        </is>
      </c>
      <c r="E34" s="8" t="inlineStr">
        <is>
          <t>10/week</t>
        </is>
      </c>
    </row>
    <row r="35" ht="15" customHeight="1">
      <c r="A35" s="8" t="inlineStr">
        <is>
          <t>Friends: people met 2+ times</t>
        </is>
      </c>
      <c r="B35" s="8" t="inlineStr">
        <is>
          <t>Annual target</t>
        </is>
      </c>
      <c r="C35" s="9" t="n">
        <v>20</v>
      </c>
      <c r="D35" s="8" t="inlineStr">
        <is>
          <t>people</t>
        </is>
      </c>
      <c r="E35" s="8" t="inlineStr">
        <is>
          <t>Informal only</t>
        </is>
      </c>
    </row>
    <row r="36" ht="15" customHeight="1">
      <c r="A36" s="8" t="inlineStr">
        <is>
          <t>Friends: people met 5+ times</t>
        </is>
      </c>
      <c r="B36" s="8" t="inlineStr">
        <is>
          <t>Annual target</t>
        </is>
      </c>
      <c r="C36" s="9" t="n">
        <v>5</v>
      </c>
      <c r="D36" s="8" t="inlineStr">
        <is>
          <t>people</t>
        </is>
      </c>
      <c r="E36" s="8" t="inlineStr">
        <is>
          <t>Informal only</t>
        </is>
      </c>
    </row>
    <row r="37" ht="15" customHeight="1">
      <c r="A37" s="8" t="inlineStr">
        <is>
          <t>Dates</t>
        </is>
      </c>
      <c r="B37" s="8" t="inlineStr">
        <is>
          <t>Monthly target (from Jun)</t>
        </is>
      </c>
      <c r="C37" s="9" t="n">
        <v>8</v>
      </c>
      <c r="D37" s="8" t="inlineStr">
        <is>
          <t>dates</t>
        </is>
      </c>
      <c r="E37" s="8" t="inlineStr">
        <is>
          <t>8 new dates/month starting June</t>
        </is>
      </c>
    </row>
    <row r="38" ht="15" customHeight="1">
      <c r="A38" s="8" t="inlineStr">
        <is>
          <t>Sex partners</t>
        </is>
      </c>
      <c r="B38" s="8" t="inlineStr">
        <is>
          <t>Annual target</t>
        </is>
      </c>
      <c r="C38" s="9" t="n">
        <v>3</v>
      </c>
      <c r="D38" s="8" t="inlineStr">
        <is>
          <t>people</t>
        </is>
      </c>
      <c r="E38" s="8" t="inlineStr">
        <is>
          <t>Stop upon good relationship</t>
        </is>
      </c>
    </row>
    <row r="39" ht="15" customHeight="1">
      <c r="A39" s="8" t="inlineStr">
        <is>
          <t>Busy week minimum</t>
        </is>
      </c>
      <c r="B39" s="8" t="inlineStr">
        <is>
          <t>Per spike week</t>
        </is>
      </c>
      <c r="C39" s="9" t="n">
        <v>1</v>
      </c>
      <c r="D39" s="8" t="inlineStr">
        <is>
          <t>social events</t>
        </is>
      </c>
      <c r="E39" s="8" t="inlineStr">
        <is>
          <t>Keep 1 social event</t>
        </is>
      </c>
    </row>
    <row r="40" ht="15" customHeight="1">
      <c r="A40" s="8" t="inlineStr">
        <is>
          <t>Busy week minimum</t>
        </is>
      </c>
      <c r="B40" s="8" t="inlineStr">
        <is>
          <t>Per spike week</t>
        </is>
      </c>
      <c r="C40" s="9" t="n">
        <v>1</v>
      </c>
      <c r="D40" s="8" t="inlineStr">
        <is>
          <t>training sessions</t>
        </is>
      </c>
      <c r="E40" s="8" t="inlineStr">
        <is>
          <t>Keep 1 training session</t>
        </is>
      </c>
    </row>
    <row r="41" ht="15" customHeight="1">
      <c r="A41" s="8" t="inlineStr">
        <is>
          <t>Busy week minimum</t>
        </is>
      </c>
      <c r="B41" s="8" t="inlineStr">
        <is>
          <t>Per spike week</t>
        </is>
      </c>
      <c r="C41" s="9" t="n">
        <v>10</v>
      </c>
      <c r="D41" s="8" t="inlineStr">
        <is>
          <t>ideas</t>
        </is>
      </c>
      <c r="E41" s="8" t="inlineStr">
        <is>
          <t>Keep 10 ideas</t>
        </is>
      </c>
    </row>
    <row r="42" ht="15" customHeight="1">
      <c r="A42" t="inlineStr">
        <is>
          <t>Net worth starting (RUB)</t>
        </is>
      </c>
      <c r="B42" t="inlineStr">
        <is>
          <t>Baseline</t>
        </is>
      </c>
      <c r="C42" t="n">
        <v>88000000</v>
      </c>
      <c r="D42" t="inlineStr">
        <is>
          <t>RUB</t>
        </is>
      </c>
      <c r="E42" t="inlineStr">
        <is>
          <t>Starting net worth: ca. RUB 88m (plan baseline)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10" defaultRowHeight="16" outlineLevelCol="0"/>
  <cols>
    <col width="46" bestFit="1" customWidth="1" min="1" max="1"/>
    <col width="30.6640625" bestFit="1" customWidth="1" min="2" max="2"/>
    <col width="64.6640625" bestFit="1" customWidth="1" min="12" max="12"/>
  </cols>
  <sheetData>
    <row r="1" ht="19" customHeight="1">
      <c r="A1" s="2" t="inlineStr">
        <is>
          <t>Metric Catalog (used by app and validations)</t>
        </is>
      </c>
    </row>
    <row r="2" ht="32" customHeight="1">
      <c r="A2" s="7" t="inlineStr">
        <is>
          <t>MetricCode</t>
        </is>
      </c>
      <c r="B2" s="7" t="inlineStr">
        <is>
          <t>MetricName</t>
        </is>
      </c>
      <c r="C2" s="7" t="inlineStr">
        <is>
          <t>Category</t>
        </is>
      </c>
      <c r="D2" s="7" t="inlineStr">
        <is>
          <t>Storage</t>
        </is>
      </c>
      <c r="E2" s="7" t="inlineStr">
        <is>
          <t>DefaultUnit</t>
        </is>
      </c>
      <c r="F2" s="7" t="inlineStr">
        <is>
          <t>ValueType</t>
        </is>
      </c>
      <c r="G2" s="31" t="inlineStr">
        <is>
          <t>NeedsPerson?</t>
        </is>
      </c>
      <c r="H2" s="31" t="inlineStr">
        <is>
          <t>NeedsTemplate?</t>
        </is>
      </c>
      <c r="I2" s="31" t="inlineStr">
        <is>
          <t>DefaultStep</t>
        </is>
      </c>
      <c r="J2" s="31" t="inlineStr">
        <is>
          <t>Presets</t>
        </is>
      </c>
      <c r="K2" s="31" t="inlineStr">
        <is>
          <t>Active?</t>
        </is>
      </c>
      <c r="L2" s="31" t="inlineStr">
        <is>
          <t>Notes</t>
        </is>
      </c>
    </row>
    <row r="3" ht="15" customHeight="1">
      <c r="A3" s="8" t="inlineStr">
        <is>
          <t>SLEEP_HOURS</t>
        </is>
      </c>
      <c r="B3" s="8" t="inlineStr">
        <is>
          <t>Sleep hours</t>
        </is>
      </c>
      <c r="C3" s="8" t="inlineStr">
        <is>
          <t>Health</t>
        </is>
      </c>
      <c r="D3" s="8" t="inlineStr">
        <is>
          <t>Event</t>
        </is>
      </c>
      <c r="E3" s="8" t="inlineStr">
        <is>
          <t>hours</t>
        </is>
      </c>
      <c r="F3" s="8" t="inlineStr">
        <is>
          <t>number</t>
        </is>
      </c>
      <c r="G3" t="inlineStr">
        <is>
          <t>No</t>
        </is>
      </c>
      <c r="H3" t="inlineStr">
        <is>
          <t>No</t>
        </is>
      </c>
      <c r="I3" t="n">
        <v>0.25</v>
      </c>
      <c r="J3" t="inlineStr">
        <is>
          <t>6,7,7.5,8,9</t>
        </is>
      </c>
      <c r="K3" t="n">
        <v>1</v>
      </c>
      <c r="L3" t="inlineStr">
        <is>
          <t>Can be imported from Apple Health; use occurred_at as night end time or morning.</t>
        </is>
      </c>
    </row>
    <row r="4" ht="15" customHeight="1">
      <c r="A4" s="8" t="inlineStr">
        <is>
          <t>POSTURE_SESSION</t>
        </is>
      </c>
      <c r="B4" s="8" t="inlineStr">
        <is>
          <t>Posture training session</t>
        </is>
      </c>
      <c r="C4" s="8" t="inlineStr">
        <is>
          <t>Health</t>
        </is>
      </c>
      <c r="D4" s="8" t="inlineStr">
        <is>
          <t>Event</t>
        </is>
      </c>
      <c r="E4" s="8" t="inlineStr">
        <is>
          <t>session</t>
        </is>
      </c>
      <c r="F4" s="8" t="inlineStr">
        <is>
          <t>boolean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1</t>
        </is>
      </c>
      <c r="K4" t="n">
        <v>1</v>
      </c>
      <c r="L4" t="inlineStr">
        <is>
          <t>1 session assumed = 15 min per plan.</t>
        </is>
      </c>
    </row>
    <row r="5" ht="15" customHeight="1">
      <c r="A5" s="8" t="inlineStr">
        <is>
          <t>WORKOUT</t>
        </is>
      </c>
      <c r="B5" s="8" t="inlineStr">
        <is>
          <t>Strength workout session</t>
        </is>
      </c>
      <c r="C5" s="8" t="inlineStr">
        <is>
          <t>Health</t>
        </is>
      </c>
      <c r="D5" s="8" t="inlineStr">
        <is>
          <t>Event</t>
        </is>
      </c>
      <c r="E5" s="8" t="inlineStr">
        <is>
          <t>count</t>
        </is>
      </c>
      <c r="F5" s="8" t="inlineStr">
        <is>
          <t>boolean</t>
        </is>
      </c>
      <c r="G5" t="inlineStr">
        <is>
          <t>No</t>
        </is>
      </c>
      <c r="H5" t="inlineStr">
        <is>
          <t>No</t>
        </is>
      </c>
      <c r="I5" t="n">
        <v>1</v>
      </c>
      <c r="K5" t="n">
        <v>1</v>
      </c>
      <c r="L5" t="inlineStr">
        <is>
          <t>Workout completed (optional; helps context).</t>
        </is>
      </c>
    </row>
    <row r="6" ht="15" customHeight="1">
      <c r="A6" s="8" t="inlineStr">
        <is>
          <t>WORKOUT_SKIPPED</t>
        </is>
      </c>
      <c r="B6" s="8" t="inlineStr">
        <is>
          <t>Workout skipped</t>
        </is>
      </c>
      <c r="C6" s="8" t="inlineStr">
        <is>
          <t>Health</t>
        </is>
      </c>
      <c r="D6" s="8" t="inlineStr">
        <is>
          <t>Event</t>
        </is>
      </c>
      <c r="E6" s="8" t="inlineStr">
        <is>
          <t>count</t>
        </is>
      </c>
      <c r="F6" s="8" t="inlineStr">
        <is>
          <t>boolean</t>
        </is>
      </c>
      <c r="G6" t="inlineStr">
        <is>
          <t>No</t>
        </is>
      </c>
      <c r="H6" t="inlineStr">
        <is>
          <t>No</t>
        </is>
      </c>
      <c r="I6" t="n">
        <v>1</v>
      </c>
      <c r="K6" t="n">
        <v>1</v>
      </c>
      <c r="L6" t="inlineStr">
        <is>
          <t>Log when a planned session is skipped (excluding medical if desired via tag).</t>
        </is>
      </c>
    </row>
    <row r="7" ht="15" customHeight="1">
      <c r="A7" s="8" t="inlineStr">
        <is>
          <t>LEAN_BODY_WEIGHT_KG</t>
        </is>
      </c>
      <c r="B7" s="8" t="inlineStr">
        <is>
          <t>Lean body weight (kg)</t>
        </is>
      </c>
      <c r="C7" s="8" t="inlineStr">
        <is>
          <t>Health</t>
        </is>
      </c>
      <c r="D7" s="8" t="inlineStr">
        <is>
          <t>Body</t>
        </is>
      </c>
      <c r="E7" s="8" t="inlineStr">
        <is>
          <t>kg</t>
        </is>
      </c>
      <c r="F7" s="8" t="inlineStr">
        <is>
          <t>number</t>
        </is>
      </c>
      <c r="G7" t="inlineStr">
        <is>
          <t>No</t>
        </is>
      </c>
      <c r="H7" t="inlineStr">
        <is>
          <t>No</t>
        </is>
      </c>
      <c r="I7" t="n">
        <v>0.1</v>
      </c>
      <c r="K7" t="n">
        <v>1</v>
      </c>
      <c r="L7" t="inlineStr">
        <is>
          <t>Optional body metric snapshot; used for +4kg target.</t>
        </is>
      </c>
    </row>
    <row r="8" ht="15" customHeight="1">
      <c r="A8" s="8" t="inlineStr">
        <is>
          <t>UNHEALTHY_MEAL</t>
        </is>
      </c>
      <c r="B8" s="8" t="inlineStr">
        <is>
          <t>Unhealthy meal/snack</t>
        </is>
      </c>
      <c r="C8" s="8" t="inlineStr">
        <is>
          <t>Health</t>
        </is>
      </c>
      <c r="D8" s="8" t="inlineStr">
        <is>
          <t>Event</t>
        </is>
      </c>
      <c r="E8" s="8" t="inlineStr">
        <is>
          <t>count</t>
        </is>
      </c>
      <c r="F8" s="8" t="inlineStr">
        <is>
          <t>number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1</t>
        </is>
      </c>
      <c r="K8" t="n">
        <v>1</v>
      </c>
      <c r="L8" t="inlineStr">
        <is>
          <t>Unhealthy defined in plan; log as count.</t>
        </is>
      </c>
    </row>
    <row r="9" ht="15" customHeight="1">
      <c r="A9" s="8" t="inlineStr">
        <is>
          <t>CIGARETTES</t>
        </is>
      </c>
      <c r="B9" s="8" t="inlineStr">
        <is>
          <t>Cigarettes smoked</t>
        </is>
      </c>
      <c r="C9" s="8" t="inlineStr">
        <is>
          <t>Health</t>
        </is>
      </c>
      <c r="D9" s="8" t="inlineStr">
        <is>
          <t>Event</t>
        </is>
      </c>
      <c r="E9" s="8" t="inlineStr">
        <is>
          <t>count</t>
        </is>
      </c>
      <c r="F9" s="8" t="inlineStr">
        <is>
          <t>number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1,2,3,5,10</t>
        </is>
      </c>
      <c r="K9" t="n">
        <v>1</v>
      </c>
      <c r="L9" t="inlineStr">
        <is>
          <t>Annual cap &lt;100.</t>
        </is>
      </c>
    </row>
    <row r="10" ht="15" customHeight="1">
      <c r="A10" s="8" t="inlineStr">
        <is>
          <t>ALCOHOL</t>
        </is>
      </c>
      <c r="B10" s="8" t="inlineStr">
        <is>
          <t>Alcohol servings (uses template)</t>
        </is>
      </c>
      <c r="C10" s="8" t="inlineStr">
        <is>
          <t>Health</t>
        </is>
      </c>
      <c r="D10" s="8" t="inlineStr">
        <is>
          <t>Event</t>
        </is>
      </c>
      <c r="E10" s="8" t="inlineStr">
        <is>
          <t>servings</t>
        </is>
      </c>
      <c r="F10" s="8" t="inlineStr">
        <is>
          <t>number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0.5,1,2,3</t>
        </is>
      </c>
      <c r="K10" t="n">
        <v>1</v>
      </c>
      <c r="L10" t="inlineStr">
        <is>
          <t>Value is servings; StdDrinks computed using Drink_Templates.</t>
        </is>
      </c>
    </row>
    <row r="11" ht="15" customHeight="1">
      <c r="A11" s="8" t="inlineStr">
        <is>
          <t>MINDFULNESS_MIN</t>
        </is>
      </c>
      <c r="B11" s="8" t="inlineStr">
        <is>
          <t>Mindfulness minutes</t>
        </is>
      </c>
      <c r="C11" s="8" t="inlineStr">
        <is>
          <t>Mindfulness</t>
        </is>
      </c>
      <c r="D11" s="8" t="inlineStr">
        <is>
          <t>Event</t>
        </is>
      </c>
      <c r="E11" s="8" t="inlineStr">
        <is>
          <t>minutes</t>
        </is>
      </c>
      <c r="F11" s="8" t="inlineStr">
        <is>
          <t>number</t>
        </is>
      </c>
      <c r="G11" t="inlineStr">
        <is>
          <t>No</t>
        </is>
      </c>
      <c r="H11" t="inlineStr">
        <is>
          <t>No</t>
        </is>
      </c>
      <c r="I11" t="n">
        <v>5</v>
      </c>
      <c r="J11" t="inlineStr">
        <is>
          <t>5,10,15,20,30</t>
        </is>
      </c>
      <c r="K11" t="n">
        <v>1</v>
      </c>
      <c r="L11" t="inlineStr">
        <is>
          <t>Weekly target 100 min; 4+ days/week.</t>
        </is>
      </c>
    </row>
    <row r="12" ht="15" customHeight="1">
      <c r="A12" s="8" t="inlineStr">
        <is>
          <t>TRAINING_MIN</t>
        </is>
      </c>
      <c r="B12" s="8" t="inlineStr">
        <is>
          <t>Public speaking/presentation training</t>
        </is>
      </c>
      <c r="C12" s="8" t="inlineStr">
        <is>
          <t>Career</t>
        </is>
      </c>
      <c r="D12" s="8" t="inlineStr">
        <is>
          <t>Event</t>
        </is>
      </c>
      <c r="E12" s="8" t="inlineStr">
        <is>
          <t>minutes</t>
        </is>
      </c>
      <c r="F12" s="8" t="inlineStr">
        <is>
          <t>number</t>
        </is>
      </c>
      <c r="G12" t="inlineStr">
        <is>
          <t>No</t>
        </is>
      </c>
      <c r="H12" t="inlineStr">
        <is>
          <t>No</t>
        </is>
      </c>
      <c r="I12" t="n">
        <v>15</v>
      </c>
      <c r="J12" t="inlineStr">
        <is>
          <t>15,30,45,60,90</t>
        </is>
      </c>
      <c r="K12" t="n">
        <v>1</v>
      </c>
      <c r="L12" t="inlineStr">
        <is>
          <t>Counts toward 100h annual training.</t>
        </is>
      </c>
    </row>
    <row r="13" ht="15" customHeight="1">
      <c r="A13" t="inlineStr">
        <is>
          <t>DICTION_TRAINING_MIN</t>
        </is>
      </c>
      <c r="B13" t="inlineStr">
        <is>
          <t>Diction / speech therapy training minutes</t>
        </is>
      </c>
      <c r="C13" t="inlineStr">
        <is>
          <t>Career</t>
        </is>
      </c>
      <c r="D13" t="inlineStr">
        <is>
          <t>Event</t>
        </is>
      </c>
      <c r="E13" t="inlineStr">
        <is>
          <t>minutes</t>
        </is>
      </c>
      <c r="F13" t="inlineStr">
        <is>
          <t>number</t>
        </is>
      </c>
      <c r="G13" t="inlineStr">
        <is>
          <t>No</t>
        </is>
      </c>
      <c r="H13" t="inlineStr">
        <is>
          <t>No</t>
        </is>
      </c>
      <c r="I13" t="n">
        <v>15</v>
      </c>
      <c r="J13" t="inlineStr">
        <is>
          <t>15,30,45,60</t>
        </is>
      </c>
      <c r="K13" t="n">
        <v>1</v>
      </c>
      <c r="L13" t="inlineStr">
        <is>
          <t>Speech therapist sessions; supports diction improvement metric.</t>
        </is>
      </c>
    </row>
    <row r="14" ht="15" customHeight="1">
      <c r="A14" s="8" t="inlineStr">
        <is>
          <t>VOICE_SAMPLE</t>
        </is>
      </c>
      <c r="B14" s="8" t="inlineStr">
        <is>
          <t>Voice sample recording</t>
        </is>
      </c>
      <c r="C14" s="8" t="inlineStr">
        <is>
          <t>Career</t>
        </is>
      </c>
      <c r="D14" s="8" t="inlineStr">
        <is>
          <t>Event</t>
        </is>
      </c>
      <c r="E14" s="8" t="inlineStr">
        <is>
          <t>count</t>
        </is>
      </c>
      <c r="F14" s="8" t="inlineStr">
        <is>
          <t>boolean</t>
        </is>
      </c>
      <c r="G14" t="inlineStr">
        <is>
          <t>No</t>
        </is>
      </c>
      <c r="H14" t="inlineStr">
        <is>
          <t>No</t>
        </is>
      </c>
      <c r="I14" t="n">
        <v>1</v>
      </c>
      <c r="K14" t="n">
        <v>1</v>
      </c>
      <c r="L14" t="inlineStr">
        <is>
          <t>Log when you record baseline or periodic samples.</t>
        </is>
      </c>
    </row>
    <row r="15" ht="15" customHeight="1">
      <c r="A15" s="8" t="inlineStr">
        <is>
          <t>BOOK_FINISHED</t>
        </is>
      </c>
      <c r="B15" s="8" t="inlineStr">
        <is>
          <t>Book finished</t>
        </is>
      </c>
      <c r="C15" s="8" t="inlineStr">
        <is>
          <t>Career</t>
        </is>
      </c>
      <c r="D15" s="8" t="inlineStr">
        <is>
          <t>Event</t>
        </is>
      </c>
      <c r="E15" s="8" t="inlineStr">
        <is>
          <t>count</t>
        </is>
      </c>
      <c r="F15" s="8" t="inlineStr">
        <is>
          <t>boolean</t>
        </is>
      </c>
      <c r="G15" t="inlineStr">
        <is>
          <t>No</t>
        </is>
      </c>
      <c r="H15" t="inlineStr">
        <is>
          <t>No</t>
        </is>
      </c>
      <c r="I15" t="n">
        <v>1</v>
      </c>
      <c r="K15" t="n">
        <v>1</v>
      </c>
      <c r="L15" t="inlineStr">
        <is>
          <t>Counts toward 15 books annual.</t>
        </is>
      </c>
    </row>
    <row r="16" ht="15" customHeight="1">
      <c r="A16" s="8" t="inlineStr">
        <is>
          <t>PRO_CONTACT_ADDED</t>
        </is>
      </c>
      <c r="B16" s="8" t="inlineStr">
        <is>
          <t>New professional contact added</t>
        </is>
      </c>
      <c r="C16" s="8" t="inlineStr">
        <is>
          <t>Career</t>
        </is>
      </c>
      <c r="D16" s="8" t="inlineStr">
        <is>
          <t>Event</t>
        </is>
      </c>
      <c r="E16" s="8" t="inlineStr">
        <is>
          <t>count</t>
        </is>
      </c>
      <c r="F16" s="8" t="inlineStr">
        <is>
          <t>boolean</t>
        </is>
      </c>
      <c r="G16" t="inlineStr">
        <is>
          <t>Yes</t>
        </is>
      </c>
      <c r="H16" t="inlineStr">
        <is>
          <t>No</t>
        </is>
      </c>
      <c r="I16" t="n">
        <v>1</v>
      </c>
      <c r="K16" t="n">
        <v>1</v>
      </c>
      <c r="L16" t="inlineStr">
        <is>
          <t>Requires PersonID (Type=Pro).</t>
        </is>
      </c>
    </row>
    <row r="17" ht="15" customHeight="1">
      <c r="A17" s="8" t="inlineStr">
        <is>
          <t>ORIGINATION_ACTION</t>
        </is>
      </c>
      <c r="B17" s="8" t="inlineStr">
        <is>
          <t>Origination action (weekly)</t>
        </is>
      </c>
      <c r="C17" s="8" t="inlineStr">
        <is>
          <t>Career</t>
        </is>
      </c>
      <c r="D17" s="8" t="inlineStr">
        <is>
          <t>Event</t>
        </is>
      </c>
      <c r="E17" s="8" t="inlineStr">
        <is>
          <t>count</t>
        </is>
      </c>
      <c r="F17" s="8" t="inlineStr">
        <is>
          <t>boolean</t>
        </is>
      </c>
      <c r="G17" t="inlineStr">
        <is>
          <t>No</t>
        </is>
      </c>
      <c r="H17" t="inlineStr">
        <is>
          <t>No</t>
        </is>
      </c>
      <c r="I17" t="n">
        <v>1</v>
      </c>
      <c r="K17" t="n">
        <v>1</v>
      </c>
      <c r="L17" t="inlineStr">
        <is>
          <t>Plan metric: at least 1 per week; use tags for subtype (chat/memo/pitch).</t>
        </is>
      </c>
    </row>
    <row r="18" ht="15" customHeight="1">
      <c r="A18" s="8" t="inlineStr">
        <is>
          <t>INITIATIVE_IDEA</t>
        </is>
      </c>
      <c r="B18" s="8" t="inlineStr">
        <is>
          <t>Initiative idea captured</t>
        </is>
      </c>
      <c r="C18" s="8" t="inlineStr">
        <is>
          <t>Career</t>
        </is>
      </c>
      <c r="D18" s="8" t="inlineStr">
        <is>
          <t>Event</t>
        </is>
      </c>
      <c r="E18" s="8" t="inlineStr">
        <is>
          <t>count</t>
        </is>
      </c>
      <c r="F18" s="8" t="inlineStr">
        <is>
          <t>boolean</t>
        </is>
      </c>
      <c r="G18" t="inlineStr">
        <is>
          <t>No</t>
        </is>
      </c>
      <c r="H18" t="inlineStr">
        <is>
          <t>No</t>
        </is>
      </c>
      <c r="I18" t="n">
        <v>1</v>
      </c>
      <c r="K18" t="n">
        <v>1</v>
      </c>
      <c r="L18" t="inlineStr">
        <is>
          <t>Used to maintain list of 10 initiative ideas (project hygiene).</t>
        </is>
      </c>
    </row>
    <row r="19" ht="15" customHeight="1">
      <c r="A19" s="8" t="inlineStr">
        <is>
          <t>STAKEHOLDER_CHAT</t>
        </is>
      </c>
      <c r="B19" s="8" t="inlineStr">
        <is>
          <t>Stakeholder conversation</t>
        </is>
      </c>
      <c r="C19" s="8" t="inlineStr">
        <is>
          <t>Career</t>
        </is>
      </c>
      <c r="D19" s="8" t="inlineStr">
        <is>
          <t>Event</t>
        </is>
      </c>
      <c r="E19" s="8" t="inlineStr">
        <is>
          <t>count</t>
        </is>
      </c>
      <c r="F19" s="8" t="inlineStr">
        <is>
          <t>boolean</t>
        </is>
      </c>
      <c r="G19" t="inlineStr">
        <is>
          <t>Yes</t>
        </is>
      </c>
      <c r="H19" t="inlineStr">
        <is>
          <t>No</t>
        </is>
      </c>
      <c r="I19" t="n">
        <v>1</v>
      </c>
      <c r="K19" t="n">
        <v>1</v>
      </c>
      <c r="L19" t="inlineStr">
        <is>
          <t>Project activity; can be counted toward origination actions.</t>
        </is>
      </c>
    </row>
    <row r="20" ht="15" customHeight="1">
      <c r="A20" s="8" t="inlineStr">
        <is>
          <t>MEMO_WRITTEN</t>
        </is>
      </c>
      <c r="B20" s="8" t="inlineStr">
        <is>
          <t>Written memo</t>
        </is>
      </c>
      <c r="C20" s="8" t="inlineStr">
        <is>
          <t>Career</t>
        </is>
      </c>
      <c r="D20" s="8" t="inlineStr">
        <is>
          <t>Event</t>
        </is>
      </c>
      <c r="E20" s="8" t="inlineStr">
        <is>
          <t>count</t>
        </is>
      </c>
      <c r="F20" s="8" t="inlineStr">
        <is>
          <t>boolean</t>
        </is>
      </c>
      <c r="G20" t="inlineStr">
        <is>
          <t>No</t>
        </is>
      </c>
      <c r="H20" t="inlineStr">
        <is>
          <t>No</t>
        </is>
      </c>
      <c r="I20" t="n">
        <v>1</v>
      </c>
      <c r="K20" t="n">
        <v>1</v>
      </c>
      <c r="L20" t="inlineStr">
        <is>
          <t>Project output; quarterly minimum.</t>
        </is>
      </c>
    </row>
    <row r="21" ht="15" customHeight="1">
      <c r="A21" s="8" t="inlineStr">
        <is>
          <t>INITIATIVE_PRESENTED_VP</t>
        </is>
      </c>
      <c r="B21" s="8" t="inlineStr">
        <is>
          <t>Initiative presented to VP</t>
        </is>
      </c>
      <c r="C21" s="8" t="inlineStr">
        <is>
          <t>Career</t>
        </is>
      </c>
      <c r="D21" s="8" t="inlineStr">
        <is>
          <t>Event</t>
        </is>
      </c>
      <c r="E21" s="8" t="inlineStr">
        <is>
          <t>count</t>
        </is>
      </c>
      <c r="F21" s="8" t="inlineStr">
        <is>
          <t>boolean</t>
        </is>
      </c>
      <c r="G21" t="inlineStr">
        <is>
          <t>No</t>
        </is>
      </c>
      <c r="H21" t="inlineStr">
        <is>
          <t>No</t>
        </is>
      </c>
      <c r="I21" t="n">
        <v>1</v>
      </c>
      <c r="K21" t="n">
        <v>1</v>
      </c>
      <c r="L21" t="inlineStr">
        <is>
          <t>Annual target 2.</t>
        </is>
      </c>
    </row>
    <row r="22" ht="15" customHeight="1">
      <c r="A22" s="8" t="inlineStr">
        <is>
          <t>SOCIAL_MEET</t>
        </is>
      </c>
      <c r="B22" s="8" t="inlineStr">
        <is>
          <t>Informal social meeting</t>
        </is>
      </c>
      <c r="C22" s="8" t="inlineStr">
        <is>
          <t>Social</t>
        </is>
      </c>
      <c r="D22" s="8" t="inlineStr">
        <is>
          <t>Event</t>
        </is>
      </c>
      <c r="E22" s="8" t="inlineStr">
        <is>
          <t>count</t>
        </is>
      </c>
      <c r="F22" s="8" t="inlineStr">
        <is>
          <t>boolean</t>
        </is>
      </c>
      <c r="G22" t="inlineStr">
        <is>
          <t>Yes</t>
        </is>
      </c>
      <c r="H22" t="inlineStr">
        <is>
          <t>No</t>
        </is>
      </c>
      <c r="I22" t="n">
        <v>1</v>
      </c>
      <c r="K22" t="n">
        <v>1</v>
      </c>
      <c r="L22" t="inlineStr">
        <is>
          <t>Informal only; use PersonID (Type=Social).</t>
        </is>
      </c>
    </row>
    <row r="23" ht="15" customHeight="1">
      <c r="A23" s="8" t="inlineStr">
        <is>
          <t>COMMUNITY_SESSION</t>
        </is>
      </c>
      <c r="B23" s="8" t="inlineStr">
        <is>
          <t>Community session attended</t>
        </is>
      </c>
      <c r="C23" s="8" t="inlineStr">
        <is>
          <t>Social</t>
        </is>
      </c>
      <c r="D23" s="8" t="inlineStr">
        <is>
          <t>Event</t>
        </is>
      </c>
      <c r="E23" s="8" t="inlineStr">
        <is>
          <t>count</t>
        </is>
      </c>
      <c r="F23" s="8" t="inlineStr">
        <is>
          <t>boolean</t>
        </is>
      </c>
      <c r="G23" t="inlineStr">
        <is>
          <t>No</t>
        </is>
      </c>
      <c r="H23" t="inlineStr">
        <is>
          <t>No</t>
        </is>
      </c>
      <c r="I23" t="n">
        <v>1</v>
      </c>
      <c r="K23" t="n">
        <v>1</v>
      </c>
      <c r="L23" t="inlineStr">
        <is>
          <t>Use tags to identify community; used for Q1 milestone.</t>
        </is>
      </c>
    </row>
    <row r="24" ht="15" customHeight="1">
      <c r="A24" s="8" t="inlineStr">
        <is>
          <t>HOSTED_EVENT</t>
        </is>
      </c>
      <c r="B24" s="8" t="inlineStr">
        <is>
          <t>Hosted/organized social event</t>
        </is>
      </c>
      <c r="C24" s="8" t="inlineStr">
        <is>
          <t>Social</t>
        </is>
      </c>
      <c r="D24" s="8" t="inlineStr">
        <is>
          <t>Event</t>
        </is>
      </c>
      <c r="E24" s="8" t="inlineStr">
        <is>
          <t>count</t>
        </is>
      </c>
      <c r="F24" s="8" t="inlineStr">
        <is>
          <t>boolean</t>
        </is>
      </c>
      <c r="G24" t="inlineStr">
        <is>
          <t>No</t>
        </is>
      </c>
      <c r="H24" t="inlineStr">
        <is>
          <t>No</t>
        </is>
      </c>
      <c r="I24" t="n">
        <v>1</v>
      </c>
      <c r="K24" t="n">
        <v>1</v>
      </c>
      <c r="L24" t="inlineStr">
        <is>
          <t>Counts toward hosting milestones.</t>
        </is>
      </c>
    </row>
    <row r="25" ht="15" customHeight="1">
      <c r="A25" s="8" t="inlineStr">
        <is>
          <t>DATE</t>
        </is>
      </c>
      <c r="B25" s="8" t="inlineStr">
        <is>
          <t>Date</t>
        </is>
      </c>
      <c r="C25" s="8" t="inlineStr">
        <is>
          <t>Dating</t>
        </is>
      </c>
      <c r="D25" s="8" t="inlineStr">
        <is>
          <t>Event</t>
        </is>
      </c>
      <c r="E25" s="8" t="inlineStr">
        <is>
          <t>count</t>
        </is>
      </c>
      <c r="F25" s="8" t="inlineStr">
        <is>
          <t>boolean</t>
        </is>
      </c>
      <c r="G25" t="inlineStr">
        <is>
          <t>Yes</t>
        </is>
      </c>
      <c r="H25" t="inlineStr">
        <is>
          <t>No</t>
        </is>
      </c>
      <c r="I25" t="n">
        <v>1</v>
      </c>
      <c r="K25" t="n">
        <v>1</v>
      </c>
      <c r="L25" t="inlineStr">
        <is>
          <t>Use PersonID (Type=Romance).</t>
        </is>
      </c>
    </row>
    <row r="26" ht="15" customHeight="1">
      <c r="A26" s="8" t="inlineStr">
        <is>
          <t>SEX</t>
        </is>
      </c>
      <c r="B26" s="8" t="inlineStr">
        <is>
          <t>Sex with partner</t>
        </is>
      </c>
      <c r="C26" s="8" t="inlineStr">
        <is>
          <t>Dating</t>
        </is>
      </c>
      <c r="D26" s="8" t="inlineStr">
        <is>
          <t>Event</t>
        </is>
      </c>
      <c r="E26" s="8" t="inlineStr">
        <is>
          <t>count</t>
        </is>
      </c>
      <c r="F26" s="8" t="inlineStr">
        <is>
          <t>boolean</t>
        </is>
      </c>
      <c r="G26" t="inlineStr">
        <is>
          <t>Yes</t>
        </is>
      </c>
      <c r="H26" t="inlineStr">
        <is>
          <t>No</t>
        </is>
      </c>
      <c r="I26" t="n">
        <v>1</v>
      </c>
      <c r="K26" t="n">
        <v>1</v>
      </c>
      <c r="L26" t="inlineStr">
        <is>
          <t>Used to count distinct sex partners.</t>
        </is>
      </c>
    </row>
    <row r="27" ht="15" customHeight="1">
      <c r="A27" s="8" t="inlineStr">
        <is>
          <t>RELATIONSHIP_START</t>
        </is>
      </c>
      <c r="B27" s="8" t="inlineStr">
        <is>
          <t>Relationship start</t>
        </is>
      </c>
      <c r="C27" s="8" t="inlineStr">
        <is>
          <t>Dating</t>
        </is>
      </c>
      <c r="D27" s="8" t="inlineStr">
        <is>
          <t>Event</t>
        </is>
      </c>
      <c r="E27" s="8" t="inlineStr">
        <is>
          <t>count</t>
        </is>
      </c>
      <c r="F27" s="8" t="inlineStr">
        <is>
          <t>boolean</t>
        </is>
      </c>
      <c r="G27" t="inlineStr">
        <is>
          <t>Yes</t>
        </is>
      </c>
      <c r="H27" t="inlineStr">
        <is>
          <t>No</t>
        </is>
      </c>
      <c r="I27" t="n">
        <v>1</v>
      </c>
      <c r="K27" t="n">
        <v>1</v>
      </c>
      <c r="L27" t="inlineStr">
        <is>
          <t>Helper for stop conditions; log once per relationship.</t>
        </is>
      </c>
    </row>
    <row r="28" ht="15" customHeight="1">
      <c r="A28" s="8" t="inlineStr">
        <is>
          <t>RELATIONSHIP_END</t>
        </is>
      </c>
      <c r="B28" s="8" t="inlineStr">
        <is>
          <t>Relationship end</t>
        </is>
      </c>
      <c r="C28" s="8" t="inlineStr">
        <is>
          <t>Dating</t>
        </is>
      </c>
      <c r="D28" s="8" t="inlineStr">
        <is>
          <t>Event</t>
        </is>
      </c>
      <c r="E28" s="8" t="inlineStr">
        <is>
          <t>count</t>
        </is>
      </c>
      <c r="F28" s="8" t="inlineStr">
        <is>
          <t>boolean</t>
        </is>
      </c>
      <c r="G28" t="inlineStr">
        <is>
          <t>Yes</t>
        </is>
      </c>
      <c r="H28" t="inlineStr">
        <is>
          <t>No</t>
        </is>
      </c>
      <c r="I28" t="n">
        <v>1</v>
      </c>
      <c r="K28" t="n">
        <v>1</v>
      </c>
      <c r="L28" t="inlineStr">
        <is>
          <t>Helper for duration/stop condition.</t>
        </is>
      </c>
    </row>
    <row r="29" ht="15" customHeight="1">
      <c r="A29" s="8" t="inlineStr">
        <is>
          <t>IDEA</t>
        </is>
      </c>
      <c r="B29" s="8" t="inlineStr">
        <is>
          <t>Idea captured</t>
        </is>
      </c>
      <c r="C29" s="8" t="inlineStr">
        <is>
          <t>Creativity</t>
        </is>
      </c>
      <c r="D29" s="8" t="inlineStr">
        <is>
          <t>Event</t>
        </is>
      </c>
      <c r="E29" s="8" t="inlineStr">
        <is>
          <t>count</t>
        </is>
      </c>
      <c r="F29" s="8" t="inlineStr">
        <is>
          <t>number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1,2,3,5,10</t>
        </is>
      </c>
      <c r="K29" t="n">
        <v>1</v>
      </c>
      <c r="L29" t="inlineStr">
        <is>
          <t>Weekly target 10; annual 500.</t>
        </is>
      </c>
    </row>
    <row r="30" ht="15" customHeight="1">
      <c r="A30" s="8" t="inlineStr">
        <is>
          <t>IDEA_STAR</t>
        </is>
      </c>
      <c r="B30" s="8" t="inlineStr">
        <is>
          <t>Starred idea of the week</t>
        </is>
      </c>
      <c r="C30" s="8" t="inlineStr">
        <is>
          <t>Creativity</t>
        </is>
      </c>
      <c r="D30" s="8" t="inlineStr">
        <is>
          <t>Event</t>
        </is>
      </c>
      <c r="E30" s="8" t="inlineStr">
        <is>
          <t>count</t>
        </is>
      </c>
      <c r="F30" s="8" t="inlineStr">
        <is>
          <t>boolean</t>
        </is>
      </c>
      <c r="G30" t="inlineStr">
        <is>
          <t>No</t>
        </is>
      </c>
      <c r="H30" t="inlineStr">
        <is>
          <t>No</t>
        </is>
      </c>
      <c r="I30" t="n">
        <v>1</v>
      </c>
      <c r="K30" t="n">
        <v>1</v>
      </c>
      <c r="L30" t="inlineStr">
        <is>
          <t>Supports weekly 20-min review protocol.</t>
        </is>
      </c>
    </row>
    <row r="31" ht="15" customHeight="1">
      <c r="A31" s="8" t="inlineStr">
        <is>
          <t>NEW_ACTIVITY</t>
        </is>
      </c>
      <c r="B31" s="8" t="inlineStr">
        <is>
          <t>New activity tried</t>
        </is>
      </c>
      <c r="C31" s="8" t="inlineStr">
        <is>
          <t>Creativity</t>
        </is>
      </c>
      <c r="D31" s="8" t="inlineStr">
        <is>
          <t>Event</t>
        </is>
      </c>
      <c r="E31" s="8" t="inlineStr">
        <is>
          <t>count</t>
        </is>
      </c>
      <c r="F31" s="8" t="inlineStr">
        <is>
          <t>boolean</t>
        </is>
      </c>
      <c r="G31" t="inlineStr">
        <is>
          <t>No</t>
        </is>
      </c>
      <c r="H31" t="inlineStr">
        <is>
          <t>No</t>
        </is>
      </c>
      <c r="I31" t="n">
        <v>1</v>
      </c>
      <c r="K31" t="n">
        <v>1</v>
      </c>
      <c r="L31" t="inlineStr">
        <is>
          <t>Annual target 12.</t>
        </is>
      </c>
    </row>
    <row r="32" ht="15" customHeight="1">
      <c r="A32" s="8" t="inlineStr">
        <is>
          <t>TRAVEL_NIGHT</t>
        </is>
      </c>
      <c r="B32" s="8" t="inlineStr">
        <is>
          <t>Travel night</t>
        </is>
      </c>
      <c r="C32" s="8" t="inlineStr">
        <is>
          <t>Creativity</t>
        </is>
      </c>
      <c r="D32" s="8" t="inlineStr">
        <is>
          <t>Event</t>
        </is>
      </c>
      <c r="E32" s="8" t="inlineStr">
        <is>
          <t>nights</t>
        </is>
      </c>
      <c r="F32" s="8" t="inlineStr">
        <is>
          <t>number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1</t>
        </is>
      </c>
      <c r="K32" t="n">
        <v>1</v>
      </c>
      <c r="L32" t="inlineStr">
        <is>
          <t>Annual target &gt;10 nights (tracked as 11+).</t>
        </is>
      </c>
    </row>
    <row r="33" ht="15" customHeight="1">
      <c r="A33" s="8" t="inlineStr">
        <is>
          <t>COOKING_SESSION</t>
        </is>
      </c>
      <c r="B33" s="8" t="inlineStr">
        <is>
          <t>Cooking session (anchor hobby)</t>
        </is>
      </c>
      <c r="C33" s="8" t="inlineStr">
        <is>
          <t>Creativity</t>
        </is>
      </c>
      <c r="D33" s="8" t="inlineStr">
        <is>
          <t>Event</t>
        </is>
      </c>
      <c r="E33" s="8" t="inlineStr">
        <is>
          <t>count</t>
        </is>
      </c>
      <c r="F33" s="8" t="inlineStr">
        <is>
          <t>boolean</t>
        </is>
      </c>
      <c r="G33" t="inlineStr">
        <is>
          <t>No</t>
        </is>
      </c>
      <c r="H33" t="inlineStr">
        <is>
          <t>No</t>
        </is>
      </c>
      <c r="I33" t="n">
        <v>1</v>
      </c>
      <c r="K33" t="n">
        <v>1</v>
      </c>
      <c r="L33" t="inlineStr">
        <is>
          <t>Anchor hobby.</t>
        </is>
      </c>
    </row>
    <row r="34" ht="15" customHeight="1">
      <c r="A34" s="8" t="inlineStr">
        <is>
          <t>PISTOL_SHOOTING_SESSION</t>
        </is>
      </c>
      <c r="B34" s="8" t="inlineStr">
        <is>
          <t>Pistol shooting session (anchor hobby)</t>
        </is>
      </c>
      <c r="C34" s="8" t="inlineStr">
        <is>
          <t>Creativity</t>
        </is>
      </c>
      <c r="D34" s="8" t="inlineStr">
        <is>
          <t>Event</t>
        </is>
      </c>
      <c r="E34" s="8" t="inlineStr">
        <is>
          <t>count</t>
        </is>
      </c>
      <c r="F34" s="8" t="inlineStr">
        <is>
          <t>boolean</t>
        </is>
      </c>
      <c r="G34" t="inlineStr">
        <is>
          <t>No</t>
        </is>
      </c>
      <c r="H34" t="inlineStr">
        <is>
          <t>No</t>
        </is>
      </c>
      <c r="I34" t="n">
        <v>1</v>
      </c>
      <c r="K34" t="n">
        <v>1</v>
      </c>
      <c r="L34" t="inlineStr">
        <is>
          <t>Anchor hobby.</t>
        </is>
      </c>
    </row>
    <row r="35" ht="15" customHeight="1">
      <c r="A35" t="inlineStr">
        <is>
          <t>WORKHOURS_WEEKLY</t>
        </is>
      </c>
      <c r="B35" t="inlineStr">
        <is>
          <t>Work hours (weekly)</t>
        </is>
      </c>
      <c r="C35" t="inlineStr">
        <is>
          <t>Work/Finance</t>
        </is>
      </c>
      <c r="D35" t="inlineStr">
        <is>
          <t>Weekly</t>
        </is>
      </c>
      <c r="E35" t="inlineStr">
        <is>
          <t>hours</t>
        </is>
      </c>
      <c r="F35" t="inlineStr">
        <is>
          <t>number</t>
        </is>
      </c>
      <c r="G35" t="inlineStr">
        <is>
          <t>No</t>
        </is>
      </c>
      <c r="H35" t="inlineStr">
        <is>
          <t>No</t>
        </is>
      </c>
      <c r="I35" t="n">
        <v>0.5</v>
      </c>
      <c r="K35" t="n">
        <v>1</v>
      </c>
      <c r="L35" t="inlineStr">
        <is>
          <t>Entered in Raw_Weekly; used for &lt;55 goal and busy-week trigger.</t>
        </is>
      </c>
    </row>
    <row r="36" ht="15" customHeight="1">
      <c r="A36" t="inlineStr">
        <is>
          <t>EXPENSES_PERSONAL_RUB</t>
        </is>
      </c>
      <c r="B36" t="inlineStr">
        <is>
          <t>Personal expenses (weekly)</t>
        </is>
      </c>
      <c r="C36" t="inlineStr">
        <is>
          <t>Work/Finance</t>
        </is>
      </c>
      <c r="D36" t="inlineStr">
        <is>
          <t>Weekly</t>
        </is>
      </c>
      <c r="E36" t="inlineStr">
        <is>
          <t>RUB</t>
        </is>
      </c>
      <c r="F36" t="inlineStr">
        <is>
          <t>number</t>
        </is>
      </c>
      <c r="G36" t="inlineStr">
        <is>
          <t>No</t>
        </is>
      </c>
      <c r="H36" t="inlineStr">
        <is>
          <t>No</t>
        </is>
      </c>
      <c r="I36" t="n">
        <v>1000</v>
      </c>
      <c r="K36" t="n">
        <v>1</v>
      </c>
      <c r="L36" t="inlineStr">
        <is>
          <t>Entered in Raw_Weekly; excludes renovation for annual cap.</t>
        </is>
      </c>
    </row>
    <row r="37" ht="15" customHeight="1">
      <c r="A37" t="inlineStr">
        <is>
          <t>EXCLUDED_RENOVATION_RUB</t>
        </is>
      </c>
      <c r="B37" t="inlineStr">
        <is>
          <t>Excluded renovation expenses (weekly)</t>
        </is>
      </c>
      <c r="C37" t="inlineStr">
        <is>
          <t>Work/Finance</t>
        </is>
      </c>
      <c r="D37" t="inlineStr">
        <is>
          <t>Weekly</t>
        </is>
      </c>
      <c r="E37" t="inlineStr">
        <is>
          <t>RUB</t>
        </is>
      </c>
      <c r="F37" t="inlineStr">
        <is>
          <t>number</t>
        </is>
      </c>
      <c r="G37" t="inlineStr">
        <is>
          <t>No</t>
        </is>
      </c>
      <c r="H37" t="inlineStr">
        <is>
          <t>No</t>
        </is>
      </c>
      <c r="I37" t="n">
        <v>1000</v>
      </c>
      <c r="K37" t="n">
        <v>1</v>
      </c>
      <c r="L37" t="inlineStr">
        <is>
          <t>Excluded from annual expense cap reporting.</t>
        </is>
      </c>
    </row>
    <row r="38" ht="15" customHeight="1">
      <c r="A38" t="inlineStr">
        <is>
          <t>NETWORTH_RUB</t>
        </is>
      </c>
      <c r="B38" t="inlineStr">
        <is>
          <t>Net worth snapshot (RUB)</t>
        </is>
      </c>
      <c r="C38" t="inlineStr">
        <is>
          <t>Work/Finance</t>
        </is>
      </c>
      <c r="D38" t="inlineStr">
        <is>
          <t>Weekly</t>
        </is>
      </c>
      <c r="E38" t="inlineStr">
        <is>
          <t>RUB</t>
        </is>
      </c>
      <c r="F38" t="inlineStr">
        <is>
          <t>number</t>
        </is>
      </c>
      <c r="G38" t="inlineStr">
        <is>
          <t>No</t>
        </is>
      </c>
      <c r="H38" t="inlineStr">
        <is>
          <t>No</t>
        </is>
      </c>
      <c r="I38" t="n">
        <v>100000</v>
      </c>
      <c r="K38" t="n">
        <v>1</v>
      </c>
      <c r="L38" t="inlineStr">
        <is>
          <t>Optional weekly snapshot in Raw_Weekly.</t>
        </is>
      </c>
    </row>
    <row r="39" ht="15" customHeight="1">
      <c r="A39" t="inlineStr">
        <is>
          <t>DEALSPIKE_FLAG</t>
        </is>
      </c>
      <c r="B39" t="inlineStr">
        <is>
          <t>Deal spike flag</t>
        </is>
      </c>
      <c r="C39" t="inlineStr">
        <is>
          <t>Work/Finance</t>
        </is>
      </c>
      <c r="D39" t="inlineStr">
        <is>
          <t>Weekly</t>
        </is>
      </c>
      <c r="E39" t="inlineStr">
        <is>
          <t>boolean</t>
        </is>
      </c>
      <c r="F39" t="inlineStr">
        <is>
          <t>boolean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0,1</t>
        </is>
      </c>
      <c r="K39" t="n">
        <v>1</v>
      </c>
      <c r="L39" t="inlineStr">
        <is>
          <t>Optional; if 1 then Busy Week protocol applies even if hours&lt;60.</t>
        </is>
      </c>
    </row>
    <row r="40" ht="15" customHeight="1">
      <c r="A40" t="inlineStr">
        <is>
          <t>DEEP_WORK_HOURS</t>
        </is>
      </c>
      <c r="B40" t="inlineStr">
        <is>
          <t>Deep work hours</t>
        </is>
      </c>
      <c r="C40" t="inlineStr">
        <is>
          <t>Career</t>
        </is>
      </c>
      <c r="D40" t="inlineStr">
        <is>
          <t>Event</t>
        </is>
      </c>
      <c r="E40" t="inlineStr">
        <is>
          <t>hours</t>
        </is>
      </c>
      <c r="F40" t="inlineStr">
        <is>
          <t>number</t>
        </is>
      </c>
      <c r="G40" t="inlineStr">
        <is>
          <t>No</t>
        </is>
      </c>
      <c r="H40" t="inlineStr">
        <is>
          <t>No</t>
        </is>
      </c>
      <c r="I40" t="n">
        <v>0.5</v>
      </c>
      <c r="K40" t="n">
        <v>1</v>
      </c>
      <c r="L40" t="inlineStr">
        <is>
          <t>Future-vision metric; no 2026 target defined.</t>
        </is>
      </c>
    </row>
    <row r="41" ht="15" customHeight="1">
      <c r="A41" t="inlineStr">
        <is>
          <t>PARTNER_QUALITY_TIME</t>
        </is>
      </c>
      <c r="B41" t="inlineStr">
        <is>
          <t>Quality time with partner</t>
        </is>
      </c>
      <c r="C41" t="inlineStr">
        <is>
          <t>Dating</t>
        </is>
      </c>
      <c r="D41" t="inlineStr">
        <is>
          <t>Event</t>
        </is>
      </c>
      <c r="E41" t="inlineStr">
        <is>
          <t>count</t>
        </is>
      </c>
      <c r="F41" t="inlineStr">
        <is>
          <t>boolean</t>
        </is>
      </c>
      <c r="G41" t="inlineStr">
        <is>
          <t>Yes</t>
        </is>
      </c>
      <c r="H41" t="inlineStr">
        <is>
          <t>No</t>
        </is>
      </c>
      <c r="I41" t="n">
        <v>1</v>
      </c>
      <c r="K41" t="n">
        <v>1</v>
      </c>
      <c r="L41" t="inlineStr">
        <is>
          <t>Future-vision metric; optional once in relationship.</t>
        </is>
      </c>
    </row>
    <row r="42" ht="15" customHeight="1">
      <c r="A42" t="inlineStr">
        <is>
          <t>RELEVANT_CONTACT_APPROACH</t>
        </is>
      </c>
      <c r="B42" t="inlineStr">
        <is>
          <t>Relevant contact approached</t>
        </is>
      </c>
      <c r="C42" t="inlineStr">
        <is>
          <t>Career</t>
        </is>
      </c>
      <c r="D42" t="inlineStr">
        <is>
          <t>Event</t>
        </is>
      </c>
      <c r="E42" t="inlineStr">
        <is>
          <t>count</t>
        </is>
      </c>
      <c r="F42" t="inlineStr">
        <is>
          <t>boolean</t>
        </is>
      </c>
      <c r="G42" t="inlineStr">
        <is>
          <t>Yes</t>
        </is>
      </c>
      <c r="H42" t="inlineStr">
        <is>
          <t>No</t>
        </is>
      </c>
      <c r="I42" t="n">
        <v>1</v>
      </c>
      <c r="K42" t="n">
        <v>1</v>
      </c>
      <c r="L42" t="inlineStr">
        <is>
          <t>Future-vision metric; optional.</t>
        </is>
      </c>
    </row>
    <row r="43" ht="15" customHeight="1">
      <c r="A43" t="inlineStr">
        <is>
          <t>EXERCISE_RESULT_KG</t>
        </is>
      </c>
      <c r="B43" t="inlineStr">
        <is>
          <t>Exercise result (kg)</t>
        </is>
      </c>
      <c r="C43" t="inlineStr">
        <is>
          <t>Health</t>
        </is>
      </c>
      <c r="D43" t="inlineStr">
        <is>
          <t>Event</t>
        </is>
      </c>
      <c r="E43" t="inlineStr">
        <is>
          <t>kg</t>
        </is>
      </c>
      <c r="F43" t="inlineStr">
        <is>
          <t>number</t>
        </is>
      </c>
      <c r="G43" t="inlineStr">
        <is>
          <t>No</t>
        </is>
      </c>
      <c r="H43" t="inlineStr">
        <is>
          <t>No</t>
        </is>
      </c>
      <c r="I43" t="n">
        <v>2.5</v>
      </c>
      <c r="K43" t="n">
        <v>1</v>
      </c>
      <c r="L43" t="inlineStr">
        <is>
          <t>Future-vision metric; optional PR tracking.</t>
        </is>
      </c>
    </row>
    <row r="44" ht="15" customHeight="1">
      <c r="A44" t="inlineStr">
        <is>
          <t>EDUCATION_HOURS</t>
        </is>
      </c>
      <c r="B44" t="inlineStr">
        <is>
          <t>Education hours</t>
        </is>
      </c>
      <c r="C44" t="inlineStr">
        <is>
          <t>Education</t>
        </is>
      </c>
      <c r="D44" t="inlineStr">
        <is>
          <t>Event</t>
        </is>
      </c>
      <c r="E44" t="inlineStr">
        <is>
          <t>hours</t>
        </is>
      </c>
      <c r="F44" t="inlineStr">
        <is>
          <t>number</t>
        </is>
      </c>
      <c r="G44" t="inlineStr">
        <is>
          <t>No</t>
        </is>
      </c>
      <c r="H44" t="inlineStr">
        <is>
          <t>No</t>
        </is>
      </c>
      <c r="I44" t="n">
        <v>0.5</v>
      </c>
      <c r="J44" t="inlineStr">
        <is>
          <t>0.5,1,2,3</t>
        </is>
      </c>
      <c r="K44" t="n">
        <v>1</v>
      </c>
      <c r="L44" t="inlineStr">
        <is>
          <t>Learning and skill development time.</t>
        </is>
      </c>
    </row>
    <row r="45">
      <c r="A45" t="inlineStr">
        <is>
          <t>HOBBY_HOURS</t>
        </is>
      </c>
      <c r="B45" t="inlineStr">
        <is>
          <t>Hobby hours</t>
        </is>
      </c>
      <c r="C45" t="inlineStr">
        <is>
          <t>Adventure</t>
        </is>
      </c>
      <c r="D45" t="inlineStr">
        <is>
          <t>Event</t>
        </is>
      </c>
      <c r="E45" t="inlineStr">
        <is>
          <t>hours</t>
        </is>
      </c>
      <c r="F45" t="inlineStr">
        <is>
          <t>number</t>
        </is>
      </c>
      <c r="G45" t="inlineStr">
        <is>
          <t>No</t>
        </is>
      </c>
      <c r="H45" t="inlineStr">
        <is>
          <t>No</t>
        </is>
      </c>
      <c r="I45" t="n">
        <v>0.5</v>
      </c>
      <c r="J45" t="inlineStr">
        <is>
          <t>0.5,1,2,3</t>
        </is>
      </c>
      <c r="K45" t="n">
        <v>1</v>
      </c>
      <c r="L45" t="inlineStr">
        <is>
          <t>Time spent on hobbies.</t>
        </is>
      </c>
    </row>
    <row r="46">
      <c r="A46" t="inlineStr">
        <is>
          <t>INVESTMENT_COVERAGE</t>
        </is>
      </c>
      <c r="B46" t="inlineStr">
        <is>
          <t>Investment income coverage</t>
        </is>
      </c>
      <c r="C46" t="inlineStr">
        <is>
          <t>Finance</t>
        </is>
      </c>
      <c r="D46" t="inlineStr">
        <is>
          <t>Event</t>
        </is>
      </c>
      <c r="E46" t="inlineStr">
        <is>
          <t>percent</t>
        </is>
      </c>
      <c r="F46" t="inlineStr">
        <is>
          <t>number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25,50,75,100</t>
        </is>
      </c>
      <c r="K46" t="n">
        <v>1</v>
      </c>
      <c r="L46" t="inlineStr">
        <is>
          <t>Percent of expenses covered by investment income.</t>
        </is>
      </c>
    </row>
    <row r="47">
      <c r="A47" t="inlineStr">
        <is>
          <t>ACTIVITY_CANCELLED</t>
        </is>
      </c>
      <c r="B47" t="inlineStr">
        <is>
          <t>Planned activity cancelled</t>
        </is>
      </c>
      <c r="C47" t="inlineStr">
        <is>
          <t>Adventure</t>
        </is>
      </c>
      <c r="D47" t="inlineStr">
        <is>
          <t>Event</t>
        </is>
      </c>
      <c r="E47" t="inlineStr">
        <is>
          <t>count</t>
        </is>
      </c>
      <c r="F47" t="inlineStr">
        <is>
          <t>boolean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1</t>
        </is>
      </c>
      <c r="K47" t="n">
        <v>1</v>
      </c>
      <c r="L47" t="inlineStr">
        <is>
          <t>Used for monthly trigger when planned activities are canceled.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10" defaultRowHeight="16"/>
  <sheetData>
    <row r="1" ht="19" customHeight="1">
      <c r="A1" s="1" t="inlineStr">
        <is>
          <t>Goal Catalog (config-driven; edit targets here)</t>
        </is>
      </c>
    </row>
    <row r="2" ht="32" customHeight="1">
      <c r="A2" s="31" t="inlineStr">
        <is>
          <t>GoalID</t>
        </is>
      </c>
      <c r="B2" s="31" t="inlineStr">
        <is>
          <t>GoalName</t>
        </is>
      </c>
      <c r="C2" s="31" t="inlineStr">
        <is>
          <t>MetricCode</t>
        </is>
      </c>
      <c r="D2" s="31" t="inlineStr">
        <is>
          <t>TargetType</t>
        </is>
      </c>
      <c r="E2" s="31" t="inlineStr">
        <is>
          <t>TargetValue</t>
        </is>
      </c>
      <c r="F2" s="31" t="inlineStr">
        <is>
          <t>TargetUnit</t>
        </is>
      </c>
      <c r="G2" s="31" t="inlineStr">
        <is>
          <t>TimeScale</t>
        </is>
      </c>
      <c r="H2" s="31" t="inlineStr">
        <is>
          <t>StartDate</t>
        </is>
      </c>
      <c r="I2" s="31" t="inlineStr">
        <is>
          <t>EndDate</t>
        </is>
      </c>
      <c r="J2" s="31" t="inlineStr">
        <is>
          <t>Active?</t>
        </is>
      </c>
      <c r="K2" s="31" t="inlineStr">
        <is>
          <t>StopConditionType</t>
        </is>
      </c>
      <c r="L2" s="31" t="inlineStr">
        <is>
          <t>StopConditionValue</t>
        </is>
      </c>
      <c r="M2" s="31" t="inlineStr">
        <is>
          <t>Thresholds/Rules</t>
        </is>
      </c>
      <c r="N2" s="31" t="inlineStr">
        <is>
          <t>Notes</t>
        </is>
      </c>
    </row>
    <row r="3" ht="15" customHeight="1">
      <c r="A3" t="inlineStr">
        <is>
          <t>G_EXPENSES_Y</t>
        </is>
      </c>
      <c r="B3" t="inlineStr">
        <is>
          <t>Annual expenses cap (excl renovation)</t>
        </is>
      </c>
      <c r="C3" t="inlineStr">
        <is>
          <t>EXPENSES_PERSONAL_RUB</t>
        </is>
      </c>
      <c r="D3" t="inlineStr">
        <is>
          <t>max</t>
        </is>
      </c>
      <c r="E3">
        <f>Settings!$C$11</f>
        <v/>
      </c>
      <c r="F3" t="inlineStr">
        <is>
          <t>RUB</t>
        </is>
      </c>
      <c r="G3" t="inlineStr">
        <is>
          <t>yearly</t>
        </is>
      </c>
      <c r="H3">
        <f>Settings!$B$4</f>
        <v/>
      </c>
      <c r="I3">
        <f>Settings!$B$5</f>
        <v/>
      </c>
      <c r="J3" t="n">
        <v>1</v>
      </c>
      <c r="M3" t="inlineStr">
        <is>
          <t>Annual cap excludes Raw_Weekly ExcludedRenovation_RUB.</t>
        </is>
      </c>
      <c r="N3" t="inlineStr">
        <is>
          <t>Uses Weekly expenses rollup.</t>
        </is>
      </c>
    </row>
    <row r="4" ht="15" customHeight="1">
      <c r="A4" t="inlineStr">
        <is>
          <t>G_EXPENSES_W</t>
        </is>
      </c>
      <c r="B4" t="inlineStr">
        <is>
          <t>Weekly expenses cap</t>
        </is>
      </c>
      <c r="C4" t="inlineStr">
        <is>
          <t>EXPENSES_PERSONAL_RUB</t>
        </is>
      </c>
      <c r="D4" t="inlineStr">
        <is>
          <t>max</t>
        </is>
      </c>
      <c r="E4">
        <f>Settings!$C$12</f>
        <v/>
      </c>
      <c r="F4" t="inlineStr">
        <is>
          <t>RUB</t>
        </is>
      </c>
      <c r="G4" t="inlineStr">
        <is>
          <t>weekly</t>
        </is>
      </c>
      <c r="H4">
        <f>Settings!$B$4</f>
        <v/>
      </c>
      <c r="I4">
        <f>Settings!$B$5</f>
        <v/>
      </c>
      <c r="J4" t="n">
        <v>1</v>
      </c>
    </row>
    <row r="5" ht="15" customHeight="1">
      <c r="A5" t="inlineStr">
        <is>
          <t>G_WORKHOURS_W</t>
        </is>
      </c>
      <c r="B5" t="inlineStr">
        <is>
          <t>Work hours cap</t>
        </is>
      </c>
      <c r="C5" t="inlineStr">
        <is>
          <t>WORKHOURS_WEEKLY</t>
        </is>
      </c>
      <c r="D5" t="inlineStr">
        <is>
          <t>max</t>
        </is>
      </c>
      <c r="E5">
        <f>Settings!$C$13</f>
        <v/>
      </c>
      <c r="F5" t="inlineStr">
        <is>
          <t>hours</t>
        </is>
      </c>
      <c r="G5" t="inlineStr">
        <is>
          <t>weekly</t>
        </is>
      </c>
      <c r="H5">
        <f>Settings!$B$4</f>
        <v/>
      </c>
      <c r="I5">
        <f>Settings!$B$5</f>
        <v/>
      </c>
      <c r="J5" t="n">
        <v>1</v>
      </c>
      <c r="M5" t="inlineStr">
        <is>
          <t>Busy week trigger at Settings!$C$14 or DealSpikeFlag=1.</t>
        </is>
      </c>
    </row>
    <row r="6" ht="15" customHeight="1">
      <c r="A6" t="inlineStr">
        <is>
          <t>G_MINDFUL_W_MIN</t>
        </is>
      </c>
      <c r="B6" t="inlineStr">
        <is>
          <t>Mindfulness minutes/week</t>
        </is>
      </c>
      <c r="C6" t="inlineStr">
        <is>
          <t>MINDFULNESS_MIN</t>
        </is>
      </c>
      <c r="D6" t="inlineStr">
        <is>
          <t>min</t>
        </is>
      </c>
      <c r="E6">
        <f>Settings!$C$15</f>
        <v/>
      </c>
      <c r="F6" t="inlineStr">
        <is>
          <t>min</t>
        </is>
      </c>
      <c r="G6" t="inlineStr">
        <is>
          <t>weekly</t>
        </is>
      </c>
      <c r="H6">
        <f>Settings!$B$4</f>
        <v/>
      </c>
      <c r="I6">
        <f>Settings!$B$5</f>
        <v/>
      </c>
      <c r="J6" t="n">
        <v>1</v>
      </c>
      <c r="M6" t="inlineStr">
        <is>
          <t>Also track days/week &gt;=4.</t>
        </is>
      </c>
    </row>
    <row r="7" ht="15" customHeight="1">
      <c r="A7" t="inlineStr">
        <is>
          <t>G_MINDFUL_W_DAYS</t>
        </is>
      </c>
      <c r="B7" t="inlineStr">
        <is>
          <t>Mindfulness days/week</t>
        </is>
      </c>
      <c r="C7" t="inlineStr">
        <is>
          <t>MINDFULNESS_MIN</t>
        </is>
      </c>
      <c r="D7" t="inlineStr">
        <is>
          <t>min_days</t>
        </is>
      </c>
      <c r="E7" t="inlineStr">
        <is>
          <t>4</t>
        </is>
      </c>
      <c r="F7" t="inlineStr">
        <is>
          <t>days</t>
        </is>
      </c>
      <c r="G7" t="inlineStr">
        <is>
          <t>weekly</t>
        </is>
      </c>
      <c r="H7">
        <f>Settings!$B$4</f>
        <v/>
      </c>
      <c r="I7">
        <f>Settings!$B$5</f>
        <v/>
      </c>
      <c r="J7" t="n">
        <v>1</v>
      </c>
      <c r="M7" t="inlineStr">
        <is>
          <t>Day counts as &gt;=1 minute.</t>
        </is>
      </c>
    </row>
    <row r="8" ht="15" customHeight="1">
      <c r="A8" t="inlineStr">
        <is>
          <t>G_POSTURE_D</t>
        </is>
      </c>
      <c r="B8" t="inlineStr">
        <is>
          <t>Posture daily session</t>
        </is>
      </c>
      <c r="C8" t="inlineStr">
        <is>
          <t>POSTURE_SESSION</t>
        </is>
      </c>
      <c r="D8" t="inlineStr">
        <is>
          <t>min</t>
        </is>
      </c>
      <c r="E8">
        <f>Settings!$C$17</f>
        <v/>
      </c>
      <c r="F8" t="inlineStr">
        <is>
          <t>sessions</t>
        </is>
      </c>
      <c r="G8" t="inlineStr">
        <is>
          <t>daily</t>
        </is>
      </c>
      <c r="H8">
        <f>Settings!$B$4</f>
        <v/>
      </c>
      <c r="I8">
        <f>Settings!$B$5</f>
        <v/>
      </c>
      <c r="J8" t="n">
        <v>1</v>
      </c>
      <c r="M8" t="inlineStr">
        <is>
          <t>1 session/day (each session = 15 min per plan).</t>
        </is>
      </c>
    </row>
    <row r="9" ht="15" customHeight="1">
      <c r="A9" t="inlineStr">
        <is>
          <t>G_SLEEP_AVG</t>
        </is>
      </c>
      <c r="B9" t="inlineStr">
        <is>
          <t>Sleep average</t>
        </is>
      </c>
      <c r="C9" t="inlineStr">
        <is>
          <t>SLEEP_HOURS</t>
        </is>
      </c>
      <c r="D9" t="inlineStr">
        <is>
          <t>avg_min</t>
        </is>
      </c>
      <c r="E9">
        <f>Settings!$C$18</f>
        <v/>
      </c>
      <c r="F9" t="inlineStr">
        <is>
          <t>hours/day</t>
        </is>
      </c>
      <c r="G9" t="inlineStr">
        <is>
          <t>yearly</t>
        </is>
      </c>
      <c r="H9">
        <f>Settings!$B$4</f>
        <v/>
      </c>
      <c r="I9">
        <f>Settings!$B$5</f>
        <v/>
      </c>
      <c r="J9" t="n">
        <v>1</v>
      </c>
      <c r="M9" t="inlineStr">
        <is>
          <t>Uses occurred_at date; set occurred_at to morning for each sleep entry.</t>
        </is>
      </c>
    </row>
    <row r="10" ht="15" customHeight="1">
      <c r="A10" t="inlineStr">
        <is>
          <t>G_ALCOHOL_AVG</t>
        </is>
      </c>
      <c r="B10" t="inlineStr">
        <is>
          <t>Alcohol average cap</t>
        </is>
      </c>
      <c r="C10" t="inlineStr">
        <is>
          <t>ALCOHOL</t>
        </is>
      </c>
      <c r="D10" t="inlineStr">
        <is>
          <t>avg_max</t>
        </is>
      </c>
      <c r="E10">
        <f>Settings!$C$19</f>
        <v/>
      </c>
      <c r="F10" t="inlineStr">
        <is>
          <t>std drinks/day</t>
        </is>
      </c>
      <c r="G10" t="inlineStr">
        <is>
          <t>yearly</t>
        </is>
      </c>
      <c r="H10">
        <f>Settings!$B$4</f>
        <v/>
      </c>
      <c r="I10">
        <f>Settings!$B$5</f>
        <v/>
      </c>
      <c r="J10" t="n">
        <v>1</v>
      </c>
      <c r="M10" t="inlineStr">
        <is>
          <t>Uses implied cap line: avg*days elapsed.</t>
        </is>
      </c>
    </row>
    <row r="11" ht="15" customHeight="1">
      <c r="A11" t="inlineStr">
        <is>
          <t>G_CIGS_Y</t>
        </is>
      </c>
      <c r="B11" t="inlineStr">
        <is>
          <t>Cigarettes annual cap</t>
        </is>
      </c>
      <c r="C11" t="inlineStr">
        <is>
          <t>CIGARETTES</t>
        </is>
      </c>
      <c r="D11" t="inlineStr">
        <is>
          <t>max</t>
        </is>
      </c>
      <c r="E11">
        <f>Settings!$C$20</f>
        <v/>
      </c>
      <c r="F11" t="inlineStr">
        <is>
          <t>cigs</t>
        </is>
      </c>
      <c r="G11" t="inlineStr">
        <is>
          <t>yearly</t>
        </is>
      </c>
      <c r="H11">
        <f>Settings!$B$4</f>
        <v/>
      </c>
      <c r="I11">
        <f>Settings!$B$5</f>
        <v/>
      </c>
      <c r="J11" t="n">
        <v>1</v>
      </c>
    </row>
    <row r="12" ht="15" customHeight="1">
      <c r="A12" t="inlineStr">
        <is>
          <t>G_UNHEALTHY_Y</t>
        </is>
      </c>
      <c r="B12" t="inlineStr">
        <is>
          <t>Unhealthy meals/snacks annual cap</t>
        </is>
      </c>
      <c r="C12" t="inlineStr">
        <is>
          <t>UNHEALTHY_MEAL</t>
        </is>
      </c>
      <c r="D12" t="inlineStr">
        <is>
          <t>max</t>
        </is>
      </c>
      <c r="E12">
        <f>Settings!$C$21</f>
        <v/>
      </c>
      <c r="F12" t="inlineStr">
        <is>
          <t>count</t>
        </is>
      </c>
      <c r="G12" t="inlineStr">
        <is>
          <t>yearly</t>
        </is>
      </c>
      <c r="H12">
        <f>Settings!$B$4</f>
        <v/>
      </c>
      <c r="I12">
        <f>Settings!$B$5</f>
        <v/>
      </c>
      <c r="J12" t="n">
        <v>1</v>
      </c>
    </row>
    <row r="13" ht="15" customHeight="1">
      <c r="A13" t="inlineStr">
        <is>
          <t>G_WORKOUTSKIP_Y</t>
        </is>
      </c>
      <c r="B13" t="inlineStr">
        <is>
          <t>Workout skips annual cap</t>
        </is>
      </c>
      <c r="C13" t="inlineStr">
        <is>
          <t>WORKOUT_SKIPPED</t>
        </is>
      </c>
      <c r="D13" t="inlineStr">
        <is>
          <t>max</t>
        </is>
      </c>
      <c r="E13">
        <f>Settings!$C$22</f>
        <v/>
      </c>
      <c r="F13" t="inlineStr">
        <is>
          <t>count</t>
        </is>
      </c>
      <c r="G13" t="inlineStr">
        <is>
          <t>yearly</t>
        </is>
      </c>
      <c r="H13">
        <f>Settings!$B$4</f>
        <v/>
      </c>
      <c r="I13">
        <f>Settings!$B$5</f>
        <v/>
      </c>
      <c r="J13" t="n">
        <v>1</v>
      </c>
    </row>
    <row r="14" ht="15" customHeight="1">
      <c r="A14" t="inlineStr">
        <is>
          <t>G_LBW_GAIN</t>
        </is>
      </c>
      <c r="B14" t="inlineStr">
        <is>
          <t>Lean body weight gain</t>
        </is>
      </c>
      <c r="C14" t="inlineStr">
        <is>
          <t>LEAN_BODY_WEIGHT_KG</t>
        </is>
      </c>
      <c r="D14" t="inlineStr">
        <is>
          <t>delta_min</t>
        </is>
      </c>
      <c r="E14">
        <f>Settings!$C$23</f>
        <v/>
      </c>
      <c r="F14" t="inlineStr">
        <is>
          <t>kg</t>
        </is>
      </c>
      <c r="G14" t="inlineStr">
        <is>
          <t>yearly</t>
        </is>
      </c>
      <c r="H14">
        <f>Settings!$B$4</f>
        <v/>
      </c>
      <c r="I14">
        <f>Settings!$B$5</f>
        <v/>
      </c>
      <c r="J14" t="n">
        <v>1</v>
      </c>
      <c r="M14" t="inlineStr">
        <is>
          <t>Delta = latest - baseline (first entry in year).</t>
        </is>
      </c>
    </row>
    <row r="15" ht="15" customHeight="1">
      <c r="A15" t="inlineStr">
        <is>
          <t>G_BOOKS_Y</t>
        </is>
      </c>
      <c r="B15" t="inlineStr">
        <is>
          <t>Books read</t>
        </is>
      </c>
      <c r="C15" t="inlineStr">
        <is>
          <t>BOOK_FINISHED</t>
        </is>
      </c>
      <c r="D15" t="inlineStr">
        <is>
          <t>min</t>
        </is>
      </c>
      <c r="E15">
        <f>Settings!$C$24</f>
        <v/>
      </c>
      <c r="F15" t="inlineStr">
        <is>
          <t>books</t>
        </is>
      </c>
      <c r="G15" t="inlineStr">
        <is>
          <t>yearly</t>
        </is>
      </c>
      <c r="H15">
        <f>Settings!$B$4</f>
        <v/>
      </c>
      <c r="I15">
        <f>Settings!$B$5</f>
        <v/>
      </c>
      <c r="J15" t="n">
        <v>1</v>
      </c>
    </row>
    <row r="16" ht="15" customHeight="1">
      <c r="A16" t="inlineStr">
        <is>
          <t>G_TRAINING_Y</t>
        </is>
      </c>
      <c r="B16" t="inlineStr">
        <is>
          <t>Training hours</t>
        </is>
      </c>
      <c r="C16" t="inlineStr">
        <is>
          <t>TRAINING_MIN</t>
        </is>
      </c>
      <c r="D16" t="inlineStr">
        <is>
          <t>min</t>
        </is>
      </c>
      <c r="E16">
        <f>Settings!$C$25</f>
        <v/>
      </c>
      <c r="F16" t="inlineStr">
        <is>
          <t>hours</t>
        </is>
      </c>
      <c r="G16" t="inlineStr">
        <is>
          <t>yearly</t>
        </is>
      </c>
      <c r="H16">
        <f>Settings!$B$4</f>
        <v/>
      </c>
      <c r="I16">
        <f>Settings!$B$5</f>
        <v/>
      </c>
      <c r="J16" t="n">
        <v>1</v>
      </c>
      <c r="M16" t="inlineStr">
        <is>
          <t>Stored in minutes in Raw_Events; rollups convert to hours. Includes DICTION_TRAINING_MIN.</t>
        </is>
      </c>
    </row>
    <row r="17" ht="15" customHeight="1">
      <c r="A17" t="inlineStr">
        <is>
          <t>G_PROCONTACTS_Y</t>
        </is>
      </c>
      <c r="B17" t="inlineStr">
        <is>
          <t>New professional contacts</t>
        </is>
      </c>
      <c r="C17" t="inlineStr">
        <is>
          <t>PRO_CONTACT_ADDED</t>
        </is>
      </c>
      <c r="D17" t="inlineStr">
        <is>
          <t>min</t>
        </is>
      </c>
      <c r="E17">
        <f>Settings!$C$26</f>
        <v/>
      </c>
      <c r="F17" t="inlineStr">
        <is>
          <t>people</t>
        </is>
      </c>
      <c r="G17" t="inlineStr">
        <is>
          <t>yearly</t>
        </is>
      </c>
      <c r="H17">
        <f>Settings!$B$4</f>
        <v/>
      </c>
      <c r="I17">
        <f>Settings!$B$5</f>
        <v/>
      </c>
      <c r="J17" t="n">
        <v>1</v>
      </c>
      <c r="M17" t="inlineStr">
        <is>
          <t>Count distinct people with &gt;=1 PRO_CONTACT_ADDED.</t>
        </is>
      </c>
    </row>
    <row r="18" ht="15" customHeight="1">
      <c r="A18" t="inlineStr">
        <is>
          <t>G_VP_PRES_Y</t>
        </is>
      </c>
      <c r="B18" t="inlineStr">
        <is>
          <t>Initiatives presented to VP</t>
        </is>
      </c>
      <c r="C18" t="inlineStr">
        <is>
          <t>INITIATIVE_PRESENTED_VP</t>
        </is>
      </c>
      <c r="D18" t="inlineStr">
        <is>
          <t>min</t>
        </is>
      </c>
      <c r="E18">
        <f>Settings!$C$27</f>
        <v/>
      </c>
      <c r="F18" t="inlineStr">
        <is>
          <t>count</t>
        </is>
      </c>
      <c r="G18" t="inlineStr">
        <is>
          <t>yearly</t>
        </is>
      </c>
      <c r="H18">
        <f>Settings!$B$4</f>
        <v/>
      </c>
      <c r="I18">
        <f>Settings!$B$5</f>
        <v/>
      </c>
      <c r="J18" t="n">
        <v>1</v>
      </c>
    </row>
    <row r="19" ht="15" customHeight="1">
      <c r="A19" t="inlineStr">
        <is>
          <t>G_ORIG_W</t>
        </is>
      </c>
      <c r="B19" t="inlineStr">
        <is>
          <t>Origination actions/week</t>
        </is>
      </c>
      <c r="C19" t="inlineStr">
        <is>
          <t>ORIGINATION_ACTION</t>
        </is>
      </c>
      <c r="D19" t="inlineStr">
        <is>
          <t>min</t>
        </is>
      </c>
      <c r="E19" t="inlineStr">
        <is>
          <t>1</t>
        </is>
      </c>
      <c r="F19" t="inlineStr">
        <is>
          <t>count</t>
        </is>
      </c>
      <c r="G19" t="inlineStr">
        <is>
          <t>weekly</t>
        </is>
      </c>
      <c r="H19">
        <f>Settings!$B$4</f>
        <v/>
      </c>
      <c r="I19">
        <f>Settings!$B$5</f>
        <v/>
      </c>
      <c r="J19" t="n">
        <v>1</v>
      </c>
      <c r="M19" t="inlineStr">
        <is>
          <t>Treat STAKEHOLDER_CHAT / MEMO_WRITTEN / VP_PRESENT as origination too (see Weekly_Agg).</t>
        </is>
      </c>
    </row>
    <row r="20" ht="15" customHeight="1">
      <c r="A20" t="inlineStr">
        <is>
          <t>G_FRIENDS_2P</t>
        </is>
      </c>
      <c r="B20" t="inlineStr">
        <is>
          <t>People met 2+ times (social)</t>
        </is>
      </c>
      <c r="C20" t="inlineStr">
        <is>
          <t>SOCIAL_MEET</t>
        </is>
      </c>
      <c r="D20" t="inlineStr">
        <is>
          <t>min_unique_threshold</t>
        </is>
      </c>
      <c r="E20">
        <f>Settings!$C$35</f>
        <v/>
      </c>
      <c r="F20" t="inlineStr">
        <is>
          <t>people</t>
        </is>
      </c>
      <c r="G20" t="inlineStr">
        <is>
          <t>yearly</t>
        </is>
      </c>
      <c r="H20">
        <f>Settings!$B$4</f>
        <v/>
      </c>
      <c r="I20">
        <f>Settings!$B$5</f>
        <v/>
      </c>
      <c r="J20" t="n">
        <v>1</v>
      </c>
      <c r="M20" t="inlineStr">
        <is>
          <t>Computed from People.Meetings2026&gt;=2 for Type=Social.</t>
        </is>
      </c>
    </row>
    <row r="21" ht="15" customHeight="1">
      <c r="A21" t="inlineStr">
        <is>
          <t>G_FRIENDS_5P</t>
        </is>
      </c>
      <c r="B21" t="inlineStr">
        <is>
          <t>People met 5+ times (social)</t>
        </is>
      </c>
      <c r="C21" t="inlineStr">
        <is>
          <t>SOCIAL_MEET</t>
        </is>
      </c>
      <c r="D21" t="inlineStr">
        <is>
          <t>min_unique_threshold</t>
        </is>
      </c>
      <c r="E21">
        <f>Settings!$C$36</f>
        <v/>
      </c>
      <c r="F21" t="inlineStr">
        <is>
          <t>people</t>
        </is>
      </c>
      <c r="G21" t="inlineStr">
        <is>
          <t>yearly</t>
        </is>
      </c>
      <c r="H21">
        <f>Settings!$B$4</f>
        <v/>
      </c>
      <c r="I21">
        <f>Settings!$B$5</f>
        <v/>
      </c>
      <c r="J21" t="n">
        <v>1</v>
      </c>
      <c r="M21" t="inlineStr">
        <is>
          <t>Computed from People.Meetings2026&gt;=5 for Type=Social.</t>
        </is>
      </c>
    </row>
    <row r="22" ht="15" customHeight="1">
      <c r="A22" t="inlineStr">
        <is>
          <t>G_DATES_M</t>
        </is>
      </c>
      <c r="B22" t="inlineStr">
        <is>
          <t>New dates/month</t>
        </is>
      </c>
      <c r="C22" t="inlineStr">
        <is>
          <t>DATE</t>
        </is>
      </c>
      <c r="D22" t="inlineStr">
        <is>
          <t>min</t>
        </is>
      </c>
      <c r="E22">
        <f>Settings!$C$37</f>
        <v/>
      </c>
      <c r="F22" t="inlineStr">
        <is>
          <t>dates</t>
        </is>
      </c>
      <c r="G22" t="inlineStr">
        <is>
          <t>monthly</t>
        </is>
      </c>
      <c r="H22">
        <f>DATE(2026,6,1)</f>
        <v/>
      </c>
      <c r="I22">
        <f>Settings!$B$5</f>
        <v/>
      </c>
      <c r="J22" t="n">
        <v>1</v>
      </c>
      <c r="K22" t="inlineStr">
        <is>
          <t>stop_on_relationship_start</t>
        </is>
      </c>
      <c r="L22" t="inlineStr">
        <is>
          <t>RELATIONSHIP_START</t>
        </is>
      </c>
      <c r="M22" t="inlineStr">
        <is>
          <t>Monthly target applies from June 2026; 0 target before. Stop when a RELATIONSHIP_START is logged (assumption).</t>
        </is>
      </c>
    </row>
    <row r="23" ht="15" customHeight="1">
      <c r="A23" t="inlineStr">
        <is>
          <t>G_SEXPARTNERS_Y</t>
        </is>
      </c>
      <c r="B23" t="inlineStr">
        <is>
          <t>New sex partners</t>
        </is>
      </c>
      <c r="C23" t="inlineStr">
        <is>
          <t>SEX</t>
        </is>
      </c>
      <c r="D23" t="inlineStr">
        <is>
          <t>min_unique</t>
        </is>
      </c>
      <c r="E23">
        <f>Settings!$C$38</f>
        <v/>
      </c>
      <c r="F23" t="inlineStr">
        <is>
          <t>people</t>
        </is>
      </c>
      <c r="G23" t="inlineStr">
        <is>
          <t>yearly</t>
        </is>
      </c>
      <c r="H23">
        <f>Settings!$B$4</f>
        <v/>
      </c>
      <c r="I23">
        <f>Settings!$B$5</f>
        <v/>
      </c>
      <c r="J23" t="n">
        <v>1</v>
      </c>
      <c r="K23" t="inlineStr">
        <is>
          <t>stop_on_relationship_start</t>
        </is>
      </c>
      <c r="L23" t="inlineStr">
        <is>
          <t>RELATIONSHIP_START</t>
        </is>
      </c>
      <c r="M23" t="inlineStr">
        <is>
          <t>Stop when RELATIONSHIP_START logged (assumption).</t>
        </is>
      </c>
    </row>
    <row r="24" ht="15" customHeight="1">
      <c r="A24" t="inlineStr">
        <is>
          <t>G_IDEAS_W</t>
        </is>
      </c>
      <c r="B24" t="inlineStr">
        <is>
          <t>Ideas/week</t>
        </is>
      </c>
      <c r="C24" t="inlineStr">
        <is>
          <t>IDEA</t>
        </is>
      </c>
      <c r="D24" t="inlineStr">
        <is>
          <t>min</t>
        </is>
      </c>
      <c r="E24">
        <f>Settings!$C$34</f>
        <v/>
      </c>
      <c r="F24" t="inlineStr">
        <is>
          <t>ideas</t>
        </is>
      </c>
      <c r="G24" t="inlineStr">
        <is>
          <t>weekly</t>
        </is>
      </c>
      <c r="H24">
        <f>Settings!$B$4</f>
        <v/>
      </c>
      <c r="I24">
        <f>Settings!$B$5</f>
        <v/>
      </c>
      <c r="J24" t="n">
        <v>1</v>
      </c>
      <c r="M24" t="inlineStr">
        <is>
          <t>Busy-week floor applies.</t>
        </is>
      </c>
    </row>
    <row r="25" ht="15" customHeight="1">
      <c r="A25" t="inlineStr">
        <is>
          <t>G_IDEAS_Y</t>
        </is>
      </c>
      <c r="B25" t="inlineStr">
        <is>
          <t>Ideas annual</t>
        </is>
      </c>
      <c r="C25" t="inlineStr">
        <is>
          <t>IDEA</t>
        </is>
      </c>
      <c r="D25" t="inlineStr">
        <is>
          <t>min</t>
        </is>
      </c>
      <c r="E25">
        <f>Settings!$C$33</f>
        <v/>
      </c>
      <c r="F25" t="inlineStr">
        <is>
          <t>ideas</t>
        </is>
      </c>
      <c r="G25" t="inlineStr">
        <is>
          <t>yearly</t>
        </is>
      </c>
      <c r="H25">
        <f>Settings!$B$4</f>
        <v/>
      </c>
      <c r="I25">
        <f>Settings!$B$5</f>
        <v/>
      </c>
      <c r="J25" t="n">
        <v>1</v>
      </c>
    </row>
    <row r="26" ht="15" customHeight="1">
      <c r="A26" t="inlineStr">
        <is>
          <t>G_IDEA_REVIEW_W</t>
        </is>
      </c>
      <c r="B26" t="inlineStr">
        <is>
          <t>Star top idea/week</t>
        </is>
      </c>
      <c r="C26" t="inlineStr">
        <is>
          <t>IDEA_STAR</t>
        </is>
      </c>
      <c r="D26" t="inlineStr">
        <is>
          <t>min</t>
        </is>
      </c>
      <c r="E26" t="inlineStr">
        <is>
          <t>1</t>
        </is>
      </c>
      <c r="F26" t="inlineStr">
        <is>
          <t>count</t>
        </is>
      </c>
      <c r="G26" t="inlineStr">
        <is>
          <t>weekly</t>
        </is>
      </c>
      <c r="H26">
        <f>Settings!$B$4</f>
        <v/>
      </c>
      <c r="I26">
        <f>Settings!$B$5</f>
        <v/>
      </c>
      <c r="J26" t="n">
        <v>1</v>
      </c>
      <c r="M26" t="inlineStr">
        <is>
          <t>Protocol: weekly 20-minute review.</t>
        </is>
      </c>
    </row>
    <row r="27" ht="15" customHeight="1">
      <c r="A27" t="inlineStr">
        <is>
          <t>G_NEWACT_Y</t>
        </is>
      </c>
      <c r="B27" t="inlineStr">
        <is>
          <t>New activities tried</t>
        </is>
      </c>
      <c r="C27" t="inlineStr">
        <is>
          <t>NEW_ACTIVITY</t>
        </is>
      </c>
      <c r="D27" t="inlineStr">
        <is>
          <t>min</t>
        </is>
      </c>
      <c r="E27">
        <f>Settings!$C$31</f>
        <v/>
      </c>
      <c r="F27" t="inlineStr">
        <is>
          <t>count</t>
        </is>
      </c>
      <c r="G27" t="inlineStr">
        <is>
          <t>yearly</t>
        </is>
      </c>
      <c r="H27">
        <f>Settings!$B$4</f>
        <v/>
      </c>
      <c r="I27">
        <f>Settings!$B$5</f>
        <v/>
      </c>
      <c r="J27" t="n">
        <v>1</v>
      </c>
      <c r="K27" t="inlineStr">
        <is>
          <t>paused_during_busy_week</t>
        </is>
      </c>
      <c r="L27" t="inlineStr">
        <is>
          <t>BusyWeek</t>
        </is>
      </c>
      <c r="M27" t="inlineStr">
        <is>
          <t>Paused in busy weeks per protocol.</t>
        </is>
      </c>
    </row>
    <row r="28" ht="15" customHeight="1">
      <c r="A28" t="inlineStr">
        <is>
          <t>G_TRAVEL_Y</t>
        </is>
      </c>
      <c r="B28" t="inlineStr">
        <is>
          <t>Travel nights</t>
        </is>
      </c>
      <c r="C28" t="inlineStr">
        <is>
          <t>TRAVEL_NIGHT</t>
        </is>
      </c>
      <c r="D28" t="inlineStr">
        <is>
          <t>min</t>
        </is>
      </c>
      <c r="E28">
        <f>Settings!$C$32</f>
        <v/>
      </c>
      <c r="F28" t="inlineStr">
        <is>
          <t>nights</t>
        </is>
      </c>
      <c r="G28" t="inlineStr">
        <is>
          <t>yearly</t>
        </is>
      </c>
      <c r="H28">
        <f>Settings!$B$4</f>
        <v/>
      </c>
      <c r="I28">
        <f>Settings!$B$5</f>
        <v/>
      </c>
      <c r="J28" t="n">
        <v>1</v>
      </c>
    </row>
    <row r="29" ht="15" customHeight="1">
      <c r="A29" t="inlineStr">
        <is>
          <t>G_ANCHOR_Q</t>
        </is>
      </c>
      <c r="B29" t="inlineStr">
        <is>
          <t>Anchor hobby sessions/quarter (cooking+pistol)</t>
        </is>
      </c>
      <c r="C29" t="inlineStr">
        <is>
          <t>COOKING_SESSION</t>
        </is>
      </c>
      <c r="D29" t="inlineStr">
        <is>
          <t>min_combo</t>
        </is>
      </c>
      <c r="E29" t="inlineStr">
        <is>
          <t>12</t>
        </is>
      </c>
      <c r="F29" t="inlineStr">
        <is>
          <t>sessions</t>
        </is>
      </c>
      <c r="G29" t="inlineStr">
        <is>
          <t>quarterly</t>
        </is>
      </c>
      <c r="H29">
        <f>Settings!$B$4</f>
        <v/>
      </c>
      <c r="I29">
        <f>Settings!$B$5</f>
        <v/>
      </c>
      <c r="J29" t="n">
        <v>1</v>
      </c>
      <c r="M29" t="inlineStr">
        <is>
          <t>Counts COOKING_SESSION + PISTOL_SHOOTING_SESSION within quarter.</t>
        </is>
      </c>
      <c r="N29" t="inlineStr">
        <is>
          <t>Milestone-driven.</t>
        </is>
      </c>
    </row>
    <row r="30">
      <c r="A30" t="inlineStr">
        <is>
          <t>G_NETWORTH_Y</t>
        </is>
      </c>
      <c r="B30" t="inlineStr">
        <is>
          <t>Net worth year-end target</t>
        </is>
      </c>
      <c r="C30" t="inlineStr">
        <is>
          <t>NETWORTH_RUB</t>
        </is>
      </c>
      <c r="D30" t="inlineStr">
        <is>
          <t>min</t>
        </is>
      </c>
      <c r="E30">
        <f>Settings!$C$16</f>
        <v/>
      </c>
      <c r="F30" t="inlineStr">
        <is>
          <t>RUB</t>
        </is>
      </c>
      <c r="G30" t="inlineStr">
        <is>
          <t>yearly</t>
        </is>
      </c>
      <c r="H30">
        <f>Settings!$B$4</f>
        <v/>
      </c>
      <c r="I30">
        <f>Settings!$B$5</f>
        <v/>
      </c>
      <c r="J30" t="n">
        <v>1</v>
      </c>
      <c r="M30" t="inlineStr">
        <is>
          <t>Uses latest NetWorth_RUB snapshot in Raw_Weekly.</t>
        </is>
      </c>
    </row>
    <row r="31">
      <c r="A31" t="inlineStr">
        <is>
          <t>G_RELATIONSHIP_3M</t>
        </is>
      </c>
      <c r="B31" t="inlineStr">
        <is>
          <t>New romantic relationship duration &gt;3 months</t>
        </is>
      </c>
      <c r="C31" t="inlineStr">
        <is>
          <t>RELATIONSHIP_START</t>
        </is>
      </c>
      <c r="D31" t="inlineStr">
        <is>
          <t>min_duration_days</t>
        </is>
      </c>
      <c r="E31" t="n">
        <v>90</v>
      </c>
      <c r="F31" t="inlineStr">
        <is>
          <t>days</t>
        </is>
      </c>
      <c r="G31" t="inlineStr">
        <is>
          <t>yearly</t>
        </is>
      </c>
      <c r="H31">
        <f>Settings!$B$4</f>
        <v/>
      </c>
      <c r="I31">
        <f>Settings!$B$5</f>
        <v/>
      </c>
      <c r="J31" t="n">
        <v>1</v>
      </c>
      <c r="M31" t="inlineStr">
        <is>
          <t>Derived: duration from latest RELATIONSHIP_START to RELATIONSHIP_END (or as-of) in Dashboard.</t>
        </is>
      </c>
    </row>
    <row r="3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J20" sqref="J20"/>
    </sheetView>
  </sheetViews>
  <sheetFormatPr baseColWidth="10" defaultRowHeight="16"/>
  <sheetData>
    <row r="1" ht="19" customHeight="1">
      <c r="A1" s="1" t="inlineStr">
        <is>
          <t>Tile Catalog (app home screen configuration)</t>
        </is>
      </c>
    </row>
    <row r="2" ht="32" customHeight="1">
      <c r="A2" s="31" t="inlineStr">
        <is>
          <t>TileID</t>
        </is>
      </c>
      <c r="B2" s="31" t="inlineStr">
        <is>
          <t>DisplayName</t>
        </is>
      </c>
      <c r="C2" s="31" t="inlineStr">
        <is>
          <t>MetricCode</t>
        </is>
      </c>
      <c r="D2" s="31" t="inlineStr">
        <is>
          <t>WidgetType</t>
        </is>
      </c>
      <c r="E2" s="31" t="inlineStr">
        <is>
          <t>DefaultValue</t>
        </is>
      </c>
      <c r="F2" s="31" t="inlineStr">
        <is>
          <t>Step</t>
        </is>
      </c>
      <c r="G2" s="31" t="inlineStr">
        <is>
          <t>Unit</t>
        </is>
      </c>
      <c r="H2" s="31" t="inlineStr">
        <is>
          <t>NeedsPerson?</t>
        </is>
      </c>
      <c r="I2" s="31" t="inlineStr">
        <is>
          <t>NeedsTemplate?</t>
        </is>
      </c>
      <c r="J2" s="31" t="inlineStr">
        <is>
          <t>Presets</t>
        </is>
      </c>
      <c r="K2" s="31" t="inlineStr">
        <is>
          <t>Order</t>
        </is>
      </c>
      <c r="L2" s="31" t="inlineStr">
        <is>
          <t>Active?</t>
        </is>
      </c>
      <c r="M2" s="31" t="inlineStr">
        <is>
          <t>Notes</t>
        </is>
      </c>
    </row>
    <row r="3" ht="15" customHeight="1">
      <c r="A3" t="inlineStr">
        <is>
          <t>T_IDEA</t>
        </is>
      </c>
      <c r="B3" t="inlineStr">
        <is>
          <t>Idea +1</t>
        </is>
      </c>
      <c r="C3" t="inlineStr">
        <is>
          <t>IDEA</t>
        </is>
      </c>
      <c r="D3" t="inlineStr">
        <is>
          <t>stepper</t>
        </is>
      </c>
      <c r="E3" t="n">
        <v>1</v>
      </c>
      <c r="F3" t="n">
        <v>1</v>
      </c>
      <c r="G3" t="inlineStr">
        <is>
          <t>count</t>
        </is>
      </c>
      <c r="H3" t="inlineStr">
        <is>
          <t>No</t>
        </is>
      </c>
      <c r="I3" t="inlineStr">
        <is>
          <t>No</t>
        </is>
      </c>
      <c r="J3" t="inlineStr">
        <is>
          <t>1,2,3,5,10</t>
        </is>
      </c>
      <c r="K3" t="n">
        <v>1</v>
      </c>
      <c r="L3" t="n">
        <v>1</v>
      </c>
      <c r="M3" t="inlineStr">
        <is>
          <t>Primary capture tile; supports adding multiple at once.</t>
        </is>
      </c>
    </row>
    <row r="4" ht="15" customHeight="1">
      <c r="A4" t="inlineStr">
        <is>
          <t>T_IDEA_STAR</t>
        </is>
      </c>
      <c r="B4" t="inlineStr">
        <is>
          <t>Star top idea</t>
        </is>
      </c>
      <c r="C4" t="inlineStr">
        <is>
          <t>IDEA_STAR</t>
        </is>
      </c>
      <c r="D4" t="inlineStr">
        <is>
          <t>toggle</t>
        </is>
      </c>
      <c r="E4" t="n">
        <v>1</v>
      </c>
      <c r="F4" t="n">
        <v>1</v>
      </c>
      <c r="G4" t="inlineStr">
        <is>
          <t>count</t>
        </is>
      </c>
      <c r="H4" t="inlineStr">
        <is>
          <t>No</t>
        </is>
      </c>
      <c r="I4" t="inlineStr">
        <is>
          <t>No</t>
        </is>
      </c>
      <c r="K4" t="n">
        <v>2</v>
      </c>
      <c r="L4" t="n">
        <v>1</v>
      </c>
      <c r="M4" t="inlineStr">
        <is>
          <t>Weekly review habit.</t>
        </is>
      </c>
    </row>
    <row r="5" ht="15" customHeight="1">
      <c r="A5" t="inlineStr">
        <is>
          <t>T_CIGS</t>
        </is>
      </c>
      <c r="B5" t="inlineStr">
        <is>
          <t>Cigarettes</t>
        </is>
      </c>
      <c r="C5" t="inlineStr">
        <is>
          <t>CIGARETTES</t>
        </is>
      </c>
      <c r="D5" t="inlineStr">
        <is>
          <t>stepper</t>
        </is>
      </c>
      <c r="E5" t="n">
        <v>1</v>
      </c>
      <c r="F5" t="n">
        <v>1</v>
      </c>
      <c r="G5" t="inlineStr">
        <is>
          <t>cigs</t>
        </is>
      </c>
      <c r="H5" t="inlineStr">
        <is>
          <t>No</t>
        </is>
      </c>
      <c r="I5" t="inlineStr">
        <is>
          <t>No</t>
        </is>
      </c>
      <c r="J5" t="inlineStr">
        <is>
          <t>1,2,3,5</t>
        </is>
      </c>
      <c r="K5" t="n">
        <v>3</v>
      </c>
      <c r="L5" t="n">
        <v>1</v>
      </c>
    </row>
    <row r="6" ht="15" customHeight="1">
      <c r="A6" t="inlineStr">
        <is>
          <t>T_ALCOHOL</t>
        </is>
      </c>
      <c r="B6" t="inlineStr">
        <is>
          <t>Alcohol (template)</t>
        </is>
      </c>
      <c r="C6" t="inlineStr">
        <is>
          <t>ALCOHOL</t>
        </is>
      </c>
      <c r="D6" t="inlineStr">
        <is>
          <t>template_stepper</t>
        </is>
      </c>
      <c r="E6" t="n">
        <v>1</v>
      </c>
      <c r="F6" t="n">
        <v>0.5</v>
      </c>
      <c r="G6" t="inlineStr">
        <is>
          <t>servings</t>
        </is>
      </c>
      <c r="H6" t="inlineStr">
        <is>
          <t>No</t>
        </is>
      </c>
      <c r="I6" t="inlineStr">
        <is>
          <t>Yes</t>
        </is>
      </c>
      <c r="K6" t="n">
        <v>4</v>
      </c>
      <c r="L6" t="n">
        <v>1</v>
      </c>
      <c r="M6" t="inlineStr">
        <is>
          <t>Choose DrinkTemplate then servings; StdDrinks computed in sheet.</t>
        </is>
      </c>
    </row>
    <row r="7" ht="15" customHeight="1">
      <c r="A7" t="inlineStr">
        <is>
          <t>T_MINDFUL</t>
        </is>
      </c>
      <c r="B7" t="inlineStr">
        <is>
          <t>Mindfulness</t>
        </is>
      </c>
      <c r="C7" t="inlineStr">
        <is>
          <t>MINDFULNESS_MIN</t>
        </is>
      </c>
      <c r="D7" t="inlineStr">
        <is>
          <t>minute_picker</t>
        </is>
      </c>
      <c r="E7" t="n">
        <v>10</v>
      </c>
      <c r="F7" t="n">
        <v>5</v>
      </c>
      <c r="G7" t="inlineStr">
        <is>
          <t>min</t>
        </is>
      </c>
      <c r="H7" t="inlineStr">
        <is>
          <t>No</t>
        </is>
      </c>
      <c r="I7" t="inlineStr">
        <is>
          <t>No</t>
        </is>
      </c>
      <c r="J7" t="inlineStr">
        <is>
          <t>5,10,15,20,30</t>
        </is>
      </c>
      <c r="K7" t="n">
        <v>5</v>
      </c>
      <c r="L7" t="n">
        <v>1</v>
      </c>
      <c r="M7" t="inlineStr">
        <is>
          <t>Can be automated from Apple Health if available.</t>
        </is>
      </c>
    </row>
    <row r="8" ht="15" customHeight="1">
      <c r="A8" t="inlineStr">
        <is>
          <t>T_POSTURE</t>
        </is>
      </c>
      <c r="B8" t="inlineStr">
        <is>
          <t>Posture (done)</t>
        </is>
      </c>
      <c r="C8" t="inlineStr">
        <is>
          <t>POSTURE_SESSION</t>
        </is>
      </c>
      <c r="D8" t="inlineStr">
        <is>
          <t>toggle</t>
        </is>
      </c>
      <c r="E8" t="n">
        <v>1</v>
      </c>
      <c r="F8" t="n">
        <v>1</v>
      </c>
      <c r="G8" t="inlineStr">
        <is>
          <t>session</t>
        </is>
      </c>
      <c r="H8" t="inlineStr">
        <is>
          <t>No</t>
        </is>
      </c>
      <c r="I8" t="inlineStr">
        <is>
          <t>No</t>
        </is>
      </c>
      <c r="J8" t="inlineStr">
        <is>
          <t>1</t>
        </is>
      </c>
      <c r="K8" t="n">
        <v>6</v>
      </c>
      <c r="L8" t="n">
        <v>1</v>
      </c>
    </row>
    <row r="9" ht="15" customHeight="1">
      <c r="A9" t="inlineStr">
        <is>
          <t>T_SLEEP</t>
        </is>
      </c>
      <c r="B9" t="inlineStr">
        <is>
          <t>Sleep</t>
        </is>
      </c>
      <c r="C9" t="inlineStr">
        <is>
          <t>SLEEP_HOURS</t>
        </is>
      </c>
      <c r="D9" t="inlineStr">
        <is>
          <t>duration_picker</t>
        </is>
      </c>
      <c r="E9" t="n">
        <v>7.5</v>
      </c>
      <c r="F9" t="n">
        <v>0.25</v>
      </c>
      <c r="G9" t="inlineStr">
        <is>
          <t>hours</t>
        </is>
      </c>
      <c r="H9" t="inlineStr">
        <is>
          <t>No</t>
        </is>
      </c>
      <c r="I9" t="inlineStr">
        <is>
          <t>No</t>
        </is>
      </c>
      <c r="J9" t="inlineStr">
        <is>
          <t>6,7,7.5,8,9</t>
        </is>
      </c>
      <c r="K9" t="n">
        <v>7</v>
      </c>
      <c r="L9" t="n">
        <v>1</v>
      </c>
      <c r="M9" t="inlineStr">
        <is>
          <t>Prefer automation from Apple Health; fallback manual.</t>
        </is>
      </c>
    </row>
    <row r="10" ht="15" customHeight="1">
      <c r="A10" t="inlineStr">
        <is>
          <t>T_WORKOUT</t>
        </is>
      </c>
      <c r="B10" t="inlineStr">
        <is>
          <t>Workout done</t>
        </is>
      </c>
      <c r="C10" t="inlineStr">
        <is>
          <t>WORKOUT</t>
        </is>
      </c>
      <c r="D10" t="inlineStr">
        <is>
          <t>toggle</t>
        </is>
      </c>
      <c r="E10" t="n">
        <v>1</v>
      </c>
      <c r="F10" t="n">
        <v>1</v>
      </c>
      <c r="G10" t="inlineStr">
        <is>
          <t>count</t>
        </is>
      </c>
      <c r="H10" t="inlineStr">
        <is>
          <t>No</t>
        </is>
      </c>
      <c r="I10" t="inlineStr">
        <is>
          <t>No</t>
        </is>
      </c>
      <c r="K10" t="n">
        <v>8</v>
      </c>
      <c r="L10" t="n">
        <v>1</v>
      </c>
      <c r="M10" t="inlineStr">
        <is>
          <t>Optional.</t>
        </is>
      </c>
    </row>
    <row r="11" ht="15" customHeight="1">
      <c r="A11" t="inlineStr">
        <is>
          <t>T_WORKOUT_SKIP</t>
        </is>
      </c>
      <c r="B11" t="inlineStr">
        <is>
          <t>Workout skipped</t>
        </is>
      </c>
      <c r="C11" t="inlineStr">
        <is>
          <t>WORKOUT_SKIPPED</t>
        </is>
      </c>
      <c r="D11" t="inlineStr">
        <is>
          <t>toggle</t>
        </is>
      </c>
      <c r="E11" t="n">
        <v>1</v>
      </c>
      <c r="F11" t="n">
        <v>1</v>
      </c>
      <c r="G11" t="inlineStr">
        <is>
          <t>count</t>
        </is>
      </c>
      <c r="H11" t="inlineStr">
        <is>
          <t>No</t>
        </is>
      </c>
      <c r="I11" t="inlineStr">
        <is>
          <t>No</t>
        </is>
      </c>
      <c r="K11" t="n">
        <v>9</v>
      </c>
      <c r="L11" t="n">
        <v>1</v>
      </c>
    </row>
    <row r="12" ht="15" customHeight="1">
      <c r="A12" t="inlineStr">
        <is>
          <t>T_UNHEALTHY</t>
        </is>
      </c>
      <c r="B12" t="inlineStr">
        <is>
          <t>Unhealthy meal/snack</t>
        </is>
      </c>
      <c r="C12" t="inlineStr">
        <is>
          <t>UNHEALTHY_MEAL</t>
        </is>
      </c>
      <c r="D12" t="inlineStr">
        <is>
          <t>toggle</t>
        </is>
      </c>
      <c r="E12" t="n">
        <v>1</v>
      </c>
      <c r="F12" t="n">
        <v>1</v>
      </c>
      <c r="G12" t="inlineStr">
        <is>
          <t>count</t>
        </is>
      </c>
      <c r="H12" t="inlineStr">
        <is>
          <t>No</t>
        </is>
      </c>
      <c r="I12" t="inlineStr">
        <is>
          <t>No</t>
        </is>
      </c>
      <c r="K12" t="n">
        <v>10</v>
      </c>
      <c r="L12" t="n">
        <v>1</v>
      </c>
    </row>
    <row r="13" ht="15" customHeight="1">
      <c r="A13" t="inlineStr">
        <is>
          <t>T_SOCIAL</t>
        </is>
      </c>
      <c r="B13" t="inlineStr">
        <is>
          <t>Social meet</t>
        </is>
      </c>
      <c r="C13" t="inlineStr">
        <is>
          <t>SOCIAL_MEET</t>
        </is>
      </c>
      <c r="D13" t="inlineStr">
        <is>
          <t>person_toggle</t>
        </is>
      </c>
      <c r="E13" t="n">
        <v>1</v>
      </c>
      <c r="F13" t="n">
        <v>1</v>
      </c>
      <c r="G13" t="inlineStr">
        <is>
          <t>count</t>
        </is>
      </c>
      <c r="H13" t="inlineStr">
        <is>
          <t>Yes</t>
        </is>
      </c>
      <c r="I13" t="inlineStr">
        <is>
          <t>No</t>
        </is>
      </c>
      <c r="J13" t="inlineStr">
        <is>
          <t>favorites</t>
        </is>
      </c>
      <c r="K13" t="n">
        <v>11</v>
      </c>
      <c r="L13" t="n">
        <v>1</v>
      </c>
      <c r="M13" t="inlineStr">
        <is>
          <t>Person picker required.</t>
        </is>
      </c>
    </row>
    <row r="14" ht="15" customHeight="1">
      <c r="A14" t="inlineStr">
        <is>
          <t>T_COMMUNITY</t>
        </is>
      </c>
      <c r="B14" t="inlineStr">
        <is>
          <t>Community session</t>
        </is>
      </c>
      <c r="C14" t="inlineStr">
        <is>
          <t>COMMUNITY_SESSION</t>
        </is>
      </c>
      <c r="D14" t="inlineStr">
        <is>
          <t>tag_toggle</t>
        </is>
      </c>
      <c r="E14" t="n">
        <v>1</v>
      </c>
      <c r="F14" t="n">
        <v>1</v>
      </c>
      <c r="G14" t="inlineStr">
        <is>
          <t>count</t>
        </is>
      </c>
      <c r="H14" t="inlineStr">
        <is>
          <t>No</t>
        </is>
      </c>
      <c r="I14" t="inlineStr">
        <is>
          <t>No</t>
        </is>
      </c>
      <c r="J14" t="inlineStr">
        <is>
          <t>community:&lt;name&gt;</t>
        </is>
      </c>
      <c r="K14" t="n">
        <v>12</v>
      </c>
      <c r="L14" t="n">
        <v>1</v>
      </c>
      <c r="M14" t="inlineStr">
        <is>
          <t>Tag should include community:&lt;name&gt; for reporting.</t>
        </is>
      </c>
    </row>
    <row r="15" ht="15" customHeight="1">
      <c r="A15" t="inlineStr">
        <is>
          <t>T_HOST</t>
        </is>
      </c>
      <c r="B15" t="inlineStr">
        <is>
          <t>Hosted event</t>
        </is>
      </c>
      <c r="C15" t="inlineStr">
        <is>
          <t>HOSTED_EVENT</t>
        </is>
      </c>
      <c r="D15" t="inlineStr">
        <is>
          <t>toggle</t>
        </is>
      </c>
      <c r="E15" t="n">
        <v>1</v>
      </c>
      <c r="F15" t="n">
        <v>1</v>
      </c>
      <c r="G15" t="inlineStr">
        <is>
          <t>count</t>
        </is>
      </c>
      <c r="H15" t="inlineStr">
        <is>
          <t>No</t>
        </is>
      </c>
      <c r="I15" t="inlineStr">
        <is>
          <t>No</t>
        </is>
      </c>
      <c r="K15" t="n">
        <v>13</v>
      </c>
      <c r="L15" t="n">
        <v>1</v>
      </c>
    </row>
    <row r="16" ht="15" customHeight="1">
      <c r="A16" t="inlineStr">
        <is>
          <t>T_DATE</t>
        </is>
      </c>
      <c r="B16" t="inlineStr">
        <is>
          <t>Date</t>
        </is>
      </c>
      <c r="C16" t="inlineStr">
        <is>
          <t>DATE</t>
        </is>
      </c>
      <c r="D16" t="inlineStr">
        <is>
          <t>person_toggle</t>
        </is>
      </c>
      <c r="E16" t="n">
        <v>1</v>
      </c>
      <c r="F16" t="n">
        <v>1</v>
      </c>
      <c r="G16" t="inlineStr">
        <is>
          <t>count</t>
        </is>
      </c>
      <c r="H16" t="inlineStr">
        <is>
          <t>Yes</t>
        </is>
      </c>
      <c r="I16" t="inlineStr">
        <is>
          <t>No</t>
        </is>
      </c>
      <c r="K16" t="n">
        <v>14</v>
      </c>
      <c r="L16" t="n">
        <v>1</v>
      </c>
    </row>
    <row r="17" ht="15" customHeight="1">
      <c r="A17" t="inlineStr">
        <is>
          <t>T_SEX</t>
        </is>
      </c>
      <c r="B17" t="inlineStr">
        <is>
          <t>Sex</t>
        </is>
      </c>
      <c r="C17" t="inlineStr">
        <is>
          <t>SEX</t>
        </is>
      </c>
      <c r="D17" t="inlineStr">
        <is>
          <t>person_toggle</t>
        </is>
      </c>
      <c r="E17" t="n">
        <v>1</v>
      </c>
      <c r="F17" t="n">
        <v>1</v>
      </c>
      <c r="G17" t="inlineStr">
        <is>
          <t>count</t>
        </is>
      </c>
      <c r="H17" t="inlineStr">
        <is>
          <t>Yes</t>
        </is>
      </c>
      <c r="I17" t="inlineStr">
        <is>
          <t>No</t>
        </is>
      </c>
      <c r="K17" t="n">
        <v>15</v>
      </c>
      <c r="L17" t="n">
        <v>1</v>
      </c>
    </row>
    <row r="18" ht="15" customHeight="1">
      <c r="A18" t="inlineStr">
        <is>
          <t>T_REL_START</t>
        </is>
      </c>
      <c r="B18" t="inlineStr">
        <is>
          <t>Relationship start</t>
        </is>
      </c>
      <c r="C18" t="inlineStr">
        <is>
          <t>RELATIONSHIP_START</t>
        </is>
      </c>
      <c r="D18" t="inlineStr">
        <is>
          <t>person_toggle</t>
        </is>
      </c>
      <c r="E18" t="n">
        <v>1</v>
      </c>
      <c r="F18" t="n">
        <v>1</v>
      </c>
      <c r="G18" t="inlineStr">
        <is>
          <t>count</t>
        </is>
      </c>
      <c r="H18" t="inlineStr">
        <is>
          <t>Yes</t>
        </is>
      </c>
      <c r="I18" t="inlineStr">
        <is>
          <t>No</t>
        </is>
      </c>
      <c r="K18" t="n">
        <v>16</v>
      </c>
      <c r="L18" t="n">
        <v>1</v>
      </c>
      <c r="M18" t="inlineStr">
        <is>
          <t>Stop condition for dating goals (assumption).</t>
        </is>
      </c>
    </row>
    <row r="19" ht="15" customHeight="1">
      <c r="A19" t="inlineStr">
        <is>
          <t>T_REL_END</t>
        </is>
      </c>
      <c r="B19" t="inlineStr">
        <is>
          <t>Relationship end</t>
        </is>
      </c>
      <c r="C19" t="inlineStr">
        <is>
          <t>RELATIONSHIP_END</t>
        </is>
      </c>
      <c r="D19" t="inlineStr">
        <is>
          <t>person_toggle</t>
        </is>
      </c>
      <c r="E19" t="n">
        <v>1</v>
      </c>
      <c r="F19" t="n">
        <v>1</v>
      </c>
      <c r="G19" t="inlineStr">
        <is>
          <t>count</t>
        </is>
      </c>
      <c r="H19" t="inlineStr">
        <is>
          <t>Yes</t>
        </is>
      </c>
      <c r="I19" t="inlineStr">
        <is>
          <t>No</t>
        </is>
      </c>
      <c r="K19" t="n">
        <v>17</v>
      </c>
      <c r="L19" t="n">
        <v>1</v>
      </c>
    </row>
    <row r="20" ht="15" customHeight="1">
      <c r="A20" t="inlineStr">
        <is>
          <t>T_TRAIN</t>
        </is>
      </c>
      <c r="B20" t="inlineStr">
        <is>
          <t>Training session</t>
        </is>
      </c>
      <c r="C20" t="inlineStr">
        <is>
          <t>TRAINING_MIN</t>
        </is>
      </c>
      <c r="D20" t="inlineStr">
        <is>
          <t>minute_picker</t>
        </is>
      </c>
      <c r="E20" t="n">
        <v>60</v>
      </c>
      <c r="F20" t="n">
        <v>15</v>
      </c>
      <c r="G20" t="inlineStr">
        <is>
          <t>min</t>
        </is>
      </c>
      <c r="H20" t="inlineStr">
        <is>
          <t>No</t>
        </is>
      </c>
      <c r="I20" t="inlineStr">
        <is>
          <t>No</t>
        </is>
      </c>
      <c r="J20" t="inlineStr">
        <is>
          <t>15,30,45,60,90</t>
        </is>
      </c>
      <c r="K20" t="n">
        <v>18</v>
      </c>
      <c r="L20" t="n">
        <v>1</v>
      </c>
    </row>
    <row r="21" ht="15" customHeight="1">
      <c r="A21" t="inlineStr">
        <is>
          <t>T_VOICE</t>
        </is>
      </c>
      <c r="B21" t="inlineStr">
        <is>
          <t>Voice sample</t>
        </is>
      </c>
      <c r="C21" t="inlineStr">
        <is>
          <t>VOICE_SAMPLE</t>
        </is>
      </c>
      <c r="D21" t="inlineStr">
        <is>
          <t>toggle</t>
        </is>
      </c>
      <c r="E21" t="n">
        <v>1</v>
      </c>
      <c r="F21" t="n">
        <v>1</v>
      </c>
      <c r="G21" t="inlineStr">
        <is>
          <t>count</t>
        </is>
      </c>
      <c r="H21" t="inlineStr">
        <is>
          <t>No</t>
        </is>
      </c>
      <c r="I21" t="inlineStr">
        <is>
          <t>No</t>
        </is>
      </c>
      <c r="K21" t="n">
        <v>19</v>
      </c>
      <c r="L21" t="n">
        <v>1</v>
      </c>
    </row>
    <row r="22" ht="15" customHeight="1">
      <c r="A22" t="inlineStr">
        <is>
          <t>T_BOOK</t>
        </is>
      </c>
      <c r="B22" t="inlineStr">
        <is>
          <t>Book finished</t>
        </is>
      </c>
      <c r="C22" t="inlineStr">
        <is>
          <t>BOOK_FINISHED</t>
        </is>
      </c>
      <c r="D22" t="inlineStr">
        <is>
          <t>toggle</t>
        </is>
      </c>
      <c r="E22" t="n">
        <v>1</v>
      </c>
      <c r="F22" t="n">
        <v>1</v>
      </c>
      <c r="G22" t="inlineStr">
        <is>
          <t>count</t>
        </is>
      </c>
      <c r="H22" t="inlineStr">
        <is>
          <t>No</t>
        </is>
      </c>
      <c r="I22" t="inlineStr">
        <is>
          <t>No</t>
        </is>
      </c>
      <c r="K22" t="n">
        <v>20</v>
      </c>
      <c r="L22" t="n">
        <v>1</v>
      </c>
    </row>
    <row r="23" ht="15" customHeight="1">
      <c r="A23" t="inlineStr">
        <is>
          <t>T_ORIG</t>
        </is>
      </c>
      <c r="B23" t="inlineStr">
        <is>
          <t>Origination action</t>
        </is>
      </c>
      <c r="C23" t="inlineStr">
        <is>
          <t>ORIGINATION_ACTION</t>
        </is>
      </c>
      <c r="D23" t="inlineStr">
        <is>
          <t>toggle</t>
        </is>
      </c>
      <c r="E23" t="n">
        <v>1</v>
      </c>
      <c r="F23" t="n">
        <v>1</v>
      </c>
      <c r="G23" t="inlineStr">
        <is>
          <t>count</t>
        </is>
      </c>
      <c r="H23" t="inlineStr">
        <is>
          <t>No</t>
        </is>
      </c>
      <c r="I23" t="inlineStr">
        <is>
          <t>No</t>
        </is>
      </c>
      <c r="J23" t="inlineStr">
        <is>
          <t>stakeholder_chat,memo,pitch</t>
        </is>
      </c>
      <c r="K23" t="n">
        <v>21</v>
      </c>
      <c r="L23" t="n">
        <v>1</v>
      </c>
      <c r="M23" t="inlineStr">
        <is>
          <t>Use tags for subtype.</t>
        </is>
      </c>
    </row>
    <row r="24" ht="15" customHeight="1">
      <c r="A24" t="inlineStr">
        <is>
          <t>T_PRO_CONTACT</t>
        </is>
      </c>
      <c r="B24" t="inlineStr">
        <is>
          <t>Add pro contact</t>
        </is>
      </c>
      <c r="C24" t="inlineStr">
        <is>
          <t>PRO_CONTACT_ADDED</t>
        </is>
      </c>
      <c r="D24" t="inlineStr">
        <is>
          <t>person_toggle</t>
        </is>
      </c>
      <c r="E24" t="n">
        <v>1</v>
      </c>
      <c r="F24" t="n">
        <v>1</v>
      </c>
      <c r="G24" t="inlineStr">
        <is>
          <t>count</t>
        </is>
      </c>
      <c r="H24" t="inlineStr">
        <is>
          <t>Yes</t>
        </is>
      </c>
      <c r="I24" t="inlineStr">
        <is>
          <t>No</t>
        </is>
      </c>
      <c r="K24" t="n">
        <v>22</v>
      </c>
      <c r="L24" t="n">
        <v>1</v>
      </c>
    </row>
    <row r="25" ht="15" customHeight="1">
      <c r="A25" t="inlineStr">
        <is>
          <t>T_STAKE_CHAT</t>
        </is>
      </c>
      <c r="B25" t="inlineStr">
        <is>
          <t>Stakeholder chat</t>
        </is>
      </c>
      <c r="C25" t="inlineStr">
        <is>
          <t>STAKEHOLDER_CHAT</t>
        </is>
      </c>
      <c r="D25" t="inlineStr">
        <is>
          <t>person_toggle</t>
        </is>
      </c>
      <c r="E25" t="n">
        <v>1</v>
      </c>
      <c r="F25" t="n">
        <v>1</v>
      </c>
      <c r="G25" t="inlineStr">
        <is>
          <t>count</t>
        </is>
      </c>
      <c r="H25" t="inlineStr">
        <is>
          <t>Yes</t>
        </is>
      </c>
      <c r="I25" t="inlineStr">
        <is>
          <t>No</t>
        </is>
      </c>
      <c r="K25" t="n">
        <v>23</v>
      </c>
      <c r="L25" t="n">
        <v>1</v>
      </c>
      <c r="M25" t="inlineStr">
        <is>
          <t>Optional detail beyond ORIGINATION_ACTION.</t>
        </is>
      </c>
    </row>
    <row r="26" ht="15" customHeight="1">
      <c r="A26" t="inlineStr">
        <is>
          <t>T_MEMO</t>
        </is>
      </c>
      <c r="B26" t="inlineStr">
        <is>
          <t>Memo written</t>
        </is>
      </c>
      <c r="C26" t="inlineStr">
        <is>
          <t>MEMO_WRITTEN</t>
        </is>
      </c>
      <c r="D26" t="inlineStr">
        <is>
          <t>toggle</t>
        </is>
      </c>
      <c r="E26" t="n">
        <v>1</v>
      </c>
      <c r="F26" t="n">
        <v>1</v>
      </c>
      <c r="G26" t="inlineStr">
        <is>
          <t>count</t>
        </is>
      </c>
      <c r="H26" t="inlineStr">
        <is>
          <t>No</t>
        </is>
      </c>
      <c r="I26" t="inlineStr">
        <is>
          <t>No</t>
        </is>
      </c>
      <c r="K26" t="n">
        <v>24</v>
      </c>
      <c r="L26" t="n">
        <v>1</v>
      </c>
    </row>
    <row r="27" ht="15" customHeight="1">
      <c r="A27" t="inlineStr">
        <is>
          <t>T_VP_PITCH</t>
        </is>
      </c>
      <c r="B27" t="inlineStr">
        <is>
          <t>Presented to VP</t>
        </is>
      </c>
      <c r="C27" t="inlineStr">
        <is>
          <t>INITIATIVE_PRESENTED_VP</t>
        </is>
      </c>
      <c r="D27" t="inlineStr">
        <is>
          <t>toggle</t>
        </is>
      </c>
      <c r="E27" t="n">
        <v>1</v>
      </c>
      <c r="F27" t="n">
        <v>1</v>
      </c>
      <c r="G27" t="inlineStr">
        <is>
          <t>count</t>
        </is>
      </c>
      <c r="H27" t="inlineStr">
        <is>
          <t>No</t>
        </is>
      </c>
      <c r="I27" t="inlineStr">
        <is>
          <t>No</t>
        </is>
      </c>
      <c r="K27" t="n">
        <v>25</v>
      </c>
      <c r="L27" t="n">
        <v>1</v>
      </c>
    </row>
    <row r="28" ht="15" customHeight="1">
      <c r="A28" t="inlineStr">
        <is>
          <t>T_INIT_IDEA</t>
        </is>
      </c>
      <c r="B28" t="inlineStr">
        <is>
          <t>Initiative idea</t>
        </is>
      </c>
      <c r="C28" t="inlineStr">
        <is>
          <t>INITIATIVE_IDEA</t>
        </is>
      </c>
      <c r="D28" t="inlineStr">
        <is>
          <t>toggle</t>
        </is>
      </c>
      <c r="E28" t="n">
        <v>1</v>
      </c>
      <c r="F28" t="n">
        <v>1</v>
      </c>
      <c r="G28" t="inlineStr">
        <is>
          <t>count</t>
        </is>
      </c>
      <c r="H28" t="inlineStr">
        <is>
          <t>No</t>
        </is>
      </c>
      <c r="I28" t="inlineStr">
        <is>
          <t>No</t>
        </is>
      </c>
      <c r="K28" t="n">
        <v>26</v>
      </c>
      <c r="L28" t="n">
        <v>1</v>
      </c>
    </row>
    <row r="29" ht="15" customHeight="1">
      <c r="A29" t="inlineStr">
        <is>
          <t>T_NEW_ACT</t>
        </is>
      </c>
      <c r="B29" t="inlineStr">
        <is>
          <t>New activity tried</t>
        </is>
      </c>
      <c r="C29" t="inlineStr">
        <is>
          <t>NEW_ACTIVITY</t>
        </is>
      </c>
      <c r="D29" t="inlineStr">
        <is>
          <t>toggle</t>
        </is>
      </c>
      <c r="E29" t="n">
        <v>1</v>
      </c>
      <c r="F29" t="n">
        <v>1</v>
      </c>
      <c r="G29" t="inlineStr">
        <is>
          <t>count</t>
        </is>
      </c>
      <c r="H29" t="inlineStr">
        <is>
          <t>No</t>
        </is>
      </c>
      <c r="I29" t="inlineStr">
        <is>
          <t>No</t>
        </is>
      </c>
      <c r="K29" t="n">
        <v>27</v>
      </c>
      <c r="L29" t="n">
        <v>1</v>
      </c>
    </row>
    <row r="30" ht="15" customHeight="1">
      <c r="A30" t="inlineStr">
        <is>
          <t>T_TRAVEL</t>
        </is>
      </c>
      <c r="B30" t="inlineStr">
        <is>
          <t>Travel night(s)</t>
        </is>
      </c>
      <c r="C30" t="inlineStr">
        <is>
          <t>TRAVEL_NIGHT</t>
        </is>
      </c>
      <c r="D30" t="inlineStr">
        <is>
          <t>stepper</t>
        </is>
      </c>
      <c r="E30" t="n">
        <v>1</v>
      </c>
      <c r="F30" t="n">
        <v>1</v>
      </c>
      <c r="G30" t="inlineStr">
        <is>
          <t>nights</t>
        </is>
      </c>
      <c r="H30" t="inlineStr">
        <is>
          <t>No</t>
        </is>
      </c>
      <c r="I30" t="inlineStr">
        <is>
          <t>No</t>
        </is>
      </c>
      <c r="J30" t="inlineStr">
        <is>
          <t>1,2,3,5</t>
        </is>
      </c>
      <c r="K30" t="n">
        <v>28</v>
      </c>
      <c r="L30" t="n">
        <v>1</v>
      </c>
    </row>
    <row r="31" ht="15" customHeight="1">
      <c r="A31" t="inlineStr">
        <is>
          <t>T_COOK</t>
        </is>
      </c>
      <c r="B31" t="inlineStr">
        <is>
          <t>Cooking session</t>
        </is>
      </c>
      <c r="C31" t="inlineStr">
        <is>
          <t>COOKING_SESSION</t>
        </is>
      </c>
      <c r="D31" t="inlineStr">
        <is>
          <t>toggle</t>
        </is>
      </c>
      <c r="E31" t="n">
        <v>1</v>
      </c>
      <c r="F31" t="n">
        <v>1</v>
      </c>
      <c r="G31" t="inlineStr">
        <is>
          <t>count</t>
        </is>
      </c>
      <c r="H31" t="inlineStr">
        <is>
          <t>No</t>
        </is>
      </c>
      <c r="I31" t="inlineStr">
        <is>
          <t>No</t>
        </is>
      </c>
      <c r="K31" t="n">
        <v>29</v>
      </c>
      <c r="L31" t="n">
        <v>1</v>
      </c>
    </row>
    <row r="32" ht="15" customHeight="1">
      <c r="A32" t="inlineStr">
        <is>
          <t>T_PISTOL</t>
        </is>
      </c>
      <c r="B32" t="inlineStr">
        <is>
          <t>Pistol shooting</t>
        </is>
      </c>
      <c r="C32" t="inlineStr">
        <is>
          <t>PISTOL_SHOOTING_SESSION</t>
        </is>
      </c>
      <c r="D32" t="inlineStr">
        <is>
          <t>toggle</t>
        </is>
      </c>
      <c r="E32" t="n">
        <v>1</v>
      </c>
      <c r="F32" t="n">
        <v>1</v>
      </c>
      <c r="G32" t="inlineStr">
        <is>
          <t>count</t>
        </is>
      </c>
      <c r="H32" t="inlineStr">
        <is>
          <t>No</t>
        </is>
      </c>
      <c r="I32" t="inlineStr">
        <is>
          <t>No</t>
        </is>
      </c>
      <c r="K32" t="n">
        <v>30</v>
      </c>
      <c r="L32" t="n">
        <v>1</v>
      </c>
    </row>
    <row r="33">
      <c r="A33" t="inlineStr">
        <is>
          <t>T_DEEP_WORK</t>
        </is>
      </c>
      <c r="B33" t="inlineStr">
        <is>
          <t>Deep work hours</t>
        </is>
      </c>
      <c r="C33" t="inlineStr">
        <is>
          <t>DEEP_WORK_HOURS</t>
        </is>
      </c>
      <c r="D33" t="inlineStr">
        <is>
          <t>duration_picker</t>
        </is>
      </c>
      <c r="E33" t="n">
        <v>1</v>
      </c>
      <c r="F33" t="n">
        <v>0.5</v>
      </c>
      <c r="G33" t="inlineStr">
        <is>
          <t>hours</t>
        </is>
      </c>
      <c r="H33" t="inlineStr">
        <is>
          <t>No</t>
        </is>
      </c>
      <c r="I33" t="inlineStr">
        <is>
          <t>No</t>
        </is>
      </c>
      <c r="J33" t="inlineStr">
        <is>
          <t>0.5,1,2,3</t>
        </is>
      </c>
      <c r="K33" t="n">
        <v>31</v>
      </c>
      <c r="L33" t="n">
        <v>1</v>
      </c>
      <c r="M33" t="inlineStr">
        <is>
          <t>Log focused deep work time.</t>
        </is>
      </c>
    </row>
    <row r="34">
      <c r="A34" t="inlineStr">
        <is>
          <t>T_EDU_HOURS</t>
        </is>
      </c>
      <c r="B34" t="inlineStr">
        <is>
          <t>Education hours</t>
        </is>
      </c>
      <c r="C34" t="inlineStr">
        <is>
          <t>EDUCATION_HOURS</t>
        </is>
      </c>
      <c r="D34" t="inlineStr">
        <is>
          <t>duration_picker</t>
        </is>
      </c>
      <c r="E34" t="n">
        <v>1</v>
      </c>
      <c r="F34" t="n">
        <v>0.5</v>
      </c>
      <c r="G34" t="inlineStr">
        <is>
          <t>hours</t>
        </is>
      </c>
      <c r="H34" t="inlineStr">
        <is>
          <t>No</t>
        </is>
      </c>
      <c r="I34" t="inlineStr">
        <is>
          <t>No</t>
        </is>
      </c>
      <c r="J34" t="inlineStr">
        <is>
          <t>0.5,1,2,3</t>
        </is>
      </c>
      <c r="K34" t="n">
        <v>32</v>
      </c>
      <c r="L34" t="n">
        <v>1</v>
      </c>
      <c r="M34" t="inlineStr">
        <is>
          <t>Learning / study time.</t>
        </is>
      </c>
    </row>
    <row r="35">
      <c r="A35" t="inlineStr">
        <is>
          <t>T_PARTNER_QT</t>
        </is>
      </c>
      <c r="B35" t="inlineStr">
        <is>
          <t>Partner quality time</t>
        </is>
      </c>
      <c r="C35" t="inlineStr">
        <is>
          <t>PARTNER_QUALITY_TIME</t>
        </is>
      </c>
      <c r="D35" t="inlineStr">
        <is>
          <t>toggle</t>
        </is>
      </c>
      <c r="E35" t="n">
        <v>1</v>
      </c>
      <c r="F35" t="n">
        <v>1</v>
      </c>
      <c r="G35" t="inlineStr">
        <is>
          <t>count</t>
        </is>
      </c>
      <c r="H35" t="inlineStr">
        <is>
          <t>No</t>
        </is>
      </c>
      <c r="I35" t="inlineStr">
        <is>
          <t>No</t>
        </is>
      </c>
      <c r="K35" t="n">
        <v>33</v>
      </c>
      <c r="L35" t="n">
        <v>1</v>
      </c>
      <c r="M35" t="inlineStr">
        <is>
          <t>Quality time event.</t>
        </is>
      </c>
    </row>
    <row r="36">
      <c r="A36" t="inlineStr">
        <is>
          <t>T_HOBBY_HOURS</t>
        </is>
      </c>
      <c r="B36" t="inlineStr">
        <is>
          <t>Hobby hours</t>
        </is>
      </c>
      <c r="C36" t="inlineStr">
        <is>
          <t>HOBBY_HOURS</t>
        </is>
      </c>
      <c r="D36" t="inlineStr">
        <is>
          <t>duration_picker</t>
        </is>
      </c>
      <c r="E36" t="n">
        <v>1</v>
      </c>
      <c r="F36" t="n">
        <v>0.5</v>
      </c>
      <c r="G36" t="inlineStr">
        <is>
          <t>hours</t>
        </is>
      </c>
      <c r="H36" t="inlineStr">
        <is>
          <t>No</t>
        </is>
      </c>
      <c r="I36" t="inlineStr">
        <is>
          <t>No</t>
        </is>
      </c>
      <c r="J36" t="inlineStr">
        <is>
          <t>0.5,1,2,3</t>
        </is>
      </c>
      <c r="K36" t="n">
        <v>34</v>
      </c>
      <c r="L36" t="n">
        <v>1</v>
      </c>
      <c r="M36" t="inlineStr">
        <is>
          <t>Hobby time.</t>
        </is>
      </c>
    </row>
    <row r="37">
      <c r="A37" t="inlineStr">
        <is>
          <t>T_INVEST_COVER</t>
        </is>
      </c>
      <c r="B37" t="inlineStr">
        <is>
          <t>Investment coverage %</t>
        </is>
      </c>
      <c r="C37" t="inlineStr">
        <is>
          <t>INVESTMENT_COVERAGE</t>
        </is>
      </c>
      <c r="D37" t="inlineStr">
        <is>
          <t>stepper</t>
        </is>
      </c>
      <c r="E37" t="n">
        <v>1</v>
      </c>
      <c r="F37" t="n">
        <v>1</v>
      </c>
      <c r="G37" t="inlineStr">
        <is>
          <t>%</t>
        </is>
      </c>
      <c r="H37" t="inlineStr">
        <is>
          <t>No</t>
        </is>
      </c>
      <c r="I37" t="inlineStr">
        <is>
          <t>No</t>
        </is>
      </c>
      <c r="J37" t="inlineStr">
        <is>
          <t>25,50,75,100</t>
        </is>
      </c>
      <c r="K37" t="n">
        <v>35</v>
      </c>
      <c r="L37" t="n">
        <v>1</v>
      </c>
      <c r="M37" t="inlineStr">
        <is>
          <t>Percent of expenses covered by investment income.</t>
        </is>
      </c>
    </row>
    <row r="38">
      <c r="A38" t="inlineStr">
        <is>
          <t>T_REL_CONTACT</t>
        </is>
      </c>
      <c r="B38" t="inlineStr">
        <is>
          <t>Relevant contact approached</t>
        </is>
      </c>
      <c r="C38" t="inlineStr">
        <is>
          <t>RELEVANT_CONTACT_APPROACH</t>
        </is>
      </c>
      <c r="D38" t="inlineStr">
        <is>
          <t>person_toggle</t>
        </is>
      </c>
      <c r="E38" t="n">
        <v>1</v>
      </c>
      <c r="F38" t="n">
        <v>1</v>
      </c>
      <c r="G38" t="inlineStr">
        <is>
          <t>count</t>
        </is>
      </c>
      <c r="H38" t="inlineStr">
        <is>
          <t>Yes</t>
        </is>
      </c>
      <c r="I38" t="inlineStr">
        <is>
          <t>No</t>
        </is>
      </c>
      <c r="K38" t="n">
        <v>36</v>
      </c>
      <c r="L38" t="n">
        <v>1</v>
      </c>
      <c r="M38" t="inlineStr">
        <is>
          <t>Log meaningful outreach to a relevant contact.</t>
        </is>
      </c>
    </row>
    <row r="39">
      <c r="A39" t="inlineStr">
        <is>
          <t>T_EXERCISE_RESULT</t>
        </is>
      </c>
      <c r="B39" t="inlineStr">
        <is>
          <t>Exercise result</t>
        </is>
      </c>
      <c r="C39" t="inlineStr">
        <is>
          <t>EXERCISE_RESULT_KG</t>
        </is>
      </c>
      <c r="D39" t="inlineStr">
        <is>
          <t>stepper</t>
        </is>
      </c>
      <c r="E39" t="n">
        <v>2.5</v>
      </c>
      <c r="F39" t="n">
        <v>2.5</v>
      </c>
      <c r="G39" t="inlineStr">
        <is>
          <t>kg</t>
        </is>
      </c>
      <c r="H39" t="inlineStr">
        <is>
          <t>No</t>
        </is>
      </c>
      <c r="I39" t="inlineStr">
        <is>
          <t>No</t>
        </is>
      </c>
      <c r="J39" t="inlineStr">
        <is>
          <t>2.5,5,10,20</t>
        </is>
      </c>
      <c r="K39" t="n">
        <v>37</v>
      </c>
      <c r="L39" t="n">
        <v>1</v>
      </c>
      <c r="M39" t="inlineStr">
        <is>
          <t>Log key exercise result (kg).</t>
        </is>
      </c>
    </row>
    <row r="40">
      <c r="A40" t="inlineStr">
        <is>
          <t>T_ACTIVITY_CANCEL</t>
        </is>
      </c>
      <c r="B40" t="inlineStr">
        <is>
          <t>Planned activity cancelled</t>
        </is>
      </c>
      <c r="C40" t="inlineStr">
        <is>
          <t>ACTIVITY_CANCELLED</t>
        </is>
      </c>
      <c r="D40" t="inlineStr">
        <is>
          <t>toggle</t>
        </is>
      </c>
      <c r="E40" t="n">
        <v>1</v>
      </c>
      <c r="F40" t="n">
        <v>1</v>
      </c>
      <c r="G40" t="inlineStr">
        <is>
          <t>count</t>
        </is>
      </c>
      <c r="H40" t="inlineStr">
        <is>
          <t>No</t>
        </is>
      </c>
      <c r="I40" t="inlineStr">
        <is>
          <t>No</t>
        </is>
      </c>
      <c r="K40" t="n">
        <v>38</v>
      </c>
      <c r="L40" t="n">
        <v>1</v>
      </c>
      <c r="M40" t="inlineStr">
        <is>
          <t>Use when canceling a planned activity.</t>
        </is>
      </c>
    </row>
    <row r="41">
      <c r="A41" t="inlineStr">
        <is>
          <t>T_DICT</t>
        </is>
      </c>
      <c r="B41" t="inlineStr">
        <is>
          <t>Diction training</t>
        </is>
      </c>
      <c r="C41" t="inlineStr">
        <is>
          <t>DICTION_TRAINING_MIN</t>
        </is>
      </c>
      <c r="D41" t="inlineStr">
        <is>
          <t>minute_picker</t>
        </is>
      </c>
      <c r="E41" t="n">
        <v>30</v>
      </c>
      <c r="F41" t="n">
        <v>15</v>
      </c>
      <c r="G41" t="inlineStr">
        <is>
          <t>min</t>
        </is>
      </c>
      <c r="H41" t="inlineStr">
        <is>
          <t>No</t>
        </is>
      </c>
      <c r="I41" t="inlineStr">
        <is>
          <t>No</t>
        </is>
      </c>
      <c r="J41" t="inlineStr">
        <is>
          <t>15,30,45,60,90</t>
        </is>
      </c>
      <c r="K41" t="n">
        <v>39</v>
      </c>
      <c r="L41" t="n">
        <v>1</v>
      </c>
      <c r="M41" t="inlineStr">
        <is>
          <t>Speech therapist sessions (supports diction improvement metric).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10" defaultRowHeight="16" outlineLevelCol="0"/>
  <cols>
    <col width="16.83203125" bestFit="1" customWidth="1" min="2" max="2"/>
  </cols>
  <sheetData>
    <row r="1" ht="19" customHeight="1">
      <c r="A1" s="2" t="inlineStr">
        <is>
          <t>Drink Templates (for ALCOHOL logging; app should compute StdDrinks)</t>
        </is>
      </c>
    </row>
    <row r="2" ht="32" customHeight="1">
      <c r="A2" s="7" t="inlineStr">
        <is>
          <t>DrinkTemplateID</t>
        </is>
      </c>
      <c r="B2" s="7" t="inlineStr">
        <is>
          <t>Name</t>
        </is>
      </c>
      <c r="C2" s="7" t="inlineStr">
        <is>
          <t>Category</t>
        </is>
      </c>
      <c r="D2" s="7" t="inlineStr">
        <is>
          <t>Volume_ml</t>
        </is>
      </c>
      <c r="E2" s="7" t="inlineStr">
        <is>
          <t>ABV</t>
        </is>
      </c>
      <c r="F2" s="7" t="inlineStr">
        <is>
          <t>Ethanol_g</t>
        </is>
      </c>
      <c r="G2" s="7" t="inlineStr">
        <is>
          <t>StdDrinks(14g)</t>
        </is>
      </c>
    </row>
    <row r="3" ht="15" customHeight="1">
      <c r="A3" s="8" t="inlineStr">
        <is>
          <t>BEER_330_5</t>
        </is>
      </c>
      <c r="B3" s="8" t="inlineStr">
        <is>
          <t>Beer 330ml (5%)</t>
        </is>
      </c>
      <c r="C3" s="8" t="inlineStr">
        <is>
          <t>Beer</t>
        </is>
      </c>
      <c r="D3" s="11" t="n">
        <v>330</v>
      </c>
      <c r="E3" s="12" t="n">
        <v>5</v>
      </c>
      <c r="F3" s="12" t="n">
        <v>13</v>
      </c>
      <c r="G3" s="13" t="n">
        <v>0.93</v>
      </c>
    </row>
    <row r="4" ht="15" customHeight="1">
      <c r="A4" s="8" t="inlineStr">
        <is>
          <t>BEER_500_5</t>
        </is>
      </c>
      <c r="B4" s="8" t="inlineStr">
        <is>
          <t>Beer 500ml (5%)</t>
        </is>
      </c>
      <c r="C4" s="8" t="inlineStr">
        <is>
          <t>Beer</t>
        </is>
      </c>
      <c r="D4" s="11" t="n">
        <v>500</v>
      </c>
      <c r="E4" s="12" t="n">
        <v>5</v>
      </c>
      <c r="F4" s="12" t="n">
        <v>19.7</v>
      </c>
      <c r="G4" s="13" t="n">
        <v>1.41</v>
      </c>
    </row>
    <row r="5" ht="15" customHeight="1">
      <c r="A5" s="8" t="inlineStr">
        <is>
          <t>WINE_125_12_5</t>
        </is>
      </c>
      <c r="B5" s="8" t="inlineStr">
        <is>
          <t>Wine 125ml (12.5%)</t>
        </is>
      </c>
      <c r="C5" s="8" t="inlineStr">
        <is>
          <t>Wine</t>
        </is>
      </c>
      <c r="D5" s="11" t="n">
        <v>125</v>
      </c>
      <c r="E5" s="12" t="n">
        <v>12.5</v>
      </c>
      <c r="F5" s="12">
        <f>F6/150*125</f>
        <v/>
      </c>
      <c r="G5" s="12">
        <f>G6/150*125</f>
        <v/>
      </c>
    </row>
    <row r="6" ht="15" customHeight="1">
      <c r="A6" s="8" t="inlineStr">
        <is>
          <t>WINE_150_12_5</t>
        </is>
      </c>
      <c r="B6" s="8" t="inlineStr">
        <is>
          <t>Wine 150ml (12.5%)</t>
        </is>
      </c>
      <c r="C6" s="8" t="inlineStr">
        <is>
          <t>Wine</t>
        </is>
      </c>
      <c r="D6" s="11" t="n">
        <v>150</v>
      </c>
      <c r="E6" s="12" t="n">
        <v>12.5</v>
      </c>
      <c r="F6" s="12" t="n">
        <v>14.8</v>
      </c>
      <c r="G6" s="13" t="n">
        <v>1.06</v>
      </c>
    </row>
    <row r="7" ht="15" customHeight="1">
      <c r="A7" s="8" t="inlineStr">
        <is>
          <t>WINE_200_12_5</t>
        </is>
      </c>
      <c r="B7" s="8" t="inlineStr">
        <is>
          <t>Wine 200ml (12.5%)</t>
        </is>
      </c>
      <c r="C7" s="8" t="inlineStr">
        <is>
          <t>Wine</t>
        </is>
      </c>
      <c r="D7" s="11" t="n">
        <v>200</v>
      </c>
      <c r="E7" s="12" t="n">
        <v>12.5</v>
      </c>
      <c r="F7" s="12" t="n">
        <v>19.7</v>
      </c>
      <c r="G7" s="13" t="n">
        <v>1.41</v>
      </c>
    </row>
    <row r="8" ht="15" customHeight="1">
      <c r="A8" s="8" t="inlineStr">
        <is>
          <t>SPIRITS_50_40</t>
        </is>
      </c>
      <c r="B8" s="8" t="inlineStr">
        <is>
          <t>Spirits 50ml (40%)</t>
        </is>
      </c>
      <c r="C8" s="8" t="inlineStr">
        <is>
          <t>Spirits</t>
        </is>
      </c>
      <c r="D8" s="11" t="n">
        <v>50</v>
      </c>
      <c r="E8" s="12" t="n">
        <v>40</v>
      </c>
      <c r="F8" s="12" t="n">
        <v>15.8</v>
      </c>
      <c r="G8" s="13" t="n">
        <v>1.13</v>
      </c>
    </row>
    <row r="9" ht="15" customHeight="1">
      <c r="A9" s="8" t="inlineStr">
        <is>
          <t>SPIRITS_100_40</t>
        </is>
      </c>
      <c r="B9" s="8" t="inlineStr">
        <is>
          <t>Spirits 100ml (40%)</t>
        </is>
      </c>
      <c r="C9" s="8" t="inlineStr">
        <is>
          <t>Spirits</t>
        </is>
      </c>
      <c r="D9" s="11" t="n">
        <v>100</v>
      </c>
      <c r="E9" s="12" t="n">
        <v>40</v>
      </c>
      <c r="F9" s="12" t="n">
        <v>31.6</v>
      </c>
      <c r="G9" s="13" t="n">
        <v>2.25</v>
      </c>
    </row>
    <row r="10" ht="15" customHeight="1">
      <c r="A10" s="8" t="inlineStr">
        <is>
          <t>COCKTAIL_STD</t>
        </is>
      </c>
      <c r="B10" s="8" t="inlineStr">
        <is>
          <t>Cocktail (default)</t>
        </is>
      </c>
      <c r="C10" s="8" t="inlineStr">
        <is>
          <t>Cocktail</t>
        </is>
      </c>
      <c r="D10" s="11" t="n">
        <v>150</v>
      </c>
      <c r="E10" s="12" t="n">
        <v>15</v>
      </c>
      <c r="F10" s="12" t="n">
        <v>17.8</v>
      </c>
      <c r="G10" s="13" t="n">
        <v>1.27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People (for Social / Professional / Romance tracking)</t>
        </is>
      </c>
    </row>
    <row r="2" ht="32" customHeight="1">
      <c r="A2" s="7" t="inlineStr">
        <is>
          <t>PersonID</t>
        </is>
      </c>
      <c r="B2" s="7" t="inlineStr">
        <is>
          <t>Name</t>
        </is>
      </c>
      <c r="C2" s="7" t="inlineStr">
        <is>
          <t>Type</t>
        </is>
      </c>
      <c r="D2" s="7" t="inlineStr">
        <is>
          <t>FirstMet</t>
        </is>
      </c>
      <c r="E2" s="7" t="inlineStr">
        <is>
          <t>Notes</t>
        </is>
      </c>
      <c r="F2" s="7" t="inlineStr">
        <is>
          <t>Meetings2026</t>
        </is>
      </c>
      <c r="G2" s="7" t="inlineStr">
        <is>
          <t>Dates2026</t>
        </is>
      </c>
      <c r="H2" s="7" t="inlineStr">
        <is>
          <t>Sex2026</t>
        </is>
      </c>
      <c r="I2" s="7" t="inlineStr">
        <is>
          <t>ProContacts2026</t>
        </is>
      </c>
    </row>
    <row r="3" ht="15" customHeight="1">
      <c r="A3" s="8" t="inlineStr">
        <is>
          <t>P0001</t>
        </is>
      </c>
      <c r="B3" s="8" t="inlineStr">
        <is>
          <t>(example) Alex</t>
        </is>
      </c>
      <c r="C3" s="8" t="inlineStr">
        <is>
          <t>Social</t>
        </is>
      </c>
      <c r="D3" s="14" t="n">
        <v>46027</v>
      </c>
      <c r="E3" s="8" t="n"/>
      <c r="F3" s="16">
        <f>IF($A3="","",COUNTIFS(Raw_Events!$G:$G,"SOCIAL_MEET",Raw_Events!$J:$J,$A3,Raw_Events!$C:$C,"&gt;="&amp;Settings!$B$4,Raw_Events!$C:$C,"&lt;="&amp;Settings!$B$5))</f>
        <v/>
      </c>
      <c r="G3" s="16">
        <f>IF($A3="","",COUNTIFS(Raw_Events!$G:$G,"DATE",Raw_Events!$J:$J,$A3,Raw_Events!$C:$C,"&gt;="&amp;Settings!$B$4,Raw_Events!$C:$C,"&lt;="&amp;Settings!$B$5))</f>
        <v/>
      </c>
      <c r="H3" s="16">
        <f>IF($A3="","",COUNTIFS(Raw_Events!$G:$G,"SEX",Raw_Events!$J:$J,$A3,Raw_Events!$C:$C,"&gt;="&amp;Settings!$B$4,Raw_Events!$C:$C,"&lt;="&amp;Settings!$B$5))</f>
        <v/>
      </c>
      <c r="I3" s="16">
        <f>IF($A3="","",COUNTIFS(Raw_Events!$G:$G,"PRO_CONTACT_ADDED",Raw_Events!$J:$J,$A3,Raw_Events!$C:$C,"&gt;="&amp;Settings!$B$4,Raw_Events!$C:$C,"&lt;="&amp;Settings!$B$5))</f>
        <v/>
      </c>
    </row>
    <row r="4" ht="15" customHeight="1">
      <c r="F4" s="3">
        <f>IF($A4="","",COUNTIFS(Raw_Events!$G:$G,"SOCIAL_MEET",Raw_Events!$J:$J,$A4,Raw_Events!$C:$C,"&gt;="&amp;Settings!$B$4,Raw_Events!$C:$C,"&lt;="&amp;Settings!$B$5))</f>
        <v/>
      </c>
      <c r="G4" s="3">
        <f>IF($A4="","",COUNTIFS(Raw_Events!$G:$G,"DATE",Raw_Events!$J:$J,$A4,Raw_Events!$C:$C,"&gt;="&amp;Settings!$B$4,Raw_Events!$C:$C,"&lt;="&amp;Settings!$B$5))</f>
        <v/>
      </c>
      <c r="H4" s="3">
        <f>IF($A4="","",COUNTIFS(Raw_Events!$G:$G,"SEX",Raw_Events!$J:$J,$A4,Raw_Events!$C:$C,"&gt;="&amp;Settings!$B$4,Raw_Events!$C:$C,"&lt;="&amp;Settings!$B$5))</f>
        <v/>
      </c>
      <c r="I4" s="3">
        <f>IF($A4="","",COUNTIFS(Raw_Events!$G:$G,"PRO_CONTACT_ADDED",Raw_Events!$J:$J,$A4,Raw_Events!$C:$C,"&gt;="&amp;Settings!$B$4,Raw_Events!$C:$C,"&lt;="&amp;Settings!$B$5))</f>
        <v/>
      </c>
    </row>
    <row r="5" ht="15" customHeight="1">
      <c r="F5" s="3">
        <f>IF($A5="","",COUNTIFS(Raw_Events!$G:$G,"SOCIAL_MEET",Raw_Events!$J:$J,$A5,Raw_Events!$C:$C,"&gt;="&amp;Settings!$B$4,Raw_Events!$C:$C,"&lt;="&amp;Settings!$B$5))</f>
        <v/>
      </c>
      <c r="G5" s="3">
        <f>IF($A5="","",COUNTIFS(Raw_Events!$G:$G,"DATE",Raw_Events!$J:$J,$A5,Raw_Events!$C:$C,"&gt;="&amp;Settings!$B$4,Raw_Events!$C:$C,"&lt;="&amp;Settings!$B$5))</f>
        <v/>
      </c>
      <c r="H5" s="3">
        <f>IF($A5="","",COUNTIFS(Raw_Events!$G:$G,"SEX",Raw_Events!$J:$J,$A5,Raw_Events!$C:$C,"&gt;="&amp;Settings!$B$4,Raw_Events!$C:$C,"&lt;="&amp;Settings!$B$5))</f>
        <v/>
      </c>
      <c r="I5" s="3">
        <f>IF($A5="","",COUNTIFS(Raw_Events!$G:$G,"PRO_CONTACT_ADDED",Raw_Events!$J:$J,$A5,Raw_Events!$C:$C,"&gt;="&amp;Settings!$B$4,Raw_Events!$C:$C,"&lt;="&amp;Settings!$B$5))</f>
        <v/>
      </c>
    </row>
    <row r="6" ht="15" customHeight="1">
      <c r="F6" s="3">
        <f>IF($A6="","",COUNTIFS(Raw_Events!$G:$G,"SOCIAL_MEET",Raw_Events!$J:$J,$A6,Raw_Events!$C:$C,"&gt;="&amp;Settings!$B$4,Raw_Events!$C:$C,"&lt;="&amp;Settings!$B$5))</f>
        <v/>
      </c>
      <c r="G6" s="3">
        <f>IF($A6="","",COUNTIFS(Raw_Events!$G:$G,"DATE",Raw_Events!$J:$J,$A6,Raw_Events!$C:$C,"&gt;="&amp;Settings!$B$4,Raw_Events!$C:$C,"&lt;="&amp;Settings!$B$5))</f>
        <v/>
      </c>
      <c r="H6" s="3">
        <f>IF($A6="","",COUNTIFS(Raw_Events!$G:$G,"SEX",Raw_Events!$J:$J,$A6,Raw_Events!$C:$C,"&gt;="&amp;Settings!$B$4,Raw_Events!$C:$C,"&lt;="&amp;Settings!$B$5))</f>
        <v/>
      </c>
      <c r="I6" s="3">
        <f>IF($A6="","",COUNTIFS(Raw_Events!$G:$G,"PRO_CONTACT_ADDED",Raw_Events!$J:$J,$A6,Raw_Events!$C:$C,"&gt;="&amp;Settings!$B$4,Raw_Events!$C:$C,"&lt;="&amp;Settings!$B$5))</f>
        <v/>
      </c>
    </row>
    <row r="7" ht="15" customHeight="1">
      <c r="F7" s="3">
        <f>IF($A7="","",COUNTIFS(Raw_Events!$G:$G,"SOCIAL_MEET",Raw_Events!$J:$J,$A7,Raw_Events!$C:$C,"&gt;="&amp;Settings!$B$4,Raw_Events!$C:$C,"&lt;="&amp;Settings!$B$5))</f>
        <v/>
      </c>
      <c r="G7" s="3">
        <f>IF($A7="","",COUNTIFS(Raw_Events!$G:$G,"DATE",Raw_Events!$J:$J,$A7,Raw_Events!$C:$C,"&gt;="&amp;Settings!$B$4,Raw_Events!$C:$C,"&lt;="&amp;Settings!$B$5))</f>
        <v/>
      </c>
      <c r="H7" s="3">
        <f>IF($A7="","",COUNTIFS(Raw_Events!$G:$G,"SEX",Raw_Events!$J:$J,$A7,Raw_Events!$C:$C,"&gt;="&amp;Settings!$B$4,Raw_Events!$C:$C,"&lt;="&amp;Settings!$B$5))</f>
        <v/>
      </c>
      <c r="I7" s="3">
        <f>IF($A7="","",COUNTIFS(Raw_Events!$G:$G,"PRO_CONTACT_ADDED",Raw_Events!$J:$J,$A7,Raw_Events!$C:$C,"&gt;="&amp;Settings!$B$4,Raw_Events!$C:$C,"&lt;="&amp;Settings!$B$5))</f>
        <v/>
      </c>
    </row>
    <row r="8" ht="15" customHeight="1">
      <c r="F8" s="3">
        <f>IF($A8="","",COUNTIFS(Raw_Events!$G:$G,"SOCIAL_MEET",Raw_Events!$J:$J,$A8,Raw_Events!$C:$C,"&gt;="&amp;Settings!$B$4,Raw_Events!$C:$C,"&lt;="&amp;Settings!$B$5))</f>
        <v/>
      </c>
      <c r="G8" s="3">
        <f>IF($A8="","",COUNTIFS(Raw_Events!$G:$G,"DATE",Raw_Events!$J:$J,$A8,Raw_Events!$C:$C,"&gt;="&amp;Settings!$B$4,Raw_Events!$C:$C,"&lt;="&amp;Settings!$B$5))</f>
        <v/>
      </c>
      <c r="H8" s="3">
        <f>IF($A8="","",COUNTIFS(Raw_Events!$G:$G,"SEX",Raw_Events!$J:$J,$A8,Raw_Events!$C:$C,"&gt;="&amp;Settings!$B$4,Raw_Events!$C:$C,"&lt;="&amp;Settings!$B$5))</f>
        <v/>
      </c>
      <c r="I8" s="3">
        <f>IF($A8="","",COUNTIFS(Raw_Events!$G:$G,"PRO_CONTACT_ADDED",Raw_Events!$J:$J,$A8,Raw_Events!$C:$C,"&gt;="&amp;Settings!$B$4,Raw_Events!$C:$C,"&lt;="&amp;Settings!$B$5))</f>
        <v/>
      </c>
    </row>
    <row r="9" ht="15" customHeight="1">
      <c r="F9" s="3">
        <f>IF($A9="","",COUNTIFS(Raw_Events!$G:$G,"SOCIAL_MEET",Raw_Events!$J:$J,$A9,Raw_Events!$C:$C,"&gt;="&amp;Settings!$B$4,Raw_Events!$C:$C,"&lt;="&amp;Settings!$B$5))</f>
        <v/>
      </c>
      <c r="G9" s="3">
        <f>IF($A9="","",COUNTIFS(Raw_Events!$G:$G,"DATE",Raw_Events!$J:$J,$A9,Raw_Events!$C:$C,"&gt;="&amp;Settings!$B$4,Raw_Events!$C:$C,"&lt;="&amp;Settings!$B$5))</f>
        <v/>
      </c>
      <c r="H9" s="3">
        <f>IF($A9="","",COUNTIFS(Raw_Events!$G:$G,"SEX",Raw_Events!$J:$J,$A9,Raw_Events!$C:$C,"&gt;="&amp;Settings!$B$4,Raw_Events!$C:$C,"&lt;="&amp;Settings!$B$5))</f>
        <v/>
      </c>
      <c r="I9" s="3">
        <f>IF($A9="","",COUNTIFS(Raw_Events!$G:$G,"PRO_CONTACT_ADDED",Raw_Events!$J:$J,$A9,Raw_Events!$C:$C,"&gt;="&amp;Settings!$B$4,Raw_Events!$C:$C,"&lt;="&amp;Settings!$B$5))</f>
        <v/>
      </c>
    </row>
    <row r="10" ht="15" customHeight="1">
      <c r="F10" s="3">
        <f>IF($A10="","",COUNTIFS(Raw_Events!$G:$G,"SOCIAL_MEET",Raw_Events!$J:$J,$A10,Raw_Events!$C:$C,"&gt;="&amp;Settings!$B$4,Raw_Events!$C:$C,"&lt;="&amp;Settings!$B$5))</f>
        <v/>
      </c>
      <c r="G10" s="3">
        <f>IF($A10="","",COUNTIFS(Raw_Events!$G:$G,"DATE",Raw_Events!$J:$J,$A10,Raw_Events!$C:$C,"&gt;="&amp;Settings!$B$4,Raw_Events!$C:$C,"&lt;="&amp;Settings!$B$5))</f>
        <v/>
      </c>
      <c r="H10" s="3">
        <f>IF($A10="","",COUNTIFS(Raw_Events!$G:$G,"SEX",Raw_Events!$J:$J,$A10,Raw_Events!$C:$C,"&gt;="&amp;Settings!$B$4,Raw_Events!$C:$C,"&lt;="&amp;Settings!$B$5))</f>
        <v/>
      </c>
      <c r="I10" s="3">
        <f>IF($A10="","",COUNTIFS(Raw_Events!$G:$G,"PRO_CONTACT_ADDED",Raw_Events!$J:$J,$A10,Raw_Events!$C:$C,"&gt;="&amp;Settings!$B$4,Raw_Events!$C:$C,"&lt;="&amp;Settings!$B$5))</f>
        <v/>
      </c>
    </row>
    <row r="11" ht="15" customHeight="1">
      <c r="F11" s="3">
        <f>IF($A11="","",COUNTIFS(Raw_Events!$G:$G,"SOCIAL_MEET",Raw_Events!$J:$J,$A11,Raw_Events!$C:$C,"&gt;="&amp;Settings!$B$4,Raw_Events!$C:$C,"&lt;="&amp;Settings!$B$5))</f>
        <v/>
      </c>
      <c r="G11" s="3">
        <f>IF($A11="","",COUNTIFS(Raw_Events!$G:$G,"DATE",Raw_Events!$J:$J,$A11,Raw_Events!$C:$C,"&gt;="&amp;Settings!$B$4,Raw_Events!$C:$C,"&lt;="&amp;Settings!$B$5))</f>
        <v/>
      </c>
      <c r="H11" s="3">
        <f>IF($A11="","",COUNTIFS(Raw_Events!$G:$G,"SEX",Raw_Events!$J:$J,$A11,Raw_Events!$C:$C,"&gt;="&amp;Settings!$B$4,Raw_Events!$C:$C,"&lt;="&amp;Settings!$B$5))</f>
        <v/>
      </c>
      <c r="I11" s="3">
        <f>IF($A11="","",COUNTIFS(Raw_Events!$G:$G,"PRO_CONTACT_ADDED",Raw_Events!$J:$J,$A11,Raw_Events!$C:$C,"&gt;="&amp;Settings!$B$4,Raw_Events!$C:$C,"&lt;="&amp;Settings!$B$5))</f>
        <v/>
      </c>
    </row>
    <row r="12" ht="15" customHeight="1">
      <c r="F12" s="3">
        <f>IF($A12="","",COUNTIFS(Raw_Events!$G:$G,"SOCIAL_MEET",Raw_Events!$J:$J,$A12,Raw_Events!$C:$C,"&gt;="&amp;Settings!$B$4,Raw_Events!$C:$C,"&lt;="&amp;Settings!$B$5))</f>
        <v/>
      </c>
      <c r="G12" s="3">
        <f>IF($A12="","",COUNTIFS(Raw_Events!$G:$G,"DATE",Raw_Events!$J:$J,$A12,Raw_Events!$C:$C,"&gt;="&amp;Settings!$B$4,Raw_Events!$C:$C,"&lt;="&amp;Settings!$B$5))</f>
        <v/>
      </c>
      <c r="H12" s="3">
        <f>IF($A12="","",COUNTIFS(Raw_Events!$G:$G,"SEX",Raw_Events!$J:$J,$A12,Raw_Events!$C:$C,"&gt;="&amp;Settings!$B$4,Raw_Events!$C:$C,"&lt;="&amp;Settings!$B$5))</f>
        <v/>
      </c>
      <c r="I12" s="3">
        <f>IF($A12="","",COUNTIFS(Raw_Events!$G:$G,"PRO_CONTACT_ADDED",Raw_Events!$J:$J,$A12,Raw_Events!$C:$C,"&gt;="&amp;Settings!$B$4,Raw_Events!$C:$C,"&lt;="&amp;Settings!$B$5))</f>
        <v/>
      </c>
    </row>
    <row r="13" ht="15" customHeight="1">
      <c r="F13" s="3">
        <f>IF($A13="","",COUNTIFS(Raw_Events!$G:$G,"SOCIAL_MEET",Raw_Events!$J:$J,$A13,Raw_Events!$C:$C,"&gt;="&amp;Settings!$B$4,Raw_Events!$C:$C,"&lt;="&amp;Settings!$B$5))</f>
        <v/>
      </c>
      <c r="G13" s="3">
        <f>IF($A13="","",COUNTIFS(Raw_Events!$G:$G,"DATE",Raw_Events!$J:$J,$A13,Raw_Events!$C:$C,"&gt;="&amp;Settings!$B$4,Raw_Events!$C:$C,"&lt;="&amp;Settings!$B$5))</f>
        <v/>
      </c>
      <c r="H13" s="3">
        <f>IF($A13="","",COUNTIFS(Raw_Events!$G:$G,"SEX",Raw_Events!$J:$J,$A13,Raw_Events!$C:$C,"&gt;="&amp;Settings!$B$4,Raw_Events!$C:$C,"&lt;="&amp;Settings!$B$5))</f>
        <v/>
      </c>
      <c r="I13" s="3">
        <f>IF($A13="","",COUNTIFS(Raw_Events!$G:$G,"PRO_CONTACT_ADDED",Raw_Events!$J:$J,$A13,Raw_Events!$C:$C,"&gt;="&amp;Settings!$B$4,Raw_Events!$C:$C,"&lt;="&amp;Settings!$B$5))</f>
        <v/>
      </c>
    </row>
    <row r="14" ht="15" customHeight="1">
      <c r="F14" s="3">
        <f>IF($A14="","",COUNTIFS(Raw_Events!$G:$G,"SOCIAL_MEET",Raw_Events!$J:$J,$A14,Raw_Events!$C:$C,"&gt;="&amp;Settings!$B$4,Raw_Events!$C:$C,"&lt;="&amp;Settings!$B$5))</f>
        <v/>
      </c>
      <c r="G14" s="3">
        <f>IF($A14="","",COUNTIFS(Raw_Events!$G:$G,"DATE",Raw_Events!$J:$J,$A14,Raw_Events!$C:$C,"&gt;="&amp;Settings!$B$4,Raw_Events!$C:$C,"&lt;="&amp;Settings!$B$5))</f>
        <v/>
      </c>
      <c r="H14" s="3">
        <f>IF($A14="","",COUNTIFS(Raw_Events!$G:$G,"SEX",Raw_Events!$J:$J,$A14,Raw_Events!$C:$C,"&gt;="&amp;Settings!$B$4,Raw_Events!$C:$C,"&lt;="&amp;Settings!$B$5))</f>
        <v/>
      </c>
      <c r="I14" s="3">
        <f>IF($A14="","",COUNTIFS(Raw_Events!$G:$G,"PRO_CONTACT_ADDED",Raw_Events!$J:$J,$A14,Raw_Events!$C:$C,"&gt;="&amp;Settings!$B$4,Raw_Events!$C:$C,"&lt;="&amp;Settings!$B$5))</f>
        <v/>
      </c>
    </row>
    <row r="15" ht="15" customHeight="1">
      <c r="F15" s="3">
        <f>IF($A15="","",COUNTIFS(Raw_Events!$G:$G,"SOCIAL_MEET",Raw_Events!$J:$J,$A15,Raw_Events!$C:$C,"&gt;="&amp;Settings!$B$4,Raw_Events!$C:$C,"&lt;="&amp;Settings!$B$5))</f>
        <v/>
      </c>
      <c r="G15" s="3">
        <f>IF($A15="","",COUNTIFS(Raw_Events!$G:$G,"DATE",Raw_Events!$J:$J,$A15,Raw_Events!$C:$C,"&gt;="&amp;Settings!$B$4,Raw_Events!$C:$C,"&lt;="&amp;Settings!$B$5))</f>
        <v/>
      </c>
      <c r="H15" s="3">
        <f>IF($A15="","",COUNTIFS(Raw_Events!$G:$G,"SEX",Raw_Events!$J:$J,$A15,Raw_Events!$C:$C,"&gt;="&amp;Settings!$B$4,Raw_Events!$C:$C,"&lt;="&amp;Settings!$B$5))</f>
        <v/>
      </c>
      <c r="I15" s="3">
        <f>IF($A15="","",COUNTIFS(Raw_Events!$G:$G,"PRO_CONTACT_ADDED",Raw_Events!$J:$J,$A15,Raw_Events!$C:$C,"&gt;="&amp;Settings!$B$4,Raw_Events!$C:$C,"&lt;="&amp;Settings!$B$5))</f>
        <v/>
      </c>
    </row>
    <row r="16" ht="15" customHeight="1">
      <c r="F16" s="3">
        <f>IF($A16="","",COUNTIFS(Raw_Events!$G:$G,"SOCIAL_MEET",Raw_Events!$J:$J,$A16,Raw_Events!$C:$C,"&gt;="&amp;Settings!$B$4,Raw_Events!$C:$C,"&lt;="&amp;Settings!$B$5))</f>
        <v/>
      </c>
      <c r="G16" s="3">
        <f>IF($A16="","",COUNTIFS(Raw_Events!$G:$G,"DATE",Raw_Events!$J:$J,$A16,Raw_Events!$C:$C,"&gt;="&amp;Settings!$B$4,Raw_Events!$C:$C,"&lt;="&amp;Settings!$B$5))</f>
        <v/>
      </c>
      <c r="H16" s="3">
        <f>IF($A16="","",COUNTIFS(Raw_Events!$G:$G,"SEX",Raw_Events!$J:$J,$A16,Raw_Events!$C:$C,"&gt;="&amp;Settings!$B$4,Raw_Events!$C:$C,"&lt;="&amp;Settings!$B$5))</f>
        <v/>
      </c>
      <c r="I16" s="3">
        <f>IF($A16="","",COUNTIFS(Raw_Events!$G:$G,"PRO_CONTACT_ADDED",Raw_Events!$J:$J,$A16,Raw_Events!$C:$C,"&gt;="&amp;Settings!$B$4,Raw_Events!$C:$C,"&lt;="&amp;Settings!$B$5))</f>
        <v/>
      </c>
    </row>
    <row r="17" ht="15" customHeight="1">
      <c r="F17" s="3">
        <f>IF($A17="","",COUNTIFS(Raw_Events!$G:$G,"SOCIAL_MEET",Raw_Events!$J:$J,$A17,Raw_Events!$C:$C,"&gt;="&amp;Settings!$B$4,Raw_Events!$C:$C,"&lt;="&amp;Settings!$B$5))</f>
        <v/>
      </c>
      <c r="G17" s="3">
        <f>IF($A17="","",COUNTIFS(Raw_Events!$G:$G,"DATE",Raw_Events!$J:$J,$A17,Raw_Events!$C:$C,"&gt;="&amp;Settings!$B$4,Raw_Events!$C:$C,"&lt;="&amp;Settings!$B$5))</f>
        <v/>
      </c>
      <c r="H17" s="3">
        <f>IF($A17="","",COUNTIFS(Raw_Events!$G:$G,"SEX",Raw_Events!$J:$J,$A17,Raw_Events!$C:$C,"&gt;="&amp;Settings!$B$4,Raw_Events!$C:$C,"&lt;="&amp;Settings!$B$5))</f>
        <v/>
      </c>
      <c r="I17" s="3">
        <f>IF($A17="","",COUNTIFS(Raw_Events!$G:$G,"PRO_CONTACT_ADDED",Raw_Events!$J:$J,$A17,Raw_Events!$C:$C,"&gt;="&amp;Settings!$B$4,Raw_Events!$C:$C,"&lt;="&amp;Settings!$B$5))</f>
        <v/>
      </c>
    </row>
    <row r="18" ht="15" customHeight="1">
      <c r="F18" s="3">
        <f>IF($A18="","",COUNTIFS(Raw_Events!$G:$G,"SOCIAL_MEET",Raw_Events!$J:$J,$A18,Raw_Events!$C:$C,"&gt;="&amp;Settings!$B$4,Raw_Events!$C:$C,"&lt;="&amp;Settings!$B$5))</f>
        <v/>
      </c>
      <c r="G18" s="3">
        <f>IF($A18="","",COUNTIFS(Raw_Events!$G:$G,"DATE",Raw_Events!$J:$J,$A18,Raw_Events!$C:$C,"&gt;="&amp;Settings!$B$4,Raw_Events!$C:$C,"&lt;="&amp;Settings!$B$5))</f>
        <v/>
      </c>
      <c r="H18" s="3">
        <f>IF($A18="","",COUNTIFS(Raw_Events!$G:$G,"SEX",Raw_Events!$J:$J,$A18,Raw_Events!$C:$C,"&gt;="&amp;Settings!$B$4,Raw_Events!$C:$C,"&lt;="&amp;Settings!$B$5))</f>
        <v/>
      </c>
      <c r="I18" s="3">
        <f>IF($A18="","",COUNTIFS(Raw_Events!$G:$G,"PRO_CONTACT_ADDED",Raw_Events!$J:$J,$A18,Raw_Events!$C:$C,"&gt;="&amp;Settings!$B$4,Raw_Events!$C:$C,"&lt;="&amp;Settings!$B$5))</f>
        <v/>
      </c>
    </row>
    <row r="19" ht="15" customHeight="1">
      <c r="F19" s="3">
        <f>IF($A19="","",COUNTIFS(Raw_Events!$G:$G,"SOCIAL_MEET",Raw_Events!$J:$J,$A19,Raw_Events!$C:$C,"&gt;="&amp;Settings!$B$4,Raw_Events!$C:$C,"&lt;="&amp;Settings!$B$5))</f>
        <v/>
      </c>
      <c r="G19" s="3">
        <f>IF($A19="","",COUNTIFS(Raw_Events!$G:$G,"DATE",Raw_Events!$J:$J,$A19,Raw_Events!$C:$C,"&gt;="&amp;Settings!$B$4,Raw_Events!$C:$C,"&lt;="&amp;Settings!$B$5))</f>
        <v/>
      </c>
      <c r="H19" s="3">
        <f>IF($A19="","",COUNTIFS(Raw_Events!$G:$G,"SEX",Raw_Events!$J:$J,$A19,Raw_Events!$C:$C,"&gt;="&amp;Settings!$B$4,Raw_Events!$C:$C,"&lt;="&amp;Settings!$B$5))</f>
        <v/>
      </c>
      <c r="I19" s="3">
        <f>IF($A19="","",COUNTIFS(Raw_Events!$G:$G,"PRO_CONTACT_ADDED",Raw_Events!$J:$J,$A19,Raw_Events!$C:$C,"&gt;="&amp;Settings!$B$4,Raw_Events!$C:$C,"&lt;="&amp;Settings!$B$5))</f>
        <v/>
      </c>
    </row>
    <row r="20" ht="15" customHeight="1">
      <c r="F20" s="3">
        <f>IF($A20="","",COUNTIFS(Raw_Events!$G:$G,"SOCIAL_MEET",Raw_Events!$J:$J,$A20,Raw_Events!$C:$C,"&gt;="&amp;Settings!$B$4,Raw_Events!$C:$C,"&lt;="&amp;Settings!$B$5))</f>
        <v/>
      </c>
      <c r="G20" s="3">
        <f>IF($A20="","",COUNTIFS(Raw_Events!$G:$G,"DATE",Raw_Events!$J:$J,$A20,Raw_Events!$C:$C,"&gt;="&amp;Settings!$B$4,Raw_Events!$C:$C,"&lt;="&amp;Settings!$B$5))</f>
        <v/>
      </c>
      <c r="H20" s="3">
        <f>IF($A20="","",COUNTIFS(Raw_Events!$G:$G,"SEX",Raw_Events!$J:$J,$A20,Raw_Events!$C:$C,"&gt;="&amp;Settings!$B$4,Raw_Events!$C:$C,"&lt;="&amp;Settings!$B$5))</f>
        <v/>
      </c>
      <c r="I20" s="3">
        <f>IF($A20="","",COUNTIFS(Raw_Events!$G:$G,"PRO_CONTACT_ADDED",Raw_Events!$J:$J,$A20,Raw_Events!$C:$C,"&gt;="&amp;Settings!$B$4,Raw_Events!$C:$C,"&lt;="&amp;Settings!$B$5))</f>
        <v/>
      </c>
    </row>
    <row r="21" ht="15" customHeight="1">
      <c r="F21" s="3">
        <f>IF($A21="","",COUNTIFS(Raw_Events!$G:$G,"SOCIAL_MEET",Raw_Events!$J:$J,$A21,Raw_Events!$C:$C,"&gt;="&amp;Settings!$B$4,Raw_Events!$C:$C,"&lt;="&amp;Settings!$B$5))</f>
        <v/>
      </c>
      <c r="G21" s="3">
        <f>IF($A21="","",COUNTIFS(Raw_Events!$G:$G,"DATE",Raw_Events!$J:$J,$A21,Raw_Events!$C:$C,"&gt;="&amp;Settings!$B$4,Raw_Events!$C:$C,"&lt;="&amp;Settings!$B$5))</f>
        <v/>
      </c>
      <c r="H21" s="3">
        <f>IF($A21="","",COUNTIFS(Raw_Events!$G:$G,"SEX",Raw_Events!$J:$J,$A21,Raw_Events!$C:$C,"&gt;="&amp;Settings!$B$4,Raw_Events!$C:$C,"&lt;="&amp;Settings!$B$5))</f>
        <v/>
      </c>
      <c r="I21" s="3">
        <f>IF($A21="","",COUNTIFS(Raw_Events!$G:$G,"PRO_CONTACT_ADDED",Raw_Events!$J:$J,$A21,Raw_Events!$C:$C,"&gt;="&amp;Settings!$B$4,Raw_Events!$C:$C,"&lt;="&amp;Settings!$B$5))</f>
        <v/>
      </c>
    </row>
    <row r="22" ht="15" customHeight="1">
      <c r="F22" s="3">
        <f>IF($A22="","",COUNTIFS(Raw_Events!$G:$G,"SOCIAL_MEET",Raw_Events!$J:$J,$A22,Raw_Events!$C:$C,"&gt;="&amp;Settings!$B$4,Raw_Events!$C:$C,"&lt;="&amp;Settings!$B$5))</f>
        <v/>
      </c>
      <c r="G22" s="3">
        <f>IF($A22="","",COUNTIFS(Raw_Events!$G:$G,"DATE",Raw_Events!$J:$J,$A22,Raw_Events!$C:$C,"&gt;="&amp;Settings!$B$4,Raw_Events!$C:$C,"&lt;="&amp;Settings!$B$5))</f>
        <v/>
      </c>
      <c r="H22" s="3">
        <f>IF($A22="","",COUNTIFS(Raw_Events!$G:$G,"SEX",Raw_Events!$J:$J,$A22,Raw_Events!$C:$C,"&gt;="&amp;Settings!$B$4,Raw_Events!$C:$C,"&lt;="&amp;Settings!$B$5))</f>
        <v/>
      </c>
      <c r="I22" s="3">
        <f>IF($A22="","",COUNTIFS(Raw_Events!$G:$G,"PRO_CONTACT_ADDED",Raw_Events!$J:$J,$A22,Raw_Events!$C:$C,"&gt;="&amp;Settings!$B$4,Raw_Events!$C:$C,"&lt;="&amp;Settings!$B$5))</f>
        <v/>
      </c>
    </row>
    <row r="23" ht="15" customHeight="1">
      <c r="F23" s="3">
        <f>IF($A23="","",COUNTIFS(Raw_Events!$G:$G,"SOCIAL_MEET",Raw_Events!$J:$J,$A23,Raw_Events!$C:$C,"&gt;="&amp;Settings!$B$4,Raw_Events!$C:$C,"&lt;="&amp;Settings!$B$5))</f>
        <v/>
      </c>
      <c r="G23" s="3">
        <f>IF($A23="","",COUNTIFS(Raw_Events!$G:$G,"DATE",Raw_Events!$J:$J,$A23,Raw_Events!$C:$C,"&gt;="&amp;Settings!$B$4,Raw_Events!$C:$C,"&lt;="&amp;Settings!$B$5))</f>
        <v/>
      </c>
      <c r="H23" s="3">
        <f>IF($A23="","",COUNTIFS(Raw_Events!$G:$G,"SEX",Raw_Events!$J:$J,$A23,Raw_Events!$C:$C,"&gt;="&amp;Settings!$B$4,Raw_Events!$C:$C,"&lt;="&amp;Settings!$B$5))</f>
        <v/>
      </c>
      <c r="I23" s="3">
        <f>IF($A23="","",COUNTIFS(Raw_Events!$G:$G,"PRO_CONTACT_ADDED",Raw_Events!$J:$J,$A23,Raw_Events!$C:$C,"&gt;="&amp;Settings!$B$4,Raw_Events!$C:$C,"&lt;="&amp;Settings!$B$5))</f>
        <v/>
      </c>
    </row>
    <row r="24" ht="15" customHeight="1">
      <c r="F24" s="3">
        <f>IF($A24="","",COUNTIFS(Raw_Events!$G:$G,"SOCIAL_MEET",Raw_Events!$J:$J,$A24,Raw_Events!$C:$C,"&gt;="&amp;Settings!$B$4,Raw_Events!$C:$C,"&lt;="&amp;Settings!$B$5))</f>
        <v/>
      </c>
      <c r="G24" s="3">
        <f>IF($A24="","",COUNTIFS(Raw_Events!$G:$G,"DATE",Raw_Events!$J:$J,$A24,Raw_Events!$C:$C,"&gt;="&amp;Settings!$B$4,Raw_Events!$C:$C,"&lt;="&amp;Settings!$B$5))</f>
        <v/>
      </c>
      <c r="H24" s="3">
        <f>IF($A24="","",COUNTIFS(Raw_Events!$G:$G,"SEX",Raw_Events!$J:$J,$A24,Raw_Events!$C:$C,"&gt;="&amp;Settings!$B$4,Raw_Events!$C:$C,"&lt;="&amp;Settings!$B$5))</f>
        <v/>
      </c>
      <c r="I24" s="3">
        <f>IF($A24="","",COUNTIFS(Raw_Events!$G:$G,"PRO_CONTACT_ADDED",Raw_Events!$J:$J,$A24,Raw_Events!$C:$C,"&gt;="&amp;Settings!$B$4,Raw_Events!$C:$C,"&lt;="&amp;Settings!$B$5))</f>
        <v/>
      </c>
    </row>
    <row r="25" ht="15" customHeight="1">
      <c r="F25" s="3">
        <f>IF($A25="","",COUNTIFS(Raw_Events!$G:$G,"SOCIAL_MEET",Raw_Events!$J:$J,$A25,Raw_Events!$C:$C,"&gt;="&amp;Settings!$B$4,Raw_Events!$C:$C,"&lt;="&amp;Settings!$B$5))</f>
        <v/>
      </c>
      <c r="G25" s="3">
        <f>IF($A25="","",COUNTIFS(Raw_Events!$G:$G,"DATE",Raw_Events!$J:$J,$A25,Raw_Events!$C:$C,"&gt;="&amp;Settings!$B$4,Raw_Events!$C:$C,"&lt;="&amp;Settings!$B$5))</f>
        <v/>
      </c>
      <c r="H25" s="3">
        <f>IF($A25="","",COUNTIFS(Raw_Events!$G:$G,"SEX",Raw_Events!$J:$J,$A25,Raw_Events!$C:$C,"&gt;="&amp;Settings!$B$4,Raw_Events!$C:$C,"&lt;="&amp;Settings!$B$5))</f>
        <v/>
      </c>
      <c r="I25" s="3">
        <f>IF($A25="","",COUNTIFS(Raw_Events!$G:$G,"PRO_CONTACT_ADDED",Raw_Events!$J:$J,$A25,Raw_Events!$C:$C,"&gt;="&amp;Settings!$B$4,Raw_Events!$C:$C,"&lt;="&amp;Settings!$B$5))</f>
        <v/>
      </c>
    </row>
    <row r="26" ht="15" customHeight="1">
      <c r="F26" s="3">
        <f>IF($A26="","",COUNTIFS(Raw_Events!$G:$G,"SOCIAL_MEET",Raw_Events!$J:$J,$A26,Raw_Events!$C:$C,"&gt;="&amp;Settings!$B$4,Raw_Events!$C:$C,"&lt;="&amp;Settings!$B$5))</f>
        <v/>
      </c>
      <c r="G26" s="3">
        <f>IF($A26="","",COUNTIFS(Raw_Events!$G:$G,"DATE",Raw_Events!$J:$J,$A26,Raw_Events!$C:$C,"&gt;="&amp;Settings!$B$4,Raw_Events!$C:$C,"&lt;="&amp;Settings!$B$5))</f>
        <v/>
      </c>
      <c r="H26" s="3">
        <f>IF($A26="","",COUNTIFS(Raw_Events!$G:$G,"SEX",Raw_Events!$J:$J,$A26,Raw_Events!$C:$C,"&gt;="&amp;Settings!$B$4,Raw_Events!$C:$C,"&lt;="&amp;Settings!$B$5))</f>
        <v/>
      </c>
      <c r="I26" s="3">
        <f>IF($A26="","",COUNTIFS(Raw_Events!$G:$G,"PRO_CONTACT_ADDED",Raw_Events!$J:$J,$A26,Raw_Events!$C:$C,"&gt;="&amp;Settings!$B$4,Raw_Events!$C:$C,"&lt;="&amp;Settings!$B$5))</f>
        <v/>
      </c>
    </row>
    <row r="27" ht="15" customHeight="1">
      <c r="F27" s="3">
        <f>IF($A27="","",COUNTIFS(Raw_Events!$G:$G,"SOCIAL_MEET",Raw_Events!$J:$J,$A27,Raw_Events!$C:$C,"&gt;="&amp;Settings!$B$4,Raw_Events!$C:$C,"&lt;="&amp;Settings!$B$5))</f>
        <v/>
      </c>
      <c r="G27" s="3">
        <f>IF($A27="","",COUNTIFS(Raw_Events!$G:$G,"DATE",Raw_Events!$J:$J,$A27,Raw_Events!$C:$C,"&gt;="&amp;Settings!$B$4,Raw_Events!$C:$C,"&lt;="&amp;Settings!$B$5))</f>
        <v/>
      </c>
      <c r="H27" s="3">
        <f>IF($A27="","",COUNTIFS(Raw_Events!$G:$G,"SEX",Raw_Events!$J:$J,$A27,Raw_Events!$C:$C,"&gt;="&amp;Settings!$B$4,Raw_Events!$C:$C,"&lt;="&amp;Settings!$B$5))</f>
        <v/>
      </c>
      <c r="I27" s="3">
        <f>IF($A27="","",COUNTIFS(Raw_Events!$G:$G,"PRO_CONTACT_ADDED",Raw_Events!$J:$J,$A27,Raw_Events!$C:$C,"&gt;="&amp;Settings!$B$4,Raw_Events!$C:$C,"&lt;="&amp;Settings!$B$5))</f>
        <v/>
      </c>
    </row>
    <row r="28" ht="15" customHeight="1">
      <c r="F28" s="3">
        <f>IF($A28="","",COUNTIFS(Raw_Events!$G:$G,"SOCIAL_MEET",Raw_Events!$J:$J,$A28,Raw_Events!$C:$C,"&gt;="&amp;Settings!$B$4,Raw_Events!$C:$C,"&lt;="&amp;Settings!$B$5))</f>
        <v/>
      </c>
      <c r="G28" s="3">
        <f>IF($A28="","",COUNTIFS(Raw_Events!$G:$G,"DATE",Raw_Events!$J:$J,$A28,Raw_Events!$C:$C,"&gt;="&amp;Settings!$B$4,Raw_Events!$C:$C,"&lt;="&amp;Settings!$B$5))</f>
        <v/>
      </c>
      <c r="H28" s="3">
        <f>IF($A28="","",COUNTIFS(Raw_Events!$G:$G,"SEX",Raw_Events!$J:$J,$A28,Raw_Events!$C:$C,"&gt;="&amp;Settings!$B$4,Raw_Events!$C:$C,"&lt;="&amp;Settings!$B$5))</f>
        <v/>
      </c>
      <c r="I28" s="3">
        <f>IF($A28="","",COUNTIFS(Raw_Events!$G:$G,"PRO_CONTACT_ADDED",Raw_Events!$J:$J,$A28,Raw_Events!$C:$C,"&gt;="&amp;Settings!$B$4,Raw_Events!$C:$C,"&lt;="&amp;Settings!$B$5))</f>
        <v/>
      </c>
    </row>
    <row r="29" ht="15" customHeight="1">
      <c r="F29" s="3">
        <f>IF($A29="","",COUNTIFS(Raw_Events!$G:$G,"SOCIAL_MEET",Raw_Events!$J:$J,$A29,Raw_Events!$C:$C,"&gt;="&amp;Settings!$B$4,Raw_Events!$C:$C,"&lt;="&amp;Settings!$B$5))</f>
        <v/>
      </c>
      <c r="G29" s="3">
        <f>IF($A29="","",COUNTIFS(Raw_Events!$G:$G,"DATE",Raw_Events!$J:$J,$A29,Raw_Events!$C:$C,"&gt;="&amp;Settings!$B$4,Raw_Events!$C:$C,"&lt;="&amp;Settings!$B$5))</f>
        <v/>
      </c>
      <c r="H29" s="3">
        <f>IF($A29="","",COUNTIFS(Raw_Events!$G:$G,"SEX",Raw_Events!$J:$J,$A29,Raw_Events!$C:$C,"&gt;="&amp;Settings!$B$4,Raw_Events!$C:$C,"&lt;="&amp;Settings!$B$5))</f>
        <v/>
      </c>
      <c r="I29" s="3">
        <f>IF($A29="","",COUNTIFS(Raw_Events!$G:$G,"PRO_CONTACT_ADDED",Raw_Events!$J:$J,$A29,Raw_Events!$C:$C,"&gt;="&amp;Settings!$B$4,Raw_Events!$C:$C,"&lt;="&amp;Settings!$B$5))</f>
        <v/>
      </c>
    </row>
    <row r="30" ht="15" customHeight="1">
      <c r="F30" s="3">
        <f>IF($A30="","",COUNTIFS(Raw_Events!$G:$G,"SOCIAL_MEET",Raw_Events!$J:$J,$A30,Raw_Events!$C:$C,"&gt;="&amp;Settings!$B$4,Raw_Events!$C:$C,"&lt;="&amp;Settings!$B$5))</f>
        <v/>
      </c>
      <c r="G30" s="3">
        <f>IF($A30="","",COUNTIFS(Raw_Events!$G:$G,"DATE",Raw_Events!$J:$J,$A30,Raw_Events!$C:$C,"&gt;="&amp;Settings!$B$4,Raw_Events!$C:$C,"&lt;="&amp;Settings!$B$5))</f>
        <v/>
      </c>
      <c r="H30" s="3">
        <f>IF($A30="","",COUNTIFS(Raw_Events!$G:$G,"SEX",Raw_Events!$J:$J,$A30,Raw_Events!$C:$C,"&gt;="&amp;Settings!$B$4,Raw_Events!$C:$C,"&lt;="&amp;Settings!$B$5))</f>
        <v/>
      </c>
      <c r="I30" s="3">
        <f>IF($A30="","",COUNTIFS(Raw_Events!$G:$G,"PRO_CONTACT_ADDED",Raw_Events!$J:$J,$A30,Raw_Events!$C:$C,"&gt;="&amp;Settings!$B$4,Raw_Events!$C:$C,"&lt;="&amp;Settings!$B$5))</f>
        <v/>
      </c>
    </row>
    <row r="31" ht="15" customHeight="1">
      <c r="F31" s="3">
        <f>IF($A31="","",COUNTIFS(Raw_Events!$G:$G,"SOCIAL_MEET",Raw_Events!$J:$J,$A31,Raw_Events!$C:$C,"&gt;="&amp;Settings!$B$4,Raw_Events!$C:$C,"&lt;="&amp;Settings!$B$5))</f>
        <v/>
      </c>
      <c r="G31" s="3">
        <f>IF($A31="","",COUNTIFS(Raw_Events!$G:$G,"DATE",Raw_Events!$J:$J,$A31,Raw_Events!$C:$C,"&gt;="&amp;Settings!$B$4,Raw_Events!$C:$C,"&lt;="&amp;Settings!$B$5))</f>
        <v/>
      </c>
      <c r="H31" s="3">
        <f>IF($A31="","",COUNTIFS(Raw_Events!$G:$G,"SEX",Raw_Events!$J:$J,$A31,Raw_Events!$C:$C,"&gt;="&amp;Settings!$B$4,Raw_Events!$C:$C,"&lt;="&amp;Settings!$B$5))</f>
        <v/>
      </c>
      <c r="I31" s="3">
        <f>IF($A31="","",COUNTIFS(Raw_Events!$G:$G,"PRO_CONTACT_ADDED",Raw_Events!$J:$J,$A31,Raw_Events!$C:$C,"&gt;="&amp;Settings!$B$4,Raw_Events!$C:$C,"&lt;="&amp;Settings!$B$5))</f>
        <v/>
      </c>
    </row>
    <row r="32" ht="15" customHeight="1">
      <c r="F32" s="3">
        <f>IF($A32="","",COUNTIFS(Raw_Events!$G:$G,"SOCIAL_MEET",Raw_Events!$J:$J,$A32,Raw_Events!$C:$C,"&gt;="&amp;Settings!$B$4,Raw_Events!$C:$C,"&lt;="&amp;Settings!$B$5))</f>
        <v/>
      </c>
      <c r="G32" s="3">
        <f>IF($A32="","",COUNTIFS(Raw_Events!$G:$G,"DATE",Raw_Events!$J:$J,$A32,Raw_Events!$C:$C,"&gt;="&amp;Settings!$B$4,Raw_Events!$C:$C,"&lt;="&amp;Settings!$B$5))</f>
        <v/>
      </c>
      <c r="H32" s="3">
        <f>IF($A32="","",COUNTIFS(Raw_Events!$G:$G,"SEX",Raw_Events!$J:$J,$A32,Raw_Events!$C:$C,"&gt;="&amp;Settings!$B$4,Raw_Events!$C:$C,"&lt;="&amp;Settings!$B$5))</f>
        <v/>
      </c>
      <c r="I32" s="3">
        <f>IF($A32="","",COUNTIFS(Raw_Events!$G:$G,"PRO_CONTACT_ADDED",Raw_Events!$J:$J,$A32,Raw_Events!$C:$C,"&gt;="&amp;Settings!$B$4,Raw_Events!$C:$C,"&lt;="&amp;Settings!$B$5))</f>
        <v/>
      </c>
    </row>
    <row r="33" ht="15" customHeight="1">
      <c r="F33" s="3">
        <f>IF($A33="","",COUNTIFS(Raw_Events!$G:$G,"SOCIAL_MEET",Raw_Events!$J:$J,$A33,Raw_Events!$C:$C,"&gt;="&amp;Settings!$B$4,Raw_Events!$C:$C,"&lt;="&amp;Settings!$B$5))</f>
        <v/>
      </c>
      <c r="G33" s="3">
        <f>IF($A33="","",COUNTIFS(Raw_Events!$G:$G,"DATE",Raw_Events!$J:$J,$A33,Raw_Events!$C:$C,"&gt;="&amp;Settings!$B$4,Raw_Events!$C:$C,"&lt;="&amp;Settings!$B$5))</f>
        <v/>
      </c>
      <c r="H33" s="3">
        <f>IF($A33="","",COUNTIFS(Raw_Events!$G:$G,"SEX",Raw_Events!$J:$J,$A33,Raw_Events!$C:$C,"&gt;="&amp;Settings!$B$4,Raw_Events!$C:$C,"&lt;="&amp;Settings!$B$5))</f>
        <v/>
      </c>
      <c r="I33" s="3">
        <f>IF($A33="","",COUNTIFS(Raw_Events!$G:$G,"PRO_CONTACT_ADDED",Raw_Events!$J:$J,$A33,Raw_Events!$C:$C,"&gt;="&amp;Settings!$B$4,Raw_Events!$C:$C,"&lt;="&amp;Settings!$B$5))</f>
        <v/>
      </c>
    </row>
    <row r="34" ht="15" customHeight="1">
      <c r="F34" s="3">
        <f>IF($A34="","",COUNTIFS(Raw_Events!$G:$G,"SOCIAL_MEET",Raw_Events!$J:$J,$A34,Raw_Events!$C:$C,"&gt;="&amp;Settings!$B$4,Raw_Events!$C:$C,"&lt;="&amp;Settings!$B$5))</f>
        <v/>
      </c>
      <c r="G34" s="3">
        <f>IF($A34="","",COUNTIFS(Raw_Events!$G:$G,"DATE",Raw_Events!$J:$J,$A34,Raw_Events!$C:$C,"&gt;="&amp;Settings!$B$4,Raw_Events!$C:$C,"&lt;="&amp;Settings!$B$5))</f>
        <v/>
      </c>
      <c r="H34" s="3">
        <f>IF($A34="","",COUNTIFS(Raw_Events!$G:$G,"SEX",Raw_Events!$J:$J,$A34,Raw_Events!$C:$C,"&gt;="&amp;Settings!$B$4,Raw_Events!$C:$C,"&lt;="&amp;Settings!$B$5))</f>
        <v/>
      </c>
      <c r="I34" s="3">
        <f>IF($A34="","",COUNTIFS(Raw_Events!$G:$G,"PRO_CONTACT_ADDED",Raw_Events!$J:$J,$A34,Raw_Events!$C:$C,"&gt;="&amp;Settings!$B$4,Raw_Events!$C:$C,"&lt;="&amp;Settings!$B$5))</f>
        <v/>
      </c>
    </row>
    <row r="35" ht="15" customHeight="1">
      <c r="F35" s="3">
        <f>IF($A35="","",COUNTIFS(Raw_Events!$G:$G,"SOCIAL_MEET",Raw_Events!$J:$J,$A35,Raw_Events!$C:$C,"&gt;="&amp;Settings!$B$4,Raw_Events!$C:$C,"&lt;="&amp;Settings!$B$5))</f>
        <v/>
      </c>
      <c r="G35" s="3">
        <f>IF($A35="","",COUNTIFS(Raw_Events!$G:$G,"DATE",Raw_Events!$J:$J,$A35,Raw_Events!$C:$C,"&gt;="&amp;Settings!$B$4,Raw_Events!$C:$C,"&lt;="&amp;Settings!$B$5))</f>
        <v/>
      </c>
      <c r="H35" s="3">
        <f>IF($A35="","",COUNTIFS(Raw_Events!$G:$G,"SEX",Raw_Events!$J:$J,$A35,Raw_Events!$C:$C,"&gt;="&amp;Settings!$B$4,Raw_Events!$C:$C,"&lt;="&amp;Settings!$B$5))</f>
        <v/>
      </c>
      <c r="I35" s="3">
        <f>IF($A35="","",COUNTIFS(Raw_Events!$G:$G,"PRO_CONTACT_ADDED",Raw_Events!$J:$J,$A35,Raw_Events!$C:$C,"&gt;="&amp;Settings!$B$4,Raw_Events!$C:$C,"&lt;="&amp;Settings!$B$5))</f>
        <v/>
      </c>
    </row>
    <row r="36" ht="15" customHeight="1">
      <c r="F36" s="3">
        <f>IF($A36="","",COUNTIFS(Raw_Events!$G:$G,"SOCIAL_MEET",Raw_Events!$J:$J,$A36,Raw_Events!$C:$C,"&gt;="&amp;Settings!$B$4,Raw_Events!$C:$C,"&lt;="&amp;Settings!$B$5))</f>
        <v/>
      </c>
      <c r="G36" s="3">
        <f>IF($A36="","",COUNTIFS(Raw_Events!$G:$G,"DATE",Raw_Events!$J:$J,$A36,Raw_Events!$C:$C,"&gt;="&amp;Settings!$B$4,Raw_Events!$C:$C,"&lt;="&amp;Settings!$B$5))</f>
        <v/>
      </c>
      <c r="H36" s="3">
        <f>IF($A36="","",COUNTIFS(Raw_Events!$G:$G,"SEX",Raw_Events!$J:$J,$A36,Raw_Events!$C:$C,"&gt;="&amp;Settings!$B$4,Raw_Events!$C:$C,"&lt;="&amp;Settings!$B$5))</f>
        <v/>
      </c>
      <c r="I36" s="3">
        <f>IF($A36="","",COUNTIFS(Raw_Events!$G:$G,"PRO_CONTACT_ADDED",Raw_Events!$J:$J,$A36,Raw_Events!$C:$C,"&gt;="&amp;Settings!$B$4,Raw_Events!$C:$C,"&lt;="&amp;Settings!$B$5))</f>
        <v/>
      </c>
    </row>
    <row r="37" ht="15" customHeight="1">
      <c r="F37" s="3">
        <f>IF($A37="","",COUNTIFS(Raw_Events!$G:$G,"SOCIAL_MEET",Raw_Events!$J:$J,$A37,Raw_Events!$C:$C,"&gt;="&amp;Settings!$B$4,Raw_Events!$C:$C,"&lt;="&amp;Settings!$B$5))</f>
        <v/>
      </c>
      <c r="G37" s="3">
        <f>IF($A37="","",COUNTIFS(Raw_Events!$G:$G,"DATE",Raw_Events!$J:$J,$A37,Raw_Events!$C:$C,"&gt;="&amp;Settings!$B$4,Raw_Events!$C:$C,"&lt;="&amp;Settings!$B$5))</f>
        <v/>
      </c>
      <c r="H37" s="3">
        <f>IF($A37="","",COUNTIFS(Raw_Events!$G:$G,"SEX",Raw_Events!$J:$J,$A37,Raw_Events!$C:$C,"&gt;="&amp;Settings!$B$4,Raw_Events!$C:$C,"&lt;="&amp;Settings!$B$5))</f>
        <v/>
      </c>
      <c r="I37" s="3">
        <f>IF($A37="","",COUNTIFS(Raw_Events!$G:$G,"PRO_CONTACT_ADDED",Raw_Events!$J:$J,$A37,Raw_Events!$C:$C,"&gt;="&amp;Settings!$B$4,Raw_Events!$C:$C,"&lt;="&amp;Settings!$B$5))</f>
        <v/>
      </c>
    </row>
    <row r="38" ht="15" customHeight="1">
      <c r="F38" s="3">
        <f>IF($A38="","",COUNTIFS(Raw_Events!$G:$G,"SOCIAL_MEET",Raw_Events!$J:$J,$A38,Raw_Events!$C:$C,"&gt;="&amp;Settings!$B$4,Raw_Events!$C:$C,"&lt;="&amp;Settings!$B$5))</f>
        <v/>
      </c>
      <c r="G38" s="3">
        <f>IF($A38="","",COUNTIFS(Raw_Events!$G:$G,"DATE",Raw_Events!$J:$J,$A38,Raw_Events!$C:$C,"&gt;="&amp;Settings!$B$4,Raw_Events!$C:$C,"&lt;="&amp;Settings!$B$5))</f>
        <v/>
      </c>
      <c r="H38" s="3">
        <f>IF($A38="","",COUNTIFS(Raw_Events!$G:$G,"SEX",Raw_Events!$J:$J,$A38,Raw_Events!$C:$C,"&gt;="&amp;Settings!$B$4,Raw_Events!$C:$C,"&lt;="&amp;Settings!$B$5))</f>
        <v/>
      </c>
      <c r="I38" s="3">
        <f>IF($A38="","",COUNTIFS(Raw_Events!$G:$G,"PRO_CONTACT_ADDED",Raw_Events!$J:$J,$A38,Raw_Events!$C:$C,"&gt;="&amp;Settings!$B$4,Raw_Events!$C:$C,"&lt;="&amp;Settings!$B$5))</f>
        <v/>
      </c>
    </row>
    <row r="39" ht="15" customHeight="1">
      <c r="F39" s="3">
        <f>IF($A39="","",COUNTIFS(Raw_Events!$G:$G,"SOCIAL_MEET",Raw_Events!$J:$J,$A39,Raw_Events!$C:$C,"&gt;="&amp;Settings!$B$4,Raw_Events!$C:$C,"&lt;="&amp;Settings!$B$5))</f>
        <v/>
      </c>
      <c r="G39" s="3">
        <f>IF($A39="","",COUNTIFS(Raw_Events!$G:$G,"DATE",Raw_Events!$J:$J,$A39,Raw_Events!$C:$C,"&gt;="&amp;Settings!$B$4,Raw_Events!$C:$C,"&lt;="&amp;Settings!$B$5))</f>
        <v/>
      </c>
      <c r="H39" s="3">
        <f>IF($A39="","",COUNTIFS(Raw_Events!$G:$G,"SEX",Raw_Events!$J:$J,$A39,Raw_Events!$C:$C,"&gt;="&amp;Settings!$B$4,Raw_Events!$C:$C,"&lt;="&amp;Settings!$B$5))</f>
        <v/>
      </c>
      <c r="I39" s="3">
        <f>IF($A39="","",COUNTIFS(Raw_Events!$G:$G,"PRO_CONTACT_ADDED",Raw_Events!$J:$J,$A39,Raw_Events!$C:$C,"&gt;="&amp;Settings!$B$4,Raw_Events!$C:$C,"&lt;="&amp;Settings!$B$5))</f>
        <v/>
      </c>
    </row>
    <row r="40" ht="15" customHeight="1">
      <c r="F40" s="3">
        <f>IF($A40="","",COUNTIFS(Raw_Events!$G:$G,"SOCIAL_MEET",Raw_Events!$J:$J,$A40,Raw_Events!$C:$C,"&gt;="&amp;Settings!$B$4,Raw_Events!$C:$C,"&lt;="&amp;Settings!$B$5))</f>
        <v/>
      </c>
      <c r="G40" s="3">
        <f>IF($A40="","",COUNTIFS(Raw_Events!$G:$G,"DATE",Raw_Events!$J:$J,$A40,Raw_Events!$C:$C,"&gt;="&amp;Settings!$B$4,Raw_Events!$C:$C,"&lt;="&amp;Settings!$B$5))</f>
        <v/>
      </c>
      <c r="H40" s="3">
        <f>IF($A40="","",COUNTIFS(Raw_Events!$G:$G,"SEX",Raw_Events!$J:$J,$A40,Raw_Events!$C:$C,"&gt;="&amp;Settings!$B$4,Raw_Events!$C:$C,"&lt;="&amp;Settings!$B$5))</f>
        <v/>
      </c>
      <c r="I40" s="3">
        <f>IF($A40="","",COUNTIFS(Raw_Events!$G:$G,"PRO_CONTACT_ADDED",Raw_Events!$J:$J,$A40,Raw_Events!$C:$C,"&gt;="&amp;Settings!$B$4,Raw_Events!$C:$C,"&lt;="&amp;Settings!$B$5))</f>
        <v/>
      </c>
    </row>
    <row r="41" ht="15" customHeight="1">
      <c r="F41" s="3">
        <f>IF($A41="","",COUNTIFS(Raw_Events!$G:$G,"SOCIAL_MEET",Raw_Events!$J:$J,$A41,Raw_Events!$C:$C,"&gt;="&amp;Settings!$B$4,Raw_Events!$C:$C,"&lt;="&amp;Settings!$B$5))</f>
        <v/>
      </c>
      <c r="G41" s="3">
        <f>IF($A41="","",COUNTIFS(Raw_Events!$G:$G,"DATE",Raw_Events!$J:$J,$A41,Raw_Events!$C:$C,"&gt;="&amp;Settings!$B$4,Raw_Events!$C:$C,"&lt;="&amp;Settings!$B$5))</f>
        <v/>
      </c>
      <c r="H41" s="3">
        <f>IF($A41="","",COUNTIFS(Raw_Events!$G:$G,"SEX",Raw_Events!$J:$J,$A41,Raw_Events!$C:$C,"&gt;="&amp;Settings!$B$4,Raw_Events!$C:$C,"&lt;="&amp;Settings!$B$5))</f>
        <v/>
      </c>
      <c r="I41" s="3">
        <f>IF($A41="","",COUNTIFS(Raw_Events!$G:$G,"PRO_CONTACT_ADDED",Raw_Events!$J:$J,$A41,Raw_Events!$C:$C,"&gt;="&amp;Settings!$B$4,Raw_Events!$C:$C,"&lt;="&amp;Settings!$B$5))</f>
        <v/>
      </c>
    </row>
    <row r="42" ht="15" customHeight="1">
      <c r="F42" s="3">
        <f>IF($A42="","",COUNTIFS(Raw_Events!$G:$G,"SOCIAL_MEET",Raw_Events!$J:$J,$A42,Raw_Events!$C:$C,"&gt;="&amp;Settings!$B$4,Raw_Events!$C:$C,"&lt;="&amp;Settings!$B$5))</f>
        <v/>
      </c>
      <c r="G42" s="3">
        <f>IF($A42="","",COUNTIFS(Raw_Events!$G:$G,"DATE",Raw_Events!$J:$J,$A42,Raw_Events!$C:$C,"&gt;="&amp;Settings!$B$4,Raw_Events!$C:$C,"&lt;="&amp;Settings!$B$5))</f>
        <v/>
      </c>
      <c r="H42" s="3">
        <f>IF($A42="","",COUNTIFS(Raw_Events!$G:$G,"SEX",Raw_Events!$J:$J,$A42,Raw_Events!$C:$C,"&gt;="&amp;Settings!$B$4,Raw_Events!$C:$C,"&lt;="&amp;Settings!$B$5))</f>
        <v/>
      </c>
      <c r="I42" s="3">
        <f>IF($A42="","",COUNTIFS(Raw_Events!$G:$G,"PRO_CONTACT_ADDED",Raw_Events!$J:$J,$A42,Raw_Events!$C:$C,"&gt;="&amp;Settings!$B$4,Raw_Events!$C:$C,"&lt;="&amp;Settings!$B$5))</f>
        <v/>
      </c>
    </row>
    <row r="43" ht="15" customHeight="1">
      <c r="F43" s="3">
        <f>IF($A43="","",COUNTIFS(Raw_Events!$G:$G,"SOCIAL_MEET",Raw_Events!$J:$J,$A43,Raw_Events!$C:$C,"&gt;="&amp;Settings!$B$4,Raw_Events!$C:$C,"&lt;="&amp;Settings!$B$5))</f>
        <v/>
      </c>
      <c r="G43" s="3">
        <f>IF($A43="","",COUNTIFS(Raw_Events!$G:$G,"DATE",Raw_Events!$J:$J,$A43,Raw_Events!$C:$C,"&gt;="&amp;Settings!$B$4,Raw_Events!$C:$C,"&lt;="&amp;Settings!$B$5))</f>
        <v/>
      </c>
      <c r="H43" s="3">
        <f>IF($A43="","",COUNTIFS(Raw_Events!$G:$G,"SEX",Raw_Events!$J:$J,$A43,Raw_Events!$C:$C,"&gt;="&amp;Settings!$B$4,Raw_Events!$C:$C,"&lt;="&amp;Settings!$B$5))</f>
        <v/>
      </c>
      <c r="I43" s="3">
        <f>IF($A43="","",COUNTIFS(Raw_Events!$G:$G,"PRO_CONTACT_ADDED",Raw_Events!$J:$J,$A43,Raw_Events!$C:$C,"&gt;="&amp;Settings!$B$4,Raw_Events!$C:$C,"&lt;="&amp;Settings!$B$5))</f>
        <v/>
      </c>
    </row>
    <row r="44" ht="15" customHeight="1">
      <c r="F44" s="3">
        <f>IF($A44="","",COUNTIFS(Raw_Events!$G:$G,"SOCIAL_MEET",Raw_Events!$J:$J,$A44,Raw_Events!$C:$C,"&gt;="&amp;Settings!$B$4,Raw_Events!$C:$C,"&lt;="&amp;Settings!$B$5))</f>
        <v/>
      </c>
      <c r="G44" s="3">
        <f>IF($A44="","",COUNTIFS(Raw_Events!$G:$G,"DATE",Raw_Events!$J:$J,$A44,Raw_Events!$C:$C,"&gt;="&amp;Settings!$B$4,Raw_Events!$C:$C,"&lt;="&amp;Settings!$B$5))</f>
        <v/>
      </c>
      <c r="H44" s="3">
        <f>IF($A44="","",COUNTIFS(Raw_Events!$G:$G,"SEX",Raw_Events!$J:$J,$A44,Raw_Events!$C:$C,"&gt;="&amp;Settings!$B$4,Raw_Events!$C:$C,"&lt;="&amp;Settings!$B$5))</f>
        <v/>
      </c>
      <c r="I44" s="3">
        <f>IF($A44="","",COUNTIFS(Raw_Events!$G:$G,"PRO_CONTACT_ADDED",Raw_Events!$J:$J,$A44,Raw_Events!$C:$C,"&gt;="&amp;Settings!$B$4,Raw_Events!$C:$C,"&lt;="&amp;Settings!$B$5))</f>
        <v/>
      </c>
    </row>
    <row r="45" ht="15" customHeight="1">
      <c r="F45" s="3">
        <f>IF($A45="","",COUNTIFS(Raw_Events!$G:$G,"SOCIAL_MEET",Raw_Events!$J:$J,$A45,Raw_Events!$C:$C,"&gt;="&amp;Settings!$B$4,Raw_Events!$C:$C,"&lt;="&amp;Settings!$B$5))</f>
        <v/>
      </c>
      <c r="G45" s="3">
        <f>IF($A45="","",COUNTIFS(Raw_Events!$G:$G,"DATE",Raw_Events!$J:$J,$A45,Raw_Events!$C:$C,"&gt;="&amp;Settings!$B$4,Raw_Events!$C:$C,"&lt;="&amp;Settings!$B$5))</f>
        <v/>
      </c>
      <c r="H45" s="3">
        <f>IF($A45="","",COUNTIFS(Raw_Events!$G:$G,"SEX",Raw_Events!$J:$J,$A45,Raw_Events!$C:$C,"&gt;="&amp;Settings!$B$4,Raw_Events!$C:$C,"&lt;="&amp;Settings!$B$5))</f>
        <v/>
      </c>
      <c r="I45" s="3">
        <f>IF($A45="","",COUNTIFS(Raw_Events!$G:$G,"PRO_CONTACT_ADDED",Raw_Events!$J:$J,$A45,Raw_Events!$C:$C,"&gt;="&amp;Settings!$B$4,Raw_Events!$C:$C,"&lt;="&amp;Settings!$B$5))</f>
        <v/>
      </c>
    </row>
    <row r="46" ht="15" customHeight="1">
      <c r="F46" s="3">
        <f>IF($A46="","",COUNTIFS(Raw_Events!$G:$G,"SOCIAL_MEET",Raw_Events!$J:$J,$A46,Raw_Events!$C:$C,"&gt;="&amp;Settings!$B$4,Raw_Events!$C:$C,"&lt;="&amp;Settings!$B$5))</f>
        <v/>
      </c>
      <c r="G46" s="3">
        <f>IF($A46="","",COUNTIFS(Raw_Events!$G:$G,"DATE",Raw_Events!$J:$J,$A46,Raw_Events!$C:$C,"&gt;="&amp;Settings!$B$4,Raw_Events!$C:$C,"&lt;="&amp;Settings!$B$5))</f>
        <v/>
      </c>
      <c r="H46" s="3">
        <f>IF($A46="","",COUNTIFS(Raw_Events!$G:$G,"SEX",Raw_Events!$J:$J,$A46,Raw_Events!$C:$C,"&gt;="&amp;Settings!$B$4,Raw_Events!$C:$C,"&lt;="&amp;Settings!$B$5))</f>
        <v/>
      </c>
      <c r="I46" s="3">
        <f>IF($A46="","",COUNTIFS(Raw_Events!$G:$G,"PRO_CONTACT_ADDED",Raw_Events!$J:$J,$A46,Raw_Events!$C:$C,"&gt;="&amp;Settings!$B$4,Raw_Events!$C:$C,"&lt;="&amp;Settings!$B$5))</f>
        <v/>
      </c>
    </row>
    <row r="47" ht="15" customHeight="1">
      <c r="F47" s="3">
        <f>IF($A47="","",COUNTIFS(Raw_Events!$G:$G,"SOCIAL_MEET",Raw_Events!$J:$J,$A47,Raw_Events!$C:$C,"&gt;="&amp;Settings!$B$4,Raw_Events!$C:$C,"&lt;="&amp;Settings!$B$5))</f>
        <v/>
      </c>
      <c r="G47" s="3">
        <f>IF($A47="","",COUNTIFS(Raw_Events!$G:$G,"DATE",Raw_Events!$J:$J,$A47,Raw_Events!$C:$C,"&gt;="&amp;Settings!$B$4,Raw_Events!$C:$C,"&lt;="&amp;Settings!$B$5))</f>
        <v/>
      </c>
      <c r="H47" s="3">
        <f>IF($A47="","",COUNTIFS(Raw_Events!$G:$G,"SEX",Raw_Events!$J:$J,$A47,Raw_Events!$C:$C,"&gt;="&amp;Settings!$B$4,Raw_Events!$C:$C,"&lt;="&amp;Settings!$B$5))</f>
        <v/>
      </c>
      <c r="I47" s="3">
        <f>IF($A47="","",COUNTIFS(Raw_Events!$G:$G,"PRO_CONTACT_ADDED",Raw_Events!$J:$J,$A47,Raw_Events!$C:$C,"&gt;="&amp;Settings!$B$4,Raw_Events!$C:$C,"&lt;="&amp;Settings!$B$5))</f>
        <v/>
      </c>
    </row>
    <row r="48" ht="15" customHeight="1">
      <c r="F48" s="3">
        <f>IF($A48="","",COUNTIFS(Raw_Events!$G:$G,"SOCIAL_MEET",Raw_Events!$J:$J,$A48,Raw_Events!$C:$C,"&gt;="&amp;Settings!$B$4,Raw_Events!$C:$C,"&lt;="&amp;Settings!$B$5))</f>
        <v/>
      </c>
      <c r="G48" s="3">
        <f>IF($A48="","",COUNTIFS(Raw_Events!$G:$G,"DATE",Raw_Events!$J:$J,$A48,Raw_Events!$C:$C,"&gt;="&amp;Settings!$B$4,Raw_Events!$C:$C,"&lt;="&amp;Settings!$B$5))</f>
        <v/>
      </c>
      <c r="H48" s="3">
        <f>IF($A48="","",COUNTIFS(Raw_Events!$G:$G,"SEX",Raw_Events!$J:$J,$A48,Raw_Events!$C:$C,"&gt;="&amp;Settings!$B$4,Raw_Events!$C:$C,"&lt;="&amp;Settings!$B$5))</f>
        <v/>
      </c>
      <c r="I48" s="3">
        <f>IF($A48="","",COUNTIFS(Raw_Events!$G:$G,"PRO_CONTACT_ADDED",Raw_Events!$J:$J,$A48,Raw_Events!$C:$C,"&gt;="&amp;Settings!$B$4,Raw_Events!$C:$C,"&lt;="&amp;Settings!$B$5))</f>
        <v/>
      </c>
    </row>
    <row r="49" ht="15" customHeight="1">
      <c r="F49" s="3">
        <f>IF($A49="","",COUNTIFS(Raw_Events!$G:$G,"SOCIAL_MEET",Raw_Events!$J:$J,$A49,Raw_Events!$C:$C,"&gt;="&amp;Settings!$B$4,Raw_Events!$C:$C,"&lt;="&amp;Settings!$B$5))</f>
        <v/>
      </c>
      <c r="G49" s="3">
        <f>IF($A49="","",COUNTIFS(Raw_Events!$G:$G,"DATE",Raw_Events!$J:$J,$A49,Raw_Events!$C:$C,"&gt;="&amp;Settings!$B$4,Raw_Events!$C:$C,"&lt;="&amp;Settings!$B$5))</f>
        <v/>
      </c>
      <c r="H49" s="3">
        <f>IF($A49="","",COUNTIFS(Raw_Events!$G:$G,"SEX",Raw_Events!$J:$J,$A49,Raw_Events!$C:$C,"&gt;="&amp;Settings!$B$4,Raw_Events!$C:$C,"&lt;="&amp;Settings!$B$5))</f>
        <v/>
      </c>
      <c r="I49" s="3">
        <f>IF($A49="","",COUNTIFS(Raw_Events!$G:$G,"PRO_CONTACT_ADDED",Raw_Events!$J:$J,$A49,Raw_Events!$C:$C,"&gt;="&amp;Settings!$B$4,Raw_Events!$C:$C,"&lt;="&amp;Settings!$B$5))</f>
        <v/>
      </c>
    </row>
    <row r="50" ht="15" customHeight="1">
      <c r="F50" s="3">
        <f>IF($A50="","",COUNTIFS(Raw_Events!$G:$G,"SOCIAL_MEET",Raw_Events!$J:$J,$A50,Raw_Events!$C:$C,"&gt;="&amp;Settings!$B$4,Raw_Events!$C:$C,"&lt;="&amp;Settings!$B$5))</f>
        <v/>
      </c>
      <c r="G50" s="3">
        <f>IF($A50="","",COUNTIFS(Raw_Events!$G:$G,"DATE",Raw_Events!$J:$J,$A50,Raw_Events!$C:$C,"&gt;="&amp;Settings!$B$4,Raw_Events!$C:$C,"&lt;="&amp;Settings!$B$5))</f>
        <v/>
      </c>
      <c r="H50" s="3">
        <f>IF($A50="","",COUNTIFS(Raw_Events!$G:$G,"SEX",Raw_Events!$J:$J,$A50,Raw_Events!$C:$C,"&gt;="&amp;Settings!$B$4,Raw_Events!$C:$C,"&lt;="&amp;Settings!$B$5))</f>
        <v/>
      </c>
      <c r="I50" s="3">
        <f>IF($A50="","",COUNTIFS(Raw_Events!$G:$G,"PRO_CONTACT_ADDED",Raw_Events!$J:$J,$A50,Raw_Events!$C:$C,"&gt;="&amp;Settings!$B$4,Raw_Events!$C:$C,"&lt;="&amp;Settings!$B$5))</f>
        <v/>
      </c>
    </row>
    <row r="51" ht="15" customHeight="1">
      <c r="F51" s="3">
        <f>IF($A51="","",COUNTIFS(Raw_Events!$G:$G,"SOCIAL_MEET",Raw_Events!$J:$J,$A51,Raw_Events!$C:$C,"&gt;="&amp;Settings!$B$4,Raw_Events!$C:$C,"&lt;="&amp;Settings!$B$5))</f>
        <v/>
      </c>
      <c r="G51" s="3">
        <f>IF($A51="","",COUNTIFS(Raw_Events!$G:$G,"DATE",Raw_Events!$J:$J,$A51,Raw_Events!$C:$C,"&gt;="&amp;Settings!$B$4,Raw_Events!$C:$C,"&lt;="&amp;Settings!$B$5))</f>
        <v/>
      </c>
      <c r="H51" s="3">
        <f>IF($A51="","",COUNTIFS(Raw_Events!$G:$G,"SEX",Raw_Events!$J:$J,$A51,Raw_Events!$C:$C,"&gt;="&amp;Settings!$B$4,Raw_Events!$C:$C,"&lt;="&amp;Settings!$B$5))</f>
        <v/>
      </c>
      <c r="I51" s="3">
        <f>IF($A51="","",COUNTIFS(Raw_Events!$G:$G,"PRO_CONTACT_ADDED",Raw_Events!$J:$J,$A51,Raw_Events!$C:$C,"&gt;="&amp;Settings!$B$4,Raw_Events!$C:$C,"&lt;="&amp;Settings!$B$5))</f>
        <v/>
      </c>
    </row>
    <row r="52" ht="15" customHeight="1">
      <c r="F52" s="3">
        <f>IF($A52="","",COUNTIFS(Raw_Events!$G:$G,"SOCIAL_MEET",Raw_Events!$J:$J,$A52,Raw_Events!$C:$C,"&gt;="&amp;Settings!$B$4,Raw_Events!$C:$C,"&lt;="&amp;Settings!$B$5))</f>
        <v/>
      </c>
      <c r="G52" s="3">
        <f>IF($A52="","",COUNTIFS(Raw_Events!$G:$G,"DATE",Raw_Events!$J:$J,$A52,Raw_Events!$C:$C,"&gt;="&amp;Settings!$B$4,Raw_Events!$C:$C,"&lt;="&amp;Settings!$B$5))</f>
        <v/>
      </c>
      <c r="H52" s="3">
        <f>IF($A52="","",COUNTIFS(Raw_Events!$G:$G,"SEX",Raw_Events!$J:$J,$A52,Raw_Events!$C:$C,"&gt;="&amp;Settings!$B$4,Raw_Events!$C:$C,"&lt;="&amp;Settings!$B$5))</f>
        <v/>
      </c>
      <c r="I52" s="3">
        <f>IF($A52="","",COUNTIFS(Raw_Events!$G:$G,"PRO_CONTACT_ADDED",Raw_Events!$J:$J,$A52,Raw_Events!$C:$C,"&gt;="&amp;Settings!$B$4,Raw_Events!$C:$C,"&lt;="&amp;Settings!$B$5))</f>
        <v/>
      </c>
    </row>
    <row r="53" ht="15" customHeight="1">
      <c r="F53" s="3">
        <f>IF($A53="","",COUNTIFS(Raw_Events!$G:$G,"SOCIAL_MEET",Raw_Events!$J:$J,$A53,Raw_Events!$C:$C,"&gt;="&amp;Settings!$B$4,Raw_Events!$C:$C,"&lt;="&amp;Settings!$B$5))</f>
        <v/>
      </c>
      <c r="G53" s="3">
        <f>IF($A53="","",COUNTIFS(Raw_Events!$G:$G,"DATE",Raw_Events!$J:$J,$A53,Raw_Events!$C:$C,"&gt;="&amp;Settings!$B$4,Raw_Events!$C:$C,"&lt;="&amp;Settings!$B$5))</f>
        <v/>
      </c>
      <c r="H53" s="3">
        <f>IF($A53="","",COUNTIFS(Raw_Events!$G:$G,"SEX",Raw_Events!$J:$J,$A53,Raw_Events!$C:$C,"&gt;="&amp;Settings!$B$4,Raw_Events!$C:$C,"&lt;="&amp;Settings!$B$5))</f>
        <v/>
      </c>
      <c r="I53" s="3">
        <f>IF($A53="","",COUNTIFS(Raw_Events!$G:$G,"PRO_CONTACT_ADDED",Raw_Events!$J:$J,$A53,Raw_Events!$C:$C,"&gt;="&amp;Settings!$B$4,Raw_Events!$C:$C,"&lt;="&amp;Settings!$B$5))</f>
        <v/>
      </c>
    </row>
    <row r="54" ht="15" customHeight="1">
      <c r="F54" s="3">
        <f>IF($A54="","",COUNTIFS(Raw_Events!$G:$G,"SOCIAL_MEET",Raw_Events!$J:$J,$A54,Raw_Events!$C:$C,"&gt;="&amp;Settings!$B$4,Raw_Events!$C:$C,"&lt;="&amp;Settings!$B$5))</f>
        <v/>
      </c>
      <c r="G54" s="3">
        <f>IF($A54="","",COUNTIFS(Raw_Events!$G:$G,"DATE",Raw_Events!$J:$J,$A54,Raw_Events!$C:$C,"&gt;="&amp;Settings!$B$4,Raw_Events!$C:$C,"&lt;="&amp;Settings!$B$5))</f>
        <v/>
      </c>
      <c r="H54" s="3">
        <f>IF($A54="","",COUNTIFS(Raw_Events!$G:$G,"SEX",Raw_Events!$J:$J,$A54,Raw_Events!$C:$C,"&gt;="&amp;Settings!$B$4,Raw_Events!$C:$C,"&lt;="&amp;Settings!$B$5))</f>
        <v/>
      </c>
      <c r="I54" s="3">
        <f>IF($A54="","",COUNTIFS(Raw_Events!$G:$G,"PRO_CONTACT_ADDED",Raw_Events!$J:$J,$A54,Raw_Events!$C:$C,"&gt;="&amp;Settings!$B$4,Raw_Events!$C:$C,"&lt;="&amp;Settings!$B$5))</f>
        <v/>
      </c>
    </row>
    <row r="55" ht="15" customHeight="1">
      <c r="F55" s="3">
        <f>IF($A55="","",COUNTIFS(Raw_Events!$G:$G,"SOCIAL_MEET",Raw_Events!$J:$J,$A55,Raw_Events!$C:$C,"&gt;="&amp;Settings!$B$4,Raw_Events!$C:$C,"&lt;="&amp;Settings!$B$5))</f>
        <v/>
      </c>
      <c r="G55" s="3">
        <f>IF($A55="","",COUNTIFS(Raw_Events!$G:$G,"DATE",Raw_Events!$J:$J,$A55,Raw_Events!$C:$C,"&gt;="&amp;Settings!$B$4,Raw_Events!$C:$C,"&lt;="&amp;Settings!$B$5))</f>
        <v/>
      </c>
      <c r="H55" s="3">
        <f>IF($A55="","",COUNTIFS(Raw_Events!$G:$G,"SEX",Raw_Events!$J:$J,$A55,Raw_Events!$C:$C,"&gt;="&amp;Settings!$B$4,Raw_Events!$C:$C,"&lt;="&amp;Settings!$B$5))</f>
        <v/>
      </c>
      <c r="I55" s="3">
        <f>IF($A55="","",COUNTIFS(Raw_Events!$G:$G,"PRO_CONTACT_ADDED",Raw_Events!$J:$J,$A55,Raw_Events!$C:$C,"&gt;="&amp;Settings!$B$4,Raw_Events!$C:$C,"&lt;="&amp;Settings!$B$5))</f>
        <v/>
      </c>
    </row>
    <row r="56" ht="15" customHeight="1">
      <c r="F56" s="3">
        <f>IF($A56="","",COUNTIFS(Raw_Events!$G:$G,"SOCIAL_MEET",Raw_Events!$J:$J,$A56,Raw_Events!$C:$C,"&gt;="&amp;Settings!$B$4,Raw_Events!$C:$C,"&lt;="&amp;Settings!$B$5))</f>
        <v/>
      </c>
      <c r="G56" s="3">
        <f>IF($A56="","",COUNTIFS(Raw_Events!$G:$G,"DATE",Raw_Events!$J:$J,$A56,Raw_Events!$C:$C,"&gt;="&amp;Settings!$B$4,Raw_Events!$C:$C,"&lt;="&amp;Settings!$B$5))</f>
        <v/>
      </c>
      <c r="H56" s="3">
        <f>IF($A56="","",COUNTIFS(Raw_Events!$G:$G,"SEX",Raw_Events!$J:$J,$A56,Raw_Events!$C:$C,"&gt;="&amp;Settings!$B$4,Raw_Events!$C:$C,"&lt;="&amp;Settings!$B$5))</f>
        <v/>
      </c>
      <c r="I56" s="3">
        <f>IF($A56="","",COUNTIFS(Raw_Events!$G:$G,"PRO_CONTACT_ADDED",Raw_Events!$J:$J,$A56,Raw_Events!$C:$C,"&gt;="&amp;Settings!$B$4,Raw_Events!$C:$C,"&lt;="&amp;Settings!$B$5))</f>
        <v/>
      </c>
    </row>
    <row r="57" ht="15" customHeight="1">
      <c r="F57" s="3">
        <f>IF($A57="","",COUNTIFS(Raw_Events!$G:$G,"SOCIAL_MEET",Raw_Events!$J:$J,$A57,Raw_Events!$C:$C,"&gt;="&amp;Settings!$B$4,Raw_Events!$C:$C,"&lt;="&amp;Settings!$B$5))</f>
        <v/>
      </c>
      <c r="G57" s="3">
        <f>IF($A57="","",COUNTIFS(Raw_Events!$G:$G,"DATE",Raw_Events!$J:$J,$A57,Raw_Events!$C:$C,"&gt;="&amp;Settings!$B$4,Raw_Events!$C:$C,"&lt;="&amp;Settings!$B$5))</f>
        <v/>
      </c>
      <c r="H57" s="3">
        <f>IF($A57="","",COUNTIFS(Raw_Events!$G:$G,"SEX",Raw_Events!$J:$J,$A57,Raw_Events!$C:$C,"&gt;="&amp;Settings!$B$4,Raw_Events!$C:$C,"&lt;="&amp;Settings!$B$5))</f>
        <v/>
      </c>
      <c r="I57" s="3">
        <f>IF($A57="","",COUNTIFS(Raw_Events!$G:$G,"PRO_CONTACT_ADDED",Raw_Events!$J:$J,$A57,Raw_Events!$C:$C,"&gt;="&amp;Settings!$B$4,Raw_Events!$C:$C,"&lt;="&amp;Settings!$B$5))</f>
        <v/>
      </c>
    </row>
    <row r="58" ht="15" customHeight="1">
      <c r="F58" s="3">
        <f>IF($A58="","",COUNTIFS(Raw_Events!$G:$G,"SOCIAL_MEET",Raw_Events!$J:$J,$A58,Raw_Events!$C:$C,"&gt;="&amp;Settings!$B$4,Raw_Events!$C:$C,"&lt;="&amp;Settings!$B$5))</f>
        <v/>
      </c>
      <c r="G58" s="3">
        <f>IF($A58="","",COUNTIFS(Raw_Events!$G:$G,"DATE",Raw_Events!$J:$J,$A58,Raw_Events!$C:$C,"&gt;="&amp;Settings!$B$4,Raw_Events!$C:$C,"&lt;="&amp;Settings!$B$5))</f>
        <v/>
      </c>
      <c r="H58" s="3">
        <f>IF($A58="","",COUNTIFS(Raw_Events!$G:$G,"SEX",Raw_Events!$J:$J,$A58,Raw_Events!$C:$C,"&gt;="&amp;Settings!$B$4,Raw_Events!$C:$C,"&lt;="&amp;Settings!$B$5))</f>
        <v/>
      </c>
      <c r="I58" s="3">
        <f>IF($A58="","",COUNTIFS(Raw_Events!$G:$G,"PRO_CONTACT_ADDED",Raw_Events!$J:$J,$A58,Raw_Events!$C:$C,"&gt;="&amp;Settings!$B$4,Raw_Events!$C:$C,"&lt;="&amp;Settings!$B$5))</f>
        <v/>
      </c>
    </row>
    <row r="59" ht="15" customHeight="1">
      <c r="F59" s="3">
        <f>IF($A59="","",COUNTIFS(Raw_Events!$G:$G,"SOCIAL_MEET",Raw_Events!$J:$J,$A59,Raw_Events!$C:$C,"&gt;="&amp;Settings!$B$4,Raw_Events!$C:$C,"&lt;="&amp;Settings!$B$5))</f>
        <v/>
      </c>
      <c r="G59" s="3">
        <f>IF($A59="","",COUNTIFS(Raw_Events!$G:$G,"DATE",Raw_Events!$J:$J,$A59,Raw_Events!$C:$C,"&gt;="&amp;Settings!$B$4,Raw_Events!$C:$C,"&lt;="&amp;Settings!$B$5))</f>
        <v/>
      </c>
      <c r="H59" s="3">
        <f>IF($A59="","",COUNTIFS(Raw_Events!$G:$G,"SEX",Raw_Events!$J:$J,$A59,Raw_Events!$C:$C,"&gt;="&amp;Settings!$B$4,Raw_Events!$C:$C,"&lt;="&amp;Settings!$B$5))</f>
        <v/>
      </c>
      <c r="I59" s="3">
        <f>IF($A59="","",COUNTIFS(Raw_Events!$G:$G,"PRO_CONTACT_ADDED",Raw_Events!$J:$J,$A59,Raw_Events!$C:$C,"&gt;="&amp;Settings!$B$4,Raw_Events!$C:$C,"&lt;="&amp;Settings!$B$5))</f>
        <v/>
      </c>
    </row>
    <row r="60" ht="15" customHeight="1">
      <c r="F60" s="3">
        <f>IF($A60="","",COUNTIFS(Raw_Events!$G:$G,"SOCIAL_MEET",Raw_Events!$J:$J,$A60,Raw_Events!$C:$C,"&gt;="&amp;Settings!$B$4,Raw_Events!$C:$C,"&lt;="&amp;Settings!$B$5))</f>
        <v/>
      </c>
      <c r="G60" s="3">
        <f>IF($A60="","",COUNTIFS(Raw_Events!$G:$G,"DATE",Raw_Events!$J:$J,$A60,Raw_Events!$C:$C,"&gt;="&amp;Settings!$B$4,Raw_Events!$C:$C,"&lt;="&amp;Settings!$B$5))</f>
        <v/>
      </c>
      <c r="H60" s="3">
        <f>IF($A60="","",COUNTIFS(Raw_Events!$G:$G,"SEX",Raw_Events!$J:$J,$A60,Raw_Events!$C:$C,"&gt;="&amp;Settings!$B$4,Raw_Events!$C:$C,"&lt;="&amp;Settings!$B$5))</f>
        <v/>
      </c>
      <c r="I60" s="3">
        <f>IF($A60="","",COUNTIFS(Raw_Events!$G:$G,"PRO_CONTACT_ADDED",Raw_Events!$J:$J,$A60,Raw_Events!$C:$C,"&gt;="&amp;Settings!$B$4,Raw_Events!$C:$C,"&lt;="&amp;Settings!$B$5))</f>
        <v/>
      </c>
    </row>
    <row r="61" ht="15" customHeight="1">
      <c r="F61" s="3">
        <f>IF($A61="","",COUNTIFS(Raw_Events!$G:$G,"SOCIAL_MEET",Raw_Events!$J:$J,$A61,Raw_Events!$C:$C,"&gt;="&amp;Settings!$B$4,Raw_Events!$C:$C,"&lt;="&amp;Settings!$B$5))</f>
        <v/>
      </c>
      <c r="G61" s="3">
        <f>IF($A61="","",COUNTIFS(Raw_Events!$G:$G,"DATE",Raw_Events!$J:$J,$A61,Raw_Events!$C:$C,"&gt;="&amp;Settings!$B$4,Raw_Events!$C:$C,"&lt;="&amp;Settings!$B$5))</f>
        <v/>
      </c>
      <c r="H61" s="3">
        <f>IF($A61="","",COUNTIFS(Raw_Events!$G:$G,"SEX",Raw_Events!$J:$J,$A61,Raw_Events!$C:$C,"&gt;="&amp;Settings!$B$4,Raw_Events!$C:$C,"&lt;="&amp;Settings!$B$5))</f>
        <v/>
      </c>
      <c r="I61" s="3">
        <f>IF($A61="","",COUNTIFS(Raw_Events!$G:$G,"PRO_CONTACT_ADDED",Raw_Events!$J:$J,$A61,Raw_Events!$C:$C,"&gt;="&amp;Settings!$B$4,Raw_Events!$C:$C,"&lt;="&amp;Settings!$B$5))</f>
        <v/>
      </c>
    </row>
    <row r="62" ht="15" customHeight="1">
      <c r="F62" s="3">
        <f>IF($A62="","",COUNTIFS(Raw_Events!$G:$G,"SOCIAL_MEET",Raw_Events!$J:$J,$A62,Raw_Events!$C:$C,"&gt;="&amp;Settings!$B$4,Raw_Events!$C:$C,"&lt;="&amp;Settings!$B$5))</f>
        <v/>
      </c>
      <c r="G62" s="3">
        <f>IF($A62="","",COUNTIFS(Raw_Events!$G:$G,"DATE",Raw_Events!$J:$J,$A62,Raw_Events!$C:$C,"&gt;="&amp;Settings!$B$4,Raw_Events!$C:$C,"&lt;="&amp;Settings!$B$5))</f>
        <v/>
      </c>
      <c r="H62" s="3">
        <f>IF($A62="","",COUNTIFS(Raw_Events!$G:$G,"SEX",Raw_Events!$J:$J,$A62,Raw_Events!$C:$C,"&gt;="&amp;Settings!$B$4,Raw_Events!$C:$C,"&lt;="&amp;Settings!$B$5))</f>
        <v/>
      </c>
      <c r="I62" s="3">
        <f>IF($A62="","",COUNTIFS(Raw_Events!$G:$G,"PRO_CONTACT_ADDED",Raw_Events!$J:$J,$A62,Raw_Events!$C:$C,"&gt;="&amp;Settings!$B$4,Raw_Events!$C:$C,"&lt;="&amp;Settings!$B$5))</f>
        <v/>
      </c>
    </row>
    <row r="63" ht="15" customHeight="1">
      <c r="F63" s="3">
        <f>IF($A63="","",COUNTIFS(Raw_Events!$G:$G,"SOCIAL_MEET",Raw_Events!$J:$J,$A63,Raw_Events!$C:$C,"&gt;="&amp;Settings!$B$4,Raw_Events!$C:$C,"&lt;="&amp;Settings!$B$5))</f>
        <v/>
      </c>
      <c r="G63" s="3">
        <f>IF($A63="","",COUNTIFS(Raw_Events!$G:$G,"DATE",Raw_Events!$J:$J,$A63,Raw_Events!$C:$C,"&gt;="&amp;Settings!$B$4,Raw_Events!$C:$C,"&lt;="&amp;Settings!$B$5))</f>
        <v/>
      </c>
      <c r="H63" s="3">
        <f>IF($A63="","",COUNTIFS(Raw_Events!$G:$G,"SEX",Raw_Events!$J:$J,$A63,Raw_Events!$C:$C,"&gt;="&amp;Settings!$B$4,Raw_Events!$C:$C,"&lt;="&amp;Settings!$B$5))</f>
        <v/>
      </c>
      <c r="I63" s="3">
        <f>IF($A63="","",COUNTIFS(Raw_Events!$G:$G,"PRO_CONTACT_ADDED",Raw_Events!$J:$J,$A63,Raw_Events!$C:$C,"&gt;="&amp;Settings!$B$4,Raw_Events!$C:$C,"&lt;="&amp;Settings!$B$5))</f>
        <v/>
      </c>
    </row>
    <row r="64" ht="15" customHeight="1">
      <c r="F64" s="3">
        <f>IF($A64="","",COUNTIFS(Raw_Events!$G:$G,"SOCIAL_MEET",Raw_Events!$J:$J,$A64,Raw_Events!$C:$C,"&gt;="&amp;Settings!$B$4,Raw_Events!$C:$C,"&lt;="&amp;Settings!$B$5))</f>
        <v/>
      </c>
      <c r="G64" s="3">
        <f>IF($A64="","",COUNTIFS(Raw_Events!$G:$G,"DATE",Raw_Events!$J:$J,$A64,Raw_Events!$C:$C,"&gt;="&amp;Settings!$B$4,Raw_Events!$C:$C,"&lt;="&amp;Settings!$B$5))</f>
        <v/>
      </c>
      <c r="H64" s="3">
        <f>IF($A64="","",COUNTIFS(Raw_Events!$G:$G,"SEX",Raw_Events!$J:$J,$A64,Raw_Events!$C:$C,"&gt;="&amp;Settings!$B$4,Raw_Events!$C:$C,"&lt;="&amp;Settings!$B$5))</f>
        <v/>
      </c>
      <c r="I64" s="3">
        <f>IF($A64="","",COUNTIFS(Raw_Events!$G:$G,"PRO_CONTACT_ADDED",Raw_Events!$J:$J,$A64,Raw_Events!$C:$C,"&gt;="&amp;Settings!$B$4,Raw_Events!$C:$C,"&lt;="&amp;Settings!$B$5))</f>
        <v/>
      </c>
    </row>
    <row r="65" ht="15" customHeight="1">
      <c r="F65" s="3">
        <f>IF($A65="","",COUNTIFS(Raw_Events!$G:$G,"SOCIAL_MEET",Raw_Events!$J:$J,$A65,Raw_Events!$C:$C,"&gt;="&amp;Settings!$B$4,Raw_Events!$C:$C,"&lt;="&amp;Settings!$B$5))</f>
        <v/>
      </c>
      <c r="G65" s="3">
        <f>IF($A65="","",COUNTIFS(Raw_Events!$G:$G,"DATE",Raw_Events!$J:$J,$A65,Raw_Events!$C:$C,"&gt;="&amp;Settings!$B$4,Raw_Events!$C:$C,"&lt;="&amp;Settings!$B$5))</f>
        <v/>
      </c>
      <c r="H65" s="3">
        <f>IF($A65="","",COUNTIFS(Raw_Events!$G:$G,"SEX",Raw_Events!$J:$J,$A65,Raw_Events!$C:$C,"&gt;="&amp;Settings!$B$4,Raw_Events!$C:$C,"&lt;="&amp;Settings!$B$5))</f>
        <v/>
      </c>
      <c r="I65" s="3">
        <f>IF($A65="","",COUNTIFS(Raw_Events!$G:$G,"PRO_CONTACT_ADDED",Raw_Events!$J:$J,$A65,Raw_Events!$C:$C,"&gt;="&amp;Settings!$B$4,Raw_Events!$C:$C,"&lt;="&amp;Settings!$B$5))</f>
        <v/>
      </c>
    </row>
    <row r="66" ht="15" customHeight="1">
      <c r="F66" s="3">
        <f>IF($A66="","",COUNTIFS(Raw_Events!$G:$G,"SOCIAL_MEET",Raw_Events!$J:$J,$A66,Raw_Events!$C:$C,"&gt;="&amp;Settings!$B$4,Raw_Events!$C:$C,"&lt;="&amp;Settings!$B$5))</f>
        <v/>
      </c>
      <c r="G66" s="3">
        <f>IF($A66="","",COUNTIFS(Raw_Events!$G:$G,"DATE",Raw_Events!$J:$J,$A66,Raw_Events!$C:$C,"&gt;="&amp;Settings!$B$4,Raw_Events!$C:$C,"&lt;="&amp;Settings!$B$5))</f>
        <v/>
      </c>
      <c r="H66" s="3">
        <f>IF($A66="","",COUNTIFS(Raw_Events!$G:$G,"SEX",Raw_Events!$J:$J,$A66,Raw_Events!$C:$C,"&gt;="&amp;Settings!$B$4,Raw_Events!$C:$C,"&lt;="&amp;Settings!$B$5))</f>
        <v/>
      </c>
      <c r="I66" s="3">
        <f>IF($A66="","",COUNTIFS(Raw_Events!$G:$G,"PRO_CONTACT_ADDED",Raw_Events!$J:$J,$A66,Raw_Events!$C:$C,"&gt;="&amp;Settings!$B$4,Raw_Events!$C:$C,"&lt;="&amp;Settings!$B$5))</f>
        <v/>
      </c>
    </row>
    <row r="67" ht="15" customHeight="1">
      <c r="F67" s="3">
        <f>IF($A67="","",COUNTIFS(Raw_Events!$G:$G,"SOCIAL_MEET",Raw_Events!$J:$J,$A67,Raw_Events!$C:$C,"&gt;="&amp;Settings!$B$4,Raw_Events!$C:$C,"&lt;="&amp;Settings!$B$5))</f>
        <v/>
      </c>
      <c r="G67" s="3">
        <f>IF($A67="","",COUNTIFS(Raw_Events!$G:$G,"DATE",Raw_Events!$J:$J,$A67,Raw_Events!$C:$C,"&gt;="&amp;Settings!$B$4,Raw_Events!$C:$C,"&lt;="&amp;Settings!$B$5))</f>
        <v/>
      </c>
      <c r="H67" s="3">
        <f>IF($A67="","",COUNTIFS(Raw_Events!$G:$G,"SEX",Raw_Events!$J:$J,$A67,Raw_Events!$C:$C,"&gt;="&amp;Settings!$B$4,Raw_Events!$C:$C,"&lt;="&amp;Settings!$B$5))</f>
        <v/>
      </c>
      <c r="I67" s="3">
        <f>IF($A67="","",COUNTIFS(Raw_Events!$G:$G,"PRO_CONTACT_ADDED",Raw_Events!$J:$J,$A67,Raw_Events!$C:$C,"&gt;="&amp;Settings!$B$4,Raw_Events!$C:$C,"&lt;="&amp;Settings!$B$5))</f>
        <v/>
      </c>
    </row>
    <row r="68" ht="15" customHeight="1">
      <c r="F68" s="3">
        <f>IF($A68="","",COUNTIFS(Raw_Events!$G:$G,"SOCIAL_MEET",Raw_Events!$J:$J,$A68,Raw_Events!$C:$C,"&gt;="&amp;Settings!$B$4,Raw_Events!$C:$C,"&lt;="&amp;Settings!$B$5))</f>
        <v/>
      </c>
      <c r="G68" s="3">
        <f>IF($A68="","",COUNTIFS(Raw_Events!$G:$G,"DATE",Raw_Events!$J:$J,$A68,Raw_Events!$C:$C,"&gt;="&amp;Settings!$B$4,Raw_Events!$C:$C,"&lt;="&amp;Settings!$B$5))</f>
        <v/>
      </c>
      <c r="H68" s="3">
        <f>IF($A68="","",COUNTIFS(Raw_Events!$G:$G,"SEX",Raw_Events!$J:$J,$A68,Raw_Events!$C:$C,"&gt;="&amp;Settings!$B$4,Raw_Events!$C:$C,"&lt;="&amp;Settings!$B$5))</f>
        <v/>
      </c>
      <c r="I68" s="3">
        <f>IF($A68="","",COUNTIFS(Raw_Events!$G:$G,"PRO_CONTACT_ADDED",Raw_Events!$J:$J,$A68,Raw_Events!$C:$C,"&gt;="&amp;Settings!$B$4,Raw_Events!$C:$C,"&lt;="&amp;Settings!$B$5))</f>
        <v/>
      </c>
    </row>
    <row r="69" ht="15" customHeight="1">
      <c r="F69" s="3">
        <f>IF($A69="","",COUNTIFS(Raw_Events!$G:$G,"SOCIAL_MEET",Raw_Events!$J:$J,$A69,Raw_Events!$C:$C,"&gt;="&amp;Settings!$B$4,Raw_Events!$C:$C,"&lt;="&amp;Settings!$B$5))</f>
        <v/>
      </c>
      <c r="G69" s="3">
        <f>IF($A69="","",COUNTIFS(Raw_Events!$G:$G,"DATE",Raw_Events!$J:$J,$A69,Raw_Events!$C:$C,"&gt;="&amp;Settings!$B$4,Raw_Events!$C:$C,"&lt;="&amp;Settings!$B$5))</f>
        <v/>
      </c>
      <c r="H69" s="3">
        <f>IF($A69="","",COUNTIFS(Raw_Events!$G:$G,"SEX",Raw_Events!$J:$J,$A69,Raw_Events!$C:$C,"&gt;="&amp;Settings!$B$4,Raw_Events!$C:$C,"&lt;="&amp;Settings!$B$5))</f>
        <v/>
      </c>
      <c r="I69" s="3">
        <f>IF($A69="","",COUNTIFS(Raw_Events!$G:$G,"PRO_CONTACT_ADDED",Raw_Events!$J:$J,$A69,Raw_Events!$C:$C,"&gt;="&amp;Settings!$B$4,Raw_Events!$C:$C,"&lt;="&amp;Settings!$B$5))</f>
        <v/>
      </c>
    </row>
    <row r="70" ht="15" customHeight="1">
      <c r="F70" s="3">
        <f>IF($A70="","",COUNTIFS(Raw_Events!$G:$G,"SOCIAL_MEET",Raw_Events!$J:$J,$A70,Raw_Events!$C:$C,"&gt;="&amp;Settings!$B$4,Raw_Events!$C:$C,"&lt;="&amp;Settings!$B$5))</f>
        <v/>
      </c>
      <c r="G70" s="3">
        <f>IF($A70="","",COUNTIFS(Raw_Events!$G:$G,"DATE",Raw_Events!$J:$J,$A70,Raw_Events!$C:$C,"&gt;="&amp;Settings!$B$4,Raw_Events!$C:$C,"&lt;="&amp;Settings!$B$5))</f>
        <v/>
      </c>
      <c r="H70" s="3">
        <f>IF($A70="","",COUNTIFS(Raw_Events!$G:$G,"SEX",Raw_Events!$J:$J,$A70,Raw_Events!$C:$C,"&gt;="&amp;Settings!$B$4,Raw_Events!$C:$C,"&lt;="&amp;Settings!$B$5))</f>
        <v/>
      </c>
      <c r="I70" s="3">
        <f>IF($A70="","",COUNTIFS(Raw_Events!$G:$G,"PRO_CONTACT_ADDED",Raw_Events!$J:$J,$A70,Raw_Events!$C:$C,"&gt;="&amp;Settings!$B$4,Raw_Events!$C:$C,"&lt;="&amp;Settings!$B$5))</f>
        <v/>
      </c>
    </row>
    <row r="71" ht="15" customHeight="1">
      <c r="F71" s="3">
        <f>IF($A71="","",COUNTIFS(Raw_Events!$G:$G,"SOCIAL_MEET",Raw_Events!$J:$J,$A71,Raw_Events!$C:$C,"&gt;="&amp;Settings!$B$4,Raw_Events!$C:$C,"&lt;="&amp;Settings!$B$5))</f>
        <v/>
      </c>
      <c r="G71" s="3">
        <f>IF($A71="","",COUNTIFS(Raw_Events!$G:$G,"DATE",Raw_Events!$J:$J,$A71,Raw_Events!$C:$C,"&gt;="&amp;Settings!$B$4,Raw_Events!$C:$C,"&lt;="&amp;Settings!$B$5))</f>
        <v/>
      </c>
      <c r="H71" s="3">
        <f>IF($A71="","",COUNTIFS(Raw_Events!$G:$G,"SEX",Raw_Events!$J:$J,$A71,Raw_Events!$C:$C,"&gt;="&amp;Settings!$B$4,Raw_Events!$C:$C,"&lt;="&amp;Settings!$B$5))</f>
        <v/>
      </c>
      <c r="I71" s="3">
        <f>IF($A71="","",COUNTIFS(Raw_Events!$G:$G,"PRO_CONTACT_ADDED",Raw_Events!$J:$J,$A71,Raw_Events!$C:$C,"&gt;="&amp;Settings!$B$4,Raw_Events!$C:$C,"&lt;="&amp;Settings!$B$5))</f>
        <v/>
      </c>
    </row>
    <row r="72" ht="15" customHeight="1">
      <c r="F72" s="3">
        <f>IF($A72="","",COUNTIFS(Raw_Events!$G:$G,"SOCIAL_MEET",Raw_Events!$J:$J,$A72,Raw_Events!$C:$C,"&gt;="&amp;Settings!$B$4,Raw_Events!$C:$C,"&lt;="&amp;Settings!$B$5))</f>
        <v/>
      </c>
      <c r="G72" s="3">
        <f>IF($A72="","",COUNTIFS(Raw_Events!$G:$G,"DATE",Raw_Events!$J:$J,$A72,Raw_Events!$C:$C,"&gt;="&amp;Settings!$B$4,Raw_Events!$C:$C,"&lt;="&amp;Settings!$B$5))</f>
        <v/>
      </c>
      <c r="H72" s="3">
        <f>IF($A72="","",COUNTIFS(Raw_Events!$G:$G,"SEX",Raw_Events!$J:$J,$A72,Raw_Events!$C:$C,"&gt;="&amp;Settings!$B$4,Raw_Events!$C:$C,"&lt;="&amp;Settings!$B$5))</f>
        <v/>
      </c>
      <c r="I72" s="3">
        <f>IF($A72="","",COUNTIFS(Raw_Events!$G:$G,"PRO_CONTACT_ADDED",Raw_Events!$J:$J,$A72,Raw_Events!$C:$C,"&gt;="&amp;Settings!$B$4,Raw_Events!$C:$C,"&lt;="&amp;Settings!$B$5))</f>
        <v/>
      </c>
    </row>
    <row r="73" ht="15" customHeight="1">
      <c r="F73" s="3">
        <f>IF($A73="","",COUNTIFS(Raw_Events!$G:$G,"SOCIAL_MEET",Raw_Events!$J:$J,$A73,Raw_Events!$C:$C,"&gt;="&amp;Settings!$B$4,Raw_Events!$C:$C,"&lt;="&amp;Settings!$B$5))</f>
        <v/>
      </c>
      <c r="G73" s="3">
        <f>IF($A73="","",COUNTIFS(Raw_Events!$G:$G,"DATE",Raw_Events!$J:$J,$A73,Raw_Events!$C:$C,"&gt;="&amp;Settings!$B$4,Raw_Events!$C:$C,"&lt;="&amp;Settings!$B$5))</f>
        <v/>
      </c>
      <c r="H73" s="3">
        <f>IF($A73="","",COUNTIFS(Raw_Events!$G:$G,"SEX",Raw_Events!$J:$J,$A73,Raw_Events!$C:$C,"&gt;="&amp;Settings!$B$4,Raw_Events!$C:$C,"&lt;="&amp;Settings!$B$5))</f>
        <v/>
      </c>
      <c r="I73" s="3">
        <f>IF($A73="","",COUNTIFS(Raw_Events!$G:$G,"PRO_CONTACT_ADDED",Raw_Events!$J:$J,$A73,Raw_Events!$C:$C,"&gt;="&amp;Settings!$B$4,Raw_Events!$C:$C,"&lt;="&amp;Settings!$B$5))</f>
        <v/>
      </c>
    </row>
    <row r="74" ht="15" customHeight="1">
      <c r="F74" s="3">
        <f>IF($A74="","",COUNTIFS(Raw_Events!$G:$G,"SOCIAL_MEET",Raw_Events!$J:$J,$A74,Raw_Events!$C:$C,"&gt;="&amp;Settings!$B$4,Raw_Events!$C:$C,"&lt;="&amp;Settings!$B$5))</f>
        <v/>
      </c>
      <c r="G74" s="3">
        <f>IF($A74="","",COUNTIFS(Raw_Events!$G:$G,"DATE",Raw_Events!$J:$J,$A74,Raw_Events!$C:$C,"&gt;="&amp;Settings!$B$4,Raw_Events!$C:$C,"&lt;="&amp;Settings!$B$5))</f>
        <v/>
      </c>
      <c r="H74" s="3">
        <f>IF($A74="","",COUNTIFS(Raw_Events!$G:$G,"SEX",Raw_Events!$J:$J,$A74,Raw_Events!$C:$C,"&gt;="&amp;Settings!$B$4,Raw_Events!$C:$C,"&lt;="&amp;Settings!$B$5))</f>
        <v/>
      </c>
      <c r="I74" s="3">
        <f>IF($A74="","",COUNTIFS(Raw_Events!$G:$G,"PRO_CONTACT_ADDED",Raw_Events!$J:$J,$A74,Raw_Events!$C:$C,"&gt;="&amp;Settings!$B$4,Raw_Events!$C:$C,"&lt;="&amp;Settings!$B$5))</f>
        <v/>
      </c>
    </row>
    <row r="75" ht="15" customHeight="1">
      <c r="F75" s="3">
        <f>IF($A75="","",COUNTIFS(Raw_Events!$G:$G,"SOCIAL_MEET",Raw_Events!$J:$J,$A75,Raw_Events!$C:$C,"&gt;="&amp;Settings!$B$4,Raw_Events!$C:$C,"&lt;="&amp;Settings!$B$5))</f>
        <v/>
      </c>
      <c r="G75" s="3">
        <f>IF($A75="","",COUNTIFS(Raw_Events!$G:$G,"DATE",Raw_Events!$J:$J,$A75,Raw_Events!$C:$C,"&gt;="&amp;Settings!$B$4,Raw_Events!$C:$C,"&lt;="&amp;Settings!$B$5))</f>
        <v/>
      </c>
      <c r="H75" s="3">
        <f>IF($A75="","",COUNTIFS(Raw_Events!$G:$G,"SEX",Raw_Events!$J:$J,$A75,Raw_Events!$C:$C,"&gt;="&amp;Settings!$B$4,Raw_Events!$C:$C,"&lt;="&amp;Settings!$B$5))</f>
        <v/>
      </c>
      <c r="I75" s="3">
        <f>IF($A75="","",COUNTIFS(Raw_Events!$G:$G,"PRO_CONTACT_ADDED",Raw_Events!$J:$J,$A75,Raw_Events!$C:$C,"&gt;="&amp;Settings!$B$4,Raw_Events!$C:$C,"&lt;="&amp;Settings!$B$5))</f>
        <v/>
      </c>
    </row>
    <row r="76" ht="15" customHeight="1">
      <c r="F76" s="3">
        <f>IF($A76="","",COUNTIFS(Raw_Events!$G:$G,"SOCIAL_MEET",Raw_Events!$J:$J,$A76,Raw_Events!$C:$C,"&gt;="&amp;Settings!$B$4,Raw_Events!$C:$C,"&lt;="&amp;Settings!$B$5))</f>
        <v/>
      </c>
      <c r="G76" s="3">
        <f>IF($A76="","",COUNTIFS(Raw_Events!$G:$G,"DATE",Raw_Events!$J:$J,$A76,Raw_Events!$C:$C,"&gt;="&amp;Settings!$B$4,Raw_Events!$C:$C,"&lt;="&amp;Settings!$B$5))</f>
        <v/>
      </c>
      <c r="H76" s="3">
        <f>IF($A76="","",COUNTIFS(Raw_Events!$G:$G,"SEX",Raw_Events!$J:$J,$A76,Raw_Events!$C:$C,"&gt;="&amp;Settings!$B$4,Raw_Events!$C:$C,"&lt;="&amp;Settings!$B$5))</f>
        <v/>
      </c>
      <c r="I76" s="3">
        <f>IF($A76="","",COUNTIFS(Raw_Events!$G:$G,"PRO_CONTACT_ADDED",Raw_Events!$J:$J,$A76,Raw_Events!$C:$C,"&gt;="&amp;Settings!$B$4,Raw_Events!$C:$C,"&lt;="&amp;Settings!$B$5))</f>
        <v/>
      </c>
    </row>
    <row r="77" ht="15" customHeight="1">
      <c r="F77" s="3">
        <f>IF($A77="","",COUNTIFS(Raw_Events!$G:$G,"SOCIAL_MEET",Raw_Events!$J:$J,$A77,Raw_Events!$C:$C,"&gt;="&amp;Settings!$B$4,Raw_Events!$C:$C,"&lt;="&amp;Settings!$B$5))</f>
        <v/>
      </c>
      <c r="G77" s="3">
        <f>IF($A77="","",COUNTIFS(Raw_Events!$G:$G,"DATE",Raw_Events!$J:$J,$A77,Raw_Events!$C:$C,"&gt;="&amp;Settings!$B$4,Raw_Events!$C:$C,"&lt;="&amp;Settings!$B$5))</f>
        <v/>
      </c>
      <c r="H77" s="3">
        <f>IF($A77="","",COUNTIFS(Raw_Events!$G:$G,"SEX",Raw_Events!$J:$J,$A77,Raw_Events!$C:$C,"&gt;="&amp;Settings!$B$4,Raw_Events!$C:$C,"&lt;="&amp;Settings!$B$5))</f>
        <v/>
      </c>
      <c r="I77" s="3">
        <f>IF($A77="","",COUNTIFS(Raw_Events!$G:$G,"PRO_CONTACT_ADDED",Raw_Events!$J:$J,$A77,Raw_Events!$C:$C,"&gt;="&amp;Settings!$B$4,Raw_Events!$C:$C,"&lt;="&amp;Settings!$B$5))</f>
        <v/>
      </c>
    </row>
    <row r="78" ht="15" customHeight="1">
      <c r="F78" s="3">
        <f>IF($A78="","",COUNTIFS(Raw_Events!$G:$G,"SOCIAL_MEET",Raw_Events!$J:$J,$A78,Raw_Events!$C:$C,"&gt;="&amp;Settings!$B$4,Raw_Events!$C:$C,"&lt;="&amp;Settings!$B$5))</f>
        <v/>
      </c>
      <c r="G78" s="3">
        <f>IF($A78="","",COUNTIFS(Raw_Events!$G:$G,"DATE",Raw_Events!$J:$J,$A78,Raw_Events!$C:$C,"&gt;="&amp;Settings!$B$4,Raw_Events!$C:$C,"&lt;="&amp;Settings!$B$5))</f>
        <v/>
      </c>
      <c r="H78" s="3">
        <f>IF($A78="","",COUNTIFS(Raw_Events!$G:$G,"SEX",Raw_Events!$J:$J,$A78,Raw_Events!$C:$C,"&gt;="&amp;Settings!$B$4,Raw_Events!$C:$C,"&lt;="&amp;Settings!$B$5))</f>
        <v/>
      </c>
      <c r="I78" s="3">
        <f>IF($A78="","",COUNTIFS(Raw_Events!$G:$G,"PRO_CONTACT_ADDED",Raw_Events!$J:$J,$A78,Raw_Events!$C:$C,"&gt;="&amp;Settings!$B$4,Raw_Events!$C:$C,"&lt;="&amp;Settings!$B$5))</f>
        <v/>
      </c>
    </row>
    <row r="79" ht="15" customHeight="1">
      <c r="F79" s="3">
        <f>IF($A79="","",COUNTIFS(Raw_Events!$G:$G,"SOCIAL_MEET",Raw_Events!$J:$J,$A79,Raw_Events!$C:$C,"&gt;="&amp;Settings!$B$4,Raw_Events!$C:$C,"&lt;="&amp;Settings!$B$5))</f>
        <v/>
      </c>
      <c r="G79" s="3">
        <f>IF($A79="","",COUNTIFS(Raw_Events!$G:$G,"DATE",Raw_Events!$J:$J,$A79,Raw_Events!$C:$C,"&gt;="&amp;Settings!$B$4,Raw_Events!$C:$C,"&lt;="&amp;Settings!$B$5))</f>
        <v/>
      </c>
      <c r="H79" s="3">
        <f>IF($A79="","",COUNTIFS(Raw_Events!$G:$G,"SEX",Raw_Events!$J:$J,$A79,Raw_Events!$C:$C,"&gt;="&amp;Settings!$B$4,Raw_Events!$C:$C,"&lt;="&amp;Settings!$B$5))</f>
        <v/>
      </c>
      <c r="I79" s="3">
        <f>IF($A79="","",COUNTIFS(Raw_Events!$G:$G,"PRO_CONTACT_ADDED",Raw_Events!$J:$J,$A79,Raw_Events!$C:$C,"&gt;="&amp;Settings!$B$4,Raw_Events!$C:$C,"&lt;="&amp;Settings!$B$5))</f>
        <v/>
      </c>
    </row>
    <row r="80" ht="15" customHeight="1">
      <c r="F80" s="3">
        <f>IF($A80="","",COUNTIFS(Raw_Events!$G:$G,"SOCIAL_MEET",Raw_Events!$J:$J,$A80,Raw_Events!$C:$C,"&gt;="&amp;Settings!$B$4,Raw_Events!$C:$C,"&lt;="&amp;Settings!$B$5))</f>
        <v/>
      </c>
      <c r="G80" s="3">
        <f>IF($A80="","",COUNTIFS(Raw_Events!$G:$G,"DATE",Raw_Events!$J:$J,$A80,Raw_Events!$C:$C,"&gt;="&amp;Settings!$B$4,Raw_Events!$C:$C,"&lt;="&amp;Settings!$B$5))</f>
        <v/>
      </c>
      <c r="H80" s="3">
        <f>IF($A80="","",COUNTIFS(Raw_Events!$G:$G,"SEX",Raw_Events!$J:$J,$A80,Raw_Events!$C:$C,"&gt;="&amp;Settings!$B$4,Raw_Events!$C:$C,"&lt;="&amp;Settings!$B$5))</f>
        <v/>
      </c>
      <c r="I80" s="3">
        <f>IF($A80="","",COUNTIFS(Raw_Events!$G:$G,"PRO_CONTACT_ADDED",Raw_Events!$J:$J,$A80,Raw_Events!$C:$C,"&gt;="&amp;Settings!$B$4,Raw_Events!$C:$C,"&lt;="&amp;Settings!$B$5))</f>
        <v/>
      </c>
    </row>
    <row r="81" ht="15" customHeight="1">
      <c r="F81" s="3">
        <f>IF($A81="","",COUNTIFS(Raw_Events!$G:$G,"SOCIAL_MEET",Raw_Events!$J:$J,$A81,Raw_Events!$C:$C,"&gt;="&amp;Settings!$B$4,Raw_Events!$C:$C,"&lt;="&amp;Settings!$B$5))</f>
        <v/>
      </c>
      <c r="G81" s="3">
        <f>IF($A81="","",COUNTIFS(Raw_Events!$G:$G,"DATE",Raw_Events!$J:$J,$A81,Raw_Events!$C:$C,"&gt;="&amp;Settings!$B$4,Raw_Events!$C:$C,"&lt;="&amp;Settings!$B$5))</f>
        <v/>
      </c>
      <c r="H81" s="3">
        <f>IF($A81="","",COUNTIFS(Raw_Events!$G:$G,"SEX",Raw_Events!$J:$J,$A81,Raw_Events!$C:$C,"&gt;="&amp;Settings!$B$4,Raw_Events!$C:$C,"&lt;="&amp;Settings!$B$5))</f>
        <v/>
      </c>
      <c r="I81" s="3">
        <f>IF($A81="","",COUNTIFS(Raw_Events!$G:$G,"PRO_CONTACT_ADDED",Raw_Events!$J:$J,$A81,Raw_Events!$C:$C,"&gt;="&amp;Settings!$B$4,Raw_Events!$C:$C,"&lt;="&amp;Settings!$B$5))</f>
        <v/>
      </c>
    </row>
    <row r="82" ht="15" customHeight="1">
      <c r="F82" s="3">
        <f>IF($A82="","",COUNTIFS(Raw_Events!$G:$G,"SOCIAL_MEET",Raw_Events!$J:$J,$A82,Raw_Events!$C:$C,"&gt;="&amp;Settings!$B$4,Raw_Events!$C:$C,"&lt;="&amp;Settings!$B$5))</f>
        <v/>
      </c>
      <c r="G82" s="3">
        <f>IF($A82="","",COUNTIFS(Raw_Events!$G:$G,"DATE",Raw_Events!$J:$J,$A82,Raw_Events!$C:$C,"&gt;="&amp;Settings!$B$4,Raw_Events!$C:$C,"&lt;="&amp;Settings!$B$5))</f>
        <v/>
      </c>
      <c r="H82" s="3">
        <f>IF($A82="","",COUNTIFS(Raw_Events!$G:$G,"SEX",Raw_Events!$J:$J,$A82,Raw_Events!$C:$C,"&gt;="&amp;Settings!$B$4,Raw_Events!$C:$C,"&lt;="&amp;Settings!$B$5))</f>
        <v/>
      </c>
      <c r="I82" s="3">
        <f>IF($A82="","",COUNTIFS(Raw_Events!$G:$G,"PRO_CONTACT_ADDED",Raw_Events!$J:$J,$A82,Raw_Events!$C:$C,"&gt;="&amp;Settings!$B$4,Raw_Events!$C:$C,"&lt;="&amp;Settings!$B$5))</f>
        <v/>
      </c>
    </row>
    <row r="83" ht="15" customHeight="1">
      <c r="F83" s="3">
        <f>IF($A83="","",COUNTIFS(Raw_Events!$G:$G,"SOCIAL_MEET",Raw_Events!$J:$J,$A83,Raw_Events!$C:$C,"&gt;="&amp;Settings!$B$4,Raw_Events!$C:$C,"&lt;="&amp;Settings!$B$5))</f>
        <v/>
      </c>
      <c r="G83" s="3">
        <f>IF($A83="","",COUNTIFS(Raw_Events!$G:$G,"DATE",Raw_Events!$J:$J,$A83,Raw_Events!$C:$C,"&gt;="&amp;Settings!$B$4,Raw_Events!$C:$C,"&lt;="&amp;Settings!$B$5))</f>
        <v/>
      </c>
      <c r="H83" s="3">
        <f>IF($A83="","",COUNTIFS(Raw_Events!$G:$G,"SEX",Raw_Events!$J:$J,$A83,Raw_Events!$C:$C,"&gt;="&amp;Settings!$B$4,Raw_Events!$C:$C,"&lt;="&amp;Settings!$B$5))</f>
        <v/>
      </c>
      <c r="I83" s="3">
        <f>IF($A83="","",COUNTIFS(Raw_Events!$G:$G,"PRO_CONTACT_ADDED",Raw_Events!$J:$J,$A83,Raw_Events!$C:$C,"&gt;="&amp;Settings!$B$4,Raw_Events!$C:$C,"&lt;="&amp;Settings!$B$5))</f>
        <v/>
      </c>
    </row>
    <row r="84" ht="15" customHeight="1">
      <c r="F84" s="3">
        <f>IF($A84="","",COUNTIFS(Raw_Events!$G:$G,"SOCIAL_MEET",Raw_Events!$J:$J,$A84,Raw_Events!$C:$C,"&gt;="&amp;Settings!$B$4,Raw_Events!$C:$C,"&lt;="&amp;Settings!$B$5))</f>
        <v/>
      </c>
      <c r="G84" s="3">
        <f>IF($A84="","",COUNTIFS(Raw_Events!$G:$G,"DATE",Raw_Events!$J:$J,$A84,Raw_Events!$C:$C,"&gt;="&amp;Settings!$B$4,Raw_Events!$C:$C,"&lt;="&amp;Settings!$B$5))</f>
        <v/>
      </c>
      <c r="H84" s="3">
        <f>IF($A84="","",COUNTIFS(Raw_Events!$G:$G,"SEX",Raw_Events!$J:$J,$A84,Raw_Events!$C:$C,"&gt;="&amp;Settings!$B$4,Raw_Events!$C:$C,"&lt;="&amp;Settings!$B$5))</f>
        <v/>
      </c>
      <c r="I84" s="3">
        <f>IF($A84="","",COUNTIFS(Raw_Events!$G:$G,"PRO_CONTACT_ADDED",Raw_Events!$J:$J,$A84,Raw_Events!$C:$C,"&gt;="&amp;Settings!$B$4,Raw_Events!$C:$C,"&lt;="&amp;Settings!$B$5))</f>
        <v/>
      </c>
    </row>
    <row r="85" ht="15" customHeight="1">
      <c r="F85" s="3">
        <f>IF($A85="","",COUNTIFS(Raw_Events!$G:$G,"SOCIAL_MEET",Raw_Events!$J:$J,$A85,Raw_Events!$C:$C,"&gt;="&amp;Settings!$B$4,Raw_Events!$C:$C,"&lt;="&amp;Settings!$B$5))</f>
        <v/>
      </c>
      <c r="G85" s="3">
        <f>IF($A85="","",COUNTIFS(Raw_Events!$G:$G,"DATE",Raw_Events!$J:$J,$A85,Raw_Events!$C:$C,"&gt;="&amp;Settings!$B$4,Raw_Events!$C:$C,"&lt;="&amp;Settings!$B$5))</f>
        <v/>
      </c>
      <c r="H85" s="3">
        <f>IF($A85="","",COUNTIFS(Raw_Events!$G:$G,"SEX",Raw_Events!$J:$J,$A85,Raw_Events!$C:$C,"&gt;="&amp;Settings!$B$4,Raw_Events!$C:$C,"&lt;="&amp;Settings!$B$5))</f>
        <v/>
      </c>
      <c r="I85" s="3">
        <f>IF($A85="","",COUNTIFS(Raw_Events!$G:$G,"PRO_CONTACT_ADDED",Raw_Events!$J:$J,$A85,Raw_Events!$C:$C,"&gt;="&amp;Settings!$B$4,Raw_Events!$C:$C,"&lt;="&amp;Settings!$B$5))</f>
        <v/>
      </c>
    </row>
    <row r="86" ht="15" customHeight="1">
      <c r="F86" s="3">
        <f>IF($A86="","",COUNTIFS(Raw_Events!$G:$G,"SOCIAL_MEET",Raw_Events!$J:$J,$A86,Raw_Events!$C:$C,"&gt;="&amp;Settings!$B$4,Raw_Events!$C:$C,"&lt;="&amp;Settings!$B$5))</f>
        <v/>
      </c>
      <c r="G86" s="3">
        <f>IF($A86="","",COUNTIFS(Raw_Events!$G:$G,"DATE",Raw_Events!$J:$J,$A86,Raw_Events!$C:$C,"&gt;="&amp;Settings!$B$4,Raw_Events!$C:$C,"&lt;="&amp;Settings!$B$5))</f>
        <v/>
      </c>
      <c r="H86" s="3">
        <f>IF($A86="","",COUNTIFS(Raw_Events!$G:$G,"SEX",Raw_Events!$J:$J,$A86,Raw_Events!$C:$C,"&gt;="&amp;Settings!$B$4,Raw_Events!$C:$C,"&lt;="&amp;Settings!$B$5))</f>
        <v/>
      </c>
      <c r="I86" s="3">
        <f>IF($A86="","",COUNTIFS(Raw_Events!$G:$G,"PRO_CONTACT_ADDED",Raw_Events!$J:$J,$A86,Raw_Events!$C:$C,"&gt;="&amp;Settings!$B$4,Raw_Events!$C:$C,"&lt;="&amp;Settings!$B$5))</f>
        <v/>
      </c>
    </row>
    <row r="87" ht="15" customHeight="1">
      <c r="F87" s="3">
        <f>IF($A87="","",COUNTIFS(Raw_Events!$G:$G,"SOCIAL_MEET",Raw_Events!$J:$J,$A87,Raw_Events!$C:$C,"&gt;="&amp;Settings!$B$4,Raw_Events!$C:$C,"&lt;="&amp;Settings!$B$5))</f>
        <v/>
      </c>
      <c r="G87" s="3">
        <f>IF($A87="","",COUNTIFS(Raw_Events!$G:$G,"DATE",Raw_Events!$J:$J,$A87,Raw_Events!$C:$C,"&gt;="&amp;Settings!$B$4,Raw_Events!$C:$C,"&lt;="&amp;Settings!$B$5))</f>
        <v/>
      </c>
      <c r="H87" s="3">
        <f>IF($A87="","",COUNTIFS(Raw_Events!$G:$G,"SEX",Raw_Events!$J:$J,$A87,Raw_Events!$C:$C,"&gt;="&amp;Settings!$B$4,Raw_Events!$C:$C,"&lt;="&amp;Settings!$B$5))</f>
        <v/>
      </c>
      <c r="I87" s="3">
        <f>IF($A87="","",COUNTIFS(Raw_Events!$G:$G,"PRO_CONTACT_ADDED",Raw_Events!$J:$J,$A87,Raw_Events!$C:$C,"&gt;="&amp;Settings!$B$4,Raw_Events!$C:$C,"&lt;="&amp;Settings!$B$5))</f>
        <v/>
      </c>
    </row>
    <row r="88" ht="15" customHeight="1">
      <c r="F88" s="3">
        <f>IF($A88="","",COUNTIFS(Raw_Events!$G:$G,"SOCIAL_MEET",Raw_Events!$J:$J,$A88,Raw_Events!$C:$C,"&gt;="&amp;Settings!$B$4,Raw_Events!$C:$C,"&lt;="&amp;Settings!$B$5))</f>
        <v/>
      </c>
      <c r="G88" s="3">
        <f>IF($A88="","",COUNTIFS(Raw_Events!$G:$G,"DATE",Raw_Events!$J:$J,$A88,Raw_Events!$C:$C,"&gt;="&amp;Settings!$B$4,Raw_Events!$C:$C,"&lt;="&amp;Settings!$B$5))</f>
        <v/>
      </c>
      <c r="H88" s="3">
        <f>IF($A88="","",COUNTIFS(Raw_Events!$G:$G,"SEX",Raw_Events!$J:$J,$A88,Raw_Events!$C:$C,"&gt;="&amp;Settings!$B$4,Raw_Events!$C:$C,"&lt;="&amp;Settings!$B$5))</f>
        <v/>
      </c>
      <c r="I88" s="3">
        <f>IF($A88="","",COUNTIFS(Raw_Events!$G:$G,"PRO_CONTACT_ADDED",Raw_Events!$J:$J,$A88,Raw_Events!$C:$C,"&gt;="&amp;Settings!$B$4,Raw_Events!$C:$C,"&lt;="&amp;Settings!$B$5))</f>
        <v/>
      </c>
    </row>
    <row r="89" ht="15" customHeight="1">
      <c r="F89" s="3">
        <f>IF($A89="","",COUNTIFS(Raw_Events!$G:$G,"SOCIAL_MEET",Raw_Events!$J:$J,$A89,Raw_Events!$C:$C,"&gt;="&amp;Settings!$B$4,Raw_Events!$C:$C,"&lt;="&amp;Settings!$B$5))</f>
        <v/>
      </c>
      <c r="G89" s="3">
        <f>IF($A89="","",COUNTIFS(Raw_Events!$G:$G,"DATE",Raw_Events!$J:$J,$A89,Raw_Events!$C:$C,"&gt;="&amp;Settings!$B$4,Raw_Events!$C:$C,"&lt;="&amp;Settings!$B$5))</f>
        <v/>
      </c>
      <c r="H89" s="3">
        <f>IF($A89="","",COUNTIFS(Raw_Events!$G:$G,"SEX",Raw_Events!$J:$J,$A89,Raw_Events!$C:$C,"&gt;="&amp;Settings!$B$4,Raw_Events!$C:$C,"&lt;="&amp;Settings!$B$5))</f>
        <v/>
      </c>
      <c r="I89" s="3">
        <f>IF($A89="","",COUNTIFS(Raw_Events!$G:$G,"PRO_CONTACT_ADDED",Raw_Events!$J:$J,$A89,Raw_Events!$C:$C,"&gt;="&amp;Settings!$B$4,Raw_Events!$C:$C,"&lt;="&amp;Settings!$B$5))</f>
        <v/>
      </c>
    </row>
    <row r="90" ht="15" customHeight="1">
      <c r="F90" s="3">
        <f>IF($A90="","",COUNTIFS(Raw_Events!$G:$G,"SOCIAL_MEET",Raw_Events!$J:$J,$A90,Raw_Events!$C:$C,"&gt;="&amp;Settings!$B$4,Raw_Events!$C:$C,"&lt;="&amp;Settings!$B$5))</f>
        <v/>
      </c>
      <c r="G90" s="3">
        <f>IF($A90="","",COUNTIFS(Raw_Events!$G:$G,"DATE",Raw_Events!$J:$J,$A90,Raw_Events!$C:$C,"&gt;="&amp;Settings!$B$4,Raw_Events!$C:$C,"&lt;="&amp;Settings!$B$5))</f>
        <v/>
      </c>
      <c r="H90" s="3">
        <f>IF($A90="","",COUNTIFS(Raw_Events!$G:$G,"SEX",Raw_Events!$J:$J,$A90,Raw_Events!$C:$C,"&gt;="&amp;Settings!$B$4,Raw_Events!$C:$C,"&lt;="&amp;Settings!$B$5))</f>
        <v/>
      </c>
      <c r="I90" s="3">
        <f>IF($A90="","",COUNTIFS(Raw_Events!$G:$G,"PRO_CONTACT_ADDED",Raw_Events!$J:$J,$A90,Raw_Events!$C:$C,"&gt;="&amp;Settings!$B$4,Raw_Events!$C:$C,"&lt;="&amp;Settings!$B$5))</f>
        <v/>
      </c>
    </row>
    <row r="91" ht="15" customHeight="1">
      <c r="F91" s="3">
        <f>IF($A91="","",COUNTIFS(Raw_Events!$G:$G,"SOCIAL_MEET",Raw_Events!$J:$J,$A91,Raw_Events!$C:$C,"&gt;="&amp;Settings!$B$4,Raw_Events!$C:$C,"&lt;="&amp;Settings!$B$5))</f>
        <v/>
      </c>
      <c r="G91" s="3">
        <f>IF($A91="","",COUNTIFS(Raw_Events!$G:$G,"DATE",Raw_Events!$J:$J,$A91,Raw_Events!$C:$C,"&gt;="&amp;Settings!$B$4,Raw_Events!$C:$C,"&lt;="&amp;Settings!$B$5))</f>
        <v/>
      </c>
      <c r="H91" s="3">
        <f>IF($A91="","",COUNTIFS(Raw_Events!$G:$G,"SEX",Raw_Events!$J:$J,$A91,Raw_Events!$C:$C,"&gt;="&amp;Settings!$B$4,Raw_Events!$C:$C,"&lt;="&amp;Settings!$B$5))</f>
        <v/>
      </c>
      <c r="I91" s="3">
        <f>IF($A91="","",COUNTIFS(Raw_Events!$G:$G,"PRO_CONTACT_ADDED",Raw_Events!$J:$J,$A91,Raw_Events!$C:$C,"&gt;="&amp;Settings!$B$4,Raw_Events!$C:$C,"&lt;="&amp;Settings!$B$5))</f>
        <v/>
      </c>
    </row>
    <row r="92" ht="15" customHeight="1">
      <c r="F92" s="3">
        <f>IF($A92="","",COUNTIFS(Raw_Events!$G:$G,"SOCIAL_MEET",Raw_Events!$J:$J,$A92,Raw_Events!$C:$C,"&gt;="&amp;Settings!$B$4,Raw_Events!$C:$C,"&lt;="&amp;Settings!$B$5))</f>
        <v/>
      </c>
      <c r="G92" s="3">
        <f>IF($A92="","",COUNTIFS(Raw_Events!$G:$G,"DATE",Raw_Events!$J:$J,$A92,Raw_Events!$C:$C,"&gt;="&amp;Settings!$B$4,Raw_Events!$C:$C,"&lt;="&amp;Settings!$B$5))</f>
        <v/>
      </c>
      <c r="H92" s="3">
        <f>IF($A92="","",COUNTIFS(Raw_Events!$G:$G,"SEX",Raw_Events!$J:$J,$A92,Raw_Events!$C:$C,"&gt;="&amp;Settings!$B$4,Raw_Events!$C:$C,"&lt;="&amp;Settings!$B$5))</f>
        <v/>
      </c>
      <c r="I92" s="3">
        <f>IF($A92="","",COUNTIFS(Raw_Events!$G:$G,"PRO_CONTACT_ADDED",Raw_Events!$J:$J,$A92,Raw_Events!$C:$C,"&gt;="&amp;Settings!$B$4,Raw_Events!$C:$C,"&lt;="&amp;Settings!$B$5))</f>
        <v/>
      </c>
    </row>
    <row r="93" ht="15" customHeight="1">
      <c r="F93" s="3">
        <f>IF($A93="","",COUNTIFS(Raw_Events!$G:$G,"SOCIAL_MEET",Raw_Events!$J:$J,$A93,Raw_Events!$C:$C,"&gt;="&amp;Settings!$B$4,Raw_Events!$C:$C,"&lt;="&amp;Settings!$B$5))</f>
        <v/>
      </c>
      <c r="G93" s="3">
        <f>IF($A93="","",COUNTIFS(Raw_Events!$G:$G,"DATE",Raw_Events!$J:$J,$A93,Raw_Events!$C:$C,"&gt;="&amp;Settings!$B$4,Raw_Events!$C:$C,"&lt;="&amp;Settings!$B$5))</f>
        <v/>
      </c>
      <c r="H93" s="3">
        <f>IF($A93="","",COUNTIFS(Raw_Events!$G:$G,"SEX",Raw_Events!$J:$J,$A93,Raw_Events!$C:$C,"&gt;="&amp;Settings!$B$4,Raw_Events!$C:$C,"&lt;="&amp;Settings!$B$5))</f>
        <v/>
      </c>
      <c r="I93" s="3">
        <f>IF($A93="","",COUNTIFS(Raw_Events!$G:$G,"PRO_CONTACT_ADDED",Raw_Events!$J:$J,$A93,Raw_Events!$C:$C,"&gt;="&amp;Settings!$B$4,Raw_Events!$C:$C,"&lt;="&amp;Settings!$B$5))</f>
        <v/>
      </c>
    </row>
    <row r="94" ht="15" customHeight="1">
      <c r="F94" s="3">
        <f>IF($A94="","",COUNTIFS(Raw_Events!$G:$G,"SOCIAL_MEET",Raw_Events!$J:$J,$A94,Raw_Events!$C:$C,"&gt;="&amp;Settings!$B$4,Raw_Events!$C:$C,"&lt;="&amp;Settings!$B$5))</f>
        <v/>
      </c>
      <c r="G94" s="3">
        <f>IF($A94="","",COUNTIFS(Raw_Events!$G:$G,"DATE",Raw_Events!$J:$J,$A94,Raw_Events!$C:$C,"&gt;="&amp;Settings!$B$4,Raw_Events!$C:$C,"&lt;="&amp;Settings!$B$5))</f>
        <v/>
      </c>
      <c r="H94" s="3">
        <f>IF($A94="","",COUNTIFS(Raw_Events!$G:$G,"SEX",Raw_Events!$J:$J,$A94,Raw_Events!$C:$C,"&gt;="&amp;Settings!$B$4,Raw_Events!$C:$C,"&lt;="&amp;Settings!$B$5))</f>
        <v/>
      </c>
      <c r="I94" s="3">
        <f>IF($A94="","",COUNTIFS(Raw_Events!$G:$G,"PRO_CONTACT_ADDED",Raw_Events!$J:$J,$A94,Raw_Events!$C:$C,"&gt;="&amp;Settings!$B$4,Raw_Events!$C:$C,"&lt;="&amp;Settings!$B$5))</f>
        <v/>
      </c>
    </row>
    <row r="95" ht="15" customHeight="1">
      <c r="F95" s="3">
        <f>IF($A95="","",COUNTIFS(Raw_Events!$G:$G,"SOCIAL_MEET",Raw_Events!$J:$J,$A95,Raw_Events!$C:$C,"&gt;="&amp;Settings!$B$4,Raw_Events!$C:$C,"&lt;="&amp;Settings!$B$5))</f>
        <v/>
      </c>
      <c r="G95" s="3">
        <f>IF($A95="","",COUNTIFS(Raw_Events!$G:$G,"DATE",Raw_Events!$J:$J,$A95,Raw_Events!$C:$C,"&gt;="&amp;Settings!$B$4,Raw_Events!$C:$C,"&lt;="&amp;Settings!$B$5))</f>
        <v/>
      </c>
      <c r="H95" s="3">
        <f>IF($A95="","",COUNTIFS(Raw_Events!$G:$G,"SEX",Raw_Events!$J:$J,$A95,Raw_Events!$C:$C,"&gt;="&amp;Settings!$B$4,Raw_Events!$C:$C,"&lt;="&amp;Settings!$B$5))</f>
        <v/>
      </c>
      <c r="I95" s="3">
        <f>IF($A95="","",COUNTIFS(Raw_Events!$G:$G,"PRO_CONTACT_ADDED",Raw_Events!$J:$J,$A95,Raw_Events!$C:$C,"&gt;="&amp;Settings!$B$4,Raw_Events!$C:$C,"&lt;="&amp;Settings!$B$5))</f>
        <v/>
      </c>
    </row>
    <row r="96" ht="15" customHeight="1">
      <c r="F96" s="3">
        <f>IF($A96="","",COUNTIFS(Raw_Events!$G:$G,"SOCIAL_MEET",Raw_Events!$J:$J,$A96,Raw_Events!$C:$C,"&gt;="&amp;Settings!$B$4,Raw_Events!$C:$C,"&lt;="&amp;Settings!$B$5))</f>
        <v/>
      </c>
      <c r="G96" s="3">
        <f>IF($A96="","",COUNTIFS(Raw_Events!$G:$G,"DATE",Raw_Events!$J:$J,$A96,Raw_Events!$C:$C,"&gt;="&amp;Settings!$B$4,Raw_Events!$C:$C,"&lt;="&amp;Settings!$B$5))</f>
        <v/>
      </c>
      <c r="H96" s="3">
        <f>IF($A96="","",COUNTIFS(Raw_Events!$G:$G,"SEX",Raw_Events!$J:$J,$A96,Raw_Events!$C:$C,"&gt;="&amp;Settings!$B$4,Raw_Events!$C:$C,"&lt;="&amp;Settings!$B$5))</f>
        <v/>
      </c>
      <c r="I96" s="3">
        <f>IF($A96="","",COUNTIFS(Raw_Events!$G:$G,"PRO_CONTACT_ADDED",Raw_Events!$J:$J,$A96,Raw_Events!$C:$C,"&gt;="&amp;Settings!$B$4,Raw_Events!$C:$C,"&lt;="&amp;Settings!$B$5))</f>
        <v/>
      </c>
    </row>
    <row r="97" ht="15" customHeight="1">
      <c r="F97" s="3">
        <f>IF($A97="","",COUNTIFS(Raw_Events!$G:$G,"SOCIAL_MEET",Raw_Events!$J:$J,$A97,Raw_Events!$C:$C,"&gt;="&amp;Settings!$B$4,Raw_Events!$C:$C,"&lt;="&amp;Settings!$B$5))</f>
        <v/>
      </c>
      <c r="G97" s="3">
        <f>IF($A97="","",COUNTIFS(Raw_Events!$G:$G,"DATE",Raw_Events!$J:$J,$A97,Raw_Events!$C:$C,"&gt;="&amp;Settings!$B$4,Raw_Events!$C:$C,"&lt;="&amp;Settings!$B$5))</f>
        <v/>
      </c>
      <c r="H97" s="3">
        <f>IF($A97="","",COUNTIFS(Raw_Events!$G:$G,"SEX",Raw_Events!$J:$J,$A97,Raw_Events!$C:$C,"&gt;="&amp;Settings!$B$4,Raw_Events!$C:$C,"&lt;="&amp;Settings!$B$5))</f>
        <v/>
      </c>
      <c r="I97" s="3">
        <f>IF($A97="","",COUNTIFS(Raw_Events!$G:$G,"PRO_CONTACT_ADDED",Raw_Events!$J:$J,$A97,Raw_Events!$C:$C,"&gt;="&amp;Settings!$B$4,Raw_Events!$C:$C,"&lt;="&amp;Settings!$B$5))</f>
        <v/>
      </c>
    </row>
    <row r="98" ht="15" customHeight="1">
      <c r="F98" s="3">
        <f>IF($A98="","",COUNTIFS(Raw_Events!$G:$G,"SOCIAL_MEET",Raw_Events!$J:$J,$A98,Raw_Events!$C:$C,"&gt;="&amp;Settings!$B$4,Raw_Events!$C:$C,"&lt;="&amp;Settings!$B$5))</f>
        <v/>
      </c>
      <c r="G98" s="3">
        <f>IF($A98="","",COUNTIFS(Raw_Events!$G:$G,"DATE",Raw_Events!$J:$J,$A98,Raw_Events!$C:$C,"&gt;="&amp;Settings!$B$4,Raw_Events!$C:$C,"&lt;="&amp;Settings!$B$5))</f>
        <v/>
      </c>
      <c r="H98" s="3">
        <f>IF($A98="","",COUNTIFS(Raw_Events!$G:$G,"SEX",Raw_Events!$J:$J,$A98,Raw_Events!$C:$C,"&gt;="&amp;Settings!$B$4,Raw_Events!$C:$C,"&lt;="&amp;Settings!$B$5))</f>
        <v/>
      </c>
      <c r="I98" s="3">
        <f>IF($A98="","",COUNTIFS(Raw_Events!$G:$G,"PRO_CONTACT_ADDED",Raw_Events!$J:$J,$A98,Raw_Events!$C:$C,"&gt;="&amp;Settings!$B$4,Raw_Events!$C:$C,"&lt;="&amp;Settings!$B$5))</f>
        <v/>
      </c>
    </row>
    <row r="99" ht="15" customHeight="1">
      <c r="F99" s="3">
        <f>IF($A99="","",COUNTIFS(Raw_Events!$G:$G,"SOCIAL_MEET",Raw_Events!$J:$J,$A99,Raw_Events!$C:$C,"&gt;="&amp;Settings!$B$4,Raw_Events!$C:$C,"&lt;="&amp;Settings!$B$5))</f>
        <v/>
      </c>
      <c r="G99" s="3">
        <f>IF($A99="","",COUNTIFS(Raw_Events!$G:$G,"DATE",Raw_Events!$J:$J,$A99,Raw_Events!$C:$C,"&gt;="&amp;Settings!$B$4,Raw_Events!$C:$C,"&lt;="&amp;Settings!$B$5))</f>
        <v/>
      </c>
      <c r="H99" s="3">
        <f>IF($A99="","",COUNTIFS(Raw_Events!$G:$G,"SEX",Raw_Events!$J:$J,$A99,Raw_Events!$C:$C,"&gt;="&amp;Settings!$B$4,Raw_Events!$C:$C,"&lt;="&amp;Settings!$B$5))</f>
        <v/>
      </c>
      <c r="I99" s="3">
        <f>IF($A99="","",COUNTIFS(Raw_Events!$G:$G,"PRO_CONTACT_ADDED",Raw_Events!$J:$J,$A99,Raw_Events!$C:$C,"&gt;="&amp;Settings!$B$4,Raw_Events!$C:$C,"&lt;="&amp;Settings!$B$5))</f>
        <v/>
      </c>
    </row>
    <row r="100" ht="15" customHeight="1">
      <c r="F100" s="3">
        <f>IF($A100="","",COUNTIFS(Raw_Events!$G:$G,"SOCIAL_MEET",Raw_Events!$J:$J,$A100,Raw_Events!$C:$C,"&gt;="&amp;Settings!$B$4,Raw_Events!$C:$C,"&lt;="&amp;Settings!$B$5))</f>
        <v/>
      </c>
      <c r="G100" s="3">
        <f>IF($A100="","",COUNTIFS(Raw_Events!$G:$G,"DATE",Raw_Events!$J:$J,$A100,Raw_Events!$C:$C,"&gt;="&amp;Settings!$B$4,Raw_Events!$C:$C,"&lt;="&amp;Settings!$B$5))</f>
        <v/>
      </c>
      <c r="H100" s="3">
        <f>IF($A100="","",COUNTIFS(Raw_Events!$G:$G,"SEX",Raw_Events!$J:$J,$A100,Raw_Events!$C:$C,"&gt;="&amp;Settings!$B$4,Raw_Events!$C:$C,"&lt;="&amp;Settings!$B$5))</f>
        <v/>
      </c>
      <c r="I100" s="3">
        <f>IF($A100="","",COUNTIFS(Raw_Events!$G:$G,"PRO_CONTACT_ADDED",Raw_Events!$J:$J,$A100,Raw_Events!$C:$C,"&gt;="&amp;Settings!$B$4,Raw_Events!$C:$C,"&lt;="&amp;Settings!$B$5))</f>
        <v/>
      </c>
    </row>
    <row r="101" ht="15" customHeight="1">
      <c r="F101" s="3">
        <f>IF($A101="","",COUNTIFS(Raw_Events!$G:$G,"SOCIAL_MEET",Raw_Events!$J:$J,$A101,Raw_Events!$C:$C,"&gt;="&amp;Settings!$B$4,Raw_Events!$C:$C,"&lt;="&amp;Settings!$B$5))</f>
        <v/>
      </c>
      <c r="G101" s="3">
        <f>IF($A101="","",COUNTIFS(Raw_Events!$G:$G,"DATE",Raw_Events!$J:$J,$A101,Raw_Events!$C:$C,"&gt;="&amp;Settings!$B$4,Raw_Events!$C:$C,"&lt;="&amp;Settings!$B$5))</f>
        <v/>
      </c>
      <c r="H101" s="3">
        <f>IF($A101="","",COUNTIFS(Raw_Events!$G:$G,"SEX",Raw_Events!$J:$J,$A101,Raw_Events!$C:$C,"&gt;="&amp;Settings!$B$4,Raw_Events!$C:$C,"&lt;="&amp;Settings!$B$5))</f>
        <v/>
      </c>
      <c r="I101" s="3">
        <f>IF($A101="","",COUNTIFS(Raw_Events!$G:$G,"PRO_CONTACT_ADDED",Raw_Events!$J:$J,$A101,Raw_Events!$C:$C,"&gt;="&amp;Settings!$B$4,Raw_Events!$C:$C,"&lt;="&amp;Settings!$B$5))</f>
        <v/>
      </c>
    </row>
    <row r="102" ht="15" customHeight="1">
      <c r="F102" s="3">
        <f>IF($A102="","",COUNTIFS(Raw_Events!$G:$G,"SOCIAL_MEET",Raw_Events!$J:$J,$A102,Raw_Events!$C:$C,"&gt;="&amp;Settings!$B$4,Raw_Events!$C:$C,"&lt;="&amp;Settings!$B$5))</f>
        <v/>
      </c>
      <c r="G102" s="3">
        <f>IF($A102="","",COUNTIFS(Raw_Events!$G:$G,"DATE",Raw_Events!$J:$J,$A102,Raw_Events!$C:$C,"&gt;="&amp;Settings!$B$4,Raw_Events!$C:$C,"&lt;="&amp;Settings!$B$5))</f>
        <v/>
      </c>
      <c r="H102" s="3">
        <f>IF($A102="","",COUNTIFS(Raw_Events!$G:$G,"SEX",Raw_Events!$J:$J,$A102,Raw_Events!$C:$C,"&gt;="&amp;Settings!$B$4,Raw_Events!$C:$C,"&lt;="&amp;Settings!$B$5))</f>
        <v/>
      </c>
      <c r="I102" s="3">
        <f>IF($A102="","",COUNTIFS(Raw_Events!$G:$G,"PRO_CONTACT_ADDED",Raw_Events!$J:$J,$A102,Raw_Events!$C:$C,"&gt;="&amp;Settings!$B$4,Raw_Events!$C:$C,"&lt;="&amp;Settings!$B$5))</f>
        <v/>
      </c>
    </row>
    <row r="103" ht="15" customHeight="1">
      <c r="F103" s="3">
        <f>IF($A103="","",COUNTIFS(Raw_Events!$G:$G,"SOCIAL_MEET",Raw_Events!$J:$J,$A103,Raw_Events!$C:$C,"&gt;="&amp;Settings!$B$4,Raw_Events!$C:$C,"&lt;="&amp;Settings!$B$5))</f>
        <v/>
      </c>
      <c r="G103" s="3">
        <f>IF($A103="","",COUNTIFS(Raw_Events!$G:$G,"DATE",Raw_Events!$J:$J,$A103,Raw_Events!$C:$C,"&gt;="&amp;Settings!$B$4,Raw_Events!$C:$C,"&lt;="&amp;Settings!$B$5))</f>
        <v/>
      </c>
      <c r="H103" s="3">
        <f>IF($A103="","",COUNTIFS(Raw_Events!$G:$G,"SEX",Raw_Events!$J:$J,$A103,Raw_Events!$C:$C,"&gt;="&amp;Settings!$B$4,Raw_Events!$C:$C,"&lt;="&amp;Settings!$B$5))</f>
        <v/>
      </c>
      <c r="I103" s="3">
        <f>IF($A103="","",COUNTIFS(Raw_Events!$G:$G,"PRO_CONTACT_ADDED",Raw_Events!$J:$J,$A103,Raw_Events!$C:$C,"&gt;="&amp;Settings!$B$4,Raw_Events!$C:$C,"&lt;="&amp;Settings!$B$5))</f>
        <v/>
      </c>
    </row>
    <row r="104" ht="15" customHeight="1">
      <c r="F104" s="3">
        <f>IF($A104="","",COUNTIFS(Raw_Events!$G:$G,"SOCIAL_MEET",Raw_Events!$J:$J,$A104,Raw_Events!$C:$C,"&gt;="&amp;Settings!$B$4,Raw_Events!$C:$C,"&lt;="&amp;Settings!$B$5))</f>
        <v/>
      </c>
      <c r="G104" s="3">
        <f>IF($A104="","",COUNTIFS(Raw_Events!$G:$G,"DATE",Raw_Events!$J:$J,$A104,Raw_Events!$C:$C,"&gt;="&amp;Settings!$B$4,Raw_Events!$C:$C,"&lt;="&amp;Settings!$B$5))</f>
        <v/>
      </c>
      <c r="H104" s="3">
        <f>IF($A104="","",COUNTIFS(Raw_Events!$G:$G,"SEX",Raw_Events!$J:$J,$A104,Raw_Events!$C:$C,"&gt;="&amp;Settings!$B$4,Raw_Events!$C:$C,"&lt;="&amp;Settings!$B$5))</f>
        <v/>
      </c>
      <c r="I104" s="3">
        <f>IF($A104="","",COUNTIFS(Raw_Events!$G:$G,"PRO_CONTACT_ADDED",Raw_Events!$J:$J,$A104,Raw_Events!$C:$C,"&gt;="&amp;Settings!$B$4,Raw_Events!$C:$C,"&lt;="&amp;Settings!$B$5))</f>
        <v/>
      </c>
    </row>
    <row r="105" ht="15" customHeight="1">
      <c r="F105" s="3">
        <f>IF($A105="","",COUNTIFS(Raw_Events!$G:$G,"SOCIAL_MEET",Raw_Events!$J:$J,$A105,Raw_Events!$C:$C,"&gt;="&amp;Settings!$B$4,Raw_Events!$C:$C,"&lt;="&amp;Settings!$B$5))</f>
        <v/>
      </c>
      <c r="G105" s="3">
        <f>IF($A105="","",COUNTIFS(Raw_Events!$G:$G,"DATE",Raw_Events!$J:$J,$A105,Raw_Events!$C:$C,"&gt;="&amp;Settings!$B$4,Raw_Events!$C:$C,"&lt;="&amp;Settings!$B$5))</f>
        <v/>
      </c>
      <c r="H105" s="3">
        <f>IF($A105="","",COUNTIFS(Raw_Events!$G:$G,"SEX",Raw_Events!$J:$J,$A105,Raw_Events!$C:$C,"&gt;="&amp;Settings!$B$4,Raw_Events!$C:$C,"&lt;="&amp;Settings!$B$5))</f>
        <v/>
      </c>
      <c r="I105" s="3">
        <f>IF($A105="","",COUNTIFS(Raw_Events!$G:$G,"PRO_CONTACT_ADDED",Raw_Events!$J:$J,$A105,Raw_Events!$C:$C,"&gt;="&amp;Settings!$B$4,Raw_Events!$C:$C,"&lt;="&amp;Settings!$B$5))</f>
        <v/>
      </c>
    </row>
    <row r="106" ht="15" customHeight="1">
      <c r="F106" s="3">
        <f>IF($A106="","",COUNTIFS(Raw_Events!$G:$G,"SOCIAL_MEET",Raw_Events!$J:$J,$A106,Raw_Events!$C:$C,"&gt;="&amp;Settings!$B$4,Raw_Events!$C:$C,"&lt;="&amp;Settings!$B$5))</f>
        <v/>
      </c>
      <c r="G106" s="3">
        <f>IF($A106="","",COUNTIFS(Raw_Events!$G:$G,"DATE",Raw_Events!$J:$J,$A106,Raw_Events!$C:$C,"&gt;="&amp;Settings!$B$4,Raw_Events!$C:$C,"&lt;="&amp;Settings!$B$5))</f>
        <v/>
      </c>
      <c r="H106" s="3">
        <f>IF($A106="","",COUNTIFS(Raw_Events!$G:$G,"SEX",Raw_Events!$J:$J,$A106,Raw_Events!$C:$C,"&gt;="&amp;Settings!$B$4,Raw_Events!$C:$C,"&lt;="&amp;Settings!$B$5))</f>
        <v/>
      </c>
      <c r="I106" s="3">
        <f>IF($A106="","",COUNTIFS(Raw_Events!$G:$G,"PRO_CONTACT_ADDED",Raw_Events!$J:$J,$A106,Raw_Events!$C:$C,"&gt;="&amp;Settings!$B$4,Raw_Events!$C:$C,"&lt;="&amp;Settings!$B$5))</f>
        <v/>
      </c>
    </row>
    <row r="107" ht="15" customHeight="1">
      <c r="F107" s="3">
        <f>IF($A107="","",COUNTIFS(Raw_Events!$G:$G,"SOCIAL_MEET",Raw_Events!$J:$J,$A107,Raw_Events!$C:$C,"&gt;="&amp;Settings!$B$4,Raw_Events!$C:$C,"&lt;="&amp;Settings!$B$5))</f>
        <v/>
      </c>
      <c r="G107" s="3">
        <f>IF($A107="","",COUNTIFS(Raw_Events!$G:$G,"DATE",Raw_Events!$J:$J,$A107,Raw_Events!$C:$C,"&gt;="&amp;Settings!$B$4,Raw_Events!$C:$C,"&lt;="&amp;Settings!$B$5))</f>
        <v/>
      </c>
      <c r="H107" s="3">
        <f>IF($A107="","",COUNTIFS(Raw_Events!$G:$G,"SEX",Raw_Events!$J:$J,$A107,Raw_Events!$C:$C,"&gt;="&amp;Settings!$B$4,Raw_Events!$C:$C,"&lt;="&amp;Settings!$B$5))</f>
        <v/>
      </c>
      <c r="I107" s="3">
        <f>IF($A107="","",COUNTIFS(Raw_Events!$G:$G,"PRO_CONTACT_ADDED",Raw_Events!$J:$J,$A107,Raw_Events!$C:$C,"&gt;="&amp;Settings!$B$4,Raw_Events!$C:$C,"&lt;="&amp;Settings!$B$5))</f>
        <v/>
      </c>
    </row>
    <row r="108" ht="15" customHeight="1">
      <c r="F108" s="3">
        <f>IF($A108="","",COUNTIFS(Raw_Events!$G:$G,"SOCIAL_MEET",Raw_Events!$J:$J,$A108,Raw_Events!$C:$C,"&gt;="&amp;Settings!$B$4,Raw_Events!$C:$C,"&lt;="&amp;Settings!$B$5))</f>
        <v/>
      </c>
      <c r="G108" s="3">
        <f>IF($A108="","",COUNTIFS(Raw_Events!$G:$G,"DATE",Raw_Events!$J:$J,$A108,Raw_Events!$C:$C,"&gt;="&amp;Settings!$B$4,Raw_Events!$C:$C,"&lt;="&amp;Settings!$B$5))</f>
        <v/>
      </c>
      <c r="H108" s="3">
        <f>IF($A108="","",COUNTIFS(Raw_Events!$G:$G,"SEX",Raw_Events!$J:$J,$A108,Raw_Events!$C:$C,"&gt;="&amp;Settings!$B$4,Raw_Events!$C:$C,"&lt;="&amp;Settings!$B$5))</f>
        <v/>
      </c>
      <c r="I108" s="3">
        <f>IF($A108="","",COUNTIFS(Raw_Events!$G:$G,"PRO_CONTACT_ADDED",Raw_Events!$J:$J,$A108,Raw_Events!$C:$C,"&gt;="&amp;Settings!$B$4,Raw_Events!$C:$C,"&lt;="&amp;Settings!$B$5))</f>
        <v/>
      </c>
    </row>
    <row r="109" ht="15" customHeight="1">
      <c r="F109" s="3">
        <f>IF($A109="","",COUNTIFS(Raw_Events!$G:$G,"SOCIAL_MEET",Raw_Events!$J:$J,$A109,Raw_Events!$C:$C,"&gt;="&amp;Settings!$B$4,Raw_Events!$C:$C,"&lt;="&amp;Settings!$B$5))</f>
        <v/>
      </c>
      <c r="G109" s="3">
        <f>IF($A109="","",COUNTIFS(Raw_Events!$G:$G,"DATE",Raw_Events!$J:$J,$A109,Raw_Events!$C:$C,"&gt;="&amp;Settings!$B$4,Raw_Events!$C:$C,"&lt;="&amp;Settings!$B$5))</f>
        <v/>
      </c>
      <c r="H109" s="3">
        <f>IF($A109="","",COUNTIFS(Raw_Events!$G:$G,"SEX",Raw_Events!$J:$J,$A109,Raw_Events!$C:$C,"&gt;="&amp;Settings!$B$4,Raw_Events!$C:$C,"&lt;="&amp;Settings!$B$5))</f>
        <v/>
      </c>
      <c r="I109" s="3">
        <f>IF($A109="","",COUNTIFS(Raw_Events!$G:$G,"PRO_CONTACT_ADDED",Raw_Events!$J:$J,$A109,Raw_Events!$C:$C,"&gt;="&amp;Settings!$B$4,Raw_Events!$C:$C,"&lt;="&amp;Settings!$B$5))</f>
        <v/>
      </c>
    </row>
    <row r="110" ht="15" customHeight="1">
      <c r="F110" s="3">
        <f>IF($A110="","",COUNTIFS(Raw_Events!$G:$G,"SOCIAL_MEET",Raw_Events!$J:$J,$A110,Raw_Events!$C:$C,"&gt;="&amp;Settings!$B$4,Raw_Events!$C:$C,"&lt;="&amp;Settings!$B$5))</f>
        <v/>
      </c>
      <c r="G110" s="3">
        <f>IF($A110="","",COUNTIFS(Raw_Events!$G:$G,"DATE",Raw_Events!$J:$J,$A110,Raw_Events!$C:$C,"&gt;="&amp;Settings!$B$4,Raw_Events!$C:$C,"&lt;="&amp;Settings!$B$5))</f>
        <v/>
      </c>
      <c r="H110" s="3">
        <f>IF($A110="","",COUNTIFS(Raw_Events!$G:$G,"SEX",Raw_Events!$J:$J,$A110,Raw_Events!$C:$C,"&gt;="&amp;Settings!$B$4,Raw_Events!$C:$C,"&lt;="&amp;Settings!$B$5))</f>
        <v/>
      </c>
      <c r="I110" s="3">
        <f>IF($A110="","",COUNTIFS(Raw_Events!$G:$G,"PRO_CONTACT_ADDED",Raw_Events!$J:$J,$A110,Raw_Events!$C:$C,"&gt;="&amp;Settings!$B$4,Raw_Events!$C:$C,"&lt;="&amp;Settings!$B$5))</f>
        <v/>
      </c>
    </row>
    <row r="111" ht="15" customHeight="1">
      <c r="F111" s="3">
        <f>IF($A111="","",COUNTIFS(Raw_Events!$G:$G,"SOCIAL_MEET",Raw_Events!$J:$J,$A111,Raw_Events!$C:$C,"&gt;="&amp;Settings!$B$4,Raw_Events!$C:$C,"&lt;="&amp;Settings!$B$5))</f>
        <v/>
      </c>
      <c r="G111" s="3">
        <f>IF($A111="","",COUNTIFS(Raw_Events!$G:$G,"DATE",Raw_Events!$J:$J,$A111,Raw_Events!$C:$C,"&gt;="&amp;Settings!$B$4,Raw_Events!$C:$C,"&lt;="&amp;Settings!$B$5))</f>
        <v/>
      </c>
      <c r="H111" s="3">
        <f>IF($A111="","",COUNTIFS(Raw_Events!$G:$G,"SEX",Raw_Events!$J:$J,$A111,Raw_Events!$C:$C,"&gt;="&amp;Settings!$B$4,Raw_Events!$C:$C,"&lt;="&amp;Settings!$B$5))</f>
        <v/>
      </c>
      <c r="I111" s="3">
        <f>IF($A111="","",COUNTIFS(Raw_Events!$G:$G,"PRO_CONTACT_ADDED",Raw_Events!$J:$J,$A111,Raw_Events!$C:$C,"&gt;="&amp;Settings!$B$4,Raw_Events!$C:$C,"&lt;="&amp;Settings!$B$5))</f>
        <v/>
      </c>
    </row>
    <row r="112" ht="15" customHeight="1">
      <c r="F112" s="3">
        <f>IF($A112="","",COUNTIFS(Raw_Events!$G:$G,"SOCIAL_MEET",Raw_Events!$J:$J,$A112,Raw_Events!$C:$C,"&gt;="&amp;Settings!$B$4,Raw_Events!$C:$C,"&lt;="&amp;Settings!$B$5))</f>
        <v/>
      </c>
      <c r="G112" s="3">
        <f>IF($A112="","",COUNTIFS(Raw_Events!$G:$G,"DATE",Raw_Events!$J:$J,$A112,Raw_Events!$C:$C,"&gt;="&amp;Settings!$B$4,Raw_Events!$C:$C,"&lt;="&amp;Settings!$B$5))</f>
        <v/>
      </c>
      <c r="H112" s="3">
        <f>IF($A112="","",COUNTIFS(Raw_Events!$G:$G,"SEX",Raw_Events!$J:$J,$A112,Raw_Events!$C:$C,"&gt;="&amp;Settings!$B$4,Raw_Events!$C:$C,"&lt;="&amp;Settings!$B$5))</f>
        <v/>
      </c>
      <c r="I112" s="3">
        <f>IF($A112="","",COUNTIFS(Raw_Events!$G:$G,"PRO_CONTACT_ADDED",Raw_Events!$J:$J,$A112,Raw_Events!$C:$C,"&gt;="&amp;Settings!$B$4,Raw_Events!$C:$C,"&lt;="&amp;Settings!$B$5))</f>
        <v/>
      </c>
    </row>
    <row r="113" ht="15" customHeight="1">
      <c r="F113" s="3">
        <f>IF($A113="","",COUNTIFS(Raw_Events!$G:$G,"SOCIAL_MEET",Raw_Events!$J:$J,$A113,Raw_Events!$C:$C,"&gt;="&amp;Settings!$B$4,Raw_Events!$C:$C,"&lt;="&amp;Settings!$B$5))</f>
        <v/>
      </c>
      <c r="G113" s="3">
        <f>IF($A113="","",COUNTIFS(Raw_Events!$G:$G,"DATE",Raw_Events!$J:$J,$A113,Raw_Events!$C:$C,"&gt;="&amp;Settings!$B$4,Raw_Events!$C:$C,"&lt;="&amp;Settings!$B$5))</f>
        <v/>
      </c>
      <c r="H113" s="3">
        <f>IF($A113="","",COUNTIFS(Raw_Events!$G:$G,"SEX",Raw_Events!$J:$J,$A113,Raw_Events!$C:$C,"&gt;="&amp;Settings!$B$4,Raw_Events!$C:$C,"&lt;="&amp;Settings!$B$5))</f>
        <v/>
      </c>
      <c r="I113" s="3">
        <f>IF($A113="","",COUNTIFS(Raw_Events!$G:$G,"PRO_CONTACT_ADDED",Raw_Events!$J:$J,$A113,Raw_Events!$C:$C,"&gt;="&amp;Settings!$B$4,Raw_Events!$C:$C,"&lt;="&amp;Settings!$B$5))</f>
        <v/>
      </c>
    </row>
    <row r="114" ht="15" customHeight="1">
      <c r="F114" s="3">
        <f>IF($A114="","",COUNTIFS(Raw_Events!$G:$G,"SOCIAL_MEET",Raw_Events!$J:$J,$A114,Raw_Events!$C:$C,"&gt;="&amp;Settings!$B$4,Raw_Events!$C:$C,"&lt;="&amp;Settings!$B$5))</f>
        <v/>
      </c>
      <c r="G114" s="3">
        <f>IF($A114="","",COUNTIFS(Raw_Events!$G:$G,"DATE",Raw_Events!$J:$J,$A114,Raw_Events!$C:$C,"&gt;="&amp;Settings!$B$4,Raw_Events!$C:$C,"&lt;="&amp;Settings!$B$5))</f>
        <v/>
      </c>
      <c r="H114" s="3">
        <f>IF($A114="","",COUNTIFS(Raw_Events!$G:$G,"SEX",Raw_Events!$J:$J,$A114,Raw_Events!$C:$C,"&gt;="&amp;Settings!$B$4,Raw_Events!$C:$C,"&lt;="&amp;Settings!$B$5))</f>
        <v/>
      </c>
      <c r="I114" s="3">
        <f>IF($A114="","",COUNTIFS(Raw_Events!$G:$G,"PRO_CONTACT_ADDED",Raw_Events!$J:$J,$A114,Raw_Events!$C:$C,"&gt;="&amp;Settings!$B$4,Raw_Events!$C:$C,"&lt;="&amp;Settings!$B$5))</f>
        <v/>
      </c>
    </row>
    <row r="115" ht="15" customHeight="1">
      <c r="F115" s="3">
        <f>IF($A115="","",COUNTIFS(Raw_Events!$G:$G,"SOCIAL_MEET",Raw_Events!$J:$J,$A115,Raw_Events!$C:$C,"&gt;="&amp;Settings!$B$4,Raw_Events!$C:$C,"&lt;="&amp;Settings!$B$5))</f>
        <v/>
      </c>
      <c r="G115" s="3">
        <f>IF($A115="","",COUNTIFS(Raw_Events!$G:$G,"DATE",Raw_Events!$J:$J,$A115,Raw_Events!$C:$C,"&gt;="&amp;Settings!$B$4,Raw_Events!$C:$C,"&lt;="&amp;Settings!$B$5))</f>
        <v/>
      </c>
      <c r="H115" s="3">
        <f>IF($A115="","",COUNTIFS(Raw_Events!$G:$G,"SEX",Raw_Events!$J:$J,$A115,Raw_Events!$C:$C,"&gt;="&amp;Settings!$B$4,Raw_Events!$C:$C,"&lt;="&amp;Settings!$B$5))</f>
        <v/>
      </c>
      <c r="I115" s="3">
        <f>IF($A115="","",COUNTIFS(Raw_Events!$G:$G,"PRO_CONTACT_ADDED",Raw_Events!$J:$J,$A115,Raw_Events!$C:$C,"&gt;="&amp;Settings!$B$4,Raw_Events!$C:$C,"&lt;="&amp;Settings!$B$5))</f>
        <v/>
      </c>
    </row>
    <row r="116" ht="15" customHeight="1">
      <c r="F116" s="3">
        <f>IF($A116="","",COUNTIFS(Raw_Events!$G:$G,"SOCIAL_MEET",Raw_Events!$J:$J,$A116,Raw_Events!$C:$C,"&gt;="&amp;Settings!$B$4,Raw_Events!$C:$C,"&lt;="&amp;Settings!$B$5))</f>
        <v/>
      </c>
      <c r="G116" s="3">
        <f>IF($A116="","",COUNTIFS(Raw_Events!$G:$G,"DATE",Raw_Events!$J:$J,$A116,Raw_Events!$C:$C,"&gt;="&amp;Settings!$B$4,Raw_Events!$C:$C,"&lt;="&amp;Settings!$B$5))</f>
        <v/>
      </c>
      <c r="H116" s="3">
        <f>IF($A116="","",COUNTIFS(Raw_Events!$G:$G,"SEX",Raw_Events!$J:$J,$A116,Raw_Events!$C:$C,"&gt;="&amp;Settings!$B$4,Raw_Events!$C:$C,"&lt;="&amp;Settings!$B$5))</f>
        <v/>
      </c>
      <c r="I116" s="3">
        <f>IF($A116="","",COUNTIFS(Raw_Events!$G:$G,"PRO_CONTACT_ADDED",Raw_Events!$J:$J,$A116,Raw_Events!$C:$C,"&gt;="&amp;Settings!$B$4,Raw_Events!$C:$C,"&lt;="&amp;Settings!$B$5))</f>
        <v/>
      </c>
    </row>
    <row r="117" ht="15" customHeight="1">
      <c r="F117" s="3">
        <f>IF($A117="","",COUNTIFS(Raw_Events!$G:$G,"SOCIAL_MEET",Raw_Events!$J:$J,$A117,Raw_Events!$C:$C,"&gt;="&amp;Settings!$B$4,Raw_Events!$C:$C,"&lt;="&amp;Settings!$B$5))</f>
        <v/>
      </c>
      <c r="G117" s="3">
        <f>IF($A117="","",COUNTIFS(Raw_Events!$G:$G,"DATE",Raw_Events!$J:$J,$A117,Raw_Events!$C:$C,"&gt;="&amp;Settings!$B$4,Raw_Events!$C:$C,"&lt;="&amp;Settings!$B$5))</f>
        <v/>
      </c>
      <c r="H117" s="3">
        <f>IF($A117="","",COUNTIFS(Raw_Events!$G:$G,"SEX",Raw_Events!$J:$J,$A117,Raw_Events!$C:$C,"&gt;="&amp;Settings!$B$4,Raw_Events!$C:$C,"&lt;="&amp;Settings!$B$5))</f>
        <v/>
      </c>
      <c r="I117" s="3">
        <f>IF($A117="","",COUNTIFS(Raw_Events!$G:$G,"PRO_CONTACT_ADDED",Raw_Events!$J:$J,$A117,Raw_Events!$C:$C,"&gt;="&amp;Settings!$B$4,Raw_Events!$C:$C,"&lt;="&amp;Settings!$B$5))</f>
        <v/>
      </c>
    </row>
    <row r="118" ht="15" customHeight="1">
      <c r="F118" s="3">
        <f>IF($A118="","",COUNTIFS(Raw_Events!$G:$G,"SOCIAL_MEET",Raw_Events!$J:$J,$A118,Raw_Events!$C:$C,"&gt;="&amp;Settings!$B$4,Raw_Events!$C:$C,"&lt;="&amp;Settings!$B$5))</f>
        <v/>
      </c>
      <c r="G118" s="3">
        <f>IF($A118="","",COUNTIFS(Raw_Events!$G:$G,"DATE",Raw_Events!$J:$J,$A118,Raw_Events!$C:$C,"&gt;="&amp;Settings!$B$4,Raw_Events!$C:$C,"&lt;="&amp;Settings!$B$5))</f>
        <v/>
      </c>
      <c r="H118" s="3">
        <f>IF($A118="","",COUNTIFS(Raw_Events!$G:$G,"SEX",Raw_Events!$J:$J,$A118,Raw_Events!$C:$C,"&gt;="&amp;Settings!$B$4,Raw_Events!$C:$C,"&lt;="&amp;Settings!$B$5))</f>
        <v/>
      </c>
      <c r="I118" s="3">
        <f>IF($A118="","",COUNTIFS(Raw_Events!$G:$G,"PRO_CONTACT_ADDED",Raw_Events!$J:$J,$A118,Raw_Events!$C:$C,"&gt;="&amp;Settings!$B$4,Raw_Events!$C:$C,"&lt;="&amp;Settings!$B$5))</f>
        <v/>
      </c>
    </row>
    <row r="119" ht="15" customHeight="1">
      <c r="F119" s="3">
        <f>IF($A119="","",COUNTIFS(Raw_Events!$G:$G,"SOCIAL_MEET",Raw_Events!$J:$J,$A119,Raw_Events!$C:$C,"&gt;="&amp;Settings!$B$4,Raw_Events!$C:$C,"&lt;="&amp;Settings!$B$5))</f>
        <v/>
      </c>
      <c r="G119" s="3">
        <f>IF($A119="","",COUNTIFS(Raw_Events!$G:$G,"DATE",Raw_Events!$J:$J,$A119,Raw_Events!$C:$C,"&gt;="&amp;Settings!$B$4,Raw_Events!$C:$C,"&lt;="&amp;Settings!$B$5))</f>
        <v/>
      </c>
      <c r="H119" s="3">
        <f>IF($A119="","",COUNTIFS(Raw_Events!$G:$G,"SEX",Raw_Events!$J:$J,$A119,Raw_Events!$C:$C,"&gt;="&amp;Settings!$B$4,Raw_Events!$C:$C,"&lt;="&amp;Settings!$B$5))</f>
        <v/>
      </c>
      <c r="I119" s="3">
        <f>IF($A119="","",COUNTIFS(Raw_Events!$G:$G,"PRO_CONTACT_ADDED",Raw_Events!$J:$J,$A119,Raw_Events!$C:$C,"&gt;="&amp;Settings!$B$4,Raw_Events!$C:$C,"&lt;="&amp;Settings!$B$5))</f>
        <v/>
      </c>
    </row>
    <row r="120" ht="15" customHeight="1">
      <c r="F120" s="3">
        <f>IF($A120="","",COUNTIFS(Raw_Events!$G:$G,"SOCIAL_MEET",Raw_Events!$J:$J,$A120,Raw_Events!$C:$C,"&gt;="&amp;Settings!$B$4,Raw_Events!$C:$C,"&lt;="&amp;Settings!$B$5))</f>
        <v/>
      </c>
      <c r="G120" s="3">
        <f>IF($A120="","",COUNTIFS(Raw_Events!$G:$G,"DATE",Raw_Events!$J:$J,$A120,Raw_Events!$C:$C,"&gt;="&amp;Settings!$B$4,Raw_Events!$C:$C,"&lt;="&amp;Settings!$B$5))</f>
        <v/>
      </c>
      <c r="H120" s="3">
        <f>IF($A120="","",COUNTIFS(Raw_Events!$G:$G,"SEX",Raw_Events!$J:$J,$A120,Raw_Events!$C:$C,"&gt;="&amp;Settings!$B$4,Raw_Events!$C:$C,"&lt;="&amp;Settings!$B$5))</f>
        <v/>
      </c>
      <c r="I120" s="3">
        <f>IF($A120="","",COUNTIFS(Raw_Events!$G:$G,"PRO_CONTACT_ADDED",Raw_Events!$J:$J,$A120,Raw_Events!$C:$C,"&gt;="&amp;Settings!$B$4,Raw_Events!$C:$C,"&lt;="&amp;Settings!$B$5))</f>
        <v/>
      </c>
    </row>
    <row r="121" ht="15" customHeight="1">
      <c r="F121" s="3">
        <f>IF($A121="","",COUNTIFS(Raw_Events!$G:$G,"SOCIAL_MEET",Raw_Events!$J:$J,$A121,Raw_Events!$C:$C,"&gt;="&amp;Settings!$B$4,Raw_Events!$C:$C,"&lt;="&amp;Settings!$B$5))</f>
        <v/>
      </c>
      <c r="G121" s="3">
        <f>IF($A121="","",COUNTIFS(Raw_Events!$G:$G,"DATE",Raw_Events!$J:$J,$A121,Raw_Events!$C:$C,"&gt;="&amp;Settings!$B$4,Raw_Events!$C:$C,"&lt;="&amp;Settings!$B$5))</f>
        <v/>
      </c>
      <c r="H121" s="3">
        <f>IF($A121="","",COUNTIFS(Raw_Events!$G:$G,"SEX",Raw_Events!$J:$J,$A121,Raw_Events!$C:$C,"&gt;="&amp;Settings!$B$4,Raw_Events!$C:$C,"&lt;="&amp;Settings!$B$5))</f>
        <v/>
      </c>
      <c r="I121" s="3">
        <f>IF($A121="","",COUNTIFS(Raw_Events!$G:$G,"PRO_CONTACT_ADDED",Raw_Events!$J:$J,$A121,Raw_Events!$C:$C,"&gt;="&amp;Settings!$B$4,Raw_Events!$C:$C,"&lt;="&amp;Settings!$B$5))</f>
        <v/>
      </c>
    </row>
    <row r="122" ht="15" customHeight="1">
      <c r="F122" s="3">
        <f>IF($A122="","",COUNTIFS(Raw_Events!$G:$G,"SOCIAL_MEET",Raw_Events!$J:$J,$A122,Raw_Events!$C:$C,"&gt;="&amp;Settings!$B$4,Raw_Events!$C:$C,"&lt;="&amp;Settings!$B$5))</f>
        <v/>
      </c>
      <c r="G122" s="3">
        <f>IF($A122="","",COUNTIFS(Raw_Events!$G:$G,"DATE",Raw_Events!$J:$J,$A122,Raw_Events!$C:$C,"&gt;="&amp;Settings!$B$4,Raw_Events!$C:$C,"&lt;="&amp;Settings!$B$5))</f>
        <v/>
      </c>
      <c r="H122" s="3">
        <f>IF($A122="","",COUNTIFS(Raw_Events!$G:$G,"SEX",Raw_Events!$J:$J,$A122,Raw_Events!$C:$C,"&gt;="&amp;Settings!$B$4,Raw_Events!$C:$C,"&lt;="&amp;Settings!$B$5))</f>
        <v/>
      </c>
      <c r="I122" s="3">
        <f>IF($A122="","",COUNTIFS(Raw_Events!$G:$G,"PRO_CONTACT_ADDED",Raw_Events!$J:$J,$A122,Raw_Events!$C:$C,"&gt;="&amp;Settings!$B$4,Raw_Events!$C:$C,"&lt;="&amp;Settings!$B$5))</f>
        <v/>
      </c>
    </row>
    <row r="123" ht="15" customHeight="1">
      <c r="F123" s="3">
        <f>IF($A123="","",COUNTIFS(Raw_Events!$G:$G,"SOCIAL_MEET",Raw_Events!$J:$J,$A123,Raw_Events!$C:$C,"&gt;="&amp;Settings!$B$4,Raw_Events!$C:$C,"&lt;="&amp;Settings!$B$5))</f>
        <v/>
      </c>
      <c r="G123" s="3">
        <f>IF($A123="","",COUNTIFS(Raw_Events!$G:$G,"DATE",Raw_Events!$J:$J,$A123,Raw_Events!$C:$C,"&gt;="&amp;Settings!$B$4,Raw_Events!$C:$C,"&lt;="&amp;Settings!$B$5))</f>
        <v/>
      </c>
      <c r="H123" s="3">
        <f>IF($A123="","",COUNTIFS(Raw_Events!$G:$G,"SEX",Raw_Events!$J:$J,$A123,Raw_Events!$C:$C,"&gt;="&amp;Settings!$B$4,Raw_Events!$C:$C,"&lt;="&amp;Settings!$B$5))</f>
        <v/>
      </c>
      <c r="I123" s="3">
        <f>IF($A123="","",COUNTIFS(Raw_Events!$G:$G,"PRO_CONTACT_ADDED",Raw_Events!$J:$J,$A123,Raw_Events!$C:$C,"&gt;="&amp;Settings!$B$4,Raw_Events!$C:$C,"&lt;="&amp;Settings!$B$5))</f>
        <v/>
      </c>
    </row>
    <row r="124" ht="15" customHeight="1">
      <c r="F124" s="3">
        <f>IF($A124="","",COUNTIFS(Raw_Events!$G:$G,"SOCIAL_MEET",Raw_Events!$J:$J,$A124,Raw_Events!$C:$C,"&gt;="&amp;Settings!$B$4,Raw_Events!$C:$C,"&lt;="&amp;Settings!$B$5))</f>
        <v/>
      </c>
      <c r="G124" s="3">
        <f>IF($A124="","",COUNTIFS(Raw_Events!$G:$G,"DATE",Raw_Events!$J:$J,$A124,Raw_Events!$C:$C,"&gt;="&amp;Settings!$B$4,Raw_Events!$C:$C,"&lt;="&amp;Settings!$B$5))</f>
        <v/>
      </c>
      <c r="H124" s="3">
        <f>IF($A124="","",COUNTIFS(Raw_Events!$G:$G,"SEX",Raw_Events!$J:$J,$A124,Raw_Events!$C:$C,"&gt;="&amp;Settings!$B$4,Raw_Events!$C:$C,"&lt;="&amp;Settings!$B$5))</f>
        <v/>
      </c>
      <c r="I124" s="3">
        <f>IF($A124="","",COUNTIFS(Raw_Events!$G:$G,"PRO_CONTACT_ADDED",Raw_Events!$J:$J,$A124,Raw_Events!$C:$C,"&gt;="&amp;Settings!$B$4,Raw_Events!$C:$C,"&lt;="&amp;Settings!$B$5))</f>
        <v/>
      </c>
    </row>
    <row r="125" ht="15" customHeight="1">
      <c r="F125" s="3">
        <f>IF($A125="","",COUNTIFS(Raw_Events!$G:$G,"SOCIAL_MEET",Raw_Events!$J:$J,$A125,Raw_Events!$C:$C,"&gt;="&amp;Settings!$B$4,Raw_Events!$C:$C,"&lt;="&amp;Settings!$B$5))</f>
        <v/>
      </c>
      <c r="G125" s="3">
        <f>IF($A125="","",COUNTIFS(Raw_Events!$G:$G,"DATE",Raw_Events!$J:$J,$A125,Raw_Events!$C:$C,"&gt;="&amp;Settings!$B$4,Raw_Events!$C:$C,"&lt;="&amp;Settings!$B$5))</f>
        <v/>
      </c>
      <c r="H125" s="3">
        <f>IF($A125="","",COUNTIFS(Raw_Events!$G:$G,"SEX",Raw_Events!$J:$J,$A125,Raw_Events!$C:$C,"&gt;="&amp;Settings!$B$4,Raw_Events!$C:$C,"&lt;="&amp;Settings!$B$5))</f>
        <v/>
      </c>
      <c r="I125" s="3">
        <f>IF($A125="","",COUNTIFS(Raw_Events!$G:$G,"PRO_CONTACT_ADDED",Raw_Events!$J:$J,$A125,Raw_Events!$C:$C,"&gt;="&amp;Settings!$B$4,Raw_Events!$C:$C,"&lt;="&amp;Settings!$B$5))</f>
        <v/>
      </c>
    </row>
    <row r="126" ht="15" customHeight="1">
      <c r="F126" s="3">
        <f>IF($A126="","",COUNTIFS(Raw_Events!$G:$G,"SOCIAL_MEET",Raw_Events!$J:$J,$A126,Raw_Events!$C:$C,"&gt;="&amp;Settings!$B$4,Raw_Events!$C:$C,"&lt;="&amp;Settings!$B$5))</f>
        <v/>
      </c>
      <c r="G126" s="3">
        <f>IF($A126="","",COUNTIFS(Raw_Events!$G:$G,"DATE",Raw_Events!$J:$J,$A126,Raw_Events!$C:$C,"&gt;="&amp;Settings!$B$4,Raw_Events!$C:$C,"&lt;="&amp;Settings!$B$5))</f>
        <v/>
      </c>
      <c r="H126" s="3">
        <f>IF($A126="","",COUNTIFS(Raw_Events!$G:$G,"SEX",Raw_Events!$J:$J,$A126,Raw_Events!$C:$C,"&gt;="&amp;Settings!$B$4,Raw_Events!$C:$C,"&lt;="&amp;Settings!$B$5))</f>
        <v/>
      </c>
      <c r="I126" s="3">
        <f>IF($A126="","",COUNTIFS(Raw_Events!$G:$G,"PRO_CONTACT_ADDED",Raw_Events!$J:$J,$A126,Raw_Events!$C:$C,"&gt;="&amp;Settings!$B$4,Raw_Events!$C:$C,"&lt;="&amp;Settings!$B$5))</f>
        <v/>
      </c>
    </row>
    <row r="127" ht="15" customHeight="1">
      <c r="F127" s="3">
        <f>IF($A127="","",COUNTIFS(Raw_Events!$G:$G,"SOCIAL_MEET",Raw_Events!$J:$J,$A127,Raw_Events!$C:$C,"&gt;="&amp;Settings!$B$4,Raw_Events!$C:$C,"&lt;="&amp;Settings!$B$5))</f>
        <v/>
      </c>
      <c r="G127" s="3">
        <f>IF($A127="","",COUNTIFS(Raw_Events!$G:$G,"DATE",Raw_Events!$J:$J,$A127,Raw_Events!$C:$C,"&gt;="&amp;Settings!$B$4,Raw_Events!$C:$C,"&lt;="&amp;Settings!$B$5))</f>
        <v/>
      </c>
      <c r="H127" s="3">
        <f>IF($A127="","",COUNTIFS(Raw_Events!$G:$G,"SEX",Raw_Events!$J:$J,$A127,Raw_Events!$C:$C,"&gt;="&amp;Settings!$B$4,Raw_Events!$C:$C,"&lt;="&amp;Settings!$B$5))</f>
        <v/>
      </c>
      <c r="I127" s="3">
        <f>IF($A127="","",COUNTIFS(Raw_Events!$G:$G,"PRO_CONTACT_ADDED",Raw_Events!$J:$J,$A127,Raw_Events!$C:$C,"&gt;="&amp;Settings!$B$4,Raw_Events!$C:$C,"&lt;="&amp;Settings!$B$5))</f>
        <v/>
      </c>
    </row>
    <row r="128" ht="15" customHeight="1">
      <c r="F128" s="3">
        <f>IF($A128="","",COUNTIFS(Raw_Events!$G:$G,"SOCIAL_MEET",Raw_Events!$J:$J,$A128,Raw_Events!$C:$C,"&gt;="&amp;Settings!$B$4,Raw_Events!$C:$C,"&lt;="&amp;Settings!$B$5))</f>
        <v/>
      </c>
      <c r="G128" s="3">
        <f>IF($A128="","",COUNTIFS(Raw_Events!$G:$G,"DATE",Raw_Events!$J:$J,$A128,Raw_Events!$C:$C,"&gt;="&amp;Settings!$B$4,Raw_Events!$C:$C,"&lt;="&amp;Settings!$B$5))</f>
        <v/>
      </c>
      <c r="H128" s="3">
        <f>IF($A128="","",COUNTIFS(Raw_Events!$G:$G,"SEX",Raw_Events!$J:$J,$A128,Raw_Events!$C:$C,"&gt;="&amp;Settings!$B$4,Raw_Events!$C:$C,"&lt;="&amp;Settings!$B$5))</f>
        <v/>
      </c>
      <c r="I128" s="3">
        <f>IF($A128="","",COUNTIFS(Raw_Events!$G:$G,"PRO_CONTACT_ADDED",Raw_Events!$J:$J,$A128,Raw_Events!$C:$C,"&gt;="&amp;Settings!$B$4,Raw_Events!$C:$C,"&lt;="&amp;Settings!$B$5))</f>
        <v/>
      </c>
    </row>
    <row r="129" ht="15" customHeight="1">
      <c r="F129" s="3">
        <f>IF($A129="","",COUNTIFS(Raw_Events!$G:$G,"SOCIAL_MEET",Raw_Events!$J:$J,$A129,Raw_Events!$C:$C,"&gt;="&amp;Settings!$B$4,Raw_Events!$C:$C,"&lt;="&amp;Settings!$B$5))</f>
        <v/>
      </c>
      <c r="G129" s="3">
        <f>IF($A129="","",COUNTIFS(Raw_Events!$G:$G,"DATE",Raw_Events!$J:$J,$A129,Raw_Events!$C:$C,"&gt;="&amp;Settings!$B$4,Raw_Events!$C:$C,"&lt;="&amp;Settings!$B$5))</f>
        <v/>
      </c>
      <c r="H129" s="3">
        <f>IF($A129="","",COUNTIFS(Raw_Events!$G:$G,"SEX",Raw_Events!$J:$J,$A129,Raw_Events!$C:$C,"&gt;="&amp;Settings!$B$4,Raw_Events!$C:$C,"&lt;="&amp;Settings!$B$5))</f>
        <v/>
      </c>
      <c r="I129" s="3">
        <f>IF($A129="","",COUNTIFS(Raw_Events!$G:$G,"PRO_CONTACT_ADDED",Raw_Events!$J:$J,$A129,Raw_Events!$C:$C,"&gt;="&amp;Settings!$B$4,Raw_Events!$C:$C,"&lt;="&amp;Settings!$B$5))</f>
        <v/>
      </c>
    </row>
    <row r="130" ht="15" customHeight="1">
      <c r="F130" s="3">
        <f>IF($A130="","",COUNTIFS(Raw_Events!$G:$G,"SOCIAL_MEET",Raw_Events!$J:$J,$A130,Raw_Events!$C:$C,"&gt;="&amp;Settings!$B$4,Raw_Events!$C:$C,"&lt;="&amp;Settings!$B$5))</f>
        <v/>
      </c>
      <c r="G130" s="3">
        <f>IF($A130="","",COUNTIFS(Raw_Events!$G:$G,"DATE",Raw_Events!$J:$J,$A130,Raw_Events!$C:$C,"&gt;="&amp;Settings!$B$4,Raw_Events!$C:$C,"&lt;="&amp;Settings!$B$5))</f>
        <v/>
      </c>
      <c r="H130" s="3">
        <f>IF($A130="","",COUNTIFS(Raw_Events!$G:$G,"SEX",Raw_Events!$J:$J,$A130,Raw_Events!$C:$C,"&gt;="&amp;Settings!$B$4,Raw_Events!$C:$C,"&lt;="&amp;Settings!$B$5))</f>
        <v/>
      </c>
      <c r="I130" s="3">
        <f>IF($A130="","",COUNTIFS(Raw_Events!$G:$G,"PRO_CONTACT_ADDED",Raw_Events!$J:$J,$A130,Raw_Events!$C:$C,"&gt;="&amp;Settings!$B$4,Raw_Events!$C:$C,"&lt;="&amp;Settings!$B$5))</f>
        <v/>
      </c>
    </row>
    <row r="131" ht="15" customHeight="1">
      <c r="F131" s="3">
        <f>IF($A131="","",COUNTIFS(Raw_Events!$G:$G,"SOCIAL_MEET",Raw_Events!$J:$J,$A131,Raw_Events!$C:$C,"&gt;="&amp;Settings!$B$4,Raw_Events!$C:$C,"&lt;="&amp;Settings!$B$5))</f>
        <v/>
      </c>
      <c r="G131" s="3">
        <f>IF($A131="","",COUNTIFS(Raw_Events!$G:$G,"DATE",Raw_Events!$J:$J,$A131,Raw_Events!$C:$C,"&gt;="&amp;Settings!$B$4,Raw_Events!$C:$C,"&lt;="&amp;Settings!$B$5))</f>
        <v/>
      </c>
      <c r="H131" s="3">
        <f>IF($A131="","",COUNTIFS(Raw_Events!$G:$G,"SEX",Raw_Events!$J:$J,$A131,Raw_Events!$C:$C,"&gt;="&amp;Settings!$B$4,Raw_Events!$C:$C,"&lt;="&amp;Settings!$B$5))</f>
        <v/>
      </c>
      <c r="I131" s="3">
        <f>IF($A131="","",COUNTIFS(Raw_Events!$G:$G,"PRO_CONTACT_ADDED",Raw_Events!$J:$J,$A131,Raw_Events!$C:$C,"&gt;="&amp;Settings!$B$4,Raw_Events!$C:$C,"&lt;="&amp;Settings!$B$5))</f>
        <v/>
      </c>
    </row>
    <row r="132" ht="15" customHeight="1">
      <c r="F132" s="3">
        <f>IF($A132="","",COUNTIFS(Raw_Events!$G:$G,"SOCIAL_MEET",Raw_Events!$J:$J,$A132,Raw_Events!$C:$C,"&gt;="&amp;Settings!$B$4,Raw_Events!$C:$C,"&lt;="&amp;Settings!$B$5))</f>
        <v/>
      </c>
      <c r="G132" s="3">
        <f>IF($A132="","",COUNTIFS(Raw_Events!$G:$G,"DATE",Raw_Events!$J:$J,$A132,Raw_Events!$C:$C,"&gt;="&amp;Settings!$B$4,Raw_Events!$C:$C,"&lt;="&amp;Settings!$B$5))</f>
        <v/>
      </c>
      <c r="H132" s="3">
        <f>IF($A132="","",COUNTIFS(Raw_Events!$G:$G,"SEX",Raw_Events!$J:$J,$A132,Raw_Events!$C:$C,"&gt;="&amp;Settings!$B$4,Raw_Events!$C:$C,"&lt;="&amp;Settings!$B$5))</f>
        <v/>
      </c>
      <c r="I132" s="3">
        <f>IF($A132="","",COUNTIFS(Raw_Events!$G:$G,"PRO_CONTACT_ADDED",Raw_Events!$J:$J,$A132,Raw_Events!$C:$C,"&gt;="&amp;Settings!$B$4,Raw_Events!$C:$C,"&lt;="&amp;Settings!$B$5))</f>
        <v/>
      </c>
    </row>
    <row r="133" ht="15" customHeight="1">
      <c r="F133" s="3">
        <f>IF($A133="","",COUNTIFS(Raw_Events!$G:$G,"SOCIAL_MEET",Raw_Events!$J:$J,$A133,Raw_Events!$C:$C,"&gt;="&amp;Settings!$B$4,Raw_Events!$C:$C,"&lt;="&amp;Settings!$B$5))</f>
        <v/>
      </c>
      <c r="G133" s="3">
        <f>IF($A133="","",COUNTIFS(Raw_Events!$G:$G,"DATE",Raw_Events!$J:$J,$A133,Raw_Events!$C:$C,"&gt;="&amp;Settings!$B$4,Raw_Events!$C:$C,"&lt;="&amp;Settings!$B$5))</f>
        <v/>
      </c>
      <c r="H133" s="3">
        <f>IF($A133="","",COUNTIFS(Raw_Events!$G:$G,"SEX",Raw_Events!$J:$J,$A133,Raw_Events!$C:$C,"&gt;="&amp;Settings!$B$4,Raw_Events!$C:$C,"&lt;="&amp;Settings!$B$5))</f>
        <v/>
      </c>
      <c r="I133" s="3">
        <f>IF($A133="","",COUNTIFS(Raw_Events!$G:$G,"PRO_CONTACT_ADDED",Raw_Events!$J:$J,$A133,Raw_Events!$C:$C,"&gt;="&amp;Settings!$B$4,Raw_Events!$C:$C,"&lt;="&amp;Settings!$B$5))</f>
        <v/>
      </c>
    </row>
    <row r="134" ht="15" customHeight="1">
      <c r="F134" s="3">
        <f>IF($A134="","",COUNTIFS(Raw_Events!$G:$G,"SOCIAL_MEET",Raw_Events!$J:$J,$A134,Raw_Events!$C:$C,"&gt;="&amp;Settings!$B$4,Raw_Events!$C:$C,"&lt;="&amp;Settings!$B$5))</f>
        <v/>
      </c>
      <c r="G134" s="3">
        <f>IF($A134="","",COUNTIFS(Raw_Events!$G:$G,"DATE",Raw_Events!$J:$J,$A134,Raw_Events!$C:$C,"&gt;="&amp;Settings!$B$4,Raw_Events!$C:$C,"&lt;="&amp;Settings!$B$5))</f>
        <v/>
      </c>
      <c r="H134" s="3">
        <f>IF($A134="","",COUNTIFS(Raw_Events!$G:$G,"SEX",Raw_Events!$J:$J,$A134,Raw_Events!$C:$C,"&gt;="&amp;Settings!$B$4,Raw_Events!$C:$C,"&lt;="&amp;Settings!$B$5))</f>
        <v/>
      </c>
      <c r="I134" s="3">
        <f>IF($A134="","",COUNTIFS(Raw_Events!$G:$G,"PRO_CONTACT_ADDED",Raw_Events!$J:$J,$A134,Raw_Events!$C:$C,"&gt;="&amp;Settings!$B$4,Raw_Events!$C:$C,"&lt;="&amp;Settings!$B$5))</f>
        <v/>
      </c>
    </row>
    <row r="135" ht="15" customHeight="1">
      <c r="F135" s="3">
        <f>IF($A135="","",COUNTIFS(Raw_Events!$G:$G,"SOCIAL_MEET",Raw_Events!$J:$J,$A135,Raw_Events!$C:$C,"&gt;="&amp;Settings!$B$4,Raw_Events!$C:$C,"&lt;="&amp;Settings!$B$5))</f>
        <v/>
      </c>
      <c r="G135" s="3">
        <f>IF($A135="","",COUNTIFS(Raw_Events!$G:$G,"DATE",Raw_Events!$J:$J,$A135,Raw_Events!$C:$C,"&gt;="&amp;Settings!$B$4,Raw_Events!$C:$C,"&lt;="&amp;Settings!$B$5))</f>
        <v/>
      </c>
      <c r="H135" s="3">
        <f>IF($A135="","",COUNTIFS(Raw_Events!$G:$G,"SEX",Raw_Events!$J:$J,$A135,Raw_Events!$C:$C,"&gt;="&amp;Settings!$B$4,Raw_Events!$C:$C,"&lt;="&amp;Settings!$B$5))</f>
        <v/>
      </c>
      <c r="I135" s="3">
        <f>IF($A135="","",COUNTIFS(Raw_Events!$G:$G,"PRO_CONTACT_ADDED",Raw_Events!$J:$J,$A135,Raw_Events!$C:$C,"&gt;="&amp;Settings!$B$4,Raw_Events!$C:$C,"&lt;="&amp;Settings!$B$5))</f>
        <v/>
      </c>
    </row>
    <row r="136" ht="15" customHeight="1">
      <c r="F136" s="3">
        <f>IF($A136="","",COUNTIFS(Raw_Events!$G:$G,"SOCIAL_MEET",Raw_Events!$J:$J,$A136,Raw_Events!$C:$C,"&gt;="&amp;Settings!$B$4,Raw_Events!$C:$C,"&lt;="&amp;Settings!$B$5))</f>
        <v/>
      </c>
      <c r="G136" s="3">
        <f>IF($A136="","",COUNTIFS(Raw_Events!$G:$G,"DATE",Raw_Events!$J:$J,$A136,Raw_Events!$C:$C,"&gt;="&amp;Settings!$B$4,Raw_Events!$C:$C,"&lt;="&amp;Settings!$B$5))</f>
        <v/>
      </c>
      <c r="H136" s="3">
        <f>IF($A136="","",COUNTIFS(Raw_Events!$G:$G,"SEX",Raw_Events!$J:$J,$A136,Raw_Events!$C:$C,"&gt;="&amp;Settings!$B$4,Raw_Events!$C:$C,"&lt;="&amp;Settings!$B$5))</f>
        <v/>
      </c>
      <c r="I136" s="3">
        <f>IF($A136="","",COUNTIFS(Raw_Events!$G:$G,"PRO_CONTACT_ADDED",Raw_Events!$J:$J,$A136,Raw_Events!$C:$C,"&gt;="&amp;Settings!$B$4,Raw_Events!$C:$C,"&lt;="&amp;Settings!$B$5))</f>
        <v/>
      </c>
    </row>
    <row r="137" ht="15" customHeight="1">
      <c r="F137" s="3">
        <f>IF($A137="","",COUNTIFS(Raw_Events!$G:$G,"SOCIAL_MEET",Raw_Events!$J:$J,$A137,Raw_Events!$C:$C,"&gt;="&amp;Settings!$B$4,Raw_Events!$C:$C,"&lt;="&amp;Settings!$B$5))</f>
        <v/>
      </c>
      <c r="G137" s="3">
        <f>IF($A137="","",COUNTIFS(Raw_Events!$G:$G,"DATE",Raw_Events!$J:$J,$A137,Raw_Events!$C:$C,"&gt;="&amp;Settings!$B$4,Raw_Events!$C:$C,"&lt;="&amp;Settings!$B$5))</f>
        <v/>
      </c>
      <c r="H137" s="3">
        <f>IF($A137="","",COUNTIFS(Raw_Events!$G:$G,"SEX",Raw_Events!$J:$J,$A137,Raw_Events!$C:$C,"&gt;="&amp;Settings!$B$4,Raw_Events!$C:$C,"&lt;="&amp;Settings!$B$5))</f>
        <v/>
      </c>
      <c r="I137" s="3">
        <f>IF($A137="","",COUNTIFS(Raw_Events!$G:$G,"PRO_CONTACT_ADDED",Raw_Events!$J:$J,$A137,Raw_Events!$C:$C,"&gt;="&amp;Settings!$B$4,Raw_Events!$C:$C,"&lt;="&amp;Settings!$B$5))</f>
        <v/>
      </c>
    </row>
    <row r="138" ht="15" customHeight="1">
      <c r="F138" s="3">
        <f>IF($A138="","",COUNTIFS(Raw_Events!$G:$G,"SOCIAL_MEET",Raw_Events!$J:$J,$A138,Raw_Events!$C:$C,"&gt;="&amp;Settings!$B$4,Raw_Events!$C:$C,"&lt;="&amp;Settings!$B$5))</f>
        <v/>
      </c>
      <c r="G138" s="3">
        <f>IF($A138="","",COUNTIFS(Raw_Events!$G:$G,"DATE",Raw_Events!$J:$J,$A138,Raw_Events!$C:$C,"&gt;="&amp;Settings!$B$4,Raw_Events!$C:$C,"&lt;="&amp;Settings!$B$5))</f>
        <v/>
      </c>
      <c r="H138" s="3">
        <f>IF($A138="","",COUNTIFS(Raw_Events!$G:$G,"SEX",Raw_Events!$J:$J,$A138,Raw_Events!$C:$C,"&gt;="&amp;Settings!$B$4,Raw_Events!$C:$C,"&lt;="&amp;Settings!$B$5))</f>
        <v/>
      </c>
      <c r="I138" s="3">
        <f>IF($A138="","",COUNTIFS(Raw_Events!$G:$G,"PRO_CONTACT_ADDED",Raw_Events!$J:$J,$A138,Raw_Events!$C:$C,"&gt;="&amp;Settings!$B$4,Raw_Events!$C:$C,"&lt;="&amp;Settings!$B$5))</f>
        <v/>
      </c>
    </row>
    <row r="139" ht="15" customHeight="1">
      <c r="F139" s="3">
        <f>IF($A139="","",COUNTIFS(Raw_Events!$G:$G,"SOCIAL_MEET",Raw_Events!$J:$J,$A139,Raw_Events!$C:$C,"&gt;="&amp;Settings!$B$4,Raw_Events!$C:$C,"&lt;="&amp;Settings!$B$5))</f>
        <v/>
      </c>
      <c r="G139" s="3">
        <f>IF($A139="","",COUNTIFS(Raw_Events!$G:$G,"DATE",Raw_Events!$J:$J,$A139,Raw_Events!$C:$C,"&gt;="&amp;Settings!$B$4,Raw_Events!$C:$C,"&lt;="&amp;Settings!$B$5))</f>
        <v/>
      </c>
      <c r="H139" s="3">
        <f>IF($A139="","",COUNTIFS(Raw_Events!$G:$G,"SEX",Raw_Events!$J:$J,$A139,Raw_Events!$C:$C,"&gt;="&amp;Settings!$B$4,Raw_Events!$C:$C,"&lt;="&amp;Settings!$B$5))</f>
        <v/>
      </c>
      <c r="I139" s="3">
        <f>IF($A139="","",COUNTIFS(Raw_Events!$G:$G,"PRO_CONTACT_ADDED",Raw_Events!$J:$J,$A139,Raw_Events!$C:$C,"&gt;="&amp;Settings!$B$4,Raw_Events!$C:$C,"&lt;="&amp;Settings!$B$5))</f>
        <v/>
      </c>
    </row>
    <row r="140" ht="15" customHeight="1">
      <c r="F140" s="3">
        <f>IF($A140="","",COUNTIFS(Raw_Events!$G:$G,"SOCIAL_MEET",Raw_Events!$J:$J,$A140,Raw_Events!$C:$C,"&gt;="&amp;Settings!$B$4,Raw_Events!$C:$C,"&lt;="&amp;Settings!$B$5))</f>
        <v/>
      </c>
      <c r="G140" s="3">
        <f>IF($A140="","",COUNTIFS(Raw_Events!$G:$G,"DATE",Raw_Events!$J:$J,$A140,Raw_Events!$C:$C,"&gt;="&amp;Settings!$B$4,Raw_Events!$C:$C,"&lt;="&amp;Settings!$B$5))</f>
        <v/>
      </c>
      <c r="H140" s="3">
        <f>IF($A140="","",COUNTIFS(Raw_Events!$G:$G,"SEX",Raw_Events!$J:$J,$A140,Raw_Events!$C:$C,"&gt;="&amp;Settings!$B$4,Raw_Events!$C:$C,"&lt;="&amp;Settings!$B$5))</f>
        <v/>
      </c>
      <c r="I140" s="3">
        <f>IF($A140="","",COUNTIFS(Raw_Events!$G:$G,"PRO_CONTACT_ADDED",Raw_Events!$J:$J,$A140,Raw_Events!$C:$C,"&gt;="&amp;Settings!$B$4,Raw_Events!$C:$C,"&lt;="&amp;Settings!$B$5))</f>
        <v/>
      </c>
    </row>
    <row r="141" ht="15" customHeight="1">
      <c r="F141" s="3">
        <f>IF($A141="","",COUNTIFS(Raw_Events!$G:$G,"SOCIAL_MEET",Raw_Events!$J:$J,$A141,Raw_Events!$C:$C,"&gt;="&amp;Settings!$B$4,Raw_Events!$C:$C,"&lt;="&amp;Settings!$B$5))</f>
        <v/>
      </c>
      <c r="G141" s="3">
        <f>IF($A141="","",COUNTIFS(Raw_Events!$G:$G,"DATE",Raw_Events!$J:$J,$A141,Raw_Events!$C:$C,"&gt;="&amp;Settings!$B$4,Raw_Events!$C:$C,"&lt;="&amp;Settings!$B$5))</f>
        <v/>
      </c>
      <c r="H141" s="3">
        <f>IF($A141="","",COUNTIFS(Raw_Events!$G:$G,"SEX",Raw_Events!$J:$J,$A141,Raw_Events!$C:$C,"&gt;="&amp;Settings!$B$4,Raw_Events!$C:$C,"&lt;="&amp;Settings!$B$5))</f>
        <v/>
      </c>
      <c r="I141" s="3">
        <f>IF($A141="","",COUNTIFS(Raw_Events!$G:$G,"PRO_CONTACT_ADDED",Raw_Events!$J:$J,$A141,Raw_Events!$C:$C,"&gt;="&amp;Settings!$B$4,Raw_Events!$C:$C,"&lt;="&amp;Settings!$B$5))</f>
        <v/>
      </c>
    </row>
    <row r="142" ht="15" customHeight="1">
      <c r="F142" s="3">
        <f>IF($A142="","",COUNTIFS(Raw_Events!$G:$G,"SOCIAL_MEET",Raw_Events!$J:$J,$A142,Raw_Events!$C:$C,"&gt;="&amp;Settings!$B$4,Raw_Events!$C:$C,"&lt;="&amp;Settings!$B$5))</f>
        <v/>
      </c>
      <c r="G142" s="3">
        <f>IF($A142="","",COUNTIFS(Raw_Events!$G:$G,"DATE",Raw_Events!$J:$J,$A142,Raw_Events!$C:$C,"&gt;="&amp;Settings!$B$4,Raw_Events!$C:$C,"&lt;="&amp;Settings!$B$5))</f>
        <v/>
      </c>
      <c r="H142" s="3">
        <f>IF($A142="","",COUNTIFS(Raw_Events!$G:$G,"SEX",Raw_Events!$J:$J,$A142,Raw_Events!$C:$C,"&gt;="&amp;Settings!$B$4,Raw_Events!$C:$C,"&lt;="&amp;Settings!$B$5))</f>
        <v/>
      </c>
      <c r="I142" s="3">
        <f>IF($A142="","",COUNTIFS(Raw_Events!$G:$G,"PRO_CONTACT_ADDED",Raw_Events!$J:$J,$A142,Raw_Events!$C:$C,"&gt;="&amp;Settings!$B$4,Raw_Events!$C:$C,"&lt;="&amp;Settings!$B$5))</f>
        <v/>
      </c>
    </row>
    <row r="143" ht="15" customHeight="1">
      <c r="F143" s="3">
        <f>IF($A143="","",COUNTIFS(Raw_Events!$G:$G,"SOCIAL_MEET",Raw_Events!$J:$J,$A143,Raw_Events!$C:$C,"&gt;="&amp;Settings!$B$4,Raw_Events!$C:$C,"&lt;="&amp;Settings!$B$5))</f>
        <v/>
      </c>
      <c r="G143" s="3">
        <f>IF($A143="","",COUNTIFS(Raw_Events!$G:$G,"DATE",Raw_Events!$J:$J,$A143,Raw_Events!$C:$C,"&gt;="&amp;Settings!$B$4,Raw_Events!$C:$C,"&lt;="&amp;Settings!$B$5))</f>
        <v/>
      </c>
      <c r="H143" s="3">
        <f>IF($A143="","",COUNTIFS(Raw_Events!$G:$G,"SEX",Raw_Events!$J:$J,$A143,Raw_Events!$C:$C,"&gt;="&amp;Settings!$B$4,Raw_Events!$C:$C,"&lt;="&amp;Settings!$B$5))</f>
        <v/>
      </c>
      <c r="I143" s="3">
        <f>IF($A143="","",COUNTIFS(Raw_Events!$G:$G,"PRO_CONTACT_ADDED",Raw_Events!$J:$J,$A143,Raw_Events!$C:$C,"&gt;="&amp;Settings!$B$4,Raw_Events!$C:$C,"&lt;="&amp;Settings!$B$5))</f>
        <v/>
      </c>
    </row>
    <row r="144" ht="15" customHeight="1">
      <c r="F144" s="3">
        <f>IF($A144="","",COUNTIFS(Raw_Events!$G:$G,"SOCIAL_MEET",Raw_Events!$J:$J,$A144,Raw_Events!$C:$C,"&gt;="&amp;Settings!$B$4,Raw_Events!$C:$C,"&lt;="&amp;Settings!$B$5))</f>
        <v/>
      </c>
      <c r="G144" s="3">
        <f>IF($A144="","",COUNTIFS(Raw_Events!$G:$G,"DATE",Raw_Events!$J:$J,$A144,Raw_Events!$C:$C,"&gt;="&amp;Settings!$B$4,Raw_Events!$C:$C,"&lt;="&amp;Settings!$B$5))</f>
        <v/>
      </c>
      <c r="H144" s="3">
        <f>IF($A144="","",COUNTIFS(Raw_Events!$G:$G,"SEX",Raw_Events!$J:$J,$A144,Raw_Events!$C:$C,"&gt;="&amp;Settings!$B$4,Raw_Events!$C:$C,"&lt;="&amp;Settings!$B$5))</f>
        <v/>
      </c>
      <c r="I144" s="3">
        <f>IF($A144="","",COUNTIFS(Raw_Events!$G:$G,"PRO_CONTACT_ADDED",Raw_Events!$J:$J,$A144,Raw_Events!$C:$C,"&gt;="&amp;Settings!$B$4,Raw_Events!$C:$C,"&lt;="&amp;Settings!$B$5))</f>
        <v/>
      </c>
    </row>
    <row r="145" ht="15" customHeight="1">
      <c r="F145" s="3">
        <f>IF($A145="","",COUNTIFS(Raw_Events!$G:$G,"SOCIAL_MEET",Raw_Events!$J:$J,$A145,Raw_Events!$C:$C,"&gt;="&amp;Settings!$B$4,Raw_Events!$C:$C,"&lt;="&amp;Settings!$B$5))</f>
        <v/>
      </c>
      <c r="G145" s="3">
        <f>IF($A145="","",COUNTIFS(Raw_Events!$G:$G,"DATE",Raw_Events!$J:$J,$A145,Raw_Events!$C:$C,"&gt;="&amp;Settings!$B$4,Raw_Events!$C:$C,"&lt;="&amp;Settings!$B$5))</f>
        <v/>
      </c>
      <c r="H145" s="3">
        <f>IF($A145="","",COUNTIFS(Raw_Events!$G:$G,"SEX",Raw_Events!$J:$J,$A145,Raw_Events!$C:$C,"&gt;="&amp;Settings!$B$4,Raw_Events!$C:$C,"&lt;="&amp;Settings!$B$5))</f>
        <v/>
      </c>
      <c r="I145" s="3">
        <f>IF($A145="","",COUNTIFS(Raw_Events!$G:$G,"PRO_CONTACT_ADDED",Raw_Events!$J:$J,$A145,Raw_Events!$C:$C,"&gt;="&amp;Settings!$B$4,Raw_Events!$C:$C,"&lt;="&amp;Settings!$B$5))</f>
        <v/>
      </c>
    </row>
    <row r="146" ht="15" customHeight="1">
      <c r="F146" s="3">
        <f>IF($A146="","",COUNTIFS(Raw_Events!$G:$G,"SOCIAL_MEET",Raw_Events!$J:$J,$A146,Raw_Events!$C:$C,"&gt;="&amp;Settings!$B$4,Raw_Events!$C:$C,"&lt;="&amp;Settings!$B$5))</f>
        <v/>
      </c>
      <c r="G146" s="3">
        <f>IF($A146="","",COUNTIFS(Raw_Events!$G:$G,"DATE",Raw_Events!$J:$J,$A146,Raw_Events!$C:$C,"&gt;="&amp;Settings!$B$4,Raw_Events!$C:$C,"&lt;="&amp;Settings!$B$5))</f>
        <v/>
      </c>
      <c r="H146" s="3">
        <f>IF($A146="","",COUNTIFS(Raw_Events!$G:$G,"SEX",Raw_Events!$J:$J,$A146,Raw_Events!$C:$C,"&gt;="&amp;Settings!$B$4,Raw_Events!$C:$C,"&lt;="&amp;Settings!$B$5))</f>
        <v/>
      </c>
      <c r="I146" s="3">
        <f>IF($A146="","",COUNTIFS(Raw_Events!$G:$G,"PRO_CONTACT_ADDED",Raw_Events!$J:$J,$A146,Raw_Events!$C:$C,"&gt;="&amp;Settings!$B$4,Raw_Events!$C:$C,"&lt;="&amp;Settings!$B$5))</f>
        <v/>
      </c>
    </row>
    <row r="147" ht="15" customHeight="1">
      <c r="F147" s="3">
        <f>IF($A147="","",COUNTIFS(Raw_Events!$G:$G,"SOCIAL_MEET",Raw_Events!$J:$J,$A147,Raw_Events!$C:$C,"&gt;="&amp;Settings!$B$4,Raw_Events!$C:$C,"&lt;="&amp;Settings!$B$5))</f>
        <v/>
      </c>
      <c r="G147" s="3">
        <f>IF($A147="","",COUNTIFS(Raw_Events!$G:$G,"DATE",Raw_Events!$J:$J,$A147,Raw_Events!$C:$C,"&gt;="&amp;Settings!$B$4,Raw_Events!$C:$C,"&lt;="&amp;Settings!$B$5))</f>
        <v/>
      </c>
      <c r="H147" s="3">
        <f>IF($A147="","",COUNTIFS(Raw_Events!$G:$G,"SEX",Raw_Events!$J:$J,$A147,Raw_Events!$C:$C,"&gt;="&amp;Settings!$B$4,Raw_Events!$C:$C,"&lt;="&amp;Settings!$B$5))</f>
        <v/>
      </c>
      <c r="I147" s="3">
        <f>IF($A147="","",COUNTIFS(Raw_Events!$G:$G,"PRO_CONTACT_ADDED",Raw_Events!$J:$J,$A147,Raw_Events!$C:$C,"&gt;="&amp;Settings!$B$4,Raw_Events!$C:$C,"&lt;="&amp;Settings!$B$5))</f>
        <v/>
      </c>
    </row>
    <row r="148" ht="15" customHeight="1">
      <c r="F148" s="3">
        <f>IF($A148="","",COUNTIFS(Raw_Events!$G:$G,"SOCIAL_MEET",Raw_Events!$J:$J,$A148,Raw_Events!$C:$C,"&gt;="&amp;Settings!$B$4,Raw_Events!$C:$C,"&lt;="&amp;Settings!$B$5))</f>
        <v/>
      </c>
      <c r="G148" s="3">
        <f>IF($A148="","",COUNTIFS(Raw_Events!$G:$G,"DATE",Raw_Events!$J:$J,$A148,Raw_Events!$C:$C,"&gt;="&amp;Settings!$B$4,Raw_Events!$C:$C,"&lt;="&amp;Settings!$B$5))</f>
        <v/>
      </c>
      <c r="H148" s="3">
        <f>IF($A148="","",COUNTIFS(Raw_Events!$G:$G,"SEX",Raw_Events!$J:$J,$A148,Raw_Events!$C:$C,"&gt;="&amp;Settings!$B$4,Raw_Events!$C:$C,"&lt;="&amp;Settings!$B$5))</f>
        <v/>
      </c>
      <c r="I148" s="3">
        <f>IF($A148="","",COUNTIFS(Raw_Events!$G:$G,"PRO_CONTACT_ADDED",Raw_Events!$J:$J,$A148,Raw_Events!$C:$C,"&gt;="&amp;Settings!$B$4,Raw_Events!$C:$C,"&lt;="&amp;Settings!$B$5))</f>
        <v/>
      </c>
    </row>
    <row r="149" ht="15" customHeight="1">
      <c r="F149" s="3">
        <f>IF($A149="","",COUNTIFS(Raw_Events!$G:$G,"SOCIAL_MEET",Raw_Events!$J:$J,$A149,Raw_Events!$C:$C,"&gt;="&amp;Settings!$B$4,Raw_Events!$C:$C,"&lt;="&amp;Settings!$B$5))</f>
        <v/>
      </c>
      <c r="G149" s="3">
        <f>IF($A149="","",COUNTIFS(Raw_Events!$G:$G,"DATE",Raw_Events!$J:$J,$A149,Raw_Events!$C:$C,"&gt;="&amp;Settings!$B$4,Raw_Events!$C:$C,"&lt;="&amp;Settings!$B$5))</f>
        <v/>
      </c>
      <c r="H149" s="3">
        <f>IF($A149="","",COUNTIFS(Raw_Events!$G:$G,"SEX",Raw_Events!$J:$J,$A149,Raw_Events!$C:$C,"&gt;="&amp;Settings!$B$4,Raw_Events!$C:$C,"&lt;="&amp;Settings!$B$5))</f>
        <v/>
      </c>
      <c r="I149" s="3">
        <f>IF($A149="","",COUNTIFS(Raw_Events!$G:$G,"PRO_CONTACT_ADDED",Raw_Events!$J:$J,$A149,Raw_Events!$C:$C,"&gt;="&amp;Settings!$B$4,Raw_Events!$C:$C,"&lt;="&amp;Settings!$B$5))</f>
        <v/>
      </c>
    </row>
    <row r="150" ht="15" customHeight="1">
      <c r="F150" s="3">
        <f>IF($A150="","",COUNTIFS(Raw_Events!$G:$G,"SOCIAL_MEET",Raw_Events!$J:$J,$A150,Raw_Events!$C:$C,"&gt;="&amp;Settings!$B$4,Raw_Events!$C:$C,"&lt;="&amp;Settings!$B$5))</f>
        <v/>
      </c>
      <c r="G150" s="3">
        <f>IF($A150="","",COUNTIFS(Raw_Events!$G:$G,"DATE",Raw_Events!$J:$J,$A150,Raw_Events!$C:$C,"&gt;="&amp;Settings!$B$4,Raw_Events!$C:$C,"&lt;="&amp;Settings!$B$5))</f>
        <v/>
      </c>
      <c r="H150" s="3">
        <f>IF($A150="","",COUNTIFS(Raw_Events!$G:$G,"SEX",Raw_Events!$J:$J,$A150,Raw_Events!$C:$C,"&gt;="&amp;Settings!$B$4,Raw_Events!$C:$C,"&lt;="&amp;Settings!$B$5))</f>
        <v/>
      </c>
      <c r="I150" s="3">
        <f>IF($A150="","",COUNTIFS(Raw_Events!$G:$G,"PRO_CONTACT_ADDED",Raw_Events!$J:$J,$A150,Raw_Events!$C:$C,"&gt;="&amp;Settings!$B$4,Raw_Events!$C:$C,"&lt;="&amp;Settings!$B$5))</f>
        <v/>
      </c>
    </row>
    <row r="151" ht="15" customHeight="1">
      <c r="F151" s="3">
        <f>IF($A151="","",COUNTIFS(Raw_Events!$G:$G,"SOCIAL_MEET",Raw_Events!$J:$J,$A151,Raw_Events!$C:$C,"&gt;="&amp;Settings!$B$4,Raw_Events!$C:$C,"&lt;="&amp;Settings!$B$5))</f>
        <v/>
      </c>
      <c r="G151" s="3">
        <f>IF($A151="","",COUNTIFS(Raw_Events!$G:$G,"DATE",Raw_Events!$J:$J,$A151,Raw_Events!$C:$C,"&gt;="&amp;Settings!$B$4,Raw_Events!$C:$C,"&lt;="&amp;Settings!$B$5))</f>
        <v/>
      </c>
      <c r="H151" s="3">
        <f>IF($A151="","",COUNTIFS(Raw_Events!$G:$G,"SEX",Raw_Events!$J:$J,$A151,Raw_Events!$C:$C,"&gt;="&amp;Settings!$B$4,Raw_Events!$C:$C,"&lt;="&amp;Settings!$B$5))</f>
        <v/>
      </c>
      <c r="I151" s="3">
        <f>IF($A151="","",COUNTIFS(Raw_Events!$G:$G,"PRO_CONTACT_ADDED",Raw_Events!$J:$J,$A151,Raw_Events!$C:$C,"&gt;="&amp;Settings!$B$4,Raw_Events!$C:$C,"&lt;="&amp;Settings!$B$5))</f>
        <v/>
      </c>
    </row>
    <row r="152" ht="15" customHeight="1">
      <c r="F152" s="3">
        <f>IF($A152="","",COUNTIFS(Raw_Events!$G:$G,"SOCIAL_MEET",Raw_Events!$J:$J,$A152,Raw_Events!$C:$C,"&gt;="&amp;Settings!$B$4,Raw_Events!$C:$C,"&lt;="&amp;Settings!$B$5))</f>
        <v/>
      </c>
      <c r="G152" s="3">
        <f>IF($A152="","",COUNTIFS(Raw_Events!$G:$G,"DATE",Raw_Events!$J:$J,$A152,Raw_Events!$C:$C,"&gt;="&amp;Settings!$B$4,Raw_Events!$C:$C,"&lt;="&amp;Settings!$B$5))</f>
        <v/>
      </c>
      <c r="H152" s="3">
        <f>IF($A152="","",COUNTIFS(Raw_Events!$G:$G,"SEX",Raw_Events!$J:$J,$A152,Raw_Events!$C:$C,"&gt;="&amp;Settings!$B$4,Raw_Events!$C:$C,"&lt;="&amp;Settings!$B$5))</f>
        <v/>
      </c>
      <c r="I152" s="3">
        <f>IF($A152="","",COUNTIFS(Raw_Events!$G:$G,"PRO_CONTACT_ADDED",Raw_Events!$J:$J,$A152,Raw_Events!$C:$C,"&gt;="&amp;Settings!$B$4,Raw_Events!$C:$C,"&lt;="&amp;Settings!$B$5))</f>
        <v/>
      </c>
    </row>
    <row r="153" ht="15" customHeight="1">
      <c r="F153" s="3">
        <f>IF($A153="","",COUNTIFS(Raw_Events!$G:$G,"SOCIAL_MEET",Raw_Events!$J:$J,$A153,Raw_Events!$C:$C,"&gt;="&amp;Settings!$B$4,Raw_Events!$C:$C,"&lt;="&amp;Settings!$B$5))</f>
        <v/>
      </c>
      <c r="G153" s="3">
        <f>IF($A153="","",COUNTIFS(Raw_Events!$G:$G,"DATE",Raw_Events!$J:$J,$A153,Raw_Events!$C:$C,"&gt;="&amp;Settings!$B$4,Raw_Events!$C:$C,"&lt;="&amp;Settings!$B$5))</f>
        <v/>
      </c>
      <c r="H153" s="3">
        <f>IF($A153="","",COUNTIFS(Raw_Events!$G:$G,"SEX",Raw_Events!$J:$J,$A153,Raw_Events!$C:$C,"&gt;="&amp;Settings!$B$4,Raw_Events!$C:$C,"&lt;="&amp;Settings!$B$5))</f>
        <v/>
      </c>
      <c r="I153" s="3">
        <f>IF($A153="","",COUNTIFS(Raw_Events!$G:$G,"PRO_CONTACT_ADDED",Raw_Events!$J:$J,$A153,Raw_Events!$C:$C,"&gt;="&amp;Settings!$B$4,Raw_Events!$C:$C,"&lt;="&amp;Settings!$B$5))</f>
        <v/>
      </c>
    </row>
    <row r="154" ht="15" customHeight="1">
      <c r="F154" s="3">
        <f>IF($A154="","",COUNTIFS(Raw_Events!$G:$G,"SOCIAL_MEET",Raw_Events!$J:$J,$A154,Raw_Events!$C:$C,"&gt;="&amp;Settings!$B$4,Raw_Events!$C:$C,"&lt;="&amp;Settings!$B$5))</f>
        <v/>
      </c>
      <c r="G154" s="3">
        <f>IF($A154="","",COUNTIFS(Raw_Events!$G:$G,"DATE",Raw_Events!$J:$J,$A154,Raw_Events!$C:$C,"&gt;="&amp;Settings!$B$4,Raw_Events!$C:$C,"&lt;="&amp;Settings!$B$5))</f>
        <v/>
      </c>
      <c r="H154" s="3">
        <f>IF($A154="","",COUNTIFS(Raw_Events!$G:$G,"SEX",Raw_Events!$J:$J,$A154,Raw_Events!$C:$C,"&gt;="&amp;Settings!$B$4,Raw_Events!$C:$C,"&lt;="&amp;Settings!$B$5))</f>
        <v/>
      </c>
      <c r="I154" s="3">
        <f>IF($A154="","",COUNTIFS(Raw_Events!$G:$G,"PRO_CONTACT_ADDED",Raw_Events!$J:$J,$A154,Raw_Events!$C:$C,"&gt;="&amp;Settings!$B$4,Raw_Events!$C:$C,"&lt;="&amp;Settings!$B$5))</f>
        <v/>
      </c>
    </row>
    <row r="155" ht="15" customHeight="1">
      <c r="F155" s="3">
        <f>IF($A155="","",COUNTIFS(Raw_Events!$G:$G,"SOCIAL_MEET",Raw_Events!$J:$J,$A155,Raw_Events!$C:$C,"&gt;="&amp;Settings!$B$4,Raw_Events!$C:$C,"&lt;="&amp;Settings!$B$5))</f>
        <v/>
      </c>
      <c r="G155" s="3">
        <f>IF($A155="","",COUNTIFS(Raw_Events!$G:$G,"DATE",Raw_Events!$J:$J,$A155,Raw_Events!$C:$C,"&gt;="&amp;Settings!$B$4,Raw_Events!$C:$C,"&lt;="&amp;Settings!$B$5))</f>
        <v/>
      </c>
      <c r="H155" s="3">
        <f>IF($A155="","",COUNTIFS(Raw_Events!$G:$G,"SEX",Raw_Events!$J:$J,$A155,Raw_Events!$C:$C,"&gt;="&amp;Settings!$B$4,Raw_Events!$C:$C,"&lt;="&amp;Settings!$B$5))</f>
        <v/>
      </c>
      <c r="I155" s="3">
        <f>IF($A155="","",COUNTIFS(Raw_Events!$G:$G,"PRO_CONTACT_ADDED",Raw_Events!$J:$J,$A155,Raw_Events!$C:$C,"&gt;="&amp;Settings!$B$4,Raw_Events!$C:$C,"&lt;="&amp;Settings!$B$5))</f>
        <v/>
      </c>
    </row>
    <row r="156" ht="15" customHeight="1">
      <c r="F156" s="3">
        <f>IF($A156="","",COUNTIFS(Raw_Events!$G:$G,"SOCIAL_MEET",Raw_Events!$J:$J,$A156,Raw_Events!$C:$C,"&gt;="&amp;Settings!$B$4,Raw_Events!$C:$C,"&lt;="&amp;Settings!$B$5))</f>
        <v/>
      </c>
      <c r="G156" s="3">
        <f>IF($A156="","",COUNTIFS(Raw_Events!$G:$G,"DATE",Raw_Events!$J:$J,$A156,Raw_Events!$C:$C,"&gt;="&amp;Settings!$B$4,Raw_Events!$C:$C,"&lt;="&amp;Settings!$B$5))</f>
        <v/>
      </c>
      <c r="H156" s="3">
        <f>IF($A156="","",COUNTIFS(Raw_Events!$G:$G,"SEX",Raw_Events!$J:$J,$A156,Raw_Events!$C:$C,"&gt;="&amp;Settings!$B$4,Raw_Events!$C:$C,"&lt;="&amp;Settings!$B$5))</f>
        <v/>
      </c>
      <c r="I156" s="3">
        <f>IF($A156="","",COUNTIFS(Raw_Events!$G:$G,"PRO_CONTACT_ADDED",Raw_Events!$J:$J,$A156,Raw_Events!$C:$C,"&gt;="&amp;Settings!$B$4,Raw_Events!$C:$C,"&lt;="&amp;Settings!$B$5))</f>
        <v/>
      </c>
    </row>
    <row r="157" ht="15" customHeight="1">
      <c r="F157" s="3">
        <f>IF($A157="","",COUNTIFS(Raw_Events!$G:$G,"SOCIAL_MEET",Raw_Events!$J:$J,$A157,Raw_Events!$C:$C,"&gt;="&amp;Settings!$B$4,Raw_Events!$C:$C,"&lt;="&amp;Settings!$B$5))</f>
        <v/>
      </c>
      <c r="G157" s="3">
        <f>IF($A157="","",COUNTIFS(Raw_Events!$G:$G,"DATE",Raw_Events!$J:$J,$A157,Raw_Events!$C:$C,"&gt;="&amp;Settings!$B$4,Raw_Events!$C:$C,"&lt;="&amp;Settings!$B$5))</f>
        <v/>
      </c>
      <c r="H157" s="3">
        <f>IF($A157="","",COUNTIFS(Raw_Events!$G:$G,"SEX",Raw_Events!$J:$J,$A157,Raw_Events!$C:$C,"&gt;="&amp;Settings!$B$4,Raw_Events!$C:$C,"&lt;="&amp;Settings!$B$5))</f>
        <v/>
      </c>
      <c r="I157" s="3">
        <f>IF($A157="","",COUNTIFS(Raw_Events!$G:$G,"PRO_CONTACT_ADDED",Raw_Events!$J:$J,$A157,Raw_Events!$C:$C,"&gt;="&amp;Settings!$B$4,Raw_Events!$C:$C,"&lt;="&amp;Settings!$B$5))</f>
        <v/>
      </c>
    </row>
    <row r="158" ht="15" customHeight="1">
      <c r="F158" s="3">
        <f>IF($A158="","",COUNTIFS(Raw_Events!$G:$G,"SOCIAL_MEET",Raw_Events!$J:$J,$A158,Raw_Events!$C:$C,"&gt;="&amp;Settings!$B$4,Raw_Events!$C:$C,"&lt;="&amp;Settings!$B$5))</f>
        <v/>
      </c>
      <c r="G158" s="3">
        <f>IF($A158="","",COUNTIFS(Raw_Events!$G:$G,"DATE",Raw_Events!$J:$J,$A158,Raw_Events!$C:$C,"&gt;="&amp;Settings!$B$4,Raw_Events!$C:$C,"&lt;="&amp;Settings!$B$5))</f>
        <v/>
      </c>
      <c r="H158" s="3">
        <f>IF($A158="","",COUNTIFS(Raw_Events!$G:$G,"SEX",Raw_Events!$J:$J,$A158,Raw_Events!$C:$C,"&gt;="&amp;Settings!$B$4,Raw_Events!$C:$C,"&lt;="&amp;Settings!$B$5))</f>
        <v/>
      </c>
      <c r="I158" s="3">
        <f>IF($A158="","",COUNTIFS(Raw_Events!$G:$G,"PRO_CONTACT_ADDED",Raw_Events!$J:$J,$A158,Raw_Events!$C:$C,"&gt;="&amp;Settings!$B$4,Raw_Events!$C:$C,"&lt;="&amp;Settings!$B$5))</f>
        <v/>
      </c>
    </row>
    <row r="159" ht="15" customHeight="1">
      <c r="F159" s="3">
        <f>IF($A159="","",COUNTIFS(Raw_Events!$G:$G,"SOCIAL_MEET",Raw_Events!$J:$J,$A159,Raw_Events!$C:$C,"&gt;="&amp;Settings!$B$4,Raw_Events!$C:$C,"&lt;="&amp;Settings!$B$5))</f>
        <v/>
      </c>
      <c r="G159" s="3">
        <f>IF($A159="","",COUNTIFS(Raw_Events!$G:$G,"DATE",Raw_Events!$J:$J,$A159,Raw_Events!$C:$C,"&gt;="&amp;Settings!$B$4,Raw_Events!$C:$C,"&lt;="&amp;Settings!$B$5))</f>
        <v/>
      </c>
      <c r="H159" s="3">
        <f>IF($A159="","",COUNTIFS(Raw_Events!$G:$G,"SEX",Raw_Events!$J:$J,$A159,Raw_Events!$C:$C,"&gt;="&amp;Settings!$B$4,Raw_Events!$C:$C,"&lt;="&amp;Settings!$B$5))</f>
        <v/>
      </c>
      <c r="I159" s="3">
        <f>IF($A159="","",COUNTIFS(Raw_Events!$G:$G,"PRO_CONTACT_ADDED",Raw_Events!$J:$J,$A159,Raw_Events!$C:$C,"&gt;="&amp;Settings!$B$4,Raw_Events!$C:$C,"&lt;="&amp;Settings!$B$5))</f>
        <v/>
      </c>
    </row>
    <row r="160" ht="15" customHeight="1">
      <c r="F160" s="3">
        <f>IF($A160="","",COUNTIFS(Raw_Events!$G:$G,"SOCIAL_MEET",Raw_Events!$J:$J,$A160,Raw_Events!$C:$C,"&gt;="&amp;Settings!$B$4,Raw_Events!$C:$C,"&lt;="&amp;Settings!$B$5))</f>
        <v/>
      </c>
      <c r="G160" s="3">
        <f>IF($A160="","",COUNTIFS(Raw_Events!$G:$G,"DATE",Raw_Events!$J:$J,$A160,Raw_Events!$C:$C,"&gt;="&amp;Settings!$B$4,Raw_Events!$C:$C,"&lt;="&amp;Settings!$B$5))</f>
        <v/>
      </c>
      <c r="H160" s="3">
        <f>IF($A160="","",COUNTIFS(Raw_Events!$G:$G,"SEX",Raw_Events!$J:$J,$A160,Raw_Events!$C:$C,"&gt;="&amp;Settings!$B$4,Raw_Events!$C:$C,"&lt;="&amp;Settings!$B$5))</f>
        <v/>
      </c>
      <c r="I160" s="3">
        <f>IF($A160="","",COUNTIFS(Raw_Events!$G:$G,"PRO_CONTACT_ADDED",Raw_Events!$J:$J,$A160,Raw_Events!$C:$C,"&gt;="&amp;Settings!$B$4,Raw_Events!$C:$C,"&lt;="&amp;Settings!$B$5))</f>
        <v/>
      </c>
    </row>
    <row r="161" ht="15" customHeight="1">
      <c r="F161" s="3">
        <f>IF($A161="","",COUNTIFS(Raw_Events!$G:$G,"SOCIAL_MEET",Raw_Events!$J:$J,$A161,Raw_Events!$C:$C,"&gt;="&amp;Settings!$B$4,Raw_Events!$C:$C,"&lt;="&amp;Settings!$B$5))</f>
        <v/>
      </c>
      <c r="G161" s="3">
        <f>IF($A161="","",COUNTIFS(Raw_Events!$G:$G,"DATE",Raw_Events!$J:$J,$A161,Raw_Events!$C:$C,"&gt;="&amp;Settings!$B$4,Raw_Events!$C:$C,"&lt;="&amp;Settings!$B$5))</f>
        <v/>
      </c>
      <c r="H161" s="3">
        <f>IF($A161="","",COUNTIFS(Raw_Events!$G:$G,"SEX",Raw_Events!$J:$J,$A161,Raw_Events!$C:$C,"&gt;="&amp;Settings!$B$4,Raw_Events!$C:$C,"&lt;="&amp;Settings!$B$5))</f>
        <v/>
      </c>
      <c r="I161" s="3">
        <f>IF($A161="","",COUNTIFS(Raw_Events!$G:$G,"PRO_CONTACT_ADDED",Raw_Events!$J:$J,$A161,Raw_Events!$C:$C,"&gt;="&amp;Settings!$B$4,Raw_Events!$C:$C,"&lt;="&amp;Settings!$B$5))</f>
        <v/>
      </c>
    </row>
    <row r="162" ht="15" customHeight="1">
      <c r="F162" s="3">
        <f>IF($A162="","",COUNTIFS(Raw_Events!$G:$G,"SOCIAL_MEET",Raw_Events!$J:$J,$A162,Raw_Events!$C:$C,"&gt;="&amp;Settings!$B$4,Raw_Events!$C:$C,"&lt;="&amp;Settings!$B$5))</f>
        <v/>
      </c>
      <c r="G162" s="3">
        <f>IF($A162="","",COUNTIFS(Raw_Events!$G:$G,"DATE",Raw_Events!$J:$J,$A162,Raw_Events!$C:$C,"&gt;="&amp;Settings!$B$4,Raw_Events!$C:$C,"&lt;="&amp;Settings!$B$5))</f>
        <v/>
      </c>
      <c r="H162" s="3">
        <f>IF($A162="","",COUNTIFS(Raw_Events!$G:$G,"SEX",Raw_Events!$J:$J,$A162,Raw_Events!$C:$C,"&gt;="&amp;Settings!$B$4,Raw_Events!$C:$C,"&lt;="&amp;Settings!$B$5))</f>
        <v/>
      </c>
      <c r="I162" s="3">
        <f>IF($A162="","",COUNTIFS(Raw_Events!$G:$G,"PRO_CONTACT_ADDED",Raw_Events!$J:$J,$A162,Raw_Events!$C:$C,"&gt;="&amp;Settings!$B$4,Raw_Events!$C:$C,"&lt;="&amp;Settings!$B$5))</f>
        <v/>
      </c>
    </row>
    <row r="163" ht="15" customHeight="1">
      <c r="F163" s="3">
        <f>IF($A163="","",COUNTIFS(Raw_Events!$G:$G,"SOCIAL_MEET",Raw_Events!$J:$J,$A163,Raw_Events!$C:$C,"&gt;="&amp;Settings!$B$4,Raw_Events!$C:$C,"&lt;="&amp;Settings!$B$5))</f>
        <v/>
      </c>
      <c r="G163" s="3">
        <f>IF($A163="","",COUNTIFS(Raw_Events!$G:$G,"DATE",Raw_Events!$J:$J,$A163,Raw_Events!$C:$C,"&gt;="&amp;Settings!$B$4,Raw_Events!$C:$C,"&lt;="&amp;Settings!$B$5))</f>
        <v/>
      </c>
      <c r="H163" s="3">
        <f>IF($A163="","",COUNTIFS(Raw_Events!$G:$G,"SEX",Raw_Events!$J:$J,$A163,Raw_Events!$C:$C,"&gt;="&amp;Settings!$B$4,Raw_Events!$C:$C,"&lt;="&amp;Settings!$B$5))</f>
        <v/>
      </c>
      <c r="I163" s="3">
        <f>IF($A163="","",COUNTIFS(Raw_Events!$G:$G,"PRO_CONTACT_ADDED",Raw_Events!$J:$J,$A163,Raw_Events!$C:$C,"&gt;="&amp;Settings!$B$4,Raw_Events!$C:$C,"&lt;="&amp;Settings!$B$5))</f>
        <v/>
      </c>
    </row>
    <row r="164" ht="15" customHeight="1">
      <c r="F164" s="3">
        <f>IF($A164="","",COUNTIFS(Raw_Events!$G:$G,"SOCIAL_MEET",Raw_Events!$J:$J,$A164,Raw_Events!$C:$C,"&gt;="&amp;Settings!$B$4,Raw_Events!$C:$C,"&lt;="&amp;Settings!$B$5))</f>
        <v/>
      </c>
      <c r="G164" s="3">
        <f>IF($A164="","",COUNTIFS(Raw_Events!$G:$G,"DATE",Raw_Events!$J:$J,$A164,Raw_Events!$C:$C,"&gt;="&amp;Settings!$B$4,Raw_Events!$C:$C,"&lt;="&amp;Settings!$B$5))</f>
        <v/>
      </c>
      <c r="H164" s="3">
        <f>IF($A164="","",COUNTIFS(Raw_Events!$G:$G,"SEX",Raw_Events!$J:$J,$A164,Raw_Events!$C:$C,"&gt;="&amp;Settings!$B$4,Raw_Events!$C:$C,"&lt;="&amp;Settings!$B$5))</f>
        <v/>
      </c>
      <c r="I164" s="3">
        <f>IF($A164="","",COUNTIFS(Raw_Events!$G:$G,"PRO_CONTACT_ADDED",Raw_Events!$J:$J,$A164,Raw_Events!$C:$C,"&gt;="&amp;Settings!$B$4,Raw_Events!$C:$C,"&lt;="&amp;Settings!$B$5))</f>
        <v/>
      </c>
    </row>
    <row r="165" ht="15" customHeight="1">
      <c r="F165" s="3">
        <f>IF($A165="","",COUNTIFS(Raw_Events!$G:$G,"SOCIAL_MEET",Raw_Events!$J:$J,$A165,Raw_Events!$C:$C,"&gt;="&amp;Settings!$B$4,Raw_Events!$C:$C,"&lt;="&amp;Settings!$B$5))</f>
        <v/>
      </c>
      <c r="G165" s="3">
        <f>IF($A165="","",COUNTIFS(Raw_Events!$G:$G,"DATE",Raw_Events!$J:$J,$A165,Raw_Events!$C:$C,"&gt;="&amp;Settings!$B$4,Raw_Events!$C:$C,"&lt;="&amp;Settings!$B$5))</f>
        <v/>
      </c>
      <c r="H165" s="3">
        <f>IF($A165="","",COUNTIFS(Raw_Events!$G:$G,"SEX",Raw_Events!$J:$J,$A165,Raw_Events!$C:$C,"&gt;="&amp;Settings!$B$4,Raw_Events!$C:$C,"&lt;="&amp;Settings!$B$5))</f>
        <v/>
      </c>
      <c r="I165" s="3">
        <f>IF($A165="","",COUNTIFS(Raw_Events!$G:$G,"PRO_CONTACT_ADDED",Raw_Events!$J:$J,$A165,Raw_Events!$C:$C,"&gt;="&amp;Settings!$B$4,Raw_Events!$C:$C,"&lt;="&amp;Settings!$B$5))</f>
        <v/>
      </c>
    </row>
    <row r="166" ht="15" customHeight="1">
      <c r="F166" s="3">
        <f>IF($A166="","",COUNTIFS(Raw_Events!$G:$G,"SOCIAL_MEET",Raw_Events!$J:$J,$A166,Raw_Events!$C:$C,"&gt;="&amp;Settings!$B$4,Raw_Events!$C:$C,"&lt;="&amp;Settings!$B$5))</f>
        <v/>
      </c>
      <c r="G166" s="3">
        <f>IF($A166="","",COUNTIFS(Raw_Events!$G:$G,"DATE",Raw_Events!$J:$J,$A166,Raw_Events!$C:$C,"&gt;="&amp;Settings!$B$4,Raw_Events!$C:$C,"&lt;="&amp;Settings!$B$5))</f>
        <v/>
      </c>
      <c r="H166" s="3">
        <f>IF($A166="","",COUNTIFS(Raw_Events!$G:$G,"SEX",Raw_Events!$J:$J,$A166,Raw_Events!$C:$C,"&gt;="&amp;Settings!$B$4,Raw_Events!$C:$C,"&lt;="&amp;Settings!$B$5))</f>
        <v/>
      </c>
      <c r="I166" s="3">
        <f>IF($A166="","",COUNTIFS(Raw_Events!$G:$G,"PRO_CONTACT_ADDED",Raw_Events!$J:$J,$A166,Raw_Events!$C:$C,"&gt;="&amp;Settings!$B$4,Raw_Events!$C:$C,"&lt;="&amp;Settings!$B$5))</f>
        <v/>
      </c>
    </row>
    <row r="167" ht="15" customHeight="1">
      <c r="F167" s="3">
        <f>IF($A167="","",COUNTIFS(Raw_Events!$G:$G,"SOCIAL_MEET",Raw_Events!$J:$J,$A167,Raw_Events!$C:$C,"&gt;="&amp;Settings!$B$4,Raw_Events!$C:$C,"&lt;="&amp;Settings!$B$5))</f>
        <v/>
      </c>
      <c r="G167" s="3">
        <f>IF($A167="","",COUNTIFS(Raw_Events!$G:$G,"DATE",Raw_Events!$J:$J,$A167,Raw_Events!$C:$C,"&gt;="&amp;Settings!$B$4,Raw_Events!$C:$C,"&lt;="&amp;Settings!$B$5))</f>
        <v/>
      </c>
      <c r="H167" s="3">
        <f>IF($A167="","",COUNTIFS(Raw_Events!$G:$G,"SEX",Raw_Events!$J:$J,$A167,Raw_Events!$C:$C,"&gt;="&amp;Settings!$B$4,Raw_Events!$C:$C,"&lt;="&amp;Settings!$B$5))</f>
        <v/>
      </c>
      <c r="I167" s="3">
        <f>IF($A167="","",COUNTIFS(Raw_Events!$G:$G,"PRO_CONTACT_ADDED",Raw_Events!$J:$J,$A167,Raw_Events!$C:$C,"&gt;="&amp;Settings!$B$4,Raw_Events!$C:$C,"&lt;="&amp;Settings!$B$5))</f>
        <v/>
      </c>
    </row>
    <row r="168" ht="15" customHeight="1">
      <c r="F168" s="3">
        <f>IF($A168="","",COUNTIFS(Raw_Events!$G:$G,"SOCIAL_MEET",Raw_Events!$J:$J,$A168,Raw_Events!$C:$C,"&gt;="&amp;Settings!$B$4,Raw_Events!$C:$C,"&lt;="&amp;Settings!$B$5))</f>
        <v/>
      </c>
      <c r="G168" s="3">
        <f>IF($A168="","",COUNTIFS(Raw_Events!$G:$G,"DATE",Raw_Events!$J:$J,$A168,Raw_Events!$C:$C,"&gt;="&amp;Settings!$B$4,Raw_Events!$C:$C,"&lt;="&amp;Settings!$B$5))</f>
        <v/>
      </c>
      <c r="H168" s="3">
        <f>IF($A168="","",COUNTIFS(Raw_Events!$G:$G,"SEX",Raw_Events!$J:$J,$A168,Raw_Events!$C:$C,"&gt;="&amp;Settings!$B$4,Raw_Events!$C:$C,"&lt;="&amp;Settings!$B$5))</f>
        <v/>
      </c>
      <c r="I168" s="3">
        <f>IF($A168="","",COUNTIFS(Raw_Events!$G:$G,"PRO_CONTACT_ADDED",Raw_Events!$J:$J,$A168,Raw_Events!$C:$C,"&gt;="&amp;Settings!$B$4,Raw_Events!$C:$C,"&lt;="&amp;Settings!$B$5))</f>
        <v/>
      </c>
    </row>
    <row r="169" ht="15" customHeight="1">
      <c r="F169" s="3">
        <f>IF($A169="","",COUNTIFS(Raw_Events!$G:$G,"SOCIAL_MEET",Raw_Events!$J:$J,$A169,Raw_Events!$C:$C,"&gt;="&amp;Settings!$B$4,Raw_Events!$C:$C,"&lt;="&amp;Settings!$B$5))</f>
        <v/>
      </c>
      <c r="G169" s="3">
        <f>IF($A169="","",COUNTIFS(Raw_Events!$G:$G,"DATE",Raw_Events!$J:$J,$A169,Raw_Events!$C:$C,"&gt;="&amp;Settings!$B$4,Raw_Events!$C:$C,"&lt;="&amp;Settings!$B$5))</f>
        <v/>
      </c>
      <c r="H169" s="3">
        <f>IF($A169="","",COUNTIFS(Raw_Events!$G:$G,"SEX",Raw_Events!$J:$J,$A169,Raw_Events!$C:$C,"&gt;="&amp;Settings!$B$4,Raw_Events!$C:$C,"&lt;="&amp;Settings!$B$5))</f>
        <v/>
      </c>
      <c r="I169" s="3">
        <f>IF($A169="","",COUNTIFS(Raw_Events!$G:$G,"PRO_CONTACT_ADDED",Raw_Events!$J:$J,$A169,Raw_Events!$C:$C,"&gt;="&amp;Settings!$B$4,Raw_Events!$C:$C,"&lt;="&amp;Settings!$B$5))</f>
        <v/>
      </c>
    </row>
    <row r="170" ht="15" customHeight="1">
      <c r="F170" s="3">
        <f>IF($A170="","",COUNTIFS(Raw_Events!$G:$G,"SOCIAL_MEET",Raw_Events!$J:$J,$A170,Raw_Events!$C:$C,"&gt;="&amp;Settings!$B$4,Raw_Events!$C:$C,"&lt;="&amp;Settings!$B$5))</f>
        <v/>
      </c>
      <c r="G170" s="3">
        <f>IF($A170="","",COUNTIFS(Raw_Events!$G:$G,"DATE",Raw_Events!$J:$J,$A170,Raw_Events!$C:$C,"&gt;="&amp;Settings!$B$4,Raw_Events!$C:$C,"&lt;="&amp;Settings!$B$5))</f>
        <v/>
      </c>
      <c r="H170" s="3">
        <f>IF($A170="","",COUNTIFS(Raw_Events!$G:$G,"SEX",Raw_Events!$J:$J,$A170,Raw_Events!$C:$C,"&gt;="&amp;Settings!$B$4,Raw_Events!$C:$C,"&lt;="&amp;Settings!$B$5))</f>
        <v/>
      </c>
      <c r="I170" s="3">
        <f>IF($A170="","",COUNTIFS(Raw_Events!$G:$G,"PRO_CONTACT_ADDED",Raw_Events!$J:$J,$A170,Raw_Events!$C:$C,"&gt;="&amp;Settings!$B$4,Raw_Events!$C:$C,"&lt;="&amp;Settings!$B$5))</f>
        <v/>
      </c>
    </row>
    <row r="171" ht="15" customHeight="1">
      <c r="F171" s="3">
        <f>IF($A171="","",COUNTIFS(Raw_Events!$G:$G,"SOCIAL_MEET",Raw_Events!$J:$J,$A171,Raw_Events!$C:$C,"&gt;="&amp;Settings!$B$4,Raw_Events!$C:$C,"&lt;="&amp;Settings!$B$5))</f>
        <v/>
      </c>
      <c r="G171" s="3">
        <f>IF($A171="","",COUNTIFS(Raw_Events!$G:$G,"DATE",Raw_Events!$J:$J,$A171,Raw_Events!$C:$C,"&gt;="&amp;Settings!$B$4,Raw_Events!$C:$C,"&lt;="&amp;Settings!$B$5))</f>
        <v/>
      </c>
      <c r="H171" s="3">
        <f>IF($A171="","",COUNTIFS(Raw_Events!$G:$G,"SEX",Raw_Events!$J:$J,$A171,Raw_Events!$C:$C,"&gt;="&amp;Settings!$B$4,Raw_Events!$C:$C,"&lt;="&amp;Settings!$B$5))</f>
        <v/>
      </c>
      <c r="I171" s="3">
        <f>IF($A171="","",COUNTIFS(Raw_Events!$G:$G,"PRO_CONTACT_ADDED",Raw_Events!$J:$J,$A171,Raw_Events!$C:$C,"&gt;="&amp;Settings!$B$4,Raw_Events!$C:$C,"&lt;="&amp;Settings!$B$5))</f>
        <v/>
      </c>
    </row>
    <row r="172" ht="15" customHeight="1">
      <c r="F172" s="3">
        <f>IF($A172="","",COUNTIFS(Raw_Events!$G:$G,"SOCIAL_MEET",Raw_Events!$J:$J,$A172,Raw_Events!$C:$C,"&gt;="&amp;Settings!$B$4,Raw_Events!$C:$C,"&lt;="&amp;Settings!$B$5))</f>
        <v/>
      </c>
      <c r="G172" s="3">
        <f>IF($A172="","",COUNTIFS(Raw_Events!$G:$G,"DATE",Raw_Events!$J:$J,$A172,Raw_Events!$C:$C,"&gt;="&amp;Settings!$B$4,Raw_Events!$C:$C,"&lt;="&amp;Settings!$B$5))</f>
        <v/>
      </c>
      <c r="H172" s="3">
        <f>IF($A172="","",COUNTIFS(Raw_Events!$G:$G,"SEX",Raw_Events!$J:$J,$A172,Raw_Events!$C:$C,"&gt;="&amp;Settings!$B$4,Raw_Events!$C:$C,"&lt;="&amp;Settings!$B$5))</f>
        <v/>
      </c>
      <c r="I172" s="3">
        <f>IF($A172="","",COUNTIFS(Raw_Events!$G:$G,"PRO_CONTACT_ADDED",Raw_Events!$J:$J,$A172,Raw_Events!$C:$C,"&gt;="&amp;Settings!$B$4,Raw_Events!$C:$C,"&lt;="&amp;Settings!$B$5))</f>
        <v/>
      </c>
    </row>
    <row r="173" ht="15" customHeight="1">
      <c r="F173" s="3">
        <f>IF($A173="","",COUNTIFS(Raw_Events!$G:$G,"SOCIAL_MEET",Raw_Events!$J:$J,$A173,Raw_Events!$C:$C,"&gt;="&amp;Settings!$B$4,Raw_Events!$C:$C,"&lt;="&amp;Settings!$B$5))</f>
        <v/>
      </c>
      <c r="G173" s="3">
        <f>IF($A173="","",COUNTIFS(Raw_Events!$G:$G,"DATE",Raw_Events!$J:$J,$A173,Raw_Events!$C:$C,"&gt;="&amp;Settings!$B$4,Raw_Events!$C:$C,"&lt;="&amp;Settings!$B$5))</f>
        <v/>
      </c>
      <c r="H173" s="3">
        <f>IF($A173="","",COUNTIFS(Raw_Events!$G:$G,"SEX",Raw_Events!$J:$J,$A173,Raw_Events!$C:$C,"&gt;="&amp;Settings!$B$4,Raw_Events!$C:$C,"&lt;="&amp;Settings!$B$5))</f>
        <v/>
      </c>
      <c r="I173" s="3">
        <f>IF($A173="","",COUNTIFS(Raw_Events!$G:$G,"PRO_CONTACT_ADDED",Raw_Events!$J:$J,$A173,Raw_Events!$C:$C,"&gt;="&amp;Settings!$B$4,Raw_Events!$C:$C,"&lt;="&amp;Settings!$B$5))</f>
        <v/>
      </c>
    </row>
    <row r="174" ht="15" customHeight="1">
      <c r="F174" s="3">
        <f>IF($A174="","",COUNTIFS(Raw_Events!$G:$G,"SOCIAL_MEET",Raw_Events!$J:$J,$A174,Raw_Events!$C:$C,"&gt;="&amp;Settings!$B$4,Raw_Events!$C:$C,"&lt;="&amp;Settings!$B$5))</f>
        <v/>
      </c>
      <c r="G174" s="3">
        <f>IF($A174="","",COUNTIFS(Raw_Events!$G:$G,"DATE",Raw_Events!$J:$J,$A174,Raw_Events!$C:$C,"&gt;="&amp;Settings!$B$4,Raw_Events!$C:$C,"&lt;="&amp;Settings!$B$5))</f>
        <v/>
      </c>
      <c r="H174" s="3">
        <f>IF($A174="","",COUNTIFS(Raw_Events!$G:$G,"SEX",Raw_Events!$J:$J,$A174,Raw_Events!$C:$C,"&gt;="&amp;Settings!$B$4,Raw_Events!$C:$C,"&lt;="&amp;Settings!$B$5))</f>
        <v/>
      </c>
      <c r="I174" s="3">
        <f>IF($A174="","",COUNTIFS(Raw_Events!$G:$G,"PRO_CONTACT_ADDED",Raw_Events!$J:$J,$A174,Raw_Events!$C:$C,"&gt;="&amp;Settings!$B$4,Raw_Events!$C:$C,"&lt;="&amp;Settings!$B$5))</f>
        <v/>
      </c>
    </row>
    <row r="175" ht="15" customHeight="1">
      <c r="F175" s="3">
        <f>IF($A175="","",COUNTIFS(Raw_Events!$G:$G,"SOCIAL_MEET",Raw_Events!$J:$J,$A175,Raw_Events!$C:$C,"&gt;="&amp;Settings!$B$4,Raw_Events!$C:$C,"&lt;="&amp;Settings!$B$5))</f>
        <v/>
      </c>
      <c r="G175" s="3">
        <f>IF($A175="","",COUNTIFS(Raw_Events!$G:$G,"DATE",Raw_Events!$J:$J,$A175,Raw_Events!$C:$C,"&gt;="&amp;Settings!$B$4,Raw_Events!$C:$C,"&lt;="&amp;Settings!$B$5))</f>
        <v/>
      </c>
      <c r="H175" s="3">
        <f>IF($A175="","",COUNTIFS(Raw_Events!$G:$G,"SEX",Raw_Events!$J:$J,$A175,Raw_Events!$C:$C,"&gt;="&amp;Settings!$B$4,Raw_Events!$C:$C,"&lt;="&amp;Settings!$B$5))</f>
        <v/>
      </c>
      <c r="I175" s="3">
        <f>IF($A175="","",COUNTIFS(Raw_Events!$G:$G,"PRO_CONTACT_ADDED",Raw_Events!$J:$J,$A175,Raw_Events!$C:$C,"&gt;="&amp;Settings!$B$4,Raw_Events!$C:$C,"&lt;="&amp;Settings!$B$5))</f>
        <v/>
      </c>
    </row>
    <row r="176" ht="15" customHeight="1">
      <c r="F176" s="3">
        <f>IF($A176="","",COUNTIFS(Raw_Events!$G:$G,"SOCIAL_MEET",Raw_Events!$J:$J,$A176,Raw_Events!$C:$C,"&gt;="&amp;Settings!$B$4,Raw_Events!$C:$C,"&lt;="&amp;Settings!$B$5))</f>
        <v/>
      </c>
      <c r="G176" s="3">
        <f>IF($A176="","",COUNTIFS(Raw_Events!$G:$G,"DATE",Raw_Events!$J:$J,$A176,Raw_Events!$C:$C,"&gt;="&amp;Settings!$B$4,Raw_Events!$C:$C,"&lt;="&amp;Settings!$B$5))</f>
        <v/>
      </c>
      <c r="H176" s="3">
        <f>IF($A176="","",COUNTIFS(Raw_Events!$G:$G,"SEX",Raw_Events!$J:$J,$A176,Raw_Events!$C:$C,"&gt;="&amp;Settings!$B$4,Raw_Events!$C:$C,"&lt;="&amp;Settings!$B$5))</f>
        <v/>
      </c>
      <c r="I176" s="3">
        <f>IF($A176="","",COUNTIFS(Raw_Events!$G:$G,"PRO_CONTACT_ADDED",Raw_Events!$J:$J,$A176,Raw_Events!$C:$C,"&gt;="&amp;Settings!$B$4,Raw_Events!$C:$C,"&lt;="&amp;Settings!$B$5))</f>
        <v/>
      </c>
    </row>
    <row r="177" ht="15" customHeight="1">
      <c r="F177" s="3">
        <f>IF($A177="","",COUNTIFS(Raw_Events!$G:$G,"SOCIAL_MEET",Raw_Events!$J:$J,$A177,Raw_Events!$C:$C,"&gt;="&amp;Settings!$B$4,Raw_Events!$C:$C,"&lt;="&amp;Settings!$B$5))</f>
        <v/>
      </c>
      <c r="G177" s="3">
        <f>IF($A177="","",COUNTIFS(Raw_Events!$G:$G,"DATE",Raw_Events!$J:$J,$A177,Raw_Events!$C:$C,"&gt;="&amp;Settings!$B$4,Raw_Events!$C:$C,"&lt;="&amp;Settings!$B$5))</f>
        <v/>
      </c>
      <c r="H177" s="3">
        <f>IF($A177="","",COUNTIFS(Raw_Events!$G:$G,"SEX",Raw_Events!$J:$J,$A177,Raw_Events!$C:$C,"&gt;="&amp;Settings!$B$4,Raw_Events!$C:$C,"&lt;="&amp;Settings!$B$5))</f>
        <v/>
      </c>
      <c r="I177" s="3">
        <f>IF($A177="","",COUNTIFS(Raw_Events!$G:$G,"PRO_CONTACT_ADDED",Raw_Events!$J:$J,$A177,Raw_Events!$C:$C,"&gt;="&amp;Settings!$B$4,Raw_Events!$C:$C,"&lt;="&amp;Settings!$B$5))</f>
        <v/>
      </c>
    </row>
    <row r="178" ht="15" customHeight="1">
      <c r="F178" s="3">
        <f>IF($A178="","",COUNTIFS(Raw_Events!$G:$G,"SOCIAL_MEET",Raw_Events!$J:$J,$A178,Raw_Events!$C:$C,"&gt;="&amp;Settings!$B$4,Raw_Events!$C:$C,"&lt;="&amp;Settings!$B$5))</f>
        <v/>
      </c>
      <c r="G178" s="3">
        <f>IF($A178="","",COUNTIFS(Raw_Events!$G:$G,"DATE",Raw_Events!$J:$J,$A178,Raw_Events!$C:$C,"&gt;="&amp;Settings!$B$4,Raw_Events!$C:$C,"&lt;="&amp;Settings!$B$5))</f>
        <v/>
      </c>
      <c r="H178" s="3">
        <f>IF($A178="","",COUNTIFS(Raw_Events!$G:$G,"SEX",Raw_Events!$J:$J,$A178,Raw_Events!$C:$C,"&gt;="&amp;Settings!$B$4,Raw_Events!$C:$C,"&lt;="&amp;Settings!$B$5))</f>
        <v/>
      </c>
      <c r="I178" s="3">
        <f>IF($A178="","",COUNTIFS(Raw_Events!$G:$G,"PRO_CONTACT_ADDED",Raw_Events!$J:$J,$A178,Raw_Events!$C:$C,"&gt;="&amp;Settings!$B$4,Raw_Events!$C:$C,"&lt;="&amp;Settings!$B$5))</f>
        <v/>
      </c>
    </row>
    <row r="179" ht="15" customHeight="1">
      <c r="F179" s="3">
        <f>IF($A179="","",COUNTIFS(Raw_Events!$G:$G,"SOCIAL_MEET",Raw_Events!$J:$J,$A179,Raw_Events!$C:$C,"&gt;="&amp;Settings!$B$4,Raw_Events!$C:$C,"&lt;="&amp;Settings!$B$5))</f>
        <v/>
      </c>
      <c r="G179" s="3">
        <f>IF($A179="","",COUNTIFS(Raw_Events!$G:$G,"DATE",Raw_Events!$J:$J,$A179,Raw_Events!$C:$C,"&gt;="&amp;Settings!$B$4,Raw_Events!$C:$C,"&lt;="&amp;Settings!$B$5))</f>
        <v/>
      </c>
      <c r="H179" s="3">
        <f>IF($A179="","",COUNTIFS(Raw_Events!$G:$G,"SEX",Raw_Events!$J:$J,$A179,Raw_Events!$C:$C,"&gt;="&amp;Settings!$B$4,Raw_Events!$C:$C,"&lt;="&amp;Settings!$B$5))</f>
        <v/>
      </c>
      <c r="I179" s="3">
        <f>IF($A179="","",COUNTIFS(Raw_Events!$G:$G,"PRO_CONTACT_ADDED",Raw_Events!$J:$J,$A179,Raw_Events!$C:$C,"&gt;="&amp;Settings!$B$4,Raw_Events!$C:$C,"&lt;="&amp;Settings!$B$5))</f>
        <v/>
      </c>
    </row>
    <row r="180" ht="15" customHeight="1">
      <c r="F180" s="3">
        <f>IF($A180="","",COUNTIFS(Raw_Events!$G:$G,"SOCIAL_MEET",Raw_Events!$J:$J,$A180,Raw_Events!$C:$C,"&gt;="&amp;Settings!$B$4,Raw_Events!$C:$C,"&lt;="&amp;Settings!$B$5))</f>
        <v/>
      </c>
      <c r="G180" s="3">
        <f>IF($A180="","",COUNTIFS(Raw_Events!$G:$G,"DATE",Raw_Events!$J:$J,$A180,Raw_Events!$C:$C,"&gt;="&amp;Settings!$B$4,Raw_Events!$C:$C,"&lt;="&amp;Settings!$B$5))</f>
        <v/>
      </c>
      <c r="H180" s="3">
        <f>IF($A180="","",COUNTIFS(Raw_Events!$G:$G,"SEX",Raw_Events!$J:$J,$A180,Raw_Events!$C:$C,"&gt;="&amp;Settings!$B$4,Raw_Events!$C:$C,"&lt;="&amp;Settings!$B$5))</f>
        <v/>
      </c>
      <c r="I180" s="3">
        <f>IF($A180="","",COUNTIFS(Raw_Events!$G:$G,"PRO_CONTACT_ADDED",Raw_Events!$J:$J,$A180,Raw_Events!$C:$C,"&gt;="&amp;Settings!$B$4,Raw_Events!$C:$C,"&lt;="&amp;Settings!$B$5))</f>
        <v/>
      </c>
    </row>
    <row r="181" ht="15" customHeight="1">
      <c r="F181" s="3">
        <f>IF($A181="","",COUNTIFS(Raw_Events!$G:$G,"SOCIAL_MEET",Raw_Events!$J:$J,$A181,Raw_Events!$C:$C,"&gt;="&amp;Settings!$B$4,Raw_Events!$C:$C,"&lt;="&amp;Settings!$B$5))</f>
        <v/>
      </c>
      <c r="G181" s="3">
        <f>IF($A181="","",COUNTIFS(Raw_Events!$G:$G,"DATE",Raw_Events!$J:$J,$A181,Raw_Events!$C:$C,"&gt;="&amp;Settings!$B$4,Raw_Events!$C:$C,"&lt;="&amp;Settings!$B$5))</f>
        <v/>
      </c>
      <c r="H181" s="3">
        <f>IF($A181="","",COUNTIFS(Raw_Events!$G:$G,"SEX",Raw_Events!$J:$J,$A181,Raw_Events!$C:$C,"&gt;="&amp;Settings!$B$4,Raw_Events!$C:$C,"&lt;="&amp;Settings!$B$5))</f>
        <v/>
      </c>
      <c r="I181" s="3">
        <f>IF($A181="","",COUNTIFS(Raw_Events!$G:$G,"PRO_CONTACT_ADDED",Raw_Events!$J:$J,$A181,Raw_Events!$C:$C,"&gt;="&amp;Settings!$B$4,Raw_Events!$C:$C,"&lt;="&amp;Settings!$B$5))</f>
        <v/>
      </c>
    </row>
    <row r="182" ht="15" customHeight="1">
      <c r="F182" s="3">
        <f>IF($A182="","",COUNTIFS(Raw_Events!$G:$G,"SOCIAL_MEET",Raw_Events!$J:$J,$A182,Raw_Events!$C:$C,"&gt;="&amp;Settings!$B$4,Raw_Events!$C:$C,"&lt;="&amp;Settings!$B$5))</f>
        <v/>
      </c>
      <c r="G182" s="3">
        <f>IF($A182="","",COUNTIFS(Raw_Events!$G:$G,"DATE",Raw_Events!$J:$J,$A182,Raw_Events!$C:$C,"&gt;="&amp;Settings!$B$4,Raw_Events!$C:$C,"&lt;="&amp;Settings!$B$5))</f>
        <v/>
      </c>
      <c r="H182" s="3">
        <f>IF($A182="","",COUNTIFS(Raw_Events!$G:$G,"SEX",Raw_Events!$J:$J,$A182,Raw_Events!$C:$C,"&gt;="&amp;Settings!$B$4,Raw_Events!$C:$C,"&lt;="&amp;Settings!$B$5))</f>
        <v/>
      </c>
      <c r="I182" s="3">
        <f>IF($A182="","",COUNTIFS(Raw_Events!$G:$G,"PRO_CONTACT_ADDED",Raw_Events!$J:$J,$A182,Raw_Events!$C:$C,"&gt;="&amp;Settings!$B$4,Raw_Events!$C:$C,"&lt;="&amp;Settings!$B$5))</f>
        <v/>
      </c>
    </row>
    <row r="183" ht="15" customHeight="1">
      <c r="F183" s="3">
        <f>IF($A183="","",COUNTIFS(Raw_Events!$G:$G,"SOCIAL_MEET",Raw_Events!$J:$J,$A183,Raw_Events!$C:$C,"&gt;="&amp;Settings!$B$4,Raw_Events!$C:$C,"&lt;="&amp;Settings!$B$5))</f>
        <v/>
      </c>
      <c r="G183" s="3">
        <f>IF($A183="","",COUNTIFS(Raw_Events!$G:$G,"DATE",Raw_Events!$J:$J,$A183,Raw_Events!$C:$C,"&gt;="&amp;Settings!$B$4,Raw_Events!$C:$C,"&lt;="&amp;Settings!$B$5))</f>
        <v/>
      </c>
      <c r="H183" s="3">
        <f>IF($A183="","",COUNTIFS(Raw_Events!$G:$G,"SEX",Raw_Events!$J:$J,$A183,Raw_Events!$C:$C,"&gt;="&amp;Settings!$B$4,Raw_Events!$C:$C,"&lt;="&amp;Settings!$B$5))</f>
        <v/>
      </c>
      <c r="I183" s="3">
        <f>IF($A183="","",COUNTIFS(Raw_Events!$G:$G,"PRO_CONTACT_ADDED",Raw_Events!$J:$J,$A183,Raw_Events!$C:$C,"&gt;="&amp;Settings!$B$4,Raw_Events!$C:$C,"&lt;="&amp;Settings!$B$5))</f>
        <v/>
      </c>
    </row>
    <row r="184" ht="15" customHeight="1">
      <c r="F184" s="3">
        <f>IF($A184="","",COUNTIFS(Raw_Events!$G:$G,"SOCIAL_MEET",Raw_Events!$J:$J,$A184,Raw_Events!$C:$C,"&gt;="&amp;Settings!$B$4,Raw_Events!$C:$C,"&lt;="&amp;Settings!$B$5))</f>
        <v/>
      </c>
      <c r="G184" s="3">
        <f>IF($A184="","",COUNTIFS(Raw_Events!$G:$G,"DATE",Raw_Events!$J:$J,$A184,Raw_Events!$C:$C,"&gt;="&amp;Settings!$B$4,Raw_Events!$C:$C,"&lt;="&amp;Settings!$B$5))</f>
        <v/>
      </c>
      <c r="H184" s="3">
        <f>IF($A184="","",COUNTIFS(Raw_Events!$G:$G,"SEX",Raw_Events!$J:$J,$A184,Raw_Events!$C:$C,"&gt;="&amp;Settings!$B$4,Raw_Events!$C:$C,"&lt;="&amp;Settings!$B$5))</f>
        <v/>
      </c>
      <c r="I184" s="3">
        <f>IF($A184="","",COUNTIFS(Raw_Events!$G:$G,"PRO_CONTACT_ADDED",Raw_Events!$J:$J,$A184,Raw_Events!$C:$C,"&gt;="&amp;Settings!$B$4,Raw_Events!$C:$C,"&lt;="&amp;Settings!$B$5))</f>
        <v/>
      </c>
    </row>
    <row r="185" ht="15" customHeight="1">
      <c r="F185" s="3">
        <f>IF($A185="","",COUNTIFS(Raw_Events!$G:$G,"SOCIAL_MEET",Raw_Events!$J:$J,$A185,Raw_Events!$C:$C,"&gt;="&amp;Settings!$B$4,Raw_Events!$C:$C,"&lt;="&amp;Settings!$B$5))</f>
        <v/>
      </c>
      <c r="G185" s="3">
        <f>IF($A185="","",COUNTIFS(Raw_Events!$G:$G,"DATE",Raw_Events!$J:$J,$A185,Raw_Events!$C:$C,"&gt;="&amp;Settings!$B$4,Raw_Events!$C:$C,"&lt;="&amp;Settings!$B$5))</f>
        <v/>
      </c>
      <c r="H185" s="3">
        <f>IF($A185="","",COUNTIFS(Raw_Events!$G:$G,"SEX",Raw_Events!$J:$J,$A185,Raw_Events!$C:$C,"&gt;="&amp;Settings!$B$4,Raw_Events!$C:$C,"&lt;="&amp;Settings!$B$5))</f>
        <v/>
      </c>
      <c r="I185" s="3">
        <f>IF($A185="","",COUNTIFS(Raw_Events!$G:$G,"PRO_CONTACT_ADDED",Raw_Events!$J:$J,$A185,Raw_Events!$C:$C,"&gt;="&amp;Settings!$B$4,Raw_Events!$C:$C,"&lt;="&amp;Settings!$B$5))</f>
        <v/>
      </c>
    </row>
    <row r="186" ht="15" customHeight="1">
      <c r="F186" s="3">
        <f>IF($A186="","",COUNTIFS(Raw_Events!$G:$G,"SOCIAL_MEET",Raw_Events!$J:$J,$A186,Raw_Events!$C:$C,"&gt;="&amp;Settings!$B$4,Raw_Events!$C:$C,"&lt;="&amp;Settings!$B$5))</f>
        <v/>
      </c>
      <c r="G186" s="3">
        <f>IF($A186="","",COUNTIFS(Raw_Events!$G:$G,"DATE",Raw_Events!$J:$J,$A186,Raw_Events!$C:$C,"&gt;="&amp;Settings!$B$4,Raw_Events!$C:$C,"&lt;="&amp;Settings!$B$5))</f>
        <v/>
      </c>
      <c r="H186" s="3">
        <f>IF($A186="","",COUNTIFS(Raw_Events!$G:$G,"SEX",Raw_Events!$J:$J,$A186,Raw_Events!$C:$C,"&gt;="&amp;Settings!$B$4,Raw_Events!$C:$C,"&lt;="&amp;Settings!$B$5))</f>
        <v/>
      </c>
      <c r="I186" s="3">
        <f>IF($A186="","",COUNTIFS(Raw_Events!$G:$G,"PRO_CONTACT_ADDED",Raw_Events!$J:$J,$A186,Raw_Events!$C:$C,"&gt;="&amp;Settings!$B$4,Raw_Events!$C:$C,"&lt;="&amp;Settings!$B$5))</f>
        <v/>
      </c>
    </row>
    <row r="187" ht="15" customHeight="1">
      <c r="F187" s="3">
        <f>IF($A187="","",COUNTIFS(Raw_Events!$G:$G,"SOCIAL_MEET",Raw_Events!$J:$J,$A187,Raw_Events!$C:$C,"&gt;="&amp;Settings!$B$4,Raw_Events!$C:$C,"&lt;="&amp;Settings!$B$5))</f>
        <v/>
      </c>
      <c r="G187" s="3">
        <f>IF($A187="","",COUNTIFS(Raw_Events!$G:$G,"DATE",Raw_Events!$J:$J,$A187,Raw_Events!$C:$C,"&gt;="&amp;Settings!$B$4,Raw_Events!$C:$C,"&lt;="&amp;Settings!$B$5))</f>
        <v/>
      </c>
      <c r="H187" s="3">
        <f>IF($A187="","",COUNTIFS(Raw_Events!$G:$G,"SEX",Raw_Events!$J:$J,$A187,Raw_Events!$C:$C,"&gt;="&amp;Settings!$B$4,Raw_Events!$C:$C,"&lt;="&amp;Settings!$B$5))</f>
        <v/>
      </c>
      <c r="I187" s="3">
        <f>IF($A187="","",COUNTIFS(Raw_Events!$G:$G,"PRO_CONTACT_ADDED",Raw_Events!$J:$J,$A187,Raw_Events!$C:$C,"&gt;="&amp;Settings!$B$4,Raw_Events!$C:$C,"&lt;="&amp;Settings!$B$5))</f>
        <v/>
      </c>
    </row>
    <row r="188" ht="15" customHeight="1">
      <c r="F188" s="3">
        <f>IF($A188="","",COUNTIFS(Raw_Events!$G:$G,"SOCIAL_MEET",Raw_Events!$J:$J,$A188,Raw_Events!$C:$C,"&gt;="&amp;Settings!$B$4,Raw_Events!$C:$C,"&lt;="&amp;Settings!$B$5))</f>
        <v/>
      </c>
      <c r="G188" s="3">
        <f>IF($A188="","",COUNTIFS(Raw_Events!$G:$G,"DATE",Raw_Events!$J:$J,$A188,Raw_Events!$C:$C,"&gt;="&amp;Settings!$B$4,Raw_Events!$C:$C,"&lt;="&amp;Settings!$B$5))</f>
        <v/>
      </c>
      <c r="H188" s="3">
        <f>IF($A188="","",COUNTIFS(Raw_Events!$G:$G,"SEX",Raw_Events!$J:$J,$A188,Raw_Events!$C:$C,"&gt;="&amp;Settings!$B$4,Raw_Events!$C:$C,"&lt;="&amp;Settings!$B$5))</f>
        <v/>
      </c>
      <c r="I188" s="3">
        <f>IF($A188="","",COUNTIFS(Raw_Events!$G:$G,"PRO_CONTACT_ADDED",Raw_Events!$J:$J,$A188,Raw_Events!$C:$C,"&gt;="&amp;Settings!$B$4,Raw_Events!$C:$C,"&lt;="&amp;Settings!$B$5))</f>
        <v/>
      </c>
    </row>
    <row r="189" ht="15" customHeight="1">
      <c r="F189" s="3">
        <f>IF($A189="","",COUNTIFS(Raw_Events!$G:$G,"SOCIAL_MEET",Raw_Events!$J:$J,$A189,Raw_Events!$C:$C,"&gt;="&amp;Settings!$B$4,Raw_Events!$C:$C,"&lt;="&amp;Settings!$B$5))</f>
        <v/>
      </c>
      <c r="G189" s="3">
        <f>IF($A189="","",COUNTIFS(Raw_Events!$G:$G,"DATE",Raw_Events!$J:$J,$A189,Raw_Events!$C:$C,"&gt;="&amp;Settings!$B$4,Raw_Events!$C:$C,"&lt;="&amp;Settings!$B$5))</f>
        <v/>
      </c>
      <c r="H189" s="3">
        <f>IF($A189="","",COUNTIFS(Raw_Events!$G:$G,"SEX",Raw_Events!$J:$J,$A189,Raw_Events!$C:$C,"&gt;="&amp;Settings!$B$4,Raw_Events!$C:$C,"&lt;="&amp;Settings!$B$5))</f>
        <v/>
      </c>
      <c r="I189" s="3">
        <f>IF($A189="","",COUNTIFS(Raw_Events!$G:$G,"PRO_CONTACT_ADDED",Raw_Events!$J:$J,$A189,Raw_Events!$C:$C,"&gt;="&amp;Settings!$B$4,Raw_Events!$C:$C,"&lt;="&amp;Settings!$B$5))</f>
        <v/>
      </c>
    </row>
    <row r="190" ht="15" customHeight="1">
      <c r="F190" s="3">
        <f>IF($A190="","",COUNTIFS(Raw_Events!$G:$G,"SOCIAL_MEET",Raw_Events!$J:$J,$A190,Raw_Events!$C:$C,"&gt;="&amp;Settings!$B$4,Raw_Events!$C:$C,"&lt;="&amp;Settings!$B$5))</f>
        <v/>
      </c>
      <c r="G190" s="3">
        <f>IF($A190="","",COUNTIFS(Raw_Events!$G:$G,"DATE",Raw_Events!$J:$J,$A190,Raw_Events!$C:$C,"&gt;="&amp;Settings!$B$4,Raw_Events!$C:$C,"&lt;="&amp;Settings!$B$5))</f>
        <v/>
      </c>
      <c r="H190" s="3">
        <f>IF($A190="","",COUNTIFS(Raw_Events!$G:$G,"SEX",Raw_Events!$J:$J,$A190,Raw_Events!$C:$C,"&gt;="&amp;Settings!$B$4,Raw_Events!$C:$C,"&lt;="&amp;Settings!$B$5))</f>
        <v/>
      </c>
      <c r="I190" s="3">
        <f>IF($A190="","",COUNTIFS(Raw_Events!$G:$G,"PRO_CONTACT_ADDED",Raw_Events!$J:$J,$A190,Raw_Events!$C:$C,"&gt;="&amp;Settings!$B$4,Raw_Events!$C:$C,"&lt;="&amp;Settings!$B$5))</f>
        <v/>
      </c>
    </row>
    <row r="191" ht="15" customHeight="1">
      <c r="F191" s="3">
        <f>IF($A191="","",COUNTIFS(Raw_Events!$G:$G,"SOCIAL_MEET",Raw_Events!$J:$J,$A191,Raw_Events!$C:$C,"&gt;="&amp;Settings!$B$4,Raw_Events!$C:$C,"&lt;="&amp;Settings!$B$5))</f>
        <v/>
      </c>
      <c r="G191" s="3">
        <f>IF($A191="","",COUNTIFS(Raw_Events!$G:$G,"DATE",Raw_Events!$J:$J,$A191,Raw_Events!$C:$C,"&gt;="&amp;Settings!$B$4,Raw_Events!$C:$C,"&lt;="&amp;Settings!$B$5))</f>
        <v/>
      </c>
      <c r="H191" s="3">
        <f>IF($A191="","",COUNTIFS(Raw_Events!$G:$G,"SEX",Raw_Events!$J:$J,$A191,Raw_Events!$C:$C,"&gt;="&amp;Settings!$B$4,Raw_Events!$C:$C,"&lt;="&amp;Settings!$B$5))</f>
        <v/>
      </c>
      <c r="I191" s="3">
        <f>IF($A191="","",COUNTIFS(Raw_Events!$G:$G,"PRO_CONTACT_ADDED",Raw_Events!$J:$J,$A191,Raw_Events!$C:$C,"&gt;="&amp;Settings!$B$4,Raw_Events!$C:$C,"&lt;="&amp;Settings!$B$5))</f>
        <v/>
      </c>
    </row>
    <row r="192" ht="15" customHeight="1">
      <c r="F192" s="3">
        <f>IF($A192="","",COUNTIFS(Raw_Events!$G:$G,"SOCIAL_MEET",Raw_Events!$J:$J,$A192,Raw_Events!$C:$C,"&gt;="&amp;Settings!$B$4,Raw_Events!$C:$C,"&lt;="&amp;Settings!$B$5))</f>
        <v/>
      </c>
      <c r="G192" s="3">
        <f>IF($A192="","",COUNTIFS(Raw_Events!$G:$G,"DATE",Raw_Events!$J:$J,$A192,Raw_Events!$C:$C,"&gt;="&amp;Settings!$B$4,Raw_Events!$C:$C,"&lt;="&amp;Settings!$B$5))</f>
        <v/>
      </c>
      <c r="H192" s="3">
        <f>IF($A192="","",COUNTIFS(Raw_Events!$G:$G,"SEX",Raw_Events!$J:$J,$A192,Raw_Events!$C:$C,"&gt;="&amp;Settings!$B$4,Raw_Events!$C:$C,"&lt;="&amp;Settings!$B$5))</f>
        <v/>
      </c>
      <c r="I192" s="3">
        <f>IF($A192="","",COUNTIFS(Raw_Events!$G:$G,"PRO_CONTACT_ADDED",Raw_Events!$J:$J,$A192,Raw_Events!$C:$C,"&gt;="&amp;Settings!$B$4,Raw_Events!$C:$C,"&lt;="&amp;Settings!$B$5))</f>
        <v/>
      </c>
    </row>
    <row r="193" ht="15" customHeight="1">
      <c r="F193" s="3">
        <f>IF($A193="","",COUNTIFS(Raw_Events!$G:$G,"SOCIAL_MEET",Raw_Events!$J:$J,$A193,Raw_Events!$C:$C,"&gt;="&amp;Settings!$B$4,Raw_Events!$C:$C,"&lt;="&amp;Settings!$B$5))</f>
        <v/>
      </c>
      <c r="G193" s="3">
        <f>IF($A193="","",COUNTIFS(Raw_Events!$G:$G,"DATE",Raw_Events!$J:$J,$A193,Raw_Events!$C:$C,"&gt;="&amp;Settings!$B$4,Raw_Events!$C:$C,"&lt;="&amp;Settings!$B$5))</f>
        <v/>
      </c>
      <c r="H193" s="3">
        <f>IF($A193="","",COUNTIFS(Raw_Events!$G:$G,"SEX",Raw_Events!$J:$J,$A193,Raw_Events!$C:$C,"&gt;="&amp;Settings!$B$4,Raw_Events!$C:$C,"&lt;="&amp;Settings!$B$5))</f>
        <v/>
      </c>
      <c r="I193" s="3">
        <f>IF($A193="","",COUNTIFS(Raw_Events!$G:$G,"PRO_CONTACT_ADDED",Raw_Events!$J:$J,$A193,Raw_Events!$C:$C,"&gt;="&amp;Settings!$B$4,Raw_Events!$C:$C,"&lt;="&amp;Settings!$B$5))</f>
        <v/>
      </c>
    </row>
    <row r="194" ht="15" customHeight="1">
      <c r="F194" s="3">
        <f>IF($A194="","",COUNTIFS(Raw_Events!$G:$G,"SOCIAL_MEET",Raw_Events!$J:$J,$A194,Raw_Events!$C:$C,"&gt;="&amp;Settings!$B$4,Raw_Events!$C:$C,"&lt;="&amp;Settings!$B$5))</f>
        <v/>
      </c>
      <c r="G194" s="3">
        <f>IF($A194="","",COUNTIFS(Raw_Events!$G:$G,"DATE",Raw_Events!$J:$J,$A194,Raw_Events!$C:$C,"&gt;="&amp;Settings!$B$4,Raw_Events!$C:$C,"&lt;="&amp;Settings!$B$5))</f>
        <v/>
      </c>
      <c r="H194" s="3">
        <f>IF($A194="","",COUNTIFS(Raw_Events!$G:$G,"SEX",Raw_Events!$J:$J,$A194,Raw_Events!$C:$C,"&gt;="&amp;Settings!$B$4,Raw_Events!$C:$C,"&lt;="&amp;Settings!$B$5))</f>
        <v/>
      </c>
      <c r="I194" s="3">
        <f>IF($A194="","",COUNTIFS(Raw_Events!$G:$G,"PRO_CONTACT_ADDED",Raw_Events!$J:$J,$A194,Raw_Events!$C:$C,"&gt;="&amp;Settings!$B$4,Raw_Events!$C:$C,"&lt;="&amp;Settings!$B$5))</f>
        <v/>
      </c>
    </row>
    <row r="195" ht="15" customHeight="1">
      <c r="F195" s="3">
        <f>IF($A195="","",COUNTIFS(Raw_Events!$G:$G,"SOCIAL_MEET",Raw_Events!$J:$J,$A195,Raw_Events!$C:$C,"&gt;="&amp;Settings!$B$4,Raw_Events!$C:$C,"&lt;="&amp;Settings!$B$5))</f>
        <v/>
      </c>
      <c r="G195" s="3">
        <f>IF($A195="","",COUNTIFS(Raw_Events!$G:$G,"DATE",Raw_Events!$J:$J,$A195,Raw_Events!$C:$C,"&gt;="&amp;Settings!$B$4,Raw_Events!$C:$C,"&lt;="&amp;Settings!$B$5))</f>
        <v/>
      </c>
      <c r="H195" s="3">
        <f>IF($A195="","",COUNTIFS(Raw_Events!$G:$G,"SEX",Raw_Events!$J:$J,$A195,Raw_Events!$C:$C,"&gt;="&amp;Settings!$B$4,Raw_Events!$C:$C,"&lt;="&amp;Settings!$B$5))</f>
        <v/>
      </c>
      <c r="I195" s="3">
        <f>IF($A195="","",COUNTIFS(Raw_Events!$G:$G,"PRO_CONTACT_ADDED",Raw_Events!$J:$J,$A195,Raw_Events!$C:$C,"&gt;="&amp;Settings!$B$4,Raw_Events!$C:$C,"&lt;="&amp;Settings!$B$5))</f>
        <v/>
      </c>
    </row>
    <row r="196" ht="15" customHeight="1">
      <c r="F196" s="3">
        <f>IF($A196="","",COUNTIFS(Raw_Events!$G:$G,"SOCIAL_MEET",Raw_Events!$J:$J,$A196,Raw_Events!$C:$C,"&gt;="&amp;Settings!$B$4,Raw_Events!$C:$C,"&lt;="&amp;Settings!$B$5))</f>
        <v/>
      </c>
      <c r="G196" s="3">
        <f>IF($A196="","",COUNTIFS(Raw_Events!$G:$G,"DATE",Raw_Events!$J:$J,$A196,Raw_Events!$C:$C,"&gt;="&amp;Settings!$B$4,Raw_Events!$C:$C,"&lt;="&amp;Settings!$B$5))</f>
        <v/>
      </c>
      <c r="H196" s="3">
        <f>IF($A196="","",COUNTIFS(Raw_Events!$G:$G,"SEX",Raw_Events!$J:$J,$A196,Raw_Events!$C:$C,"&gt;="&amp;Settings!$B$4,Raw_Events!$C:$C,"&lt;="&amp;Settings!$B$5))</f>
        <v/>
      </c>
      <c r="I196" s="3">
        <f>IF($A196="","",COUNTIFS(Raw_Events!$G:$G,"PRO_CONTACT_ADDED",Raw_Events!$J:$J,$A196,Raw_Events!$C:$C,"&gt;="&amp;Settings!$B$4,Raw_Events!$C:$C,"&lt;="&amp;Settings!$B$5))</f>
        <v/>
      </c>
    </row>
    <row r="197" ht="15" customHeight="1">
      <c r="F197" s="3">
        <f>IF($A197="","",COUNTIFS(Raw_Events!$G:$G,"SOCIAL_MEET",Raw_Events!$J:$J,$A197,Raw_Events!$C:$C,"&gt;="&amp;Settings!$B$4,Raw_Events!$C:$C,"&lt;="&amp;Settings!$B$5))</f>
        <v/>
      </c>
      <c r="G197" s="3">
        <f>IF($A197="","",COUNTIFS(Raw_Events!$G:$G,"DATE",Raw_Events!$J:$J,$A197,Raw_Events!$C:$C,"&gt;="&amp;Settings!$B$4,Raw_Events!$C:$C,"&lt;="&amp;Settings!$B$5))</f>
        <v/>
      </c>
      <c r="H197" s="3">
        <f>IF($A197="","",COUNTIFS(Raw_Events!$G:$G,"SEX",Raw_Events!$J:$J,$A197,Raw_Events!$C:$C,"&gt;="&amp;Settings!$B$4,Raw_Events!$C:$C,"&lt;="&amp;Settings!$B$5))</f>
        <v/>
      </c>
      <c r="I197" s="3">
        <f>IF($A197="","",COUNTIFS(Raw_Events!$G:$G,"PRO_CONTACT_ADDED",Raw_Events!$J:$J,$A197,Raw_Events!$C:$C,"&gt;="&amp;Settings!$B$4,Raw_Events!$C:$C,"&lt;="&amp;Settings!$B$5))</f>
        <v/>
      </c>
    </row>
    <row r="198" ht="15" customHeight="1">
      <c r="F198" s="3">
        <f>IF($A198="","",COUNTIFS(Raw_Events!$G:$G,"SOCIAL_MEET",Raw_Events!$J:$J,$A198,Raw_Events!$C:$C,"&gt;="&amp;Settings!$B$4,Raw_Events!$C:$C,"&lt;="&amp;Settings!$B$5))</f>
        <v/>
      </c>
      <c r="G198" s="3">
        <f>IF($A198="","",COUNTIFS(Raw_Events!$G:$G,"DATE",Raw_Events!$J:$J,$A198,Raw_Events!$C:$C,"&gt;="&amp;Settings!$B$4,Raw_Events!$C:$C,"&lt;="&amp;Settings!$B$5))</f>
        <v/>
      </c>
      <c r="H198" s="3">
        <f>IF($A198="","",COUNTIFS(Raw_Events!$G:$G,"SEX",Raw_Events!$J:$J,$A198,Raw_Events!$C:$C,"&gt;="&amp;Settings!$B$4,Raw_Events!$C:$C,"&lt;="&amp;Settings!$B$5))</f>
        <v/>
      </c>
      <c r="I198" s="3">
        <f>IF($A198="","",COUNTIFS(Raw_Events!$G:$G,"PRO_CONTACT_ADDED",Raw_Events!$J:$J,$A198,Raw_Events!$C:$C,"&gt;="&amp;Settings!$B$4,Raw_Events!$C:$C,"&lt;="&amp;Settings!$B$5))</f>
        <v/>
      </c>
    </row>
    <row r="199" ht="15" customHeight="1">
      <c r="F199" s="3">
        <f>IF($A199="","",COUNTIFS(Raw_Events!$G:$G,"SOCIAL_MEET",Raw_Events!$J:$J,$A199,Raw_Events!$C:$C,"&gt;="&amp;Settings!$B$4,Raw_Events!$C:$C,"&lt;="&amp;Settings!$B$5))</f>
        <v/>
      </c>
      <c r="G199" s="3">
        <f>IF($A199="","",COUNTIFS(Raw_Events!$G:$G,"DATE",Raw_Events!$J:$J,$A199,Raw_Events!$C:$C,"&gt;="&amp;Settings!$B$4,Raw_Events!$C:$C,"&lt;="&amp;Settings!$B$5))</f>
        <v/>
      </c>
      <c r="H199" s="3">
        <f>IF($A199="","",COUNTIFS(Raw_Events!$G:$G,"SEX",Raw_Events!$J:$J,$A199,Raw_Events!$C:$C,"&gt;="&amp;Settings!$B$4,Raw_Events!$C:$C,"&lt;="&amp;Settings!$B$5))</f>
        <v/>
      </c>
      <c r="I199" s="3">
        <f>IF($A199="","",COUNTIFS(Raw_Events!$G:$G,"PRO_CONTACT_ADDED",Raw_Events!$J:$J,$A199,Raw_Events!$C:$C,"&gt;="&amp;Settings!$B$4,Raw_Events!$C:$C,"&lt;="&amp;Settings!$B$5))</f>
        <v/>
      </c>
    </row>
    <row r="200" ht="15" customHeight="1">
      <c r="F200" s="3">
        <f>IF($A200="","",COUNTIFS(Raw_Events!$G:$G,"SOCIAL_MEET",Raw_Events!$J:$J,$A200,Raw_Events!$C:$C,"&gt;="&amp;Settings!$B$4,Raw_Events!$C:$C,"&lt;="&amp;Settings!$B$5))</f>
        <v/>
      </c>
      <c r="G200" s="3">
        <f>IF($A200="","",COUNTIFS(Raw_Events!$G:$G,"DATE",Raw_Events!$J:$J,$A200,Raw_Events!$C:$C,"&gt;="&amp;Settings!$B$4,Raw_Events!$C:$C,"&lt;="&amp;Settings!$B$5))</f>
        <v/>
      </c>
      <c r="H200" s="3">
        <f>IF($A200="","",COUNTIFS(Raw_Events!$G:$G,"SEX",Raw_Events!$J:$J,$A200,Raw_Events!$C:$C,"&gt;="&amp;Settings!$B$4,Raw_Events!$C:$C,"&lt;="&amp;Settings!$B$5))</f>
        <v/>
      </c>
      <c r="I200" s="3">
        <f>IF($A200="","",COUNTIFS(Raw_Events!$G:$G,"PRO_CONTACT_ADDED",Raw_Events!$J:$J,$A200,Raw_Events!$C:$C,"&gt;="&amp;Settings!$B$4,Raw_Events!$C:$C,"&lt;="&amp;Settings!$B$5))</f>
        <v/>
      </c>
    </row>
    <row r="201" ht="15" customHeight="1">
      <c r="F201" s="3">
        <f>IF($A201="","",COUNTIFS(Raw_Events!$G:$G,"SOCIAL_MEET",Raw_Events!$J:$J,$A201,Raw_Events!$C:$C,"&gt;="&amp;Settings!$B$4,Raw_Events!$C:$C,"&lt;="&amp;Settings!$B$5))</f>
        <v/>
      </c>
      <c r="G201" s="3">
        <f>IF($A201="","",COUNTIFS(Raw_Events!$G:$G,"DATE",Raw_Events!$J:$J,$A201,Raw_Events!$C:$C,"&gt;="&amp;Settings!$B$4,Raw_Events!$C:$C,"&lt;="&amp;Settings!$B$5))</f>
        <v/>
      </c>
      <c r="H201" s="3">
        <f>IF($A201="","",COUNTIFS(Raw_Events!$G:$G,"SEX",Raw_Events!$J:$J,$A201,Raw_Events!$C:$C,"&gt;="&amp;Settings!$B$4,Raw_Events!$C:$C,"&lt;="&amp;Settings!$B$5))</f>
        <v/>
      </c>
      <c r="I201" s="3">
        <f>IF($A201="","",COUNTIFS(Raw_Events!$G:$G,"PRO_CONTACT_ADDED",Raw_Events!$J:$J,$A201,Raw_Events!$C:$C,"&gt;="&amp;Settings!$B$4,Raw_Events!$C:$C,"&lt;="&amp;Settings!$B$5))</f>
        <v/>
      </c>
    </row>
    <row r="202" ht="15" customHeight="1">
      <c r="F202" s="3">
        <f>IF($A202="","",COUNTIFS(Raw_Events!$G:$G,"SOCIAL_MEET",Raw_Events!$J:$J,$A202,Raw_Events!$C:$C,"&gt;="&amp;Settings!$B$4,Raw_Events!$C:$C,"&lt;="&amp;Settings!$B$5))</f>
        <v/>
      </c>
      <c r="G202" s="3">
        <f>IF($A202="","",COUNTIFS(Raw_Events!$G:$G,"DATE",Raw_Events!$J:$J,$A202,Raw_Events!$C:$C,"&gt;="&amp;Settings!$B$4,Raw_Events!$C:$C,"&lt;="&amp;Settings!$B$5))</f>
        <v/>
      </c>
      <c r="H202" s="3">
        <f>IF($A202="","",COUNTIFS(Raw_Events!$G:$G,"SEX",Raw_Events!$J:$J,$A202,Raw_Events!$C:$C,"&gt;="&amp;Settings!$B$4,Raw_Events!$C:$C,"&lt;="&amp;Settings!$B$5))</f>
        <v/>
      </c>
      <c r="I202" s="3">
        <f>IF($A202="","",COUNTIFS(Raw_Events!$G:$G,"PRO_CONTACT_ADDED",Raw_Events!$J:$J,$A202,Raw_Events!$C:$C,"&gt;="&amp;Settings!$B$4,Raw_Events!$C:$C,"&lt;="&amp;Settings!$B$5))</f>
        <v/>
      </c>
    </row>
    <row r="203" ht="15" customHeight="1">
      <c r="F203" s="3">
        <f>IF($A203="","",COUNTIFS(Raw_Events!$G:$G,"SOCIAL_MEET",Raw_Events!$J:$J,$A203,Raw_Events!$C:$C,"&gt;="&amp;Settings!$B$4,Raw_Events!$C:$C,"&lt;="&amp;Settings!$B$5))</f>
        <v/>
      </c>
      <c r="G203" s="3">
        <f>IF($A203="","",COUNTIFS(Raw_Events!$G:$G,"DATE",Raw_Events!$J:$J,$A203,Raw_Events!$C:$C,"&gt;="&amp;Settings!$B$4,Raw_Events!$C:$C,"&lt;="&amp;Settings!$B$5))</f>
        <v/>
      </c>
      <c r="H203" s="3">
        <f>IF($A203="","",COUNTIFS(Raw_Events!$G:$G,"SEX",Raw_Events!$J:$J,$A203,Raw_Events!$C:$C,"&gt;="&amp;Settings!$B$4,Raw_Events!$C:$C,"&lt;="&amp;Settings!$B$5))</f>
        <v/>
      </c>
      <c r="I203" s="3">
        <f>IF($A203="","",COUNTIFS(Raw_Events!$G:$G,"PRO_CONTACT_ADDED",Raw_Events!$J:$J,$A203,Raw_Events!$C:$C,"&gt;="&amp;Settings!$B$4,Raw_Events!$C:$C,"&lt;="&amp;Settings!$B$5))</f>
        <v/>
      </c>
    </row>
    <row r="204" ht="15" customHeight="1">
      <c r="F204" s="3">
        <f>IF($A204="","",COUNTIFS(Raw_Events!$G:$G,"SOCIAL_MEET",Raw_Events!$J:$J,$A204,Raw_Events!$C:$C,"&gt;="&amp;Settings!$B$4,Raw_Events!$C:$C,"&lt;="&amp;Settings!$B$5))</f>
        <v/>
      </c>
      <c r="G204" s="3">
        <f>IF($A204="","",COUNTIFS(Raw_Events!$G:$G,"DATE",Raw_Events!$J:$J,$A204,Raw_Events!$C:$C,"&gt;="&amp;Settings!$B$4,Raw_Events!$C:$C,"&lt;="&amp;Settings!$B$5))</f>
        <v/>
      </c>
      <c r="H204" s="3">
        <f>IF($A204="","",COUNTIFS(Raw_Events!$G:$G,"SEX",Raw_Events!$J:$J,$A204,Raw_Events!$C:$C,"&gt;="&amp;Settings!$B$4,Raw_Events!$C:$C,"&lt;="&amp;Settings!$B$5))</f>
        <v/>
      </c>
      <c r="I204" s="3">
        <f>IF($A204="","",COUNTIFS(Raw_Events!$G:$G,"PRO_CONTACT_ADDED",Raw_Events!$J:$J,$A204,Raw_Events!$C:$C,"&gt;="&amp;Settings!$B$4,Raw_Events!$C:$C,"&lt;="&amp;Settings!$B$5))</f>
        <v/>
      </c>
    </row>
    <row r="205" ht="15" customHeight="1">
      <c r="F205" s="3">
        <f>IF($A205="","",COUNTIFS(Raw_Events!$G:$G,"SOCIAL_MEET",Raw_Events!$J:$J,$A205,Raw_Events!$C:$C,"&gt;="&amp;Settings!$B$4,Raw_Events!$C:$C,"&lt;="&amp;Settings!$B$5))</f>
        <v/>
      </c>
      <c r="G205" s="3">
        <f>IF($A205="","",COUNTIFS(Raw_Events!$G:$G,"DATE",Raw_Events!$J:$J,$A205,Raw_Events!$C:$C,"&gt;="&amp;Settings!$B$4,Raw_Events!$C:$C,"&lt;="&amp;Settings!$B$5))</f>
        <v/>
      </c>
      <c r="H205" s="3">
        <f>IF($A205="","",COUNTIFS(Raw_Events!$G:$G,"SEX",Raw_Events!$J:$J,$A205,Raw_Events!$C:$C,"&gt;="&amp;Settings!$B$4,Raw_Events!$C:$C,"&lt;="&amp;Settings!$B$5))</f>
        <v/>
      </c>
      <c r="I205" s="3">
        <f>IF($A205="","",COUNTIFS(Raw_Events!$G:$G,"PRO_CONTACT_ADDED",Raw_Events!$J:$J,$A205,Raw_Events!$C:$C,"&gt;="&amp;Settings!$B$4,Raw_Events!$C:$C,"&lt;="&amp;Settings!$B$5))</f>
        <v/>
      </c>
    </row>
    <row r="206" ht="15" customHeight="1">
      <c r="F206" s="3">
        <f>IF($A206="","",COUNTIFS(Raw_Events!$G:$G,"SOCIAL_MEET",Raw_Events!$J:$J,$A206,Raw_Events!$C:$C,"&gt;="&amp;Settings!$B$4,Raw_Events!$C:$C,"&lt;="&amp;Settings!$B$5))</f>
        <v/>
      </c>
      <c r="G206" s="3">
        <f>IF($A206="","",COUNTIFS(Raw_Events!$G:$G,"DATE",Raw_Events!$J:$J,$A206,Raw_Events!$C:$C,"&gt;="&amp;Settings!$B$4,Raw_Events!$C:$C,"&lt;="&amp;Settings!$B$5))</f>
        <v/>
      </c>
      <c r="H206" s="3">
        <f>IF($A206="","",COUNTIFS(Raw_Events!$G:$G,"SEX",Raw_Events!$J:$J,$A206,Raw_Events!$C:$C,"&gt;="&amp;Settings!$B$4,Raw_Events!$C:$C,"&lt;="&amp;Settings!$B$5))</f>
        <v/>
      </c>
      <c r="I206" s="3">
        <f>IF($A206="","",COUNTIFS(Raw_Events!$G:$G,"PRO_CONTACT_ADDED",Raw_Events!$J:$J,$A206,Raw_Events!$C:$C,"&gt;="&amp;Settings!$B$4,Raw_Events!$C:$C,"&lt;="&amp;Settings!$B$5))</f>
        <v/>
      </c>
    </row>
    <row r="207" ht="15" customHeight="1">
      <c r="F207" s="3">
        <f>IF($A207="","",COUNTIFS(Raw_Events!$G:$G,"SOCIAL_MEET",Raw_Events!$J:$J,$A207,Raw_Events!$C:$C,"&gt;="&amp;Settings!$B$4,Raw_Events!$C:$C,"&lt;="&amp;Settings!$B$5))</f>
        <v/>
      </c>
      <c r="G207" s="3">
        <f>IF($A207="","",COUNTIFS(Raw_Events!$G:$G,"DATE",Raw_Events!$J:$J,$A207,Raw_Events!$C:$C,"&gt;="&amp;Settings!$B$4,Raw_Events!$C:$C,"&lt;="&amp;Settings!$B$5))</f>
        <v/>
      </c>
      <c r="H207" s="3">
        <f>IF($A207="","",COUNTIFS(Raw_Events!$G:$G,"SEX",Raw_Events!$J:$J,$A207,Raw_Events!$C:$C,"&gt;="&amp;Settings!$B$4,Raw_Events!$C:$C,"&lt;="&amp;Settings!$B$5))</f>
        <v/>
      </c>
      <c r="I207" s="3">
        <f>IF($A207="","",COUNTIFS(Raw_Events!$G:$G,"PRO_CONTACT_ADDED",Raw_Events!$J:$J,$A207,Raw_Events!$C:$C,"&gt;="&amp;Settings!$B$4,Raw_Events!$C:$C,"&lt;="&amp;Settings!$B$5))</f>
        <v/>
      </c>
    </row>
    <row r="208" ht="15" customHeight="1">
      <c r="F208" s="3">
        <f>IF($A208="","",COUNTIFS(Raw_Events!$G:$G,"SOCIAL_MEET",Raw_Events!$J:$J,$A208,Raw_Events!$C:$C,"&gt;="&amp;Settings!$B$4,Raw_Events!$C:$C,"&lt;="&amp;Settings!$B$5))</f>
        <v/>
      </c>
      <c r="G208" s="3">
        <f>IF($A208="","",COUNTIFS(Raw_Events!$G:$G,"DATE",Raw_Events!$J:$J,$A208,Raw_Events!$C:$C,"&gt;="&amp;Settings!$B$4,Raw_Events!$C:$C,"&lt;="&amp;Settings!$B$5))</f>
        <v/>
      </c>
      <c r="H208" s="3">
        <f>IF($A208="","",COUNTIFS(Raw_Events!$G:$G,"SEX",Raw_Events!$J:$J,$A208,Raw_Events!$C:$C,"&gt;="&amp;Settings!$B$4,Raw_Events!$C:$C,"&lt;="&amp;Settings!$B$5))</f>
        <v/>
      </c>
      <c r="I208" s="3">
        <f>IF($A208="","",COUNTIFS(Raw_Events!$G:$G,"PRO_CONTACT_ADDED",Raw_Events!$J:$J,$A208,Raw_Events!$C:$C,"&gt;="&amp;Settings!$B$4,Raw_Events!$C:$C,"&lt;="&amp;Settings!$B$5))</f>
        <v/>
      </c>
    </row>
    <row r="209" ht="15" customHeight="1">
      <c r="F209" s="3">
        <f>IF($A209="","",COUNTIFS(Raw_Events!$G:$G,"SOCIAL_MEET",Raw_Events!$J:$J,$A209,Raw_Events!$C:$C,"&gt;="&amp;Settings!$B$4,Raw_Events!$C:$C,"&lt;="&amp;Settings!$B$5))</f>
        <v/>
      </c>
      <c r="G209" s="3">
        <f>IF($A209="","",COUNTIFS(Raw_Events!$G:$G,"DATE",Raw_Events!$J:$J,$A209,Raw_Events!$C:$C,"&gt;="&amp;Settings!$B$4,Raw_Events!$C:$C,"&lt;="&amp;Settings!$B$5))</f>
        <v/>
      </c>
      <c r="H209" s="3">
        <f>IF($A209="","",COUNTIFS(Raw_Events!$G:$G,"SEX",Raw_Events!$J:$J,$A209,Raw_Events!$C:$C,"&gt;="&amp;Settings!$B$4,Raw_Events!$C:$C,"&lt;="&amp;Settings!$B$5))</f>
        <v/>
      </c>
      <c r="I209" s="3">
        <f>IF($A209="","",COUNTIFS(Raw_Events!$G:$G,"PRO_CONTACT_ADDED",Raw_Events!$J:$J,$A209,Raw_Events!$C:$C,"&gt;="&amp;Settings!$B$4,Raw_Events!$C:$C,"&lt;="&amp;Settings!$B$5))</f>
        <v/>
      </c>
    </row>
    <row r="210" ht="15" customHeight="1">
      <c r="F210" s="3">
        <f>IF($A210="","",COUNTIFS(Raw_Events!$G:$G,"SOCIAL_MEET",Raw_Events!$J:$J,$A210,Raw_Events!$C:$C,"&gt;="&amp;Settings!$B$4,Raw_Events!$C:$C,"&lt;="&amp;Settings!$B$5))</f>
        <v/>
      </c>
      <c r="G210" s="3">
        <f>IF($A210="","",COUNTIFS(Raw_Events!$G:$G,"DATE",Raw_Events!$J:$J,$A210,Raw_Events!$C:$C,"&gt;="&amp;Settings!$B$4,Raw_Events!$C:$C,"&lt;="&amp;Settings!$B$5))</f>
        <v/>
      </c>
      <c r="H210" s="3">
        <f>IF($A210="","",COUNTIFS(Raw_Events!$G:$G,"SEX",Raw_Events!$J:$J,$A210,Raw_Events!$C:$C,"&gt;="&amp;Settings!$B$4,Raw_Events!$C:$C,"&lt;="&amp;Settings!$B$5))</f>
        <v/>
      </c>
      <c r="I210" s="3">
        <f>IF($A210="","",COUNTIFS(Raw_Events!$G:$G,"PRO_CONTACT_ADDED",Raw_Events!$J:$J,$A210,Raw_Events!$C:$C,"&gt;="&amp;Settings!$B$4,Raw_Events!$C:$C,"&lt;="&amp;Settings!$B$5))</f>
        <v/>
      </c>
    </row>
    <row r="211" ht="15" customHeight="1">
      <c r="F211" s="3">
        <f>IF($A211="","",COUNTIFS(Raw_Events!$G:$G,"SOCIAL_MEET",Raw_Events!$J:$J,$A211,Raw_Events!$C:$C,"&gt;="&amp;Settings!$B$4,Raw_Events!$C:$C,"&lt;="&amp;Settings!$B$5))</f>
        <v/>
      </c>
      <c r="G211" s="3">
        <f>IF($A211="","",COUNTIFS(Raw_Events!$G:$G,"DATE",Raw_Events!$J:$J,$A211,Raw_Events!$C:$C,"&gt;="&amp;Settings!$B$4,Raw_Events!$C:$C,"&lt;="&amp;Settings!$B$5))</f>
        <v/>
      </c>
      <c r="H211" s="3">
        <f>IF($A211="","",COUNTIFS(Raw_Events!$G:$G,"SEX",Raw_Events!$J:$J,$A211,Raw_Events!$C:$C,"&gt;="&amp;Settings!$B$4,Raw_Events!$C:$C,"&lt;="&amp;Settings!$B$5))</f>
        <v/>
      </c>
      <c r="I211" s="3">
        <f>IF($A211="","",COUNTIFS(Raw_Events!$G:$G,"PRO_CONTACT_ADDED",Raw_Events!$J:$J,$A211,Raw_Events!$C:$C,"&gt;="&amp;Settings!$B$4,Raw_Events!$C:$C,"&lt;="&amp;Settings!$B$5))</f>
        <v/>
      </c>
    </row>
    <row r="212" ht="15" customHeight="1">
      <c r="F212" s="3">
        <f>IF($A212="","",COUNTIFS(Raw_Events!$G:$G,"SOCIAL_MEET",Raw_Events!$J:$J,$A212,Raw_Events!$C:$C,"&gt;="&amp;Settings!$B$4,Raw_Events!$C:$C,"&lt;="&amp;Settings!$B$5))</f>
        <v/>
      </c>
      <c r="G212" s="3">
        <f>IF($A212="","",COUNTIFS(Raw_Events!$G:$G,"DATE",Raw_Events!$J:$J,$A212,Raw_Events!$C:$C,"&gt;="&amp;Settings!$B$4,Raw_Events!$C:$C,"&lt;="&amp;Settings!$B$5))</f>
        <v/>
      </c>
      <c r="H212" s="3">
        <f>IF($A212="","",COUNTIFS(Raw_Events!$G:$G,"SEX",Raw_Events!$J:$J,$A212,Raw_Events!$C:$C,"&gt;="&amp;Settings!$B$4,Raw_Events!$C:$C,"&lt;="&amp;Settings!$B$5))</f>
        <v/>
      </c>
      <c r="I212" s="3">
        <f>IF($A212="","",COUNTIFS(Raw_Events!$G:$G,"PRO_CONTACT_ADDED",Raw_Events!$J:$J,$A212,Raw_Events!$C:$C,"&gt;="&amp;Settings!$B$4,Raw_Events!$C:$C,"&lt;="&amp;Settings!$B$5))</f>
        <v/>
      </c>
    </row>
    <row r="213" ht="15" customHeight="1">
      <c r="F213" s="3">
        <f>IF($A213="","",COUNTIFS(Raw_Events!$G:$G,"SOCIAL_MEET",Raw_Events!$J:$J,$A213,Raw_Events!$C:$C,"&gt;="&amp;Settings!$B$4,Raw_Events!$C:$C,"&lt;="&amp;Settings!$B$5))</f>
        <v/>
      </c>
      <c r="G213" s="3">
        <f>IF($A213="","",COUNTIFS(Raw_Events!$G:$G,"DATE",Raw_Events!$J:$J,$A213,Raw_Events!$C:$C,"&gt;="&amp;Settings!$B$4,Raw_Events!$C:$C,"&lt;="&amp;Settings!$B$5))</f>
        <v/>
      </c>
      <c r="H213" s="3">
        <f>IF($A213="","",COUNTIFS(Raw_Events!$G:$G,"SEX",Raw_Events!$J:$J,$A213,Raw_Events!$C:$C,"&gt;="&amp;Settings!$B$4,Raw_Events!$C:$C,"&lt;="&amp;Settings!$B$5))</f>
        <v/>
      </c>
      <c r="I213" s="3">
        <f>IF($A213="","",COUNTIFS(Raw_Events!$G:$G,"PRO_CONTACT_ADDED",Raw_Events!$J:$J,$A213,Raw_Events!$C:$C,"&gt;="&amp;Settings!$B$4,Raw_Events!$C:$C,"&lt;="&amp;Settings!$B$5))</f>
        <v/>
      </c>
    </row>
    <row r="214" ht="15" customHeight="1">
      <c r="F214" s="3">
        <f>IF($A214="","",COUNTIFS(Raw_Events!$G:$G,"SOCIAL_MEET",Raw_Events!$J:$J,$A214,Raw_Events!$C:$C,"&gt;="&amp;Settings!$B$4,Raw_Events!$C:$C,"&lt;="&amp;Settings!$B$5))</f>
        <v/>
      </c>
      <c r="G214" s="3">
        <f>IF($A214="","",COUNTIFS(Raw_Events!$G:$G,"DATE",Raw_Events!$J:$J,$A214,Raw_Events!$C:$C,"&gt;="&amp;Settings!$B$4,Raw_Events!$C:$C,"&lt;="&amp;Settings!$B$5))</f>
        <v/>
      </c>
      <c r="H214" s="3">
        <f>IF($A214="","",COUNTIFS(Raw_Events!$G:$G,"SEX",Raw_Events!$J:$J,$A214,Raw_Events!$C:$C,"&gt;="&amp;Settings!$B$4,Raw_Events!$C:$C,"&lt;="&amp;Settings!$B$5))</f>
        <v/>
      </c>
      <c r="I214" s="3">
        <f>IF($A214="","",COUNTIFS(Raw_Events!$G:$G,"PRO_CONTACT_ADDED",Raw_Events!$J:$J,$A214,Raw_Events!$C:$C,"&gt;="&amp;Settings!$B$4,Raw_Events!$C:$C,"&lt;="&amp;Settings!$B$5))</f>
        <v/>
      </c>
    </row>
    <row r="215" ht="15" customHeight="1">
      <c r="F215" s="3">
        <f>IF($A215="","",COUNTIFS(Raw_Events!$G:$G,"SOCIAL_MEET",Raw_Events!$J:$J,$A215,Raw_Events!$C:$C,"&gt;="&amp;Settings!$B$4,Raw_Events!$C:$C,"&lt;="&amp;Settings!$B$5))</f>
        <v/>
      </c>
      <c r="G215" s="3">
        <f>IF($A215="","",COUNTIFS(Raw_Events!$G:$G,"DATE",Raw_Events!$J:$J,$A215,Raw_Events!$C:$C,"&gt;="&amp;Settings!$B$4,Raw_Events!$C:$C,"&lt;="&amp;Settings!$B$5))</f>
        <v/>
      </c>
      <c r="H215" s="3">
        <f>IF($A215="","",COUNTIFS(Raw_Events!$G:$G,"SEX",Raw_Events!$J:$J,$A215,Raw_Events!$C:$C,"&gt;="&amp;Settings!$B$4,Raw_Events!$C:$C,"&lt;="&amp;Settings!$B$5))</f>
        <v/>
      </c>
      <c r="I215" s="3">
        <f>IF($A215="","",COUNTIFS(Raw_Events!$G:$G,"PRO_CONTACT_ADDED",Raw_Events!$J:$J,$A215,Raw_Events!$C:$C,"&gt;="&amp;Settings!$B$4,Raw_Events!$C:$C,"&lt;="&amp;Settings!$B$5))</f>
        <v/>
      </c>
    </row>
    <row r="216" ht="15" customHeight="1">
      <c r="F216" s="3">
        <f>IF($A216="","",COUNTIFS(Raw_Events!$G:$G,"SOCIAL_MEET",Raw_Events!$J:$J,$A216,Raw_Events!$C:$C,"&gt;="&amp;Settings!$B$4,Raw_Events!$C:$C,"&lt;="&amp;Settings!$B$5))</f>
        <v/>
      </c>
      <c r="G216" s="3">
        <f>IF($A216="","",COUNTIFS(Raw_Events!$G:$G,"DATE",Raw_Events!$J:$J,$A216,Raw_Events!$C:$C,"&gt;="&amp;Settings!$B$4,Raw_Events!$C:$C,"&lt;="&amp;Settings!$B$5))</f>
        <v/>
      </c>
      <c r="H216" s="3">
        <f>IF($A216="","",COUNTIFS(Raw_Events!$G:$G,"SEX",Raw_Events!$J:$J,$A216,Raw_Events!$C:$C,"&gt;="&amp;Settings!$B$4,Raw_Events!$C:$C,"&lt;="&amp;Settings!$B$5))</f>
        <v/>
      </c>
      <c r="I216" s="3">
        <f>IF($A216="","",COUNTIFS(Raw_Events!$G:$G,"PRO_CONTACT_ADDED",Raw_Events!$J:$J,$A216,Raw_Events!$C:$C,"&gt;="&amp;Settings!$B$4,Raw_Events!$C:$C,"&lt;="&amp;Settings!$B$5))</f>
        <v/>
      </c>
    </row>
    <row r="217" ht="15" customHeight="1">
      <c r="F217" s="3">
        <f>IF($A217="","",COUNTIFS(Raw_Events!$G:$G,"SOCIAL_MEET",Raw_Events!$J:$J,$A217,Raw_Events!$C:$C,"&gt;="&amp;Settings!$B$4,Raw_Events!$C:$C,"&lt;="&amp;Settings!$B$5))</f>
        <v/>
      </c>
      <c r="G217" s="3">
        <f>IF($A217="","",COUNTIFS(Raw_Events!$G:$G,"DATE",Raw_Events!$J:$J,$A217,Raw_Events!$C:$C,"&gt;="&amp;Settings!$B$4,Raw_Events!$C:$C,"&lt;="&amp;Settings!$B$5))</f>
        <v/>
      </c>
      <c r="H217" s="3">
        <f>IF($A217="","",COUNTIFS(Raw_Events!$G:$G,"SEX",Raw_Events!$J:$J,$A217,Raw_Events!$C:$C,"&gt;="&amp;Settings!$B$4,Raw_Events!$C:$C,"&lt;="&amp;Settings!$B$5))</f>
        <v/>
      </c>
      <c r="I217" s="3">
        <f>IF($A217="","",COUNTIFS(Raw_Events!$G:$G,"PRO_CONTACT_ADDED",Raw_Events!$J:$J,$A217,Raw_Events!$C:$C,"&gt;="&amp;Settings!$B$4,Raw_Events!$C:$C,"&lt;="&amp;Settings!$B$5))</f>
        <v/>
      </c>
    </row>
    <row r="218" ht="15" customHeight="1">
      <c r="F218" s="3">
        <f>IF($A218="","",COUNTIFS(Raw_Events!$G:$G,"SOCIAL_MEET",Raw_Events!$J:$J,$A218,Raw_Events!$C:$C,"&gt;="&amp;Settings!$B$4,Raw_Events!$C:$C,"&lt;="&amp;Settings!$B$5))</f>
        <v/>
      </c>
      <c r="G218" s="3">
        <f>IF($A218="","",COUNTIFS(Raw_Events!$G:$G,"DATE",Raw_Events!$J:$J,$A218,Raw_Events!$C:$C,"&gt;="&amp;Settings!$B$4,Raw_Events!$C:$C,"&lt;="&amp;Settings!$B$5))</f>
        <v/>
      </c>
      <c r="H218" s="3">
        <f>IF($A218="","",COUNTIFS(Raw_Events!$G:$G,"SEX",Raw_Events!$J:$J,$A218,Raw_Events!$C:$C,"&gt;="&amp;Settings!$B$4,Raw_Events!$C:$C,"&lt;="&amp;Settings!$B$5))</f>
        <v/>
      </c>
      <c r="I218" s="3">
        <f>IF($A218="","",COUNTIFS(Raw_Events!$G:$G,"PRO_CONTACT_ADDED",Raw_Events!$J:$J,$A218,Raw_Events!$C:$C,"&gt;="&amp;Settings!$B$4,Raw_Events!$C:$C,"&lt;="&amp;Settings!$B$5))</f>
        <v/>
      </c>
    </row>
    <row r="219" ht="15" customHeight="1">
      <c r="F219" s="3">
        <f>IF($A219="","",COUNTIFS(Raw_Events!$G:$G,"SOCIAL_MEET",Raw_Events!$J:$J,$A219,Raw_Events!$C:$C,"&gt;="&amp;Settings!$B$4,Raw_Events!$C:$C,"&lt;="&amp;Settings!$B$5))</f>
        <v/>
      </c>
      <c r="G219" s="3">
        <f>IF($A219="","",COUNTIFS(Raw_Events!$G:$G,"DATE",Raw_Events!$J:$J,$A219,Raw_Events!$C:$C,"&gt;="&amp;Settings!$B$4,Raw_Events!$C:$C,"&lt;="&amp;Settings!$B$5))</f>
        <v/>
      </c>
      <c r="H219" s="3">
        <f>IF($A219="","",COUNTIFS(Raw_Events!$G:$G,"SEX",Raw_Events!$J:$J,$A219,Raw_Events!$C:$C,"&gt;="&amp;Settings!$B$4,Raw_Events!$C:$C,"&lt;="&amp;Settings!$B$5))</f>
        <v/>
      </c>
      <c r="I219" s="3">
        <f>IF($A219="","",COUNTIFS(Raw_Events!$G:$G,"PRO_CONTACT_ADDED",Raw_Events!$J:$J,$A219,Raw_Events!$C:$C,"&gt;="&amp;Settings!$B$4,Raw_Events!$C:$C,"&lt;="&amp;Settings!$B$5))</f>
        <v/>
      </c>
    </row>
    <row r="220" ht="15" customHeight="1">
      <c r="F220" s="3">
        <f>IF($A220="","",COUNTIFS(Raw_Events!$G:$G,"SOCIAL_MEET",Raw_Events!$J:$J,$A220,Raw_Events!$C:$C,"&gt;="&amp;Settings!$B$4,Raw_Events!$C:$C,"&lt;="&amp;Settings!$B$5))</f>
        <v/>
      </c>
      <c r="G220" s="3">
        <f>IF($A220="","",COUNTIFS(Raw_Events!$G:$G,"DATE",Raw_Events!$J:$J,$A220,Raw_Events!$C:$C,"&gt;="&amp;Settings!$B$4,Raw_Events!$C:$C,"&lt;="&amp;Settings!$B$5))</f>
        <v/>
      </c>
      <c r="H220" s="3">
        <f>IF($A220="","",COUNTIFS(Raw_Events!$G:$G,"SEX",Raw_Events!$J:$J,$A220,Raw_Events!$C:$C,"&gt;="&amp;Settings!$B$4,Raw_Events!$C:$C,"&lt;="&amp;Settings!$B$5))</f>
        <v/>
      </c>
      <c r="I220" s="3">
        <f>IF($A220="","",COUNTIFS(Raw_Events!$G:$G,"PRO_CONTACT_ADDED",Raw_Events!$J:$J,$A220,Raw_Events!$C:$C,"&gt;="&amp;Settings!$B$4,Raw_Events!$C:$C,"&lt;="&amp;Settings!$B$5))</f>
        <v/>
      </c>
    </row>
    <row r="221" ht="15" customHeight="1">
      <c r="F221" s="3">
        <f>IF($A221="","",COUNTIFS(Raw_Events!$G:$G,"SOCIAL_MEET",Raw_Events!$J:$J,$A221,Raw_Events!$C:$C,"&gt;="&amp;Settings!$B$4,Raw_Events!$C:$C,"&lt;="&amp;Settings!$B$5))</f>
        <v/>
      </c>
      <c r="G221" s="3">
        <f>IF($A221="","",COUNTIFS(Raw_Events!$G:$G,"DATE",Raw_Events!$J:$J,$A221,Raw_Events!$C:$C,"&gt;="&amp;Settings!$B$4,Raw_Events!$C:$C,"&lt;="&amp;Settings!$B$5))</f>
        <v/>
      </c>
      <c r="H221" s="3">
        <f>IF($A221="","",COUNTIFS(Raw_Events!$G:$G,"SEX",Raw_Events!$J:$J,$A221,Raw_Events!$C:$C,"&gt;="&amp;Settings!$B$4,Raw_Events!$C:$C,"&lt;="&amp;Settings!$B$5))</f>
        <v/>
      </c>
      <c r="I221" s="3">
        <f>IF($A221="","",COUNTIFS(Raw_Events!$G:$G,"PRO_CONTACT_ADDED",Raw_Events!$J:$J,$A221,Raw_Events!$C:$C,"&gt;="&amp;Settings!$B$4,Raw_Events!$C:$C,"&lt;="&amp;Settings!$B$5))</f>
        <v/>
      </c>
    </row>
    <row r="222" ht="15" customHeight="1">
      <c r="F222" s="3">
        <f>IF($A222="","",COUNTIFS(Raw_Events!$G:$G,"SOCIAL_MEET",Raw_Events!$J:$J,$A222,Raw_Events!$C:$C,"&gt;="&amp;Settings!$B$4,Raw_Events!$C:$C,"&lt;="&amp;Settings!$B$5))</f>
        <v/>
      </c>
      <c r="G222" s="3">
        <f>IF($A222="","",COUNTIFS(Raw_Events!$G:$G,"DATE",Raw_Events!$J:$J,$A222,Raw_Events!$C:$C,"&gt;="&amp;Settings!$B$4,Raw_Events!$C:$C,"&lt;="&amp;Settings!$B$5))</f>
        <v/>
      </c>
      <c r="H222" s="3">
        <f>IF($A222="","",COUNTIFS(Raw_Events!$G:$G,"SEX",Raw_Events!$J:$J,$A222,Raw_Events!$C:$C,"&gt;="&amp;Settings!$B$4,Raw_Events!$C:$C,"&lt;="&amp;Settings!$B$5))</f>
        <v/>
      </c>
      <c r="I222" s="3">
        <f>IF($A222="","",COUNTIFS(Raw_Events!$G:$G,"PRO_CONTACT_ADDED",Raw_Events!$J:$J,$A222,Raw_Events!$C:$C,"&gt;="&amp;Settings!$B$4,Raw_Events!$C:$C,"&lt;="&amp;Settings!$B$5))</f>
        <v/>
      </c>
    </row>
    <row r="223" ht="15" customHeight="1">
      <c r="F223" s="3">
        <f>IF($A223="","",COUNTIFS(Raw_Events!$G:$G,"SOCIAL_MEET",Raw_Events!$J:$J,$A223,Raw_Events!$C:$C,"&gt;="&amp;Settings!$B$4,Raw_Events!$C:$C,"&lt;="&amp;Settings!$B$5))</f>
        <v/>
      </c>
      <c r="G223" s="3">
        <f>IF($A223="","",COUNTIFS(Raw_Events!$G:$G,"DATE",Raw_Events!$J:$J,$A223,Raw_Events!$C:$C,"&gt;="&amp;Settings!$B$4,Raw_Events!$C:$C,"&lt;="&amp;Settings!$B$5))</f>
        <v/>
      </c>
      <c r="H223" s="3">
        <f>IF($A223="","",COUNTIFS(Raw_Events!$G:$G,"SEX",Raw_Events!$J:$J,$A223,Raw_Events!$C:$C,"&gt;="&amp;Settings!$B$4,Raw_Events!$C:$C,"&lt;="&amp;Settings!$B$5))</f>
        <v/>
      </c>
      <c r="I223" s="3">
        <f>IF($A223="","",COUNTIFS(Raw_Events!$G:$G,"PRO_CONTACT_ADDED",Raw_Events!$J:$J,$A223,Raw_Events!$C:$C,"&gt;="&amp;Settings!$B$4,Raw_Events!$C:$C,"&lt;="&amp;Settings!$B$5))</f>
        <v/>
      </c>
    </row>
    <row r="224" ht="15" customHeight="1">
      <c r="F224" s="3">
        <f>IF($A224="","",COUNTIFS(Raw_Events!$G:$G,"SOCIAL_MEET",Raw_Events!$J:$J,$A224,Raw_Events!$C:$C,"&gt;="&amp;Settings!$B$4,Raw_Events!$C:$C,"&lt;="&amp;Settings!$B$5))</f>
        <v/>
      </c>
      <c r="G224" s="3">
        <f>IF($A224="","",COUNTIFS(Raw_Events!$G:$G,"DATE",Raw_Events!$J:$J,$A224,Raw_Events!$C:$C,"&gt;="&amp;Settings!$B$4,Raw_Events!$C:$C,"&lt;="&amp;Settings!$B$5))</f>
        <v/>
      </c>
      <c r="H224" s="3">
        <f>IF($A224="","",COUNTIFS(Raw_Events!$G:$G,"SEX",Raw_Events!$J:$J,$A224,Raw_Events!$C:$C,"&gt;="&amp;Settings!$B$4,Raw_Events!$C:$C,"&lt;="&amp;Settings!$B$5))</f>
        <v/>
      </c>
      <c r="I224" s="3">
        <f>IF($A224="","",COUNTIFS(Raw_Events!$G:$G,"PRO_CONTACT_ADDED",Raw_Events!$J:$J,$A224,Raw_Events!$C:$C,"&gt;="&amp;Settings!$B$4,Raw_Events!$C:$C,"&lt;="&amp;Settings!$B$5))</f>
        <v/>
      </c>
    </row>
    <row r="225" ht="15" customHeight="1">
      <c r="F225" s="3">
        <f>IF($A225="","",COUNTIFS(Raw_Events!$G:$G,"SOCIAL_MEET",Raw_Events!$J:$J,$A225,Raw_Events!$C:$C,"&gt;="&amp;Settings!$B$4,Raw_Events!$C:$C,"&lt;="&amp;Settings!$B$5))</f>
        <v/>
      </c>
      <c r="G225" s="3">
        <f>IF($A225="","",COUNTIFS(Raw_Events!$G:$G,"DATE",Raw_Events!$J:$J,$A225,Raw_Events!$C:$C,"&gt;="&amp;Settings!$B$4,Raw_Events!$C:$C,"&lt;="&amp;Settings!$B$5))</f>
        <v/>
      </c>
      <c r="H225" s="3">
        <f>IF($A225="","",COUNTIFS(Raw_Events!$G:$G,"SEX",Raw_Events!$J:$J,$A225,Raw_Events!$C:$C,"&gt;="&amp;Settings!$B$4,Raw_Events!$C:$C,"&lt;="&amp;Settings!$B$5))</f>
        <v/>
      </c>
      <c r="I225" s="3">
        <f>IF($A225="","",COUNTIFS(Raw_Events!$G:$G,"PRO_CONTACT_ADDED",Raw_Events!$J:$J,$A225,Raw_Events!$C:$C,"&gt;="&amp;Settings!$B$4,Raw_Events!$C:$C,"&lt;="&amp;Settings!$B$5))</f>
        <v/>
      </c>
    </row>
    <row r="226" ht="15" customHeight="1">
      <c r="F226" s="3">
        <f>IF($A226="","",COUNTIFS(Raw_Events!$G:$G,"SOCIAL_MEET",Raw_Events!$J:$J,$A226,Raw_Events!$C:$C,"&gt;="&amp;Settings!$B$4,Raw_Events!$C:$C,"&lt;="&amp;Settings!$B$5))</f>
        <v/>
      </c>
      <c r="G226" s="3">
        <f>IF($A226="","",COUNTIFS(Raw_Events!$G:$G,"DATE",Raw_Events!$J:$J,$A226,Raw_Events!$C:$C,"&gt;="&amp;Settings!$B$4,Raw_Events!$C:$C,"&lt;="&amp;Settings!$B$5))</f>
        <v/>
      </c>
      <c r="H226" s="3">
        <f>IF($A226="","",COUNTIFS(Raw_Events!$G:$G,"SEX",Raw_Events!$J:$J,$A226,Raw_Events!$C:$C,"&gt;="&amp;Settings!$B$4,Raw_Events!$C:$C,"&lt;="&amp;Settings!$B$5))</f>
        <v/>
      </c>
      <c r="I226" s="3">
        <f>IF($A226="","",COUNTIFS(Raw_Events!$G:$G,"PRO_CONTACT_ADDED",Raw_Events!$J:$J,$A226,Raw_Events!$C:$C,"&gt;="&amp;Settings!$B$4,Raw_Events!$C:$C,"&lt;="&amp;Settings!$B$5))</f>
        <v/>
      </c>
    </row>
    <row r="227" ht="15" customHeight="1">
      <c r="F227" s="3">
        <f>IF($A227="","",COUNTIFS(Raw_Events!$G:$G,"SOCIAL_MEET",Raw_Events!$J:$J,$A227,Raw_Events!$C:$C,"&gt;="&amp;Settings!$B$4,Raw_Events!$C:$C,"&lt;="&amp;Settings!$B$5))</f>
        <v/>
      </c>
      <c r="G227" s="3">
        <f>IF($A227="","",COUNTIFS(Raw_Events!$G:$G,"DATE",Raw_Events!$J:$J,$A227,Raw_Events!$C:$C,"&gt;="&amp;Settings!$B$4,Raw_Events!$C:$C,"&lt;="&amp;Settings!$B$5))</f>
        <v/>
      </c>
      <c r="H227" s="3">
        <f>IF($A227="","",COUNTIFS(Raw_Events!$G:$G,"SEX",Raw_Events!$J:$J,$A227,Raw_Events!$C:$C,"&gt;="&amp;Settings!$B$4,Raw_Events!$C:$C,"&lt;="&amp;Settings!$B$5))</f>
        <v/>
      </c>
      <c r="I227" s="3">
        <f>IF($A227="","",COUNTIFS(Raw_Events!$G:$G,"PRO_CONTACT_ADDED",Raw_Events!$J:$J,$A227,Raw_Events!$C:$C,"&gt;="&amp;Settings!$B$4,Raw_Events!$C:$C,"&lt;="&amp;Settings!$B$5))</f>
        <v/>
      </c>
    </row>
    <row r="228" ht="15" customHeight="1">
      <c r="F228" s="3">
        <f>IF($A228="","",COUNTIFS(Raw_Events!$G:$G,"SOCIAL_MEET",Raw_Events!$J:$J,$A228,Raw_Events!$C:$C,"&gt;="&amp;Settings!$B$4,Raw_Events!$C:$C,"&lt;="&amp;Settings!$B$5))</f>
        <v/>
      </c>
      <c r="G228" s="3">
        <f>IF($A228="","",COUNTIFS(Raw_Events!$G:$G,"DATE",Raw_Events!$J:$J,$A228,Raw_Events!$C:$C,"&gt;="&amp;Settings!$B$4,Raw_Events!$C:$C,"&lt;="&amp;Settings!$B$5))</f>
        <v/>
      </c>
      <c r="H228" s="3">
        <f>IF($A228="","",COUNTIFS(Raw_Events!$G:$G,"SEX",Raw_Events!$J:$J,$A228,Raw_Events!$C:$C,"&gt;="&amp;Settings!$B$4,Raw_Events!$C:$C,"&lt;="&amp;Settings!$B$5))</f>
        <v/>
      </c>
      <c r="I228" s="3">
        <f>IF($A228="","",COUNTIFS(Raw_Events!$G:$G,"PRO_CONTACT_ADDED",Raw_Events!$J:$J,$A228,Raw_Events!$C:$C,"&gt;="&amp;Settings!$B$4,Raw_Events!$C:$C,"&lt;="&amp;Settings!$B$5))</f>
        <v/>
      </c>
    </row>
    <row r="229" ht="15" customHeight="1">
      <c r="F229" s="3">
        <f>IF($A229="","",COUNTIFS(Raw_Events!$G:$G,"SOCIAL_MEET",Raw_Events!$J:$J,$A229,Raw_Events!$C:$C,"&gt;="&amp;Settings!$B$4,Raw_Events!$C:$C,"&lt;="&amp;Settings!$B$5))</f>
        <v/>
      </c>
      <c r="G229" s="3">
        <f>IF($A229="","",COUNTIFS(Raw_Events!$G:$G,"DATE",Raw_Events!$J:$J,$A229,Raw_Events!$C:$C,"&gt;="&amp;Settings!$B$4,Raw_Events!$C:$C,"&lt;="&amp;Settings!$B$5))</f>
        <v/>
      </c>
      <c r="H229" s="3">
        <f>IF($A229="","",COUNTIFS(Raw_Events!$G:$G,"SEX",Raw_Events!$J:$J,$A229,Raw_Events!$C:$C,"&gt;="&amp;Settings!$B$4,Raw_Events!$C:$C,"&lt;="&amp;Settings!$B$5))</f>
        <v/>
      </c>
      <c r="I229" s="3">
        <f>IF($A229="","",COUNTIFS(Raw_Events!$G:$G,"PRO_CONTACT_ADDED",Raw_Events!$J:$J,$A229,Raw_Events!$C:$C,"&gt;="&amp;Settings!$B$4,Raw_Events!$C:$C,"&lt;="&amp;Settings!$B$5))</f>
        <v/>
      </c>
    </row>
    <row r="230" ht="15" customHeight="1">
      <c r="F230" s="3">
        <f>IF($A230="","",COUNTIFS(Raw_Events!$G:$G,"SOCIAL_MEET",Raw_Events!$J:$J,$A230,Raw_Events!$C:$C,"&gt;="&amp;Settings!$B$4,Raw_Events!$C:$C,"&lt;="&amp;Settings!$B$5))</f>
        <v/>
      </c>
      <c r="G230" s="3">
        <f>IF($A230="","",COUNTIFS(Raw_Events!$G:$G,"DATE",Raw_Events!$J:$J,$A230,Raw_Events!$C:$C,"&gt;="&amp;Settings!$B$4,Raw_Events!$C:$C,"&lt;="&amp;Settings!$B$5))</f>
        <v/>
      </c>
      <c r="H230" s="3">
        <f>IF($A230="","",COUNTIFS(Raw_Events!$G:$G,"SEX",Raw_Events!$J:$J,$A230,Raw_Events!$C:$C,"&gt;="&amp;Settings!$B$4,Raw_Events!$C:$C,"&lt;="&amp;Settings!$B$5))</f>
        <v/>
      </c>
      <c r="I230" s="3">
        <f>IF($A230="","",COUNTIFS(Raw_Events!$G:$G,"PRO_CONTACT_ADDED",Raw_Events!$J:$J,$A230,Raw_Events!$C:$C,"&gt;="&amp;Settings!$B$4,Raw_Events!$C:$C,"&lt;="&amp;Settings!$B$5))</f>
        <v/>
      </c>
    </row>
    <row r="231" ht="15" customHeight="1">
      <c r="F231" s="3">
        <f>IF($A231="","",COUNTIFS(Raw_Events!$G:$G,"SOCIAL_MEET",Raw_Events!$J:$J,$A231,Raw_Events!$C:$C,"&gt;="&amp;Settings!$B$4,Raw_Events!$C:$C,"&lt;="&amp;Settings!$B$5))</f>
        <v/>
      </c>
      <c r="G231" s="3">
        <f>IF($A231="","",COUNTIFS(Raw_Events!$G:$G,"DATE",Raw_Events!$J:$J,$A231,Raw_Events!$C:$C,"&gt;="&amp;Settings!$B$4,Raw_Events!$C:$C,"&lt;="&amp;Settings!$B$5))</f>
        <v/>
      </c>
      <c r="H231" s="3">
        <f>IF($A231="","",COUNTIFS(Raw_Events!$G:$G,"SEX",Raw_Events!$J:$J,$A231,Raw_Events!$C:$C,"&gt;="&amp;Settings!$B$4,Raw_Events!$C:$C,"&lt;="&amp;Settings!$B$5))</f>
        <v/>
      </c>
      <c r="I231" s="3">
        <f>IF($A231="","",COUNTIFS(Raw_Events!$G:$G,"PRO_CONTACT_ADDED",Raw_Events!$J:$J,$A231,Raw_Events!$C:$C,"&gt;="&amp;Settings!$B$4,Raw_Events!$C:$C,"&lt;="&amp;Settings!$B$5))</f>
        <v/>
      </c>
    </row>
    <row r="232" ht="15" customHeight="1">
      <c r="F232" s="3">
        <f>IF($A232="","",COUNTIFS(Raw_Events!$G:$G,"SOCIAL_MEET",Raw_Events!$J:$J,$A232,Raw_Events!$C:$C,"&gt;="&amp;Settings!$B$4,Raw_Events!$C:$C,"&lt;="&amp;Settings!$B$5))</f>
        <v/>
      </c>
      <c r="G232" s="3">
        <f>IF($A232="","",COUNTIFS(Raw_Events!$G:$G,"DATE",Raw_Events!$J:$J,$A232,Raw_Events!$C:$C,"&gt;="&amp;Settings!$B$4,Raw_Events!$C:$C,"&lt;="&amp;Settings!$B$5))</f>
        <v/>
      </c>
      <c r="H232" s="3">
        <f>IF($A232="","",COUNTIFS(Raw_Events!$G:$G,"SEX",Raw_Events!$J:$J,$A232,Raw_Events!$C:$C,"&gt;="&amp;Settings!$B$4,Raw_Events!$C:$C,"&lt;="&amp;Settings!$B$5))</f>
        <v/>
      </c>
      <c r="I232" s="3">
        <f>IF($A232="","",COUNTIFS(Raw_Events!$G:$G,"PRO_CONTACT_ADDED",Raw_Events!$J:$J,$A232,Raw_Events!$C:$C,"&gt;="&amp;Settings!$B$4,Raw_Events!$C:$C,"&lt;="&amp;Settings!$B$5))</f>
        <v/>
      </c>
    </row>
    <row r="233" ht="15" customHeight="1">
      <c r="F233" s="3">
        <f>IF($A233="","",COUNTIFS(Raw_Events!$G:$G,"SOCIAL_MEET",Raw_Events!$J:$J,$A233,Raw_Events!$C:$C,"&gt;="&amp;Settings!$B$4,Raw_Events!$C:$C,"&lt;="&amp;Settings!$B$5))</f>
        <v/>
      </c>
      <c r="G233" s="3">
        <f>IF($A233="","",COUNTIFS(Raw_Events!$G:$G,"DATE",Raw_Events!$J:$J,$A233,Raw_Events!$C:$C,"&gt;="&amp;Settings!$B$4,Raw_Events!$C:$C,"&lt;="&amp;Settings!$B$5))</f>
        <v/>
      </c>
      <c r="H233" s="3">
        <f>IF($A233="","",COUNTIFS(Raw_Events!$G:$G,"SEX",Raw_Events!$J:$J,$A233,Raw_Events!$C:$C,"&gt;="&amp;Settings!$B$4,Raw_Events!$C:$C,"&lt;="&amp;Settings!$B$5))</f>
        <v/>
      </c>
      <c r="I233" s="3">
        <f>IF($A233="","",COUNTIFS(Raw_Events!$G:$G,"PRO_CONTACT_ADDED",Raw_Events!$J:$J,$A233,Raw_Events!$C:$C,"&gt;="&amp;Settings!$B$4,Raw_Events!$C:$C,"&lt;="&amp;Settings!$B$5))</f>
        <v/>
      </c>
    </row>
    <row r="234" ht="15" customHeight="1">
      <c r="F234" s="3">
        <f>IF($A234="","",COUNTIFS(Raw_Events!$G:$G,"SOCIAL_MEET",Raw_Events!$J:$J,$A234,Raw_Events!$C:$C,"&gt;="&amp;Settings!$B$4,Raw_Events!$C:$C,"&lt;="&amp;Settings!$B$5))</f>
        <v/>
      </c>
      <c r="G234" s="3">
        <f>IF($A234="","",COUNTIFS(Raw_Events!$G:$G,"DATE",Raw_Events!$J:$J,$A234,Raw_Events!$C:$C,"&gt;="&amp;Settings!$B$4,Raw_Events!$C:$C,"&lt;="&amp;Settings!$B$5))</f>
        <v/>
      </c>
      <c r="H234" s="3">
        <f>IF($A234="","",COUNTIFS(Raw_Events!$G:$G,"SEX",Raw_Events!$J:$J,$A234,Raw_Events!$C:$C,"&gt;="&amp;Settings!$B$4,Raw_Events!$C:$C,"&lt;="&amp;Settings!$B$5))</f>
        <v/>
      </c>
      <c r="I234" s="3">
        <f>IF($A234="","",COUNTIFS(Raw_Events!$G:$G,"PRO_CONTACT_ADDED",Raw_Events!$J:$J,$A234,Raw_Events!$C:$C,"&gt;="&amp;Settings!$B$4,Raw_Events!$C:$C,"&lt;="&amp;Settings!$B$5))</f>
        <v/>
      </c>
    </row>
    <row r="235" ht="15" customHeight="1">
      <c r="F235" s="3">
        <f>IF($A235="","",COUNTIFS(Raw_Events!$G:$G,"SOCIAL_MEET",Raw_Events!$J:$J,$A235,Raw_Events!$C:$C,"&gt;="&amp;Settings!$B$4,Raw_Events!$C:$C,"&lt;="&amp;Settings!$B$5))</f>
        <v/>
      </c>
      <c r="G235" s="3">
        <f>IF($A235="","",COUNTIFS(Raw_Events!$G:$G,"DATE",Raw_Events!$J:$J,$A235,Raw_Events!$C:$C,"&gt;="&amp;Settings!$B$4,Raw_Events!$C:$C,"&lt;="&amp;Settings!$B$5))</f>
        <v/>
      </c>
      <c r="H235" s="3">
        <f>IF($A235="","",COUNTIFS(Raw_Events!$G:$G,"SEX",Raw_Events!$J:$J,$A235,Raw_Events!$C:$C,"&gt;="&amp;Settings!$B$4,Raw_Events!$C:$C,"&lt;="&amp;Settings!$B$5))</f>
        <v/>
      </c>
      <c r="I235" s="3">
        <f>IF($A235="","",COUNTIFS(Raw_Events!$G:$G,"PRO_CONTACT_ADDED",Raw_Events!$J:$J,$A235,Raw_Events!$C:$C,"&gt;="&amp;Settings!$B$4,Raw_Events!$C:$C,"&lt;="&amp;Settings!$B$5))</f>
        <v/>
      </c>
    </row>
    <row r="236" ht="15" customHeight="1">
      <c r="F236" s="3">
        <f>IF($A236="","",COUNTIFS(Raw_Events!$G:$G,"SOCIAL_MEET",Raw_Events!$J:$J,$A236,Raw_Events!$C:$C,"&gt;="&amp;Settings!$B$4,Raw_Events!$C:$C,"&lt;="&amp;Settings!$B$5))</f>
        <v/>
      </c>
      <c r="G236" s="3">
        <f>IF($A236="","",COUNTIFS(Raw_Events!$G:$G,"DATE",Raw_Events!$J:$J,$A236,Raw_Events!$C:$C,"&gt;="&amp;Settings!$B$4,Raw_Events!$C:$C,"&lt;="&amp;Settings!$B$5))</f>
        <v/>
      </c>
      <c r="H236" s="3">
        <f>IF($A236="","",COUNTIFS(Raw_Events!$G:$G,"SEX",Raw_Events!$J:$J,$A236,Raw_Events!$C:$C,"&gt;="&amp;Settings!$B$4,Raw_Events!$C:$C,"&lt;="&amp;Settings!$B$5))</f>
        <v/>
      </c>
      <c r="I236" s="3">
        <f>IF($A236="","",COUNTIFS(Raw_Events!$G:$G,"PRO_CONTACT_ADDED",Raw_Events!$J:$J,$A236,Raw_Events!$C:$C,"&gt;="&amp;Settings!$B$4,Raw_Events!$C:$C,"&lt;="&amp;Settings!$B$5))</f>
        <v/>
      </c>
    </row>
    <row r="237" ht="15" customHeight="1">
      <c r="F237" s="3">
        <f>IF($A237="","",COUNTIFS(Raw_Events!$G:$G,"SOCIAL_MEET",Raw_Events!$J:$J,$A237,Raw_Events!$C:$C,"&gt;="&amp;Settings!$B$4,Raw_Events!$C:$C,"&lt;="&amp;Settings!$B$5))</f>
        <v/>
      </c>
      <c r="G237" s="3">
        <f>IF($A237="","",COUNTIFS(Raw_Events!$G:$G,"DATE",Raw_Events!$J:$J,$A237,Raw_Events!$C:$C,"&gt;="&amp;Settings!$B$4,Raw_Events!$C:$C,"&lt;="&amp;Settings!$B$5))</f>
        <v/>
      </c>
      <c r="H237" s="3">
        <f>IF($A237="","",COUNTIFS(Raw_Events!$G:$G,"SEX",Raw_Events!$J:$J,$A237,Raw_Events!$C:$C,"&gt;="&amp;Settings!$B$4,Raw_Events!$C:$C,"&lt;="&amp;Settings!$B$5))</f>
        <v/>
      </c>
      <c r="I237" s="3">
        <f>IF($A237="","",COUNTIFS(Raw_Events!$G:$G,"PRO_CONTACT_ADDED",Raw_Events!$J:$J,$A237,Raw_Events!$C:$C,"&gt;="&amp;Settings!$B$4,Raw_Events!$C:$C,"&lt;="&amp;Settings!$B$5))</f>
        <v/>
      </c>
    </row>
    <row r="238" ht="15" customHeight="1">
      <c r="F238" s="3">
        <f>IF($A238="","",COUNTIFS(Raw_Events!$G:$G,"SOCIAL_MEET",Raw_Events!$J:$J,$A238,Raw_Events!$C:$C,"&gt;="&amp;Settings!$B$4,Raw_Events!$C:$C,"&lt;="&amp;Settings!$B$5))</f>
        <v/>
      </c>
      <c r="G238" s="3">
        <f>IF($A238="","",COUNTIFS(Raw_Events!$G:$G,"DATE",Raw_Events!$J:$J,$A238,Raw_Events!$C:$C,"&gt;="&amp;Settings!$B$4,Raw_Events!$C:$C,"&lt;="&amp;Settings!$B$5))</f>
        <v/>
      </c>
      <c r="H238" s="3">
        <f>IF($A238="","",COUNTIFS(Raw_Events!$G:$G,"SEX",Raw_Events!$J:$J,$A238,Raw_Events!$C:$C,"&gt;="&amp;Settings!$B$4,Raw_Events!$C:$C,"&lt;="&amp;Settings!$B$5))</f>
        <v/>
      </c>
      <c r="I238" s="3">
        <f>IF($A238="","",COUNTIFS(Raw_Events!$G:$G,"PRO_CONTACT_ADDED",Raw_Events!$J:$J,$A238,Raw_Events!$C:$C,"&gt;="&amp;Settings!$B$4,Raw_Events!$C:$C,"&lt;="&amp;Settings!$B$5))</f>
        <v/>
      </c>
    </row>
    <row r="239" ht="15" customHeight="1">
      <c r="F239" s="3">
        <f>IF($A239="","",COUNTIFS(Raw_Events!$G:$G,"SOCIAL_MEET",Raw_Events!$J:$J,$A239,Raw_Events!$C:$C,"&gt;="&amp;Settings!$B$4,Raw_Events!$C:$C,"&lt;="&amp;Settings!$B$5))</f>
        <v/>
      </c>
      <c r="G239" s="3">
        <f>IF($A239="","",COUNTIFS(Raw_Events!$G:$G,"DATE",Raw_Events!$J:$J,$A239,Raw_Events!$C:$C,"&gt;="&amp;Settings!$B$4,Raw_Events!$C:$C,"&lt;="&amp;Settings!$B$5))</f>
        <v/>
      </c>
      <c r="H239" s="3">
        <f>IF($A239="","",COUNTIFS(Raw_Events!$G:$G,"SEX",Raw_Events!$J:$J,$A239,Raw_Events!$C:$C,"&gt;="&amp;Settings!$B$4,Raw_Events!$C:$C,"&lt;="&amp;Settings!$B$5))</f>
        <v/>
      </c>
      <c r="I239" s="3">
        <f>IF($A239="","",COUNTIFS(Raw_Events!$G:$G,"PRO_CONTACT_ADDED",Raw_Events!$J:$J,$A239,Raw_Events!$C:$C,"&gt;="&amp;Settings!$B$4,Raw_Events!$C:$C,"&lt;="&amp;Settings!$B$5))</f>
        <v/>
      </c>
    </row>
    <row r="240" ht="15" customHeight="1">
      <c r="F240" s="3">
        <f>IF($A240="","",COUNTIFS(Raw_Events!$G:$G,"SOCIAL_MEET",Raw_Events!$J:$J,$A240,Raw_Events!$C:$C,"&gt;="&amp;Settings!$B$4,Raw_Events!$C:$C,"&lt;="&amp;Settings!$B$5))</f>
        <v/>
      </c>
      <c r="G240" s="3">
        <f>IF($A240="","",COUNTIFS(Raw_Events!$G:$G,"DATE",Raw_Events!$J:$J,$A240,Raw_Events!$C:$C,"&gt;="&amp;Settings!$B$4,Raw_Events!$C:$C,"&lt;="&amp;Settings!$B$5))</f>
        <v/>
      </c>
      <c r="H240" s="3">
        <f>IF($A240="","",COUNTIFS(Raw_Events!$G:$G,"SEX",Raw_Events!$J:$J,$A240,Raw_Events!$C:$C,"&gt;="&amp;Settings!$B$4,Raw_Events!$C:$C,"&lt;="&amp;Settings!$B$5))</f>
        <v/>
      </c>
      <c r="I240" s="3">
        <f>IF($A240="","",COUNTIFS(Raw_Events!$G:$G,"PRO_CONTACT_ADDED",Raw_Events!$J:$J,$A240,Raw_Events!$C:$C,"&gt;="&amp;Settings!$B$4,Raw_Events!$C:$C,"&lt;="&amp;Settings!$B$5))</f>
        <v/>
      </c>
    </row>
    <row r="241" ht="15" customHeight="1">
      <c r="F241" s="3">
        <f>IF($A241="","",COUNTIFS(Raw_Events!$G:$G,"SOCIAL_MEET",Raw_Events!$J:$J,$A241,Raw_Events!$C:$C,"&gt;="&amp;Settings!$B$4,Raw_Events!$C:$C,"&lt;="&amp;Settings!$B$5))</f>
        <v/>
      </c>
      <c r="G241" s="3">
        <f>IF($A241="","",COUNTIFS(Raw_Events!$G:$G,"DATE",Raw_Events!$J:$J,$A241,Raw_Events!$C:$C,"&gt;="&amp;Settings!$B$4,Raw_Events!$C:$C,"&lt;="&amp;Settings!$B$5))</f>
        <v/>
      </c>
      <c r="H241" s="3">
        <f>IF($A241="","",COUNTIFS(Raw_Events!$G:$G,"SEX",Raw_Events!$J:$J,$A241,Raw_Events!$C:$C,"&gt;="&amp;Settings!$B$4,Raw_Events!$C:$C,"&lt;="&amp;Settings!$B$5))</f>
        <v/>
      </c>
      <c r="I241" s="3">
        <f>IF($A241="","",COUNTIFS(Raw_Events!$G:$G,"PRO_CONTACT_ADDED",Raw_Events!$J:$J,$A241,Raw_Events!$C:$C,"&gt;="&amp;Settings!$B$4,Raw_Events!$C:$C,"&lt;="&amp;Settings!$B$5))</f>
        <v/>
      </c>
    </row>
    <row r="242" ht="15" customHeight="1">
      <c r="F242" s="3">
        <f>IF($A242="","",COUNTIFS(Raw_Events!$G:$G,"SOCIAL_MEET",Raw_Events!$J:$J,$A242,Raw_Events!$C:$C,"&gt;="&amp;Settings!$B$4,Raw_Events!$C:$C,"&lt;="&amp;Settings!$B$5))</f>
        <v/>
      </c>
      <c r="G242" s="3">
        <f>IF($A242="","",COUNTIFS(Raw_Events!$G:$G,"DATE",Raw_Events!$J:$J,$A242,Raw_Events!$C:$C,"&gt;="&amp;Settings!$B$4,Raw_Events!$C:$C,"&lt;="&amp;Settings!$B$5))</f>
        <v/>
      </c>
      <c r="H242" s="3">
        <f>IF($A242="","",COUNTIFS(Raw_Events!$G:$G,"SEX",Raw_Events!$J:$J,$A242,Raw_Events!$C:$C,"&gt;="&amp;Settings!$B$4,Raw_Events!$C:$C,"&lt;="&amp;Settings!$B$5))</f>
        <v/>
      </c>
      <c r="I242" s="3">
        <f>IF($A242="","",COUNTIFS(Raw_Events!$G:$G,"PRO_CONTACT_ADDED",Raw_Events!$J:$J,$A242,Raw_Events!$C:$C,"&gt;="&amp;Settings!$B$4,Raw_Events!$C:$C,"&lt;="&amp;Settings!$B$5))</f>
        <v/>
      </c>
    </row>
    <row r="243" ht="15" customHeight="1">
      <c r="F243" s="3">
        <f>IF($A243="","",COUNTIFS(Raw_Events!$G:$G,"SOCIAL_MEET",Raw_Events!$J:$J,$A243,Raw_Events!$C:$C,"&gt;="&amp;Settings!$B$4,Raw_Events!$C:$C,"&lt;="&amp;Settings!$B$5))</f>
        <v/>
      </c>
      <c r="G243" s="3">
        <f>IF($A243="","",COUNTIFS(Raw_Events!$G:$G,"DATE",Raw_Events!$J:$J,$A243,Raw_Events!$C:$C,"&gt;="&amp;Settings!$B$4,Raw_Events!$C:$C,"&lt;="&amp;Settings!$B$5))</f>
        <v/>
      </c>
      <c r="H243" s="3">
        <f>IF($A243="","",COUNTIFS(Raw_Events!$G:$G,"SEX",Raw_Events!$J:$J,$A243,Raw_Events!$C:$C,"&gt;="&amp;Settings!$B$4,Raw_Events!$C:$C,"&lt;="&amp;Settings!$B$5))</f>
        <v/>
      </c>
      <c r="I243" s="3">
        <f>IF($A243="","",COUNTIFS(Raw_Events!$G:$G,"PRO_CONTACT_ADDED",Raw_Events!$J:$J,$A243,Raw_Events!$C:$C,"&gt;="&amp;Settings!$B$4,Raw_Events!$C:$C,"&lt;="&amp;Settings!$B$5))</f>
        <v/>
      </c>
    </row>
    <row r="244" ht="15" customHeight="1">
      <c r="F244" s="3">
        <f>IF($A244="","",COUNTIFS(Raw_Events!$G:$G,"SOCIAL_MEET",Raw_Events!$J:$J,$A244,Raw_Events!$C:$C,"&gt;="&amp;Settings!$B$4,Raw_Events!$C:$C,"&lt;="&amp;Settings!$B$5))</f>
        <v/>
      </c>
      <c r="G244" s="3">
        <f>IF($A244="","",COUNTIFS(Raw_Events!$G:$G,"DATE",Raw_Events!$J:$J,$A244,Raw_Events!$C:$C,"&gt;="&amp;Settings!$B$4,Raw_Events!$C:$C,"&lt;="&amp;Settings!$B$5))</f>
        <v/>
      </c>
      <c r="H244" s="3">
        <f>IF($A244="","",COUNTIFS(Raw_Events!$G:$G,"SEX",Raw_Events!$J:$J,$A244,Raw_Events!$C:$C,"&gt;="&amp;Settings!$B$4,Raw_Events!$C:$C,"&lt;="&amp;Settings!$B$5))</f>
        <v/>
      </c>
      <c r="I244" s="3">
        <f>IF($A244="","",COUNTIFS(Raw_Events!$G:$G,"PRO_CONTACT_ADDED",Raw_Events!$J:$J,$A244,Raw_Events!$C:$C,"&gt;="&amp;Settings!$B$4,Raw_Events!$C:$C,"&lt;="&amp;Settings!$B$5))</f>
        <v/>
      </c>
    </row>
    <row r="245" ht="15" customHeight="1">
      <c r="F245" s="3">
        <f>IF($A245="","",COUNTIFS(Raw_Events!$G:$G,"SOCIAL_MEET",Raw_Events!$J:$J,$A245,Raw_Events!$C:$C,"&gt;="&amp;Settings!$B$4,Raw_Events!$C:$C,"&lt;="&amp;Settings!$B$5))</f>
        <v/>
      </c>
      <c r="G245" s="3">
        <f>IF($A245="","",COUNTIFS(Raw_Events!$G:$G,"DATE",Raw_Events!$J:$J,$A245,Raw_Events!$C:$C,"&gt;="&amp;Settings!$B$4,Raw_Events!$C:$C,"&lt;="&amp;Settings!$B$5))</f>
        <v/>
      </c>
      <c r="H245" s="3">
        <f>IF($A245="","",COUNTIFS(Raw_Events!$G:$G,"SEX",Raw_Events!$J:$J,$A245,Raw_Events!$C:$C,"&gt;="&amp;Settings!$B$4,Raw_Events!$C:$C,"&lt;="&amp;Settings!$B$5))</f>
        <v/>
      </c>
      <c r="I245" s="3">
        <f>IF($A245="","",COUNTIFS(Raw_Events!$G:$G,"PRO_CONTACT_ADDED",Raw_Events!$J:$J,$A245,Raw_Events!$C:$C,"&gt;="&amp;Settings!$B$4,Raw_Events!$C:$C,"&lt;="&amp;Settings!$B$5))</f>
        <v/>
      </c>
    </row>
    <row r="246" ht="15" customHeight="1">
      <c r="F246" s="3">
        <f>IF($A246="","",COUNTIFS(Raw_Events!$G:$G,"SOCIAL_MEET",Raw_Events!$J:$J,$A246,Raw_Events!$C:$C,"&gt;="&amp;Settings!$B$4,Raw_Events!$C:$C,"&lt;="&amp;Settings!$B$5))</f>
        <v/>
      </c>
      <c r="G246" s="3">
        <f>IF($A246="","",COUNTIFS(Raw_Events!$G:$G,"DATE",Raw_Events!$J:$J,$A246,Raw_Events!$C:$C,"&gt;="&amp;Settings!$B$4,Raw_Events!$C:$C,"&lt;="&amp;Settings!$B$5))</f>
        <v/>
      </c>
      <c r="H246" s="3">
        <f>IF($A246="","",COUNTIFS(Raw_Events!$G:$G,"SEX",Raw_Events!$J:$J,$A246,Raw_Events!$C:$C,"&gt;="&amp;Settings!$B$4,Raw_Events!$C:$C,"&lt;="&amp;Settings!$B$5))</f>
        <v/>
      </c>
      <c r="I246" s="3">
        <f>IF($A246="","",COUNTIFS(Raw_Events!$G:$G,"PRO_CONTACT_ADDED",Raw_Events!$J:$J,$A246,Raw_Events!$C:$C,"&gt;="&amp;Settings!$B$4,Raw_Events!$C:$C,"&lt;="&amp;Settings!$B$5))</f>
        <v/>
      </c>
    </row>
    <row r="247" ht="15" customHeight="1">
      <c r="F247" s="3">
        <f>IF($A247="","",COUNTIFS(Raw_Events!$G:$G,"SOCIAL_MEET",Raw_Events!$J:$J,$A247,Raw_Events!$C:$C,"&gt;="&amp;Settings!$B$4,Raw_Events!$C:$C,"&lt;="&amp;Settings!$B$5))</f>
        <v/>
      </c>
      <c r="G247" s="3">
        <f>IF($A247="","",COUNTIFS(Raw_Events!$G:$G,"DATE",Raw_Events!$J:$J,$A247,Raw_Events!$C:$C,"&gt;="&amp;Settings!$B$4,Raw_Events!$C:$C,"&lt;="&amp;Settings!$B$5))</f>
        <v/>
      </c>
      <c r="H247" s="3">
        <f>IF($A247="","",COUNTIFS(Raw_Events!$G:$G,"SEX",Raw_Events!$J:$J,$A247,Raw_Events!$C:$C,"&gt;="&amp;Settings!$B$4,Raw_Events!$C:$C,"&lt;="&amp;Settings!$B$5))</f>
        <v/>
      </c>
      <c r="I247" s="3">
        <f>IF($A247="","",COUNTIFS(Raw_Events!$G:$G,"PRO_CONTACT_ADDED",Raw_Events!$J:$J,$A247,Raw_Events!$C:$C,"&gt;="&amp;Settings!$B$4,Raw_Events!$C:$C,"&lt;="&amp;Settings!$B$5))</f>
        <v/>
      </c>
    </row>
    <row r="248" ht="15" customHeight="1">
      <c r="F248" s="3">
        <f>IF($A248="","",COUNTIFS(Raw_Events!$G:$G,"SOCIAL_MEET",Raw_Events!$J:$J,$A248,Raw_Events!$C:$C,"&gt;="&amp;Settings!$B$4,Raw_Events!$C:$C,"&lt;="&amp;Settings!$B$5))</f>
        <v/>
      </c>
      <c r="G248" s="3">
        <f>IF($A248="","",COUNTIFS(Raw_Events!$G:$G,"DATE",Raw_Events!$J:$J,$A248,Raw_Events!$C:$C,"&gt;="&amp;Settings!$B$4,Raw_Events!$C:$C,"&lt;="&amp;Settings!$B$5))</f>
        <v/>
      </c>
      <c r="H248" s="3">
        <f>IF($A248="","",COUNTIFS(Raw_Events!$G:$G,"SEX",Raw_Events!$J:$J,$A248,Raw_Events!$C:$C,"&gt;="&amp;Settings!$B$4,Raw_Events!$C:$C,"&lt;="&amp;Settings!$B$5))</f>
        <v/>
      </c>
      <c r="I248" s="3">
        <f>IF($A248="","",COUNTIFS(Raw_Events!$G:$G,"PRO_CONTACT_ADDED",Raw_Events!$J:$J,$A248,Raw_Events!$C:$C,"&gt;="&amp;Settings!$B$4,Raw_Events!$C:$C,"&lt;="&amp;Settings!$B$5))</f>
        <v/>
      </c>
    </row>
    <row r="249" ht="15" customHeight="1">
      <c r="F249" s="3">
        <f>IF($A249="","",COUNTIFS(Raw_Events!$G:$G,"SOCIAL_MEET",Raw_Events!$J:$J,$A249,Raw_Events!$C:$C,"&gt;="&amp;Settings!$B$4,Raw_Events!$C:$C,"&lt;="&amp;Settings!$B$5))</f>
        <v/>
      </c>
      <c r="G249" s="3">
        <f>IF($A249="","",COUNTIFS(Raw_Events!$G:$G,"DATE",Raw_Events!$J:$J,$A249,Raw_Events!$C:$C,"&gt;="&amp;Settings!$B$4,Raw_Events!$C:$C,"&lt;="&amp;Settings!$B$5))</f>
        <v/>
      </c>
      <c r="H249" s="3">
        <f>IF($A249="","",COUNTIFS(Raw_Events!$G:$G,"SEX",Raw_Events!$J:$J,$A249,Raw_Events!$C:$C,"&gt;="&amp;Settings!$B$4,Raw_Events!$C:$C,"&lt;="&amp;Settings!$B$5))</f>
        <v/>
      </c>
      <c r="I249" s="3">
        <f>IF($A249="","",COUNTIFS(Raw_Events!$G:$G,"PRO_CONTACT_ADDED",Raw_Events!$J:$J,$A249,Raw_Events!$C:$C,"&gt;="&amp;Settings!$B$4,Raw_Events!$C:$C,"&lt;="&amp;Settings!$B$5))</f>
        <v/>
      </c>
    </row>
    <row r="250" ht="15" customHeight="1">
      <c r="F250" s="3">
        <f>IF($A250="","",COUNTIFS(Raw_Events!$G:$G,"SOCIAL_MEET",Raw_Events!$J:$J,$A250,Raw_Events!$C:$C,"&gt;="&amp;Settings!$B$4,Raw_Events!$C:$C,"&lt;="&amp;Settings!$B$5))</f>
        <v/>
      </c>
      <c r="G250" s="3">
        <f>IF($A250="","",COUNTIFS(Raw_Events!$G:$G,"DATE",Raw_Events!$J:$J,$A250,Raw_Events!$C:$C,"&gt;="&amp;Settings!$B$4,Raw_Events!$C:$C,"&lt;="&amp;Settings!$B$5))</f>
        <v/>
      </c>
      <c r="H250" s="3">
        <f>IF($A250="","",COUNTIFS(Raw_Events!$G:$G,"SEX",Raw_Events!$J:$J,$A250,Raw_Events!$C:$C,"&gt;="&amp;Settings!$B$4,Raw_Events!$C:$C,"&lt;="&amp;Settings!$B$5))</f>
        <v/>
      </c>
      <c r="I250" s="3">
        <f>IF($A250="","",COUNTIFS(Raw_Events!$G:$G,"PRO_CONTACT_ADDED",Raw_Events!$J:$J,$A250,Raw_Events!$C:$C,"&gt;="&amp;Settings!$B$4,Raw_Events!$C:$C,"&lt;="&amp;Settings!$B$5))</f>
        <v/>
      </c>
    </row>
    <row r="251" ht="15" customHeight="1">
      <c r="F251" s="3">
        <f>IF($A251="","",COUNTIFS(Raw_Events!$G:$G,"SOCIAL_MEET",Raw_Events!$J:$J,$A251,Raw_Events!$C:$C,"&gt;="&amp;Settings!$B$4,Raw_Events!$C:$C,"&lt;="&amp;Settings!$B$5))</f>
        <v/>
      </c>
      <c r="G251" s="3">
        <f>IF($A251="","",COUNTIFS(Raw_Events!$G:$G,"DATE",Raw_Events!$J:$J,$A251,Raw_Events!$C:$C,"&gt;="&amp;Settings!$B$4,Raw_Events!$C:$C,"&lt;="&amp;Settings!$B$5))</f>
        <v/>
      </c>
      <c r="H251" s="3">
        <f>IF($A251="","",COUNTIFS(Raw_Events!$G:$G,"SEX",Raw_Events!$J:$J,$A251,Raw_Events!$C:$C,"&gt;="&amp;Settings!$B$4,Raw_Events!$C:$C,"&lt;="&amp;Settings!$B$5))</f>
        <v/>
      </c>
      <c r="I251" s="3">
        <f>IF($A251="","",COUNTIFS(Raw_Events!$G:$G,"PRO_CONTACT_ADDED",Raw_Events!$J:$J,$A251,Raw_Events!$C:$C,"&gt;="&amp;Settings!$B$4,Raw_Events!$C:$C,"&lt;="&amp;Settings!$B$5))</f>
        <v/>
      </c>
    </row>
    <row r="252" ht="15" customHeight="1">
      <c r="F252" s="3">
        <f>IF($A252="","",COUNTIFS(Raw_Events!$G:$G,"SOCIAL_MEET",Raw_Events!$J:$J,$A252,Raw_Events!$C:$C,"&gt;="&amp;Settings!$B$4,Raw_Events!$C:$C,"&lt;="&amp;Settings!$B$5))</f>
        <v/>
      </c>
      <c r="G252" s="3">
        <f>IF($A252="","",COUNTIFS(Raw_Events!$G:$G,"DATE",Raw_Events!$J:$J,$A252,Raw_Events!$C:$C,"&gt;="&amp;Settings!$B$4,Raw_Events!$C:$C,"&lt;="&amp;Settings!$B$5))</f>
        <v/>
      </c>
      <c r="H252" s="3">
        <f>IF($A252="","",COUNTIFS(Raw_Events!$G:$G,"SEX",Raw_Events!$J:$J,$A252,Raw_Events!$C:$C,"&gt;="&amp;Settings!$B$4,Raw_Events!$C:$C,"&lt;="&amp;Settings!$B$5))</f>
        <v/>
      </c>
      <c r="I252" s="3">
        <f>IF($A252="","",COUNTIFS(Raw_Events!$G:$G,"PRO_CONTACT_ADDED",Raw_Events!$J:$J,$A252,Raw_Events!$C:$C,"&gt;="&amp;Settings!$B$4,Raw_Events!$C:$C,"&lt;="&amp;Settings!$B$5))</f>
        <v/>
      </c>
    </row>
    <row r="253" ht="15" customHeight="1">
      <c r="F253" s="3">
        <f>IF($A253="","",COUNTIFS(Raw_Events!$G:$G,"SOCIAL_MEET",Raw_Events!$J:$J,$A253,Raw_Events!$C:$C,"&gt;="&amp;Settings!$B$4,Raw_Events!$C:$C,"&lt;="&amp;Settings!$B$5))</f>
        <v/>
      </c>
      <c r="G253" s="3">
        <f>IF($A253="","",COUNTIFS(Raw_Events!$G:$G,"DATE",Raw_Events!$J:$J,$A253,Raw_Events!$C:$C,"&gt;="&amp;Settings!$B$4,Raw_Events!$C:$C,"&lt;="&amp;Settings!$B$5))</f>
        <v/>
      </c>
      <c r="H253" s="3">
        <f>IF($A253="","",COUNTIFS(Raw_Events!$G:$G,"SEX",Raw_Events!$J:$J,$A253,Raw_Events!$C:$C,"&gt;="&amp;Settings!$B$4,Raw_Events!$C:$C,"&lt;="&amp;Settings!$B$5))</f>
        <v/>
      </c>
      <c r="I253" s="3">
        <f>IF($A253="","",COUNTIFS(Raw_Events!$G:$G,"PRO_CONTACT_ADDED",Raw_Events!$J:$J,$A253,Raw_Events!$C:$C,"&gt;="&amp;Settings!$B$4,Raw_Events!$C:$C,"&lt;="&amp;Settings!$B$5))</f>
        <v/>
      </c>
    </row>
    <row r="254" ht="15" customHeight="1">
      <c r="F254" s="3">
        <f>IF($A254="","",COUNTIFS(Raw_Events!$G:$G,"SOCIAL_MEET",Raw_Events!$J:$J,$A254,Raw_Events!$C:$C,"&gt;="&amp;Settings!$B$4,Raw_Events!$C:$C,"&lt;="&amp;Settings!$B$5))</f>
        <v/>
      </c>
      <c r="G254" s="3">
        <f>IF($A254="","",COUNTIFS(Raw_Events!$G:$G,"DATE",Raw_Events!$J:$J,$A254,Raw_Events!$C:$C,"&gt;="&amp;Settings!$B$4,Raw_Events!$C:$C,"&lt;="&amp;Settings!$B$5))</f>
        <v/>
      </c>
      <c r="H254" s="3">
        <f>IF($A254="","",COUNTIFS(Raw_Events!$G:$G,"SEX",Raw_Events!$J:$J,$A254,Raw_Events!$C:$C,"&gt;="&amp;Settings!$B$4,Raw_Events!$C:$C,"&lt;="&amp;Settings!$B$5))</f>
        <v/>
      </c>
      <c r="I254" s="3">
        <f>IF($A254="","",COUNTIFS(Raw_Events!$G:$G,"PRO_CONTACT_ADDED",Raw_Events!$J:$J,$A254,Raw_Events!$C:$C,"&gt;="&amp;Settings!$B$4,Raw_Events!$C:$C,"&lt;="&amp;Settings!$B$5))</f>
        <v/>
      </c>
    </row>
    <row r="255" ht="15" customHeight="1">
      <c r="F255" s="3">
        <f>IF($A255="","",COUNTIFS(Raw_Events!$G:$G,"SOCIAL_MEET",Raw_Events!$J:$J,$A255,Raw_Events!$C:$C,"&gt;="&amp;Settings!$B$4,Raw_Events!$C:$C,"&lt;="&amp;Settings!$B$5))</f>
        <v/>
      </c>
      <c r="G255" s="3">
        <f>IF($A255="","",COUNTIFS(Raw_Events!$G:$G,"DATE",Raw_Events!$J:$J,$A255,Raw_Events!$C:$C,"&gt;="&amp;Settings!$B$4,Raw_Events!$C:$C,"&lt;="&amp;Settings!$B$5))</f>
        <v/>
      </c>
      <c r="H255" s="3">
        <f>IF($A255="","",COUNTIFS(Raw_Events!$G:$G,"SEX",Raw_Events!$J:$J,$A255,Raw_Events!$C:$C,"&gt;="&amp;Settings!$B$4,Raw_Events!$C:$C,"&lt;="&amp;Settings!$B$5))</f>
        <v/>
      </c>
      <c r="I255" s="3">
        <f>IF($A255="","",COUNTIFS(Raw_Events!$G:$G,"PRO_CONTACT_ADDED",Raw_Events!$J:$J,$A255,Raw_Events!$C:$C,"&gt;="&amp;Settings!$B$4,Raw_Events!$C:$C,"&lt;="&amp;Settings!$B$5))</f>
        <v/>
      </c>
    </row>
    <row r="256" ht="15" customHeight="1">
      <c r="F256" s="3">
        <f>IF($A256="","",COUNTIFS(Raw_Events!$G:$G,"SOCIAL_MEET",Raw_Events!$J:$J,$A256,Raw_Events!$C:$C,"&gt;="&amp;Settings!$B$4,Raw_Events!$C:$C,"&lt;="&amp;Settings!$B$5))</f>
        <v/>
      </c>
      <c r="G256" s="3">
        <f>IF($A256="","",COUNTIFS(Raw_Events!$G:$G,"DATE",Raw_Events!$J:$J,$A256,Raw_Events!$C:$C,"&gt;="&amp;Settings!$B$4,Raw_Events!$C:$C,"&lt;="&amp;Settings!$B$5))</f>
        <v/>
      </c>
      <c r="H256" s="3">
        <f>IF($A256="","",COUNTIFS(Raw_Events!$G:$G,"SEX",Raw_Events!$J:$J,$A256,Raw_Events!$C:$C,"&gt;="&amp;Settings!$B$4,Raw_Events!$C:$C,"&lt;="&amp;Settings!$B$5))</f>
        <v/>
      </c>
      <c r="I256" s="3">
        <f>IF($A256="","",COUNTIFS(Raw_Events!$G:$G,"PRO_CONTACT_ADDED",Raw_Events!$J:$J,$A256,Raw_Events!$C:$C,"&gt;="&amp;Settings!$B$4,Raw_Events!$C:$C,"&lt;="&amp;Settings!$B$5))</f>
        <v/>
      </c>
    </row>
    <row r="257" ht="15" customHeight="1">
      <c r="F257" s="3">
        <f>IF($A257="","",COUNTIFS(Raw_Events!$G:$G,"SOCIAL_MEET",Raw_Events!$J:$J,$A257,Raw_Events!$C:$C,"&gt;="&amp;Settings!$B$4,Raw_Events!$C:$C,"&lt;="&amp;Settings!$B$5))</f>
        <v/>
      </c>
      <c r="G257" s="3">
        <f>IF($A257="","",COUNTIFS(Raw_Events!$G:$G,"DATE",Raw_Events!$J:$J,$A257,Raw_Events!$C:$C,"&gt;="&amp;Settings!$B$4,Raw_Events!$C:$C,"&lt;="&amp;Settings!$B$5))</f>
        <v/>
      </c>
      <c r="H257" s="3">
        <f>IF($A257="","",COUNTIFS(Raw_Events!$G:$G,"SEX",Raw_Events!$J:$J,$A257,Raw_Events!$C:$C,"&gt;="&amp;Settings!$B$4,Raw_Events!$C:$C,"&lt;="&amp;Settings!$B$5))</f>
        <v/>
      </c>
      <c r="I257" s="3">
        <f>IF($A257="","",COUNTIFS(Raw_Events!$G:$G,"PRO_CONTACT_ADDED",Raw_Events!$J:$J,$A257,Raw_Events!$C:$C,"&gt;="&amp;Settings!$B$4,Raw_Events!$C:$C,"&lt;="&amp;Settings!$B$5))</f>
        <v/>
      </c>
    </row>
    <row r="258" ht="15" customHeight="1">
      <c r="F258" s="3">
        <f>IF($A258="","",COUNTIFS(Raw_Events!$G:$G,"SOCIAL_MEET",Raw_Events!$J:$J,$A258,Raw_Events!$C:$C,"&gt;="&amp;Settings!$B$4,Raw_Events!$C:$C,"&lt;="&amp;Settings!$B$5))</f>
        <v/>
      </c>
      <c r="G258" s="3">
        <f>IF($A258="","",COUNTIFS(Raw_Events!$G:$G,"DATE",Raw_Events!$J:$J,$A258,Raw_Events!$C:$C,"&gt;="&amp;Settings!$B$4,Raw_Events!$C:$C,"&lt;="&amp;Settings!$B$5))</f>
        <v/>
      </c>
      <c r="H258" s="3">
        <f>IF($A258="","",COUNTIFS(Raw_Events!$G:$G,"SEX",Raw_Events!$J:$J,$A258,Raw_Events!$C:$C,"&gt;="&amp;Settings!$B$4,Raw_Events!$C:$C,"&lt;="&amp;Settings!$B$5))</f>
        <v/>
      </c>
      <c r="I258" s="3">
        <f>IF($A258="","",COUNTIFS(Raw_Events!$G:$G,"PRO_CONTACT_ADDED",Raw_Events!$J:$J,$A258,Raw_Events!$C:$C,"&gt;="&amp;Settings!$B$4,Raw_Events!$C:$C,"&lt;="&amp;Settings!$B$5))</f>
        <v/>
      </c>
    </row>
    <row r="259" ht="15" customHeight="1">
      <c r="F259" s="3">
        <f>IF($A259="","",COUNTIFS(Raw_Events!$G:$G,"SOCIAL_MEET",Raw_Events!$J:$J,$A259,Raw_Events!$C:$C,"&gt;="&amp;Settings!$B$4,Raw_Events!$C:$C,"&lt;="&amp;Settings!$B$5))</f>
        <v/>
      </c>
      <c r="G259" s="3">
        <f>IF($A259="","",COUNTIFS(Raw_Events!$G:$G,"DATE",Raw_Events!$J:$J,$A259,Raw_Events!$C:$C,"&gt;="&amp;Settings!$B$4,Raw_Events!$C:$C,"&lt;="&amp;Settings!$B$5))</f>
        <v/>
      </c>
      <c r="H259" s="3">
        <f>IF($A259="","",COUNTIFS(Raw_Events!$G:$G,"SEX",Raw_Events!$J:$J,$A259,Raw_Events!$C:$C,"&gt;="&amp;Settings!$B$4,Raw_Events!$C:$C,"&lt;="&amp;Settings!$B$5))</f>
        <v/>
      </c>
      <c r="I259" s="3">
        <f>IF($A259="","",COUNTIFS(Raw_Events!$G:$G,"PRO_CONTACT_ADDED",Raw_Events!$J:$J,$A259,Raw_Events!$C:$C,"&gt;="&amp;Settings!$B$4,Raw_Events!$C:$C,"&lt;="&amp;Settings!$B$5))</f>
        <v/>
      </c>
    </row>
    <row r="260" ht="15" customHeight="1">
      <c r="F260" s="3">
        <f>IF($A260="","",COUNTIFS(Raw_Events!$G:$G,"SOCIAL_MEET",Raw_Events!$J:$J,$A260,Raw_Events!$C:$C,"&gt;="&amp;Settings!$B$4,Raw_Events!$C:$C,"&lt;="&amp;Settings!$B$5))</f>
        <v/>
      </c>
      <c r="G260" s="3">
        <f>IF($A260="","",COUNTIFS(Raw_Events!$G:$G,"DATE",Raw_Events!$J:$J,$A260,Raw_Events!$C:$C,"&gt;="&amp;Settings!$B$4,Raw_Events!$C:$C,"&lt;="&amp;Settings!$B$5))</f>
        <v/>
      </c>
      <c r="H260" s="3">
        <f>IF($A260="","",COUNTIFS(Raw_Events!$G:$G,"SEX",Raw_Events!$J:$J,$A260,Raw_Events!$C:$C,"&gt;="&amp;Settings!$B$4,Raw_Events!$C:$C,"&lt;="&amp;Settings!$B$5))</f>
        <v/>
      </c>
      <c r="I260" s="3">
        <f>IF($A260="","",COUNTIFS(Raw_Events!$G:$G,"PRO_CONTACT_ADDED",Raw_Events!$J:$J,$A260,Raw_Events!$C:$C,"&gt;="&amp;Settings!$B$4,Raw_Events!$C:$C,"&lt;="&amp;Settings!$B$5))</f>
        <v/>
      </c>
    </row>
    <row r="261" ht="15" customHeight="1">
      <c r="F261" s="3">
        <f>IF($A261="","",COUNTIFS(Raw_Events!$G:$G,"SOCIAL_MEET",Raw_Events!$J:$J,$A261,Raw_Events!$C:$C,"&gt;="&amp;Settings!$B$4,Raw_Events!$C:$C,"&lt;="&amp;Settings!$B$5))</f>
        <v/>
      </c>
      <c r="G261" s="3">
        <f>IF($A261="","",COUNTIFS(Raw_Events!$G:$G,"DATE",Raw_Events!$J:$J,$A261,Raw_Events!$C:$C,"&gt;="&amp;Settings!$B$4,Raw_Events!$C:$C,"&lt;="&amp;Settings!$B$5))</f>
        <v/>
      </c>
      <c r="H261" s="3">
        <f>IF($A261="","",COUNTIFS(Raw_Events!$G:$G,"SEX",Raw_Events!$J:$J,$A261,Raw_Events!$C:$C,"&gt;="&amp;Settings!$B$4,Raw_Events!$C:$C,"&lt;="&amp;Settings!$B$5))</f>
        <v/>
      </c>
      <c r="I261" s="3">
        <f>IF($A261="","",COUNTIFS(Raw_Events!$G:$G,"PRO_CONTACT_ADDED",Raw_Events!$J:$J,$A261,Raw_Events!$C:$C,"&gt;="&amp;Settings!$B$4,Raw_Events!$C:$C,"&lt;="&amp;Settings!$B$5))</f>
        <v/>
      </c>
    </row>
    <row r="262" ht="15" customHeight="1">
      <c r="F262" s="3">
        <f>IF($A262="","",COUNTIFS(Raw_Events!$G:$G,"SOCIAL_MEET",Raw_Events!$J:$J,$A262,Raw_Events!$C:$C,"&gt;="&amp;Settings!$B$4,Raw_Events!$C:$C,"&lt;="&amp;Settings!$B$5))</f>
        <v/>
      </c>
      <c r="G262" s="3">
        <f>IF($A262="","",COUNTIFS(Raw_Events!$G:$G,"DATE",Raw_Events!$J:$J,$A262,Raw_Events!$C:$C,"&gt;="&amp;Settings!$B$4,Raw_Events!$C:$C,"&lt;="&amp;Settings!$B$5))</f>
        <v/>
      </c>
      <c r="H262" s="3">
        <f>IF($A262="","",COUNTIFS(Raw_Events!$G:$G,"SEX",Raw_Events!$J:$J,$A262,Raw_Events!$C:$C,"&gt;="&amp;Settings!$B$4,Raw_Events!$C:$C,"&lt;="&amp;Settings!$B$5))</f>
        <v/>
      </c>
      <c r="I262" s="3">
        <f>IF($A262="","",COUNTIFS(Raw_Events!$G:$G,"PRO_CONTACT_ADDED",Raw_Events!$J:$J,$A262,Raw_Events!$C:$C,"&gt;="&amp;Settings!$B$4,Raw_Events!$C:$C,"&lt;="&amp;Settings!$B$5))</f>
        <v/>
      </c>
    </row>
    <row r="263" ht="15" customHeight="1">
      <c r="F263" s="3">
        <f>IF($A263="","",COUNTIFS(Raw_Events!$G:$G,"SOCIAL_MEET",Raw_Events!$J:$J,$A263,Raw_Events!$C:$C,"&gt;="&amp;Settings!$B$4,Raw_Events!$C:$C,"&lt;="&amp;Settings!$B$5))</f>
        <v/>
      </c>
      <c r="G263" s="3">
        <f>IF($A263="","",COUNTIFS(Raw_Events!$G:$G,"DATE",Raw_Events!$J:$J,$A263,Raw_Events!$C:$C,"&gt;="&amp;Settings!$B$4,Raw_Events!$C:$C,"&lt;="&amp;Settings!$B$5))</f>
        <v/>
      </c>
      <c r="H263" s="3">
        <f>IF($A263="","",COUNTIFS(Raw_Events!$G:$G,"SEX",Raw_Events!$J:$J,$A263,Raw_Events!$C:$C,"&gt;="&amp;Settings!$B$4,Raw_Events!$C:$C,"&lt;="&amp;Settings!$B$5))</f>
        <v/>
      </c>
      <c r="I263" s="3">
        <f>IF($A263="","",COUNTIFS(Raw_Events!$G:$G,"PRO_CONTACT_ADDED",Raw_Events!$J:$J,$A263,Raw_Events!$C:$C,"&gt;="&amp;Settings!$B$4,Raw_Events!$C:$C,"&lt;="&amp;Settings!$B$5))</f>
        <v/>
      </c>
    </row>
    <row r="264" ht="15" customHeight="1">
      <c r="F264" s="3">
        <f>IF($A264="","",COUNTIFS(Raw_Events!$G:$G,"SOCIAL_MEET",Raw_Events!$J:$J,$A264,Raw_Events!$C:$C,"&gt;="&amp;Settings!$B$4,Raw_Events!$C:$C,"&lt;="&amp;Settings!$B$5))</f>
        <v/>
      </c>
      <c r="G264" s="3">
        <f>IF($A264="","",COUNTIFS(Raw_Events!$G:$G,"DATE",Raw_Events!$J:$J,$A264,Raw_Events!$C:$C,"&gt;="&amp;Settings!$B$4,Raw_Events!$C:$C,"&lt;="&amp;Settings!$B$5))</f>
        <v/>
      </c>
      <c r="H264" s="3">
        <f>IF($A264="","",COUNTIFS(Raw_Events!$G:$G,"SEX",Raw_Events!$J:$J,$A264,Raw_Events!$C:$C,"&gt;="&amp;Settings!$B$4,Raw_Events!$C:$C,"&lt;="&amp;Settings!$B$5))</f>
        <v/>
      </c>
      <c r="I264" s="3">
        <f>IF($A264="","",COUNTIFS(Raw_Events!$G:$G,"PRO_CONTACT_ADDED",Raw_Events!$J:$J,$A264,Raw_Events!$C:$C,"&gt;="&amp;Settings!$B$4,Raw_Events!$C:$C,"&lt;="&amp;Settings!$B$5))</f>
        <v/>
      </c>
    </row>
    <row r="265" ht="15" customHeight="1">
      <c r="F265" s="3">
        <f>IF($A265="","",COUNTIFS(Raw_Events!$G:$G,"SOCIAL_MEET",Raw_Events!$J:$J,$A265,Raw_Events!$C:$C,"&gt;="&amp;Settings!$B$4,Raw_Events!$C:$C,"&lt;="&amp;Settings!$B$5))</f>
        <v/>
      </c>
      <c r="G265" s="3">
        <f>IF($A265="","",COUNTIFS(Raw_Events!$G:$G,"DATE",Raw_Events!$J:$J,$A265,Raw_Events!$C:$C,"&gt;="&amp;Settings!$B$4,Raw_Events!$C:$C,"&lt;="&amp;Settings!$B$5))</f>
        <v/>
      </c>
      <c r="H265" s="3">
        <f>IF($A265="","",COUNTIFS(Raw_Events!$G:$G,"SEX",Raw_Events!$J:$J,$A265,Raw_Events!$C:$C,"&gt;="&amp;Settings!$B$4,Raw_Events!$C:$C,"&lt;="&amp;Settings!$B$5))</f>
        <v/>
      </c>
      <c r="I265" s="3">
        <f>IF($A265="","",COUNTIFS(Raw_Events!$G:$G,"PRO_CONTACT_ADDED",Raw_Events!$J:$J,$A265,Raw_Events!$C:$C,"&gt;="&amp;Settings!$B$4,Raw_Events!$C:$C,"&lt;="&amp;Settings!$B$5))</f>
        <v/>
      </c>
    </row>
    <row r="266" ht="15" customHeight="1">
      <c r="F266" s="3">
        <f>IF($A266="","",COUNTIFS(Raw_Events!$G:$G,"SOCIAL_MEET",Raw_Events!$J:$J,$A266,Raw_Events!$C:$C,"&gt;="&amp;Settings!$B$4,Raw_Events!$C:$C,"&lt;="&amp;Settings!$B$5))</f>
        <v/>
      </c>
      <c r="G266" s="3">
        <f>IF($A266="","",COUNTIFS(Raw_Events!$G:$G,"DATE",Raw_Events!$J:$J,$A266,Raw_Events!$C:$C,"&gt;="&amp;Settings!$B$4,Raw_Events!$C:$C,"&lt;="&amp;Settings!$B$5))</f>
        <v/>
      </c>
      <c r="H266" s="3">
        <f>IF($A266="","",COUNTIFS(Raw_Events!$G:$G,"SEX",Raw_Events!$J:$J,$A266,Raw_Events!$C:$C,"&gt;="&amp;Settings!$B$4,Raw_Events!$C:$C,"&lt;="&amp;Settings!$B$5))</f>
        <v/>
      </c>
      <c r="I266" s="3">
        <f>IF($A266="","",COUNTIFS(Raw_Events!$G:$G,"PRO_CONTACT_ADDED",Raw_Events!$J:$J,$A266,Raw_Events!$C:$C,"&gt;="&amp;Settings!$B$4,Raw_Events!$C:$C,"&lt;="&amp;Settings!$B$5))</f>
        <v/>
      </c>
    </row>
    <row r="267" ht="15" customHeight="1">
      <c r="F267" s="3">
        <f>IF($A267="","",COUNTIFS(Raw_Events!$G:$G,"SOCIAL_MEET",Raw_Events!$J:$J,$A267,Raw_Events!$C:$C,"&gt;="&amp;Settings!$B$4,Raw_Events!$C:$C,"&lt;="&amp;Settings!$B$5))</f>
        <v/>
      </c>
      <c r="G267" s="3">
        <f>IF($A267="","",COUNTIFS(Raw_Events!$G:$G,"DATE",Raw_Events!$J:$J,$A267,Raw_Events!$C:$C,"&gt;="&amp;Settings!$B$4,Raw_Events!$C:$C,"&lt;="&amp;Settings!$B$5))</f>
        <v/>
      </c>
      <c r="H267" s="3">
        <f>IF($A267="","",COUNTIFS(Raw_Events!$G:$G,"SEX",Raw_Events!$J:$J,$A267,Raw_Events!$C:$C,"&gt;="&amp;Settings!$B$4,Raw_Events!$C:$C,"&lt;="&amp;Settings!$B$5))</f>
        <v/>
      </c>
      <c r="I267" s="3">
        <f>IF($A267="","",COUNTIFS(Raw_Events!$G:$G,"PRO_CONTACT_ADDED",Raw_Events!$J:$J,$A267,Raw_Events!$C:$C,"&gt;="&amp;Settings!$B$4,Raw_Events!$C:$C,"&lt;="&amp;Settings!$B$5))</f>
        <v/>
      </c>
    </row>
    <row r="268" ht="15" customHeight="1">
      <c r="F268" s="3">
        <f>IF($A268="","",COUNTIFS(Raw_Events!$G:$G,"SOCIAL_MEET",Raw_Events!$J:$J,$A268,Raw_Events!$C:$C,"&gt;="&amp;Settings!$B$4,Raw_Events!$C:$C,"&lt;="&amp;Settings!$B$5))</f>
        <v/>
      </c>
      <c r="G268" s="3">
        <f>IF($A268="","",COUNTIFS(Raw_Events!$G:$G,"DATE",Raw_Events!$J:$J,$A268,Raw_Events!$C:$C,"&gt;="&amp;Settings!$B$4,Raw_Events!$C:$C,"&lt;="&amp;Settings!$B$5))</f>
        <v/>
      </c>
      <c r="H268" s="3">
        <f>IF($A268="","",COUNTIFS(Raw_Events!$G:$G,"SEX",Raw_Events!$J:$J,$A268,Raw_Events!$C:$C,"&gt;="&amp;Settings!$B$4,Raw_Events!$C:$C,"&lt;="&amp;Settings!$B$5))</f>
        <v/>
      </c>
      <c r="I268" s="3">
        <f>IF($A268="","",COUNTIFS(Raw_Events!$G:$G,"PRO_CONTACT_ADDED",Raw_Events!$J:$J,$A268,Raw_Events!$C:$C,"&gt;="&amp;Settings!$B$4,Raw_Events!$C:$C,"&lt;="&amp;Settings!$B$5))</f>
        <v/>
      </c>
    </row>
    <row r="269" ht="15" customHeight="1">
      <c r="F269" s="3">
        <f>IF($A269="","",COUNTIFS(Raw_Events!$G:$G,"SOCIAL_MEET",Raw_Events!$J:$J,$A269,Raw_Events!$C:$C,"&gt;="&amp;Settings!$B$4,Raw_Events!$C:$C,"&lt;="&amp;Settings!$B$5))</f>
        <v/>
      </c>
      <c r="G269" s="3">
        <f>IF($A269="","",COUNTIFS(Raw_Events!$G:$G,"DATE",Raw_Events!$J:$J,$A269,Raw_Events!$C:$C,"&gt;="&amp;Settings!$B$4,Raw_Events!$C:$C,"&lt;="&amp;Settings!$B$5))</f>
        <v/>
      </c>
      <c r="H269" s="3">
        <f>IF($A269="","",COUNTIFS(Raw_Events!$G:$G,"SEX",Raw_Events!$J:$J,$A269,Raw_Events!$C:$C,"&gt;="&amp;Settings!$B$4,Raw_Events!$C:$C,"&lt;="&amp;Settings!$B$5))</f>
        <v/>
      </c>
      <c r="I269" s="3">
        <f>IF($A269="","",COUNTIFS(Raw_Events!$G:$G,"PRO_CONTACT_ADDED",Raw_Events!$J:$J,$A269,Raw_Events!$C:$C,"&gt;="&amp;Settings!$B$4,Raw_Events!$C:$C,"&lt;="&amp;Settings!$B$5))</f>
        <v/>
      </c>
    </row>
    <row r="270" ht="15" customHeight="1">
      <c r="F270" s="3">
        <f>IF($A270="","",COUNTIFS(Raw_Events!$G:$G,"SOCIAL_MEET",Raw_Events!$J:$J,$A270,Raw_Events!$C:$C,"&gt;="&amp;Settings!$B$4,Raw_Events!$C:$C,"&lt;="&amp;Settings!$B$5))</f>
        <v/>
      </c>
      <c r="G270" s="3">
        <f>IF($A270="","",COUNTIFS(Raw_Events!$G:$G,"DATE",Raw_Events!$J:$J,$A270,Raw_Events!$C:$C,"&gt;="&amp;Settings!$B$4,Raw_Events!$C:$C,"&lt;="&amp;Settings!$B$5))</f>
        <v/>
      </c>
      <c r="H270" s="3">
        <f>IF($A270="","",COUNTIFS(Raw_Events!$G:$G,"SEX",Raw_Events!$J:$J,$A270,Raw_Events!$C:$C,"&gt;="&amp;Settings!$B$4,Raw_Events!$C:$C,"&lt;="&amp;Settings!$B$5))</f>
        <v/>
      </c>
      <c r="I270" s="3">
        <f>IF($A270="","",COUNTIFS(Raw_Events!$G:$G,"PRO_CONTACT_ADDED",Raw_Events!$J:$J,$A270,Raw_Events!$C:$C,"&gt;="&amp;Settings!$B$4,Raw_Events!$C:$C,"&lt;="&amp;Settings!$B$5))</f>
        <v/>
      </c>
    </row>
    <row r="271" ht="15" customHeight="1">
      <c r="F271" s="3">
        <f>IF($A271="","",COUNTIFS(Raw_Events!$G:$G,"SOCIAL_MEET",Raw_Events!$J:$J,$A271,Raw_Events!$C:$C,"&gt;="&amp;Settings!$B$4,Raw_Events!$C:$C,"&lt;="&amp;Settings!$B$5))</f>
        <v/>
      </c>
      <c r="G271" s="3">
        <f>IF($A271="","",COUNTIFS(Raw_Events!$G:$G,"DATE",Raw_Events!$J:$J,$A271,Raw_Events!$C:$C,"&gt;="&amp;Settings!$B$4,Raw_Events!$C:$C,"&lt;="&amp;Settings!$B$5))</f>
        <v/>
      </c>
      <c r="H271" s="3">
        <f>IF($A271="","",COUNTIFS(Raw_Events!$G:$G,"SEX",Raw_Events!$J:$J,$A271,Raw_Events!$C:$C,"&gt;="&amp;Settings!$B$4,Raw_Events!$C:$C,"&lt;="&amp;Settings!$B$5))</f>
        <v/>
      </c>
      <c r="I271" s="3">
        <f>IF($A271="","",COUNTIFS(Raw_Events!$G:$G,"PRO_CONTACT_ADDED",Raw_Events!$J:$J,$A271,Raw_Events!$C:$C,"&gt;="&amp;Settings!$B$4,Raw_Events!$C:$C,"&lt;="&amp;Settings!$B$5))</f>
        <v/>
      </c>
    </row>
    <row r="272" ht="15" customHeight="1">
      <c r="F272" s="3">
        <f>IF($A272="","",COUNTIFS(Raw_Events!$G:$G,"SOCIAL_MEET",Raw_Events!$J:$J,$A272,Raw_Events!$C:$C,"&gt;="&amp;Settings!$B$4,Raw_Events!$C:$C,"&lt;="&amp;Settings!$B$5))</f>
        <v/>
      </c>
      <c r="G272" s="3">
        <f>IF($A272="","",COUNTIFS(Raw_Events!$G:$G,"DATE",Raw_Events!$J:$J,$A272,Raw_Events!$C:$C,"&gt;="&amp;Settings!$B$4,Raw_Events!$C:$C,"&lt;="&amp;Settings!$B$5))</f>
        <v/>
      </c>
      <c r="H272" s="3">
        <f>IF($A272="","",COUNTIFS(Raw_Events!$G:$G,"SEX",Raw_Events!$J:$J,$A272,Raw_Events!$C:$C,"&gt;="&amp;Settings!$B$4,Raw_Events!$C:$C,"&lt;="&amp;Settings!$B$5))</f>
        <v/>
      </c>
      <c r="I272" s="3">
        <f>IF($A272="","",COUNTIFS(Raw_Events!$G:$G,"PRO_CONTACT_ADDED",Raw_Events!$J:$J,$A272,Raw_Events!$C:$C,"&gt;="&amp;Settings!$B$4,Raw_Events!$C:$C,"&lt;="&amp;Settings!$B$5))</f>
        <v/>
      </c>
    </row>
    <row r="273" ht="15" customHeight="1">
      <c r="F273" s="3">
        <f>IF($A273="","",COUNTIFS(Raw_Events!$G:$G,"SOCIAL_MEET",Raw_Events!$J:$J,$A273,Raw_Events!$C:$C,"&gt;="&amp;Settings!$B$4,Raw_Events!$C:$C,"&lt;="&amp;Settings!$B$5))</f>
        <v/>
      </c>
      <c r="G273" s="3">
        <f>IF($A273="","",COUNTIFS(Raw_Events!$G:$G,"DATE",Raw_Events!$J:$J,$A273,Raw_Events!$C:$C,"&gt;="&amp;Settings!$B$4,Raw_Events!$C:$C,"&lt;="&amp;Settings!$B$5))</f>
        <v/>
      </c>
      <c r="H273" s="3">
        <f>IF($A273="","",COUNTIFS(Raw_Events!$G:$G,"SEX",Raw_Events!$J:$J,$A273,Raw_Events!$C:$C,"&gt;="&amp;Settings!$B$4,Raw_Events!$C:$C,"&lt;="&amp;Settings!$B$5))</f>
        <v/>
      </c>
      <c r="I273" s="3">
        <f>IF($A273="","",COUNTIFS(Raw_Events!$G:$G,"PRO_CONTACT_ADDED",Raw_Events!$J:$J,$A273,Raw_Events!$C:$C,"&gt;="&amp;Settings!$B$4,Raw_Events!$C:$C,"&lt;="&amp;Settings!$B$5))</f>
        <v/>
      </c>
    </row>
    <row r="274" ht="15" customHeight="1">
      <c r="F274" s="3">
        <f>IF($A274="","",COUNTIFS(Raw_Events!$G:$G,"SOCIAL_MEET",Raw_Events!$J:$J,$A274,Raw_Events!$C:$C,"&gt;="&amp;Settings!$B$4,Raw_Events!$C:$C,"&lt;="&amp;Settings!$B$5))</f>
        <v/>
      </c>
      <c r="G274" s="3">
        <f>IF($A274="","",COUNTIFS(Raw_Events!$G:$G,"DATE",Raw_Events!$J:$J,$A274,Raw_Events!$C:$C,"&gt;="&amp;Settings!$B$4,Raw_Events!$C:$C,"&lt;="&amp;Settings!$B$5))</f>
        <v/>
      </c>
      <c r="H274" s="3">
        <f>IF($A274="","",COUNTIFS(Raw_Events!$G:$G,"SEX",Raw_Events!$J:$J,$A274,Raw_Events!$C:$C,"&gt;="&amp;Settings!$B$4,Raw_Events!$C:$C,"&lt;="&amp;Settings!$B$5))</f>
        <v/>
      </c>
      <c r="I274" s="3">
        <f>IF($A274="","",COUNTIFS(Raw_Events!$G:$G,"PRO_CONTACT_ADDED",Raw_Events!$J:$J,$A274,Raw_Events!$C:$C,"&gt;="&amp;Settings!$B$4,Raw_Events!$C:$C,"&lt;="&amp;Settings!$B$5))</f>
        <v/>
      </c>
    </row>
    <row r="275" ht="15" customHeight="1">
      <c r="F275" s="3">
        <f>IF($A275="","",COUNTIFS(Raw_Events!$G:$G,"SOCIAL_MEET",Raw_Events!$J:$J,$A275,Raw_Events!$C:$C,"&gt;="&amp;Settings!$B$4,Raw_Events!$C:$C,"&lt;="&amp;Settings!$B$5))</f>
        <v/>
      </c>
      <c r="G275" s="3">
        <f>IF($A275="","",COUNTIFS(Raw_Events!$G:$G,"DATE",Raw_Events!$J:$J,$A275,Raw_Events!$C:$C,"&gt;="&amp;Settings!$B$4,Raw_Events!$C:$C,"&lt;="&amp;Settings!$B$5))</f>
        <v/>
      </c>
      <c r="H275" s="3">
        <f>IF($A275="","",COUNTIFS(Raw_Events!$G:$G,"SEX",Raw_Events!$J:$J,$A275,Raw_Events!$C:$C,"&gt;="&amp;Settings!$B$4,Raw_Events!$C:$C,"&lt;="&amp;Settings!$B$5))</f>
        <v/>
      </c>
      <c r="I275" s="3">
        <f>IF($A275="","",COUNTIFS(Raw_Events!$G:$G,"PRO_CONTACT_ADDED",Raw_Events!$J:$J,$A275,Raw_Events!$C:$C,"&gt;="&amp;Settings!$B$4,Raw_Events!$C:$C,"&lt;="&amp;Settings!$B$5))</f>
        <v/>
      </c>
    </row>
    <row r="276" ht="15" customHeight="1">
      <c r="F276" s="3">
        <f>IF($A276="","",COUNTIFS(Raw_Events!$G:$G,"SOCIAL_MEET",Raw_Events!$J:$J,$A276,Raw_Events!$C:$C,"&gt;="&amp;Settings!$B$4,Raw_Events!$C:$C,"&lt;="&amp;Settings!$B$5))</f>
        <v/>
      </c>
      <c r="G276" s="3">
        <f>IF($A276="","",COUNTIFS(Raw_Events!$G:$G,"DATE",Raw_Events!$J:$J,$A276,Raw_Events!$C:$C,"&gt;="&amp;Settings!$B$4,Raw_Events!$C:$C,"&lt;="&amp;Settings!$B$5))</f>
        <v/>
      </c>
      <c r="H276" s="3">
        <f>IF($A276="","",COUNTIFS(Raw_Events!$G:$G,"SEX",Raw_Events!$J:$J,$A276,Raw_Events!$C:$C,"&gt;="&amp;Settings!$B$4,Raw_Events!$C:$C,"&lt;="&amp;Settings!$B$5))</f>
        <v/>
      </c>
      <c r="I276" s="3">
        <f>IF($A276="","",COUNTIFS(Raw_Events!$G:$G,"PRO_CONTACT_ADDED",Raw_Events!$J:$J,$A276,Raw_Events!$C:$C,"&gt;="&amp;Settings!$B$4,Raw_Events!$C:$C,"&lt;="&amp;Settings!$B$5))</f>
        <v/>
      </c>
    </row>
    <row r="277" ht="15" customHeight="1">
      <c r="F277" s="3">
        <f>IF($A277="","",COUNTIFS(Raw_Events!$G:$G,"SOCIAL_MEET",Raw_Events!$J:$J,$A277,Raw_Events!$C:$C,"&gt;="&amp;Settings!$B$4,Raw_Events!$C:$C,"&lt;="&amp;Settings!$B$5))</f>
        <v/>
      </c>
      <c r="G277" s="3">
        <f>IF($A277="","",COUNTIFS(Raw_Events!$G:$G,"DATE",Raw_Events!$J:$J,$A277,Raw_Events!$C:$C,"&gt;="&amp;Settings!$B$4,Raw_Events!$C:$C,"&lt;="&amp;Settings!$B$5))</f>
        <v/>
      </c>
      <c r="H277" s="3">
        <f>IF($A277="","",COUNTIFS(Raw_Events!$G:$G,"SEX",Raw_Events!$J:$J,$A277,Raw_Events!$C:$C,"&gt;="&amp;Settings!$B$4,Raw_Events!$C:$C,"&lt;="&amp;Settings!$B$5))</f>
        <v/>
      </c>
      <c r="I277" s="3">
        <f>IF($A277="","",COUNTIFS(Raw_Events!$G:$G,"PRO_CONTACT_ADDED",Raw_Events!$J:$J,$A277,Raw_Events!$C:$C,"&gt;="&amp;Settings!$B$4,Raw_Events!$C:$C,"&lt;="&amp;Settings!$B$5))</f>
        <v/>
      </c>
    </row>
    <row r="278" ht="15" customHeight="1">
      <c r="F278" s="3">
        <f>IF($A278="","",COUNTIFS(Raw_Events!$G:$G,"SOCIAL_MEET",Raw_Events!$J:$J,$A278,Raw_Events!$C:$C,"&gt;="&amp;Settings!$B$4,Raw_Events!$C:$C,"&lt;="&amp;Settings!$B$5))</f>
        <v/>
      </c>
      <c r="G278" s="3">
        <f>IF($A278="","",COUNTIFS(Raw_Events!$G:$G,"DATE",Raw_Events!$J:$J,$A278,Raw_Events!$C:$C,"&gt;="&amp;Settings!$B$4,Raw_Events!$C:$C,"&lt;="&amp;Settings!$B$5))</f>
        <v/>
      </c>
      <c r="H278" s="3">
        <f>IF($A278="","",COUNTIFS(Raw_Events!$G:$G,"SEX",Raw_Events!$J:$J,$A278,Raw_Events!$C:$C,"&gt;="&amp;Settings!$B$4,Raw_Events!$C:$C,"&lt;="&amp;Settings!$B$5))</f>
        <v/>
      </c>
      <c r="I278" s="3">
        <f>IF($A278="","",COUNTIFS(Raw_Events!$G:$G,"PRO_CONTACT_ADDED",Raw_Events!$J:$J,$A278,Raw_Events!$C:$C,"&gt;="&amp;Settings!$B$4,Raw_Events!$C:$C,"&lt;="&amp;Settings!$B$5))</f>
        <v/>
      </c>
    </row>
    <row r="279" ht="15" customHeight="1">
      <c r="F279" s="3">
        <f>IF($A279="","",COUNTIFS(Raw_Events!$G:$G,"SOCIAL_MEET",Raw_Events!$J:$J,$A279,Raw_Events!$C:$C,"&gt;="&amp;Settings!$B$4,Raw_Events!$C:$C,"&lt;="&amp;Settings!$B$5))</f>
        <v/>
      </c>
      <c r="G279" s="3">
        <f>IF($A279="","",COUNTIFS(Raw_Events!$G:$G,"DATE",Raw_Events!$J:$J,$A279,Raw_Events!$C:$C,"&gt;="&amp;Settings!$B$4,Raw_Events!$C:$C,"&lt;="&amp;Settings!$B$5))</f>
        <v/>
      </c>
      <c r="H279" s="3">
        <f>IF($A279="","",COUNTIFS(Raw_Events!$G:$G,"SEX",Raw_Events!$J:$J,$A279,Raw_Events!$C:$C,"&gt;="&amp;Settings!$B$4,Raw_Events!$C:$C,"&lt;="&amp;Settings!$B$5))</f>
        <v/>
      </c>
      <c r="I279" s="3">
        <f>IF($A279="","",COUNTIFS(Raw_Events!$G:$G,"PRO_CONTACT_ADDED",Raw_Events!$J:$J,$A279,Raw_Events!$C:$C,"&gt;="&amp;Settings!$B$4,Raw_Events!$C:$C,"&lt;="&amp;Settings!$B$5))</f>
        <v/>
      </c>
    </row>
    <row r="280" ht="15" customHeight="1">
      <c r="F280" s="3">
        <f>IF($A280="","",COUNTIFS(Raw_Events!$G:$G,"SOCIAL_MEET",Raw_Events!$J:$J,$A280,Raw_Events!$C:$C,"&gt;="&amp;Settings!$B$4,Raw_Events!$C:$C,"&lt;="&amp;Settings!$B$5))</f>
        <v/>
      </c>
      <c r="G280" s="3">
        <f>IF($A280="","",COUNTIFS(Raw_Events!$G:$G,"DATE",Raw_Events!$J:$J,$A280,Raw_Events!$C:$C,"&gt;="&amp;Settings!$B$4,Raw_Events!$C:$C,"&lt;="&amp;Settings!$B$5))</f>
        <v/>
      </c>
      <c r="H280" s="3">
        <f>IF($A280="","",COUNTIFS(Raw_Events!$G:$G,"SEX",Raw_Events!$J:$J,$A280,Raw_Events!$C:$C,"&gt;="&amp;Settings!$B$4,Raw_Events!$C:$C,"&lt;="&amp;Settings!$B$5))</f>
        <v/>
      </c>
      <c r="I280" s="3">
        <f>IF($A280="","",COUNTIFS(Raw_Events!$G:$G,"PRO_CONTACT_ADDED",Raw_Events!$J:$J,$A280,Raw_Events!$C:$C,"&gt;="&amp;Settings!$B$4,Raw_Events!$C:$C,"&lt;="&amp;Settings!$B$5))</f>
        <v/>
      </c>
    </row>
    <row r="281" ht="15" customHeight="1">
      <c r="F281" s="3">
        <f>IF($A281="","",COUNTIFS(Raw_Events!$G:$G,"SOCIAL_MEET",Raw_Events!$J:$J,$A281,Raw_Events!$C:$C,"&gt;="&amp;Settings!$B$4,Raw_Events!$C:$C,"&lt;="&amp;Settings!$B$5))</f>
        <v/>
      </c>
      <c r="G281" s="3">
        <f>IF($A281="","",COUNTIFS(Raw_Events!$G:$G,"DATE",Raw_Events!$J:$J,$A281,Raw_Events!$C:$C,"&gt;="&amp;Settings!$B$4,Raw_Events!$C:$C,"&lt;="&amp;Settings!$B$5))</f>
        <v/>
      </c>
      <c r="H281" s="3">
        <f>IF($A281="","",COUNTIFS(Raw_Events!$G:$G,"SEX",Raw_Events!$J:$J,$A281,Raw_Events!$C:$C,"&gt;="&amp;Settings!$B$4,Raw_Events!$C:$C,"&lt;="&amp;Settings!$B$5))</f>
        <v/>
      </c>
      <c r="I281" s="3">
        <f>IF($A281="","",COUNTIFS(Raw_Events!$G:$G,"PRO_CONTACT_ADDED",Raw_Events!$J:$J,$A281,Raw_Events!$C:$C,"&gt;="&amp;Settings!$B$4,Raw_Events!$C:$C,"&lt;="&amp;Settings!$B$5))</f>
        <v/>
      </c>
    </row>
    <row r="282" ht="15" customHeight="1">
      <c r="F282" s="3">
        <f>IF($A282="","",COUNTIFS(Raw_Events!$G:$G,"SOCIAL_MEET",Raw_Events!$J:$J,$A282,Raw_Events!$C:$C,"&gt;="&amp;Settings!$B$4,Raw_Events!$C:$C,"&lt;="&amp;Settings!$B$5))</f>
        <v/>
      </c>
      <c r="G282" s="3">
        <f>IF($A282="","",COUNTIFS(Raw_Events!$G:$G,"DATE",Raw_Events!$J:$J,$A282,Raw_Events!$C:$C,"&gt;="&amp;Settings!$B$4,Raw_Events!$C:$C,"&lt;="&amp;Settings!$B$5))</f>
        <v/>
      </c>
      <c r="H282" s="3">
        <f>IF($A282="","",COUNTIFS(Raw_Events!$G:$G,"SEX",Raw_Events!$J:$J,$A282,Raw_Events!$C:$C,"&gt;="&amp;Settings!$B$4,Raw_Events!$C:$C,"&lt;="&amp;Settings!$B$5))</f>
        <v/>
      </c>
      <c r="I282" s="3">
        <f>IF($A282="","",COUNTIFS(Raw_Events!$G:$G,"PRO_CONTACT_ADDED",Raw_Events!$J:$J,$A282,Raw_Events!$C:$C,"&gt;="&amp;Settings!$B$4,Raw_Events!$C:$C,"&lt;="&amp;Settings!$B$5))</f>
        <v/>
      </c>
    </row>
    <row r="283" ht="15" customHeight="1">
      <c r="F283" s="3">
        <f>IF($A283="","",COUNTIFS(Raw_Events!$G:$G,"SOCIAL_MEET",Raw_Events!$J:$J,$A283,Raw_Events!$C:$C,"&gt;="&amp;Settings!$B$4,Raw_Events!$C:$C,"&lt;="&amp;Settings!$B$5))</f>
        <v/>
      </c>
      <c r="G283" s="3">
        <f>IF($A283="","",COUNTIFS(Raw_Events!$G:$G,"DATE",Raw_Events!$J:$J,$A283,Raw_Events!$C:$C,"&gt;="&amp;Settings!$B$4,Raw_Events!$C:$C,"&lt;="&amp;Settings!$B$5))</f>
        <v/>
      </c>
      <c r="H283" s="3">
        <f>IF($A283="","",COUNTIFS(Raw_Events!$G:$G,"SEX",Raw_Events!$J:$J,$A283,Raw_Events!$C:$C,"&gt;="&amp;Settings!$B$4,Raw_Events!$C:$C,"&lt;="&amp;Settings!$B$5))</f>
        <v/>
      </c>
      <c r="I283" s="3">
        <f>IF($A283="","",COUNTIFS(Raw_Events!$G:$G,"PRO_CONTACT_ADDED",Raw_Events!$J:$J,$A283,Raw_Events!$C:$C,"&gt;="&amp;Settings!$B$4,Raw_Events!$C:$C,"&lt;="&amp;Settings!$B$5))</f>
        <v/>
      </c>
    </row>
    <row r="284" ht="15" customHeight="1">
      <c r="F284" s="3">
        <f>IF($A284="","",COUNTIFS(Raw_Events!$G:$G,"SOCIAL_MEET",Raw_Events!$J:$J,$A284,Raw_Events!$C:$C,"&gt;="&amp;Settings!$B$4,Raw_Events!$C:$C,"&lt;="&amp;Settings!$B$5))</f>
        <v/>
      </c>
      <c r="G284" s="3">
        <f>IF($A284="","",COUNTIFS(Raw_Events!$G:$G,"DATE",Raw_Events!$J:$J,$A284,Raw_Events!$C:$C,"&gt;="&amp;Settings!$B$4,Raw_Events!$C:$C,"&lt;="&amp;Settings!$B$5))</f>
        <v/>
      </c>
      <c r="H284" s="3">
        <f>IF($A284="","",COUNTIFS(Raw_Events!$G:$G,"SEX",Raw_Events!$J:$J,$A284,Raw_Events!$C:$C,"&gt;="&amp;Settings!$B$4,Raw_Events!$C:$C,"&lt;="&amp;Settings!$B$5))</f>
        <v/>
      </c>
      <c r="I284" s="3">
        <f>IF($A284="","",COUNTIFS(Raw_Events!$G:$G,"PRO_CONTACT_ADDED",Raw_Events!$J:$J,$A284,Raw_Events!$C:$C,"&gt;="&amp;Settings!$B$4,Raw_Events!$C:$C,"&lt;="&amp;Settings!$B$5))</f>
        <v/>
      </c>
    </row>
    <row r="285" ht="15" customHeight="1">
      <c r="F285" s="3">
        <f>IF($A285="","",COUNTIFS(Raw_Events!$G:$G,"SOCIAL_MEET",Raw_Events!$J:$J,$A285,Raw_Events!$C:$C,"&gt;="&amp;Settings!$B$4,Raw_Events!$C:$C,"&lt;="&amp;Settings!$B$5))</f>
        <v/>
      </c>
      <c r="G285" s="3">
        <f>IF($A285="","",COUNTIFS(Raw_Events!$G:$G,"DATE",Raw_Events!$J:$J,$A285,Raw_Events!$C:$C,"&gt;="&amp;Settings!$B$4,Raw_Events!$C:$C,"&lt;="&amp;Settings!$B$5))</f>
        <v/>
      </c>
      <c r="H285" s="3">
        <f>IF($A285="","",COUNTIFS(Raw_Events!$G:$G,"SEX",Raw_Events!$J:$J,$A285,Raw_Events!$C:$C,"&gt;="&amp;Settings!$B$4,Raw_Events!$C:$C,"&lt;="&amp;Settings!$B$5))</f>
        <v/>
      </c>
      <c r="I285" s="3">
        <f>IF($A285="","",COUNTIFS(Raw_Events!$G:$G,"PRO_CONTACT_ADDED",Raw_Events!$J:$J,$A285,Raw_Events!$C:$C,"&gt;="&amp;Settings!$B$4,Raw_Events!$C:$C,"&lt;="&amp;Settings!$B$5))</f>
        <v/>
      </c>
    </row>
    <row r="286" ht="15" customHeight="1">
      <c r="F286" s="3">
        <f>IF($A286="","",COUNTIFS(Raw_Events!$G:$G,"SOCIAL_MEET",Raw_Events!$J:$J,$A286,Raw_Events!$C:$C,"&gt;="&amp;Settings!$B$4,Raw_Events!$C:$C,"&lt;="&amp;Settings!$B$5))</f>
        <v/>
      </c>
      <c r="G286" s="3">
        <f>IF($A286="","",COUNTIFS(Raw_Events!$G:$G,"DATE",Raw_Events!$J:$J,$A286,Raw_Events!$C:$C,"&gt;="&amp;Settings!$B$4,Raw_Events!$C:$C,"&lt;="&amp;Settings!$B$5))</f>
        <v/>
      </c>
      <c r="H286" s="3">
        <f>IF($A286="","",COUNTIFS(Raw_Events!$G:$G,"SEX",Raw_Events!$J:$J,$A286,Raw_Events!$C:$C,"&gt;="&amp;Settings!$B$4,Raw_Events!$C:$C,"&lt;="&amp;Settings!$B$5))</f>
        <v/>
      </c>
      <c r="I286" s="3">
        <f>IF($A286="","",COUNTIFS(Raw_Events!$G:$G,"PRO_CONTACT_ADDED",Raw_Events!$J:$J,$A286,Raw_Events!$C:$C,"&gt;="&amp;Settings!$B$4,Raw_Events!$C:$C,"&lt;="&amp;Settings!$B$5))</f>
        <v/>
      </c>
    </row>
    <row r="287" ht="15" customHeight="1">
      <c r="F287" s="3">
        <f>IF($A287="","",COUNTIFS(Raw_Events!$G:$G,"SOCIAL_MEET",Raw_Events!$J:$J,$A287,Raw_Events!$C:$C,"&gt;="&amp;Settings!$B$4,Raw_Events!$C:$C,"&lt;="&amp;Settings!$B$5))</f>
        <v/>
      </c>
      <c r="G287" s="3">
        <f>IF($A287="","",COUNTIFS(Raw_Events!$G:$G,"DATE",Raw_Events!$J:$J,$A287,Raw_Events!$C:$C,"&gt;="&amp;Settings!$B$4,Raw_Events!$C:$C,"&lt;="&amp;Settings!$B$5))</f>
        <v/>
      </c>
      <c r="H287" s="3">
        <f>IF($A287="","",COUNTIFS(Raw_Events!$G:$G,"SEX",Raw_Events!$J:$J,$A287,Raw_Events!$C:$C,"&gt;="&amp;Settings!$B$4,Raw_Events!$C:$C,"&lt;="&amp;Settings!$B$5))</f>
        <v/>
      </c>
      <c r="I287" s="3">
        <f>IF($A287="","",COUNTIFS(Raw_Events!$G:$G,"PRO_CONTACT_ADDED",Raw_Events!$J:$J,$A287,Raw_Events!$C:$C,"&gt;="&amp;Settings!$B$4,Raw_Events!$C:$C,"&lt;="&amp;Settings!$B$5))</f>
        <v/>
      </c>
    </row>
    <row r="288" ht="15" customHeight="1">
      <c r="F288" s="3">
        <f>IF($A288="","",COUNTIFS(Raw_Events!$G:$G,"SOCIAL_MEET",Raw_Events!$J:$J,$A288,Raw_Events!$C:$C,"&gt;="&amp;Settings!$B$4,Raw_Events!$C:$C,"&lt;="&amp;Settings!$B$5))</f>
        <v/>
      </c>
      <c r="G288" s="3">
        <f>IF($A288="","",COUNTIFS(Raw_Events!$G:$G,"DATE",Raw_Events!$J:$J,$A288,Raw_Events!$C:$C,"&gt;="&amp;Settings!$B$4,Raw_Events!$C:$C,"&lt;="&amp;Settings!$B$5))</f>
        <v/>
      </c>
      <c r="H288" s="3">
        <f>IF($A288="","",COUNTIFS(Raw_Events!$G:$G,"SEX",Raw_Events!$J:$J,$A288,Raw_Events!$C:$C,"&gt;="&amp;Settings!$B$4,Raw_Events!$C:$C,"&lt;="&amp;Settings!$B$5))</f>
        <v/>
      </c>
      <c r="I288" s="3">
        <f>IF($A288="","",COUNTIFS(Raw_Events!$G:$G,"PRO_CONTACT_ADDED",Raw_Events!$J:$J,$A288,Raw_Events!$C:$C,"&gt;="&amp;Settings!$B$4,Raw_Events!$C:$C,"&lt;="&amp;Settings!$B$5))</f>
        <v/>
      </c>
    </row>
    <row r="289" ht="15" customHeight="1">
      <c r="F289" s="3">
        <f>IF($A289="","",COUNTIFS(Raw_Events!$G:$G,"SOCIAL_MEET",Raw_Events!$J:$J,$A289,Raw_Events!$C:$C,"&gt;="&amp;Settings!$B$4,Raw_Events!$C:$C,"&lt;="&amp;Settings!$B$5))</f>
        <v/>
      </c>
      <c r="G289" s="3">
        <f>IF($A289="","",COUNTIFS(Raw_Events!$G:$G,"DATE",Raw_Events!$J:$J,$A289,Raw_Events!$C:$C,"&gt;="&amp;Settings!$B$4,Raw_Events!$C:$C,"&lt;="&amp;Settings!$B$5))</f>
        <v/>
      </c>
      <c r="H289" s="3">
        <f>IF($A289="","",COUNTIFS(Raw_Events!$G:$G,"SEX",Raw_Events!$J:$J,$A289,Raw_Events!$C:$C,"&gt;="&amp;Settings!$B$4,Raw_Events!$C:$C,"&lt;="&amp;Settings!$B$5))</f>
        <v/>
      </c>
      <c r="I289" s="3">
        <f>IF($A289="","",COUNTIFS(Raw_Events!$G:$G,"PRO_CONTACT_ADDED",Raw_Events!$J:$J,$A289,Raw_Events!$C:$C,"&gt;="&amp;Settings!$B$4,Raw_Events!$C:$C,"&lt;="&amp;Settings!$B$5))</f>
        <v/>
      </c>
    </row>
    <row r="290" ht="15" customHeight="1">
      <c r="F290" s="3">
        <f>IF($A290="","",COUNTIFS(Raw_Events!$G:$G,"SOCIAL_MEET",Raw_Events!$J:$J,$A290,Raw_Events!$C:$C,"&gt;="&amp;Settings!$B$4,Raw_Events!$C:$C,"&lt;="&amp;Settings!$B$5))</f>
        <v/>
      </c>
      <c r="G290" s="3">
        <f>IF($A290="","",COUNTIFS(Raw_Events!$G:$G,"DATE",Raw_Events!$J:$J,$A290,Raw_Events!$C:$C,"&gt;="&amp;Settings!$B$4,Raw_Events!$C:$C,"&lt;="&amp;Settings!$B$5))</f>
        <v/>
      </c>
      <c r="H290" s="3">
        <f>IF($A290="","",COUNTIFS(Raw_Events!$G:$G,"SEX",Raw_Events!$J:$J,$A290,Raw_Events!$C:$C,"&gt;="&amp;Settings!$B$4,Raw_Events!$C:$C,"&lt;="&amp;Settings!$B$5))</f>
        <v/>
      </c>
      <c r="I290" s="3">
        <f>IF($A290="","",COUNTIFS(Raw_Events!$G:$G,"PRO_CONTACT_ADDED",Raw_Events!$J:$J,$A290,Raw_Events!$C:$C,"&gt;="&amp;Settings!$B$4,Raw_Events!$C:$C,"&lt;="&amp;Settings!$B$5))</f>
        <v/>
      </c>
    </row>
    <row r="291" ht="15" customHeight="1">
      <c r="F291" s="3">
        <f>IF($A291="","",COUNTIFS(Raw_Events!$G:$G,"SOCIAL_MEET",Raw_Events!$J:$J,$A291,Raw_Events!$C:$C,"&gt;="&amp;Settings!$B$4,Raw_Events!$C:$C,"&lt;="&amp;Settings!$B$5))</f>
        <v/>
      </c>
      <c r="G291" s="3">
        <f>IF($A291="","",COUNTIFS(Raw_Events!$G:$G,"DATE",Raw_Events!$J:$J,$A291,Raw_Events!$C:$C,"&gt;="&amp;Settings!$B$4,Raw_Events!$C:$C,"&lt;="&amp;Settings!$B$5))</f>
        <v/>
      </c>
      <c r="H291" s="3">
        <f>IF($A291="","",COUNTIFS(Raw_Events!$G:$G,"SEX",Raw_Events!$J:$J,$A291,Raw_Events!$C:$C,"&gt;="&amp;Settings!$B$4,Raw_Events!$C:$C,"&lt;="&amp;Settings!$B$5))</f>
        <v/>
      </c>
      <c r="I291" s="3">
        <f>IF($A291="","",COUNTIFS(Raw_Events!$G:$G,"PRO_CONTACT_ADDED",Raw_Events!$J:$J,$A291,Raw_Events!$C:$C,"&gt;="&amp;Settings!$B$4,Raw_Events!$C:$C,"&lt;="&amp;Settings!$B$5))</f>
        <v/>
      </c>
    </row>
    <row r="292" ht="15" customHeight="1">
      <c r="F292" s="3">
        <f>IF($A292="","",COUNTIFS(Raw_Events!$G:$G,"SOCIAL_MEET",Raw_Events!$J:$J,$A292,Raw_Events!$C:$C,"&gt;="&amp;Settings!$B$4,Raw_Events!$C:$C,"&lt;="&amp;Settings!$B$5))</f>
        <v/>
      </c>
      <c r="G292" s="3">
        <f>IF($A292="","",COUNTIFS(Raw_Events!$G:$G,"DATE",Raw_Events!$J:$J,$A292,Raw_Events!$C:$C,"&gt;="&amp;Settings!$B$4,Raw_Events!$C:$C,"&lt;="&amp;Settings!$B$5))</f>
        <v/>
      </c>
      <c r="H292" s="3">
        <f>IF($A292="","",COUNTIFS(Raw_Events!$G:$G,"SEX",Raw_Events!$J:$J,$A292,Raw_Events!$C:$C,"&gt;="&amp;Settings!$B$4,Raw_Events!$C:$C,"&lt;="&amp;Settings!$B$5))</f>
        <v/>
      </c>
      <c r="I292" s="3">
        <f>IF($A292="","",COUNTIFS(Raw_Events!$G:$G,"PRO_CONTACT_ADDED",Raw_Events!$J:$J,$A292,Raw_Events!$C:$C,"&gt;="&amp;Settings!$B$4,Raw_Events!$C:$C,"&lt;="&amp;Settings!$B$5))</f>
        <v/>
      </c>
    </row>
    <row r="293" ht="15" customHeight="1">
      <c r="F293" s="3">
        <f>IF($A293="","",COUNTIFS(Raw_Events!$G:$G,"SOCIAL_MEET",Raw_Events!$J:$J,$A293,Raw_Events!$C:$C,"&gt;="&amp;Settings!$B$4,Raw_Events!$C:$C,"&lt;="&amp;Settings!$B$5))</f>
        <v/>
      </c>
      <c r="G293" s="3">
        <f>IF($A293="","",COUNTIFS(Raw_Events!$G:$G,"DATE",Raw_Events!$J:$J,$A293,Raw_Events!$C:$C,"&gt;="&amp;Settings!$B$4,Raw_Events!$C:$C,"&lt;="&amp;Settings!$B$5))</f>
        <v/>
      </c>
      <c r="H293" s="3">
        <f>IF($A293="","",COUNTIFS(Raw_Events!$G:$G,"SEX",Raw_Events!$J:$J,$A293,Raw_Events!$C:$C,"&gt;="&amp;Settings!$B$4,Raw_Events!$C:$C,"&lt;="&amp;Settings!$B$5))</f>
        <v/>
      </c>
      <c r="I293" s="3">
        <f>IF($A293="","",COUNTIFS(Raw_Events!$G:$G,"PRO_CONTACT_ADDED",Raw_Events!$J:$J,$A293,Raw_Events!$C:$C,"&gt;="&amp;Settings!$B$4,Raw_Events!$C:$C,"&lt;="&amp;Settings!$B$5))</f>
        <v/>
      </c>
    </row>
    <row r="294" ht="15" customHeight="1">
      <c r="F294" s="3">
        <f>IF($A294="","",COUNTIFS(Raw_Events!$G:$G,"SOCIAL_MEET",Raw_Events!$J:$J,$A294,Raw_Events!$C:$C,"&gt;="&amp;Settings!$B$4,Raw_Events!$C:$C,"&lt;="&amp;Settings!$B$5))</f>
        <v/>
      </c>
      <c r="G294" s="3">
        <f>IF($A294="","",COUNTIFS(Raw_Events!$G:$G,"DATE",Raw_Events!$J:$J,$A294,Raw_Events!$C:$C,"&gt;="&amp;Settings!$B$4,Raw_Events!$C:$C,"&lt;="&amp;Settings!$B$5))</f>
        <v/>
      </c>
      <c r="H294" s="3">
        <f>IF($A294="","",COUNTIFS(Raw_Events!$G:$G,"SEX",Raw_Events!$J:$J,$A294,Raw_Events!$C:$C,"&gt;="&amp;Settings!$B$4,Raw_Events!$C:$C,"&lt;="&amp;Settings!$B$5))</f>
        <v/>
      </c>
      <c r="I294" s="3">
        <f>IF($A294="","",COUNTIFS(Raw_Events!$G:$G,"PRO_CONTACT_ADDED",Raw_Events!$J:$J,$A294,Raw_Events!$C:$C,"&gt;="&amp;Settings!$B$4,Raw_Events!$C:$C,"&lt;="&amp;Settings!$B$5))</f>
        <v/>
      </c>
    </row>
    <row r="295" ht="15" customHeight="1">
      <c r="F295" s="3">
        <f>IF($A295="","",COUNTIFS(Raw_Events!$G:$G,"SOCIAL_MEET",Raw_Events!$J:$J,$A295,Raw_Events!$C:$C,"&gt;="&amp;Settings!$B$4,Raw_Events!$C:$C,"&lt;="&amp;Settings!$B$5))</f>
        <v/>
      </c>
      <c r="G295" s="3">
        <f>IF($A295="","",COUNTIFS(Raw_Events!$G:$G,"DATE",Raw_Events!$J:$J,$A295,Raw_Events!$C:$C,"&gt;="&amp;Settings!$B$4,Raw_Events!$C:$C,"&lt;="&amp;Settings!$B$5))</f>
        <v/>
      </c>
      <c r="H295" s="3">
        <f>IF($A295="","",COUNTIFS(Raw_Events!$G:$G,"SEX",Raw_Events!$J:$J,$A295,Raw_Events!$C:$C,"&gt;="&amp;Settings!$B$4,Raw_Events!$C:$C,"&lt;="&amp;Settings!$B$5))</f>
        <v/>
      </c>
      <c r="I295" s="3">
        <f>IF($A295="","",COUNTIFS(Raw_Events!$G:$G,"PRO_CONTACT_ADDED",Raw_Events!$J:$J,$A295,Raw_Events!$C:$C,"&gt;="&amp;Settings!$B$4,Raw_Events!$C:$C,"&lt;="&amp;Settings!$B$5))</f>
        <v/>
      </c>
    </row>
    <row r="296" ht="15" customHeight="1">
      <c r="F296" s="3">
        <f>IF($A296="","",COUNTIFS(Raw_Events!$G:$G,"SOCIAL_MEET",Raw_Events!$J:$J,$A296,Raw_Events!$C:$C,"&gt;="&amp;Settings!$B$4,Raw_Events!$C:$C,"&lt;="&amp;Settings!$B$5))</f>
        <v/>
      </c>
      <c r="G296" s="3">
        <f>IF($A296="","",COUNTIFS(Raw_Events!$G:$G,"DATE",Raw_Events!$J:$J,$A296,Raw_Events!$C:$C,"&gt;="&amp;Settings!$B$4,Raw_Events!$C:$C,"&lt;="&amp;Settings!$B$5))</f>
        <v/>
      </c>
      <c r="H296" s="3">
        <f>IF($A296="","",COUNTIFS(Raw_Events!$G:$G,"SEX",Raw_Events!$J:$J,$A296,Raw_Events!$C:$C,"&gt;="&amp;Settings!$B$4,Raw_Events!$C:$C,"&lt;="&amp;Settings!$B$5))</f>
        <v/>
      </c>
      <c r="I296" s="3">
        <f>IF($A296="","",COUNTIFS(Raw_Events!$G:$G,"PRO_CONTACT_ADDED",Raw_Events!$J:$J,$A296,Raw_Events!$C:$C,"&gt;="&amp;Settings!$B$4,Raw_Events!$C:$C,"&lt;="&amp;Settings!$B$5))</f>
        <v/>
      </c>
    </row>
    <row r="297" ht="15" customHeight="1">
      <c r="F297" s="3">
        <f>IF($A297="","",COUNTIFS(Raw_Events!$G:$G,"SOCIAL_MEET",Raw_Events!$J:$J,$A297,Raw_Events!$C:$C,"&gt;="&amp;Settings!$B$4,Raw_Events!$C:$C,"&lt;="&amp;Settings!$B$5))</f>
        <v/>
      </c>
      <c r="G297" s="3">
        <f>IF($A297="","",COUNTIFS(Raw_Events!$G:$G,"DATE",Raw_Events!$J:$J,$A297,Raw_Events!$C:$C,"&gt;="&amp;Settings!$B$4,Raw_Events!$C:$C,"&lt;="&amp;Settings!$B$5))</f>
        <v/>
      </c>
      <c r="H297" s="3">
        <f>IF($A297="","",COUNTIFS(Raw_Events!$G:$G,"SEX",Raw_Events!$J:$J,$A297,Raw_Events!$C:$C,"&gt;="&amp;Settings!$B$4,Raw_Events!$C:$C,"&lt;="&amp;Settings!$B$5))</f>
        <v/>
      </c>
      <c r="I297" s="3">
        <f>IF($A297="","",COUNTIFS(Raw_Events!$G:$G,"PRO_CONTACT_ADDED",Raw_Events!$J:$J,$A297,Raw_Events!$C:$C,"&gt;="&amp;Settings!$B$4,Raw_Events!$C:$C,"&lt;="&amp;Settings!$B$5))</f>
        <v/>
      </c>
    </row>
    <row r="298" ht="15" customHeight="1">
      <c r="F298" s="3">
        <f>IF($A298="","",COUNTIFS(Raw_Events!$G:$G,"SOCIAL_MEET",Raw_Events!$J:$J,$A298,Raw_Events!$C:$C,"&gt;="&amp;Settings!$B$4,Raw_Events!$C:$C,"&lt;="&amp;Settings!$B$5))</f>
        <v/>
      </c>
      <c r="G298" s="3">
        <f>IF($A298="","",COUNTIFS(Raw_Events!$G:$G,"DATE",Raw_Events!$J:$J,$A298,Raw_Events!$C:$C,"&gt;="&amp;Settings!$B$4,Raw_Events!$C:$C,"&lt;="&amp;Settings!$B$5))</f>
        <v/>
      </c>
      <c r="H298" s="3">
        <f>IF($A298="","",COUNTIFS(Raw_Events!$G:$G,"SEX",Raw_Events!$J:$J,$A298,Raw_Events!$C:$C,"&gt;="&amp;Settings!$B$4,Raw_Events!$C:$C,"&lt;="&amp;Settings!$B$5))</f>
        <v/>
      </c>
      <c r="I298" s="3">
        <f>IF($A298="","",COUNTIFS(Raw_Events!$G:$G,"PRO_CONTACT_ADDED",Raw_Events!$J:$J,$A298,Raw_Events!$C:$C,"&gt;="&amp;Settings!$B$4,Raw_Events!$C:$C,"&lt;="&amp;Settings!$B$5))</f>
        <v/>
      </c>
    </row>
    <row r="299" ht="15" customHeight="1">
      <c r="F299" s="3">
        <f>IF($A299="","",COUNTIFS(Raw_Events!$G:$G,"SOCIAL_MEET",Raw_Events!$J:$J,$A299,Raw_Events!$C:$C,"&gt;="&amp;Settings!$B$4,Raw_Events!$C:$C,"&lt;="&amp;Settings!$B$5))</f>
        <v/>
      </c>
      <c r="G299" s="3">
        <f>IF($A299="","",COUNTIFS(Raw_Events!$G:$G,"DATE",Raw_Events!$J:$J,$A299,Raw_Events!$C:$C,"&gt;="&amp;Settings!$B$4,Raw_Events!$C:$C,"&lt;="&amp;Settings!$B$5))</f>
        <v/>
      </c>
      <c r="H299" s="3">
        <f>IF($A299="","",COUNTIFS(Raw_Events!$G:$G,"SEX",Raw_Events!$J:$J,$A299,Raw_Events!$C:$C,"&gt;="&amp;Settings!$B$4,Raw_Events!$C:$C,"&lt;="&amp;Settings!$B$5))</f>
        <v/>
      </c>
      <c r="I299" s="3">
        <f>IF($A299="","",COUNTIFS(Raw_Events!$G:$G,"PRO_CONTACT_ADDED",Raw_Events!$J:$J,$A299,Raw_Events!$C:$C,"&gt;="&amp;Settings!$B$4,Raw_Events!$C:$C,"&lt;="&amp;Settings!$B$5))</f>
        <v/>
      </c>
    </row>
    <row r="300" ht="15" customHeight="1">
      <c r="F300" s="3">
        <f>IF($A300="","",COUNTIFS(Raw_Events!$G:$G,"SOCIAL_MEET",Raw_Events!$J:$J,$A300,Raw_Events!$C:$C,"&gt;="&amp;Settings!$B$4,Raw_Events!$C:$C,"&lt;="&amp;Settings!$B$5))</f>
        <v/>
      </c>
      <c r="G300" s="3">
        <f>IF($A300="","",COUNTIFS(Raw_Events!$G:$G,"DATE",Raw_Events!$J:$J,$A300,Raw_Events!$C:$C,"&gt;="&amp;Settings!$B$4,Raw_Events!$C:$C,"&lt;="&amp;Settings!$B$5))</f>
        <v/>
      </c>
      <c r="H300" s="3">
        <f>IF($A300="","",COUNTIFS(Raw_Events!$G:$G,"SEX",Raw_Events!$J:$J,$A300,Raw_Events!$C:$C,"&gt;="&amp;Settings!$B$4,Raw_Events!$C:$C,"&lt;="&amp;Settings!$B$5))</f>
        <v/>
      </c>
      <c r="I300" s="3">
        <f>IF($A300="","",COUNTIFS(Raw_Events!$G:$G,"PRO_CONTACT_ADDED",Raw_Events!$J:$J,$A300,Raw_Events!$C:$C,"&gt;="&amp;Settings!$B$4,Raw_Events!$C:$C,"&lt;="&amp;Settings!$B$5))</f>
        <v/>
      </c>
    </row>
    <row r="301" ht="15" customHeight="1">
      <c r="F301" s="3">
        <f>IF($A301="","",COUNTIFS(Raw_Events!$G:$G,"SOCIAL_MEET",Raw_Events!$J:$J,$A301,Raw_Events!$C:$C,"&gt;="&amp;Settings!$B$4,Raw_Events!$C:$C,"&lt;="&amp;Settings!$B$5))</f>
        <v/>
      </c>
      <c r="G301" s="3">
        <f>IF($A301="","",COUNTIFS(Raw_Events!$G:$G,"DATE",Raw_Events!$J:$J,$A301,Raw_Events!$C:$C,"&gt;="&amp;Settings!$B$4,Raw_Events!$C:$C,"&lt;="&amp;Settings!$B$5))</f>
        <v/>
      </c>
      <c r="H301" s="3">
        <f>IF($A301="","",COUNTIFS(Raw_Events!$G:$G,"SEX",Raw_Events!$J:$J,$A301,Raw_Events!$C:$C,"&gt;="&amp;Settings!$B$4,Raw_Events!$C:$C,"&lt;="&amp;Settings!$B$5))</f>
        <v/>
      </c>
      <c r="I301" s="3">
        <f>IF($A301="","",COUNTIFS(Raw_Events!$G:$G,"PRO_CONTACT_ADDED",Raw_Events!$J:$J,$A301,Raw_Events!$C:$C,"&gt;="&amp;Settings!$B$4,Raw_Events!$C:$C,"&lt;="&amp;Settings!$B$5))</f>
        <v/>
      </c>
    </row>
    <row r="302" ht="15" customHeight="1">
      <c r="F302" s="3">
        <f>IF($A302="","",COUNTIFS(Raw_Events!$G:$G,"SOCIAL_MEET",Raw_Events!$J:$J,$A302,Raw_Events!$C:$C,"&gt;="&amp;Settings!$B$4,Raw_Events!$C:$C,"&lt;="&amp;Settings!$B$5))</f>
        <v/>
      </c>
      <c r="G302" s="3">
        <f>IF($A302="","",COUNTIFS(Raw_Events!$G:$G,"DATE",Raw_Events!$J:$J,$A302,Raw_Events!$C:$C,"&gt;="&amp;Settings!$B$4,Raw_Events!$C:$C,"&lt;="&amp;Settings!$B$5))</f>
        <v/>
      </c>
      <c r="H302" s="3">
        <f>IF($A302="","",COUNTIFS(Raw_Events!$G:$G,"SEX",Raw_Events!$J:$J,$A302,Raw_Events!$C:$C,"&gt;="&amp;Settings!$B$4,Raw_Events!$C:$C,"&lt;="&amp;Settings!$B$5))</f>
        <v/>
      </c>
      <c r="I302" s="3">
        <f>IF($A302="","",COUNTIFS(Raw_Events!$G:$G,"PRO_CONTACT_ADDED",Raw_Events!$J:$J,$A302,Raw_Events!$C:$C,"&gt;="&amp;Settings!$B$4,Raw_Events!$C:$C,"&lt;="&amp;Settings!$B$5))</f>
        <v/>
      </c>
    </row>
    <row r="303" ht="15" customHeight="1">
      <c r="F303" s="3">
        <f>IF($A303="","",COUNTIFS(Raw_Events!$G:$G,"SOCIAL_MEET",Raw_Events!$J:$J,$A303,Raw_Events!$C:$C,"&gt;="&amp;Settings!$B$4,Raw_Events!$C:$C,"&lt;="&amp;Settings!$B$5))</f>
        <v/>
      </c>
      <c r="G303" s="3">
        <f>IF($A303="","",COUNTIFS(Raw_Events!$G:$G,"DATE",Raw_Events!$J:$J,$A303,Raw_Events!$C:$C,"&gt;="&amp;Settings!$B$4,Raw_Events!$C:$C,"&lt;="&amp;Settings!$B$5))</f>
        <v/>
      </c>
      <c r="H303" s="3">
        <f>IF($A303="","",COUNTIFS(Raw_Events!$G:$G,"SEX",Raw_Events!$J:$J,$A303,Raw_Events!$C:$C,"&gt;="&amp;Settings!$B$4,Raw_Events!$C:$C,"&lt;="&amp;Settings!$B$5))</f>
        <v/>
      </c>
      <c r="I303" s="3">
        <f>IF($A303="","",COUNTIFS(Raw_Events!$G:$G,"PRO_CONTACT_ADDED",Raw_Events!$J:$J,$A303,Raw_Events!$C:$C,"&gt;="&amp;Settings!$B$4,Raw_Events!$C:$C,"&lt;="&amp;Settings!$B$5))</f>
        <v/>
      </c>
    </row>
    <row r="304" ht="15" customHeight="1">
      <c r="F304" s="3">
        <f>IF($A304="","",COUNTIFS(Raw_Events!$G:$G,"SOCIAL_MEET",Raw_Events!$J:$J,$A304,Raw_Events!$C:$C,"&gt;="&amp;Settings!$B$4,Raw_Events!$C:$C,"&lt;="&amp;Settings!$B$5))</f>
        <v/>
      </c>
      <c r="G304" s="3">
        <f>IF($A304="","",COUNTIFS(Raw_Events!$G:$G,"DATE",Raw_Events!$J:$J,$A304,Raw_Events!$C:$C,"&gt;="&amp;Settings!$B$4,Raw_Events!$C:$C,"&lt;="&amp;Settings!$B$5))</f>
        <v/>
      </c>
      <c r="H304" s="3">
        <f>IF($A304="","",COUNTIFS(Raw_Events!$G:$G,"SEX",Raw_Events!$J:$J,$A304,Raw_Events!$C:$C,"&gt;="&amp;Settings!$B$4,Raw_Events!$C:$C,"&lt;="&amp;Settings!$B$5))</f>
        <v/>
      </c>
      <c r="I304" s="3">
        <f>IF($A304="","",COUNTIFS(Raw_Events!$G:$G,"PRO_CONTACT_ADDED",Raw_Events!$J:$J,$A304,Raw_Events!$C:$C,"&gt;="&amp;Settings!$B$4,Raw_Events!$C:$C,"&lt;="&amp;Settings!$B$5))</f>
        <v/>
      </c>
    </row>
    <row r="305" ht="15" customHeight="1">
      <c r="F305" s="3">
        <f>IF($A305="","",COUNTIFS(Raw_Events!$G:$G,"SOCIAL_MEET",Raw_Events!$J:$J,$A305,Raw_Events!$C:$C,"&gt;="&amp;Settings!$B$4,Raw_Events!$C:$C,"&lt;="&amp;Settings!$B$5))</f>
        <v/>
      </c>
      <c r="G305" s="3">
        <f>IF($A305="","",COUNTIFS(Raw_Events!$G:$G,"DATE",Raw_Events!$J:$J,$A305,Raw_Events!$C:$C,"&gt;="&amp;Settings!$B$4,Raw_Events!$C:$C,"&lt;="&amp;Settings!$B$5))</f>
        <v/>
      </c>
      <c r="H305" s="3">
        <f>IF($A305="","",COUNTIFS(Raw_Events!$G:$G,"SEX",Raw_Events!$J:$J,$A305,Raw_Events!$C:$C,"&gt;="&amp;Settings!$B$4,Raw_Events!$C:$C,"&lt;="&amp;Settings!$B$5))</f>
        <v/>
      </c>
      <c r="I305" s="3">
        <f>IF($A305="","",COUNTIFS(Raw_Events!$G:$G,"PRO_CONTACT_ADDED",Raw_Events!$J:$J,$A305,Raw_Events!$C:$C,"&gt;="&amp;Settings!$B$4,Raw_Events!$C:$C,"&lt;="&amp;Settings!$B$5))</f>
        <v/>
      </c>
    </row>
    <row r="306" ht="15" customHeight="1">
      <c r="F306" s="3">
        <f>IF($A306="","",COUNTIFS(Raw_Events!$G:$G,"SOCIAL_MEET",Raw_Events!$J:$J,$A306,Raw_Events!$C:$C,"&gt;="&amp;Settings!$B$4,Raw_Events!$C:$C,"&lt;="&amp;Settings!$B$5))</f>
        <v/>
      </c>
      <c r="G306" s="3">
        <f>IF($A306="","",COUNTIFS(Raw_Events!$G:$G,"DATE",Raw_Events!$J:$J,$A306,Raw_Events!$C:$C,"&gt;="&amp;Settings!$B$4,Raw_Events!$C:$C,"&lt;="&amp;Settings!$B$5))</f>
        <v/>
      </c>
      <c r="H306" s="3">
        <f>IF($A306="","",COUNTIFS(Raw_Events!$G:$G,"SEX",Raw_Events!$J:$J,$A306,Raw_Events!$C:$C,"&gt;="&amp;Settings!$B$4,Raw_Events!$C:$C,"&lt;="&amp;Settings!$B$5))</f>
        <v/>
      </c>
      <c r="I306" s="3">
        <f>IF($A306="","",COUNTIFS(Raw_Events!$G:$G,"PRO_CONTACT_ADDED",Raw_Events!$J:$J,$A306,Raw_Events!$C:$C,"&gt;="&amp;Settings!$B$4,Raw_Events!$C:$C,"&lt;="&amp;Settings!$B$5))</f>
        <v/>
      </c>
    </row>
    <row r="307" ht="15" customHeight="1">
      <c r="F307" s="3">
        <f>IF($A307="","",COUNTIFS(Raw_Events!$G:$G,"SOCIAL_MEET",Raw_Events!$J:$J,$A307,Raw_Events!$C:$C,"&gt;="&amp;Settings!$B$4,Raw_Events!$C:$C,"&lt;="&amp;Settings!$B$5))</f>
        <v/>
      </c>
      <c r="G307" s="3">
        <f>IF($A307="","",COUNTIFS(Raw_Events!$G:$G,"DATE",Raw_Events!$J:$J,$A307,Raw_Events!$C:$C,"&gt;="&amp;Settings!$B$4,Raw_Events!$C:$C,"&lt;="&amp;Settings!$B$5))</f>
        <v/>
      </c>
      <c r="H307" s="3">
        <f>IF($A307="","",COUNTIFS(Raw_Events!$G:$G,"SEX",Raw_Events!$J:$J,$A307,Raw_Events!$C:$C,"&gt;="&amp;Settings!$B$4,Raw_Events!$C:$C,"&lt;="&amp;Settings!$B$5))</f>
        <v/>
      </c>
      <c r="I307" s="3">
        <f>IF($A307="","",COUNTIFS(Raw_Events!$G:$G,"PRO_CONTACT_ADDED",Raw_Events!$J:$J,$A307,Raw_Events!$C:$C,"&gt;="&amp;Settings!$B$4,Raw_Events!$C:$C,"&lt;="&amp;Settings!$B$5))</f>
        <v/>
      </c>
    </row>
    <row r="308" ht="15" customHeight="1">
      <c r="F308" s="3">
        <f>IF($A308="","",COUNTIFS(Raw_Events!$G:$G,"SOCIAL_MEET",Raw_Events!$J:$J,$A308,Raw_Events!$C:$C,"&gt;="&amp;Settings!$B$4,Raw_Events!$C:$C,"&lt;="&amp;Settings!$B$5))</f>
        <v/>
      </c>
      <c r="G308" s="3">
        <f>IF($A308="","",COUNTIFS(Raw_Events!$G:$G,"DATE",Raw_Events!$J:$J,$A308,Raw_Events!$C:$C,"&gt;="&amp;Settings!$B$4,Raw_Events!$C:$C,"&lt;="&amp;Settings!$B$5))</f>
        <v/>
      </c>
      <c r="H308" s="3">
        <f>IF($A308="","",COUNTIFS(Raw_Events!$G:$G,"SEX",Raw_Events!$J:$J,$A308,Raw_Events!$C:$C,"&gt;="&amp;Settings!$B$4,Raw_Events!$C:$C,"&lt;="&amp;Settings!$B$5))</f>
        <v/>
      </c>
      <c r="I308" s="3">
        <f>IF($A308="","",COUNTIFS(Raw_Events!$G:$G,"PRO_CONTACT_ADDED",Raw_Events!$J:$J,$A308,Raw_Events!$C:$C,"&gt;="&amp;Settings!$B$4,Raw_Events!$C:$C,"&lt;="&amp;Settings!$B$5))</f>
        <v/>
      </c>
    </row>
    <row r="309" ht="15" customHeight="1">
      <c r="F309" s="3">
        <f>IF($A309="","",COUNTIFS(Raw_Events!$G:$G,"SOCIAL_MEET",Raw_Events!$J:$J,$A309,Raw_Events!$C:$C,"&gt;="&amp;Settings!$B$4,Raw_Events!$C:$C,"&lt;="&amp;Settings!$B$5))</f>
        <v/>
      </c>
      <c r="G309" s="3">
        <f>IF($A309="","",COUNTIFS(Raw_Events!$G:$G,"DATE",Raw_Events!$J:$J,$A309,Raw_Events!$C:$C,"&gt;="&amp;Settings!$B$4,Raw_Events!$C:$C,"&lt;="&amp;Settings!$B$5))</f>
        <v/>
      </c>
      <c r="H309" s="3">
        <f>IF($A309="","",COUNTIFS(Raw_Events!$G:$G,"SEX",Raw_Events!$J:$J,$A309,Raw_Events!$C:$C,"&gt;="&amp;Settings!$B$4,Raw_Events!$C:$C,"&lt;="&amp;Settings!$B$5))</f>
        <v/>
      </c>
      <c r="I309" s="3">
        <f>IF($A309="","",COUNTIFS(Raw_Events!$G:$G,"PRO_CONTACT_ADDED",Raw_Events!$J:$J,$A309,Raw_Events!$C:$C,"&gt;="&amp;Settings!$B$4,Raw_Events!$C:$C,"&lt;="&amp;Settings!$B$5))</f>
        <v/>
      </c>
    </row>
    <row r="310" ht="15" customHeight="1">
      <c r="F310" s="3">
        <f>IF($A310="","",COUNTIFS(Raw_Events!$G:$G,"SOCIAL_MEET",Raw_Events!$J:$J,$A310,Raw_Events!$C:$C,"&gt;="&amp;Settings!$B$4,Raw_Events!$C:$C,"&lt;="&amp;Settings!$B$5))</f>
        <v/>
      </c>
      <c r="G310" s="3">
        <f>IF($A310="","",COUNTIFS(Raw_Events!$G:$G,"DATE",Raw_Events!$J:$J,$A310,Raw_Events!$C:$C,"&gt;="&amp;Settings!$B$4,Raw_Events!$C:$C,"&lt;="&amp;Settings!$B$5))</f>
        <v/>
      </c>
      <c r="H310" s="3">
        <f>IF($A310="","",COUNTIFS(Raw_Events!$G:$G,"SEX",Raw_Events!$J:$J,$A310,Raw_Events!$C:$C,"&gt;="&amp;Settings!$B$4,Raw_Events!$C:$C,"&lt;="&amp;Settings!$B$5))</f>
        <v/>
      </c>
      <c r="I310" s="3">
        <f>IF($A310="","",COUNTIFS(Raw_Events!$G:$G,"PRO_CONTACT_ADDED",Raw_Events!$J:$J,$A310,Raw_Events!$C:$C,"&gt;="&amp;Settings!$B$4,Raw_Events!$C:$C,"&lt;="&amp;Settings!$B$5))</f>
        <v/>
      </c>
    </row>
    <row r="311" ht="15" customHeight="1">
      <c r="F311" s="3">
        <f>IF($A311="","",COUNTIFS(Raw_Events!$G:$G,"SOCIAL_MEET",Raw_Events!$J:$J,$A311,Raw_Events!$C:$C,"&gt;="&amp;Settings!$B$4,Raw_Events!$C:$C,"&lt;="&amp;Settings!$B$5))</f>
        <v/>
      </c>
      <c r="G311" s="3">
        <f>IF($A311="","",COUNTIFS(Raw_Events!$G:$G,"DATE",Raw_Events!$J:$J,$A311,Raw_Events!$C:$C,"&gt;="&amp;Settings!$B$4,Raw_Events!$C:$C,"&lt;="&amp;Settings!$B$5))</f>
        <v/>
      </c>
      <c r="H311" s="3">
        <f>IF($A311="","",COUNTIFS(Raw_Events!$G:$G,"SEX",Raw_Events!$J:$J,$A311,Raw_Events!$C:$C,"&gt;="&amp;Settings!$B$4,Raw_Events!$C:$C,"&lt;="&amp;Settings!$B$5))</f>
        <v/>
      </c>
      <c r="I311" s="3">
        <f>IF($A311="","",COUNTIFS(Raw_Events!$G:$G,"PRO_CONTACT_ADDED",Raw_Events!$J:$J,$A311,Raw_Events!$C:$C,"&gt;="&amp;Settings!$B$4,Raw_Events!$C:$C,"&lt;="&amp;Settings!$B$5))</f>
        <v/>
      </c>
    </row>
    <row r="312" ht="15" customHeight="1">
      <c r="F312" s="3">
        <f>IF($A312="","",COUNTIFS(Raw_Events!$G:$G,"SOCIAL_MEET",Raw_Events!$J:$J,$A312,Raw_Events!$C:$C,"&gt;="&amp;Settings!$B$4,Raw_Events!$C:$C,"&lt;="&amp;Settings!$B$5))</f>
        <v/>
      </c>
      <c r="G312" s="3">
        <f>IF($A312="","",COUNTIFS(Raw_Events!$G:$G,"DATE",Raw_Events!$J:$J,$A312,Raw_Events!$C:$C,"&gt;="&amp;Settings!$B$4,Raw_Events!$C:$C,"&lt;="&amp;Settings!$B$5))</f>
        <v/>
      </c>
      <c r="H312" s="3">
        <f>IF($A312="","",COUNTIFS(Raw_Events!$G:$G,"SEX",Raw_Events!$J:$J,$A312,Raw_Events!$C:$C,"&gt;="&amp;Settings!$B$4,Raw_Events!$C:$C,"&lt;="&amp;Settings!$B$5))</f>
        <v/>
      </c>
      <c r="I312" s="3">
        <f>IF($A312="","",COUNTIFS(Raw_Events!$G:$G,"PRO_CONTACT_ADDED",Raw_Events!$J:$J,$A312,Raw_Events!$C:$C,"&gt;="&amp;Settings!$B$4,Raw_Events!$C:$C,"&lt;="&amp;Settings!$B$5))</f>
        <v/>
      </c>
    </row>
    <row r="313" ht="15" customHeight="1">
      <c r="F313" s="3">
        <f>IF($A313="","",COUNTIFS(Raw_Events!$G:$G,"SOCIAL_MEET",Raw_Events!$J:$J,$A313,Raw_Events!$C:$C,"&gt;="&amp;Settings!$B$4,Raw_Events!$C:$C,"&lt;="&amp;Settings!$B$5))</f>
        <v/>
      </c>
      <c r="G313" s="3">
        <f>IF($A313="","",COUNTIFS(Raw_Events!$G:$G,"DATE",Raw_Events!$J:$J,$A313,Raw_Events!$C:$C,"&gt;="&amp;Settings!$B$4,Raw_Events!$C:$C,"&lt;="&amp;Settings!$B$5))</f>
        <v/>
      </c>
      <c r="H313" s="3">
        <f>IF($A313="","",COUNTIFS(Raw_Events!$G:$G,"SEX",Raw_Events!$J:$J,$A313,Raw_Events!$C:$C,"&gt;="&amp;Settings!$B$4,Raw_Events!$C:$C,"&lt;="&amp;Settings!$B$5))</f>
        <v/>
      </c>
      <c r="I313" s="3">
        <f>IF($A313="","",COUNTIFS(Raw_Events!$G:$G,"PRO_CONTACT_ADDED",Raw_Events!$J:$J,$A313,Raw_Events!$C:$C,"&gt;="&amp;Settings!$B$4,Raw_Events!$C:$C,"&lt;="&amp;Settings!$B$5))</f>
        <v/>
      </c>
    </row>
    <row r="314" ht="15" customHeight="1">
      <c r="F314" s="3">
        <f>IF($A314="","",COUNTIFS(Raw_Events!$G:$G,"SOCIAL_MEET",Raw_Events!$J:$J,$A314,Raw_Events!$C:$C,"&gt;="&amp;Settings!$B$4,Raw_Events!$C:$C,"&lt;="&amp;Settings!$B$5))</f>
        <v/>
      </c>
      <c r="G314" s="3">
        <f>IF($A314="","",COUNTIFS(Raw_Events!$G:$G,"DATE",Raw_Events!$J:$J,$A314,Raw_Events!$C:$C,"&gt;="&amp;Settings!$B$4,Raw_Events!$C:$C,"&lt;="&amp;Settings!$B$5))</f>
        <v/>
      </c>
      <c r="H314" s="3">
        <f>IF($A314="","",COUNTIFS(Raw_Events!$G:$G,"SEX",Raw_Events!$J:$J,$A314,Raw_Events!$C:$C,"&gt;="&amp;Settings!$B$4,Raw_Events!$C:$C,"&lt;="&amp;Settings!$B$5))</f>
        <v/>
      </c>
      <c r="I314" s="3">
        <f>IF($A314="","",COUNTIFS(Raw_Events!$G:$G,"PRO_CONTACT_ADDED",Raw_Events!$J:$J,$A314,Raw_Events!$C:$C,"&gt;="&amp;Settings!$B$4,Raw_Events!$C:$C,"&lt;="&amp;Settings!$B$5))</f>
        <v/>
      </c>
    </row>
    <row r="315" ht="15" customHeight="1">
      <c r="F315" s="3">
        <f>IF($A315="","",COUNTIFS(Raw_Events!$G:$G,"SOCIAL_MEET",Raw_Events!$J:$J,$A315,Raw_Events!$C:$C,"&gt;="&amp;Settings!$B$4,Raw_Events!$C:$C,"&lt;="&amp;Settings!$B$5))</f>
        <v/>
      </c>
      <c r="G315" s="3">
        <f>IF($A315="","",COUNTIFS(Raw_Events!$G:$G,"DATE",Raw_Events!$J:$J,$A315,Raw_Events!$C:$C,"&gt;="&amp;Settings!$B$4,Raw_Events!$C:$C,"&lt;="&amp;Settings!$B$5))</f>
        <v/>
      </c>
      <c r="H315" s="3">
        <f>IF($A315="","",COUNTIFS(Raw_Events!$G:$G,"SEX",Raw_Events!$J:$J,$A315,Raw_Events!$C:$C,"&gt;="&amp;Settings!$B$4,Raw_Events!$C:$C,"&lt;="&amp;Settings!$B$5))</f>
        <v/>
      </c>
      <c r="I315" s="3">
        <f>IF($A315="","",COUNTIFS(Raw_Events!$G:$G,"PRO_CONTACT_ADDED",Raw_Events!$J:$J,$A315,Raw_Events!$C:$C,"&gt;="&amp;Settings!$B$4,Raw_Events!$C:$C,"&lt;="&amp;Settings!$B$5))</f>
        <v/>
      </c>
    </row>
    <row r="316" ht="15" customHeight="1">
      <c r="F316" s="3">
        <f>IF($A316="","",COUNTIFS(Raw_Events!$G:$G,"SOCIAL_MEET",Raw_Events!$J:$J,$A316,Raw_Events!$C:$C,"&gt;="&amp;Settings!$B$4,Raw_Events!$C:$C,"&lt;="&amp;Settings!$B$5))</f>
        <v/>
      </c>
      <c r="G316" s="3">
        <f>IF($A316="","",COUNTIFS(Raw_Events!$G:$G,"DATE",Raw_Events!$J:$J,$A316,Raw_Events!$C:$C,"&gt;="&amp;Settings!$B$4,Raw_Events!$C:$C,"&lt;="&amp;Settings!$B$5))</f>
        <v/>
      </c>
      <c r="H316" s="3">
        <f>IF($A316="","",COUNTIFS(Raw_Events!$G:$G,"SEX",Raw_Events!$J:$J,$A316,Raw_Events!$C:$C,"&gt;="&amp;Settings!$B$4,Raw_Events!$C:$C,"&lt;="&amp;Settings!$B$5))</f>
        <v/>
      </c>
      <c r="I316" s="3">
        <f>IF($A316="","",COUNTIFS(Raw_Events!$G:$G,"PRO_CONTACT_ADDED",Raw_Events!$J:$J,$A316,Raw_Events!$C:$C,"&gt;="&amp;Settings!$B$4,Raw_Events!$C:$C,"&lt;="&amp;Settings!$B$5))</f>
        <v/>
      </c>
    </row>
    <row r="317" ht="15" customHeight="1">
      <c r="F317" s="3">
        <f>IF($A317="","",COUNTIFS(Raw_Events!$G:$G,"SOCIAL_MEET",Raw_Events!$J:$J,$A317,Raw_Events!$C:$C,"&gt;="&amp;Settings!$B$4,Raw_Events!$C:$C,"&lt;="&amp;Settings!$B$5))</f>
        <v/>
      </c>
      <c r="G317" s="3">
        <f>IF($A317="","",COUNTIFS(Raw_Events!$G:$G,"DATE",Raw_Events!$J:$J,$A317,Raw_Events!$C:$C,"&gt;="&amp;Settings!$B$4,Raw_Events!$C:$C,"&lt;="&amp;Settings!$B$5))</f>
        <v/>
      </c>
      <c r="H317" s="3">
        <f>IF($A317="","",COUNTIFS(Raw_Events!$G:$G,"SEX",Raw_Events!$J:$J,$A317,Raw_Events!$C:$C,"&gt;="&amp;Settings!$B$4,Raw_Events!$C:$C,"&lt;="&amp;Settings!$B$5))</f>
        <v/>
      </c>
      <c r="I317" s="3">
        <f>IF($A317="","",COUNTIFS(Raw_Events!$G:$G,"PRO_CONTACT_ADDED",Raw_Events!$J:$J,$A317,Raw_Events!$C:$C,"&gt;="&amp;Settings!$B$4,Raw_Events!$C:$C,"&lt;="&amp;Settings!$B$5))</f>
        <v/>
      </c>
    </row>
    <row r="318" ht="15" customHeight="1">
      <c r="F318" s="3">
        <f>IF($A318="","",COUNTIFS(Raw_Events!$G:$G,"SOCIAL_MEET",Raw_Events!$J:$J,$A318,Raw_Events!$C:$C,"&gt;="&amp;Settings!$B$4,Raw_Events!$C:$C,"&lt;="&amp;Settings!$B$5))</f>
        <v/>
      </c>
      <c r="G318" s="3">
        <f>IF($A318="","",COUNTIFS(Raw_Events!$G:$G,"DATE",Raw_Events!$J:$J,$A318,Raw_Events!$C:$C,"&gt;="&amp;Settings!$B$4,Raw_Events!$C:$C,"&lt;="&amp;Settings!$B$5))</f>
        <v/>
      </c>
      <c r="H318" s="3">
        <f>IF($A318="","",COUNTIFS(Raw_Events!$G:$G,"SEX",Raw_Events!$J:$J,$A318,Raw_Events!$C:$C,"&gt;="&amp;Settings!$B$4,Raw_Events!$C:$C,"&lt;="&amp;Settings!$B$5))</f>
        <v/>
      </c>
      <c r="I318" s="3">
        <f>IF($A318="","",COUNTIFS(Raw_Events!$G:$G,"PRO_CONTACT_ADDED",Raw_Events!$J:$J,$A318,Raw_Events!$C:$C,"&gt;="&amp;Settings!$B$4,Raw_Events!$C:$C,"&lt;="&amp;Settings!$B$5))</f>
        <v/>
      </c>
    </row>
    <row r="319" ht="15" customHeight="1">
      <c r="F319" s="3">
        <f>IF($A319="","",COUNTIFS(Raw_Events!$G:$G,"SOCIAL_MEET",Raw_Events!$J:$J,$A319,Raw_Events!$C:$C,"&gt;="&amp;Settings!$B$4,Raw_Events!$C:$C,"&lt;="&amp;Settings!$B$5))</f>
        <v/>
      </c>
      <c r="G319" s="3">
        <f>IF($A319="","",COUNTIFS(Raw_Events!$G:$G,"DATE",Raw_Events!$J:$J,$A319,Raw_Events!$C:$C,"&gt;="&amp;Settings!$B$4,Raw_Events!$C:$C,"&lt;="&amp;Settings!$B$5))</f>
        <v/>
      </c>
      <c r="H319" s="3">
        <f>IF($A319="","",COUNTIFS(Raw_Events!$G:$G,"SEX",Raw_Events!$J:$J,$A319,Raw_Events!$C:$C,"&gt;="&amp;Settings!$B$4,Raw_Events!$C:$C,"&lt;="&amp;Settings!$B$5))</f>
        <v/>
      </c>
      <c r="I319" s="3">
        <f>IF($A319="","",COUNTIFS(Raw_Events!$G:$G,"PRO_CONTACT_ADDED",Raw_Events!$J:$J,$A319,Raw_Events!$C:$C,"&gt;="&amp;Settings!$B$4,Raw_Events!$C:$C,"&lt;="&amp;Settings!$B$5))</f>
        <v/>
      </c>
    </row>
    <row r="320" ht="15" customHeight="1">
      <c r="F320" s="3">
        <f>IF($A320="","",COUNTIFS(Raw_Events!$G:$G,"SOCIAL_MEET",Raw_Events!$J:$J,$A320,Raw_Events!$C:$C,"&gt;="&amp;Settings!$B$4,Raw_Events!$C:$C,"&lt;="&amp;Settings!$B$5))</f>
        <v/>
      </c>
      <c r="G320" s="3">
        <f>IF($A320="","",COUNTIFS(Raw_Events!$G:$G,"DATE",Raw_Events!$J:$J,$A320,Raw_Events!$C:$C,"&gt;="&amp;Settings!$B$4,Raw_Events!$C:$C,"&lt;="&amp;Settings!$B$5))</f>
        <v/>
      </c>
      <c r="H320" s="3">
        <f>IF($A320="","",COUNTIFS(Raw_Events!$G:$G,"SEX",Raw_Events!$J:$J,$A320,Raw_Events!$C:$C,"&gt;="&amp;Settings!$B$4,Raw_Events!$C:$C,"&lt;="&amp;Settings!$B$5))</f>
        <v/>
      </c>
      <c r="I320" s="3">
        <f>IF($A320="","",COUNTIFS(Raw_Events!$G:$G,"PRO_CONTACT_ADDED",Raw_Events!$J:$J,$A320,Raw_Events!$C:$C,"&gt;="&amp;Settings!$B$4,Raw_Events!$C:$C,"&lt;="&amp;Settings!$B$5))</f>
        <v/>
      </c>
    </row>
    <row r="321" ht="15" customHeight="1">
      <c r="F321" s="3">
        <f>IF($A321="","",COUNTIFS(Raw_Events!$G:$G,"SOCIAL_MEET",Raw_Events!$J:$J,$A321,Raw_Events!$C:$C,"&gt;="&amp;Settings!$B$4,Raw_Events!$C:$C,"&lt;="&amp;Settings!$B$5))</f>
        <v/>
      </c>
      <c r="G321" s="3">
        <f>IF($A321="","",COUNTIFS(Raw_Events!$G:$G,"DATE",Raw_Events!$J:$J,$A321,Raw_Events!$C:$C,"&gt;="&amp;Settings!$B$4,Raw_Events!$C:$C,"&lt;="&amp;Settings!$B$5))</f>
        <v/>
      </c>
      <c r="H321" s="3">
        <f>IF($A321="","",COUNTIFS(Raw_Events!$G:$G,"SEX",Raw_Events!$J:$J,$A321,Raw_Events!$C:$C,"&gt;="&amp;Settings!$B$4,Raw_Events!$C:$C,"&lt;="&amp;Settings!$B$5))</f>
        <v/>
      </c>
      <c r="I321" s="3">
        <f>IF($A321="","",COUNTIFS(Raw_Events!$G:$G,"PRO_CONTACT_ADDED",Raw_Events!$J:$J,$A321,Raw_Events!$C:$C,"&gt;="&amp;Settings!$B$4,Raw_Events!$C:$C,"&lt;="&amp;Settings!$B$5))</f>
        <v/>
      </c>
    </row>
    <row r="322" ht="15" customHeight="1">
      <c r="F322" s="3">
        <f>IF($A322="","",COUNTIFS(Raw_Events!$G:$G,"SOCIAL_MEET",Raw_Events!$J:$J,$A322,Raw_Events!$C:$C,"&gt;="&amp;Settings!$B$4,Raw_Events!$C:$C,"&lt;="&amp;Settings!$B$5))</f>
        <v/>
      </c>
      <c r="G322" s="3">
        <f>IF($A322="","",COUNTIFS(Raw_Events!$G:$G,"DATE",Raw_Events!$J:$J,$A322,Raw_Events!$C:$C,"&gt;="&amp;Settings!$B$4,Raw_Events!$C:$C,"&lt;="&amp;Settings!$B$5))</f>
        <v/>
      </c>
      <c r="H322" s="3">
        <f>IF($A322="","",COUNTIFS(Raw_Events!$G:$G,"SEX",Raw_Events!$J:$J,$A322,Raw_Events!$C:$C,"&gt;="&amp;Settings!$B$4,Raw_Events!$C:$C,"&lt;="&amp;Settings!$B$5))</f>
        <v/>
      </c>
      <c r="I322" s="3">
        <f>IF($A322="","",COUNTIFS(Raw_Events!$G:$G,"PRO_CONTACT_ADDED",Raw_Events!$J:$J,$A322,Raw_Events!$C:$C,"&gt;="&amp;Settings!$B$4,Raw_Events!$C:$C,"&lt;="&amp;Settings!$B$5))</f>
        <v/>
      </c>
    </row>
    <row r="323" ht="15" customHeight="1">
      <c r="F323" s="3">
        <f>IF($A323="","",COUNTIFS(Raw_Events!$G:$G,"SOCIAL_MEET",Raw_Events!$J:$J,$A323,Raw_Events!$C:$C,"&gt;="&amp;Settings!$B$4,Raw_Events!$C:$C,"&lt;="&amp;Settings!$B$5))</f>
        <v/>
      </c>
      <c r="G323" s="3">
        <f>IF($A323="","",COUNTIFS(Raw_Events!$G:$G,"DATE",Raw_Events!$J:$J,$A323,Raw_Events!$C:$C,"&gt;="&amp;Settings!$B$4,Raw_Events!$C:$C,"&lt;="&amp;Settings!$B$5))</f>
        <v/>
      </c>
      <c r="H323" s="3">
        <f>IF($A323="","",COUNTIFS(Raw_Events!$G:$G,"SEX",Raw_Events!$J:$J,$A323,Raw_Events!$C:$C,"&gt;="&amp;Settings!$B$4,Raw_Events!$C:$C,"&lt;="&amp;Settings!$B$5))</f>
        <v/>
      </c>
      <c r="I323" s="3">
        <f>IF($A323="","",COUNTIFS(Raw_Events!$G:$G,"PRO_CONTACT_ADDED",Raw_Events!$J:$J,$A323,Raw_Events!$C:$C,"&gt;="&amp;Settings!$B$4,Raw_Events!$C:$C,"&lt;="&amp;Settings!$B$5))</f>
        <v/>
      </c>
    </row>
    <row r="324" ht="15" customHeight="1">
      <c r="F324" s="3">
        <f>IF($A324="","",COUNTIFS(Raw_Events!$G:$G,"SOCIAL_MEET",Raw_Events!$J:$J,$A324,Raw_Events!$C:$C,"&gt;="&amp;Settings!$B$4,Raw_Events!$C:$C,"&lt;="&amp;Settings!$B$5))</f>
        <v/>
      </c>
      <c r="G324" s="3">
        <f>IF($A324="","",COUNTIFS(Raw_Events!$G:$G,"DATE",Raw_Events!$J:$J,$A324,Raw_Events!$C:$C,"&gt;="&amp;Settings!$B$4,Raw_Events!$C:$C,"&lt;="&amp;Settings!$B$5))</f>
        <v/>
      </c>
      <c r="H324" s="3">
        <f>IF($A324="","",COUNTIFS(Raw_Events!$G:$G,"SEX",Raw_Events!$J:$J,$A324,Raw_Events!$C:$C,"&gt;="&amp;Settings!$B$4,Raw_Events!$C:$C,"&lt;="&amp;Settings!$B$5))</f>
        <v/>
      </c>
      <c r="I324" s="3">
        <f>IF($A324="","",COUNTIFS(Raw_Events!$G:$G,"PRO_CONTACT_ADDED",Raw_Events!$J:$J,$A324,Raw_Events!$C:$C,"&gt;="&amp;Settings!$B$4,Raw_Events!$C:$C,"&lt;="&amp;Settings!$B$5))</f>
        <v/>
      </c>
    </row>
    <row r="325" ht="15" customHeight="1">
      <c r="F325" s="3">
        <f>IF($A325="","",COUNTIFS(Raw_Events!$G:$G,"SOCIAL_MEET",Raw_Events!$J:$J,$A325,Raw_Events!$C:$C,"&gt;="&amp;Settings!$B$4,Raw_Events!$C:$C,"&lt;="&amp;Settings!$B$5))</f>
        <v/>
      </c>
      <c r="G325" s="3">
        <f>IF($A325="","",COUNTIFS(Raw_Events!$G:$G,"DATE",Raw_Events!$J:$J,$A325,Raw_Events!$C:$C,"&gt;="&amp;Settings!$B$4,Raw_Events!$C:$C,"&lt;="&amp;Settings!$B$5))</f>
        <v/>
      </c>
      <c r="H325" s="3">
        <f>IF($A325="","",COUNTIFS(Raw_Events!$G:$G,"SEX",Raw_Events!$J:$J,$A325,Raw_Events!$C:$C,"&gt;="&amp;Settings!$B$4,Raw_Events!$C:$C,"&lt;="&amp;Settings!$B$5))</f>
        <v/>
      </c>
      <c r="I325" s="3">
        <f>IF($A325="","",COUNTIFS(Raw_Events!$G:$G,"PRO_CONTACT_ADDED",Raw_Events!$J:$J,$A325,Raw_Events!$C:$C,"&gt;="&amp;Settings!$B$4,Raw_Events!$C:$C,"&lt;="&amp;Settings!$B$5))</f>
        <v/>
      </c>
    </row>
    <row r="326" ht="15" customHeight="1">
      <c r="F326" s="3">
        <f>IF($A326="","",COUNTIFS(Raw_Events!$G:$G,"SOCIAL_MEET",Raw_Events!$J:$J,$A326,Raw_Events!$C:$C,"&gt;="&amp;Settings!$B$4,Raw_Events!$C:$C,"&lt;="&amp;Settings!$B$5))</f>
        <v/>
      </c>
      <c r="G326" s="3">
        <f>IF($A326="","",COUNTIFS(Raw_Events!$G:$G,"DATE",Raw_Events!$J:$J,$A326,Raw_Events!$C:$C,"&gt;="&amp;Settings!$B$4,Raw_Events!$C:$C,"&lt;="&amp;Settings!$B$5))</f>
        <v/>
      </c>
      <c r="H326" s="3">
        <f>IF($A326="","",COUNTIFS(Raw_Events!$G:$G,"SEX",Raw_Events!$J:$J,$A326,Raw_Events!$C:$C,"&gt;="&amp;Settings!$B$4,Raw_Events!$C:$C,"&lt;="&amp;Settings!$B$5))</f>
        <v/>
      </c>
      <c r="I326" s="3">
        <f>IF($A326="","",COUNTIFS(Raw_Events!$G:$G,"PRO_CONTACT_ADDED",Raw_Events!$J:$J,$A326,Raw_Events!$C:$C,"&gt;="&amp;Settings!$B$4,Raw_Events!$C:$C,"&lt;="&amp;Settings!$B$5))</f>
        <v/>
      </c>
    </row>
    <row r="327" ht="15" customHeight="1">
      <c r="F327" s="3">
        <f>IF($A327="","",COUNTIFS(Raw_Events!$G:$G,"SOCIAL_MEET",Raw_Events!$J:$J,$A327,Raw_Events!$C:$C,"&gt;="&amp;Settings!$B$4,Raw_Events!$C:$C,"&lt;="&amp;Settings!$B$5))</f>
        <v/>
      </c>
      <c r="G327" s="3">
        <f>IF($A327="","",COUNTIFS(Raw_Events!$G:$G,"DATE",Raw_Events!$J:$J,$A327,Raw_Events!$C:$C,"&gt;="&amp;Settings!$B$4,Raw_Events!$C:$C,"&lt;="&amp;Settings!$B$5))</f>
        <v/>
      </c>
      <c r="H327" s="3">
        <f>IF($A327="","",COUNTIFS(Raw_Events!$G:$G,"SEX",Raw_Events!$J:$J,$A327,Raw_Events!$C:$C,"&gt;="&amp;Settings!$B$4,Raw_Events!$C:$C,"&lt;="&amp;Settings!$B$5))</f>
        <v/>
      </c>
      <c r="I327" s="3">
        <f>IF($A327="","",COUNTIFS(Raw_Events!$G:$G,"PRO_CONTACT_ADDED",Raw_Events!$J:$J,$A327,Raw_Events!$C:$C,"&gt;="&amp;Settings!$B$4,Raw_Events!$C:$C,"&lt;="&amp;Settings!$B$5))</f>
        <v/>
      </c>
    </row>
    <row r="328" ht="15" customHeight="1">
      <c r="F328" s="3">
        <f>IF($A328="","",COUNTIFS(Raw_Events!$G:$G,"SOCIAL_MEET",Raw_Events!$J:$J,$A328,Raw_Events!$C:$C,"&gt;="&amp;Settings!$B$4,Raw_Events!$C:$C,"&lt;="&amp;Settings!$B$5))</f>
        <v/>
      </c>
      <c r="G328" s="3">
        <f>IF($A328="","",COUNTIFS(Raw_Events!$G:$G,"DATE",Raw_Events!$J:$J,$A328,Raw_Events!$C:$C,"&gt;="&amp;Settings!$B$4,Raw_Events!$C:$C,"&lt;="&amp;Settings!$B$5))</f>
        <v/>
      </c>
      <c r="H328" s="3">
        <f>IF($A328="","",COUNTIFS(Raw_Events!$G:$G,"SEX",Raw_Events!$J:$J,$A328,Raw_Events!$C:$C,"&gt;="&amp;Settings!$B$4,Raw_Events!$C:$C,"&lt;="&amp;Settings!$B$5))</f>
        <v/>
      </c>
      <c r="I328" s="3">
        <f>IF($A328="","",COUNTIFS(Raw_Events!$G:$G,"PRO_CONTACT_ADDED",Raw_Events!$J:$J,$A328,Raw_Events!$C:$C,"&gt;="&amp;Settings!$B$4,Raw_Events!$C:$C,"&lt;="&amp;Settings!$B$5))</f>
        <v/>
      </c>
    </row>
    <row r="329" ht="15" customHeight="1">
      <c r="F329" s="3">
        <f>IF($A329="","",COUNTIFS(Raw_Events!$G:$G,"SOCIAL_MEET",Raw_Events!$J:$J,$A329,Raw_Events!$C:$C,"&gt;="&amp;Settings!$B$4,Raw_Events!$C:$C,"&lt;="&amp;Settings!$B$5))</f>
        <v/>
      </c>
      <c r="G329" s="3">
        <f>IF($A329="","",COUNTIFS(Raw_Events!$G:$G,"DATE",Raw_Events!$J:$J,$A329,Raw_Events!$C:$C,"&gt;="&amp;Settings!$B$4,Raw_Events!$C:$C,"&lt;="&amp;Settings!$B$5))</f>
        <v/>
      </c>
      <c r="H329" s="3">
        <f>IF($A329="","",COUNTIFS(Raw_Events!$G:$G,"SEX",Raw_Events!$J:$J,$A329,Raw_Events!$C:$C,"&gt;="&amp;Settings!$B$4,Raw_Events!$C:$C,"&lt;="&amp;Settings!$B$5))</f>
        <v/>
      </c>
      <c r="I329" s="3">
        <f>IF($A329="","",COUNTIFS(Raw_Events!$G:$G,"PRO_CONTACT_ADDED",Raw_Events!$J:$J,$A329,Raw_Events!$C:$C,"&gt;="&amp;Settings!$B$4,Raw_Events!$C:$C,"&lt;="&amp;Settings!$B$5))</f>
        <v/>
      </c>
    </row>
    <row r="330" ht="15" customHeight="1">
      <c r="F330" s="3">
        <f>IF($A330="","",COUNTIFS(Raw_Events!$G:$G,"SOCIAL_MEET",Raw_Events!$J:$J,$A330,Raw_Events!$C:$C,"&gt;="&amp;Settings!$B$4,Raw_Events!$C:$C,"&lt;="&amp;Settings!$B$5))</f>
        <v/>
      </c>
      <c r="G330" s="3">
        <f>IF($A330="","",COUNTIFS(Raw_Events!$G:$G,"DATE",Raw_Events!$J:$J,$A330,Raw_Events!$C:$C,"&gt;="&amp;Settings!$B$4,Raw_Events!$C:$C,"&lt;="&amp;Settings!$B$5))</f>
        <v/>
      </c>
      <c r="H330" s="3">
        <f>IF($A330="","",COUNTIFS(Raw_Events!$G:$G,"SEX",Raw_Events!$J:$J,$A330,Raw_Events!$C:$C,"&gt;="&amp;Settings!$B$4,Raw_Events!$C:$C,"&lt;="&amp;Settings!$B$5))</f>
        <v/>
      </c>
      <c r="I330" s="3">
        <f>IF($A330="","",COUNTIFS(Raw_Events!$G:$G,"PRO_CONTACT_ADDED",Raw_Events!$J:$J,$A330,Raw_Events!$C:$C,"&gt;="&amp;Settings!$B$4,Raw_Events!$C:$C,"&lt;="&amp;Settings!$B$5))</f>
        <v/>
      </c>
    </row>
    <row r="331" ht="15" customHeight="1">
      <c r="F331" s="3">
        <f>IF($A331="","",COUNTIFS(Raw_Events!$G:$G,"SOCIAL_MEET",Raw_Events!$J:$J,$A331,Raw_Events!$C:$C,"&gt;="&amp;Settings!$B$4,Raw_Events!$C:$C,"&lt;="&amp;Settings!$B$5))</f>
        <v/>
      </c>
      <c r="G331" s="3">
        <f>IF($A331="","",COUNTIFS(Raw_Events!$G:$G,"DATE",Raw_Events!$J:$J,$A331,Raw_Events!$C:$C,"&gt;="&amp;Settings!$B$4,Raw_Events!$C:$C,"&lt;="&amp;Settings!$B$5))</f>
        <v/>
      </c>
      <c r="H331" s="3">
        <f>IF($A331="","",COUNTIFS(Raw_Events!$G:$G,"SEX",Raw_Events!$J:$J,$A331,Raw_Events!$C:$C,"&gt;="&amp;Settings!$B$4,Raw_Events!$C:$C,"&lt;="&amp;Settings!$B$5))</f>
        <v/>
      </c>
      <c r="I331" s="3">
        <f>IF($A331="","",COUNTIFS(Raw_Events!$G:$G,"PRO_CONTACT_ADDED",Raw_Events!$J:$J,$A331,Raw_Events!$C:$C,"&gt;="&amp;Settings!$B$4,Raw_Events!$C:$C,"&lt;="&amp;Settings!$B$5))</f>
        <v/>
      </c>
    </row>
    <row r="332" ht="15" customHeight="1">
      <c r="F332" s="3">
        <f>IF($A332="","",COUNTIFS(Raw_Events!$G:$G,"SOCIAL_MEET",Raw_Events!$J:$J,$A332,Raw_Events!$C:$C,"&gt;="&amp;Settings!$B$4,Raw_Events!$C:$C,"&lt;="&amp;Settings!$B$5))</f>
        <v/>
      </c>
      <c r="G332" s="3">
        <f>IF($A332="","",COUNTIFS(Raw_Events!$G:$G,"DATE",Raw_Events!$J:$J,$A332,Raw_Events!$C:$C,"&gt;="&amp;Settings!$B$4,Raw_Events!$C:$C,"&lt;="&amp;Settings!$B$5))</f>
        <v/>
      </c>
      <c r="H332" s="3">
        <f>IF($A332="","",COUNTIFS(Raw_Events!$G:$G,"SEX",Raw_Events!$J:$J,$A332,Raw_Events!$C:$C,"&gt;="&amp;Settings!$B$4,Raw_Events!$C:$C,"&lt;="&amp;Settings!$B$5))</f>
        <v/>
      </c>
      <c r="I332" s="3">
        <f>IF($A332="","",COUNTIFS(Raw_Events!$G:$G,"PRO_CONTACT_ADDED",Raw_Events!$J:$J,$A332,Raw_Events!$C:$C,"&gt;="&amp;Settings!$B$4,Raw_Events!$C:$C,"&lt;="&amp;Settings!$B$5))</f>
        <v/>
      </c>
    </row>
    <row r="333" ht="15" customHeight="1">
      <c r="F333" s="3">
        <f>IF($A333="","",COUNTIFS(Raw_Events!$G:$G,"SOCIAL_MEET",Raw_Events!$J:$J,$A333,Raw_Events!$C:$C,"&gt;="&amp;Settings!$B$4,Raw_Events!$C:$C,"&lt;="&amp;Settings!$B$5))</f>
        <v/>
      </c>
      <c r="G333" s="3">
        <f>IF($A333="","",COUNTIFS(Raw_Events!$G:$G,"DATE",Raw_Events!$J:$J,$A333,Raw_Events!$C:$C,"&gt;="&amp;Settings!$B$4,Raw_Events!$C:$C,"&lt;="&amp;Settings!$B$5))</f>
        <v/>
      </c>
      <c r="H333" s="3">
        <f>IF($A333="","",COUNTIFS(Raw_Events!$G:$G,"SEX",Raw_Events!$J:$J,$A333,Raw_Events!$C:$C,"&gt;="&amp;Settings!$B$4,Raw_Events!$C:$C,"&lt;="&amp;Settings!$B$5))</f>
        <v/>
      </c>
      <c r="I333" s="3">
        <f>IF($A333="","",COUNTIFS(Raw_Events!$G:$G,"PRO_CONTACT_ADDED",Raw_Events!$J:$J,$A333,Raw_Events!$C:$C,"&gt;="&amp;Settings!$B$4,Raw_Events!$C:$C,"&lt;="&amp;Settings!$B$5))</f>
        <v/>
      </c>
    </row>
    <row r="334" ht="15" customHeight="1">
      <c r="F334" s="3">
        <f>IF($A334="","",COUNTIFS(Raw_Events!$G:$G,"SOCIAL_MEET",Raw_Events!$J:$J,$A334,Raw_Events!$C:$C,"&gt;="&amp;Settings!$B$4,Raw_Events!$C:$C,"&lt;="&amp;Settings!$B$5))</f>
        <v/>
      </c>
      <c r="G334" s="3">
        <f>IF($A334="","",COUNTIFS(Raw_Events!$G:$G,"DATE",Raw_Events!$J:$J,$A334,Raw_Events!$C:$C,"&gt;="&amp;Settings!$B$4,Raw_Events!$C:$C,"&lt;="&amp;Settings!$B$5))</f>
        <v/>
      </c>
      <c r="H334" s="3">
        <f>IF($A334="","",COUNTIFS(Raw_Events!$G:$G,"SEX",Raw_Events!$J:$J,$A334,Raw_Events!$C:$C,"&gt;="&amp;Settings!$B$4,Raw_Events!$C:$C,"&lt;="&amp;Settings!$B$5))</f>
        <v/>
      </c>
      <c r="I334" s="3">
        <f>IF($A334="","",COUNTIFS(Raw_Events!$G:$G,"PRO_CONTACT_ADDED",Raw_Events!$J:$J,$A334,Raw_Events!$C:$C,"&gt;="&amp;Settings!$B$4,Raw_Events!$C:$C,"&lt;="&amp;Settings!$B$5))</f>
        <v/>
      </c>
    </row>
    <row r="335" ht="15" customHeight="1">
      <c r="F335" s="3">
        <f>IF($A335="","",COUNTIFS(Raw_Events!$G:$G,"SOCIAL_MEET",Raw_Events!$J:$J,$A335,Raw_Events!$C:$C,"&gt;="&amp;Settings!$B$4,Raw_Events!$C:$C,"&lt;="&amp;Settings!$B$5))</f>
        <v/>
      </c>
      <c r="G335" s="3">
        <f>IF($A335="","",COUNTIFS(Raw_Events!$G:$G,"DATE",Raw_Events!$J:$J,$A335,Raw_Events!$C:$C,"&gt;="&amp;Settings!$B$4,Raw_Events!$C:$C,"&lt;="&amp;Settings!$B$5))</f>
        <v/>
      </c>
      <c r="H335" s="3">
        <f>IF($A335="","",COUNTIFS(Raw_Events!$G:$G,"SEX",Raw_Events!$J:$J,$A335,Raw_Events!$C:$C,"&gt;="&amp;Settings!$B$4,Raw_Events!$C:$C,"&lt;="&amp;Settings!$B$5))</f>
        <v/>
      </c>
      <c r="I335" s="3">
        <f>IF($A335="","",COUNTIFS(Raw_Events!$G:$G,"PRO_CONTACT_ADDED",Raw_Events!$J:$J,$A335,Raw_Events!$C:$C,"&gt;="&amp;Settings!$B$4,Raw_Events!$C:$C,"&lt;="&amp;Settings!$B$5))</f>
        <v/>
      </c>
    </row>
    <row r="336" ht="15" customHeight="1">
      <c r="F336" s="3">
        <f>IF($A336="","",COUNTIFS(Raw_Events!$G:$G,"SOCIAL_MEET",Raw_Events!$J:$J,$A336,Raw_Events!$C:$C,"&gt;="&amp;Settings!$B$4,Raw_Events!$C:$C,"&lt;="&amp;Settings!$B$5))</f>
        <v/>
      </c>
      <c r="G336" s="3">
        <f>IF($A336="","",COUNTIFS(Raw_Events!$G:$G,"DATE",Raw_Events!$J:$J,$A336,Raw_Events!$C:$C,"&gt;="&amp;Settings!$B$4,Raw_Events!$C:$C,"&lt;="&amp;Settings!$B$5))</f>
        <v/>
      </c>
      <c r="H336" s="3">
        <f>IF($A336="","",COUNTIFS(Raw_Events!$G:$G,"SEX",Raw_Events!$J:$J,$A336,Raw_Events!$C:$C,"&gt;="&amp;Settings!$B$4,Raw_Events!$C:$C,"&lt;="&amp;Settings!$B$5))</f>
        <v/>
      </c>
      <c r="I336" s="3">
        <f>IF($A336="","",COUNTIFS(Raw_Events!$G:$G,"PRO_CONTACT_ADDED",Raw_Events!$J:$J,$A336,Raw_Events!$C:$C,"&gt;="&amp;Settings!$B$4,Raw_Events!$C:$C,"&lt;="&amp;Settings!$B$5))</f>
        <v/>
      </c>
    </row>
    <row r="337" ht="15" customHeight="1">
      <c r="F337" s="3">
        <f>IF($A337="","",COUNTIFS(Raw_Events!$G:$G,"SOCIAL_MEET",Raw_Events!$J:$J,$A337,Raw_Events!$C:$C,"&gt;="&amp;Settings!$B$4,Raw_Events!$C:$C,"&lt;="&amp;Settings!$B$5))</f>
        <v/>
      </c>
      <c r="G337" s="3">
        <f>IF($A337="","",COUNTIFS(Raw_Events!$G:$G,"DATE",Raw_Events!$J:$J,$A337,Raw_Events!$C:$C,"&gt;="&amp;Settings!$B$4,Raw_Events!$C:$C,"&lt;="&amp;Settings!$B$5))</f>
        <v/>
      </c>
      <c r="H337" s="3">
        <f>IF($A337="","",COUNTIFS(Raw_Events!$G:$G,"SEX",Raw_Events!$J:$J,$A337,Raw_Events!$C:$C,"&gt;="&amp;Settings!$B$4,Raw_Events!$C:$C,"&lt;="&amp;Settings!$B$5))</f>
        <v/>
      </c>
      <c r="I337" s="3">
        <f>IF($A337="","",COUNTIFS(Raw_Events!$G:$G,"PRO_CONTACT_ADDED",Raw_Events!$J:$J,$A337,Raw_Events!$C:$C,"&gt;="&amp;Settings!$B$4,Raw_Events!$C:$C,"&lt;="&amp;Settings!$B$5))</f>
        <v/>
      </c>
    </row>
    <row r="338" ht="15" customHeight="1">
      <c r="F338" s="3">
        <f>IF($A338="","",COUNTIFS(Raw_Events!$G:$G,"SOCIAL_MEET",Raw_Events!$J:$J,$A338,Raw_Events!$C:$C,"&gt;="&amp;Settings!$B$4,Raw_Events!$C:$C,"&lt;="&amp;Settings!$B$5))</f>
        <v/>
      </c>
      <c r="G338" s="3">
        <f>IF($A338="","",COUNTIFS(Raw_Events!$G:$G,"DATE",Raw_Events!$J:$J,$A338,Raw_Events!$C:$C,"&gt;="&amp;Settings!$B$4,Raw_Events!$C:$C,"&lt;="&amp;Settings!$B$5))</f>
        <v/>
      </c>
      <c r="H338" s="3">
        <f>IF($A338="","",COUNTIFS(Raw_Events!$G:$G,"SEX",Raw_Events!$J:$J,$A338,Raw_Events!$C:$C,"&gt;="&amp;Settings!$B$4,Raw_Events!$C:$C,"&lt;="&amp;Settings!$B$5))</f>
        <v/>
      </c>
      <c r="I338" s="3">
        <f>IF($A338="","",COUNTIFS(Raw_Events!$G:$G,"PRO_CONTACT_ADDED",Raw_Events!$J:$J,$A338,Raw_Events!$C:$C,"&gt;="&amp;Settings!$B$4,Raw_Events!$C:$C,"&lt;="&amp;Settings!$B$5))</f>
        <v/>
      </c>
    </row>
    <row r="339" ht="15" customHeight="1">
      <c r="F339" s="3">
        <f>IF($A339="","",COUNTIFS(Raw_Events!$G:$G,"SOCIAL_MEET",Raw_Events!$J:$J,$A339,Raw_Events!$C:$C,"&gt;="&amp;Settings!$B$4,Raw_Events!$C:$C,"&lt;="&amp;Settings!$B$5))</f>
        <v/>
      </c>
      <c r="G339" s="3">
        <f>IF($A339="","",COUNTIFS(Raw_Events!$G:$G,"DATE",Raw_Events!$J:$J,$A339,Raw_Events!$C:$C,"&gt;="&amp;Settings!$B$4,Raw_Events!$C:$C,"&lt;="&amp;Settings!$B$5))</f>
        <v/>
      </c>
      <c r="H339" s="3">
        <f>IF($A339="","",COUNTIFS(Raw_Events!$G:$G,"SEX",Raw_Events!$J:$J,$A339,Raw_Events!$C:$C,"&gt;="&amp;Settings!$B$4,Raw_Events!$C:$C,"&lt;="&amp;Settings!$B$5))</f>
        <v/>
      </c>
      <c r="I339" s="3">
        <f>IF($A339="","",COUNTIFS(Raw_Events!$G:$G,"PRO_CONTACT_ADDED",Raw_Events!$J:$J,$A339,Raw_Events!$C:$C,"&gt;="&amp;Settings!$B$4,Raw_Events!$C:$C,"&lt;="&amp;Settings!$B$5))</f>
        <v/>
      </c>
    </row>
    <row r="340" ht="15" customHeight="1">
      <c r="F340" s="3">
        <f>IF($A340="","",COUNTIFS(Raw_Events!$G:$G,"SOCIAL_MEET",Raw_Events!$J:$J,$A340,Raw_Events!$C:$C,"&gt;="&amp;Settings!$B$4,Raw_Events!$C:$C,"&lt;="&amp;Settings!$B$5))</f>
        <v/>
      </c>
      <c r="G340" s="3">
        <f>IF($A340="","",COUNTIFS(Raw_Events!$G:$G,"DATE",Raw_Events!$J:$J,$A340,Raw_Events!$C:$C,"&gt;="&amp;Settings!$B$4,Raw_Events!$C:$C,"&lt;="&amp;Settings!$B$5))</f>
        <v/>
      </c>
      <c r="H340" s="3">
        <f>IF($A340="","",COUNTIFS(Raw_Events!$G:$G,"SEX",Raw_Events!$J:$J,$A340,Raw_Events!$C:$C,"&gt;="&amp;Settings!$B$4,Raw_Events!$C:$C,"&lt;="&amp;Settings!$B$5))</f>
        <v/>
      </c>
      <c r="I340" s="3">
        <f>IF($A340="","",COUNTIFS(Raw_Events!$G:$G,"PRO_CONTACT_ADDED",Raw_Events!$J:$J,$A340,Raw_Events!$C:$C,"&gt;="&amp;Settings!$B$4,Raw_Events!$C:$C,"&lt;="&amp;Settings!$B$5))</f>
        <v/>
      </c>
    </row>
    <row r="341" ht="15" customHeight="1">
      <c r="F341" s="3">
        <f>IF($A341="","",COUNTIFS(Raw_Events!$G:$G,"SOCIAL_MEET",Raw_Events!$J:$J,$A341,Raw_Events!$C:$C,"&gt;="&amp;Settings!$B$4,Raw_Events!$C:$C,"&lt;="&amp;Settings!$B$5))</f>
        <v/>
      </c>
      <c r="G341" s="3">
        <f>IF($A341="","",COUNTIFS(Raw_Events!$G:$G,"DATE",Raw_Events!$J:$J,$A341,Raw_Events!$C:$C,"&gt;="&amp;Settings!$B$4,Raw_Events!$C:$C,"&lt;="&amp;Settings!$B$5))</f>
        <v/>
      </c>
      <c r="H341" s="3">
        <f>IF($A341="","",COUNTIFS(Raw_Events!$G:$G,"SEX",Raw_Events!$J:$J,$A341,Raw_Events!$C:$C,"&gt;="&amp;Settings!$B$4,Raw_Events!$C:$C,"&lt;="&amp;Settings!$B$5))</f>
        <v/>
      </c>
      <c r="I341" s="3">
        <f>IF($A341="","",COUNTIFS(Raw_Events!$G:$G,"PRO_CONTACT_ADDED",Raw_Events!$J:$J,$A341,Raw_Events!$C:$C,"&gt;="&amp;Settings!$B$4,Raw_Events!$C:$C,"&lt;="&amp;Settings!$B$5))</f>
        <v/>
      </c>
    </row>
    <row r="342" ht="15" customHeight="1">
      <c r="F342" s="3">
        <f>IF($A342="","",COUNTIFS(Raw_Events!$G:$G,"SOCIAL_MEET",Raw_Events!$J:$J,$A342,Raw_Events!$C:$C,"&gt;="&amp;Settings!$B$4,Raw_Events!$C:$C,"&lt;="&amp;Settings!$B$5))</f>
        <v/>
      </c>
      <c r="G342" s="3">
        <f>IF($A342="","",COUNTIFS(Raw_Events!$G:$G,"DATE",Raw_Events!$J:$J,$A342,Raw_Events!$C:$C,"&gt;="&amp;Settings!$B$4,Raw_Events!$C:$C,"&lt;="&amp;Settings!$B$5))</f>
        <v/>
      </c>
      <c r="H342" s="3">
        <f>IF($A342="","",COUNTIFS(Raw_Events!$G:$G,"SEX",Raw_Events!$J:$J,$A342,Raw_Events!$C:$C,"&gt;="&amp;Settings!$B$4,Raw_Events!$C:$C,"&lt;="&amp;Settings!$B$5))</f>
        <v/>
      </c>
      <c r="I342" s="3">
        <f>IF($A342="","",COUNTIFS(Raw_Events!$G:$G,"PRO_CONTACT_ADDED",Raw_Events!$J:$J,$A342,Raw_Events!$C:$C,"&gt;="&amp;Settings!$B$4,Raw_Events!$C:$C,"&lt;="&amp;Settings!$B$5))</f>
        <v/>
      </c>
    </row>
    <row r="343" ht="15" customHeight="1">
      <c r="F343" s="3">
        <f>IF($A343="","",COUNTIFS(Raw_Events!$G:$G,"SOCIAL_MEET",Raw_Events!$J:$J,$A343,Raw_Events!$C:$C,"&gt;="&amp;Settings!$B$4,Raw_Events!$C:$C,"&lt;="&amp;Settings!$B$5))</f>
        <v/>
      </c>
      <c r="G343" s="3">
        <f>IF($A343="","",COUNTIFS(Raw_Events!$G:$G,"DATE",Raw_Events!$J:$J,$A343,Raw_Events!$C:$C,"&gt;="&amp;Settings!$B$4,Raw_Events!$C:$C,"&lt;="&amp;Settings!$B$5))</f>
        <v/>
      </c>
      <c r="H343" s="3">
        <f>IF($A343="","",COUNTIFS(Raw_Events!$G:$G,"SEX",Raw_Events!$J:$J,$A343,Raw_Events!$C:$C,"&gt;="&amp;Settings!$B$4,Raw_Events!$C:$C,"&lt;="&amp;Settings!$B$5))</f>
        <v/>
      </c>
      <c r="I343" s="3">
        <f>IF($A343="","",COUNTIFS(Raw_Events!$G:$G,"PRO_CONTACT_ADDED",Raw_Events!$J:$J,$A343,Raw_Events!$C:$C,"&gt;="&amp;Settings!$B$4,Raw_Events!$C:$C,"&lt;="&amp;Settings!$B$5))</f>
        <v/>
      </c>
    </row>
    <row r="344" ht="15" customHeight="1">
      <c r="F344" s="3">
        <f>IF($A344="","",COUNTIFS(Raw_Events!$G:$G,"SOCIAL_MEET",Raw_Events!$J:$J,$A344,Raw_Events!$C:$C,"&gt;="&amp;Settings!$B$4,Raw_Events!$C:$C,"&lt;="&amp;Settings!$B$5))</f>
        <v/>
      </c>
      <c r="G344" s="3">
        <f>IF($A344="","",COUNTIFS(Raw_Events!$G:$G,"DATE",Raw_Events!$J:$J,$A344,Raw_Events!$C:$C,"&gt;="&amp;Settings!$B$4,Raw_Events!$C:$C,"&lt;="&amp;Settings!$B$5))</f>
        <v/>
      </c>
      <c r="H344" s="3">
        <f>IF($A344="","",COUNTIFS(Raw_Events!$G:$G,"SEX",Raw_Events!$J:$J,$A344,Raw_Events!$C:$C,"&gt;="&amp;Settings!$B$4,Raw_Events!$C:$C,"&lt;="&amp;Settings!$B$5))</f>
        <v/>
      </c>
      <c r="I344" s="3">
        <f>IF($A344="","",COUNTIFS(Raw_Events!$G:$G,"PRO_CONTACT_ADDED",Raw_Events!$J:$J,$A344,Raw_Events!$C:$C,"&gt;="&amp;Settings!$B$4,Raw_Events!$C:$C,"&lt;="&amp;Settings!$B$5))</f>
        <v/>
      </c>
    </row>
    <row r="345" ht="15" customHeight="1">
      <c r="F345" s="3">
        <f>IF($A345="","",COUNTIFS(Raw_Events!$G:$G,"SOCIAL_MEET",Raw_Events!$J:$J,$A345,Raw_Events!$C:$C,"&gt;="&amp;Settings!$B$4,Raw_Events!$C:$C,"&lt;="&amp;Settings!$B$5))</f>
        <v/>
      </c>
      <c r="G345" s="3">
        <f>IF($A345="","",COUNTIFS(Raw_Events!$G:$G,"DATE",Raw_Events!$J:$J,$A345,Raw_Events!$C:$C,"&gt;="&amp;Settings!$B$4,Raw_Events!$C:$C,"&lt;="&amp;Settings!$B$5))</f>
        <v/>
      </c>
      <c r="H345" s="3">
        <f>IF($A345="","",COUNTIFS(Raw_Events!$G:$G,"SEX",Raw_Events!$J:$J,$A345,Raw_Events!$C:$C,"&gt;="&amp;Settings!$B$4,Raw_Events!$C:$C,"&lt;="&amp;Settings!$B$5))</f>
        <v/>
      </c>
      <c r="I345" s="3">
        <f>IF($A345="","",COUNTIFS(Raw_Events!$G:$G,"PRO_CONTACT_ADDED",Raw_Events!$J:$J,$A345,Raw_Events!$C:$C,"&gt;="&amp;Settings!$B$4,Raw_Events!$C:$C,"&lt;="&amp;Settings!$B$5))</f>
        <v/>
      </c>
    </row>
    <row r="346" ht="15" customHeight="1">
      <c r="F346" s="3">
        <f>IF($A346="","",COUNTIFS(Raw_Events!$G:$G,"SOCIAL_MEET",Raw_Events!$J:$J,$A346,Raw_Events!$C:$C,"&gt;="&amp;Settings!$B$4,Raw_Events!$C:$C,"&lt;="&amp;Settings!$B$5))</f>
        <v/>
      </c>
      <c r="G346" s="3">
        <f>IF($A346="","",COUNTIFS(Raw_Events!$G:$G,"DATE",Raw_Events!$J:$J,$A346,Raw_Events!$C:$C,"&gt;="&amp;Settings!$B$4,Raw_Events!$C:$C,"&lt;="&amp;Settings!$B$5))</f>
        <v/>
      </c>
      <c r="H346" s="3">
        <f>IF($A346="","",COUNTIFS(Raw_Events!$G:$G,"SEX",Raw_Events!$J:$J,$A346,Raw_Events!$C:$C,"&gt;="&amp;Settings!$B$4,Raw_Events!$C:$C,"&lt;="&amp;Settings!$B$5))</f>
        <v/>
      </c>
      <c r="I346" s="3">
        <f>IF($A346="","",COUNTIFS(Raw_Events!$G:$G,"PRO_CONTACT_ADDED",Raw_Events!$J:$J,$A346,Raw_Events!$C:$C,"&gt;="&amp;Settings!$B$4,Raw_Events!$C:$C,"&lt;="&amp;Settings!$B$5))</f>
        <v/>
      </c>
    </row>
    <row r="347" ht="15" customHeight="1">
      <c r="F347" s="3">
        <f>IF($A347="","",COUNTIFS(Raw_Events!$G:$G,"SOCIAL_MEET",Raw_Events!$J:$J,$A347,Raw_Events!$C:$C,"&gt;="&amp;Settings!$B$4,Raw_Events!$C:$C,"&lt;="&amp;Settings!$B$5))</f>
        <v/>
      </c>
      <c r="G347" s="3">
        <f>IF($A347="","",COUNTIFS(Raw_Events!$G:$G,"DATE",Raw_Events!$J:$J,$A347,Raw_Events!$C:$C,"&gt;="&amp;Settings!$B$4,Raw_Events!$C:$C,"&lt;="&amp;Settings!$B$5))</f>
        <v/>
      </c>
      <c r="H347" s="3">
        <f>IF($A347="","",COUNTIFS(Raw_Events!$G:$G,"SEX",Raw_Events!$J:$J,$A347,Raw_Events!$C:$C,"&gt;="&amp;Settings!$B$4,Raw_Events!$C:$C,"&lt;="&amp;Settings!$B$5))</f>
        <v/>
      </c>
      <c r="I347" s="3">
        <f>IF($A347="","",COUNTIFS(Raw_Events!$G:$G,"PRO_CONTACT_ADDED",Raw_Events!$J:$J,$A347,Raw_Events!$C:$C,"&gt;="&amp;Settings!$B$4,Raw_Events!$C:$C,"&lt;="&amp;Settings!$B$5))</f>
        <v/>
      </c>
    </row>
    <row r="348" ht="15" customHeight="1">
      <c r="F348" s="3">
        <f>IF($A348="","",COUNTIFS(Raw_Events!$G:$G,"SOCIAL_MEET",Raw_Events!$J:$J,$A348,Raw_Events!$C:$C,"&gt;="&amp;Settings!$B$4,Raw_Events!$C:$C,"&lt;="&amp;Settings!$B$5))</f>
        <v/>
      </c>
      <c r="G348" s="3">
        <f>IF($A348="","",COUNTIFS(Raw_Events!$G:$G,"DATE",Raw_Events!$J:$J,$A348,Raw_Events!$C:$C,"&gt;="&amp;Settings!$B$4,Raw_Events!$C:$C,"&lt;="&amp;Settings!$B$5))</f>
        <v/>
      </c>
      <c r="H348" s="3">
        <f>IF($A348="","",COUNTIFS(Raw_Events!$G:$G,"SEX",Raw_Events!$J:$J,$A348,Raw_Events!$C:$C,"&gt;="&amp;Settings!$B$4,Raw_Events!$C:$C,"&lt;="&amp;Settings!$B$5))</f>
        <v/>
      </c>
      <c r="I348" s="3">
        <f>IF($A348="","",COUNTIFS(Raw_Events!$G:$G,"PRO_CONTACT_ADDED",Raw_Events!$J:$J,$A348,Raw_Events!$C:$C,"&gt;="&amp;Settings!$B$4,Raw_Events!$C:$C,"&lt;="&amp;Settings!$B$5))</f>
        <v/>
      </c>
    </row>
    <row r="349" ht="15" customHeight="1">
      <c r="F349" s="3">
        <f>IF($A349="","",COUNTIFS(Raw_Events!$G:$G,"SOCIAL_MEET",Raw_Events!$J:$J,$A349,Raw_Events!$C:$C,"&gt;="&amp;Settings!$B$4,Raw_Events!$C:$C,"&lt;="&amp;Settings!$B$5))</f>
        <v/>
      </c>
      <c r="G349" s="3">
        <f>IF($A349="","",COUNTIFS(Raw_Events!$G:$G,"DATE",Raw_Events!$J:$J,$A349,Raw_Events!$C:$C,"&gt;="&amp;Settings!$B$4,Raw_Events!$C:$C,"&lt;="&amp;Settings!$B$5))</f>
        <v/>
      </c>
      <c r="H349" s="3">
        <f>IF($A349="","",COUNTIFS(Raw_Events!$G:$G,"SEX",Raw_Events!$J:$J,$A349,Raw_Events!$C:$C,"&gt;="&amp;Settings!$B$4,Raw_Events!$C:$C,"&lt;="&amp;Settings!$B$5))</f>
        <v/>
      </c>
      <c r="I349" s="3">
        <f>IF($A349="","",COUNTIFS(Raw_Events!$G:$G,"PRO_CONTACT_ADDED",Raw_Events!$J:$J,$A349,Raw_Events!$C:$C,"&gt;="&amp;Settings!$B$4,Raw_Events!$C:$C,"&lt;="&amp;Settings!$B$5))</f>
        <v/>
      </c>
    </row>
    <row r="350" ht="15" customHeight="1">
      <c r="F350" s="3">
        <f>IF($A350="","",COUNTIFS(Raw_Events!$G:$G,"SOCIAL_MEET",Raw_Events!$J:$J,$A350,Raw_Events!$C:$C,"&gt;="&amp;Settings!$B$4,Raw_Events!$C:$C,"&lt;="&amp;Settings!$B$5))</f>
        <v/>
      </c>
      <c r="G350" s="3">
        <f>IF($A350="","",COUNTIFS(Raw_Events!$G:$G,"DATE",Raw_Events!$J:$J,$A350,Raw_Events!$C:$C,"&gt;="&amp;Settings!$B$4,Raw_Events!$C:$C,"&lt;="&amp;Settings!$B$5))</f>
        <v/>
      </c>
      <c r="H350" s="3">
        <f>IF($A350="","",COUNTIFS(Raw_Events!$G:$G,"SEX",Raw_Events!$J:$J,$A350,Raw_Events!$C:$C,"&gt;="&amp;Settings!$B$4,Raw_Events!$C:$C,"&lt;="&amp;Settings!$B$5))</f>
        <v/>
      </c>
      <c r="I350" s="3">
        <f>IF($A350="","",COUNTIFS(Raw_Events!$G:$G,"PRO_CONTACT_ADDED",Raw_Events!$J:$J,$A350,Raw_Events!$C:$C,"&gt;="&amp;Settings!$B$4,Raw_Events!$C:$C,"&lt;="&amp;Settings!$B$5))</f>
        <v/>
      </c>
    </row>
    <row r="351" ht="15" customHeight="1">
      <c r="F351" s="3">
        <f>IF($A351="","",COUNTIFS(Raw_Events!$G:$G,"SOCIAL_MEET",Raw_Events!$J:$J,$A351,Raw_Events!$C:$C,"&gt;="&amp;Settings!$B$4,Raw_Events!$C:$C,"&lt;="&amp;Settings!$B$5))</f>
        <v/>
      </c>
      <c r="G351" s="3">
        <f>IF($A351="","",COUNTIFS(Raw_Events!$G:$G,"DATE",Raw_Events!$J:$J,$A351,Raw_Events!$C:$C,"&gt;="&amp;Settings!$B$4,Raw_Events!$C:$C,"&lt;="&amp;Settings!$B$5))</f>
        <v/>
      </c>
      <c r="H351" s="3">
        <f>IF($A351="","",COUNTIFS(Raw_Events!$G:$G,"SEX",Raw_Events!$J:$J,$A351,Raw_Events!$C:$C,"&gt;="&amp;Settings!$B$4,Raw_Events!$C:$C,"&lt;="&amp;Settings!$B$5))</f>
        <v/>
      </c>
      <c r="I351" s="3">
        <f>IF($A351="","",COUNTIFS(Raw_Events!$G:$G,"PRO_CONTACT_ADDED",Raw_Events!$J:$J,$A351,Raw_Events!$C:$C,"&gt;="&amp;Settings!$B$4,Raw_Events!$C:$C,"&lt;="&amp;Settings!$B$5))</f>
        <v/>
      </c>
    </row>
    <row r="352" ht="15" customHeight="1">
      <c r="F352" s="3">
        <f>IF($A352="","",COUNTIFS(Raw_Events!$G:$G,"SOCIAL_MEET",Raw_Events!$J:$J,$A352,Raw_Events!$C:$C,"&gt;="&amp;Settings!$B$4,Raw_Events!$C:$C,"&lt;="&amp;Settings!$B$5))</f>
        <v/>
      </c>
      <c r="G352" s="3">
        <f>IF($A352="","",COUNTIFS(Raw_Events!$G:$G,"DATE",Raw_Events!$J:$J,$A352,Raw_Events!$C:$C,"&gt;="&amp;Settings!$B$4,Raw_Events!$C:$C,"&lt;="&amp;Settings!$B$5))</f>
        <v/>
      </c>
      <c r="H352" s="3">
        <f>IF($A352="","",COUNTIFS(Raw_Events!$G:$G,"SEX",Raw_Events!$J:$J,$A352,Raw_Events!$C:$C,"&gt;="&amp;Settings!$B$4,Raw_Events!$C:$C,"&lt;="&amp;Settings!$B$5))</f>
        <v/>
      </c>
      <c r="I352" s="3">
        <f>IF($A352="","",COUNTIFS(Raw_Events!$G:$G,"PRO_CONTACT_ADDED",Raw_Events!$J:$J,$A352,Raw_Events!$C:$C,"&gt;="&amp;Settings!$B$4,Raw_Events!$C:$C,"&lt;="&amp;Settings!$B$5))</f>
        <v/>
      </c>
    </row>
    <row r="353" ht="15" customHeight="1">
      <c r="F353" s="3">
        <f>IF($A353="","",COUNTIFS(Raw_Events!$G:$G,"SOCIAL_MEET",Raw_Events!$J:$J,$A353,Raw_Events!$C:$C,"&gt;="&amp;Settings!$B$4,Raw_Events!$C:$C,"&lt;="&amp;Settings!$B$5))</f>
        <v/>
      </c>
      <c r="G353" s="3">
        <f>IF($A353="","",COUNTIFS(Raw_Events!$G:$G,"DATE",Raw_Events!$J:$J,$A353,Raw_Events!$C:$C,"&gt;="&amp;Settings!$B$4,Raw_Events!$C:$C,"&lt;="&amp;Settings!$B$5))</f>
        <v/>
      </c>
      <c r="H353" s="3">
        <f>IF($A353="","",COUNTIFS(Raw_Events!$G:$G,"SEX",Raw_Events!$J:$J,$A353,Raw_Events!$C:$C,"&gt;="&amp;Settings!$B$4,Raw_Events!$C:$C,"&lt;="&amp;Settings!$B$5))</f>
        <v/>
      </c>
      <c r="I353" s="3">
        <f>IF($A353="","",COUNTIFS(Raw_Events!$G:$G,"PRO_CONTACT_ADDED",Raw_Events!$J:$J,$A353,Raw_Events!$C:$C,"&gt;="&amp;Settings!$B$4,Raw_Events!$C:$C,"&lt;="&amp;Settings!$B$5))</f>
        <v/>
      </c>
    </row>
    <row r="354" ht="15" customHeight="1">
      <c r="F354" s="3">
        <f>IF($A354="","",COUNTIFS(Raw_Events!$G:$G,"SOCIAL_MEET",Raw_Events!$J:$J,$A354,Raw_Events!$C:$C,"&gt;="&amp;Settings!$B$4,Raw_Events!$C:$C,"&lt;="&amp;Settings!$B$5))</f>
        <v/>
      </c>
      <c r="G354" s="3">
        <f>IF($A354="","",COUNTIFS(Raw_Events!$G:$G,"DATE",Raw_Events!$J:$J,$A354,Raw_Events!$C:$C,"&gt;="&amp;Settings!$B$4,Raw_Events!$C:$C,"&lt;="&amp;Settings!$B$5))</f>
        <v/>
      </c>
      <c r="H354" s="3">
        <f>IF($A354="","",COUNTIFS(Raw_Events!$G:$G,"SEX",Raw_Events!$J:$J,$A354,Raw_Events!$C:$C,"&gt;="&amp;Settings!$B$4,Raw_Events!$C:$C,"&lt;="&amp;Settings!$B$5))</f>
        <v/>
      </c>
      <c r="I354" s="3">
        <f>IF($A354="","",COUNTIFS(Raw_Events!$G:$G,"PRO_CONTACT_ADDED",Raw_Events!$J:$J,$A354,Raw_Events!$C:$C,"&gt;="&amp;Settings!$B$4,Raw_Events!$C:$C,"&lt;="&amp;Settings!$B$5))</f>
        <v/>
      </c>
    </row>
    <row r="355" ht="15" customHeight="1">
      <c r="F355" s="3">
        <f>IF($A355="","",COUNTIFS(Raw_Events!$G:$G,"SOCIAL_MEET",Raw_Events!$J:$J,$A355,Raw_Events!$C:$C,"&gt;="&amp;Settings!$B$4,Raw_Events!$C:$C,"&lt;="&amp;Settings!$B$5))</f>
        <v/>
      </c>
      <c r="G355" s="3">
        <f>IF($A355="","",COUNTIFS(Raw_Events!$G:$G,"DATE",Raw_Events!$J:$J,$A355,Raw_Events!$C:$C,"&gt;="&amp;Settings!$B$4,Raw_Events!$C:$C,"&lt;="&amp;Settings!$B$5))</f>
        <v/>
      </c>
      <c r="H355" s="3">
        <f>IF($A355="","",COUNTIFS(Raw_Events!$G:$G,"SEX",Raw_Events!$J:$J,$A355,Raw_Events!$C:$C,"&gt;="&amp;Settings!$B$4,Raw_Events!$C:$C,"&lt;="&amp;Settings!$B$5))</f>
        <v/>
      </c>
      <c r="I355" s="3">
        <f>IF($A355="","",COUNTIFS(Raw_Events!$G:$G,"PRO_CONTACT_ADDED",Raw_Events!$J:$J,$A355,Raw_Events!$C:$C,"&gt;="&amp;Settings!$B$4,Raw_Events!$C:$C,"&lt;="&amp;Settings!$B$5))</f>
        <v/>
      </c>
    </row>
    <row r="356" ht="15" customHeight="1">
      <c r="F356" s="3">
        <f>IF($A356="","",COUNTIFS(Raw_Events!$G:$G,"SOCIAL_MEET",Raw_Events!$J:$J,$A356,Raw_Events!$C:$C,"&gt;="&amp;Settings!$B$4,Raw_Events!$C:$C,"&lt;="&amp;Settings!$B$5))</f>
        <v/>
      </c>
      <c r="G356" s="3">
        <f>IF($A356="","",COUNTIFS(Raw_Events!$G:$G,"DATE",Raw_Events!$J:$J,$A356,Raw_Events!$C:$C,"&gt;="&amp;Settings!$B$4,Raw_Events!$C:$C,"&lt;="&amp;Settings!$B$5))</f>
        <v/>
      </c>
      <c r="H356" s="3">
        <f>IF($A356="","",COUNTIFS(Raw_Events!$G:$G,"SEX",Raw_Events!$J:$J,$A356,Raw_Events!$C:$C,"&gt;="&amp;Settings!$B$4,Raw_Events!$C:$C,"&lt;="&amp;Settings!$B$5))</f>
        <v/>
      </c>
      <c r="I356" s="3">
        <f>IF($A356="","",COUNTIFS(Raw_Events!$G:$G,"PRO_CONTACT_ADDED",Raw_Events!$J:$J,$A356,Raw_Events!$C:$C,"&gt;="&amp;Settings!$B$4,Raw_Events!$C:$C,"&lt;="&amp;Settings!$B$5))</f>
        <v/>
      </c>
    </row>
    <row r="357" ht="15" customHeight="1">
      <c r="F357" s="3">
        <f>IF($A357="","",COUNTIFS(Raw_Events!$G:$G,"SOCIAL_MEET",Raw_Events!$J:$J,$A357,Raw_Events!$C:$C,"&gt;="&amp;Settings!$B$4,Raw_Events!$C:$C,"&lt;="&amp;Settings!$B$5))</f>
        <v/>
      </c>
      <c r="G357" s="3">
        <f>IF($A357="","",COUNTIFS(Raw_Events!$G:$G,"DATE",Raw_Events!$J:$J,$A357,Raw_Events!$C:$C,"&gt;="&amp;Settings!$B$4,Raw_Events!$C:$C,"&lt;="&amp;Settings!$B$5))</f>
        <v/>
      </c>
      <c r="H357" s="3">
        <f>IF($A357="","",COUNTIFS(Raw_Events!$G:$G,"SEX",Raw_Events!$J:$J,$A357,Raw_Events!$C:$C,"&gt;="&amp;Settings!$B$4,Raw_Events!$C:$C,"&lt;="&amp;Settings!$B$5))</f>
        <v/>
      </c>
      <c r="I357" s="3">
        <f>IF($A357="","",COUNTIFS(Raw_Events!$G:$G,"PRO_CONTACT_ADDED",Raw_Events!$J:$J,$A357,Raw_Events!$C:$C,"&gt;="&amp;Settings!$B$4,Raw_Events!$C:$C,"&lt;="&amp;Settings!$B$5))</f>
        <v/>
      </c>
    </row>
    <row r="358" ht="15" customHeight="1">
      <c r="F358" s="3">
        <f>IF($A358="","",COUNTIFS(Raw_Events!$G:$G,"SOCIAL_MEET",Raw_Events!$J:$J,$A358,Raw_Events!$C:$C,"&gt;="&amp;Settings!$B$4,Raw_Events!$C:$C,"&lt;="&amp;Settings!$B$5))</f>
        <v/>
      </c>
      <c r="G358" s="3">
        <f>IF($A358="","",COUNTIFS(Raw_Events!$G:$G,"DATE",Raw_Events!$J:$J,$A358,Raw_Events!$C:$C,"&gt;="&amp;Settings!$B$4,Raw_Events!$C:$C,"&lt;="&amp;Settings!$B$5))</f>
        <v/>
      </c>
      <c r="H358" s="3">
        <f>IF($A358="","",COUNTIFS(Raw_Events!$G:$G,"SEX",Raw_Events!$J:$J,$A358,Raw_Events!$C:$C,"&gt;="&amp;Settings!$B$4,Raw_Events!$C:$C,"&lt;="&amp;Settings!$B$5))</f>
        <v/>
      </c>
      <c r="I358" s="3">
        <f>IF($A358="","",COUNTIFS(Raw_Events!$G:$G,"PRO_CONTACT_ADDED",Raw_Events!$J:$J,$A358,Raw_Events!$C:$C,"&gt;="&amp;Settings!$B$4,Raw_Events!$C:$C,"&lt;="&amp;Settings!$B$5))</f>
        <v/>
      </c>
    </row>
    <row r="359" ht="15" customHeight="1">
      <c r="F359" s="3">
        <f>IF($A359="","",COUNTIFS(Raw_Events!$G:$G,"SOCIAL_MEET",Raw_Events!$J:$J,$A359,Raw_Events!$C:$C,"&gt;="&amp;Settings!$B$4,Raw_Events!$C:$C,"&lt;="&amp;Settings!$B$5))</f>
        <v/>
      </c>
      <c r="G359" s="3">
        <f>IF($A359="","",COUNTIFS(Raw_Events!$G:$G,"DATE",Raw_Events!$J:$J,$A359,Raw_Events!$C:$C,"&gt;="&amp;Settings!$B$4,Raw_Events!$C:$C,"&lt;="&amp;Settings!$B$5))</f>
        <v/>
      </c>
      <c r="H359" s="3">
        <f>IF($A359="","",COUNTIFS(Raw_Events!$G:$G,"SEX",Raw_Events!$J:$J,$A359,Raw_Events!$C:$C,"&gt;="&amp;Settings!$B$4,Raw_Events!$C:$C,"&lt;="&amp;Settings!$B$5))</f>
        <v/>
      </c>
      <c r="I359" s="3">
        <f>IF($A359="","",COUNTIFS(Raw_Events!$G:$G,"PRO_CONTACT_ADDED",Raw_Events!$J:$J,$A359,Raw_Events!$C:$C,"&gt;="&amp;Settings!$B$4,Raw_Events!$C:$C,"&lt;="&amp;Settings!$B$5))</f>
        <v/>
      </c>
    </row>
    <row r="360" ht="15" customHeight="1">
      <c r="F360" s="3">
        <f>IF($A360="","",COUNTIFS(Raw_Events!$G:$G,"SOCIAL_MEET",Raw_Events!$J:$J,$A360,Raw_Events!$C:$C,"&gt;="&amp;Settings!$B$4,Raw_Events!$C:$C,"&lt;="&amp;Settings!$B$5))</f>
        <v/>
      </c>
      <c r="G360" s="3">
        <f>IF($A360="","",COUNTIFS(Raw_Events!$G:$G,"DATE",Raw_Events!$J:$J,$A360,Raw_Events!$C:$C,"&gt;="&amp;Settings!$B$4,Raw_Events!$C:$C,"&lt;="&amp;Settings!$B$5))</f>
        <v/>
      </c>
      <c r="H360" s="3">
        <f>IF($A360="","",COUNTIFS(Raw_Events!$G:$G,"SEX",Raw_Events!$J:$J,$A360,Raw_Events!$C:$C,"&gt;="&amp;Settings!$B$4,Raw_Events!$C:$C,"&lt;="&amp;Settings!$B$5))</f>
        <v/>
      </c>
      <c r="I360" s="3">
        <f>IF($A360="","",COUNTIFS(Raw_Events!$G:$G,"PRO_CONTACT_ADDED",Raw_Events!$J:$J,$A360,Raw_Events!$C:$C,"&gt;="&amp;Settings!$B$4,Raw_Events!$C:$C,"&lt;="&amp;Settings!$B$5))</f>
        <v/>
      </c>
    </row>
    <row r="361" ht="15" customHeight="1">
      <c r="F361" s="3">
        <f>IF($A361="","",COUNTIFS(Raw_Events!$G:$G,"SOCIAL_MEET",Raw_Events!$J:$J,$A361,Raw_Events!$C:$C,"&gt;="&amp;Settings!$B$4,Raw_Events!$C:$C,"&lt;="&amp;Settings!$B$5))</f>
        <v/>
      </c>
      <c r="G361" s="3">
        <f>IF($A361="","",COUNTIFS(Raw_Events!$G:$G,"DATE",Raw_Events!$J:$J,$A361,Raw_Events!$C:$C,"&gt;="&amp;Settings!$B$4,Raw_Events!$C:$C,"&lt;="&amp;Settings!$B$5))</f>
        <v/>
      </c>
      <c r="H361" s="3">
        <f>IF($A361="","",COUNTIFS(Raw_Events!$G:$G,"SEX",Raw_Events!$J:$J,$A361,Raw_Events!$C:$C,"&gt;="&amp;Settings!$B$4,Raw_Events!$C:$C,"&lt;="&amp;Settings!$B$5))</f>
        <v/>
      </c>
      <c r="I361" s="3">
        <f>IF($A361="","",COUNTIFS(Raw_Events!$G:$G,"PRO_CONTACT_ADDED",Raw_Events!$J:$J,$A361,Raw_Events!$C:$C,"&gt;="&amp;Settings!$B$4,Raw_Events!$C:$C,"&lt;="&amp;Settings!$B$5))</f>
        <v/>
      </c>
    </row>
    <row r="362" ht="15" customHeight="1">
      <c r="F362" s="3">
        <f>IF($A362="","",COUNTIFS(Raw_Events!$G:$G,"SOCIAL_MEET",Raw_Events!$J:$J,$A362,Raw_Events!$C:$C,"&gt;="&amp;Settings!$B$4,Raw_Events!$C:$C,"&lt;="&amp;Settings!$B$5))</f>
        <v/>
      </c>
      <c r="G362" s="3">
        <f>IF($A362="","",COUNTIFS(Raw_Events!$G:$G,"DATE",Raw_Events!$J:$J,$A362,Raw_Events!$C:$C,"&gt;="&amp;Settings!$B$4,Raw_Events!$C:$C,"&lt;="&amp;Settings!$B$5))</f>
        <v/>
      </c>
      <c r="H362" s="3">
        <f>IF($A362="","",COUNTIFS(Raw_Events!$G:$G,"SEX",Raw_Events!$J:$J,$A362,Raw_Events!$C:$C,"&gt;="&amp;Settings!$B$4,Raw_Events!$C:$C,"&lt;="&amp;Settings!$B$5))</f>
        <v/>
      </c>
      <c r="I362" s="3">
        <f>IF($A362="","",COUNTIFS(Raw_Events!$G:$G,"PRO_CONTACT_ADDED",Raw_Events!$J:$J,$A362,Raw_Events!$C:$C,"&gt;="&amp;Settings!$B$4,Raw_Events!$C:$C,"&lt;="&amp;Settings!$B$5))</f>
        <v/>
      </c>
    </row>
    <row r="363" ht="15" customHeight="1">
      <c r="F363" s="3">
        <f>IF($A363="","",COUNTIFS(Raw_Events!$G:$G,"SOCIAL_MEET",Raw_Events!$J:$J,$A363,Raw_Events!$C:$C,"&gt;="&amp;Settings!$B$4,Raw_Events!$C:$C,"&lt;="&amp;Settings!$B$5))</f>
        <v/>
      </c>
      <c r="G363" s="3">
        <f>IF($A363="","",COUNTIFS(Raw_Events!$G:$G,"DATE",Raw_Events!$J:$J,$A363,Raw_Events!$C:$C,"&gt;="&amp;Settings!$B$4,Raw_Events!$C:$C,"&lt;="&amp;Settings!$B$5))</f>
        <v/>
      </c>
      <c r="H363" s="3">
        <f>IF($A363="","",COUNTIFS(Raw_Events!$G:$G,"SEX",Raw_Events!$J:$J,$A363,Raw_Events!$C:$C,"&gt;="&amp;Settings!$B$4,Raw_Events!$C:$C,"&lt;="&amp;Settings!$B$5))</f>
        <v/>
      </c>
      <c r="I363" s="3">
        <f>IF($A363="","",COUNTIFS(Raw_Events!$G:$G,"PRO_CONTACT_ADDED",Raw_Events!$J:$J,$A363,Raw_Events!$C:$C,"&gt;="&amp;Settings!$B$4,Raw_Events!$C:$C,"&lt;="&amp;Settings!$B$5))</f>
        <v/>
      </c>
    </row>
    <row r="364" ht="15" customHeight="1">
      <c r="F364" s="3">
        <f>IF($A364="","",COUNTIFS(Raw_Events!$G:$G,"SOCIAL_MEET",Raw_Events!$J:$J,$A364,Raw_Events!$C:$C,"&gt;="&amp;Settings!$B$4,Raw_Events!$C:$C,"&lt;="&amp;Settings!$B$5))</f>
        <v/>
      </c>
      <c r="G364" s="3">
        <f>IF($A364="","",COUNTIFS(Raw_Events!$G:$G,"DATE",Raw_Events!$J:$J,$A364,Raw_Events!$C:$C,"&gt;="&amp;Settings!$B$4,Raw_Events!$C:$C,"&lt;="&amp;Settings!$B$5))</f>
        <v/>
      </c>
      <c r="H364" s="3">
        <f>IF($A364="","",COUNTIFS(Raw_Events!$G:$G,"SEX",Raw_Events!$J:$J,$A364,Raw_Events!$C:$C,"&gt;="&amp;Settings!$B$4,Raw_Events!$C:$C,"&lt;="&amp;Settings!$B$5))</f>
        <v/>
      </c>
      <c r="I364" s="3">
        <f>IF($A364="","",COUNTIFS(Raw_Events!$G:$G,"PRO_CONTACT_ADDED",Raw_Events!$J:$J,$A364,Raw_Events!$C:$C,"&gt;="&amp;Settings!$B$4,Raw_Events!$C:$C,"&lt;="&amp;Settings!$B$5))</f>
        <v/>
      </c>
    </row>
    <row r="365" ht="15" customHeight="1">
      <c r="F365" s="3">
        <f>IF($A365="","",COUNTIFS(Raw_Events!$G:$G,"SOCIAL_MEET",Raw_Events!$J:$J,$A365,Raw_Events!$C:$C,"&gt;="&amp;Settings!$B$4,Raw_Events!$C:$C,"&lt;="&amp;Settings!$B$5))</f>
        <v/>
      </c>
      <c r="G365" s="3">
        <f>IF($A365="","",COUNTIFS(Raw_Events!$G:$G,"DATE",Raw_Events!$J:$J,$A365,Raw_Events!$C:$C,"&gt;="&amp;Settings!$B$4,Raw_Events!$C:$C,"&lt;="&amp;Settings!$B$5))</f>
        <v/>
      </c>
      <c r="H365" s="3">
        <f>IF($A365="","",COUNTIFS(Raw_Events!$G:$G,"SEX",Raw_Events!$J:$J,$A365,Raw_Events!$C:$C,"&gt;="&amp;Settings!$B$4,Raw_Events!$C:$C,"&lt;="&amp;Settings!$B$5))</f>
        <v/>
      </c>
      <c r="I365" s="3">
        <f>IF($A365="","",COUNTIFS(Raw_Events!$G:$G,"PRO_CONTACT_ADDED",Raw_Events!$J:$J,$A365,Raw_Events!$C:$C,"&gt;="&amp;Settings!$B$4,Raw_Events!$C:$C,"&lt;="&amp;Settings!$B$5))</f>
        <v/>
      </c>
    </row>
    <row r="366" ht="15" customHeight="1">
      <c r="F366" s="3">
        <f>IF($A366="","",COUNTIFS(Raw_Events!$G:$G,"SOCIAL_MEET",Raw_Events!$J:$J,$A366,Raw_Events!$C:$C,"&gt;="&amp;Settings!$B$4,Raw_Events!$C:$C,"&lt;="&amp;Settings!$B$5))</f>
        <v/>
      </c>
      <c r="G366" s="3">
        <f>IF($A366="","",COUNTIFS(Raw_Events!$G:$G,"DATE",Raw_Events!$J:$J,$A366,Raw_Events!$C:$C,"&gt;="&amp;Settings!$B$4,Raw_Events!$C:$C,"&lt;="&amp;Settings!$B$5))</f>
        <v/>
      </c>
      <c r="H366" s="3">
        <f>IF($A366="","",COUNTIFS(Raw_Events!$G:$G,"SEX",Raw_Events!$J:$J,$A366,Raw_Events!$C:$C,"&gt;="&amp;Settings!$B$4,Raw_Events!$C:$C,"&lt;="&amp;Settings!$B$5))</f>
        <v/>
      </c>
      <c r="I366" s="3">
        <f>IF($A366="","",COUNTIFS(Raw_Events!$G:$G,"PRO_CONTACT_ADDED",Raw_Events!$J:$J,$A366,Raw_Events!$C:$C,"&gt;="&amp;Settings!$B$4,Raw_Events!$C:$C,"&lt;="&amp;Settings!$B$5))</f>
        <v/>
      </c>
    </row>
    <row r="367" ht="15" customHeight="1">
      <c r="F367" s="3">
        <f>IF($A367="","",COUNTIFS(Raw_Events!$G:$G,"SOCIAL_MEET",Raw_Events!$J:$J,$A367,Raw_Events!$C:$C,"&gt;="&amp;Settings!$B$4,Raw_Events!$C:$C,"&lt;="&amp;Settings!$B$5))</f>
        <v/>
      </c>
      <c r="G367" s="3">
        <f>IF($A367="","",COUNTIFS(Raw_Events!$G:$G,"DATE",Raw_Events!$J:$J,$A367,Raw_Events!$C:$C,"&gt;="&amp;Settings!$B$4,Raw_Events!$C:$C,"&lt;="&amp;Settings!$B$5))</f>
        <v/>
      </c>
      <c r="H367" s="3">
        <f>IF($A367="","",COUNTIFS(Raw_Events!$G:$G,"SEX",Raw_Events!$J:$J,$A367,Raw_Events!$C:$C,"&gt;="&amp;Settings!$B$4,Raw_Events!$C:$C,"&lt;="&amp;Settings!$B$5))</f>
        <v/>
      </c>
      <c r="I367" s="3">
        <f>IF($A367="","",COUNTIFS(Raw_Events!$G:$G,"PRO_CONTACT_ADDED",Raw_Events!$J:$J,$A367,Raw_Events!$C:$C,"&gt;="&amp;Settings!$B$4,Raw_Events!$C:$C,"&lt;="&amp;Settings!$B$5))</f>
        <v/>
      </c>
    </row>
    <row r="368" ht="15" customHeight="1">
      <c r="F368" s="3">
        <f>IF($A368="","",COUNTIFS(Raw_Events!$G:$G,"SOCIAL_MEET",Raw_Events!$J:$J,$A368,Raw_Events!$C:$C,"&gt;="&amp;Settings!$B$4,Raw_Events!$C:$C,"&lt;="&amp;Settings!$B$5))</f>
        <v/>
      </c>
      <c r="G368" s="3">
        <f>IF($A368="","",COUNTIFS(Raw_Events!$G:$G,"DATE",Raw_Events!$J:$J,$A368,Raw_Events!$C:$C,"&gt;="&amp;Settings!$B$4,Raw_Events!$C:$C,"&lt;="&amp;Settings!$B$5))</f>
        <v/>
      </c>
      <c r="H368" s="3">
        <f>IF($A368="","",COUNTIFS(Raw_Events!$G:$G,"SEX",Raw_Events!$J:$J,$A368,Raw_Events!$C:$C,"&gt;="&amp;Settings!$B$4,Raw_Events!$C:$C,"&lt;="&amp;Settings!$B$5))</f>
        <v/>
      </c>
      <c r="I368" s="3">
        <f>IF($A368="","",COUNTIFS(Raw_Events!$G:$G,"PRO_CONTACT_ADDED",Raw_Events!$J:$J,$A368,Raw_Events!$C:$C,"&gt;="&amp;Settings!$B$4,Raw_Events!$C:$C,"&lt;="&amp;Settings!$B$5))</f>
        <v/>
      </c>
    </row>
    <row r="369" ht="15" customHeight="1">
      <c r="F369" s="3">
        <f>IF($A369="","",COUNTIFS(Raw_Events!$G:$G,"SOCIAL_MEET",Raw_Events!$J:$J,$A369,Raw_Events!$C:$C,"&gt;="&amp;Settings!$B$4,Raw_Events!$C:$C,"&lt;="&amp;Settings!$B$5))</f>
        <v/>
      </c>
      <c r="G369" s="3">
        <f>IF($A369="","",COUNTIFS(Raw_Events!$G:$G,"DATE",Raw_Events!$J:$J,$A369,Raw_Events!$C:$C,"&gt;="&amp;Settings!$B$4,Raw_Events!$C:$C,"&lt;="&amp;Settings!$B$5))</f>
        <v/>
      </c>
      <c r="H369" s="3">
        <f>IF($A369="","",COUNTIFS(Raw_Events!$G:$G,"SEX",Raw_Events!$J:$J,$A369,Raw_Events!$C:$C,"&gt;="&amp;Settings!$B$4,Raw_Events!$C:$C,"&lt;="&amp;Settings!$B$5))</f>
        <v/>
      </c>
      <c r="I369" s="3">
        <f>IF($A369="","",COUNTIFS(Raw_Events!$G:$G,"PRO_CONTACT_ADDED",Raw_Events!$J:$J,$A369,Raw_Events!$C:$C,"&gt;="&amp;Settings!$B$4,Raw_Events!$C:$C,"&lt;="&amp;Settings!$B$5))</f>
        <v/>
      </c>
    </row>
    <row r="370" ht="15" customHeight="1">
      <c r="F370" s="3">
        <f>IF($A370="","",COUNTIFS(Raw_Events!$G:$G,"SOCIAL_MEET",Raw_Events!$J:$J,$A370,Raw_Events!$C:$C,"&gt;="&amp;Settings!$B$4,Raw_Events!$C:$C,"&lt;="&amp;Settings!$B$5))</f>
        <v/>
      </c>
      <c r="G370" s="3">
        <f>IF($A370="","",COUNTIFS(Raw_Events!$G:$G,"DATE",Raw_Events!$J:$J,$A370,Raw_Events!$C:$C,"&gt;="&amp;Settings!$B$4,Raw_Events!$C:$C,"&lt;="&amp;Settings!$B$5))</f>
        <v/>
      </c>
      <c r="H370" s="3">
        <f>IF($A370="","",COUNTIFS(Raw_Events!$G:$G,"SEX",Raw_Events!$J:$J,$A370,Raw_Events!$C:$C,"&gt;="&amp;Settings!$B$4,Raw_Events!$C:$C,"&lt;="&amp;Settings!$B$5))</f>
        <v/>
      </c>
      <c r="I370" s="3">
        <f>IF($A370="","",COUNTIFS(Raw_Events!$G:$G,"PRO_CONTACT_ADDED",Raw_Events!$J:$J,$A370,Raw_Events!$C:$C,"&gt;="&amp;Settings!$B$4,Raw_Events!$C:$C,"&lt;="&amp;Settings!$B$5))</f>
        <v/>
      </c>
    </row>
    <row r="371" ht="15" customHeight="1">
      <c r="F371" s="3">
        <f>IF($A371="","",COUNTIFS(Raw_Events!$G:$G,"SOCIAL_MEET",Raw_Events!$J:$J,$A371,Raw_Events!$C:$C,"&gt;="&amp;Settings!$B$4,Raw_Events!$C:$C,"&lt;="&amp;Settings!$B$5))</f>
        <v/>
      </c>
      <c r="G371" s="3">
        <f>IF($A371="","",COUNTIFS(Raw_Events!$G:$G,"DATE",Raw_Events!$J:$J,$A371,Raw_Events!$C:$C,"&gt;="&amp;Settings!$B$4,Raw_Events!$C:$C,"&lt;="&amp;Settings!$B$5))</f>
        <v/>
      </c>
      <c r="H371" s="3">
        <f>IF($A371="","",COUNTIFS(Raw_Events!$G:$G,"SEX",Raw_Events!$J:$J,$A371,Raw_Events!$C:$C,"&gt;="&amp;Settings!$B$4,Raw_Events!$C:$C,"&lt;="&amp;Settings!$B$5))</f>
        <v/>
      </c>
      <c r="I371" s="3">
        <f>IF($A371="","",COUNTIFS(Raw_Events!$G:$G,"PRO_CONTACT_ADDED",Raw_Events!$J:$J,$A371,Raw_Events!$C:$C,"&gt;="&amp;Settings!$B$4,Raw_Events!$C:$C,"&lt;="&amp;Settings!$B$5))</f>
        <v/>
      </c>
    </row>
    <row r="372" ht="15" customHeight="1">
      <c r="F372" s="3">
        <f>IF($A372="","",COUNTIFS(Raw_Events!$G:$G,"SOCIAL_MEET",Raw_Events!$J:$J,$A372,Raw_Events!$C:$C,"&gt;="&amp;Settings!$B$4,Raw_Events!$C:$C,"&lt;="&amp;Settings!$B$5))</f>
        <v/>
      </c>
      <c r="G372" s="3">
        <f>IF($A372="","",COUNTIFS(Raw_Events!$G:$G,"DATE",Raw_Events!$J:$J,$A372,Raw_Events!$C:$C,"&gt;="&amp;Settings!$B$4,Raw_Events!$C:$C,"&lt;="&amp;Settings!$B$5))</f>
        <v/>
      </c>
      <c r="H372" s="3">
        <f>IF($A372="","",COUNTIFS(Raw_Events!$G:$G,"SEX",Raw_Events!$J:$J,$A372,Raw_Events!$C:$C,"&gt;="&amp;Settings!$B$4,Raw_Events!$C:$C,"&lt;="&amp;Settings!$B$5))</f>
        <v/>
      </c>
      <c r="I372" s="3">
        <f>IF($A372="","",COUNTIFS(Raw_Events!$G:$G,"PRO_CONTACT_ADDED",Raw_Events!$J:$J,$A372,Raw_Events!$C:$C,"&gt;="&amp;Settings!$B$4,Raw_Events!$C:$C,"&lt;="&amp;Settings!$B$5))</f>
        <v/>
      </c>
    </row>
    <row r="373" ht="15" customHeight="1">
      <c r="F373" s="3">
        <f>IF($A373="","",COUNTIFS(Raw_Events!$G:$G,"SOCIAL_MEET",Raw_Events!$J:$J,$A373,Raw_Events!$C:$C,"&gt;="&amp;Settings!$B$4,Raw_Events!$C:$C,"&lt;="&amp;Settings!$B$5))</f>
        <v/>
      </c>
      <c r="G373" s="3">
        <f>IF($A373="","",COUNTIFS(Raw_Events!$G:$G,"DATE",Raw_Events!$J:$J,$A373,Raw_Events!$C:$C,"&gt;="&amp;Settings!$B$4,Raw_Events!$C:$C,"&lt;="&amp;Settings!$B$5))</f>
        <v/>
      </c>
      <c r="H373" s="3">
        <f>IF($A373="","",COUNTIFS(Raw_Events!$G:$G,"SEX",Raw_Events!$J:$J,$A373,Raw_Events!$C:$C,"&gt;="&amp;Settings!$B$4,Raw_Events!$C:$C,"&lt;="&amp;Settings!$B$5))</f>
        <v/>
      </c>
      <c r="I373" s="3">
        <f>IF($A373="","",COUNTIFS(Raw_Events!$G:$G,"PRO_CONTACT_ADDED",Raw_Events!$J:$J,$A373,Raw_Events!$C:$C,"&gt;="&amp;Settings!$B$4,Raw_Events!$C:$C,"&lt;="&amp;Settings!$B$5))</f>
        <v/>
      </c>
    </row>
    <row r="374" ht="15" customHeight="1">
      <c r="F374" s="3">
        <f>IF($A374="","",COUNTIFS(Raw_Events!$G:$G,"SOCIAL_MEET",Raw_Events!$J:$J,$A374,Raw_Events!$C:$C,"&gt;="&amp;Settings!$B$4,Raw_Events!$C:$C,"&lt;="&amp;Settings!$B$5))</f>
        <v/>
      </c>
      <c r="G374" s="3">
        <f>IF($A374="","",COUNTIFS(Raw_Events!$G:$G,"DATE",Raw_Events!$J:$J,$A374,Raw_Events!$C:$C,"&gt;="&amp;Settings!$B$4,Raw_Events!$C:$C,"&lt;="&amp;Settings!$B$5))</f>
        <v/>
      </c>
      <c r="H374" s="3">
        <f>IF($A374="","",COUNTIFS(Raw_Events!$G:$G,"SEX",Raw_Events!$J:$J,$A374,Raw_Events!$C:$C,"&gt;="&amp;Settings!$B$4,Raw_Events!$C:$C,"&lt;="&amp;Settings!$B$5))</f>
        <v/>
      </c>
      <c r="I374" s="3">
        <f>IF($A374="","",COUNTIFS(Raw_Events!$G:$G,"PRO_CONTACT_ADDED",Raw_Events!$J:$J,$A374,Raw_Events!$C:$C,"&gt;="&amp;Settings!$B$4,Raw_Events!$C:$C,"&lt;="&amp;Settings!$B$5))</f>
        <v/>
      </c>
    </row>
    <row r="375" ht="15" customHeight="1">
      <c r="F375" s="3">
        <f>IF($A375="","",COUNTIFS(Raw_Events!$G:$G,"SOCIAL_MEET",Raw_Events!$J:$J,$A375,Raw_Events!$C:$C,"&gt;="&amp;Settings!$B$4,Raw_Events!$C:$C,"&lt;="&amp;Settings!$B$5))</f>
        <v/>
      </c>
      <c r="G375" s="3">
        <f>IF($A375="","",COUNTIFS(Raw_Events!$G:$G,"DATE",Raw_Events!$J:$J,$A375,Raw_Events!$C:$C,"&gt;="&amp;Settings!$B$4,Raw_Events!$C:$C,"&lt;="&amp;Settings!$B$5))</f>
        <v/>
      </c>
      <c r="H375" s="3">
        <f>IF($A375="","",COUNTIFS(Raw_Events!$G:$G,"SEX",Raw_Events!$J:$J,$A375,Raw_Events!$C:$C,"&gt;="&amp;Settings!$B$4,Raw_Events!$C:$C,"&lt;="&amp;Settings!$B$5))</f>
        <v/>
      </c>
      <c r="I375" s="3">
        <f>IF($A375="","",COUNTIFS(Raw_Events!$G:$G,"PRO_CONTACT_ADDED",Raw_Events!$J:$J,$A375,Raw_Events!$C:$C,"&gt;="&amp;Settings!$B$4,Raw_Events!$C:$C,"&lt;="&amp;Settings!$B$5))</f>
        <v/>
      </c>
    </row>
    <row r="376" ht="15" customHeight="1">
      <c r="F376" s="3">
        <f>IF($A376="","",COUNTIFS(Raw_Events!$G:$G,"SOCIAL_MEET",Raw_Events!$J:$J,$A376,Raw_Events!$C:$C,"&gt;="&amp;Settings!$B$4,Raw_Events!$C:$C,"&lt;="&amp;Settings!$B$5))</f>
        <v/>
      </c>
      <c r="G376" s="3">
        <f>IF($A376="","",COUNTIFS(Raw_Events!$G:$G,"DATE",Raw_Events!$J:$J,$A376,Raw_Events!$C:$C,"&gt;="&amp;Settings!$B$4,Raw_Events!$C:$C,"&lt;="&amp;Settings!$B$5))</f>
        <v/>
      </c>
      <c r="H376" s="3">
        <f>IF($A376="","",COUNTIFS(Raw_Events!$G:$G,"SEX",Raw_Events!$J:$J,$A376,Raw_Events!$C:$C,"&gt;="&amp;Settings!$B$4,Raw_Events!$C:$C,"&lt;="&amp;Settings!$B$5))</f>
        <v/>
      </c>
      <c r="I376" s="3">
        <f>IF($A376="","",COUNTIFS(Raw_Events!$G:$G,"PRO_CONTACT_ADDED",Raw_Events!$J:$J,$A376,Raw_Events!$C:$C,"&gt;="&amp;Settings!$B$4,Raw_Events!$C:$C,"&lt;="&amp;Settings!$B$5))</f>
        <v/>
      </c>
    </row>
    <row r="377" ht="15" customHeight="1">
      <c r="F377" s="3">
        <f>IF($A377="","",COUNTIFS(Raw_Events!$G:$G,"SOCIAL_MEET",Raw_Events!$J:$J,$A377,Raw_Events!$C:$C,"&gt;="&amp;Settings!$B$4,Raw_Events!$C:$C,"&lt;="&amp;Settings!$B$5))</f>
        <v/>
      </c>
      <c r="G377" s="3">
        <f>IF($A377="","",COUNTIFS(Raw_Events!$G:$G,"DATE",Raw_Events!$J:$J,$A377,Raw_Events!$C:$C,"&gt;="&amp;Settings!$B$4,Raw_Events!$C:$C,"&lt;="&amp;Settings!$B$5))</f>
        <v/>
      </c>
      <c r="H377" s="3">
        <f>IF($A377="","",COUNTIFS(Raw_Events!$G:$G,"SEX",Raw_Events!$J:$J,$A377,Raw_Events!$C:$C,"&gt;="&amp;Settings!$B$4,Raw_Events!$C:$C,"&lt;="&amp;Settings!$B$5))</f>
        <v/>
      </c>
      <c r="I377" s="3">
        <f>IF($A377="","",COUNTIFS(Raw_Events!$G:$G,"PRO_CONTACT_ADDED",Raw_Events!$J:$J,$A377,Raw_Events!$C:$C,"&gt;="&amp;Settings!$B$4,Raw_Events!$C:$C,"&lt;="&amp;Settings!$B$5))</f>
        <v/>
      </c>
    </row>
    <row r="378" ht="15" customHeight="1">
      <c r="F378" s="3">
        <f>IF($A378="","",COUNTIFS(Raw_Events!$G:$G,"SOCIAL_MEET",Raw_Events!$J:$J,$A378,Raw_Events!$C:$C,"&gt;="&amp;Settings!$B$4,Raw_Events!$C:$C,"&lt;="&amp;Settings!$B$5))</f>
        <v/>
      </c>
      <c r="G378" s="3">
        <f>IF($A378="","",COUNTIFS(Raw_Events!$G:$G,"DATE",Raw_Events!$J:$J,$A378,Raw_Events!$C:$C,"&gt;="&amp;Settings!$B$4,Raw_Events!$C:$C,"&lt;="&amp;Settings!$B$5))</f>
        <v/>
      </c>
      <c r="H378" s="3">
        <f>IF($A378="","",COUNTIFS(Raw_Events!$G:$G,"SEX",Raw_Events!$J:$J,$A378,Raw_Events!$C:$C,"&gt;="&amp;Settings!$B$4,Raw_Events!$C:$C,"&lt;="&amp;Settings!$B$5))</f>
        <v/>
      </c>
      <c r="I378" s="3">
        <f>IF($A378="","",COUNTIFS(Raw_Events!$G:$G,"PRO_CONTACT_ADDED",Raw_Events!$J:$J,$A378,Raw_Events!$C:$C,"&gt;="&amp;Settings!$B$4,Raw_Events!$C:$C,"&lt;="&amp;Settings!$B$5))</f>
        <v/>
      </c>
    </row>
    <row r="379" ht="15" customHeight="1">
      <c r="F379" s="3">
        <f>IF($A379="","",COUNTIFS(Raw_Events!$G:$G,"SOCIAL_MEET",Raw_Events!$J:$J,$A379,Raw_Events!$C:$C,"&gt;="&amp;Settings!$B$4,Raw_Events!$C:$C,"&lt;="&amp;Settings!$B$5))</f>
        <v/>
      </c>
      <c r="G379" s="3">
        <f>IF($A379="","",COUNTIFS(Raw_Events!$G:$G,"DATE",Raw_Events!$J:$J,$A379,Raw_Events!$C:$C,"&gt;="&amp;Settings!$B$4,Raw_Events!$C:$C,"&lt;="&amp;Settings!$B$5))</f>
        <v/>
      </c>
      <c r="H379" s="3">
        <f>IF($A379="","",COUNTIFS(Raw_Events!$G:$G,"SEX",Raw_Events!$J:$J,$A379,Raw_Events!$C:$C,"&gt;="&amp;Settings!$B$4,Raw_Events!$C:$C,"&lt;="&amp;Settings!$B$5))</f>
        <v/>
      </c>
      <c r="I379" s="3">
        <f>IF($A379="","",COUNTIFS(Raw_Events!$G:$G,"PRO_CONTACT_ADDED",Raw_Events!$J:$J,$A379,Raw_Events!$C:$C,"&gt;="&amp;Settings!$B$4,Raw_Events!$C:$C,"&lt;="&amp;Settings!$B$5))</f>
        <v/>
      </c>
    </row>
    <row r="380" ht="15" customHeight="1">
      <c r="F380" s="3">
        <f>IF($A380="","",COUNTIFS(Raw_Events!$G:$G,"SOCIAL_MEET",Raw_Events!$J:$J,$A380,Raw_Events!$C:$C,"&gt;="&amp;Settings!$B$4,Raw_Events!$C:$C,"&lt;="&amp;Settings!$B$5))</f>
        <v/>
      </c>
      <c r="G380" s="3">
        <f>IF($A380="","",COUNTIFS(Raw_Events!$G:$G,"DATE",Raw_Events!$J:$J,$A380,Raw_Events!$C:$C,"&gt;="&amp;Settings!$B$4,Raw_Events!$C:$C,"&lt;="&amp;Settings!$B$5))</f>
        <v/>
      </c>
      <c r="H380" s="3">
        <f>IF($A380="","",COUNTIFS(Raw_Events!$G:$G,"SEX",Raw_Events!$J:$J,$A380,Raw_Events!$C:$C,"&gt;="&amp;Settings!$B$4,Raw_Events!$C:$C,"&lt;="&amp;Settings!$B$5))</f>
        <v/>
      </c>
      <c r="I380" s="3">
        <f>IF($A380="","",COUNTIFS(Raw_Events!$G:$G,"PRO_CONTACT_ADDED",Raw_Events!$J:$J,$A380,Raw_Events!$C:$C,"&gt;="&amp;Settings!$B$4,Raw_Events!$C:$C,"&lt;="&amp;Settings!$B$5))</f>
        <v/>
      </c>
    </row>
    <row r="381" ht="15" customHeight="1">
      <c r="F381" s="3">
        <f>IF($A381="","",COUNTIFS(Raw_Events!$G:$G,"SOCIAL_MEET",Raw_Events!$J:$J,$A381,Raw_Events!$C:$C,"&gt;="&amp;Settings!$B$4,Raw_Events!$C:$C,"&lt;="&amp;Settings!$B$5))</f>
        <v/>
      </c>
      <c r="G381" s="3">
        <f>IF($A381="","",COUNTIFS(Raw_Events!$G:$G,"DATE",Raw_Events!$J:$J,$A381,Raw_Events!$C:$C,"&gt;="&amp;Settings!$B$4,Raw_Events!$C:$C,"&lt;="&amp;Settings!$B$5))</f>
        <v/>
      </c>
      <c r="H381" s="3">
        <f>IF($A381="","",COUNTIFS(Raw_Events!$G:$G,"SEX",Raw_Events!$J:$J,$A381,Raw_Events!$C:$C,"&gt;="&amp;Settings!$B$4,Raw_Events!$C:$C,"&lt;="&amp;Settings!$B$5))</f>
        <v/>
      </c>
      <c r="I381" s="3">
        <f>IF($A381="","",COUNTIFS(Raw_Events!$G:$G,"PRO_CONTACT_ADDED",Raw_Events!$J:$J,$A381,Raw_Events!$C:$C,"&gt;="&amp;Settings!$B$4,Raw_Events!$C:$C,"&lt;="&amp;Settings!$B$5))</f>
        <v/>
      </c>
    </row>
    <row r="382" ht="15" customHeight="1">
      <c r="F382" s="3">
        <f>IF($A382="","",COUNTIFS(Raw_Events!$G:$G,"SOCIAL_MEET",Raw_Events!$J:$J,$A382,Raw_Events!$C:$C,"&gt;="&amp;Settings!$B$4,Raw_Events!$C:$C,"&lt;="&amp;Settings!$B$5))</f>
        <v/>
      </c>
      <c r="G382" s="3">
        <f>IF($A382="","",COUNTIFS(Raw_Events!$G:$G,"DATE",Raw_Events!$J:$J,$A382,Raw_Events!$C:$C,"&gt;="&amp;Settings!$B$4,Raw_Events!$C:$C,"&lt;="&amp;Settings!$B$5))</f>
        <v/>
      </c>
      <c r="H382" s="3">
        <f>IF($A382="","",COUNTIFS(Raw_Events!$G:$G,"SEX",Raw_Events!$J:$J,$A382,Raw_Events!$C:$C,"&gt;="&amp;Settings!$B$4,Raw_Events!$C:$C,"&lt;="&amp;Settings!$B$5))</f>
        <v/>
      </c>
      <c r="I382" s="3">
        <f>IF($A382="","",COUNTIFS(Raw_Events!$G:$G,"PRO_CONTACT_ADDED",Raw_Events!$J:$J,$A382,Raw_Events!$C:$C,"&gt;="&amp;Settings!$B$4,Raw_Events!$C:$C,"&lt;="&amp;Settings!$B$5))</f>
        <v/>
      </c>
    </row>
    <row r="383" ht="15" customHeight="1">
      <c r="F383" s="3">
        <f>IF($A383="","",COUNTIFS(Raw_Events!$G:$G,"SOCIAL_MEET",Raw_Events!$J:$J,$A383,Raw_Events!$C:$C,"&gt;="&amp;Settings!$B$4,Raw_Events!$C:$C,"&lt;="&amp;Settings!$B$5))</f>
        <v/>
      </c>
      <c r="G383" s="3">
        <f>IF($A383="","",COUNTIFS(Raw_Events!$G:$G,"DATE",Raw_Events!$J:$J,$A383,Raw_Events!$C:$C,"&gt;="&amp;Settings!$B$4,Raw_Events!$C:$C,"&lt;="&amp;Settings!$B$5))</f>
        <v/>
      </c>
      <c r="H383" s="3">
        <f>IF($A383="","",COUNTIFS(Raw_Events!$G:$G,"SEX",Raw_Events!$J:$J,$A383,Raw_Events!$C:$C,"&gt;="&amp;Settings!$B$4,Raw_Events!$C:$C,"&lt;="&amp;Settings!$B$5))</f>
        <v/>
      </c>
      <c r="I383" s="3">
        <f>IF($A383="","",COUNTIFS(Raw_Events!$G:$G,"PRO_CONTACT_ADDED",Raw_Events!$J:$J,$A383,Raw_Events!$C:$C,"&gt;="&amp;Settings!$B$4,Raw_Events!$C:$C,"&lt;="&amp;Settings!$B$5))</f>
        <v/>
      </c>
    </row>
    <row r="384" ht="15" customHeight="1">
      <c r="F384" s="3">
        <f>IF($A384="","",COUNTIFS(Raw_Events!$G:$G,"SOCIAL_MEET",Raw_Events!$J:$J,$A384,Raw_Events!$C:$C,"&gt;="&amp;Settings!$B$4,Raw_Events!$C:$C,"&lt;="&amp;Settings!$B$5))</f>
        <v/>
      </c>
      <c r="G384" s="3">
        <f>IF($A384="","",COUNTIFS(Raw_Events!$G:$G,"DATE",Raw_Events!$J:$J,$A384,Raw_Events!$C:$C,"&gt;="&amp;Settings!$B$4,Raw_Events!$C:$C,"&lt;="&amp;Settings!$B$5))</f>
        <v/>
      </c>
      <c r="H384" s="3">
        <f>IF($A384="","",COUNTIFS(Raw_Events!$G:$G,"SEX",Raw_Events!$J:$J,$A384,Raw_Events!$C:$C,"&gt;="&amp;Settings!$B$4,Raw_Events!$C:$C,"&lt;="&amp;Settings!$B$5))</f>
        <v/>
      </c>
      <c r="I384" s="3">
        <f>IF($A384="","",COUNTIFS(Raw_Events!$G:$G,"PRO_CONTACT_ADDED",Raw_Events!$J:$J,$A384,Raw_Events!$C:$C,"&gt;="&amp;Settings!$B$4,Raw_Events!$C:$C,"&lt;="&amp;Settings!$B$5))</f>
        <v/>
      </c>
    </row>
    <row r="385" ht="15" customHeight="1">
      <c r="F385" s="3">
        <f>IF($A385="","",COUNTIFS(Raw_Events!$G:$G,"SOCIAL_MEET",Raw_Events!$J:$J,$A385,Raw_Events!$C:$C,"&gt;="&amp;Settings!$B$4,Raw_Events!$C:$C,"&lt;="&amp;Settings!$B$5))</f>
        <v/>
      </c>
      <c r="G385" s="3">
        <f>IF($A385="","",COUNTIFS(Raw_Events!$G:$G,"DATE",Raw_Events!$J:$J,$A385,Raw_Events!$C:$C,"&gt;="&amp;Settings!$B$4,Raw_Events!$C:$C,"&lt;="&amp;Settings!$B$5))</f>
        <v/>
      </c>
      <c r="H385" s="3">
        <f>IF($A385="","",COUNTIFS(Raw_Events!$G:$G,"SEX",Raw_Events!$J:$J,$A385,Raw_Events!$C:$C,"&gt;="&amp;Settings!$B$4,Raw_Events!$C:$C,"&lt;="&amp;Settings!$B$5))</f>
        <v/>
      </c>
      <c r="I385" s="3">
        <f>IF($A385="","",COUNTIFS(Raw_Events!$G:$G,"PRO_CONTACT_ADDED",Raw_Events!$J:$J,$A385,Raw_Events!$C:$C,"&gt;="&amp;Settings!$B$4,Raw_Events!$C:$C,"&lt;="&amp;Settings!$B$5))</f>
        <v/>
      </c>
    </row>
    <row r="386" ht="15" customHeight="1">
      <c r="F386" s="3">
        <f>IF($A386="","",COUNTIFS(Raw_Events!$G:$G,"SOCIAL_MEET",Raw_Events!$J:$J,$A386,Raw_Events!$C:$C,"&gt;="&amp;Settings!$B$4,Raw_Events!$C:$C,"&lt;="&amp;Settings!$B$5))</f>
        <v/>
      </c>
      <c r="G386" s="3">
        <f>IF($A386="","",COUNTIFS(Raw_Events!$G:$G,"DATE",Raw_Events!$J:$J,$A386,Raw_Events!$C:$C,"&gt;="&amp;Settings!$B$4,Raw_Events!$C:$C,"&lt;="&amp;Settings!$B$5))</f>
        <v/>
      </c>
      <c r="H386" s="3">
        <f>IF($A386="","",COUNTIFS(Raw_Events!$G:$G,"SEX",Raw_Events!$J:$J,$A386,Raw_Events!$C:$C,"&gt;="&amp;Settings!$B$4,Raw_Events!$C:$C,"&lt;="&amp;Settings!$B$5))</f>
        <v/>
      </c>
      <c r="I386" s="3">
        <f>IF($A386="","",COUNTIFS(Raw_Events!$G:$G,"PRO_CONTACT_ADDED",Raw_Events!$J:$J,$A386,Raw_Events!$C:$C,"&gt;="&amp;Settings!$B$4,Raw_Events!$C:$C,"&lt;="&amp;Settings!$B$5))</f>
        <v/>
      </c>
    </row>
    <row r="387" ht="15" customHeight="1">
      <c r="F387" s="3">
        <f>IF($A387="","",COUNTIFS(Raw_Events!$G:$G,"SOCIAL_MEET",Raw_Events!$J:$J,$A387,Raw_Events!$C:$C,"&gt;="&amp;Settings!$B$4,Raw_Events!$C:$C,"&lt;="&amp;Settings!$B$5))</f>
        <v/>
      </c>
      <c r="G387" s="3">
        <f>IF($A387="","",COUNTIFS(Raw_Events!$G:$G,"DATE",Raw_Events!$J:$J,$A387,Raw_Events!$C:$C,"&gt;="&amp;Settings!$B$4,Raw_Events!$C:$C,"&lt;="&amp;Settings!$B$5))</f>
        <v/>
      </c>
      <c r="H387" s="3">
        <f>IF($A387="","",COUNTIFS(Raw_Events!$G:$G,"SEX",Raw_Events!$J:$J,$A387,Raw_Events!$C:$C,"&gt;="&amp;Settings!$B$4,Raw_Events!$C:$C,"&lt;="&amp;Settings!$B$5))</f>
        <v/>
      </c>
      <c r="I387" s="3">
        <f>IF($A387="","",COUNTIFS(Raw_Events!$G:$G,"PRO_CONTACT_ADDED",Raw_Events!$J:$J,$A387,Raw_Events!$C:$C,"&gt;="&amp;Settings!$B$4,Raw_Events!$C:$C,"&lt;="&amp;Settings!$B$5))</f>
        <v/>
      </c>
    </row>
    <row r="388" ht="15" customHeight="1">
      <c r="F388" s="3">
        <f>IF($A388="","",COUNTIFS(Raw_Events!$G:$G,"SOCIAL_MEET",Raw_Events!$J:$J,$A388,Raw_Events!$C:$C,"&gt;="&amp;Settings!$B$4,Raw_Events!$C:$C,"&lt;="&amp;Settings!$B$5))</f>
        <v/>
      </c>
      <c r="G388" s="3">
        <f>IF($A388="","",COUNTIFS(Raw_Events!$G:$G,"DATE",Raw_Events!$J:$J,$A388,Raw_Events!$C:$C,"&gt;="&amp;Settings!$B$4,Raw_Events!$C:$C,"&lt;="&amp;Settings!$B$5))</f>
        <v/>
      </c>
      <c r="H388" s="3">
        <f>IF($A388="","",COUNTIFS(Raw_Events!$G:$G,"SEX",Raw_Events!$J:$J,$A388,Raw_Events!$C:$C,"&gt;="&amp;Settings!$B$4,Raw_Events!$C:$C,"&lt;="&amp;Settings!$B$5))</f>
        <v/>
      </c>
      <c r="I388" s="3">
        <f>IF($A388="","",COUNTIFS(Raw_Events!$G:$G,"PRO_CONTACT_ADDED",Raw_Events!$J:$J,$A388,Raw_Events!$C:$C,"&gt;="&amp;Settings!$B$4,Raw_Events!$C:$C,"&lt;="&amp;Settings!$B$5))</f>
        <v/>
      </c>
    </row>
    <row r="389" ht="15" customHeight="1">
      <c r="F389" s="3">
        <f>IF($A389="","",COUNTIFS(Raw_Events!$G:$G,"SOCIAL_MEET",Raw_Events!$J:$J,$A389,Raw_Events!$C:$C,"&gt;="&amp;Settings!$B$4,Raw_Events!$C:$C,"&lt;="&amp;Settings!$B$5))</f>
        <v/>
      </c>
      <c r="G389" s="3">
        <f>IF($A389="","",COUNTIFS(Raw_Events!$G:$G,"DATE",Raw_Events!$J:$J,$A389,Raw_Events!$C:$C,"&gt;="&amp;Settings!$B$4,Raw_Events!$C:$C,"&lt;="&amp;Settings!$B$5))</f>
        <v/>
      </c>
      <c r="H389" s="3">
        <f>IF($A389="","",COUNTIFS(Raw_Events!$G:$G,"SEX",Raw_Events!$J:$J,$A389,Raw_Events!$C:$C,"&gt;="&amp;Settings!$B$4,Raw_Events!$C:$C,"&lt;="&amp;Settings!$B$5))</f>
        <v/>
      </c>
      <c r="I389" s="3">
        <f>IF($A389="","",COUNTIFS(Raw_Events!$G:$G,"PRO_CONTACT_ADDED",Raw_Events!$J:$J,$A389,Raw_Events!$C:$C,"&gt;="&amp;Settings!$B$4,Raw_Events!$C:$C,"&lt;="&amp;Settings!$B$5))</f>
        <v/>
      </c>
    </row>
    <row r="390" ht="15" customHeight="1">
      <c r="F390" s="3">
        <f>IF($A390="","",COUNTIFS(Raw_Events!$G:$G,"SOCIAL_MEET",Raw_Events!$J:$J,$A390,Raw_Events!$C:$C,"&gt;="&amp;Settings!$B$4,Raw_Events!$C:$C,"&lt;="&amp;Settings!$B$5))</f>
        <v/>
      </c>
      <c r="G390" s="3">
        <f>IF($A390="","",COUNTIFS(Raw_Events!$G:$G,"DATE",Raw_Events!$J:$J,$A390,Raw_Events!$C:$C,"&gt;="&amp;Settings!$B$4,Raw_Events!$C:$C,"&lt;="&amp;Settings!$B$5))</f>
        <v/>
      </c>
      <c r="H390" s="3">
        <f>IF($A390="","",COUNTIFS(Raw_Events!$G:$G,"SEX",Raw_Events!$J:$J,$A390,Raw_Events!$C:$C,"&gt;="&amp;Settings!$B$4,Raw_Events!$C:$C,"&lt;="&amp;Settings!$B$5))</f>
        <v/>
      </c>
      <c r="I390" s="3">
        <f>IF($A390="","",COUNTIFS(Raw_Events!$G:$G,"PRO_CONTACT_ADDED",Raw_Events!$J:$J,$A390,Raw_Events!$C:$C,"&gt;="&amp;Settings!$B$4,Raw_Events!$C:$C,"&lt;="&amp;Settings!$B$5))</f>
        <v/>
      </c>
    </row>
    <row r="391" ht="15" customHeight="1">
      <c r="F391" s="3">
        <f>IF($A391="","",COUNTIFS(Raw_Events!$G:$G,"SOCIAL_MEET",Raw_Events!$J:$J,$A391,Raw_Events!$C:$C,"&gt;="&amp;Settings!$B$4,Raw_Events!$C:$C,"&lt;="&amp;Settings!$B$5))</f>
        <v/>
      </c>
      <c r="G391" s="3">
        <f>IF($A391="","",COUNTIFS(Raw_Events!$G:$G,"DATE",Raw_Events!$J:$J,$A391,Raw_Events!$C:$C,"&gt;="&amp;Settings!$B$4,Raw_Events!$C:$C,"&lt;="&amp;Settings!$B$5))</f>
        <v/>
      </c>
      <c r="H391" s="3">
        <f>IF($A391="","",COUNTIFS(Raw_Events!$G:$G,"SEX",Raw_Events!$J:$J,$A391,Raw_Events!$C:$C,"&gt;="&amp;Settings!$B$4,Raw_Events!$C:$C,"&lt;="&amp;Settings!$B$5))</f>
        <v/>
      </c>
      <c r="I391" s="3">
        <f>IF($A391="","",COUNTIFS(Raw_Events!$G:$G,"PRO_CONTACT_ADDED",Raw_Events!$J:$J,$A391,Raw_Events!$C:$C,"&gt;="&amp;Settings!$B$4,Raw_Events!$C:$C,"&lt;="&amp;Settings!$B$5))</f>
        <v/>
      </c>
    </row>
    <row r="392" ht="15" customHeight="1">
      <c r="F392" s="3">
        <f>IF($A392="","",COUNTIFS(Raw_Events!$G:$G,"SOCIAL_MEET",Raw_Events!$J:$J,$A392,Raw_Events!$C:$C,"&gt;="&amp;Settings!$B$4,Raw_Events!$C:$C,"&lt;="&amp;Settings!$B$5))</f>
        <v/>
      </c>
      <c r="G392" s="3">
        <f>IF($A392="","",COUNTIFS(Raw_Events!$G:$G,"DATE",Raw_Events!$J:$J,$A392,Raw_Events!$C:$C,"&gt;="&amp;Settings!$B$4,Raw_Events!$C:$C,"&lt;="&amp;Settings!$B$5))</f>
        <v/>
      </c>
      <c r="H392" s="3">
        <f>IF($A392="","",COUNTIFS(Raw_Events!$G:$G,"SEX",Raw_Events!$J:$J,$A392,Raw_Events!$C:$C,"&gt;="&amp;Settings!$B$4,Raw_Events!$C:$C,"&lt;="&amp;Settings!$B$5))</f>
        <v/>
      </c>
      <c r="I392" s="3">
        <f>IF($A392="","",COUNTIFS(Raw_Events!$G:$G,"PRO_CONTACT_ADDED",Raw_Events!$J:$J,$A392,Raw_Events!$C:$C,"&gt;="&amp;Settings!$B$4,Raw_Events!$C:$C,"&lt;="&amp;Settings!$B$5))</f>
        <v/>
      </c>
    </row>
    <row r="393" ht="15" customHeight="1">
      <c r="F393" s="3">
        <f>IF($A393="","",COUNTIFS(Raw_Events!$G:$G,"SOCIAL_MEET",Raw_Events!$J:$J,$A393,Raw_Events!$C:$C,"&gt;="&amp;Settings!$B$4,Raw_Events!$C:$C,"&lt;="&amp;Settings!$B$5))</f>
        <v/>
      </c>
      <c r="G393" s="3">
        <f>IF($A393="","",COUNTIFS(Raw_Events!$G:$G,"DATE",Raw_Events!$J:$J,$A393,Raw_Events!$C:$C,"&gt;="&amp;Settings!$B$4,Raw_Events!$C:$C,"&lt;="&amp;Settings!$B$5))</f>
        <v/>
      </c>
      <c r="H393" s="3">
        <f>IF($A393="","",COUNTIFS(Raw_Events!$G:$G,"SEX",Raw_Events!$J:$J,$A393,Raw_Events!$C:$C,"&gt;="&amp;Settings!$B$4,Raw_Events!$C:$C,"&lt;="&amp;Settings!$B$5))</f>
        <v/>
      </c>
      <c r="I393" s="3">
        <f>IF($A393="","",COUNTIFS(Raw_Events!$G:$G,"PRO_CONTACT_ADDED",Raw_Events!$J:$J,$A393,Raw_Events!$C:$C,"&gt;="&amp;Settings!$B$4,Raw_Events!$C:$C,"&lt;="&amp;Settings!$B$5))</f>
        <v/>
      </c>
    </row>
    <row r="394" ht="15" customHeight="1">
      <c r="F394" s="3">
        <f>IF($A394="","",COUNTIFS(Raw_Events!$G:$G,"SOCIAL_MEET",Raw_Events!$J:$J,$A394,Raw_Events!$C:$C,"&gt;="&amp;Settings!$B$4,Raw_Events!$C:$C,"&lt;="&amp;Settings!$B$5))</f>
        <v/>
      </c>
      <c r="G394" s="3">
        <f>IF($A394="","",COUNTIFS(Raw_Events!$G:$G,"DATE",Raw_Events!$J:$J,$A394,Raw_Events!$C:$C,"&gt;="&amp;Settings!$B$4,Raw_Events!$C:$C,"&lt;="&amp;Settings!$B$5))</f>
        <v/>
      </c>
      <c r="H394" s="3">
        <f>IF($A394="","",COUNTIFS(Raw_Events!$G:$G,"SEX",Raw_Events!$J:$J,$A394,Raw_Events!$C:$C,"&gt;="&amp;Settings!$B$4,Raw_Events!$C:$C,"&lt;="&amp;Settings!$B$5))</f>
        <v/>
      </c>
      <c r="I394" s="3">
        <f>IF($A394="","",COUNTIFS(Raw_Events!$G:$G,"PRO_CONTACT_ADDED",Raw_Events!$J:$J,$A394,Raw_Events!$C:$C,"&gt;="&amp;Settings!$B$4,Raw_Events!$C:$C,"&lt;="&amp;Settings!$B$5))</f>
        <v/>
      </c>
    </row>
    <row r="395" ht="15" customHeight="1">
      <c r="F395" s="3">
        <f>IF($A395="","",COUNTIFS(Raw_Events!$G:$G,"SOCIAL_MEET",Raw_Events!$J:$J,$A395,Raw_Events!$C:$C,"&gt;="&amp;Settings!$B$4,Raw_Events!$C:$C,"&lt;="&amp;Settings!$B$5))</f>
        <v/>
      </c>
      <c r="G395" s="3">
        <f>IF($A395="","",COUNTIFS(Raw_Events!$G:$G,"DATE",Raw_Events!$J:$J,$A395,Raw_Events!$C:$C,"&gt;="&amp;Settings!$B$4,Raw_Events!$C:$C,"&lt;="&amp;Settings!$B$5))</f>
        <v/>
      </c>
      <c r="H395" s="3">
        <f>IF($A395="","",COUNTIFS(Raw_Events!$G:$G,"SEX",Raw_Events!$J:$J,$A395,Raw_Events!$C:$C,"&gt;="&amp;Settings!$B$4,Raw_Events!$C:$C,"&lt;="&amp;Settings!$B$5))</f>
        <v/>
      </c>
      <c r="I395" s="3">
        <f>IF($A395="","",COUNTIFS(Raw_Events!$G:$G,"PRO_CONTACT_ADDED",Raw_Events!$J:$J,$A395,Raw_Events!$C:$C,"&gt;="&amp;Settings!$B$4,Raw_Events!$C:$C,"&lt;="&amp;Settings!$B$5))</f>
        <v/>
      </c>
    </row>
    <row r="396" ht="15" customHeight="1">
      <c r="F396" s="3">
        <f>IF($A396="","",COUNTIFS(Raw_Events!$G:$G,"SOCIAL_MEET",Raw_Events!$J:$J,$A396,Raw_Events!$C:$C,"&gt;="&amp;Settings!$B$4,Raw_Events!$C:$C,"&lt;="&amp;Settings!$B$5))</f>
        <v/>
      </c>
      <c r="G396" s="3">
        <f>IF($A396="","",COUNTIFS(Raw_Events!$G:$G,"DATE",Raw_Events!$J:$J,$A396,Raw_Events!$C:$C,"&gt;="&amp;Settings!$B$4,Raw_Events!$C:$C,"&lt;="&amp;Settings!$B$5))</f>
        <v/>
      </c>
      <c r="H396" s="3">
        <f>IF($A396="","",COUNTIFS(Raw_Events!$G:$G,"SEX",Raw_Events!$J:$J,$A396,Raw_Events!$C:$C,"&gt;="&amp;Settings!$B$4,Raw_Events!$C:$C,"&lt;="&amp;Settings!$B$5))</f>
        <v/>
      </c>
      <c r="I396" s="3">
        <f>IF($A396="","",COUNTIFS(Raw_Events!$G:$G,"PRO_CONTACT_ADDED",Raw_Events!$J:$J,$A396,Raw_Events!$C:$C,"&gt;="&amp;Settings!$B$4,Raw_Events!$C:$C,"&lt;="&amp;Settings!$B$5))</f>
        <v/>
      </c>
    </row>
    <row r="397" ht="15" customHeight="1">
      <c r="F397" s="3">
        <f>IF($A397="","",COUNTIFS(Raw_Events!$G:$G,"SOCIAL_MEET",Raw_Events!$J:$J,$A397,Raw_Events!$C:$C,"&gt;="&amp;Settings!$B$4,Raw_Events!$C:$C,"&lt;="&amp;Settings!$B$5))</f>
        <v/>
      </c>
      <c r="G397" s="3">
        <f>IF($A397="","",COUNTIFS(Raw_Events!$G:$G,"DATE",Raw_Events!$J:$J,$A397,Raw_Events!$C:$C,"&gt;="&amp;Settings!$B$4,Raw_Events!$C:$C,"&lt;="&amp;Settings!$B$5))</f>
        <v/>
      </c>
      <c r="H397" s="3">
        <f>IF($A397="","",COUNTIFS(Raw_Events!$G:$G,"SEX",Raw_Events!$J:$J,$A397,Raw_Events!$C:$C,"&gt;="&amp;Settings!$B$4,Raw_Events!$C:$C,"&lt;="&amp;Settings!$B$5))</f>
        <v/>
      </c>
      <c r="I397" s="3">
        <f>IF($A397="","",COUNTIFS(Raw_Events!$G:$G,"PRO_CONTACT_ADDED",Raw_Events!$J:$J,$A397,Raw_Events!$C:$C,"&gt;="&amp;Settings!$B$4,Raw_Events!$C:$C,"&lt;="&amp;Settings!$B$5))</f>
        <v/>
      </c>
    </row>
    <row r="398" ht="15" customHeight="1">
      <c r="F398" s="3">
        <f>IF($A398="","",COUNTIFS(Raw_Events!$G:$G,"SOCIAL_MEET",Raw_Events!$J:$J,$A398,Raw_Events!$C:$C,"&gt;="&amp;Settings!$B$4,Raw_Events!$C:$C,"&lt;="&amp;Settings!$B$5))</f>
        <v/>
      </c>
      <c r="G398" s="3">
        <f>IF($A398="","",COUNTIFS(Raw_Events!$G:$G,"DATE",Raw_Events!$J:$J,$A398,Raw_Events!$C:$C,"&gt;="&amp;Settings!$B$4,Raw_Events!$C:$C,"&lt;="&amp;Settings!$B$5))</f>
        <v/>
      </c>
      <c r="H398" s="3">
        <f>IF($A398="","",COUNTIFS(Raw_Events!$G:$G,"SEX",Raw_Events!$J:$J,$A398,Raw_Events!$C:$C,"&gt;="&amp;Settings!$B$4,Raw_Events!$C:$C,"&lt;="&amp;Settings!$B$5))</f>
        <v/>
      </c>
      <c r="I398" s="3">
        <f>IF($A398="","",COUNTIFS(Raw_Events!$G:$G,"PRO_CONTACT_ADDED",Raw_Events!$J:$J,$A398,Raw_Events!$C:$C,"&gt;="&amp;Settings!$B$4,Raw_Events!$C:$C,"&lt;="&amp;Settings!$B$5))</f>
        <v/>
      </c>
    </row>
    <row r="399" ht="15" customHeight="1">
      <c r="F399" s="3">
        <f>IF($A399="","",COUNTIFS(Raw_Events!$G:$G,"SOCIAL_MEET",Raw_Events!$J:$J,$A399,Raw_Events!$C:$C,"&gt;="&amp;Settings!$B$4,Raw_Events!$C:$C,"&lt;="&amp;Settings!$B$5))</f>
        <v/>
      </c>
      <c r="G399" s="3">
        <f>IF($A399="","",COUNTIFS(Raw_Events!$G:$G,"DATE",Raw_Events!$J:$J,$A399,Raw_Events!$C:$C,"&gt;="&amp;Settings!$B$4,Raw_Events!$C:$C,"&lt;="&amp;Settings!$B$5))</f>
        <v/>
      </c>
      <c r="H399" s="3">
        <f>IF($A399="","",COUNTIFS(Raw_Events!$G:$G,"SEX",Raw_Events!$J:$J,$A399,Raw_Events!$C:$C,"&gt;="&amp;Settings!$B$4,Raw_Events!$C:$C,"&lt;="&amp;Settings!$B$5))</f>
        <v/>
      </c>
      <c r="I399" s="3">
        <f>IF($A399="","",COUNTIFS(Raw_Events!$G:$G,"PRO_CONTACT_ADDED",Raw_Events!$J:$J,$A399,Raw_Events!$C:$C,"&gt;="&amp;Settings!$B$4,Raw_Events!$C:$C,"&lt;="&amp;Settings!$B$5))</f>
        <v/>
      </c>
    </row>
    <row r="400" ht="15" customHeight="1">
      <c r="F400" s="3">
        <f>IF($A400="","",COUNTIFS(Raw_Events!$G:$G,"SOCIAL_MEET",Raw_Events!$J:$J,$A400,Raw_Events!$C:$C,"&gt;="&amp;Settings!$B$4,Raw_Events!$C:$C,"&lt;="&amp;Settings!$B$5))</f>
        <v/>
      </c>
      <c r="G400" s="3">
        <f>IF($A400="","",COUNTIFS(Raw_Events!$G:$G,"DATE",Raw_Events!$J:$J,$A400,Raw_Events!$C:$C,"&gt;="&amp;Settings!$B$4,Raw_Events!$C:$C,"&lt;="&amp;Settings!$B$5))</f>
        <v/>
      </c>
      <c r="H400" s="3">
        <f>IF($A400="","",COUNTIFS(Raw_Events!$G:$G,"SEX",Raw_Events!$J:$J,$A400,Raw_Events!$C:$C,"&gt;="&amp;Settings!$B$4,Raw_Events!$C:$C,"&lt;="&amp;Settings!$B$5))</f>
        <v/>
      </c>
      <c r="I400" s="3">
        <f>IF($A400="","",COUNTIFS(Raw_Events!$G:$G,"PRO_CONTACT_ADDED",Raw_Events!$J:$J,$A400,Raw_Events!$C:$C,"&gt;="&amp;Settings!$B$4,Raw_Events!$C:$C,"&lt;="&amp;Settings!$B$5))</f>
        <v/>
      </c>
    </row>
    <row r="401" ht="15" customHeight="1">
      <c r="F401" s="3">
        <f>IF($A401="","",COUNTIFS(Raw_Events!$G:$G,"SOCIAL_MEET",Raw_Events!$J:$J,$A401,Raw_Events!$C:$C,"&gt;="&amp;Settings!$B$4,Raw_Events!$C:$C,"&lt;="&amp;Settings!$B$5))</f>
        <v/>
      </c>
      <c r="G401" s="3">
        <f>IF($A401="","",COUNTIFS(Raw_Events!$G:$G,"DATE",Raw_Events!$J:$J,$A401,Raw_Events!$C:$C,"&gt;="&amp;Settings!$B$4,Raw_Events!$C:$C,"&lt;="&amp;Settings!$B$5))</f>
        <v/>
      </c>
      <c r="H401" s="3">
        <f>IF($A401="","",COUNTIFS(Raw_Events!$G:$G,"SEX",Raw_Events!$J:$J,$A401,Raw_Events!$C:$C,"&gt;="&amp;Settings!$B$4,Raw_Events!$C:$C,"&lt;="&amp;Settings!$B$5))</f>
        <v/>
      </c>
      <c r="I401" s="3">
        <f>IF($A401="","",COUNTIFS(Raw_Events!$G:$G,"PRO_CONTACT_ADDED",Raw_Events!$J:$J,$A401,Raw_Events!$C:$C,"&gt;="&amp;Settings!$B$4,Raw_Events!$C:$C,"&lt;="&amp;Settings!$B$5))</f>
        <v/>
      </c>
    </row>
    <row r="402" ht="15" customHeight="1">
      <c r="F402" s="3">
        <f>IF($A402="","",COUNTIFS(Raw_Events!$G:$G,"SOCIAL_MEET",Raw_Events!$J:$J,$A402,Raw_Events!$C:$C,"&gt;="&amp;Settings!$B$4,Raw_Events!$C:$C,"&lt;="&amp;Settings!$B$5))</f>
        <v/>
      </c>
      <c r="G402" s="3">
        <f>IF($A402="","",COUNTIFS(Raw_Events!$G:$G,"DATE",Raw_Events!$J:$J,$A402,Raw_Events!$C:$C,"&gt;="&amp;Settings!$B$4,Raw_Events!$C:$C,"&lt;="&amp;Settings!$B$5))</f>
        <v/>
      </c>
      <c r="H402" s="3">
        <f>IF($A402="","",COUNTIFS(Raw_Events!$G:$G,"SEX",Raw_Events!$J:$J,$A402,Raw_Events!$C:$C,"&gt;="&amp;Settings!$B$4,Raw_Events!$C:$C,"&lt;="&amp;Settings!$B$5))</f>
        <v/>
      </c>
      <c r="I402" s="3">
        <f>IF($A402="","",COUNTIFS(Raw_Events!$G:$G,"PRO_CONTACT_ADDED",Raw_Events!$J:$J,$A402,Raw_Events!$C:$C,"&gt;="&amp;Settings!$B$4,Raw_Events!$C:$C,"&lt;="&amp;Settings!$B$5))</f>
        <v/>
      </c>
    </row>
    <row r="403" ht="15" customHeight="1">
      <c r="F403" s="3">
        <f>IF($A403="","",COUNTIFS(Raw_Events!$G:$G,"SOCIAL_MEET",Raw_Events!$J:$J,$A403,Raw_Events!$C:$C,"&gt;="&amp;Settings!$B$4,Raw_Events!$C:$C,"&lt;="&amp;Settings!$B$5))</f>
        <v/>
      </c>
      <c r="G403" s="3">
        <f>IF($A403="","",COUNTIFS(Raw_Events!$G:$G,"DATE",Raw_Events!$J:$J,$A403,Raw_Events!$C:$C,"&gt;="&amp;Settings!$B$4,Raw_Events!$C:$C,"&lt;="&amp;Settings!$B$5))</f>
        <v/>
      </c>
      <c r="H403" s="3">
        <f>IF($A403="","",COUNTIFS(Raw_Events!$G:$G,"SEX",Raw_Events!$J:$J,$A403,Raw_Events!$C:$C,"&gt;="&amp;Settings!$B$4,Raw_Events!$C:$C,"&lt;="&amp;Settings!$B$5))</f>
        <v/>
      </c>
      <c r="I403" s="3">
        <f>IF($A403="","",COUNTIFS(Raw_Events!$G:$G,"PRO_CONTACT_ADDED",Raw_Events!$J:$J,$A403,Raw_Events!$C:$C,"&gt;="&amp;Settings!$B$4,Raw_Events!$C:$C,"&lt;="&amp;Settings!$B$5))</f>
        <v/>
      </c>
    </row>
    <row r="404" ht="15" customHeight="1">
      <c r="F404" s="3">
        <f>IF($A404="","",COUNTIFS(Raw_Events!$G:$G,"SOCIAL_MEET",Raw_Events!$J:$J,$A404,Raw_Events!$C:$C,"&gt;="&amp;Settings!$B$4,Raw_Events!$C:$C,"&lt;="&amp;Settings!$B$5))</f>
        <v/>
      </c>
      <c r="G404" s="3">
        <f>IF($A404="","",COUNTIFS(Raw_Events!$G:$G,"DATE",Raw_Events!$J:$J,$A404,Raw_Events!$C:$C,"&gt;="&amp;Settings!$B$4,Raw_Events!$C:$C,"&lt;="&amp;Settings!$B$5))</f>
        <v/>
      </c>
      <c r="H404" s="3">
        <f>IF($A404="","",COUNTIFS(Raw_Events!$G:$G,"SEX",Raw_Events!$J:$J,$A404,Raw_Events!$C:$C,"&gt;="&amp;Settings!$B$4,Raw_Events!$C:$C,"&lt;="&amp;Settings!$B$5))</f>
        <v/>
      </c>
      <c r="I404" s="3">
        <f>IF($A404="","",COUNTIFS(Raw_Events!$G:$G,"PRO_CONTACT_ADDED",Raw_Events!$J:$J,$A404,Raw_Events!$C:$C,"&gt;="&amp;Settings!$B$4,Raw_Events!$C:$C,"&lt;="&amp;Settings!$B$5))</f>
        <v/>
      </c>
    </row>
    <row r="405" ht="15" customHeight="1">
      <c r="F405" s="3">
        <f>IF($A405="","",COUNTIFS(Raw_Events!$G:$G,"SOCIAL_MEET",Raw_Events!$J:$J,$A405,Raw_Events!$C:$C,"&gt;="&amp;Settings!$B$4,Raw_Events!$C:$C,"&lt;="&amp;Settings!$B$5))</f>
        <v/>
      </c>
      <c r="G405" s="3">
        <f>IF($A405="","",COUNTIFS(Raw_Events!$G:$G,"DATE",Raw_Events!$J:$J,$A405,Raw_Events!$C:$C,"&gt;="&amp;Settings!$B$4,Raw_Events!$C:$C,"&lt;="&amp;Settings!$B$5))</f>
        <v/>
      </c>
      <c r="H405" s="3">
        <f>IF($A405="","",COUNTIFS(Raw_Events!$G:$G,"SEX",Raw_Events!$J:$J,$A405,Raw_Events!$C:$C,"&gt;="&amp;Settings!$B$4,Raw_Events!$C:$C,"&lt;="&amp;Settings!$B$5))</f>
        <v/>
      </c>
      <c r="I405" s="3">
        <f>IF($A405="","",COUNTIFS(Raw_Events!$G:$G,"PRO_CONTACT_ADDED",Raw_Events!$J:$J,$A405,Raw_Events!$C:$C,"&gt;="&amp;Settings!$B$4,Raw_Events!$C:$C,"&lt;="&amp;Settings!$B$5))</f>
        <v/>
      </c>
    </row>
    <row r="406" ht="15" customHeight="1">
      <c r="F406" s="3">
        <f>IF($A406="","",COUNTIFS(Raw_Events!$G:$G,"SOCIAL_MEET",Raw_Events!$J:$J,$A406,Raw_Events!$C:$C,"&gt;="&amp;Settings!$B$4,Raw_Events!$C:$C,"&lt;="&amp;Settings!$B$5))</f>
        <v/>
      </c>
      <c r="G406" s="3">
        <f>IF($A406="","",COUNTIFS(Raw_Events!$G:$G,"DATE",Raw_Events!$J:$J,$A406,Raw_Events!$C:$C,"&gt;="&amp;Settings!$B$4,Raw_Events!$C:$C,"&lt;="&amp;Settings!$B$5))</f>
        <v/>
      </c>
      <c r="H406" s="3">
        <f>IF($A406="","",COUNTIFS(Raw_Events!$G:$G,"SEX",Raw_Events!$J:$J,$A406,Raw_Events!$C:$C,"&gt;="&amp;Settings!$B$4,Raw_Events!$C:$C,"&lt;="&amp;Settings!$B$5))</f>
        <v/>
      </c>
      <c r="I406" s="3">
        <f>IF($A406="","",COUNTIFS(Raw_Events!$G:$G,"PRO_CONTACT_ADDED",Raw_Events!$J:$J,$A406,Raw_Events!$C:$C,"&gt;="&amp;Settings!$B$4,Raw_Events!$C:$C,"&lt;="&amp;Settings!$B$5))</f>
        <v/>
      </c>
    </row>
    <row r="407" ht="15" customHeight="1">
      <c r="F407" s="3">
        <f>IF($A407="","",COUNTIFS(Raw_Events!$G:$G,"SOCIAL_MEET",Raw_Events!$J:$J,$A407,Raw_Events!$C:$C,"&gt;="&amp;Settings!$B$4,Raw_Events!$C:$C,"&lt;="&amp;Settings!$B$5))</f>
        <v/>
      </c>
      <c r="G407" s="3">
        <f>IF($A407="","",COUNTIFS(Raw_Events!$G:$G,"DATE",Raw_Events!$J:$J,$A407,Raw_Events!$C:$C,"&gt;="&amp;Settings!$B$4,Raw_Events!$C:$C,"&lt;="&amp;Settings!$B$5))</f>
        <v/>
      </c>
      <c r="H407" s="3">
        <f>IF($A407="","",COUNTIFS(Raw_Events!$G:$G,"SEX",Raw_Events!$J:$J,$A407,Raw_Events!$C:$C,"&gt;="&amp;Settings!$B$4,Raw_Events!$C:$C,"&lt;="&amp;Settings!$B$5))</f>
        <v/>
      </c>
      <c r="I407" s="3">
        <f>IF($A407="","",COUNTIFS(Raw_Events!$G:$G,"PRO_CONTACT_ADDED",Raw_Events!$J:$J,$A407,Raw_Events!$C:$C,"&gt;="&amp;Settings!$B$4,Raw_Events!$C:$C,"&lt;="&amp;Settings!$B$5))</f>
        <v/>
      </c>
    </row>
    <row r="408" ht="15" customHeight="1">
      <c r="F408" s="3">
        <f>IF($A408="","",COUNTIFS(Raw_Events!$G:$G,"SOCIAL_MEET",Raw_Events!$J:$J,$A408,Raw_Events!$C:$C,"&gt;="&amp;Settings!$B$4,Raw_Events!$C:$C,"&lt;="&amp;Settings!$B$5))</f>
        <v/>
      </c>
      <c r="G408" s="3">
        <f>IF($A408="","",COUNTIFS(Raw_Events!$G:$G,"DATE",Raw_Events!$J:$J,$A408,Raw_Events!$C:$C,"&gt;="&amp;Settings!$B$4,Raw_Events!$C:$C,"&lt;="&amp;Settings!$B$5))</f>
        <v/>
      </c>
      <c r="H408" s="3">
        <f>IF($A408="","",COUNTIFS(Raw_Events!$G:$G,"SEX",Raw_Events!$J:$J,$A408,Raw_Events!$C:$C,"&gt;="&amp;Settings!$B$4,Raw_Events!$C:$C,"&lt;="&amp;Settings!$B$5))</f>
        <v/>
      </c>
      <c r="I408" s="3">
        <f>IF($A408="","",COUNTIFS(Raw_Events!$G:$G,"PRO_CONTACT_ADDED",Raw_Events!$J:$J,$A408,Raw_Events!$C:$C,"&gt;="&amp;Settings!$B$4,Raw_Events!$C:$C,"&lt;="&amp;Settings!$B$5))</f>
        <v/>
      </c>
    </row>
    <row r="409" ht="15" customHeight="1">
      <c r="F409" s="3">
        <f>IF($A409="","",COUNTIFS(Raw_Events!$G:$G,"SOCIAL_MEET",Raw_Events!$J:$J,$A409,Raw_Events!$C:$C,"&gt;="&amp;Settings!$B$4,Raw_Events!$C:$C,"&lt;="&amp;Settings!$B$5))</f>
        <v/>
      </c>
      <c r="G409" s="3">
        <f>IF($A409="","",COUNTIFS(Raw_Events!$G:$G,"DATE",Raw_Events!$J:$J,$A409,Raw_Events!$C:$C,"&gt;="&amp;Settings!$B$4,Raw_Events!$C:$C,"&lt;="&amp;Settings!$B$5))</f>
        <v/>
      </c>
      <c r="H409" s="3">
        <f>IF($A409="","",COUNTIFS(Raw_Events!$G:$G,"SEX",Raw_Events!$J:$J,$A409,Raw_Events!$C:$C,"&gt;="&amp;Settings!$B$4,Raw_Events!$C:$C,"&lt;="&amp;Settings!$B$5))</f>
        <v/>
      </c>
      <c r="I409" s="3">
        <f>IF($A409="","",COUNTIFS(Raw_Events!$G:$G,"PRO_CONTACT_ADDED",Raw_Events!$J:$J,$A409,Raw_Events!$C:$C,"&gt;="&amp;Settings!$B$4,Raw_Events!$C:$C,"&lt;="&amp;Settings!$B$5))</f>
        <v/>
      </c>
    </row>
    <row r="410" ht="15" customHeight="1">
      <c r="F410" s="3">
        <f>IF($A410="","",COUNTIFS(Raw_Events!$G:$G,"SOCIAL_MEET",Raw_Events!$J:$J,$A410,Raw_Events!$C:$C,"&gt;="&amp;Settings!$B$4,Raw_Events!$C:$C,"&lt;="&amp;Settings!$B$5))</f>
        <v/>
      </c>
      <c r="G410" s="3">
        <f>IF($A410="","",COUNTIFS(Raw_Events!$G:$G,"DATE",Raw_Events!$J:$J,$A410,Raw_Events!$C:$C,"&gt;="&amp;Settings!$B$4,Raw_Events!$C:$C,"&lt;="&amp;Settings!$B$5))</f>
        <v/>
      </c>
      <c r="H410" s="3">
        <f>IF($A410="","",COUNTIFS(Raw_Events!$G:$G,"SEX",Raw_Events!$J:$J,$A410,Raw_Events!$C:$C,"&gt;="&amp;Settings!$B$4,Raw_Events!$C:$C,"&lt;="&amp;Settings!$B$5))</f>
        <v/>
      </c>
      <c r="I410" s="3">
        <f>IF($A410="","",COUNTIFS(Raw_Events!$G:$G,"PRO_CONTACT_ADDED",Raw_Events!$J:$J,$A410,Raw_Events!$C:$C,"&gt;="&amp;Settings!$B$4,Raw_Events!$C:$C,"&lt;="&amp;Settings!$B$5))</f>
        <v/>
      </c>
    </row>
    <row r="411" ht="15" customHeight="1">
      <c r="F411" s="3">
        <f>IF($A411="","",COUNTIFS(Raw_Events!$G:$G,"SOCIAL_MEET",Raw_Events!$J:$J,$A411,Raw_Events!$C:$C,"&gt;="&amp;Settings!$B$4,Raw_Events!$C:$C,"&lt;="&amp;Settings!$B$5))</f>
        <v/>
      </c>
      <c r="G411" s="3">
        <f>IF($A411="","",COUNTIFS(Raw_Events!$G:$G,"DATE",Raw_Events!$J:$J,$A411,Raw_Events!$C:$C,"&gt;="&amp;Settings!$B$4,Raw_Events!$C:$C,"&lt;="&amp;Settings!$B$5))</f>
        <v/>
      </c>
      <c r="H411" s="3">
        <f>IF($A411="","",COUNTIFS(Raw_Events!$G:$G,"SEX",Raw_Events!$J:$J,$A411,Raw_Events!$C:$C,"&gt;="&amp;Settings!$B$4,Raw_Events!$C:$C,"&lt;="&amp;Settings!$B$5))</f>
        <v/>
      </c>
      <c r="I411" s="3">
        <f>IF($A411="","",COUNTIFS(Raw_Events!$G:$G,"PRO_CONTACT_ADDED",Raw_Events!$J:$J,$A411,Raw_Events!$C:$C,"&gt;="&amp;Settings!$B$4,Raw_Events!$C:$C,"&lt;="&amp;Settings!$B$5))</f>
        <v/>
      </c>
    </row>
    <row r="412" ht="15" customHeight="1">
      <c r="F412" s="3">
        <f>IF($A412="","",COUNTIFS(Raw_Events!$G:$G,"SOCIAL_MEET",Raw_Events!$J:$J,$A412,Raw_Events!$C:$C,"&gt;="&amp;Settings!$B$4,Raw_Events!$C:$C,"&lt;="&amp;Settings!$B$5))</f>
        <v/>
      </c>
      <c r="G412" s="3">
        <f>IF($A412="","",COUNTIFS(Raw_Events!$G:$G,"DATE",Raw_Events!$J:$J,$A412,Raw_Events!$C:$C,"&gt;="&amp;Settings!$B$4,Raw_Events!$C:$C,"&lt;="&amp;Settings!$B$5))</f>
        <v/>
      </c>
      <c r="H412" s="3">
        <f>IF($A412="","",COUNTIFS(Raw_Events!$G:$G,"SEX",Raw_Events!$J:$J,$A412,Raw_Events!$C:$C,"&gt;="&amp;Settings!$B$4,Raw_Events!$C:$C,"&lt;="&amp;Settings!$B$5))</f>
        <v/>
      </c>
      <c r="I412" s="3">
        <f>IF($A412="","",COUNTIFS(Raw_Events!$G:$G,"PRO_CONTACT_ADDED",Raw_Events!$J:$J,$A412,Raw_Events!$C:$C,"&gt;="&amp;Settings!$B$4,Raw_Events!$C:$C,"&lt;="&amp;Settings!$B$5))</f>
        <v/>
      </c>
    </row>
    <row r="413" ht="15" customHeight="1">
      <c r="F413" s="3">
        <f>IF($A413="","",COUNTIFS(Raw_Events!$G:$G,"SOCIAL_MEET",Raw_Events!$J:$J,$A413,Raw_Events!$C:$C,"&gt;="&amp;Settings!$B$4,Raw_Events!$C:$C,"&lt;="&amp;Settings!$B$5))</f>
        <v/>
      </c>
      <c r="G413" s="3">
        <f>IF($A413="","",COUNTIFS(Raw_Events!$G:$G,"DATE",Raw_Events!$J:$J,$A413,Raw_Events!$C:$C,"&gt;="&amp;Settings!$B$4,Raw_Events!$C:$C,"&lt;="&amp;Settings!$B$5))</f>
        <v/>
      </c>
      <c r="H413" s="3">
        <f>IF($A413="","",COUNTIFS(Raw_Events!$G:$G,"SEX",Raw_Events!$J:$J,$A413,Raw_Events!$C:$C,"&gt;="&amp;Settings!$B$4,Raw_Events!$C:$C,"&lt;="&amp;Settings!$B$5))</f>
        <v/>
      </c>
      <c r="I413" s="3">
        <f>IF($A413="","",COUNTIFS(Raw_Events!$G:$G,"PRO_CONTACT_ADDED",Raw_Events!$J:$J,$A413,Raw_Events!$C:$C,"&gt;="&amp;Settings!$B$4,Raw_Events!$C:$C,"&lt;="&amp;Settings!$B$5))</f>
        <v/>
      </c>
    </row>
    <row r="414" ht="15" customHeight="1">
      <c r="F414" s="3">
        <f>IF($A414="","",COUNTIFS(Raw_Events!$G:$G,"SOCIAL_MEET",Raw_Events!$J:$J,$A414,Raw_Events!$C:$C,"&gt;="&amp;Settings!$B$4,Raw_Events!$C:$C,"&lt;="&amp;Settings!$B$5))</f>
        <v/>
      </c>
      <c r="G414" s="3">
        <f>IF($A414="","",COUNTIFS(Raw_Events!$G:$G,"DATE",Raw_Events!$J:$J,$A414,Raw_Events!$C:$C,"&gt;="&amp;Settings!$B$4,Raw_Events!$C:$C,"&lt;="&amp;Settings!$B$5))</f>
        <v/>
      </c>
      <c r="H414" s="3">
        <f>IF($A414="","",COUNTIFS(Raw_Events!$G:$G,"SEX",Raw_Events!$J:$J,$A414,Raw_Events!$C:$C,"&gt;="&amp;Settings!$B$4,Raw_Events!$C:$C,"&lt;="&amp;Settings!$B$5))</f>
        <v/>
      </c>
      <c r="I414" s="3">
        <f>IF($A414="","",COUNTIFS(Raw_Events!$G:$G,"PRO_CONTACT_ADDED",Raw_Events!$J:$J,$A414,Raw_Events!$C:$C,"&gt;="&amp;Settings!$B$4,Raw_Events!$C:$C,"&lt;="&amp;Settings!$B$5))</f>
        <v/>
      </c>
    </row>
    <row r="415" ht="15" customHeight="1">
      <c r="F415" s="3">
        <f>IF($A415="","",COUNTIFS(Raw_Events!$G:$G,"SOCIAL_MEET",Raw_Events!$J:$J,$A415,Raw_Events!$C:$C,"&gt;="&amp;Settings!$B$4,Raw_Events!$C:$C,"&lt;="&amp;Settings!$B$5))</f>
        <v/>
      </c>
      <c r="G415" s="3">
        <f>IF($A415="","",COUNTIFS(Raw_Events!$G:$G,"DATE",Raw_Events!$J:$J,$A415,Raw_Events!$C:$C,"&gt;="&amp;Settings!$B$4,Raw_Events!$C:$C,"&lt;="&amp;Settings!$B$5))</f>
        <v/>
      </c>
      <c r="H415" s="3">
        <f>IF($A415="","",COUNTIFS(Raw_Events!$G:$G,"SEX",Raw_Events!$J:$J,$A415,Raw_Events!$C:$C,"&gt;="&amp;Settings!$B$4,Raw_Events!$C:$C,"&lt;="&amp;Settings!$B$5))</f>
        <v/>
      </c>
      <c r="I415" s="3">
        <f>IF($A415="","",COUNTIFS(Raw_Events!$G:$G,"PRO_CONTACT_ADDED",Raw_Events!$J:$J,$A415,Raw_Events!$C:$C,"&gt;="&amp;Settings!$B$4,Raw_Events!$C:$C,"&lt;="&amp;Settings!$B$5))</f>
        <v/>
      </c>
    </row>
    <row r="416" ht="15" customHeight="1">
      <c r="F416" s="3">
        <f>IF($A416="","",COUNTIFS(Raw_Events!$G:$G,"SOCIAL_MEET",Raw_Events!$J:$J,$A416,Raw_Events!$C:$C,"&gt;="&amp;Settings!$B$4,Raw_Events!$C:$C,"&lt;="&amp;Settings!$B$5))</f>
        <v/>
      </c>
      <c r="G416" s="3">
        <f>IF($A416="","",COUNTIFS(Raw_Events!$G:$G,"DATE",Raw_Events!$J:$J,$A416,Raw_Events!$C:$C,"&gt;="&amp;Settings!$B$4,Raw_Events!$C:$C,"&lt;="&amp;Settings!$B$5))</f>
        <v/>
      </c>
      <c r="H416" s="3">
        <f>IF($A416="","",COUNTIFS(Raw_Events!$G:$G,"SEX",Raw_Events!$J:$J,$A416,Raw_Events!$C:$C,"&gt;="&amp;Settings!$B$4,Raw_Events!$C:$C,"&lt;="&amp;Settings!$B$5))</f>
        <v/>
      </c>
      <c r="I416" s="3">
        <f>IF($A416="","",COUNTIFS(Raw_Events!$G:$G,"PRO_CONTACT_ADDED",Raw_Events!$J:$J,$A416,Raw_Events!$C:$C,"&gt;="&amp;Settings!$B$4,Raw_Events!$C:$C,"&lt;="&amp;Settings!$B$5))</f>
        <v/>
      </c>
    </row>
    <row r="417" ht="15" customHeight="1">
      <c r="F417" s="3">
        <f>IF($A417="","",COUNTIFS(Raw_Events!$G:$G,"SOCIAL_MEET",Raw_Events!$J:$J,$A417,Raw_Events!$C:$C,"&gt;="&amp;Settings!$B$4,Raw_Events!$C:$C,"&lt;="&amp;Settings!$B$5))</f>
        <v/>
      </c>
      <c r="G417" s="3">
        <f>IF($A417="","",COUNTIFS(Raw_Events!$G:$G,"DATE",Raw_Events!$J:$J,$A417,Raw_Events!$C:$C,"&gt;="&amp;Settings!$B$4,Raw_Events!$C:$C,"&lt;="&amp;Settings!$B$5))</f>
        <v/>
      </c>
      <c r="H417" s="3">
        <f>IF($A417="","",COUNTIFS(Raw_Events!$G:$G,"SEX",Raw_Events!$J:$J,$A417,Raw_Events!$C:$C,"&gt;="&amp;Settings!$B$4,Raw_Events!$C:$C,"&lt;="&amp;Settings!$B$5))</f>
        <v/>
      </c>
      <c r="I417" s="3">
        <f>IF($A417="","",COUNTIFS(Raw_Events!$G:$G,"PRO_CONTACT_ADDED",Raw_Events!$J:$J,$A417,Raw_Events!$C:$C,"&gt;="&amp;Settings!$B$4,Raw_Events!$C:$C,"&lt;="&amp;Settings!$B$5))</f>
        <v/>
      </c>
    </row>
    <row r="418" ht="15" customHeight="1">
      <c r="F418" s="3">
        <f>IF($A418="","",COUNTIFS(Raw_Events!$G:$G,"SOCIAL_MEET",Raw_Events!$J:$J,$A418,Raw_Events!$C:$C,"&gt;="&amp;Settings!$B$4,Raw_Events!$C:$C,"&lt;="&amp;Settings!$B$5))</f>
        <v/>
      </c>
      <c r="G418" s="3">
        <f>IF($A418="","",COUNTIFS(Raw_Events!$G:$G,"DATE",Raw_Events!$J:$J,$A418,Raw_Events!$C:$C,"&gt;="&amp;Settings!$B$4,Raw_Events!$C:$C,"&lt;="&amp;Settings!$B$5))</f>
        <v/>
      </c>
      <c r="H418" s="3">
        <f>IF($A418="","",COUNTIFS(Raw_Events!$G:$G,"SEX",Raw_Events!$J:$J,$A418,Raw_Events!$C:$C,"&gt;="&amp;Settings!$B$4,Raw_Events!$C:$C,"&lt;="&amp;Settings!$B$5))</f>
        <v/>
      </c>
      <c r="I418" s="3">
        <f>IF($A418="","",COUNTIFS(Raw_Events!$G:$G,"PRO_CONTACT_ADDED",Raw_Events!$J:$J,$A418,Raw_Events!$C:$C,"&gt;="&amp;Settings!$B$4,Raw_Events!$C:$C,"&lt;="&amp;Settings!$B$5))</f>
        <v/>
      </c>
    </row>
    <row r="419" ht="15" customHeight="1">
      <c r="F419" s="3">
        <f>IF($A419="","",COUNTIFS(Raw_Events!$G:$G,"SOCIAL_MEET",Raw_Events!$J:$J,$A419,Raw_Events!$C:$C,"&gt;="&amp;Settings!$B$4,Raw_Events!$C:$C,"&lt;="&amp;Settings!$B$5))</f>
        <v/>
      </c>
      <c r="G419" s="3">
        <f>IF($A419="","",COUNTIFS(Raw_Events!$G:$G,"DATE",Raw_Events!$J:$J,$A419,Raw_Events!$C:$C,"&gt;="&amp;Settings!$B$4,Raw_Events!$C:$C,"&lt;="&amp;Settings!$B$5))</f>
        <v/>
      </c>
      <c r="H419" s="3">
        <f>IF($A419="","",COUNTIFS(Raw_Events!$G:$G,"SEX",Raw_Events!$J:$J,$A419,Raw_Events!$C:$C,"&gt;="&amp;Settings!$B$4,Raw_Events!$C:$C,"&lt;="&amp;Settings!$B$5))</f>
        <v/>
      </c>
      <c r="I419" s="3">
        <f>IF($A419="","",COUNTIFS(Raw_Events!$G:$G,"PRO_CONTACT_ADDED",Raw_Events!$J:$J,$A419,Raw_Events!$C:$C,"&gt;="&amp;Settings!$B$4,Raw_Events!$C:$C,"&lt;="&amp;Settings!$B$5))</f>
        <v/>
      </c>
    </row>
    <row r="420" ht="15" customHeight="1">
      <c r="F420" s="3">
        <f>IF($A420="","",COUNTIFS(Raw_Events!$G:$G,"SOCIAL_MEET",Raw_Events!$J:$J,$A420,Raw_Events!$C:$C,"&gt;="&amp;Settings!$B$4,Raw_Events!$C:$C,"&lt;="&amp;Settings!$B$5))</f>
        <v/>
      </c>
      <c r="G420" s="3">
        <f>IF($A420="","",COUNTIFS(Raw_Events!$G:$G,"DATE",Raw_Events!$J:$J,$A420,Raw_Events!$C:$C,"&gt;="&amp;Settings!$B$4,Raw_Events!$C:$C,"&lt;="&amp;Settings!$B$5))</f>
        <v/>
      </c>
      <c r="H420" s="3">
        <f>IF($A420="","",COUNTIFS(Raw_Events!$G:$G,"SEX",Raw_Events!$J:$J,$A420,Raw_Events!$C:$C,"&gt;="&amp;Settings!$B$4,Raw_Events!$C:$C,"&lt;="&amp;Settings!$B$5))</f>
        <v/>
      </c>
      <c r="I420" s="3">
        <f>IF($A420="","",COUNTIFS(Raw_Events!$G:$G,"PRO_CONTACT_ADDED",Raw_Events!$J:$J,$A420,Raw_Events!$C:$C,"&gt;="&amp;Settings!$B$4,Raw_Events!$C:$C,"&lt;="&amp;Settings!$B$5))</f>
        <v/>
      </c>
    </row>
    <row r="421" ht="15" customHeight="1">
      <c r="F421" s="3">
        <f>IF($A421="","",COUNTIFS(Raw_Events!$G:$G,"SOCIAL_MEET",Raw_Events!$J:$J,$A421,Raw_Events!$C:$C,"&gt;="&amp;Settings!$B$4,Raw_Events!$C:$C,"&lt;="&amp;Settings!$B$5))</f>
        <v/>
      </c>
      <c r="G421" s="3">
        <f>IF($A421="","",COUNTIFS(Raw_Events!$G:$G,"DATE",Raw_Events!$J:$J,$A421,Raw_Events!$C:$C,"&gt;="&amp;Settings!$B$4,Raw_Events!$C:$C,"&lt;="&amp;Settings!$B$5))</f>
        <v/>
      </c>
      <c r="H421" s="3">
        <f>IF($A421="","",COUNTIFS(Raw_Events!$G:$G,"SEX",Raw_Events!$J:$J,$A421,Raw_Events!$C:$C,"&gt;="&amp;Settings!$B$4,Raw_Events!$C:$C,"&lt;="&amp;Settings!$B$5))</f>
        <v/>
      </c>
      <c r="I421" s="3">
        <f>IF($A421="","",COUNTIFS(Raw_Events!$G:$G,"PRO_CONTACT_ADDED",Raw_Events!$J:$J,$A421,Raw_Events!$C:$C,"&gt;="&amp;Settings!$B$4,Raw_Events!$C:$C,"&lt;="&amp;Settings!$B$5))</f>
        <v/>
      </c>
    </row>
    <row r="422" ht="15" customHeight="1">
      <c r="F422" s="3">
        <f>IF($A422="","",COUNTIFS(Raw_Events!$G:$G,"SOCIAL_MEET",Raw_Events!$J:$J,$A422,Raw_Events!$C:$C,"&gt;="&amp;Settings!$B$4,Raw_Events!$C:$C,"&lt;="&amp;Settings!$B$5))</f>
        <v/>
      </c>
      <c r="G422" s="3">
        <f>IF($A422="","",COUNTIFS(Raw_Events!$G:$G,"DATE",Raw_Events!$J:$J,$A422,Raw_Events!$C:$C,"&gt;="&amp;Settings!$B$4,Raw_Events!$C:$C,"&lt;="&amp;Settings!$B$5))</f>
        <v/>
      </c>
      <c r="H422" s="3">
        <f>IF($A422="","",COUNTIFS(Raw_Events!$G:$G,"SEX",Raw_Events!$J:$J,$A422,Raw_Events!$C:$C,"&gt;="&amp;Settings!$B$4,Raw_Events!$C:$C,"&lt;="&amp;Settings!$B$5))</f>
        <v/>
      </c>
      <c r="I422" s="3">
        <f>IF($A422="","",COUNTIFS(Raw_Events!$G:$G,"PRO_CONTACT_ADDED",Raw_Events!$J:$J,$A422,Raw_Events!$C:$C,"&gt;="&amp;Settings!$B$4,Raw_Events!$C:$C,"&lt;="&amp;Settings!$B$5))</f>
        <v/>
      </c>
    </row>
    <row r="423" ht="15" customHeight="1">
      <c r="F423" s="3">
        <f>IF($A423="","",COUNTIFS(Raw_Events!$G:$G,"SOCIAL_MEET",Raw_Events!$J:$J,$A423,Raw_Events!$C:$C,"&gt;="&amp;Settings!$B$4,Raw_Events!$C:$C,"&lt;="&amp;Settings!$B$5))</f>
        <v/>
      </c>
      <c r="G423" s="3">
        <f>IF($A423="","",COUNTIFS(Raw_Events!$G:$G,"DATE",Raw_Events!$J:$J,$A423,Raw_Events!$C:$C,"&gt;="&amp;Settings!$B$4,Raw_Events!$C:$C,"&lt;="&amp;Settings!$B$5))</f>
        <v/>
      </c>
      <c r="H423" s="3">
        <f>IF($A423="","",COUNTIFS(Raw_Events!$G:$G,"SEX",Raw_Events!$J:$J,$A423,Raw_Events!$C:$C,"&gt;="&amp;Settings!$B$4,Raw_Events!$C:$C,"&lt;="&amp;Settings!$B$5))</f>
        <v/>
      </c>
      <c r="I423" s="3">
        <f>IF($A423="","",COUNTIFS(Raw_Events!$G:$G,"PRO_CONTACT_ADDED",Raw_Events!$J:$J,$A423,Raw_Events!$C:$C,"&gt;="&amp;Settings!$B$4,Raw_Events!$C:$C,"&lt;="&amp;Settings!$B$5))</f>
        <v/>
      </c>
    </row>
    <row r="424" ht="15" customHeight="1">
      <c r="F424" s="3">
        <f>IF($A424="","",COUNTIFS(Raw_Events!$G:$G,"SOCIAL_MEET",Raw_Events!$J:$J,$A424,Raw_Events!$C:$C,"&gt;="&amp;Settings!$B$4,Raw_Events!$C:$C,"&lt;="&amp;Settings!$B$5))</f>
        <v/>
      </c>
      <c r="G424" s="3">
        <f>IF($A424="","",COUNTIFS(Raw_Events!$G:$G,"DATE",Raw_Events!$J:$J,$A424,Raw_Events!$C:$C,"&gt;="&amp;Settings!$B$4,Raw_Events!$C:$C,"&lt;="&amp;Settings!$B$5))</f>
        <v/>
      </c>
      <c r="H424" s="3">
        <f>IF($A424="","",COUNTIFS(Raw_Events!$G:$G,"SEX",Raw_Events!$J:$J,$A424,Raw_Events!$C:$C,"&gt;="&amp;Settings!$B$4,Raw_Events!$C:$C,"&lt;="&amp;Settings!$B$5))</f>
        <v/>
      </c>
      <c r="I424" s="3">
        <f>IF($A424="","",COUNTIFS(Raw_Events!$G:$G,"PRO_CONTACT_ADDED",Raw_Events!$J:$J,$A424,Raw_Events!$C:$C,"&gt;="&amp;Settings!$B$4,Raw_Events!$C:$C,"&lt;="&amp;Settings!$B$5))</f>
        <v/>
      </c>
    </row>
    <row r="425" ht="15" customHeight="1">
      <c r="F425" s="3">
        <f>IF($A425="","",COUNTIFS(Raw_Events!$G:$G,"SOCIAL_MEET",Raw_Events!$J:$J,$A425,Raw_Events!$C:$C,"&gt;="&amp;Settings!$B$4,Raw_Events!$C:$C,"&lt;="&amp;Settings!$B$5))</f>
        <v/>
      </c>
      <c r="G425" s="3">
        <f>IF($A425="","",COUNTIFS(Raw_Events!$G:$G,"DATE",Raw_Events!$J:$J,$A425,Raw_Events!$C:$C,"&gt;="&amp;Settings!$B$4,Raw_Events!$C:$C,"&lt;="&amp;Settings!$B$5))</f>
        <v/>
      </c>
      <c r="H425" s="3">
        <f>IF($A425="","",COUNTIFS(Raw_Events!$G:$G,"SEX",Raw_Events!$J:$J,$A425,Raw_Events!$C:$C,"&gt;="&amp;Settings!$B$4,Raw_Events!$C:$C,"&lt;="&amp;Settings!$B$5))</f>
        <v/>
      </c>
      <c r="I425" s="3">
        <f>IF($A425="","",COUNTIFS(Raw_Events!$G:$G,"PRO_CONTACT_ADDED",Raw_Events!$J:$J,$A425,Raw_Events!$C:$C,"&gt;="&amp;Settings!$B$4,Raw_Events!$C:$C,"&lt;="&amp;Settings!$B$5))</f>
        <v/>
      </c>
    </row>
    <row r="426" ht="15" customHeight="1">
      <c r="F426" s="3">
        <f>IF($A426="","",COUNTIFS(Raw_Events!$G:$G,"SOCIAL_MEET",Raw_Events!$J:$J,$A426,Raw_Events!$C:$C,"&gt;="&amp;Settings!$B$4,Raw_Events!$C:$C,"&lt;="&amp;Settings!$B$5))</f>
        <v/>
      </c>
      <c r="G426" s="3">
        <f>IF($A426="","",COUNTIFS(Raw_Events!$G:$G,"DATE",Raw_Events!$J:$J,$A426,Raw_Events!$C:$C,"&gt;="&amp;Settings!$B$4,Raw_Events!$C:$C,"&lt;="&amp;Settings!$B$5))</f>
        <v/>
      </c>
      <c r="H426" s="3">
        <f>IF($A426="","",COUNTIFS(Raw_Events!$G:$G,"SEX",Raw_Events!$J:$J,$A426,Raw_Events!$C:$C,"&gt;="&amp;Settings!$B$4,Raw_Events!$C:$C,"&lt;="&amp;Settings!$B$5))</f>
        <v/>
      </c>
      <c r="I426" s="3">
        <f>IF($A426="","",COUNTIFS(Raw_Events!$G:$G,"PRO_CONTACT_ADDED",Raw_Events!$J:$J,$A426,Raw_Events!$C:$C,"&gt;="&amp;Settings!$B$4,Raw_Events!$C:$C,"&lt;="&amp;Settings!$B$5))</f>
        <v/>
      </c>
    </row>
    <row r="427" ht="15" customHeight="1">
      <c r="F427" s="3">
        <f>IF($A427="","",COUNTIFS(Raw_Events!$G:$G,"SOCIAL_MEET",Raw_Events!$J:$J,$A427,Raw_Events!$C:$C,"&gt;="&amp;Settings!$B$4,Raw_Events!$C:$C,"&lt;="&amp;Settings!$B$5))</f>
        <v/>
      </c>
      <c r="G427" s="3">
        <f>IF($A427="","",COUNTIFS(Raw_Events!$G:$G,"DATE",Raw_Events!$J:$J,$A427,Raw_Events!$C:$C,"&gt;="&amp;Settings!$B$4,Raw_Events!$C:$C,"&lt;="&amp;Settings!$B$5))</f>
        <v/>
      </c>
      <c r="H427" s="3">
        <f>IF($A427="","",COUNTIFS(Raw_Events!$G:$G,"SEX",Raw_Events!$J:$J,$A427,Raw_Events!$C:$C,"&gt;="&amp;Settings!$B$4,Raw_Events!$C:$C,"&lt;="&amp;Settings!$B$5))</f>
        <v/>
      </c>
      <c r="I427" s="3">
        <f>IF($A427="","",COUNTIFS(Raw_Events!$G:$G,"PRO_CONTACT_ADDED",Raw_Events!$J:$J,$A427,Raw_Events!$C:$C,"&gt;="&amp;Settings!$B$4,Raw_Events!$C:$C,"&lt;="&amp;Settings!$B$5))</f>
        <v/>
      </c>
    </row>
    <row r="428" ht="15" customHeight="1">
      <c r="F428" s="3">
        <f>IF($A428="","",COUNTIFS(Raw_Events!$G:$G,"SOCIAL_MEET",Raw_Events!$J:$J,$A428,Raw_Events!$C:$C,"&gt;="&amp;Settings!$B$4,Raw_Events!$C:$C,"&lt;="&amp;Settings!$B$5))</f>
        <v/>
      </c>
      <c r="G428" s="3">
        <f>IF($A428="","",COUNTIFS(Raw_Events!$G:$G,"DATE",Raw_Events!$J:$J,$A428,Raw_Events!$C:$C,"&gt;="&amp;Settings!$B$4,Raw_Events!$C:$C,"&lt;="&amp;Settings!$B$5))</f>
        <v/>
      </c>
      <c r="H428" s="3">
        <f>IF($A428="","",COUNTIFS(Raw_Events!$G:$G,"SEX",Raw_Events!$J:$J,$A428,Raw_Events!$C:$C,"&gt;="&amp;Settings!$B$4,Raw_Events!$C:$C,"&lt;="&amp;Settings!$B$5))</f>
        <v/>
      </c>
      <c r="I428" s="3">
        <f>IF($A428="","",COUNTIFS(Raw_Events!$G:$G,"PRO_CONTACT_ADDED",Raw_Events!$J:$J,$A428,Raw_Events!$C:$C,"&gt;="&amp;Settings!$B$4,Raw_Events!$C:$C,"&lt;="&amp;Settings!$B$5))</f>
        <v/>
      </c>
    </row>
    <row r="429" ht="15" customHeight="1">
      <c r="F429" s="3">
        <f>IF($A429="","",COUNTIFS(Raw_Events!$G:$G,"SOCIAL_MEET",Raw_Events!$J:$J,$A429,Raw_Events!$C:$C,"&gt;="&amp;Settings!$B$4,Raw_Events!$C:$C,"&lt;="&amp;Settings!$B$5))</f>
        <v/>
      </c>
      <c r="G429" s="3">
        <f>IF($A429="","",COUNTIFS(Raw_Events!$G:$G,"DATE",Raw_Events!$J:$J,$A429,Raw_Events!$C:$C,"&gt;="&amp;Settings!$B$4,Raw_Events!$C:$C,"&lt;="&amp;Settings!$B$5))</f>
        <v/>
      </c>
      <c r="H429" s="3">
        <f>IF($A429="","",COUNTIFS(Raw_Events!$G:$G,"SEX",Raw_Events!$J:$J,$A429,Raw_Events!$C:$C,"&gt;="&amp;Settings!$B$4,Raw_Events!$C:$C,"&lt;="&amp;Settings!$B$5))</f>
        <v/>
      </c>
      <c r="I429" s="3">
        <f>IF($A429="","",COUNTIFS(Raw_Events!$G:$G,"PRO_CONTACT_ADDED",Raw_Events!$J:$J,$A429,Raw_Events!$C:$C,"&gt;="&amp;Settings!$B$4,Raw_Events!$C:$C,"&lt;="&amp;Settings!$B$5))</f>
        <v/>
      </c>
    </row>
    <row r="430" ht="15" customHeight="1">
      <c r="F430" s="3">
        <f>IF($A430="","",COUNTIFS(Raw_Events!$G:$G,"SOCIAL_MEET",Raw_Events!$J:$J,$A430,Raw_Events!$C:$C,"&gt;="&amp;Settings!$B$4,Raw_Events!$C:$C,"&lt;="&amp;Settings!$B$5))</f>
        <v/>
      </c>
      <c r="G430" s="3">
        <f>IF($A430="","",COUNTIFS(Raw_Events!$G:$G,"DATE",Raw_Events!$J:$J,$A430,Raw_Events!$C:$C,"&gt;="&amp;Settings!$B$4,Raw_Events!$C:$C,"&lt;="&amp;Settings!$B$5))</f>
        <v/>
      </c>
      <c r="H430" s="3">
        <f>IF($A430="","",COUNTIFS(Raw_Events!$G:$G,"SEX",Raw_Events!$J:$J,$A430,Raw_Events!$C:$C,"&gt;="&amp;Settings!$B$4,Raw_Events!$C:$C,"&lt;="&amp;Settings!$B$5))</f>
        <v/>
      </c>
      <c r="I430" s="3">
        <f>IF($A430="","",COUNTIFS(Raw_Events!$G:$G,"PRO_CONTACT_ADDED",Raw_Events!$J:$J,$A430,Raw_Events!$C:$C,"&gt;="&amp;Settings!$B$4,Raw_Events!$C:$C,"&lt;="&amp;Settings!$B$5))</f>
        <v/>
      </c>
    </row>
    <row r="431" ht="15" customHeight="1">
      <c r="F431" s="3">
        <f>IF($A431="","",COUNTIFS(Raw_Events!$G:$G,"SOCIAL_MEET",Raw_Events!$J:$J,$A431,Raw_Events!$C:$C,"&gt;="&amp;Settings!$B$4,Raw_Events!$C:$C,"&lt;="&amp;Settings!$B$5))</f>
        <v/>
      </c>
      <c r="G431" s="3">
        <f>IF($A431="","",COUNTIFS(Raw_Events!$G:$G,"DATE",Raw_Events!$J:$J,$A431,Raw_Events!$C:$C,"&gt;="&amp;Settings!$B$4,Raw_Events!$C:$C,"&lt;="&amp;Settings!$B$5))</f>
        <v/>
      </c>
      <c r="H431" s="3">
        <f>IF($A431="","",COUNTIFS(Raw_Events!$G:$G,"SEX",Raw_Events!$J:$J,$A431,Raw_Events!$C:$C,"&gt;="&amp;Settings!$B$4,Raw_Events!$C:$C,"&lt;="&amp;Settings!$B$5))</f>
        <v/>
      </c>
      <c r="I431" s="3">
        <f>IF($A431="","",COUNTIFS(Raw_Events!$G:$G,"PRO_CONTACT_ADDED",Raw_Events!$J:$J,$A431,Raw_Events!$C:$C,"&gt;="&amp;Settings!$B$4,Raw_Events!$C:$C,"&lt;="&amp;Settings!$B$5))</f>
        <v/>
      </c>
    </row>
    <row r="432" ht="15" customHeight="1">
      <c r="F432" s="3">
        <f>IF($A432="","",COUNTIFS(Raw_Events!$G:$G,"SOCIAL_MEET",Raw_Events!$J:$J,$A432,Raw_Events!$C:$C,"&gt;="&amp;Settings!$B$4,Raw_Events!$C:$C,"&lt;="&amp;Settings!$B$5))</f>
        <v/>
      </c>
      <c r="G432" s="3">
        <f>IF($A432="","",COUNTIFS(Raw_Events!$G:$G,"DATE",Raw_Events!$J:$J,$A432,Raw_Events!$C:$C,"&gt;="&amp;Settings!$B$4,Raw_Events!$C:$C,"&lt;="&amp;Settings!$B$5))</f>
        <v/>
      </c>
      <c r="H432" s="3">
        <f>IF($A432="","",COUNTIFS(Raw_Events!$G:$G,"SEX",Raw_Events!$J:$J,$A432,Raw_Events!$C:$C,"&gt;="&amp;Settings!$B$4,Raw_Events!$C:$C,"&lt;="&amp;Settings!$B$5))</f>
        <v/>
      </c>
      <c r="I432" s="3">
        <f>IF($A432="","",COUNTIFS(Raw_Events!$G:$G,"PRO_CONTACT_ADDED",Raw_Events!$J:$J,$A432,Raw_Events!$C:$C,"&gt;="&amp;Settings!$B$4,Raw_Events!$C:$C,"&lt;="&amp;Settings!$B$5))</f>
        <v/>
      </c>
    </row>
    <row r="433" ht="15" customHeight="1">
      <c r="F433" s="3">
        <f>IF($A433="","",COUNTIFS(Raw_Events!$G:$G,"SOCIAL_MEET",Raw_Events!$J:$J,$A433,Raw_Events!$C:$C,"&gt;="&amp;Settings!$B$4,Raw_Events!$C:$C,"&lt;="&amp;Settings!$B$5))</f>
        <v/>
      </c>
      <c r="G433" s="3">
        <f>IF($A433="","",COUNTIFS(Raw_Events!$G:$G,"DATE",Raw_Events!$J:$J,$A433,Raw_Events!$C:$C,"&gt;="&amp;Settings!$B$4,Raw_Events!$C:$C,"&lt;="&amp;Settings!$B$5))</f>
        <v/>
      </c>
      <c r="H433" s="3">
        <f>IF($A433="","",COUNTIFS(Raw_Events!$G:$G,"SEX",Raw_Events!$J:$J,$A433,Raw_Events!$C:$C,"&gt;="&amp;Settings!$B$4,Raw_Events!$C:$C,"&lt;="&amp;Settings!$B$5))</f>
        <v/>
      </c>
      <c r="I433" s="3">
        <f>IF($A433="","",COUNTIFS(Raw_Events!$G:$G,"PRO_CONTACT_ADDED",Raw_Events!$J:$J,$A433,Raw_Events!$C:$C,"&gt;="&amp;Settings!$B$4,Raw_Events!$C:$C,"&lt;="&amp;Settings!$B$5))</f>
        <v/>
      </c>
    </row>
    <row r="434" ht="15" customHeight="1">
      <c r="F434" s="3">
        <f>IF($A434="","",COUNTIFS(Raw_Events!$G:$G,"SOCIAL_MEET",Raw_Events!$J:$J,$A434,Raw_Events!$C:$C,"&gt;="&amp;Settings!$B$4,Raw_Events!$C:$C,"&lt;="&amp;Settings!$B$5))</f>
        <v/>
      </c>
      <c r="G434" s="3">
        <f>IF($A434="","",COUNTIFS(Raw_Events!$G:$G,"DATE",Raw_Events!$J:$J,$A434,Raw_Events!$C:$C,"&gt;="&amp;Settings!$B$4,Raw_Events!$C:$C,"&lt;="&amp;Settings!$B$5))</f>
        <v/>
      </c>
      <c r="H434" s="3">
        <f>IF($A434="","",COUNTIFS(Raw_Events!$G:$G,"SEX",Raw_Events!$J:$J,$A434,Raw_Events!$C:$C,"&gt;="&amp;Settings!$B$4,Raw_Events!$C:$C,"&lt;="&amp;Settings!$B$5))</f>
        <v/>
      </c>
      <c r="I434" s="3">
        <f>IF($A434="","",COUNTIFS(Raw_Events!$G:$G,"PRO_CONTACT_ADDED",Raw_Events!$J:$J,$A434,Raw_Events!$C:$C,"&gt;="&amp;Settings!$B$4,Raw_Events!$C:$C,"&lt;="&amp;Settings!$B$5))</f>
        <v/>
      </c>
    </row>
    <row r="435" ht="15" customHeight="1">
      <c r="F435" s="3">
        <f>IF($A435="","",COUNTIFS(Raw_Events!$G:$G,"SOCIAL_MEET",Raw_Events!$J:$J,$A435,Raw_Events!$C:$C,"&gt;="&amp;Settings!$B$4,Raw_Events!$C:$C,"&lt;="&amp;Settings!$B$5))</f>
        <v/>
      </c>
      <c r="G435" s="3">
        <f>IF($A435="","",COUNTIFS(Raw_Events!$G:$G,"DATE",Raw_Events!$J:$J,$A435,Raw_Events!$C:$C,"&gt;="&amp;Settings!$B$4,Raw_Events!$C:$C,"&lt;="&amp;Settings!$B$5))</f>
        <v/>
      </c>
      <c r="H435" s="3">
        <f>IF($A435="","",COUNTIFS(Raw_Events!$G:$G,"SEX",Raw_Events!$J:$J,$A435,Raw_Events!$C:$C,"&gt;="&amp;Settings!$B$4,Raw_Events!$C:$C,"&lt;="&amp;Settings!$B$5))</f>
        <v/>
      </c>
      <c r="I435" s="3">
        <f>IF($A435="","",COUNTIFS(Raw_Events!$G:$G,"PRO_CONTACT_ADDED",Raw_Events!$J:$J,$A435,Raw_Events!$C:$C,"&gt;="&amp;Settings!$B$4,Raw_Events!$C:$C,"&lt;="&amp;Settings!$B$5))</f>
        <v/>
      </c>
    </row>
    <row r="436" ht="15" customHeight="1">
      <c r="F436" s="3">
        <f>IF($A436="","",COUNTIFS(Raw_Events!$G:$G,"SOCIAL_MEET",Raw_Events!$J:$J,$A436,Raw_Events!$C:$C,"&gt;="&amp;Settings!$B$4,Raw_Events!$C:$C,"&lt;="&amp;Settings!$B$5))</f>
        <v/>
      </c>
      <c r="G436" s="3">
        <f>IF($A436="","",COUNTIFS(Raw_Events!$G:$G,"DATE",Raw_Events!$J:$J,$A436,Raw_Events!$C:$C,"&gt;="&amp;Settings!$B$4,Raw_Events!$C:$C,"&lt;="&amp;Settings!$B$5))</f>
        <v/>
      </c>
      <c r="H436" s="3">
        <f>IF($A436="","",COUNTIFS(Raw_Events!$G:$G,"SEX",Raw_Events!$J:$J,$A436,Raw_Events!$C:$C,"&gt;="&amp;Settings!$B$4,Raw_Events!$C:$C,"&lt;="&amp;Settings!$B$5))</f>
        <v/>
      </c>
      <c r="I436" s="3">
        <f>IF($A436="","",COUNTIFS(Raw_Events!$G:$G,"PRO_CONTACT_ADDED",Raw_Events!$J:$J,$A436,Raw_Events!$C:$C,"&gt;="&amp;Settings!$B$4,Raw_Events!$C:$C,"&lt;="&amp;Settings!$B$5))</f>
        <v/>
      </c>
    </row>
    <row r="437" ht="15" customHeight="1">
      <c r="F437" s="3">
        <f>IF($A437="","",COUNTIFS(Raw_Events!$G:$G,"SOCIAL_MEET",Raw_Events!$J:$J,$A437,Raw_Events!$C:$C,"&gt;="&amp;Settings!$B$4,Raw_Events!$C:$C,"&lt;="&amp;Settings!$B$5))</f>
        <v/>
      </c>
      <c r="G437" s="3">
        <f>IF($A437="","",COUNTIFS(Raw_Events!$G:$G,"DATE",Raw_Events!$J:$J,$A437,Raw_Events!$C:$C,"&gt;="&amp;Settings!$B$4,Raw_Events!$C:$C,"&lt;="&amp;Settings!$B$5))</f>
        <v/>
      </c>
      <c r="H437" s="3">
        <f>IF($A437="","",COUNTIFS(Raw_Events!$G:$G,"SEX",Raw_Events!$J:$J,$A437,Raw_Events!$C:$C,"&gt;="&amp;Settings!$B$4,Raw_Events!$C:$C,"&lt;="&amp;Settings!$B$5))</f>
        <v/>
      </c>
      <c r="I437" s="3">
        <f>IF($A437="","",COUNTIFS(Raw_Events!$G:$G,"PRO_CONTACT_ADDED",Raw_Events!$J:$J,$A437,Raw_Events!$C:$C,"&gt;="&amp;Settings!$B$4,Raw_Events!$C:$C,"&lt;="&amp;Settings!$B$5))</f>
        <v/>
      </c>
    </row>
    <row r="438" ht="15" customHeight="1">
      <c r="F438" s="3">
        <f>IF($A438="","",COUNTIFS(Raw_Events!$G:$G,"SOCIAL_MEET",Raw_Events!$J:$J,$A438,Raw_Events!$C:$C,"&gt;="&amp;Settings!$B$4,Raw_Events!$C:$C,"&lt;="&amp;Settings!$B$5))</f>
        <v/>
      </c>
      <c r="G438" s="3">
        <f>IF($A438="","",COUNTIFS(Raw_Events!$G:$G,"DATE",Raw_Events!$J:$J,$A438,Raw_Events!$C:$C,"&gt;="&amp;Settings!$B$4,Raw_Events!$C:$C,"&lt;="&amp;Settings!$B$5))</f>
        <v/>
      </c>
      <c r="H438" s="3">
        <f>IF($A438="","",COUNTIFS(Raw_Events!$G:$G,"SEX",Raw_Events!$J:$J,$A438,Raw_Events!$C:$C,"&gt;="&amp;Settings!$B$4,Raw_Events!$C:$C,"&lt;="&amp;Settings!$B$5))</f>
        <v/>
      </c>
      <c r="I438" s="3">
        <f>IF($A438="","",COUNTIFS(Raw_Events!$G:$G,"PRO_CONTACT_ADDED",Raw_Events!$J:$J,$A438,Raw_Events!$C:$C,"&gt;="&amp;Settings!$B$4,Raw_Events!$C:$C,"&lt;="&amp;Settings!$B$5))</f>
        <v/>
      </c>
    </row>
    <row r="439" ht="15" customHeight="1">
      <c r="F439" s="3">
        <f>IF($A439="","",COUNTIFS(Raw_Events!$G:$G,"SOCIAL_MEET",Raw_Events!$J:$J,$A439,Raw_Events!$C:$C,"&gt;="&amp;Settings!$B$4,Raw_Events!$C:$C,"&lt;="&amp;Settings!$B$5))</f>
        <v/>
      </c>
      <c r="G439" s="3">
        <f>IF($A439="","",COUNTIFS(Raw_Events!$G:$G,"DATE",Raw_Events!$J:$J,$A439,Raw_Events!$C:$C,"&gt;="&amp;Settings!$B$4,Raw_Events!$C:$C,"&lt;="&amp;Settings!$B$5))</f>
        <v/>
      </c>
      <c r="H439" s="3">
        <f>IF($A439="","",COUNTIFS(Raw_Events!$G:$G,"SEX",Raw_Events!$J:$J,$A439,Raw_Events!$C:$C,"&gt;="&amp;Settings!$B$4,Raw_Events!$C:$C,"&lt;="&amp;Settings!$B$5))</f>
        <v/>
      </c>
      <c r="I439" s="3">
        <f>IF($A439="","",COUNTIFS(Raw_Events!$G:$G,"PRO_CONTACT_ADDED",Raw_Events!$J:$J,$A439,Raw_Events!$C:$C,"&gt;="&amp;Settings!$B$4,Raw_Events!$C:$C,"&lt;="&amp;Settings!$B$5))</f>
        <v/>
      </c>
    </row>
    <row r="440" ht="15" customHeight="1">
      <c r="F440" s="3">
        <f>IF($A440="","",COUNTIFS(Raw_Events!$G:$G,"SOCIAL_MEET",Raw_Events!$J:$J,$A440,Raw_Events!$C:$C,"&gt;="&amp;Settings!$B$4,Raw_Events!$C:$C,"&lt;="&amp;Settings!$B$5))</f>
        <v/>
      </c>
      <c r="G440" s="3">
        <f>IF($A440="","",COUNTIFS(Raw_Events!$G:$G,"DATE",Raw_Events!$J:$J,$A440,Raw_Events!$C:$C,"&gt;="&amp;Settings!$B$4,Raw_Events!$C:$C,"&lt;="&amp;Settings!$B$5))</f>
        <v/>
      </c>
      <c r="H440" s="3">
        <f>IF($A440="","",COUNTIFS(Raw_Events!$G:$G,"SEX",Raw_Events!$J:$J,$A440,Raw_Events!$C:$C,"&gt;="&amp;Settings!$B$4,Raw_Events!$C:$C,"&lt;="&amp;Settings!$B$5))</f>
        <v/>
      </c>
      <c r="I440" s="3">
        <f>IF($A440="","",COUNTIFS(Raw_Events!$G:$G,"PRO_CONTACT_ADDED",Raw_Events!$J:$J,$A440,Raw_Events!$C:$C,"&gt;="&amp;Settings!$B$4,Raw_Events!$C:$C,"&lt;="&amp;Settings!$B$5))</f>
        <v/>
      </c>
    </row>
    <row r="441" ht="15" customHeight="1">
      <c r="F441" s="3">
        <f>IF($A441="","",COUNTIFS(Raw_Events!$G:$G,"SOCIAL_MEET",Raw_Events!$J:$J,$A441,Raw_Events!$C:$C,"&gt;="&amp;Settings!$B$4,Raw_Events!$C:$C,"&lt;="&amp;Settings!$B$5))</f>
        <v/>
      </c>
      <c r="G441" s="3">
        <f>IF($A441="","",COUNTIFS(Raw_Events!$G:$G,"DATE",Raw_Events!$J:$J,$A441,Raw_Events!$C:$C,"&gt;="&amp;Settings!$B$4,Raw_Events!$C:$C,"&lt;="&amp;Settings!$B$5))</f>
        <v/>
      </c>
      <c r="H441" s="3">
        <f>IF($A441="","",COUNTIFS(Raw_Events!$G:$G,"SEX",Raw_Events!$J:$J,$A441,Raw_Events!$C:$C,"&gt;="&amp;Settings!$B$4,Raw_Events!$C:$C,"&lt;="&amp;Settings!$B$5))</f>
        <v/>
      </c>
      <c r="I441" s="3">
        <f>IF($A441="","",COUNTIFS(Raw_Events!$G:$G,"PRO_CONTACT_ADDED",Raw_Events!$J:$J,$A441,Raw_Events!$C:$C,"&gt;="&amp;Settings!$B$4,Raw_Events!$C:$C,"&lt;="&amp;Settings!$B$5))</f>
        <v/>
      </c>
    </row>
    <row r="442" ht="15" customHeight="1">
      <c r="F442" s="3">
        <f>IF($A442="","",COUNTIFS(Raw_Events!$G:$G,"SOCIAL_MEET",Raw_Events!$J:$J,$A442,Raw_Events!$C:$C,"&gt;="&amp;Settings!$B$4,Raw_Events!$C:$C,"&lt;="&amp;Settings!$B$5))</f>
        <v/>
      </c>
      <c r="G442" s="3">
        <f>IF($A442="","",COUNTIFS(Raw_Events!$G:$G,"DATE",Raw_Events!$J:$J,$A442,Raw_Events!$C:$C,"&gt;="&amp;Settings!$B$4,Raw_Events!$C:$C,"&lt;="&amp;Settings!$B$5))</f>
        <v/>
      </c>
      <c r="H442" s="3">
        <f>IF($A442="","",COUNTIFS(Raw_Events!$G:$G,"SEX",Raw_Events!$J:$J,$A442,Raw_Events!$C:$C,"&gt;="&amp;Settings!$B$4,Raw_Events!$C:$C,"&lt;="&amp;Settings!$B$5))</f>
        <v/>
      </c>
      <c r="I442" s="3">
        <f>IF($A442="","",COUNTIFS(Raw_Events!$G:$G,"PRO_CONTACT_ADDED",Raw_Events!$J:$J,$A442,Raw_Events!$C:$C,"&gt;="&amp;Settings!$B$4,Raw_Events!$C:$C,"&lt;="&amp;Settings!$B$5))</f>
        <v/>
      </c>
    </row>
    <row r="443" ht="15" customHeight="1">
      <c r="F443" s="3">
        <f>IF($A443="","",COUNTIFS(Raw_Events!$G:$G,"SOCIAL_MEET",Raw_Events!$J:$J,$A443,Raw_Events!$C:$C,"&gt;="&amp;Settings!$B$4,Raw_Events!$C:$C,"&lt;="&amp;Settings!$B$5))</f>
        <v/>
      </c>
      <c r="G443" s="3">
        <f>IF($A443="","",COUNTIFS(Raw_Events!$G:$G,"DATE",Raw_Events!$J:$J,$A443,Raw_Events!$C:$C,"&gt;="&amp;Settings!$B$4,Raw_Events!$C:$C,"&lt;="&amp;Settings!$B$5))</f>
        <v/>
      </c>
      <c r="H443" s="3">
        <f>IF($A443="","",COUNTIFS(Raw_Events!$G:$G,"SEX",Raw_Events!$J:$J,$A443,Raw_Events!$C:$C,"&gt;="&amp;Settings!$B$4,Raw_Events!$C:$C,"&lt;="&amp;Settings!$B$5))</f>
        <v/>
      </c>
      <c r="I443" s="3">
        <f>IF($A443="","",COUNTIFS(Raw_Events!$G:$G,"PRO_CONTACT_ADDED",Raw_Events!$J:$J,$A443,Raw_Events!$C:$C,"&gt;="&amp;Settings!$B$4,Raw_Events!$C:$C,"&lt;="&amp;Settings!$B$5))</f>
        <v/>
      </c>
    </row>
    <row r="444" ht="15" customHeight="1">
      <c r="F444" s="3">
        <f>IF($A444="","",COUNTIFS(Raw_Events!$G:$G,"SOCIAL_MEET",Raw_Events!$J:$J,$A444,Raw_Events!$C:$C,"&gt;="&amp;Settings!$B$4,Raw_Events!$C:$C,"&lt;="&amp;Settings!$B$5))</f>
        <v/>
      </c>
      <c r="G444" s="3">
        <f>IF($A444="","",COUNTIFS(Raw_Events!$G:$G,"DATE",Raw_Events!$J:$J,$A444,Raw_Events!$C:$C,"&gt;="&amp;Settings!$B$4,Raw_Events!$C:$C,"&lt;="&amp;Settings!$B$5))</f>
        <v/>
      </c>
      <c r="H444" s="3">
        <f>IF($A444="","",COUNTIFS(Raw_Events!$G:$G,"SEX",Raw_Events!$J:$J,$A444,Raw_Events!$C:$C,"&gt;="&amp;Settings!$B$4,Raw_Events!$C:$C,"&lt;="&amp;Settings!$B$5))</f>
        <v/>
      </c>
      <c r="I444" s="3">
        <f>IF($A444="","",COUNTIFS(Raw_Events!$G:$G,"PRO_CONTACT_ADDED",Raw_Events!$J:$J,$A444,Raw_Events!$C:$C,"&gt;="&amp;Settings!$B$4,Raw_Events!$C:$C,"&lt;="&amp;Settings!$B$5))</f>
        <v/>
      </c>
    </row>
    <row r="445" ht="15" customHeight="1">
      <c r="F445" s="3">
        <f>IF($A445="","",COUNTIFS(Raw_Events!$G:$G,"SOCIAL_MEET",Raw_Events!$J:$J,$A445,Raw_Events!$C:$C,"&gt;="&amp;Settings!$B$4,Raw_Events!$C:$C,"&lt;="&amp;Settings!$B$5))</f>
        <v/>
      </c>
      <c r="G445" s="3">
        <f>IF($A445="","",COUNTIFS(Raw_Events!$G:$G,"DATE",Raw_Events!$J:$J,$A445,Raw_Events!$C:$C,"&gt;="&amp;Settings!$B$4,Raw_Events!$C:$C,"&lt;="&amp;Settings!$B$5))</f>
        <v/>
      </c>
      <c r="H445" s="3">
        <f>IF($A445="","",COUNTIFS(Raw_Events!$G:$G,"SEX",Raw_Events!$J:$J,$A445,Raw_Events!$C:$C,"&gt;="&amp;Settings!$B$4,Raw_Events!$C:$C,"&lt;="&amp;Settings!$B$5))</f>
        <v/>
      </c>
      <c r="I445" s="3">
        <f>IF($A445="","",COUNTIFS(Raw_Events!$G:$G,"PRO_CONTACT_ADDED",Raw_Events!$J:$J,$A445,Raw_Events!$C:$C,"&gt;="&amp;Settings!$B$4,Raw_Events!$C:$C,"&lt;="&amp;Settings!$B$5))</f>
        <v/>
      </c>
    </row>
    <row r="446" ht="15" customHeight="1">
      <c r="F446" s="3">
        <f>IF($A446="","",COUNTIFS(Raw_Events!$G:$G,"SOCIAL_MEET",Raw_Events!$J:$J,$A446,Raw_Events!$C:$C,"&gt;="&amp;Settings!$B$4,Raw_Events!$C:$C,"&lt;="&amp;Settings!$B$5))</f>
        <v/>
      </c>
      <c r="G446" s="3">
        <f>IF($A446="","",COUNTIFS(Raw_Events!$G:$G,"DATE",Raw_Events!$J:$J,$A446,Raw_Events!$C:$C,"&gt;="&amp;Settings!$B$4,Raw_Events!$C:$C,"&lt;="&amp;Settings!$B$5))</f>
        <v/>
      </c>
      <c r="H446" s="3">
        <f>IF($A446="","",COUNTIFS(Raw_Events!$G:$G,"SEX",Raw_Events!$J:$J,$A446,Raw_Events!$C:$C,"&gt;="&amp;Settings!$B$4,Raw_Events!$C:$C,"&lt;="&amp;Settings!$B$5))</f>
        <v/>
      </c>
      <c r="I446" s="3">
        <f>IF($A446="","",COUNTIFS(Raw_Events!$G:$G,"PRO_CONTACT_ADDED",Raw_Events!$J:$J,$A446,Raw_Events!$C:$C,"&gt;="&amp;Settings!$B$4,Raw_Events!$C:$C,"&lt;="&amp;Settings!$B$5))</f>
        <v/>
      </c>
    </row>
    <row r="447" ht="15" customHeight="1">
      <c r="F447" s="3">
        <f>IF($A447="","",COUNTIFS(Raw_Events!$G:$G,"SOCIAL_MEET",Raw_Events!$J:$J,$A447,Raw_Events!$C:$C,"&gt;="&amp;Settings!$B$4,Raw_Events!$C:$C,"&lt;="&amp;Settings!$B$5))</f>
        <v/>
      </c>
      <c r="G447" s="3">
        <f>IF($A447="","",COUNTIFS(Raw_Events!$G:$G,"DATE",Raw_Events!$J:$J,$A447,Raw_Events!$C:$C,"&gt;="&amp;Settings!$B$4,Raw_Events!$C:$C,"&lt;="&amp;Settings!$B$5))</f>
        <v/>
      </c>
      <c r="H447" s="3">
        <f>IF($A447="","",COUNTIFS(Raw_Events!$G:$G,"SEX",Raw_Events!$J:$J,$A447,Raw_Events!$C:$C,"&gt;="&amp;Settings!$B$4,Raw_Events!$C:$C,"&lt;="&amp;Settings!$B$5))</f>
        <v/>
      </c>
      <c r="I447" s="3">
        <f>IF($A447="","",COUNTIFS(Raw_Events!$G:$G,"PRO_CONTACT_ADDED",Raw_Events!$J:$J,$A447,Raw_Events!$C:$C,"&gt;="&amp;Settings!$B$4,Raw_Events!$C:$C,"&lt;="&amp;Settings!$B$5))</f>
        <v/>
      </c>
    </row>
    <row r="448" ht="15" customHeight="1">
      <c r="F448" s="3">
        <f>IF($A448="","",COUNTIFS(Raw_Events!$G:$G,"SOCIAL_MEET",Raw_Events!$J:$J,$A448,Raw_Events!$C:$C,"&gt;="&amp;Settings!$B$4,Raw_Events!$C:$C,"&lt;="&amp;Settings!$B$5))</f>
        <v/>
      </c>
      <c r="G448" s="3">
        <f>IF($A448="","",COUNTIFS(Raw_Events!$G:$G,"DATE",Raw_Events!$J:$J,$A448,Raw_Events!$C:$C,"&gt;="&amp;Settings!$B$4,Raw_Events!$C:$C,"&lt;="&amp;Settings!$B$5))</f>
        <v/>
      </c>
      <c r="H448" s="3">
        <f>IF($A448="","",COUNTIFS(Raw_Events!$G:$G,"SEX",Raw_Events!$J:$J,$A448,Raw_Events!$C:$C,"&gt;="&amp;Settings!$B$4,Raw_Events!$C:$C,"&lt;="&amp;Settings!$B$5))</f>
        <v/>
      </c>
      <c r="I448" s="3">
        <f>IF($A448="","",COUNTIFS(Raw_Events!$G:$G,"PRO_CONTACT_ADDED",Raw_Events!$J:$J,$A448,Raw_Events!$C:$C,"&gt;="&amp;Settings!$B$4,Raw_Events!$C:$C,"&lt;="&amp;Settings!$B$5))</f>
        <v/>
      </c>
    </row>
    <row r="449" ht="15" customHeight="1">
      <c r="F449" s="3">
        <f>IF($A449="","",COUNTIFS(Raw_Events!$G:$G,"SOCIAL_MEET",Raw_Events!$J:$J,$A449,Raw_Events!$C:$C,"&gt;="&amp;Settings!$B$4,Raw_Events!$C:$C,"&lt;="&amp;Settings!$B$5))</f>
        <v/>
      </c>
      <c r="G449" s="3">
        <f>IF($A449="","",COUNTIFS(Raw_Events!$G:$G,"DATE",Raw_Events!$J:$J,$A449,Raw_Events!$C:$C,"&gt;="&amp;Settings!$B$4,Raw_Events!$C:$C,"&lt;="&amp;Settings!$B$5))</f>
        <v/>
      </c>
      <c r="H449" s="3">
        <f>IF($A449="","",COUNTIFS(Raw_Events!$G:$G,"SEX",Raw_Events!$J:$J,$A449,Raw_Events!$C:$C,"&gt;="&amp;Settings!$B$4,Raw_Events!$C:$C,"&lt;="&amp;Settings!$B$5))</f>
        <v/>
      </c>
      <c r="I449" s="3">
        <f>IF($A449="","",COUNTIFS(Raw_Events!$G:$G,"PRO_CONTACT_ADDED",Raw_Events!$J:$J,$A449,Raw_Events!$C:$C,"&gt;="&amp;Settings!$B$4,Raw_Events!$C:$C,"&lt;="&amp;Settings!$B$5))</f>
        <v/>
      </c>
    </row>
    <row r="450" ht="15" customHeight="1">
      <c r="F450" s="3">
        <f>IF($A450="","",COUNTIFS(Raw_Events!$G:$G,"SOCIAL_MEET",Raw_Events!$J:$J,$A450,Raw_Events!$C:$C,"&gt;="&amp;Settings!$B$4,Raw_Events!$C:$C,"&lt;="&amp;Settings!$B$5))</f>
        <v/>
      </c>
      <c r="G450" s="3">
        <f>IF($A450="","",COUNTIFS(Raw_Events!$G:$G,"DATE",Raw_Events!$J:$J,$A450,Raw_Events!$C:$C,"&gt;="&amp;Settings!$B$4,Raw_Events!$C:$C,"&lt;="&amp;Settings!$B$5))</f>
        <v/>
      </c>
      <c r="H450" s="3">
        <f>IF($A450="","",COUNTIFS(Raw_Events!$G:$G,"SEX",Raw_Events!$J:$J,$A450,Raw_Events!$C:$C,"&gt;="&amp;Settings!$B$4,Raw_Events!$C:$C,"&lt;="&amp;Settings!$B$5))</f>
        <v/>
      </c>
      <c r="I450" s="3">
        <f>IF($A450="","",COUNTIFS(Raw_Events!$G:$G,"PRO_CONTACT_ADDED",Raw_Events!$J:$J,$A450,Raw_Events!$C:$C,"&gt;="&amp;Settings!$B$4,Raw_Events!$C:$C,"&lt;="&amp;Settings!$B$5))</f>
        <v/>
      </c>
    </row>
    <row r="451" ht="15" customHeight="1">
      <c r="F451" s="3">
        <f>IF($A451="","",COUNTIFS(Raw_Events!$G:$G,"SOCIAL_MEET",Raw_Events!$J:$J,$A451,Raw_Events!$C:$C,"&gt;="&amp;Settings!$B$4,Raw_Events!$C:$C,"&lt;="&amp;Settings!$B$5))</f>
        <v/>
      </c>
      <c r="G451" s="3">
        <f>IF($A451="","",COUNTIFS(Raw_Events!$G:$G,"DATE",Raw_Events!$J:$J,$A451,Raw_Events!$C:$C,"&gt;="&amp;Settings!$B$4,Raw_Events!$C:$C,"&lt;="&amp;Settings!$B$5))</f>
        <v/>
      </c>
      <c r="H451" s="3">
        <f>IF($A451="","",COUNTIFS(Raw_Events!$G:$G,"SEX",Raw_Events!$J:$J,$A451,Raw_Events!$C:$C,"&gt;="&amp;Settings!$B$4,Raw_Events!$C:$C,"&lt;="&amp;Settings!$B$5))</f>
        <v/>
      </c>
      <c r="I451" s="3">
        <f>IF($A451="","",COUNTIFS(Raw_Events!$G:$G,"PRO_CONTACT_ADDED",Raw_Events!$J:$J,$A451,Raw_Events!$C:$C,"&gt;="&amp;Settings!$B$4,Raw_Events!$C:$C,"&lt;="&amp;Settings!$B$5))</f>
        <v/>
      </c>
    </row>
    <row r="452" ht="15" customHeight="1">
      <c r="F452" s="3">
        <f>IF($A452="","",COUNTIFS(Raw_Events!$G:$G,"SOCIAL_MEET",Raw_Events!$J:$J,$A452,Raw_Events!$C:$C,"&gt;="&amp;Settings!$B$4,Raw_Events!$C:$C,"&lt;="&amp;Settings!$B$5))</f>
        <v/>
      </c>
      <c r="G452" s="3">
        <f>IF($A452="","",COUNTIFS(Raw_Events!$G:$G,"DATE",Raw_Events!$J:$J,$A452,Raw_Events!$C:$C,"&gt;="&amp;Settings!$B$4,Raw_Events!$C:$C,"&lt;="&amp;Settings!$B$5))</f>
        <v/>
      </c>
      <c r="H452" s="3">
        <f>IF($A452="","",COUNTIFS(Raw_Events!$G:$G,"SEX",Raw_Events!$J:$J,$A452,Raw_Events!$C:$C,"&gt;="&amp;Settings!$B$4,Raw_Events!$C:$C,"&lt;="&amp;Settings!$B$5))</f>
        <v/>
      </c>
      <c r="I452" s="3">
        <f>IF($A452="","",COUNTIFS(Raw_Events!$G:$G,"PRO_CONTACT_ADDED",Raw_Events!$J:$J,$A452,Raw_Events!$C:$C,"&gt;="&amp;Settings!$B$4,Raw_Events!$C:$C,"&lt;="&amp;Settings!$B$5))</f>
        <v/>
      </c>
    </row>
    <row r="453" ht="15" customHeight="1">
      <c r="F453" s="3">
        <f>IF($A453="","",COUNTIFS(Raw_Events!$G:$G,"SOCIAL_MEET",Raw_Events!$J:$J,$A453,Raw_Events!$C:$C,"&gt;="&amp;Settings!$B$4,Raw_Events!$C:$C,"&lt;="&amp;Settings!$B$5))</f>
        <v/>
      </c>
      <c r="G453" s="3">
        <f>IF($A453="","",COUNTIFS(Raw_Events!$G:$G,"DATE",Raw_Events!$J:$J,$A453,Raw_Events!$C:$C,"&gt;="&amp;Settings!$B$4,Raw_Events!$C:$C,"&lt;="&amp;Settings!$B$5))</f>
        <v/>
      </c>
      <c r="H453" s="3">
        <f>IF($A453="","",COUNTIFS(Raw_Events!$G:$G,"SEX",Raw_Events!$J:$J,$A453,Raw_Events!$C:$C,"&gt;="&amp;Settings!$B$4,Raw_Events!$C:$C,"&lt;="&amp;Settings!$B$5))</f>
        <v/>
      </c>
      <c r="I453" s="3">
        <f>IF($A453="","",COUNTIFS(Raw_Events!$G:$G,"PRO_CONTACT_ADDED",Raw_Events!$J:$J,$A453,Raw_Events!$C:$C,"&gt;="&amp;Settings!$B$4,Raw_Events!$C:$C,"&lt;="&amp;Settings!$B$5))</f>
        <v/>
      </c>
    </row>
    <row r="454" ht="15" customHeight="1">
      <c r="F454" s="3">
        <f>IF($A454="","",COUNTIFS(Raw_Events!$G:$G,"SOCIAL_MEET",Raw_Events!$J:$J,$A454,Raw_Events!$C:$C,"&gt;="&amp;Settings!$B$4,Raw_Events!$C:$C,"&lt;="&amp;Settings!$B$5))</f>
        <v/>
      </c>
      <c r="G454" s="3">
        <f>IF($A454="","",COUNTIFS(Raw_Events!$G:$G,"DATE",Raw_Events!$J:$J,$A454,Raw_Events!$C:$C,"&gt;="&amp;Settings!$B$4,Raw_Events!$C:$C,"&lt;="&amp;Settings!$B$5))</f>
        <v/>
      </c>
      <c r="H454" s="3">
        <f>IF($A454="","",COUNTIFS(Raw_Events!$G:$G,"SEX",Raw_Events!$J:$J,$A454,Raw_Events!$C:$C,"&gt;="&amp;Settings!$B$4,Raw_Events!$C:$C,"&lt;="&amp;Settings!$B$5))</f>
        <v/>
      </c>
      <c r="I454" s="3">
        <f>IF($A454="","",COUNTIFS(Raw_Events!$G:$G,"PRO_CONTACT_ADDED",Raw_Events!$J:$J,$A454,Raw_Events!$C:$C,"&gt;="&amp;Settings!$B$4,Raw_Events!$C:$C,"&lt;="&amp;Settings!$B$5))</f>
        <v/>
      </c>
    </row>
    <row r="455" ht="15" customHeight="1">
      <c r="F455" s="3">
        <f>IF($A455="","",COUNTIFS(Raw_Events!$G:$G,"SOCIAL_MEET",Raw_Events!$J:$J,$A455,Raw_Events!$C:$C,"&gt;="&amp;Settings!$B$4,Raw_Events!$C:$C,"&lt;="&amp;Settings!$B$5))</f>
        <v/>
      </c>
      <c r="G455" s="3">
        <f>IF($A455="","",COUNTIFS(Raw_Events!$G:$G,"DATE",Raw_Events!$J:$J,$A455,Raw_Events!$C:$C,"&gt;="&amp;Settings!$B$4,Raw_Events!$C:$C,"&lt;="&amp;Settings!$B$5))</f>
        <v/>
      </c>
      <c r="H455" s="3">
        <f>IF($A455="","",COUNTIFS(Raw_Events!$G:$G,"SEX",Raw_Events!$J:$J,$A455,Raw_Events!$C:$C,"&gt;="&amp;Settings!$B$4,Raw_Events!$C:$C,"&lt;="&amp;Settings!$B$5))</f>
        <v/>
      </c>
      <c r="I455" s="3">
        <f>IF($A455="","",COUNTIFS(Raw_Events!$G:$G,"PRO_CONTACT_ADDED",Raw_Events!$J:$J,$A455,Raw_Events!$C:$C,"&gt;="&amp;Settings!$B$4,Raw_Events!$C:$C,"&lt;="&amp;Settings!$B$5))</f>
        <v/>
      </c>
    </row>
    <row r="456" ht="15" customHeight="1">
      <c r="F456" s="3">
        <f>IF($A456="","",COUNTIFS(Raw_Events!$G:$G,"SOCIAL_MEET",Raw_Events!$J:$J,$A456,Raw_Events!$C:$C,"&gt;="&amp;Settings!$B$4,Raw_Events!$C:$C,"&lt;="&amp;Settings!$B$5))</f>
        <v/>
      </c>
      <c r="G456" s="3">
        <f>IF($A456="","",COUNTIFS(Raw_Events!$G:$G,"DATE",Raw_Events!$J:$J,$A456,Raw_Events!$C:$C,"&gt;="&amp;Settings!$B$4,Raw_Events!$C:$C,"&lt;="&amp;Settings!$B$5))</f>
        <v/>
      </c>
      <c r="H456" s="3">
        <f>IF($A456="","",COUNTIFS(Raw_Events!$G:$G,"SEX",Raw_Events!$J:$J,$A456,Raw_Events!$C:$C,"&gt;="&amp;Settings!$B$4,Raw_Events!$C:$C,"&lt;="&amp;Settings!$B$5))</f>
        <v/>
      </c>
      <c r="I456" s="3">
        <f>IF($A456="","",COUNTIFS(Raw_Events!$G:$G,"PRO_CONTACT_ADDED",Raw_Events!$J:$J,$A456,Raw_Events!$C:$C,"&gt;="&amp;Settings!$B$4,Raw_Events!$C:$C,"&lt;="&amp;Settings!$B$5))</f>
        <v/>
      </c>
    </row>
    <row r="457" ht="15" customHeight="1">
      <c r="F457" s="3">
        <f>IF($A457="","",COUNTIFS(Raw_Events!$G:$G,"SOCIAL_MEET",Raw_Events!$J:$J,$A457,Raw_Events!$C:$C,"&gt;="&amp;Settings!$B$4,Raw_Events!$C:$C,"&lt;="&amp;Settings!$B$5))</f>
        <v/>
      </c>
      <c r="G457" s="3">
        <f>IF($A457="","",COUNTIFS(Raw_Events!$G:$G,"DATE",Raw_Events!$J:$J,$A457,Raw_Events!$C:$C,"&gt;="&amp;Settings!$B$4,Raw_Events!$C:$C,"&lt;="&amp;Settings!$B$5))</f>
        <v/>
      </c>
      <c r="H457" s="3">
        <f>IF($A457="","",COUNTIFS(Raw_Events!$G:$G,"SEX",Raw_Events!$J:$J,$A457,Raw_Events!$C:$C,"&gt;="&amp;Settings!$B$4,Raw_Events!$C:$C,"&lt;="&amp;Settings!$B$5))</f>
        <v/>
      </c>
      <c r="I457" s="3">
        <f>IF($A457="","",COUNTIFS(Raw_Events!$G:$G,"PRO_CONTACT_ADDED",Raw_Events!$J:$J,$A457,Raw_Events!$C:$C,"&gt;="&amp;Settings!$B$4,Raw_Events!$C:$C,"&lt;="&amp;Settings!$B$5))</f>
        <v/>
      </c>
    </row>
    <row r="458" ht="15" customHeight="1">
      <c r="F458" s="3">
        <f>IF($A458="","",COUNTIFS(Raw_Events!$G:$G,"SOCIAL_MEET",Raw_Events!$J:$J,$A458,Raw_Events!$C:$C,"&gt;="&amp;Settings!$B$4,Raw_Events!$C:$C,"&lt;="&amp;Settings!$B$5))</f>
        <v/>
      </c>
      <c r="G458" s="3">
        <f>IF($A458="","",COUNTIFS(Raw_Events!$G:$G,"DATE",Raw_Events!$J:$J,$A458,Raw_Events!$C:$C,"&gt;="&amp;Settings!$B$4,Raw_Events!$C:$C,"&lt;="&amp;Settings!$B$5))</f>
        <v/>
      </c>
      <c r="H458" s="3">
        <f>IF($A458="","",COUNTIFS(Raw_Events!$G:$G,"SEX",Raw_Events!$J:$J,$A458,Raw_Events!$C:$C,"&gt;="&amp;Settings!$B$4,Raw_Events!$C:$C,"&lt;="&amp;Settings!$B$5))</f>
        <v/>
      </c>
      <c r="I458" s="3">
        <f>IF($A458="","",COUNTIFS(Raw_Events!$G:$G,"PRO_CONTACT_ADDED",Raw_Events!$J:$J,$A458,Raw_Events!$C:$C,"&gt;="&amp;Settings!$B$4,Raw_Events!$C:$C,"&lt;="&amp;Settings!$B$5))</f>
        <v/>
      </c>
    </row>
    <row r="459" ht="15" customHeight="1">
      <c r="F459" s="3">
        <f>IF($A459="","",COUNTIFS(Raw_Events!$G:$G,"SOCIAL_MEET",Raw_Events!$J:$J,$A459,Raw_Events!$C:$C,"&gt;="&amp;Settings!$B$4,Raw_Events!$C:$C,"&lt;="&amp;Settings!$B$5))</f>
        <v/>
      </c>
      <c r="G459" s="3">
        <f>IF($A459="","",COUNTIFS(Raw_Events!$G:$G,"DATE",Raw_Events!$J:$J,$A459,Raw_Events!$C:$C,"&gt;="&amp;Settings!$B$4,Raw_Events!$C:$C,"&lt;="&amp;Settings!$B$5))</f>
        <v/>
      </c>
      <c r="H459" s="3">
        <f>IF($A459="","",COUNTIFS(Raw_Events!$G:$G,"SEX",Raw_Events!$J:$J,$A459,Raw_Events!$C:$C,"&gt;="&amp;Settings!$B$4,Raw_Events!$C:$C,"&lt;="&amp;Settings!$B$5))</f>
        <v/>
      </c>
      <c r="I459" s="3">
        <f>IF($A459="","",COUNTIFS(Raw_Events!$G:$G,"PRO_CONTACT_ADDED",Raw_Events!$J:$J,$A459,Raw_Events!$C:$C,"&gt;="&amp;Settings!$B$4,Raw_Events!$C:$C,"&lt;="&amp;Settings!$B$5))</f>
        <v/>
      </c>
    </row>
    <row r="460" ht="15" customHeight="1">
      <c r="F460" s="3">
        <f>IF($A460="","",COUNTIFS(Raw_Events!$G:$G,"SOCIAL_MEET",Raw_Events!$J:$J,$A460,Raw_Events!$C:$C,"&gt;="&amp;Settings!$B$4,Raw_Events!$C:$C,"&lt;="&amp;Settings!$B$5))</f>
        <v/>
      </c>
      <c r="G460" s="3">
        <f>IF($A460="","",COUNTIFS(Raw_Events!$G:$G,"DATE",Raw_Events!$J:$J,$A460,Raw_Events!$C:$C,"&gt;="&amp;Settings!$B$4,Raw_Events!$C:$C,"&lt;="&amp;Settings!$B$5))</f>
        <v/>
      </c>
      <c r="H460" s="3">
        <f>IF($A460="","",COUNTIFS(Raw_Events!$G:$G,"SEX",Raw_Events!$J:$J,$A460,Raw_Events!$C:$C,"&gt;="&amp;Settings!$B$4,Raw_Events!$C:$C,"&lt;="&amp;Settings!$B$5))</f>
        <v/>
      </c>
      <c r="I460" s="3">
        <f>IF($A460="","",COUNTIFS(Raw_Events!$G:$G,"PRO_CONTACT_ADDED",Raw_Events!$J:$J,$A460,Raw_Events!$C:$C,"&gt;="&amp;Settings!$B$4,Raw_Events!$C:$C,"&lt;="&amp;Settings!$B$5))</f>
        <v/>
      </c>
    </row>
    <row r="461" ht="15" customHeight="1">
      <c r="F461" s="3">
        <f>IF($A461="","",COUNTIFS(Raw_Events!$G:$G,"SOCIAL_MEET",Raw_Events!$J:$J,$A461,Raw_Events!$C:$C,"&gt;="&amp;Settings!$B$4,Raw_Events!$C:$C,"&lt;="&amp;Settings!$B$5))</f>
        <v/>
      </c>
      <c r="G461" s="3">
        <f>IF($A461="","",COUNTIFS(Raw_Events!$G:$G,"DATE",Raw_Events!$J:$J,$A461,Raw_Events!$C:$C,"&gt;="&amp;Settings!$B$4,Raw_Events!$C:$C,"&lt;="&amp;Settings!$B$5))</f>
        <v/>
      </c>
      <c r="H461" s="3">
        <f>IF($A461="","",COUNTIFS(Raw_Events!$G:$G,"SEX",Raw_Events!$J:$J,$A461,Raw_Events!$C:$C,"&gt;="&amp;Settings!$B$4,Raw_Events!$C:$C,"&lt;="&amp;Settings!$B$5))</f>
        <v/>
      </c>
      <c r="I461" s="3">
        <f>IF($A461="","",COUNTIFS(Raw_Events!$G:$G,"PRO_CONTACT_ADDED",Raw_Events!$J:$J,$A461,Raw_Events!$C:$C,"&gt;="&amp;Settings!$B$4,Raw_Events!$C:$C,"&lt;="&amp;Settings!$B$5))</f>
        <v/>
      </c>
    </row>
    <row r="462" ht="15" customHeight="1">
      <c r="F462" s="3">
        <f>IF($A462="","",COUNTIFS(Raw_Events!$G:$G,"SOCIAL_MEET",Raw_Events!$J:$J,$A462,Raw_Events!$C:$C,"&gt;="&amp;Settings!$B$4,Raw_Events!$C:$C,"&lt;="&amp;Settings!$B$5))</f>
        <v/>
      </c>
      <c r="G462" s="3">
        <f>IF($A462="","",COUNTIFS(Raw_Events!$G:$G,"DATE",Raw_Events!$J:$J,$A462,Raw_Events!$C:$C,"&gt;="&amp;Settings!$B$4,Raw_Events!$C:$C,"&lt;="&amp;Settings!$B$5))</f>
        <v/>
      </c>
      <c r="H462" s="3">
        <f>IF($A462="","",COUNTIFS(Raw_Events!$G:$G,"SEX",Raw_Events!$J:$J,$A462,Raw_Events!$C:$C,"&gt;="&amp;Settings!$B$4,Raw_Events!$C:$C,"&lt;="&amp;Settings!$B$5))</f>
        <v/>
      </c>
      <c r="I462" s="3">
        <f>IF($A462="","",COUNTIFS(Raw_Events!$G:$G,"PRO_CONTACT_ADDED",Raw_Events!$J:$J,$A462,Raw_Events!$C:$C,"&gt;="&amp;Settings!$B$4,Raw_Events!$C:$C,"&lt;="&amp;Settings!$B$5))</f>
        <v/>
      </c>
    </row>
    <row r="463" ht="15" customHeight="1">
      <c r="F463" s="3">
        <f>IF($A463="","",COUNTIFS(Raw_Events!$G:$G,"SOCIAL_MEET",Raw_Events!$J:$J,$A463,Raw_Events!$C:$C,"&gt;="&amp;Settings!$B$4,Raw_Events!$C:$C,"&lt;="&amp;Settings!$B$5))</f>
        <v/>
      </c>
      <c r="G463" s="3">
        <f>IF($A463="","",COUNTIFS(Raw_Events!$G:$G,"DATE",Raw_Events!$J:$J,$A463,Raw_Events!$C:$C,"&gt;="&amp;Settings!$B$4,Raw_Events!$C:$C,"&lt;="&amp;Settings!$B$5))</f>
        <v/>
      </c>
      <c r="H463" s="3">
        <f>IF($A463="","",COUNTIFS(Raw_Events!$G:$G,"SEX",Raw_Events!$J:$J,$A463,Raw_Events!$C:$C,"&gt;="&amp;Settings!$B$4,Raw_Events!$C:$C,"&lt;="&amp;Settings!$B$5))</f>
        <v/>
      </c>
      <c r="I463" s="3">
        <f>IF($A463="","",COUNTIFS(Raw_Events!$G:$G,"PRO_CONTACT_ADDED",Raw_Events!$J:$J,$A463,Raw_Events!$C:$C,"&gt;="&amp;Settings!$B$4,Raw_Events!$C:$C,"&lt;="&amp;Settings!$B$5))</f>
        <v/>
      </c>
    </row>
    <row r="464" ht="15" customHeight="1">
      <c r="F464" s="3">
        <f>IF($A464="","",COUNTIFS(Raw_Events!$G:$G,"SOCIAL_MEET",Raw_Events!$J:$J,$A464,Raw_Events!$C:$C,"&gt;="&amp;Settings!$B$4,Raw_Events!$C:$C,"&lt;="&amp;Settings!$B$5))</f>
        <v/>
      </c>
      <c r="G464" s="3">
        <f>IF($A464="","",COUNTIFS(Raw_Events!$G:$G,"DATE",Raw_Events!$J:$J,$A464,Raw_Events!$C:$C,"&gt;="&amp;Settings!$B$4,Raw_Events!$C:$C,"&lt;="&amp;Settings!$B$5))</f>
        <v/>
      </c>
      <c r="H464" s="3">
        <f>IF($A464="","",COUNTIFS(Raw_Events!$G:$G,"SEX",Raw_Events!$J:$J,$A464,Raw_Events!$C:$C,"&gt;="&amp;Settings!$B$4,Raw_Events!$C:$C,"&lt;="&amp;Settings!$B$5))</f>
        <v/>
      </c>
      <c r="I464" s="3">
        <f>IF($A464="","",COUNTIFS(Raw_Events!$G:$G,"PRO_CONTACT_ADDED",Raw_Events!$J:$J,$A464,Raw_Events!$C:$C,"&gt;="&amp;Settings!$B$4,Raw_Events!$C:$C,"&lt;="&amp;Settings!$B$5))</f>
        <v/>
      </c>
    </row>
    <row r="465" ht="15" customHeight="1">
      <c r="F465" s="3">
        <f>IF($A465="","",COUNTIFS(Raw_Events!$G:$G,"SOCIAL_MEET",Raw_Events!$J:$J,$A465,Raw_Events!$C:$C,"&gt;="&amp;Settings!$B$4,Raw_Events!$C:$C,"&lt;="&amp;Settings!$B$5))</f>
        <v/>
      </c>
      <c r="G465" s="3">
        <f>IF($A465="","",COUNTIFS(Raw_Events!$G:$G,"DATE",Raw_Events!$J:$J,$A465,Raw_Events!$C:$C,"&gt;="&amp;Settings!$B$4,Raw_Events!$C:$C,"&lt;="&amp;Settings!$B$5))</f>
        <v/>
      </c>
      <c r="H465" s="3">
        <f>IF($A465="","",COUNTIFS(Raw_Events!$G:$G,"SEX",Raw_Events!$J:$J,$A465,Raw_Events!$C:$C,"&gt;="&amp;Settings!$B$4,Raw_Events!$C:$C,"&lt;="&amp;Settings!$B$5))</f>
        <v/>
      </c>
      <c r="I465" s="3">
        <f>IF($A465="","",COUNTIFS(Raw_Events!$G:$G,"PRO_CONTACT_ADDED",Raw_Events!$J:$J,$A465,Raw_Events!$C:$C,"&gt;="&amp;Settings!$B$4,Raw_Events!$C:$C,"&lt;="&amp;Settings!$B$5))</f>
        <v/>
      </c>
    </row>
    <row r="466" ht="15" customHeight="1">
      <c r="F466" s="3">
        <f>IF($A466="","",COUNTIFS(Raw_Events!$G:$G,"SOCIAL_MEET",Raw_Events!$J:$J,$A466,Raw_Events!$C:$C,"&gt;="&amp;Settings!$B$4,Raw_Events!$C:$C,"&lt;="&amp;Settings!$B$5))</f>
        <v/>
      </c>
      <c r="G466" s="3">
        <f>IF($A466="","",COUNTIFS(Raw_Events!$G:$G,"DATE",Raw_Events!$J:$J,$A466,Raw_Events!$C:$C,"&gt;="&amp;Settings!$B$4,Raw_Events!$C:$C,"&lt;="&amp;Settings!$B$5))</f>
        <v/>
      </c>
      <c r="H466" s="3">
        <f>IF($A466="","",COUNTIFS(Raw_Events!$G:$G,"SEX",Raw_Events!$J:$J,$A466,Raw_Events!$C:$C,"&gt;="&amp;Settings!$B$4,Raw_Events!$C:$C,"&lt;="&amp;Settings!$B$5))</f>
        <v/>
      </c>
      <c r="I466" s="3">
        <f>IF($A466="","",COUNTIFS(Raw_Events!$G:$G,"PRO_CONTACT_ADDED",Raw_Events!$J:$J,$A466,Raw_Events!$C:$C,"&gt;="&amp;Settings!$B$4,Raw_Events!$C:$C,"&lt;="&amp;Settings!$B$5))</f>
        <v/>
      </c>
    </row>
    <row r="467" ht="15" customHeight="1">
      <c r="F467" s="3">
        <f>IF($A467="","",COUNTIFS(Raw_Events!$G:$G,"SOCIAL_MEET",Raw_Events!$J:$J,$A467,Raw_Events!$C:$C,"&gt;="&amp;Settings!$B$4,Raw_Events!$C:$C,"&lt;="&amp;Settings!$B$5))</f>
        <v/>
      </c>
      <c r="G467" s="3">
        <f>IF($A467="","",COUNTIFS(Raw_Events!$G:$G,"DATE",Raw_Events!$J:$J,$A467,Raw_Events!$C:$C,"&gt;="&amp;Settings!$B$4,Raw_Events!$C:$C,"&lt;="&amp;Settings!$B$5))</f>
        <v/>
      </c>
      <c r="H467" s="3">
        <f>IF($A467="","",COUNTIFS(Raw_Events!$G:$G,"SEX",Raw_Events!$J:$J,$A467,Raw_Events!$C:$C,"&gt;="&amp;Settings!$B$4,Raw_Events!$C:$C,"&lt;="&amp;Settings!$B$5))</f>
        <v/>
      </c>
      <c r="I467" s="3">
        <f>IF($A467="","",COUNTIFS(Raw_Events!$G:$G,"PRO_CONTACT_ADDED",Raw_Events!$J:$J,$A467,Raw_Events!$C:$C,"&gt;="&amp;Settings!$B$4,Raw_Events!$C:$C,"&lt;="&amp;Settings!$B$5))</f>
        <v/>
      </c>
    </row>
    <row r="468" ht="15" customHeight="1">
      <c r="F468" s="3">
        <f>IF($A468="","",COUNTIFS(Raw_Events!$G:$G,"SOCIAL_MEET",Raw_Events!$J:$J,$A468,Raw_Events!$C:$C,"&gt;="&amp;Settings!$B$4,Raw_Events!$C:$C,"&lt;="&amp;Settings!$B$5))</f>
        <v/>
      </c>
      <c r="G468" s="3">
        <f>IF($A468="","",COUNTIFS(Raw_Events!$G:$G,"DATE",Raw_Events!$J:$J,$A468,Raw_Events!$C:$C,"&gt;="&amp;Settings!$B$4,Raw_Events!$C:$C,"&lt;="&amp;Settings!$B$5))</f>
        <v/>
      </c>
      <c r="H468" s="3">
        <f>IF($A468="","",COUNTIFS(Raw_Events!$G:$G,"SEX",Raw_Events!$J:$J,$A468,Raw_Events!$C:$C,"&gt;="&amp;Settings!$B$4,Raw_Events!$C:$C,"&lt;="&amp;Settings!$B$5))</f>
        <v/>
      </c>
      <c r="I468" s="3">
        <f>IF($A468="","",COUNTIFS(Raw_Events!$G:$G,"PRO_CONTACT_ADDED",Raw_Events!$J:$J,$A468,Raw_Events!$C:$C,"&gt;="&amp;Settings!$B$4,Raw_Events!$C:$C,"&lt;="&amp;Settings!$B$5))</f>
        <v/>
      </c>
    </row>
    <row r="469" ht="15" customHeight="1">
      <c r="F469" s="3">
        <f>IF($A469="","",COUNTIFS(Raw_Events!$G:$G,"SOCIAL_MEET",Raw_Events!$J:$J,$A469,Raw_Events!$C:$C,"&gt;="&amp;Settings!$B$4,Raw_Events!$C:$C,"&lt;="&amp;Settings!$B$5))</f>
        <v/>
      </c>
      <c r="G469" s="3">
        <f>IF($A469="","",COUNTIFS(Raw_Events!$G:$G,"DATE",Raw_Events!$J:$J,$A469,Raw_Events!$C:$C,"&gt;="&amp;Settings!$B$4,Raw_Events!$C:$C,"&lt;="&amp;Settings!$B$5))</f>
        <v/>
      </c>
      <c r="H469" s="3">
        <f>IF($A469="","",COUNTIFS(Raw_Events!$G:$G,"SEX",Raw_Events!$J:$J,$A469,Raw_Events!$C:$C,"&gt;="&amp;Settings!$B$4,Raw_Events!$C:$C,"&lt;="&amp;Settings!$B$5))</f>
        <v/>
      </c>
      <c r="I469" s="3">
        <f>IF($A469="","",COUNTIFS(Raw_Events!$G:$G,"PRO_CONTACT_ADDED",Raw_Events!$J:$J,$A469,Raw_Events!$C:$C,"&gt;="&amp;Settings!$B$4,Raw_Events!$C:$C,"&lt;="&amp;Settings!$B$5))</f>
        <v/>
      </c>
    </row>
    <row r="470" ht="15" customHeight="1">
      <c r="F470" s="3">
        <f>IF($A470="","",COUNTIFS(Raw_Events!$G:$G,"SOCIAL_MEET",Raw_Events!$J:$J,$A470,Raw_Events!$C:$C,"&gt;="&amp;Settings!$B$4,Raw_Events!$C:$C,"&lt;="&amp;Settings!$B$5))</f>
        <v/>
      </c>
      <c r="G470" s="3">
        <f>IF($A470="","",COUNTIFS(Raw_Events!$G:$G,"DATE",Raw_Events!$J:$J,$A470,Raw_Events!$C:$C,"&gt;="&amp;Settings!$B$4,Raw_Events!$C:$C,"&lt;="&amp;Settings!$B$5))</f>
        <v/>
      </c>
      <c r="H470" s="3">
        <f>IF($A470="","",COUNTIFS(Raw_Events!$G:$G,"SEX",Raw_Events!$J:$J,$A470,Raw_Events!$C:$C,"&gt;="&amp;Settings!$B$4,Raw_Events!$C:$C,"&lt;="&amp;Settings!$B$5))</f>
        <v/>
      </c>
      <c r="I470" s="3">
        <f>IF($A470="","",COUNTIFS(Raw_Events!$G:$G,"PRO_CONTACT_ADDED",Raw_Events!$J:$J,$A470,Raw_Events!$C:$C,"&gt;="&amp;Settings!$B$4,Raw_Events!$C:$C,"&lt;="&amp;Settings!$B$5))</f>
        <v/>
      </c>
    </row>
    <row r="471" ht="15" customHeight="1">
      <c r="F471" s="3">
        <f>IF($A471="","",COUNTIFS(Raw_Events!$G:$G,"SOCIAL_MEET",Raw_Events!$J:$J,$A471,Raw_Events!$C:$C,"&gt;="&amp;Settings!$B$4,Raw_Events!$C:$C,"&lt;="&amp;Settings!$B$5))</f>
        <v/>
      </c>
      <c r="G471" s="3">
        <f>IF($A471="","",COUNTIFS(Raw_Events!$G:$G,"DATE",Raw_Events!$J:$J,$A471,Raw_Events!$C:$C,"&gt;="&amp;Settings!$B$4,Raw_Events!$C:$C,"&lt;="&amp;Settings!$B$5))</f>
        <v/>
      </c>
      <c r="H471" s="3">
        <f>IF($A471="","",COUNTIFS(Raw_Events!$G:$G,"SEX",Raw_Events!$J:$J,$A471,Raw_Events!$C:$C,"&gt;="&amp;Settings!$B$4,Raw_Events!$C:$C,"&lt;="&amp;Settings!$B$5))</f>
        <v/>
      </c>
      <c r="I471" s="3">
        <f>IF($A471="","",COUNTIFS(Raw_Events!$G:$G,"PRO_CONTACT_ADDED",Raw_Events!$J:$J,$A471,Raw_Events!$C:$C,"&gt;="&amp;Settings!$B$4,Raw_Events!$C:$C,"&lt;="&amp;Settings!$B$5))</f>
        <v/>
      </c>
    </row>
    <row r="472" ht="15" customHeight="1">
      <c r="F472" s="3">
        <f>IF($A472="","",COUNTIFS(Raw_Events!$G:$G,"SOCIAL_MEET",Raw_Events!$J:$J,$A472,Raw_Events!$C:$C,"&gt;="&amp;Settings!$B$4,Raw_Events!$C:$C,"&lt;="&amp;Settings!$B$5))</f>
        <v/>
      </c>
      <c r="G472" s="3">
        <f>IF($A472="","",COUNTIFS(Raw_Events!$G:$G,"DATE",Raw_Events!$J:$J,$A472,Raw_Events!$C:$C,"&gt;="&amp;Settings!$B$4,Raw_Events!$C:$C,"&lt;="&amp;Settings!$B$5))</f>
        <v/>
      </c>
      <c r="H472" s="3">
        <f>IF($A472="","",COUNTIFS(Raw_Events!$G:$G,"SEX",Raw_Events!$J:$J,$A472,Raw_Events!$C:$C,"&gt;="&amp;Settings!$B$4,Raw_Events!$C:$C,"&lt;="&amp;Settings!$B$5))</f>
        <v/>
      </c>
      <c r="I472" s="3">
        <f>IF($A472="","",COUNTIFS(Raw_Events!$G:$G,"PRO_CONTACT_ADDED",Raw_Events!$J:$J,$A472,Raw_Events!$C:$C,"&gt;="&amp;Settings!$B$4,Raw_Events!$C:$C,"&lt;="&amp;Settings!$B$5))</f>
        <v/>
      </c>
    </row>
    <row r="473" ht="15" customHeight="1">
      <c r="F473" s="3">
        <f>IF($A473="","",COUNTIFS(Raw_Events!$G:$G,"SOCIAL_MEET",Raw_Events!$J:$J,$A473,Raw_Events!$C:$C,"&gt;="&amp;Settings!$B$4,Raw_Events!$C:$C,"&lt;="&amp;Settings!$B$5))</f>
        <v/>
      </c>
      <c r="G473" s="3">
        <f>IF($A473="","",COUNTIFS(Raw_Events!$G:$G,"DATE",Raw_Events!$J:$J,$A473,Raw_Events!$C:$C,"&gt;="&amp;Settings!$B$4,Raw_Events!$C:$C,"&lt;="&amp;Settings!$B$5))</f>
        <v/>
      </c>
      <c r="H473" s="3">
        <f>IF($A473="","",COUNTIFS(Raw_Events!$G:$G,"SEX",Raw_Events!$J:$J,$A473,Raw_Events!$C:$C,"&gt;="&amp;Settings!$B$4,Raw_Events!$C:$C,"&lt;="&amp;Settings!$B$5))</f>
        <v/>
      </c>
      <c r="I473" s="3">
        <f>IF($A473="","",COUNTIFS(Raw_Events!$G:$G,"PRO_CONTACT_ADDED",Raw_Events!$J:$J,$A473,Raw_Events!$C:$C,"&gt;="&amp;Settings!$B$4,Raw_Events!$C:$C,"&lt;="&amp;Settings!$B$5))</f>
        <v/>
      </c>
    </row>
    <row r="474" ht="15" customHeight="1">
      <c r="F474" s="3">
        <f>IF($A474="","",COUNTIFS(Raw_Events!$G:$G,"SOCIAL_MEET",Raw_Events!$J:$J,$A474,Raw_Events!$C:$C,"&gt;="&amp;Settings!$B$4,Raw_Events!$C:$C,"&lt;="&amp;Settings!$B$5))</f>
        <v/>
      </c>
      <c r="G474" s="3">
        <f>IF($A474="","",COUNTIFS(Raw_Events!$G:$G,"DATE",Raw_Events!$J:$J,$A474,Raw_Events!$C:$C,"&gt;="&amp;Settings!$B$4,Raw_Events!$C:$C,"&lt;="&amp;Settings!$B$5))</f>
        <v/>
      </c>
      <c r="H474" s="3">
        <f>IF($A474="","",COUNTIFS(Raw_Events!$G:$G,"SEX",Raw_Events!$J:$J,$A474,Raw_Events!$C:$C,"&gt;="&amp;Settings!$B$4,Raw_Events!$C:$C,"&lt;="&amp;Settings!$B$5))</f>
        <v/>
      </c>
      <c r="I474" s="3">
        <f>IF($A474="","",COUNTIFS(Raw_Events!$G:$G,"PRO_CONTACT_ADDED",Raw_Events!$J:$J,$A474,Raw_Events!$C:$C,"&gt;="&amp;Settings!$B$4,Raw_Events!$C:$C,"&lt;="&amp;Settings!$B$5))</f>
        <v/>
      </c>
    </row>
    <row r="475" ht="15" customHeight="1">
      <c r="F475" s="3">
        <f>IF($A475="","",COUNTIFS(Raw_Events!$G:$G,"SOCIAL_MEET",Raw_Events!$J:$J,$A475,Raw_Events!$C:$C,"&gt;="&amp;Settings!$B$4,Raw_Events!$C:$C,"&lt;="&amp;Settings!$B$5))</f>
        <v/>
      </c>
      <c r="G475" s="3">
        <f>IF($A475="","",COUNTIFS(Raw_Events!$G:$G,"DATE",Raw_Events!$J:$J,$A475,Raw_Events!$C:$C,"&gt;="&amp;Settings!$B$4,Raw_Events!$C:$C,"&lt;="&amp;Settings!$B$5))</f>
        <v/>
      </c>
      <c r="H475" s="3">
        <f>IF($A475="","",COUNTIFS(Raw_Events!$G:$G,"SEX",Raw_Events!$J:$J,$A475,Raw_Events!$C:$C,"&gt;="&amp;Settings!$B$4,Raw_Events!$C:$C,"&lt;="&amp;Settings!$B$5))</f>
        <v/>
      </c>
      <c r="I475" s="3">
        <f>IF($A475="","",COUNTIFS(Raw_Events!$G:$G,"PRO_CONTACT_ADDED",Raw_Events!$J:$J,$A475,Raw_Events!$C:$C,"&gt;="&amp;Settings!$B$4,Raw_Events!$C:$C,"&lt;="&amp;Settings!$B$5))</f>
        <v/>
      </c>
    </row>
    <row r="476" ht="15" customHeight="1">
      <c r="F476" s="3">
        <f>IF($A476="","",COUNTIFS(Raw_Events!$G:$G,"SOCIAL_MEET",Raw_Events!$J:$J,$A476,Raw_Events!$C:$C,"&gt;="&amp;Settings!$B$4,Raw_Events!$C:$C,"&lt;="&amp;Settings!$B$5))</f>
        <v/>
      </c>
      <c r="G476" s="3">
        <f>IF($A476="","",COUNTIFS(Raw_Events!$G:$G,"DATE",Raw_Events!$J:$J,$A476,Raw_Events!$C:$C,"&gt;="&amp;Settings!$B$4,Raw_Events!$C:$C,"&lt;="&amp;Settings!$B$5))</f>
        <v/>
      </c>
      <c r="H476" s="3">
        <f>IF($A476="","",COUNTIFS(Raw_Events!$G:$G,"SEX",Raw_Events!$J:$J,$A476,Raw_Events!$C:$C,"&gt;="&amp;Settings!$B$4,Raw_Events!$C:$C,"&lt;="&amp;Settings!$B$5))</f>
        <v/>
      </c>
      <c r="I476" s="3">
        <f>IF($A476="","",COUNTIFS(Raw_Events!$G:$G,"PRO_CONTACT_ADDED",Raw_Events!$J:$J,$A476,Raw_Events!$C:$C,"&gt;="&amp;Settings!$B$4,Raw_Events!$C:$C,"&lt;="&amp;Settings!$B$5))</f>
        <v/>
      </c>
    </row>
    <row r="477" ht="15" customHeight="1">
      <c r="F477" s="3">
        <f>IF($A477="","",COUNTIFS(Raw_Events!$G:$G,"SOCIAL_MEET",Raw_Events!$J:$J,$A477,Raw_Events!$C:$C,"&gt;="&amp;Settings!$B$4,Raw_Events!$C:$C,"&lt;="&amp;Settings!$B$5))</f>
        <v/>
      </c>
      <c r="G477" s="3">
        <f>IF($A477="","",COUNTIFS(Raw_Events!$G:$G,"DATE",Raw_Events!$J:$J,$A477,Raw_Events!$C:$C,"&gt;="&amp;Settings!$B$4,Raw_Events!$C:$C,"&lt;="&amp;Settings!$B$5))</f>
        <v/>
      </c>
      <c r="H477" s="3">
        <f>IF($A477="","",COUNTIFS(Raw_Events!$G:$G,"SEX",Raw_Events!$J:$J,$A477,Raw_Events!$C:$C,"&gt;="&amp;Settings!$B$4,Raw_Events!$C:$C,"&lt;="&amp;Settings!$B$5))</f>
        <v/>
      </c>
      <c r="I477" s="3">
        <f>IF($A477="","",COUNTIFS(Raw_Events!$G:$G,"PRO_CONTACT_ADDED",Raw_Events!$J:$J,$A477,Raw_Events!$C:$C,"&gt;="&amp;Settings!$B$4,Raw_Events!$C:$C,"&lt;="&amp;Settings!$B$5))</f>
        <v/>
      </c>
    </row>
    <row r="478" ht="15" customHeight="1">
      <c r="F478" s="3">
        <f>IF($A478="","",COUNTIFS(Raw_Events!$G:$G,"SOCIAL_MEET",Raw_Events!$J:$J,$A478,Raw_Events!$C:$C,"&gt;="&amp;Settings!$B$4,Raw_Events!$C:$C,"&lt;="&amp;Settings!$B$5))</f>
        <v/>
      </c>
      <c r="G478" s="3">
        <f>IF($A478="","",COUNTIFS(Raw_Events!$G:$G,"DATE",Raw_Events!$J:$J,$A478,Raw_Events!$C:$C,"&gt;="&amp;Settings!$B$4,Raw_Events!$C:$C,"&lt;="&amp;Settings!$B$5))</f>
        <v/>
      </c>
      <c r="H478" s="3">
        <f>IF($A478="","",COUNTIFS(Raw_Events!$G:$G,"SEX",Raw_Events!$J:$J,$A478,Raw_Events!$C:$C,"&gt;="&amp;Settings!$B$4,Raw_Events!$C:$C,"&lt;="&amp;Settings!$B$5))</f>
        <v/>
      </c>
      <c r="I478" s="3">
        <f>IF($A478="","",COUNTIFS(Raw_Events!$G:$G,"PRO_CONTACT_ADDED",Raw_Events!$J:$J,$A478,Raw_Events!$C:$C,"&gt;="&amp;Settings!$B$4,Raw_Events!$C:$C,"&lt;="&amp;Settings!$B$5))</f>
        <v/>
      </c>
    </row>
    <row r="479" ht="15" customHeight="1">
      <c r="F479" s="3">
        <f>IF($A479="","",COUNTIFS(Raw_Events!$G:$G,"SOCIAL_MEET",Raw_Events!$J:$J,$A479,Raw_Events!$C:$C,"&gt;="&amp;Settings!$B$4,Raw_Events!$C:$C,"&lt;="&amp;Settings!$B$5))</f>
        <v/>
      </c>
      <c r="G479" s="3">
        <f>IF($A479="","",COUNTIFS(Raw_Events!$G:$G,"DATE",Raw_Events!$J:$J,$A479,Raw_Events!$C:$C,"&gt;="&amp;Settings!$B$4,Raw_Events!$C:$C,"&lt;="&amp;Settings!$B$5))</f>
        <v/>
      </c>
      <c r="H479" s="3">
        <f>IF($A479="","",COUNTIFS(Raw_Events!$G:$G,"SEX",Raw_Events!$J:$J,$A479,Raw_Events!$C:$C,"&gt;="&amp;Settings!$B$4,Raw_Events!$C:$C,"&lt;="&amp;Settings!$B$5))</f>
        <v/>
      </c>
      <c r="I479" s="3">
        <f>IF($A479="","",COUNTIFS(Raw_Events!$G:$G,"PRO_CONTACT_ADDED",Raw_Events!$J:$J,$A479,Raw_Events!$C:$C,"&gt;="&amp;Settings!$B$4,Raw_Events!$C:$C,"&lt;="&amp;Settings!$B$5))</f>
        <v/>
      </c>
    </row>
    <row r="480" ht="15" customHeight="1">
      <c r="F480" s="3">
        <f>IF($A480="","",COUNTIFS(Raw_Events!$G:$G,"SOCIAL_MEET",Raw_Events!$J:$J,$A480,Raw_Events!$C:$C,"&gt;="&amp;Settings!$B$4,Raw_Events!$C:$C,"&lt;="&amp;Settings!$B$5))</f>
        <v/>
      </c>
      <c r="G480" s="3">
        <f>IF($A480="","",COUNTIFS(Raw_Events!$G:$G,"DATE",Raw_Events!$J:$J,$A480,Raw_Events!$C:$C,"&gt;="&amp;Settings!$B$4,Raw_Events!$C:$C,"&lt;="&amp;Settings!$B$5))</f>
        <v/>
      </c>
      <c r="H480" s="3">
        <f>IF($A480="","",COUNTIFS(Raw_Events!$G:$G,"SEX",Raw_Events!$J:$J,$A480,Raw_Events!$C:$C,"&gt;="&amp;Settings!$B$4,Raw_Events!$C:$C,"&lt;="&amp;Settings!$B$5))</f>
        <v/>
      </c>
      <c r="I480" s="3">
        <f>IF($A480="","",COUNTIFS(Raw_Events!$G:$G,"PRO_CONTACT_ADDED",Raw_Events!$J:$J,$A480,Raw_Events!$C:$C,"&gt;="&amp;Settings!$B$4,Raw_Events!$C:$C,"&lt;="&amp;Settings!$B$5))</f>
        <v/>
      </c>
    </row>
    <row r="481" ht="15" customHeight="1">
      <c r="F481" s="3">
        <f>IF($A481="","",COUNTIFS(Raw_Events!$G:$G,"SOCIAL_MEET",Raw_Events!$J:$J,$A481,Raw_Events!$C:$C,"&gt;="&amp;Settings!$B$4,Raw_Events!$C:$C,"&lt;="&amp;Settings!$B$5))</f>
        <v/>
      </c>
      <c r="G481" s="3">
        <f>IF($A481="","",COUNTIFS(Raw_Events!$G:$G,"DATE",Raw_Events!$J:$J,$A481,Raw_Events!$C:$C,"&gt;="&amp;Settings!$B$4,Raw_Events!$C:$C,"&lt;="&amp;Settings!$B$5))</f>
        <v/>
      </c>
      <c r="H481" s="3">
        <f>IF($A481="","",COUNTIFS(Raw_Events!$G:$G,"SEX",Raw_Events!$J:$J,$A481,Raw_Events!$C:$C,"&gt;="&amp;Settings!$B$4,Raw_Events!$C:$C,"&lt;="&amp;Settings!$B$5))</f>
        <v/>
      </c>
      <c r="I481" s="3">
        <f>IF($A481="","",COUNTIFS(Raw_Events!$G:$G,"PRO_CONTACT_ADDED",Raw_Events!$J:$J,$A481,Raw_Events!$C:$C,"&gt;="&amp;Settings!$B$4,Raw_Events!$C:$C,"&lt;="&amp;Settings!$B$5))</f>
        <v/>
      </c>
    </row>
    <row r="482" ht="15" customHeight="1">
      <c r="F482" s="3">
        <f>IF($A482="","",COUNTIFS(Raw_Events!$G:$G,"SOCIAL_MEET",Raw_Events!$J:$J,$A482,Raw_Events!$C:$C,"&gt;="&amp;Settings!$B$4,Raw_Events!$C:$C,"&lt;="&amp;Settings!$B$5))</f>
        <v/>
      </c>
      <c r="G482" s="3">
        <f>IF($A482="","",COUNTIFS(Raw_Events!$G:$G,"DATE",Raw_Events!$J:$J,$A482,Raw_Events!$C:$C,"&gt;="&amp;Settings!$B$4,Raw_Events!$C:$C,"&lt;="&amp;Settings!$B$5))</f>
        <v/>
      </c>
      <c r="H482" s="3">
        <f>IF($A482="","",COUNTIFS(Raw_Events!$G:$G,"SEX",Raw_Events!$J:$J,$A482,Raw_Events!$C:$C,"&gt;="&amp;Settings!$B$4,Raw_Events!$C:$C,"&lt;="&amp;Settings!$B$5))</f>
        <v/>
      </c>
      <c r="I482" s="3">
        <f>IF($A482="","",COUNTIFS(Raw_Events!$G:$G,"PRO_CONTACT_ADDED",Raw_Events!$J:$J,$A482,Raw_Events!$C:$C,"&gt;="&amp;Settings!$B$4,Raw_Events!$C:$C,"&lt;="&amp;Settings!$B$5))</f>
        <v/>
      </c>
    </row>
    <row r="483" ht="15" customHeight="1">
      <c r="F483" s="3">
        <f>IF($A483="","",COUNTIFS(Raw_Events!$G:$G,"SOCIAL_MEET",Raw_Events!$J:$J,$A483,Raw_Events!$C:$C,"&gt;="&amp;Settings!$B$4,Raw_Events!$C:$C,"&lt;="&amp;Settings!$B$5))</f>
        <v/>
      </c>
      <c r="G483" s="3">
        <f>IF($A483="","",COUNTIFS(Raw_Events!$G:$G,"DATE",Raw_Events!$J:$J,$A483,Raw_Events!$C:$C,"&gt;="&amp;Settings!$B$4,Raw_Events!$C:$C,"&lt;="&amp;Settings!$B$5))</f>
        <v/>
      </c>
      <c r="H483" s="3">
        <f>IF($A483="","",COUNTIFS(Raw_Events!$G:$G,"SEX",Raw_Events!$J:$J,$A483,Raw_Events!$C:$C,"&gt;="&amp;Settings!$B$4,Raw_Events!$C:$C,"&lt;="&amp;Settings!$B$5))</f>
        <v/>
      </c>
      <c r="I483" s="3">
        <f>IF($A483="","",COUNTIFS(Raw_Events!$G:$G,"PRO_CONTACT_ADDED",Raw_Events!$J:$J,$A483,Raw_Events!$C:$C,"&gt;="&amp;Settings!$B$4,Raw_Events!$C:$C,"&lt;="&amp;Settings!$B$5))</f>
        <v/>
      </c>
    </row>
    <row r="484" ht="15" customHeight="1">
      <c r="F484" s="3">
        <f>IF($A484="","",COUNTIFS(Raw_Events!$G:$G,"SOCIAL_MEET",Raw_Events!$J:$J,$A484,Raw_Events!$C:$C,"&gt;="&amp;Settings!$B$4,Raw_Events!$C:$C,"&lt;="&amp;Settings!$B$5))</f>
        <v/>
      </c>
      <c r="G484" s="3">
        <f>IF($A484="","",COUNTIFS(Raw_Events!$G:$G,"DATE",Raw_Events!$J:$J,$A484,Raw_Events!$C:$C,"&gt;="&amp;Settings!$B$4,Raw_Events!$C:$C,"&lt;="&amp;Settings!$B$5))</f>
        <v/>
      </c>
      <c r="H484" s="3">
        <f>IF($A484="","",COUNTIFS(Raw_Events!$G:$G,"SEX",Raw_Events!$J:$J,$A484,Raw_Events!$C:$C,"&gt;="&amp;Settings!$B$4,Raw_Events!$C:$C,"&lt;="&amp;Settings!$B$5))</f>
        <v/>
      </c>
      <c r="I484" s="3">
        <f>IF($A484="","",COUNTIFS(Raw_Events!$G:$G,"PRO_CONTACT_ADDED",Raw_Events!$J:$J,$A484,Raw_Events!$C:$C,"&gt;="&amp;Settings!$B$4,Raw_Events!$C:$C,"&lt;="&amp;Settings!$B$5))</f>
        <v/>
      </c>
    </row>
    <row r="485" ht="15" customHeight="1">
      <c r="F485" s="3">
        <f>IF($A485="","",COUNTIFS(Raw_Events!$G:$G,"SOCIAL_MEET",Raw_Events!$J:$J,$A485,Raw_Events!$C:$C,"&gt;="&amp;Settings!$B$4,Raw_Events!$C:$C,"&lt;="&amp;Settings!$B$5))</f>
        <v/>
      </c>
      <c r="G485" s="3">
        <f>IF($A485="","",COUNTIFS(Raw_Events!$G:$G,"DATE",Raw_Events!$J:$J,$A485,Raw_Events!$C:$C,"&gt;="&amp;Settings!$B$4,Raw_Events!$C:$C,"&lt;="&amp;Settings!$B$5))</f>
        <v/>
      </c>
      <c r="H485" s="3">
        <f>IF($A485="","",COUNTIFS(Raw_Events!$G:$G,"SEX",Raw_Events!$J:$J,$A485,Raw_Events!$C:$C,"&gt;="&amp;Settings!$B$4,Raw_Events!$C:$C,"&lt;="&amp;Settings!$B$5))</f>
        <v/>
      </c>
      <c r="I485" s="3">
        <f>IF($A485="","",COUNTIFS(Raw_Events!$G:$G,"PRO_CONTACT_ADDED",Raw_Events!$J:$J,$A485,Raw_Events!$C:$C,"&gt;="&amp;Settings!$B$4,Raw_Events!$C:$C,"&lt;="&amp;Settings!$B$5))</f>
        <v/>
      </c>
    </row>
    <row r="486" ht="15" customHeight="1">
      <c r="F486" s="3">
        <f>IF($A486="","",COUNTIFS(Raw_Events!$G:$G,"SOCIAL_MEET",Raw_Events!$J:$J,$A486,Raw_Events!$C:$C,"&gt;="&amp;Settings!$B$4,Raw_Events!$C:$C,"&lt;="&amp;Settings!$B$5))</f>
        <v/>
      </c>
      <c r="G486" s="3">
        <f>IF($A486="","",COUNTIFS(Raw_Events!$G:$G,"DATE",Raw_Events!$J:$J,$A486,Raw_Events!$C:$C,"&gt;="&amp;Settings!$B$4,Raw_Events!$C:$C,"&lt;="&amp;Settings!$B$5))</f>
        <v/>
      </c>
      <c r="H486" s="3">
        <f>IF($A486="","",COUNTIFS(Raw_Events!$G:$G,"SEX",Raw_Events!$J:$J,$A486,Raw_Events!$C:$C,"&gt;="&amp;Settings!$B$4,Raw_Events!$C:$C,"&lt;="&amp;Settings!$B$5))</f>
        <v/>
      </c>
      <c r="I486" s="3">
        <f>IF($A486="","",COUNTIFS(Raw_Events!$G:$G,"PRO_CONTACT_ADDED",Raw_Events!$J:$J,$A486,Raw_Events!$C:$C,"&gt;="&amp;Settings!$B$4,Raw_Events!$C:$C,"&lt;="&amp;Settings!$B$5))</f>
        <v/>
      </c>
    </row>
    <row r="487" ht="15" customHeight="1">
      <c r="F487" s="3">
        <f>IF($A487="","",COUNTIFS(Raw_Events!$G:$G,"SOCIAL_MEET",Raw_Events!$J:$J,$A487,Raw_Events!$C:$C,"&gt;="&amp;Settings!$B$4,Raw_Events!$C:$C,"&lt;="&amp;Settings!$B$5))</f>
        <v/>
      </c>
      <c r="G487" s="3">
        <f>IF($A487="","",COUNTIFS(Raw_Events!$G:$G,"DATE",Raw_Events!$J:$J,$A487,Raw_Events!$C:$C,"&gt;="&amp;Settings!$B$4,Raw_Events!$C:$C,"&lt;="&amp;Settings!$B$5))</f>
        <v/>
      </c>
      <c r="H487" s="3">
        <f>IF($A487="","",COUNTIFS(Raw_Events!$G:$G,"SEX",Raw_Events!$J:$J,$A487,Raw_Events!$C:$C,"&gt;="&amp;Settings!$B$4,Raw_Events!$C:$C,"&lt;="&amp;Settings!$B$5))</f>
        <v/>
      </c>
      <c r="I487" s="3">
        <f>IF($A487="","",COUNTIFS(Raw_Events!$G:$G,"PRO_CONTACT_ADDED",Raw_Events!$J:$J,$A487,Raw_Events!$C:$C,"&gt;="&amp;Settings!$B$4,Raw_Events!$C:$C,"&lt;="&amp;Settings!$B$5))</f>
        <v/>
      </c>
    </row>
    <row r="488" ht="15" customHeight="1">
      <c r="F488" s="3">
        <f>IF($A488="","",COUNTIFS(Raw_Events!$G:$G,"SOCIAL_MEET",Raw_Events!$J:$J,$A488,Raw_Events!$C:$C,"&gt;="&amp;Settings!$B$4,Raw_Events!$C:$C,"&lt;="&amp;Settings!$B$5))</f>
        <v/>
      </c>
      <c r="G488" s="3">
        <f>IF($A488="","",COUNTIFS(Raw_Events!$G:$G,"DATE",Raw_Events!$J:$J,$A488,Raw_Events!$C:$C,"&gt;="&amp;Settings!$B$4,Raw_Events!$C:$C,"&lt;="&amp;Settings!$B$5))</f>
        <v/>
      </c>
      <c r="H488" s="3">
        <f>IF($A488="","",COUNTIFS(Raw_Events!$G:$G,"SEX",Raw_Events!$J:$J,$A488,Raw_Events!$C:$C,"&gt;="&amp;Settings!$B$4,Raw_Events!$C:$C,"&lt;="&amp;Settings!$B$5))</f>
        <v/>
      </c>
      <c r="I488" s="3">
        <f>IF($A488="","",COUNTIFS(Raw_Events!$G:$G,"PRO_CONTACT_ADDED",Raw_Events!$J:$J,$A488,Raw_Events!$C:$C,"&gt;="&amp;Settings!$B$4,Raw_Events!$C:$C,"&lt;="&amp;Settings!$B$5))</f>
        <v/>
      </c>
    </row>
    <row r="489" ht="15" customHeight="1">
      <c r="F489" s="3">
        <f>IF($A489="","",COUNTIFS(Raw_Events!$G:$G,"SOCIAL_MEET",Raw_Events!$J:$J,$A489,Raw_Events!$C:$C,"&gt;="&amp;Settings!$B$4,Raw_Events!$C:$C,"&lt;="&amp;Settings!$B$5))</f>
        <v/>
      </c>
      <c r="G489" s="3">
        <f>IF($A489="","",COUNTIFS(Raw_Events!$G:$G,"DATE",Raw_Events!$J:$J,$A489,Raw_Events!$C:$C,"&gt;="&amp;Settings!$B$4,Raw_Events!$C:$C,"&lt;="&amp;Settings!$B$5))</f>
        <v/>
      </c>
      <c r="H489" s="3">
        <f>IF($A489="","",COUNTIFS(Raw_Events!$G:$G,"SEX",Raw_Events!$J:$J,$A489,Raw_Events!$C:$C,"&gt;="&amp;Settings!$B$4,Raw_Events!$C:$C,"&lt;="&amp;Settings!$B$5))</f>
        <v/>
      </c>
      <c r="I489" s="3">
        <f>IF($A489="","",COUNTIFS(Raw_Events!$G:$G,"PRO_CONTACT_ADDED",Raw_Events!$J:$J,$A489,Raw_Events!$C:$C,"&gt;="&amp;Settings!$B$4,Raw_Events!$C:$C,"&lt;="&amp;Settings!$B$5))</f>
        <v/>
      </c>
    </row>
    <row r="490" ht="15" customHeight="1">
      <c r="F490" s="3">
        <f>IF($A490="","",COUNTIFS(Raw_Events!$G:$G,"SOCIAL_MEET",Raw_Events!$J:$J,$A490,Raw_Events!$C:$C,"&gt;="&amp;Settings!$B$4,Raw_Events!$C:$C,"&lt;="&amp;Settings!$B$5))</f>
        <v/>
      </c>
      <c r="G490" s="3">
        <f>IF($A490="","",COUNTIFS(Raw_Events!$G:$G,"DATE",Raw_Events!$J:$J,$A490,Raw_Events!$C:$C,"&gt;="&amp;Settings!$B$4,Raw_Events!$C:$C,"&lt;="&amp;Settings!$B$5))</f>
        <v/>
      </c>
      <c r="H490" s="3">
        <f>IF($A490="","",COUNTIFS(Raw_Events!$G:$G,"SEX",Raw_Events!$J:$J,$A490,Raw_Events!$C:$C,"&gt;="&amp;Settings!$B$4,Raw_Events!$C:$C,"&lt;="&amp;Settings!$B$5))</f>
        <v/>
      </c>
      <c r="I490" s="3">
        <f>IF($A490="","",COUNTIFS(Raw_Events!$G:$G,"PRO_CONTACT_ADDED",Raw_Events!$J:$J,$A490,Raw_Events!$C:$C,"&gt;="&amp;Settings!$B$4,Raw_Events!$C:$C,"&lt;="&amp;Settings!$B$5))</f>
        <v/>
      </c>
    </row>
    <row r="491" ht="15" customHeight="1">
      <c r="F491" s="3">
        <f>IF($A491="","",COUNTIFS(Raw_Events!$G:$G,"SOCIAL_MEET",Raw_Events!$J:$J,$A491,Raw_Events!$C:$C,"&gt;="&amp;Settings!$B$4,Raw_Events!$C:$C,"&lt;="&amp;Settings!$B$5))</f>
        <v/>
      </c>
      <c r="G491" s="3">
        <f>IF($A491="","",COUNTIFS(Raw_Events!$G:$G,"DATE",Raw_Events!$J:$J,$A491,Raw_Events!$C:$C,"&gt;="&amp;Settings!$B$4,Raw_Events!$C:$C,"&lt;="&amp;Settings!$B$5))</f>
        <v/>
      </c>
      <c r="H491" s="3">
        <f>IF($A491="","",COUNTIFS(Raw_Events!$G:$G,"SEX",Raw_Events!$J:$J,$A491,Raw_Events!$C:$C,"&gt;="&amp;Settings!$B$4,Raw_Events!$C:$C,"&lt;="&amp;Settings!$B$5))</f>
        <v/>
      </c>
      <c r="I491" s="3">
        <f>IF($A491="","",COUNTIFS(Raw_Events!$G:$G,"PRO_CONTACT_ADDED",Raw_Events!$J:$J,$A491,Raw_Events!$C:$C,"&gt;="&amp;Settings!$B$4,Raw_Events!$C:$C,"&lt;="&amp;Settings!$B$5))</f>
        <v/>
      </c>
    </row>
    <row r="492" ht="15" customHeight="1">
      <c r="F492" s="3">
        <f>IF($A492="","",COUNTIFS(Raw_Events!$G:$G,"SOCIAL_MEET",Raw_Events!$J:$J,$A492,Raw_Events!$C:$C,"&gt;="&amp;Settings!$B$4,Raw_Events!$C:$C,"&lt;="&amp;Settings!$B$5))</f>
        <v/>
      </c>
      <c r="G492" s="3">
        <f>IF($A492="","",COUNTIFS(Raw_Events!$G:$G,"DATE",Raw_Events!$J:$J,$A492,Raw_Events!$C:$C,"&gt;="&amp;Settings!$B$4,Raw_Events!$C:$C,"&lt;="&amp;Settings!$B$5))</f>
        <v/>
      </c>
      <c r="H492" s="3">
        <f>IF($A492="","",COUNTIFS(Raw_Events!$G:$G,"SEX",Raw_Events!$J:$J,$A492,Raw_Events!$C:$C,"&gt;="&amp;Settings!$B$4,Raw_Events!$C:$C,"&lt;="&amp;Settings!$B$5))</f>
        <v/>
      </c>
      <c r="I492" s="3">
        <f>IF($A492="","",COUNTIFS(Raw_Events!$G:$G,"PRO_CONTACT_ADDED",Raw_Events!$J:$J,$A492,Raw_Events!$C:$C,"&gt;="&amp;Settings!$B$4,Raw_Events!$C:$C,"&lt;="&amp;Settings!$B$5))</f>
        <v/>
      </c>
    </row>
    <row r="493" ht="15" customHeight="1">
      <c r="F493" s="3">
        <f>IF($A493="","",COUNTIFS(Raw_Events!$G:$G,"SOCIAL_MEET",Raw_Events!$J:$J,$A493,Raw_Events!$C:$C,"&gt;="&amp;Settings!$B$4,Raw_Events!$C:$C,"&lt;="&amp;Settings!$B$5))</f>
        <v/>
      </c>
      <c r="G493" s="3">
        <f>IF($A493="","",COUNTIFS(Raw_Events!$G:$G,"DATE",Raw_Events!$J:$J,$A493,Raw_Events!$C:$C,"&gt;="&amp;Settings!$B$4,Raw_Events!$C:$C,"&lt;="&amp;Settings!$B$5))</f>
        <v/>
      </c>
      <c r="H493" s="3">
        <f>IF($A493="","",COUNTIFS(Raw_Events!$G:$G,"SEX",Raw_Events!$J:$J,$A493,Raw_Events!$C:$C,"&gt;="&amp;Settings!$B$4,Raw_Events!$C:$C,"&lt;="&amp;Settings!$B$5))</f>
        <v/>
      </c>
      <c r="I493" s="3">
        <f>IF($A493="","",COUNTIFS(Raw_Events!$G:$G,"PRO_CONTACT_ADDED",Raw_Events!$J:$J,$A493,Raw_Events!$C:$C,"&gt;="&amp;Settings!$B$4,Raw_Events!$C:$C,"&lt;="&amp;Settings!$B$5))</f>
        <v/>
      </c>
    </row>
    <row r="494" ht="15" customHeight="1">
      <c r="F494" s="3">
        <f>IF($A494="","",COUNTIFS(Raw_Events!$G:$G,"SOCIAL_MEET",Raw_Events!$J:$J,$A494,Raw_Events!$C:$C,"&gt;="&amp;Settings!$B$4,Raw_Events!$C:$C,"&lt;="&amp;Settings!$B$5))</f>
        <v/>
      </c>
      <c r="G494" s="3">
        <f>IF($A494="","",COUNTIFS(Raw_Events!$G:$G,"DATE",Raw_Events!$J:$J,$A494,Raw_Events!$C:$C,"&gt;="&amp;Settings!$B$4,Raw_Events!$C:$C,"&lt;="&amp;Settings!$B$5))</f>
        <v/>
      </c>
      <c r="H494" s="3">
        <f>IF($A494="","",COUNTIFS(Raw_Events!$G:$G,"SEX",Raw_Events!$J:$J,$A494,Raw_Events!$C:$C,"&gt;="&amp;Settings!$B$4,Raw_Events!$C:$C,"&lt;="&amp;Settings!$B$5))</f>
        <v/>
      </c>
      <c r="I494" s="3">
        <f>IF($A494="","",COUNTIFS(Raw_Events!$G:$G,"PRO_CONTACT_ADDED",Raw_Events!$J:$J,$A494,Raw_Events!$C:$C,"&gt;="&amp;Settings!$B$4,Raw_Events!$C:$C,"&lt;="&amp;Settings!$B$5))</f>
        <v/>
      </c>
    </row>
    <row r="495" ht="15" customHeight="1">
      <c r="F495" s="3">
        <f>IF($A495="","",COUNTIFS(Raw_Events!$G:$G,"SOCIAL_MEET",Raw_Events!$J:$J,$A495,Raw_Events!$C:$C,"&gt;="&amp;Settings!$B$4,Raw_Events!$C:$C,"&lt;="&amp;Settings!$B$5))</f>
        <v/>
      </c>
      <c r="G495" s="3">
        <f>IF($A495="","",COUNTIFS(Raw_Events!$G:$G,"DATE",Raw_Events!$J:$J,$A495,Raw_Events!$C:$C,"&gt;="&amp;Settings!$B$4,Raw_Events!$C:$C,"&lt;="&amp;Settings!$B$5))</f>
        <v/>
      </c>
      <c r="H495" s="3">
        <f>IF($A495="","",COUNTIFS(Raw_Events!$G:$G,"SEX",Raw_Events!$J:$J,$A495,Raw_Events!$C:$C,"&gt;="&amp;Settings!$B$4,Raw_Events!$C:$C,"&lt;="&amp;Settings!$B$5))</f>
        <v/>
      </c>
      <c r="I495" s="3">
        <f>IF($A495="","",COUNTIFS(Raw_Events!$G:$G,"PRO_CONTACT_ADDED",Raw_Events!$J:$J,$A495,Raw_Events!$C:$C,"&gt;="&amp;Settings!$B$4,Raw_Events!$C:$C,"&lt;="&amp;Settings!$B$5))</f>
        <v/>
      </c>
    </row>
    <row r="496" ht="15" customHeight="1">
      <c r="F496" s="3">
        <f>IF($A496="","",COUNTIFS(Raw_Events!$G:$G,"SOCIAL_MEET",Raw_Events!$J:$J,$A496,Raw_Events!$C:$C,"&gt;="&amp;Settings!$B$4,Raw_Events!$C:$C,"&lt;="&amp;Settings!$B$5))</f>
        <v/>
      </c>
      <c r="G496" s="3">
        <f>IF($A496="","",COUNTIFS(Raw_Events!$G:$G,"DATE",Raw_Events!$J:$J,$A496,Raw_Events!$C:$C,"&gt;="&amp;Settings!$B$4,Raw_Events!$C:$C,"&lt;="&amp;Settings!$B$5))</f>
        <v/>
      </c>
      <c r="H496" s="3">
        <f>IF($A496="","",COUNTIFS(Raw_Events!$G:$G,"SEX",Raw_Events!$J:$J,$A496,Raw_Events!$C:$C,"&gt;="&amp;Settings!$B$4,Raw_Events!$C:$C,"&lt;="&amp;Settings!$B$5))</f>
        <v/>
      </c>
      <c r="I496" s="3">
        <f>IF($A496="","",COUNTIFS(Raw_Events!$G:$G,"PRO_CONTACT_ADDED",Raw_Events!$J:$J,$A496,Raw_Events!$C:$C,"&gt;="&amp;Settings!$B$4,Raw_Events!$C:$C,"&lt;="&amp;Settings!$B$5))</f>
        <v/>
      </c>
    </row>
    <row r="497" ht="15" customHeight="1">
      <c r="F497" s="3">
        <f>IF($A497="","",COUNTIFS(Raw_Events!$G:$G,"SOCIAL_MEET",Raw_Events!$J:$J,$A497,Raw_Events!$C:$C,"&gt;="&amp;Settings!$B$4,Raw_Events!$C:$C,"&lt;="&amp;Settings!$B$5))</f>
        <v/>
      </c>
      <c r="G497" s="3">
        <f>IF($A497="","",COUNTIFS(Raw_Events!$G:$G,"DATE",Raw_Events!$J:$J,$A497,Raw_Events!$C:$C,"&gt;="&amp;Settings!$B$4,Raw_Events!$C:$C,"&lt;="&amp;Settings!$B$5))</f>
        <v/>
      </c>
      <c r="H497" s="3">
        <f>IF($A497="","",COUNTIFS(Raw_Events!$G:$G,"SEX",Raw_Events!$J:$J,$A497,Raw_Events!$C:$C,"&gt;="&amp;Settings!$B$4,Raw_Events!$C:$C,"&lt;="&amp;Settings!$B$5))</f>
        <v/>
      </c>
      <c r="I497" s="3">
        <f>IF($A497="","",COUNTIFS(Raw_Events!$G:$G,"PRO_CONTACT_ADDED",Raw_Events!$J:$J,$A497,Raw_Events!$C:$C,"&gt;="&amp;Settings!$B$4,Raw_Events!$C:$C,"&lt;="&amp;Settings!$B$5))</f>
        <v/>
      </c>
    </row>
    <row r="498" ht="15" customHeight="1">
      <c r="F498" s="3">
        <f>IF($A498="","",COUNTIFS(Raw_Events!$G:$G,"SOCIAL_MEET",Raw_Events!$J:$J,$A498,Raw_Events!$C:$C,"&gt;="&amp;Settings!$B$4,Raw_Events!$C:$C,"&lt;="&amp;Settings!$B$5))</f>
        <v/>
      </c>
      <c r="G498" s="3">
        <f>IF($A498="","",COUNTIFS(Raw_Events!$G:$G,"DATE",Raw_Events!$J:$J,$A498,Raw_Events!$C:$C,"&gt;="&amp;Settings!$B$4,Raw_Events!$C:$C,"&lt;="&amp;Settings!$B$5))</f>
        <v/>
      </c>
      <c r="H498" s="3">
        <f>IF($A498="","",COUNTIFS(Raw_Events!$G:$G,"SEX",Raw_Events!$J:$J,$A498,Raw_Events!$C:$C,"&gt;="&amp;Settings!$B$4,Raw_Events!$C:$C,"&lt;="&amp;Settings!$B$5))</f>
        <v/>
      </c>
      <c r="I498" s="3">
        <f>IF($A498="","",COUNTIFS(Raw_Events!$G:$G,"PRO_CONTACT_ADDED",Raw_Events!$J:$J,$A498,Raw_Events!$C:$C,"&gt;="&amp;Settings!$B$4,Raw_Events!$C:$C,"&lt;="&amp;Settings!$B$5))</f>
        <v/>
      </c>
    </row>
    <row r="499" ht="15" customHeight="1">
      <c r="F499" s="3">
        <f>IF($A499="","",COUNTIFS(Raw_Events!$G:$G,"SOCIAL_MEET",Raw_Events!$J:$J,$A499,Raw_Events!$C:$C,"&gt;="&amp;Settings!$B$4,Raw_Events!$C:$C,"&lt;="&amp;Settings!$B$5))</f>
        <v/>
      </c>
      <c r="G499" s="3">
        <f>IF($A499="","",COUNTIFS(Raw_Events!$G:$G,"DATE",Raw_Events!$J:$J,$A499,Raw_Events!$C:$C,"&gt;="&amp;Settings!$B$4,Raw_Events!$C:$C,"&lt;="&amp;Settings!$B$5))</f>
        <v/>
      </c>
      <c r="H499" s="3">
        <f>IF($A499="","",COUNTIFS(Raw_Events!$G:$G,"SEX",Raw_Events!$J:$J,$A499,Raw_Events!$C:$C,"&gt;="&amp;Settings!$B$4,Raw_Events!$C:$C,"&lt;="&amp;Settings!$B$5))</f>
        <v/>
      </c>
      <c r="I499" s="3">
        <f>IF($A499="","",COUNTIFS(Raw_Events!$G:$G,"PRO_CONTACT_ADDED",Raw_Events!$J:$J,$A499,Raw_Events!$C:$C,"&gt;="&amp;Settings!$B$4,Raw_Events!$C:$C,"&lt;="&amp;Settings!$B$5))</f>
        <v/>
      </c>
    </row>
    <row r="500" ht="15" customHeight="1">
      <c r="F500">
        <f>IF($A500="","",COUNTIFS(Raw_Events!$G:$G,"SOCIAL_MEET",Raw_Events!$J:$J,$A500,Raw_Events!$C:$C,"&gt;="&amp;Settings!$B$4,Raw_Events!$C:$C,"&lt;="&amp;Settings!$B$5))</f>
        <v/>
      </c>
      <c r="G500">
        <f>IF($A500="","",COUNTIFS(Raw_Events!$G:$G,"DATE",Raw_Events!$J:$J,$A500,Raw_Events!$C:$C,"&gt;="&amp;Settings!$B$4,Raw_Events!$C:$C,"&lt;="&amp;Settings!$B$5))</f>
        <v/>
      </c>
      <c r="H500">
        <f>IF($A500="","",COUNTIFS(Raw_Events!$G:$G,"SEX",Raw_Events!$J:$J,$A500,Raw_Events!$C:$C,"&gt;="&amp;Settings!$B$4,Raw_Events!$C:$C,"&lt;="&amp;Settings!$B$5))</f>
        <v/>
      </c>
      <c r="I500">
        <f>IF($A500="","",COUNTIFS(Raw_Events!$G:$G,"PRO_CONTACT_ADDED",Raw_Events!$J:$J,$A500,Raw_Events!$C:$C,"&gt;="&amp;Settings!$B$4,Raw_Events!$C:$C,"&lt;="&amp;Settings!$B$5))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002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Raw event log (append-only). App writes here.</t>
        </is>
      </c>
    </row>
    <row r="2" ht="32" customHeight="1">
      <c r="A2" s="7" t="inlineStr">
        <is>
          <t>EventID</t>
        </is>
      </c>
      <c r="B2" s="7" t="inlineStr">
        <is>
          <t>OccurredAt</t>
        </is>
      </c>
      <c r="C2" s="7" t="inlineStr">
        <is>
          <t>Date</t>
        </is>
      </c>
      <c r="D2" s="7" t="inlineStr">
        <is>
          <t>WeekStart</t>
        </is>
      </c>
      <c r="E2" s="7" t="inlineStr">
        <is>
          <t>MonthStart</t>
        </is>
      </c>
      <c r="F2" s="7" t="inlineStr">
        <is>
          <t>Quarter</t>
        </is>
      </c>
      <c r="G2" s="7" t="inlineStr">
        <is>
          <t>MetricCode</t>
        </is>
      </c>
      <c r="H2" s="7" t="inlineStr">
        <is>
          <t>Value</t>
        </is>
      </c>
      <c r="I2" s="7" t="inlineStr">
        <is>
          <t>Unit</t>
        </is>
      </c>
      <c r="J2" s="7" t="inlineStr">
        <is>
          <t>PersonID</t>
        </is>
      </c>
      <c r="K2" s="7" t="inlineStr">
        <is>
          <t>DrinkTemplateID</t>
        </is>
      </c>
      <c r="L2" s="7" t="inlineStr">
        <is>
          <t>StdDrinks</t>
        </is>
      </c>
      <c r="M2" s="7" t="inlineStr">
        <is>
          <t>Notes</t>
        </is>
      </c>
      <c r="N2" s="7" t="inlineStr">
        <is>
          <t>Tags</t>
        </is>
      </c>
      <c r="O2" s="7" t="inlineStr">
        <is>
          <t>Starred</t>
        </is>
      </c>
      <c r="P2" s="7" t="inlineStr">
        <is>
          <t>Reviewed</t>
        </is>
      </c>
      <c r="Q2" s="7" t="inlineStr">
        <is>
          <t>Source</t>
        </is>
      </c>
      <c r="R2" s="7" t="inlineStr">
        <is>
          <t>LoggedAt</t>
        </is>
      </c>
    </row>
    <row r="3" ht="15" customHeight="1">
      <c r="C3">
        <f>IF($B3="","",INT($B3))</f>
        <v/>
      </c>
      <c r="D3">
        <f>IF($C3="","",$C3-WEEKDAY($C3,2)+1)</f>
        <v/>
      </c>
      <c r="E3">
        <f>IF($C3="","",DATE(YEAR($C3),MONTH($C3),1))</f>
        <v/>
      </c>
      <c r="F3">
        <f>IF($C3="","",YEAR($C3)&amp;"-Q"&amp;ROUNDUP(MONTH($C3)/3,0))</f>
        <v/>
      </c>
      <c r="L3">
        <f>IF($G3&lt;&gt;"ALCOHOL","",IF($K3="","",$H3*IFERROR(VLOOKUP($K3,Drink_Templates!$A:$G,7,FALSE),0)))</f>
        <v/>
      </c>
    </row>
    <row r="4" ht="15" customHeight="1">
      <c r="C4">
        <f>IF($B4="","",INT($B4))</f>
        <v/>
      </c>
      <c r="D4">
        <f>IF($C4="","",$C4-WEEKDAY($C4,2)+1)</f>
        <v/>
      </c>
      <c r="E4">
        <f>IF($C4="","",DATE(YEAR($C4),MONTH($C4),1))</f>
        <v/>
      </c>
      <c r="F4">
        <f>IF($C4="","",YEAR($C4)&amp;"-Q"&amp;ROUNDUP(MONTH($C4)/3,0))</f>
        <v/>
      </c>
      <c r="L4">
        <f>IF($G4&lt;&gt;"ALCOHOL","",IF($K4="","",$H4*IFERROR(VLOOKUP($K4,Drink_Templates!$A:$G,7,FALSE),0)))</f>
        <v/>
      </c>
    </row>
    <row r="5" ht="15" customHeight="1">
      <c r="C5">
        <f>IF($B5="","",INT($B5))</f>
        <v/>
      </c>
      <c r="D5">
        <f>IF($C5="","",$C5-WEEKDAY($C5,2)+1)</f>
        <v/>
      </c>
      <c r="E5">
        <f>IF($C5="","",DATE(YEAR($C5),MONTH($C5),1))</f>
        <v/>
      </c>
      <c r="F5">
        <f>IF($C5="","",YEAR($C5)&amp;"-Q"&amp;ROUNDUP(MONTH($C5)/3,0))</f>
        <v/>
      </c>
      <c r="L5">
        <f>IF($G5&lt;&gt;"ALCOHOL","",IF($K5="","",$H5*IFERROR(VLOOKUP($K5,Drink_Templates!$A:$G,7,FALSE),0)))</f>
        <v/>
      </c>
    </row>
    <row r="6" ht="15" customHeight="1">
      <c r="C6">
        <f>IF($B6="","",INT($B6))</f>
        <v/>
      </c>
      <c r="D6">
        <f>IF($C6="","",$C6-WEEKDAY($C6,2)+1)</f>
        <v/>
      </c>
      <c r="E6">
        <f>IF($C6="","",DATE(YEAR($C6),MONTH($C6),1))</f>
        <v/>
      </c>
      <c r="F6">
        <f>IF($C6="","",YEAR($C6)&amp;"-Q"&amp;ROUNDUP(MONTH($C6)/3,0))</f>
        <v/>
      </c>
      <c r="L6">
        <f>IF($G6&lt;&gt;"ALCOHOL","",IF($K6="","",$H6*IFERROR(VLOOKUP($K6,Drink_Templates!$A:$G,7,FALSE),0)))</f>
        <v/>
      </c>
    </row>
    <row r="7" ht="15" customHeight="1">
      <c r="C7">
        <f>IF($B7="","",INT($B7))</f>
        <v/>
      </c>
      <c r="D7">
        <f>IF($C7="","",$C7-WEEKDAY($C7,2)+1)</f>
        <v/>
      </c>
      <c r="E7">
        <f>IF($C7="","",DATE(YEAR($C7),MONTH($C7),1))</f>
        <v/>
      </c>
      <c r="F7">
        <f>IF($C7="","",YEAR($C7)&amp;"-Q"&amp;ROUNDUP(MONTH($C7)/3,0))</f>
        <v/>
      </c>
      <c r="L7">
        <f>IF($G7&lt;&gt;"ALCOHOL","",IF($K7="","",$H7*IFERROR(VLOOKUP($K7,Drink_Templates!$A:$G,7,FALSE),0)))</f>
        <v/>
      </c>
    </row>
    <row r="8" ht="15" customHeight="1">
      <c r="C8">
        <f>IF($B8="","",INT($B8))</f>
        <v/>
      </c>
      <c r="D8">
        <f>IF($C8="","",$C8-WEEKDAY($C8,2)+1)</f>
        <v/>
      </c>
      <c r="E8">
        <f>IF($C8="","",DATE(YEAR($C8),MONTH($C8),1))</f>
        <v/>
      </c>
      <c r="F8">
        <f>IF($C8="","",YEAR($C8)&amp;"-Q"&amp;ROUNDUP(MONTH($C8)/3,0))</f>
        <v/>
      </c>
      <c r="L8">
        <f>IF($G8&lt;&gt;"ALCOHOL","",IF($K8="","",$H8*IFERROR(VLOOKUP($K8,Drink_Templates!$A:$G,7,FALSE),0)))</f>
        <v/>
      </c>
    </row>
    <row r="9" ht="15" customHeight="1">
      <c r="C9">
        <f>IF($B9="","",INT($B9))</f>
        <v/>
      </c>
      <c r="D9">
        <f>IF($C9="","",$C9-WEEKDAY($C9,2)+1)</f>
        <v/>
      </c>
      <c r="E9">
        <f>IF($C9="","",DATE(YEAR($C9),MONTH($C9),1))</f>
        <v/>
      </c>
      <c r="F9">
        <f>IF($C9="","",YEAR($C9)&amp;"-Q"&amp;ROUNDUP(MONTH($C9)/3,0))</f>
        <v/>
      </c>
      <c r="L9">
        <f>IF($G9&lt;&gt;"ALCOHOL","",IF($K9="","",$H9*IFERROR(VLOOKUP($K9,Drink_Templates!$A:$G,7,FALSE),0)))</f>
        <v/>
      </c>
    </row>
    <row r="10" ht="15" customHeight="1">
      <c r="C10">
        <f>IF($B10="","",INT($B10))</f>
        <v/>
      </c>
      <c r="D10">
        <f>IF($C10="","",$C10-WEEKDAY($C10,2)+1)</f>
        <v/>
      </c>
      <c r="E10">
        <f>IF($C10="","",DATE(YEAR($C10),MONTH($C10),1))</f>
        <v/>
      </c>
      <c r="F10">
        <f>IF($C10="","",YEAR($C10)&amp;"-Q"&amp;ROUNDUP(MONTH($C10)/3,0))</f>
        <v/>
      </c>
      <c r="L10">
        <f>IF($G10&lt;&gt;"ALCOHOL","",IF($K10="","",$H10*IFERROR(VLOOKUP($K10,Drink_Templates!$A:$G,7,FALSE),0)))</f>
        <v/>
      </c>
    </row>
    <row r="11" ht="15" customHeight="1">
      <c r="C11">
        <f>IF($B11="","",INT($B11))</f>
        <v/>
      </c>
      <c r="D11">
        <f>IF($C11="","",$C11-WEEKDAY($C11,2)+1)</f>
        <v/>
      </c>
      <c r="E11">
        <f>IF($C11="","",DATE(YEAR($C11),MONTH($C11),1))</f>
        <v/>
      </c>
      <c r="F11">
        <f>IF($C11="","",YEAR($C11)&amp;"-Q"&amp;ROUNDUP(MONTH($C11)/3,0))</f>
        <v/>
      </c>
      <c r="L11">
        <f>IF($G11&lt;&gt;"ALCOHOL","",IF($K11="","",$H11*IFERROR(VLOOKUP($K11,Drink_Templates!$A:$G,7,FALSE),0)))</f>
        <v/>
      </c>
    </row>
    <row r="12" ht="15" customHeight="1">
      <c r="C12">
        <f>IF($B12="","",INT($B12))</f>
        <v/>
      </c>
      <c r="D12">
        <f>IF($C12="","",$C12-WEEKDAY($C12,2)+1)</f>
        <v/>
      </c>
      <c r="E12">
        <f>IF($C12="","",DATE(YEAR($C12),MONTH($C12),1))</f>
        <v/>
      </c>
      <c r="F12">
        <f>IF($C12="","",YEAR($C12)&amp;"-Q"&amp;ROUNDUP(MONTH($C12)/3,0))</f>
        <v/>
      </c>
      <c r="L12">
        <f>IF($G12&lt;&gt;"ALCOHOL","",IF($K12="","",$H12*IFERROR(VLOOKUP($K12,Drink_Templates!$A:$G,7,FALSE),0)))</f>
        <v/>
      </c>
    </row>
    <row r="13" ht="15" customHeight="1">
      <c r="C13">
        <f>IF($B13="","",INT($B13))</f>
        <v/>
      </c>
      <c r="D13">
        <f>IF($C13="","",$C13-WEEKDAY($C13,2)+1)</f>
        <v/>
      </c>
      <c r="E13">
        <f>IF($C13="","",DATE(YEAR($C13),MONTH($C13),1))</f>
        <v/>
      </c>
      <c r="F13">
        <f>IF($C13="","",YEAR($C13)&amp;"-Q"&amp;ROUNDUP(MONTH($C13)/3,0))</f>
        <v/>
      </c>
      <c r="L13">
        <f>IF($G13&lt;&gt;"ALCOHOL","",IF($K13="","",$H13*IFERROR(VLOOKUP($K13,Drink_Templates!$A:$G,7,FALSE),0)))</f>
        <v/>
      </c>
    </row>
    <row r="14" ht="15" customHeight="1">
      <c r="C14">
        <f>IF($B14="","",INT($B14))</f>
        <v/>
      </c>
      <c r="D14">
        <f>IF($C14="","",$C14-WEEKDAY($C14,2)+1)</f>
        <v/>
      </c>
      <c r="E14">
        <f>IF($C14="","",DATE(YEAR($C14),MONTH($C14),1))</f>
        <v/>
      </c>
      <c r="F14">
        <f>IF($C14="","",YEAR($C14)&amp;"-Q"&amp;ROUNDUP(MONTH($C14)/3,0))</f>
        <v/>
      </c>
      <c r="L14">
        <f>IF($G14&lt;&gt;"ALCOHOL","",IF($K14="","",$H14*IFERROR(VLOOKUP($K14,Drink_Templates!$A:$G,7,FALSE),0)))</f>
        <v/>
      </c>
    </row>
    <row r="15" ht="15" customHeight="1">
      <c r="C15">
        <f>IF($B15="","",INT($B15))</f>
        <v/>
      </c>
      <c r="D15">
        <f>IF($C15="","",$C15-WEEKDAY($C15,2)+1)</f>
        <v/>
      </c>
      <c r="E15">
        <f>IF($C15="","",DATE(YEAR($C15),MONTH($C15),1))</f>
        <v/>
      </c>
      <c r="F15">
        <f>IF($C15="","",YEAR($C15)&amp;"-Q"&amp;ROUNDUP(MONTH($C15)/3,0))</f>
        <v/>
      </c>
      <c r="L15">
        <f>IF($G15&lt;&gt;"ALCOHOL","",IF($K15="","",$H15*IFERROR(VLOOKUP($K15,Drink_Templates!$A:$G,7,FALSE),0)))</f>
        <v/>
      </c>
    </row>
    <row r="16" ht="15" customHeight="1">
      <c r="C16">
        <f>IF($B16="","",INT($B16))</f>
        <v/>
      </c>
      <c r="D16">
        <f>IF($C16="","",$C16-WEEKDAY($C16,2)+1)</f>
        <v/>
      </c>
      <c r="E16">
        <f>IF($C16="","",DATE(YEAR($C16),MONTH($C16),1))</f>
        <v/>
      </c>
      <c r="F16">
        <f>IF($C16="","",YEAR($C16)&amp;"-Q"&amp;ROUNDUP(MONTH($C16)/3,0))</f>
        <v/>
      </c>
      <c r="L16">
        <f>IF($G16&lt;&gt;"ALCOHOL","",IF($K16="","",$H16*IFERROR(VLOOKUP($K16,Drink_Templates!$A:$G,7,FALSE),0)))</f>
        <v/>
      </c>
    </row>
    <row r="17" ht="15" customHeight="1">
      <c r="C17">
        <f>IF($B17="","",INT($B17))</f>
        <v/>
      </c>
      <c r="D17">
        <f>IF($C17="","",$C17-WEEKDAY($C17,2)+1)</f>
        <v/>
      </c>
      <c r="E17">
        <f>IF($C17="","",DATE(YEAR($C17),MONTH($C17),1))</f>
        <v/>
      </c>
      <c r="F17">
        <f>IF($C17="","",YEAR($C17)&amp;"-Q"&amp;ROUNDUP(MONTH($C17)/3,0))</f>
        <v/>
      </c>
      <c r="L17">
        <f>IF($G17&lt;&gt;"ALCOHOL","",IF($K17="","",$H17*IFERROR(VLOOKUP($K17,Drink_Templates!$A:$G,7,FALSE),0)))</f>
        <v/>
      </c>
    </row>
    <row r="18" ht="15" customHeight="1">
      <c r="C18">
        <f>IF($B18="","",INT($B18))</f>
        <v/>
      </c>
      <c r="D18">
        <f>IF($C18="","",$C18-WEEKDAY($C18,2)+1)</f>
        <v/>
      </c>
      <c r="E18">
        <f>IF($C18="","",DATE(YEAR($C18),MONTH($C18),1))</f>
        <v/>
      </c>
      <c r="F18">
        <f>IF($C18="","",YEAR($C18)&amp;"-Q"&amp;ROUNDUP(MONTH($C18)/3,0))</f>
        <v/>
      </c>
      <c r="L18">
        <f>IF($G18&lt;&gt;"ALCOHOL","",IF($K18="","",$H18*IFERROR(VLOOKUP($K18,Drink_Templates!$A:$G,7,FALSE),0)))</f>
        <v/>
      </c>
    </row>
    <row r="19" ht="15" customHeight="1">
      <c r="C19">
        <f>IF($B19="","",INT($B19))</f>
        <v/>
      </c>
      <c r="D19">
        <f>IF($C19="","",$C19-WEEKDAY($C19,2)+1)</f>
        <v/>
      </c>
      <c r="E19">
        <f>IF($C19="","",DATE(YEAR($C19),MONTH($C19),1))</f>
        <v/>
      </c>
      <c r="F19">
        <f>IF($C19="","",YEAR($C19)&amp;"-Q"&amp;ROUNDUP(MONTH($C19)/3,0))</f>
        <v/>
      </c>
      <c r="L19">
        <f>IF($G19&lt;&gt;"ALCOHOL","",IF($K19="","",$H19*IFERROR(VLOOKUP($K19,Drink_Templates!$A:$G,7,FALSE),0)))</f>
        <v/>
      </c>
    </row>
    <row r="20" ht="15" customHeight="1">
      <c r="C20">
        <f>IF($B20="","",INT($B20))</f>
        <v/>
      </c>
      <c r="D20">
        <f>IF($C20="","",$C20-WEEKDAY($C20,2)+1)</f>
        <v/>
      </c>
      <c r="E20">
        <f>IF($C20="","",DATE(YEAR($C20),MONTH($C20),1))</f>
        <v/>
      </c>
      <c r="F20">
        <f>IF($C20="","",YEAR($C20)&amp;"-Q"&amp;ROUNDUP(MONTH($C20)/3,0))</f>
        <v/>
      </c>
      <c r="L20">
        <f>IF($G20&lt;&gt;"ALCOHOL","",IF($K20="","",$H20*IFERROR(VLOOKUP($K20,Drink_Templates!$A:$G,7,FALSE),0)))</f>
        <v/>
      </c>
    </row>
    <row r="21" ht="15" customHeight="1">
      <c r="C21">
        <f>IF($B21="","",INT($B21))</f>
        <v/>
      </c>
      <c r="D21">
        <f>IF($C21="","",$C21-WEEKDAY($C21,2)+1)</f>
        <v/>
      </c>
      <c r="E21">
        <f>IF($C21="","",DATE(YEAR($C21),MONTH($C21),1))</f>
        <v/>
      </c>
      <c r="F21">
        <f>IF($C21="","",YEAR($C21)&amp;"-Q"&amp;ROUNDUP(MONTH($C21)/3,0))</f>
        <v/>
      </c>
      <c r="L21">
        <f>IF($G21&lt;&gt;"ALCOHOL","",IF($K21="","",$H21*IFERROR(VLOOKUP($K21,Drink_Templates!$A:$G,7,FALSE),0)))</f>
        <v/>
      </c>
    </row>
    <row r="22" ht="15" customHeight="1">
      <c r="C22">
        <f>IF($B22="","",INT($B22))</f>
        <v/>
      </c>
      <c r="D22">
        <f>IF($C22="","",$C22-WEEKDAY($C22,2)+1)</f>
        <v/>
      </c>
      <c r="E22">
        <f>IF($C22="","",DATE(YEAR($C22),MONTH($C22),1))</f>
        <v/>
      </c>
      <c r="F22">
        <f>IF($C22="","",YEAR($C22)&amp;"-Q"&amp;ROUNDUP(MONTH($C22)/3,0))</f>
        <v/>
      </c>
      <c r="L22">
        <f>IF($G22&lt;&gt;"ALCOHOL","",IF($K22="","",$H22*IFERROR(VLOOKUP($K22,Drink_Templates!$A:$G,7,FALSE),0)))</f>
        <v/>
      </c>
    </row>
    <row r="23" ht="15" customHeight="1">
      <c r="C23">
        <f>IF($B23="","",INT($B23))</f>
        <v/>
      </c>
      <c r="D23">
        <f>IF($C23="","",$C23-WEEKDAY($C23,2)+1)</f>
        <v/>
      </c>
      <c r="E23">
        <f>IF($C23="","",DATE(YEAR($C23),MONTH($C23),1))</f>
        <v/>
      </c>
      <c r="F23">
        <f>IF($C23="","",YEAR($C23)&amp;"-Q"&amp;ROUNDUP(MONTH($C23)/3,0))</f>
        <v/>
      </c>
      <c r="L23">
        <f>IF($G23&lt;&gt;"ALCOHOL","",IF($K23="","",$H23*IFERROR(VLOOKUP($K23,Drink_Templates!$A:$G,7,FALSE),0)))</f>
        <v/>
      </c>
    </row>
    <row r="24" ht="15" customHeight="1">
      <c r="C24">
        <f>IF($B24="","",INT($B24))</f>
        <v/>
      </c>
      <c r="D24">
        <f>IF($C24="","",$C24-WEEKDAY($C24,2)+1)</f>
        <v/>
      </c>
      <c r="E24">
        <f>IF($C24="","",DATE(YEAR($C24),MONTH($C24),1))</f>
        <v/>
      </c>
      <c r="F24">
        <f>IF($C24="","",YEAR($C24)&amp;"-Q"&amp;ROUNDUP(MONTH($C24)/3,0))</f>
        <v/>
      </c>
      <c r="L24">
        <f>IF($G24&lt;&gt;"ALCOHOL","",IF($K24="","",$H24*IFERROR(VLOOKUP($K24,Drink_Templates!$A:$G,7,FALSE),0)))</f>
        <v/>
      </c>
    </row>
    <row r="25" ht="15" customHeight="1">
      <c r="C25">
        <f>IF($B25="","",INT($B25))</f>
        <v/>
      </c>
      <c r="D25">
        <f>IF($C25="","",$C25-WEEKDAY($C25,2)+1)</f>
        <v/>
      </c>
      <c r="E25">
        <f>IF($C25="","",DATE(YEAR($C25),MONTH($C25),1))</f>
        <v/>
      </c>
      <c r="F25">
        <f>IF($C25="","",YEAR($C25)&amp;"-Q"&amp;ROUNDUP(MONTH($C25)/3,0))</f>
        <v/>
      </c>
      <c r="L25">
        <f>IF($G25&lt;&gt;"ALCOHOL","",IF($K25="","",$H25*IFERROR(VLOOKUP($K25,Drink_Templates!$A:$G,7,FALSE),0)))</f>
        <v/>
      </c>
    </row>
    <row r="26" ht="15" customHeight="1">
      <c r="C26">
        <f>IF($B26="","",INT($B26))</f>
        <v/>
      </c>
      <c r="D26">
        <f>IF($C26="","",$C26-WEEKDAY($C26,2)+1)</f>
        <v/>
      </c>
      <c r="E26">
        <f>IF($C26="","",DATE(YEAR($C26),MONTH($C26),1))</f>
        <v/>
      </c>
      <c r="F26">
        <f>IF($C26="","",YEAR($C26)&amp;"-Q"&amp;ROUNDUP(MONTH($C26)/3,0))</f>
        <v/>
      </c>
      <c r="L26">
        <f>IF($G26&lt;&gt;"ALCOHOL","",IF($K26="","",$H26*IFERROR(VLOOKUP($K26,Drink_Templates!$A:$G,7,FALSE),0)))</f>
        <v/>
      </c>
    </row>
    <row r="27" ht="15" customHeight="1">
      <c r="C27">
        <f>IF($B27="","",INT($B27))</f>
        <v/>
      </c>
      <c r="D27">
        <f>IF($C27="","",$C27-WEEKDAY($C27,2)+1)</f>
        <v/>
      </c>
      <c r="E27">
        <f>IF($C27="","",DATE(YEAR($C27),MONTH($C27),1))</f>
        <v/>
      </c>
      <c r="F27">
        <f>IF($C27="","",YEAR($C27)&amp;"-Q"&amp;ROUNDUP(MONTH($C27)/3,0))</f>
        <v/>
      </c>
      <c r="L27">
        <f>IF($G27&lt;&gt;"ALCOHOL","",IF($K27="","",$H27*IFERROR(VLOOKUP($K27,Drink_Templates!$A:$G,7,FALSE),0)))</f>
        <v/>
      </c>
    </row>
    <row r="28" ht="15" customHeight="1">
      <c r="C28">
        <f>IF($B28="","",INT($B28))</f>
        <v/>
      </c>
      <c r="D28">
        <f>IF($C28="","",$C28-WEEKDAY($C28,2)+1)</f>
        <v/>
      </c>
      <c r="E28">
        <f>IF($C28="","",DATE(YEAR($C28),MONTH($C28),1))</f>
        <v/>
      </c>
      <c r="F28">
        <f>IF($C28="","",YEAR($C28)&amp;"-Q"&amp;ROUNDUP(MONTH($C28)/3,0))</f>
        <v/>
      </c>
      <c r="L28">
        <f>IF($G28&lt;&gt;"ALCOHOL","",IF($K28="","",$H28*IFERROR(VLOOKUP($K28,Drink_Templates!$A:$G,7,FALSE),0)))</f>
        <v/>
      </c>
    </row>
    <row r="29" ht="15" customHeight="1">
      <c r="C29">
        <f>IF($B29="","",INT($B29))</f>
        <v/>
      </c>
      <c r="D29">
        <f>IF($C29="","",$C29-WEEKDAY($C29,2)+1)</f>
        <v/>
      </c>
      <c r="E29">
        <f>IF($C29="","",DATE(YEAR($C29),MONTH($C29),1))</f>
        <v/>
      </c>
      <c r="F29">
        <f>IF($C29="","",YEAR($C29)&amp;"-Q"&amp;ROUNDUP(MONTH($C29)/3,0))</f>
        <v/>
      </c>
      <c r="L29">
        <f>IF($G29&lt;&gt;"ALCOHOL","",IF($K29="","",$H29*IFERROR(VLOOKUP($K29,Drink_Templates!$A:$G,7,FALSE),0)))</f>
        <v/>
      </c>
    </row>
    <row r="30" ht="15" customHeight="1">
      <c r="C30">
        <f>IF($B30="","",INT($B30))</f>
        <v/>
      </c>
      <c r="D30">
        <f>IF($C30="","",$C30-WEEKDAY($C30,2)+1)</f>
        <v/>
      </c>
      <c r="E30">
        <f>IF($C30="","",DATE(YEAR($C30),MONTH($C30),1))</f>
        <v/>
      </c>
      <c r="F30">
        <f>IF($C30="","",YEAR($C30)&amp;"-Q"&amp;ROUNDUP(MONTH($C30)/3,0))</f>
        <v/>
      </c>
      <c r="L30">
        <f>IF($G30&lt;&gt;"ALCOHOL","",IF($K30="","",$H30*IFERROR(VLOOKUP($K30,Drink_Templates!$A:$G,7,FALSE),0)))</f>
        <v/>
      </c>
    </row>
    <row r="31" ht="15" customHeight="1">
      <c r="C31">
        <f>IF($B31="","",INT($B31))</f>
        <v/>
      </c>
      <c r="D31">
        <f>IF($C31="","",$C31-WEEKDAY($C31,2)+1)</f>
        <v/>
      </c>
      <c r="E31">
        <f>IF($C31="","",DATE(YEAR($C31),MONTH($C31),1))</f>
        <v/>
      </c>
      <c r="F31">
        <f>IF($C31="","",YEAR($C31)&amp;"-Q"&amp;ROUNDUP(MONTH($C31)/3,0))</f>
        <v/>
      </c>
      <c r="L31">
        <f>IF($G31&lt;&gt;"ALCOHOL","",IF($K31="","",$H31*IFERROR(VLOOKUP($K31,Drink_Templates!$A:$G,7,FALSE),0)))</f>
        <v/>
      </c>
    </row>
    <row r="32" ht="15" customHeight="1">
      <c r="C32">
        <f>IF($B32="","",INT($B32))</f>
        <v/>
      </c>
      <c r="D32">
        <f>IF($C32="","",$C32-WEEKDAY($C32,2)+1)</f>
        <v/>
      </c>
      <c r="E32">
        <f>IF($C32="","",DATE(YEAR($C32),MONTH($C32),1))</f>
        <v/>
      </c>
      <c r="F32">
        <f>IF($C32="","",YEAR($C32)&amp;"-Q"&amp;ROUNDUP(MONTH($C32)/3,0))</f>
        <v/>
      </c>
      <c r="L32">
        <f>IF($G32&lt;&gt;"ALCOHOL","",IF($K32="","",$H32*IFERROR(VLOOKUP($K32,Drink_Templates!$A:$G,7,FALSE),0)))</f>
        <v/>
      </c>
    </row>
    <row r="33" ht="15" customHeight="1">
      <c r="C33">
        <f>IF($B33="","",INT($B33))</f>
        <v/>
      </c>
      <c r="D33">
        <f>IF($C33="","",$C33-WEEKDAY($C33,2)+1)</f>
        <v/>
      </c>
      <c r="E33">
        <f>IF($C33="","",DATE(YEAR($C33),MONTH($C33),1))</f>
        <v/>
      </c>
      <c r="F33">
        <f>IF($C33="","",YEAR($C33)&amp;"-Q"&amp;ROUNDUP(MONTH($C33)/3,0))</f>
        <v/>
      </c>
      <c r="L33">
        <f>IF($G33&lt;&gt;"ALCOHOL","",IF($K33="","",$H33*IFERROR(VLOOKUP($K33,Drink_Templates!$A:$G,7,FALSE),0)))</f>
        <v/>
      </c>
    </row>
    <row r="34" ht="15" customHeight="1">
      <c r="C34">
        <f>IF($B34="","",INT($B34))</f>
        <v/>
      </c>
      <c r="D34">
        <f>IF($C34="","",$C34-WEEKDAY($C34,2)+1)</f>
        <v/>
      </c>
      <c r="E34">
        <f>IF($C34="","",DATE(YEAR($C34),MONTH($C34),1))</f>
        <v/>
      </c>
      <c r="F34">
        <f>IF($C34="","",YEAR($C34)&amp;"-Q"&amp;ROUNDUP(MONTH($C34)/3,0))</f>
        <v/>
      </c>
      <c r="L34">
        <f>IF($G34&lt;&gt;"ALCOHOL","",IF($K34="","",$H34*IFERROR(VLOOKUP($K34,Drink_Templates!$A:$G,7,FALSE),0)))</f>
        <v/>
      </c>
    </row>
    <row r="35" ht="15" customHeight="1">
      <c r="C35">
        <f>IF($B35="","",INT($B35))</f>
        <v/>
      </c>
      <c r="D35">
        <f>IF($C35="","",$C35-WEEKDAY($C35,2)+1)</f>
        <v/>
      </c>
      <c r="E35">
        <f>IF($C35="","",DATE(YEAR($C35),MONTH($C35),1))</f>
        <v/>
      </c>
      <c r="F35">
        <f>IF($C35="","",YEAR($C35)&amp;"-Q"&amp;ROUNDUP(MONTH($C35)/3,0))</f>
        <v/>
      </c>
      <c r="L35">
        <f>IF($G35&lt;&gt;"ALCOHOL","",IF($K35="","",$H35*IFERROR(VLOOKUP($K35,Drink_Templates!$A:$G,7,FALSE),0)))</f>
        <v/>
      </c>
    </row>
    <row r="36" ht="15" customHeight="1">
      <c r="C36">
        <f>IF($B36="","",INT($B36))</f>
        <v/>
      </c>
      <c r="D36">
        <f>IF($C36="","",$C36-WEEKDAY($C36,2)+1)</f>
        <v/>
      </c>
      <c r="E36">
        <f>IF($C36="","",DATE(YEAR($C36),MONTH($C36),1))</f>
        <v/>
      </c>
      <c r="F36">
        <f>IF($C36="","",YEAR($C36)&amp;"-Q"&amp;ROUNDUP(MONTH($C36)/3,0))</f>
        <v/>
      </c>
      <c r="L36">
        <f>IF($G36&lt;&gt;"ALCOHOL","",IF($K36="","",$H36*IFERROR(VLOOKUP($K36,Drink_Templates!$A:$G,7,FALSE),0)))</f>
        <v/>
      </c>
    </row>
    <row r="37" ht="15" customHeight="1">
      <c r="C37">
        <f>IF($B37="","",INT($B37))</f>
        <v/>
      </c>
      <c r="D37">
        <f>IF($C37="","",$C37-WEEKDAY($C37,2)+1)</f>
        <v/>
      </c>
      <c r="E37">
        <f>IF($C37="","",DATE(YEAR($C37),MONTH($C37),1))</f>
        <v/>
      </c>
      <c r="F37">
        <f>IF($C37="","",YEAR($C37)&amp;"-Q"&amp;ROUNDUP(MONTH($C37)/3,0))</f>
        <v/>
      </c>
      <c r="L37">
        <f>IF($G37&lt;&gt;"ALCOHOL","",IF($K37="","",$H37*IFERROR(VLOOKUP($K37,Drink_Templates!$A:$G,7,FALSE),0)))</f>
        <v/>
      </c>
    </row>
    <row r="38" ht="15" customHeight="1">
      <c r="C38">
        <f>IF($B38="","",INT($B38))</f>
        <v/>
      </c>
      <c r="D38">
        <f>IF($C38="","",$C38-WEEKDAY($C38,2)+1)</f>
        <v/>
      </c>
      <c r="E38">
        <f>IF($C38="","",DATE(YEAR($C38),MONTH($C38),1))</f>
        <v/>
      </c>
      <c r="F38">
        <f>IF($C38="","",YEAR($C38)&amp;"-Q"&amp;ROUNDUP(MONTH($C38)/3,0))</f>
        <v/>
      </c>
      <c r="L38">
        <f>IF($G38&lt;&gt;"ALCOHOL","",IF($K38="","",$H38*IFERROR(VLOOKUP($K38,Drink_Templates!$A:$G,7,FALSE),0)))</f>
        <v/>
      </c>
    </row>
    <row r="39" ht="15" customHeight="1">
      <c r="C39">
        <f>IF($B39="","",INT($B39))</f>
        <v/>
      </c>
      <c r="D39">
        <f>IF($C39="","",$C39-WEEKDAY($C39,2)+1)</f>
        <v/>
      </c>
      <c r="E39">
        <f>IF($C39="","",DATE(YEAR($C39),MONTH($C39),1))</f>
        <v/>
      </c>
      <c r="F39">
        <f>IF($C39="","",YEAR($C39)&amp;"-Q"&amp;ROUNDUP(MONTH($C39)/3,0))</f>
        <v/>
      </c>
      <c r="L39">
        <f>IF($G39&lt;&gt;"ALCOHOL","",IF($K39="","",$H39*IFERROR(VLOOKUP($K39,Drink_Templates!$A:$G,7,FALSE),0)))</f>
        <v/>
      </c>
    </row>
    <row r="40" ht="15" customHeight="1">
      <c r="C40">
        <f>IF($B40="","",INT($B40))</f>
        <v/>
      </c>
      <c r="D40">
        <f>IF($C40="","",$C40-WEEKDAY($C40,2)+1)</f>
        <v/>
      </c>
      <c r="E40">
        <f>IF($C40="","",DATE(YEAR($C40),MONTH($C40),1))</f>
        <v/>
      </c>
      <c r="F40">
        <f>IF($C40="","",YEAR($C40)&amp;"-Q"&amp;ROUNDUP(MONTH($C40)/3,0))</f>
        <v/>
      </c>
      <c r="L40">
        <f>IF($G40&lt;&gt;"ALCOHOL","",IF($K40="","",$H40*IFERROR(VLOOKUP($K40,Drink_Templates!$A:$G,7,FALSE),0)))</f>
        <v/>
      </c>
    </row>
    <row r="41" ht="15" customHeight="1">
      <c r="C41">
        <f>IF($B41="","",INT($B41))</f>
        <v/>
      </c>
      <c r="D41">
        <f>IF($C41="","",$C41-WEEKDAY($C41,2)+1)</f>
        <v/>
      </c>
      <c r="E41">
        <f>IF($C41="","",DATE(YEAR($C41),MONTH($C41),1))</f>
        <v/>
      </c>
      <c r="F41">
        <f>IF($C41="","",YEAR($C41)&amp;"-Q"&amp;ROUNDUP(MONTH($C41)/3,0))</f>
        <v/>
      </c>
      <c r="L41">
        <f>IF($G41&lt;&gt;"ALCOHOL","",IF($K41="","",$H41*IFERROR(VLOOKUP($K41,Drink_Templates!$A:$G,7,FALSE),0)))</f>
        <v/>
      </c>
    </row>
    <row r="42" ht="15" customHeight="1">
      <c r="C42">
        <f>IF($B42="","",INT($B42))</f>
        <v/>
      </c>
      <c r="D42">
        <f>IF($C42="","",$C42-WEEKDAY($C42,2)+1)</f>
        <v/>
      </c>
      <c r="E42">
        <f>IF($C42="","",DATE(YEAR($C42),MONTH($C42),1))</f>
        <v/>
      </c>
      <c r="F42">
        <f>IF($C42="","",YEAR($C42)&amp;"-Q"&amp;ROUNDUP(MONTH($C42)/3,0))</f>
        <v/>
      </c>
      <c r="L42">
        <f>IF($G42&lt;&gt;"ALCOHOL","",IF($K42="","",$H42*IFERROR(VLOOKUP($K42,Drink_Templates!$A:$G,7,FALSE),0)))</f>
        <v/>
      </c>
    </row>
    <row r="43" ht="15" customHeight="1">
      <c r="C43">
        <f>IF($B43="","",INT($B43))</f>
        <v/>
      </c>
      <c r="D43">
        <f>IF($C43="","",$C43-WEEKDAY($C43,2)+1)</f>
        <v/>
      </c>
      <c r="E43">
        <f>IF($C43="","",DATE(YEAR($C43),MONTH($C43),1))</f>
        <v/>
      </c>
      <c r="F43">
        <f>IF($C43="","",YEAR($C43)&amp;"-Q"&amp;ROUNDUP(MONTH($C43)/3,0))</f>
        <v/>
      </c>
      <c r="L43">
        <f>IF($G43&lt;&gt;"ALCOHOL","",IF($K43="","",$H43*IFERROR(VLOOKUP($K43,Drink_Templates!$A:$G,7,FALSE),0)))</f>
        <v/>
      </c>
    </row>
    <row r="44" ht="15" customHeight="1">
      <c r="C44">
        <f>IF($B44="","",INT($B44))</f>
        <v/>
      </c>
      <c r="D44">
        <f>IF($C44="","",$C44-WEEKDAY($C44,2)+1)</f>
        <v/>
      </c>
      <c r="E44">
        <f>IF($C44="","",DATE(YEAR($C44),MONTH($C44),1))</f>
        <v/>
      </c>
      <c r="F44">
        <f>IF($C44="","",YEAR($C44)&amp;"-Q"&amp;ROUNDUP(MONTH($C44)/3,0))</f>
        <v/>
      </c>
      <c r="L44">
        <f>IF($G44&lt;&gt;"ALCOHOL","",IF($K44="","",$H44*IFERROR(VLOOKUP($K44,Drink_Templates!$A:$G,7,FALSE),0)))</f>
        <v/>
      </c>
    </row>
    <row r="45" ht="15" customHeight="1">
      <c r="C45">
        <f>IF($B45="","",INT($B45))</f>
        <v/>
      </c>
      <c r="D45">
        <f>IF($C45="","",$C45-WEEKDAY($C45,2)+1)</f>
        <v/>
      </c>
      <c r="E45">
        <f>IF($C45="","",DATE(YEAR($C45),MONTH($C45),1))</f>
        <v/>
      </c>
      <c r="F45">
        <f>IF($C45="","",YEAR($C45)&amp;"-Q"&amp;ROUNDUP(MONTH($C45)/3,0))</f>
        <v/>
      </c>
      <c r="L45">
        <f>IF($G45&lt;&gt;"ALCOHOL","",IF($K45="","",$H45*IFERROR(VLOOKUP($K45,Drink_Templates!$A:$G,7,FALSE),0)))</f>
        <v/>
      </c>
    </row>
    <row r="46" ht="15" customHeight="1">
      <c r="C46">
        <f>IF($B46="","",INT($B46))</f>
        <v/>
      </c>
      <c r="D46">
        <f>IF($C46="","",$C46-WEEKDAY($C46,2)+1)</f>
        <v/>
      </c>
      <c r="E46">
        <f>IF($C46="","",DATE(YEAR($C46),MONTH($C46),1))</f>
        <v/>
      </c>
      <c r="F46">
        <f>IF($C46="","",YEAR($C46)&amp;"-Q"&amp;ROUNDUP(MONTH($C46)/3,0))</f>
        <v/>
      </c>
      <c r="L46">
        <f>IF($G46&lt;&gt;"ALCOHOL","",IF($K46="","",$H46*IFERROR(VLOOKUP($K46,Drink_Templates!$A:$G,7,FALSE),0)))</f>
        <v/>
      </c>
    </row>
    <row r="47" ht="15" customHeight="1">
      <c r="C47">
        <f>IF($B47="","",INT($B47))</f>
        <v/>
      </c>
      <c r="D47">
        <f>IF($C47="","",$C47-WEEKDAY($C47,2)+1)</f>
        <v/>
      </c>
      <c r="E47">
        <f>IF($C47="","",DATE(YEAR($C47),MONTH($C47),1))</f>
        <v/>
      </c>
      <c r="F47">
        <f>IF($C47="","",YEAR($C47)&amp;"-Q"&amp;ROUNDUP(MONTH($C47)/3,0))</f>
        <v/>
      </c>
      <c r="L47">
        <f>IF($G47&lt;&gt;"ALCOHOL","",IF($K47="","",$H47*IFERROR(VLOOKUP($K47,Drink_Templates!$A:$G,7,FALSE),0)))</f>
        <v/>
      </c>
    </row>
    <row r="48" ht="15" customHeight="1">
      <c r="C48">
        <f>IF($B48="","",INT($B48))</f>
        <v/>
      </c>
      <c r="D48">
        <f>IF($C48="","",$C48-WEEKDAY($C48,2)+1)</f>
        <v/>
      </c>
      <c r="E48">
        <f>IF($C48="","",DATE(YEAR($C48),MONTH($C48),1))</f>
        <v/>
      </c>
      <c r="F48">
        <f>IF($C48="","",YEAR($C48)&amp;"-Q"&amp;ROUNDUP(MONTH($C48)/3,0))</f>
        <v/>
      </c>
      <c r="L48">
        <f>IF($G48&lt;&gt;"ALCOHOL","",IF($K48="","",$H48*IFERROR(VLOOKUP($K48,Drink_Templates!$A:$G,7,FALSE),0)))</f>
        <v/>
      </c>
    </row>
    <row r="49" ht="15" customHeight="1">
      <c r="C49">
        <f>IF($B49="","",INT($B49))</f>
        <v/>
      </c>
      <c r="D49">
        <f>IF($C49="","",$C49-WEEKDAY($C49,2)+1)</f>
        <v/>
      </c>
      <c r="E49">
        <f>IF($C49="","",DATE(YEAR($C49),MONTH($C49),1))</f>
        <v/>
      </c>
      <c r="F49">
        <f>IF($C49="","",YEAR($C49)&amp;"-Q"&amp;ROUNDUP(MONTH($C49)/3,0))</f>
        <v/>
      </c>
      <c r="L49">
        <f>IF($G49&lt;&gt;"ALCOHOL","",IF($K49="","",$H49*IFERROR(VLOOKUP($K49,Drink_Templates!$A:$G,7,FALSE),0)))</f>
        <v/>
      </c>
    </row>
    <row r="50" ht="15" customHeight="1">
      <c r="C50">
        <f>IF($B50="","",INT($B50))</f>
        <v/>
      </c>
      <c r="D50">
        <f>IF($C50="","",$C50-WEEKDAY($C50,2)+1)</f>
        <v/>
      </c>
      <c r="E50">
        <f>IF($C50="","",DATE(YEAR($C50),MONTH($C50),1))</f>
        <v/>
      </c>
      <c r="F50">
        <f>IF($C50="","",YEAR($C50)&amp;"-Q"&amp;ROUNDUP(MONTH($C50)/3,0))</f>
        <v/>
      </c>
      <c r="L50">
        <f>IF($G50&lt;&gt;"ALCOHOL","",IF($K50="","",$H50*IFERROR(VLOOKUP($K50,Drink_Templates!$A:$G,7,FALSE),0)))</f>
        <v/>
      </c>
    </row>
    <row r="51" ht="15" customHeight="1">
      <c r="C51">
        <f>IF($B51="","",INT($B51))</f>
        <v/>
      </c>
      <c r="D51">
        <f>IF($C51="","",$C51-WEEKDAY($C51,2)+1)</f>
        <v/>
      </c>
      <c r="E51">
        <f>IF($C51="","",DATE(YEAR($C51),MONTH($C51),1))</f>
        <v/>
      </c>
      <c r="F51">
        <f>IF($C51="","",YEAR($C51)&amp;"-Q"&amp;ROUNDUP(MONTH($C51)/3,0))</f>
        <v/>
      </c>
      <c r="L51">
        <f>IF($G51&lt;&gt;"ALCOHOL","",IF($K51="","",$H51*IFERROR(VLOOKUP($K51,Drink_Templates!$A:$G,7,FALSE),0)))</f>
        <v/>
      </c>
    </row>
    <row r="52" ht="15" customHeight="1">
      <c r="C52">
        <f>IF($B52="","",INT($B52))</f>
        <v/>
      </c>
      <c r="D52">
        <f>IF($C52="","",$C52-WEEKDAY($C52,2)+1)</f>
        <v/>
      </c>
      <c r="E52">
        <f>IF($C52="","",DATE(YEAR($C52),MONTH($C52),1))</f>
        <v/>
      </c>
      <c r="F52">
        <f>IF($C52="","",YEAR($C52)&amp;"-Q"&amp;ROUNDUP(MONTH($C52)/3,0))</f>
        <v/>
      </c>
      <c r="L52">
        <f>IF($G52&lt;&gt;"ALCOHOL","",IF($K52="","",$H52*IFERROR(VLOOKUP($K52,Drink_Templates!$A:$G,7,FALSE),0)))</f>
        <v/>
      </c>
    </row>
    <row r="53" ht="15" customHeight="1">
      <c r="C53">
        <f>IF($B53="","",INT($B53))</f>
        <v/>
      </c>
      <c r="D53">
        <f>IF($C53="","",$C53-WEEKDAY($C53,2)+1)</f>
        <v/>
      </c>
      <c r="E53">
        <f>IF($C53="","",DATE(YEAR($C53),MONTH($C53),1))</f>
        <v/>
      </c>
      <c r="F53">
        <f>IF($C53="","",YEAR($C53)&amp;"-Q"&amp;ROUNDUP(MONTH($C53)/3,0))</f>
        <v/>
      </c>
      <c r="L53">
        <f>IF($G53&lt;&gt;"ALCOHOL","",IF($K53="","",$H53*IFERROR(VLOOKUP($K53,Drink_Templates!$A:$G,7,FALSE),0)))</f>
        <v/>
      </c>
    </row>
    <row r="54" ht="15" customHeight="1">
      <c r="C54">
        <f>IF($B54="","",INT($B54))</f>
        <v/>
      </c>
      <c r="D54">
        <f>IF($C54="","",$C54-WEEKDAY($C54,2)+1)</f>
        <v/>
      </c>
      <c r="E54">
        <f>IF($C54="","",DATE(YEAR($C54),MONTH($C54),1))</f>
        <v/>
      </c>
      <c r="F54">
        <f>IF($C54="","",YEAR($C54)&amp;"-Q"&amp;ROUNDUP(MONTH($C54)/3,0))</f>
        <v/>
      </c>
      <c r="L54">
        <f>IF($G54&lt;&gt;"ALCOHOL","",IF($K54="","",$H54*IFERROR(VLOOKUP($K54,Drink_Templates!$A:$G,7,FALSE),0)))</f>
        <v/>
      </c>
    </row>
    <row r="55" ht="15" customHeight="1">
      <c r="C55">
        <f>IF($B55="","",INT($B55))</f>
        <v/>
      </c>
      <c r="D55">
        <f>IF($C55="","",$C55-WEEKDAY($C55,2)+1)</f>
        <v/>
      </c>
      <c r="E55">
        <f>IF($C55="","",DATE(YEAR($C55),MONTH($C55),1))</f>
        <v/>
      </c>
      <c r="F55">
        <f>IF($C55="","",YEAR($C55)&amp;"-Q"&amp;ROUNDUP(MONTH($C55)/3,0))</f>
        <v/>
      </c>
      <c r="L55">
        <f>IF($G55&lt;&gt;"ALCOHOL","",IF($K55="","",$H55*IFERROR(VLOOKUP($K55,Drink_Templates!$A:$G,7,FALSE),0)))</f>
        <v/>
      </c>
    </row>
    <row r="56" ht="15" customHeight="1">
      <c r="C56">
        <f>IF($B56="","",INT($B56))</f>
        <v/>
      </c>
      <c r="D56">
        <f>IF($C56="","",$C56-WEEKDAY($C56,2)+1)</f>
        <v/>
      </c>
      <c r="E56">
        <f>IF($C56="","",DATE(YEAR($C56),MONTH($C56),1))</f>
        <v/>
      </c>
      <c r="F56">
        <f>IF($C56="","",YEAR($C56)&amp;"-Q"&amp;ROUNDUP(MONTH($C56)/3,0))</f>
        <v/>
      </c>
      <c r="L56">
        <f>IF($G56&lt;&gt;"ALCOHOL","",IF($K56="","",$H56*IFERROR(VLOOKUP($K56,Drink_Templates!$A:$G,7,FALSE),0)))</f>
        <v/>
      </c>
    </row>
    <row r="57" ht="15" customHeight="1">
      <c r="C57">
        <f>IF($B57="","",INT($B57))</f>
        <v/>
      </c>
      <c r="D57">
        <f>IF($C57="","",$C57-WEEKDAY($C57,2)+1)</f>
        <v/>
      </c>
      <c r="E57">
        <f>IF($C57="","",DATE(YEAR($C57),MONTH($C57),1))</f>
        <v/>
      </c>
      <c r="F57">
        <f>IF($C57="","",YEAR($C57)&amp;"-Q"&amp;ROUNDUP(MONTH($C57)/3,0))</f>
        <v/>
      </c>
      <c r="L57">
        <f>IF($G57&lt;&gt;"ALCOHOL","",IF($K57="","",$H57*IFERROR(VLOOKUP($K57,Drink_Templates!$A:$G,7,FALSE),0)))</f>
        <v/>
      </c>
    </row>
    <row r="58" ht="15" customHeight="1">
      <c r="C58">
        <f>IF($B58="","",INT($B58))</f>
        <v/>
      </c>
      <c r="D58">
        <f>IF($C58="","",$C58-WEEKDAY($C58,2)+1)</f>
        <v/>
      </c>
      <c r="E58">
        <f>IF($C58="","",DATE(YEAR($C58),MONTH($C58),1))</f>
        <v/>
      </c>
      <c r="F58">
        <f>IF($C58="","",YEAR($C58)&amp;"-Q"&amp;ROUNDUP(MONTH($C58)/3,0))</f>
        <v/>
      </c>
      <c r="L58">
        <f>IF($G58&lt;&gt;"ALCOHOL","",IF($K58="","",$H58*IFERROR(VLOOKUP($K58,Drink_Templates!$A:$G,7,FALSE),0)))</f>
        <v/>
      </c>
    </row>
    <row r="59" ht="15" customHeight="1">
      <c r="C59">
        <f>IF($B59="","",INT($B59))</f>
        <v/>
      </c>
      <c r="D59">
        <f>IF($C59="","",$C59-WEEKDAY($C59,2)+1)</f>
        <v/>
      </c>
      <c r="E59">
        <f>IF($C59="","",DATE(YEAR($C59),MONTH($C59),1))</f>
        <v/>
      </c>
      <c r="F59">
        <f>IF($C59="","",YEAR($C59)&amp;"-Q"&amp;ROUNDUP(MONTH($C59)/3,0))</f>
        <v/>
      </c>
      <c r="L59">
        <f>IF($G59&lt;&gt;"ALCOHOL","",IF($K59="","",$H59*IFERROR(VLOOKUP($K59,Drink_Templates!$A:$G,7,FALSE),0)))</f>
        <v/>
      </c>
    </row>
    <row r="60" ht="15" customHeight="1">
      <c r="C60">
        <f>IF($B60="","",INT($B60))</f>
        <v/>
      </c>
      <c r="D60">
        <f>IF($C60="","",$C60-WEEKDAY($C60,2)+1)</f>
        <v/>
      </c>
      <c r="E60">
        <f>IF($C60="","",DATE(YEAR($C60),MONTH($C60),1))</f>
        <v/>
      </c>
      <c r="F60">
        <f>IF($C60="","",YEAR($C60)&amp;"-Q"&amp;ROUNDUP(MONTH($C60)/3,0))</f>
        <v/>
      </c>
      <c r="L60">
        <f>IF($G60&lt;&gt;"ALCOHOL","",IF($K60="","",$H60*IFERROR(VLOOKUP($K60,Drink_Templates!$A:$G,7,FALSE),0)))</f>
        <v/>
      </c>
    </row>
    <row r="61" ht="15" customHeight="1">
      <c r="C61">
        <f>IF($B61="","",INT($B61))</f>
        <v/>
      </c>
      <c r="D61">
        <f>IF($C61="","",$C61-WEEKDAY($C61,2)+1)</f>
        <v/>
      </c>
      <c r="E61">
        <f>IF($C61="","",DATE(YEAR($C61),MONTH($C61),1))</f>
        <v/>
      </c>
      <c r="F61">
        <f>IF($C61="","",YEAR($C61)&amp;"-Q"&amp;ROUNDUP(MONTH($C61)/3,0))</f>
        <v/>
      </c>
      <c r="L61">
        <f>IF($G61&lt;&gt;"ALCOHOL","",IF($K61="","",$H61*IFERROR(VLOOKUP($K61,Drink_Templates!$A:$G,7,FALSE),0)))</f>
        <v/>
      </c>
    </row>
    <row r="62" ht="15" customHeight="1">
      <c r="C62">
        <f>IF($B62="","",INT($B62))</f>
        <v/>
      </c>
      <c r="D62">
        <f>IF($C62="","",$C62-WEEKDAY($C62,2)+1)</f>
        <v/>
      </c>
      <c r="E62">
        <f>IF($C62="","",DATE(YEAR($C62),MONTH($C62),1))</f>
        <v/>
      </c>
      <c r="F62">
        <f>IF($C62="","",YEAR($C62)&amp;"-Q"&amp;ROUNDUP(MONTH($C62)/3,0))</f>
        <v/>
      </c>
      <c r="L62">
        <f>IF($G62&lt;&gt;"ALCOHOL","",IF($K62="","",$H62*IFERROR(VLOOKUP($K62,Drink_Templates!$A:$G,7,FALSE),0)))</f>
        <v/>
      </c>
    </row>
    <row r="63" ht="15" customHeight="1">
      <c r="C63">
        <f>IF($B63="","",INT($B63))</f>
        <v/>
      </c>
      <c r="D63">
        <f>IF($C63="","",$C63-WEEKDAY($C63,2)+1)</f>
        <v/>
      </c>
      <c r="E63">
        <f>IF($C63="","",DATE(YEAR($C63),MONTH($C63),1))</f>
        <v/>
      </c>
      <c r="F63">
        <f>IF($C63="","",YEAR($C63)&amp;"-Q"&amp;ROUNDUP(MONTH($C63)/3,0))</f>
        <v/>
      </c>
      <c r="L63">
        <f>IF($G63&lt;&gt;"ALCOHOL","",IF($K63="","",$H63*IFERROR(VLOOKUP($K63,Drink_Templates!$A:$G,7,FALSE),0)))</f>
        <v/>
      </c>
    </row>
    <row r="64" ht="15" customHeight="1">
      <c r="C64">
        <f>IF($B64="","",INT($B64))</f>
        <v/>
      </c>
      <c r="D64">
        <f>IF($C64="","",$C64-WEEKDAY($C64,2)+1)</f>
        <v/>
      </c>
      <c r="E64">
        <f>IF($C64="","",DATE(YEAR($C64),MONTH($C64),1))</f>
        <v/>
      </c>
      <c r="F64">
        <f>IF($C64="","",YEAR($C64)&amp;"-Q"&amp;ROUNDUP(MONTH($C64)/3,0))</f>
        <v/>
      </c>
      <c r="L64">
        <f>IF($G64&lt;&gt;"ALCOHOL","",IF($K64="","",$H64*IFERROR(VLOOKUP($K64,Drink_Templates!$A:$G,7,FALSE),0)))</f>
        <v/>
      </c>
    </row>
    <row r="65" ht="15" customHeight="1">
      <c r="C65">
        <f>IF($B65="","",INT($B65))</f>
        <v/>
      </c>
      <c r="D65">
        <f>IF($C65="","",$C65-WEEKDAY($C65,2)+1)</f>
        <v/>
      </c>
      <c r="E65">
        <f>IF($C65="","",DATE(YEAR($C65),MONTH($C65),1))</f>
        <v/>
      </c>
      <c r="F65">
        <f>IF($C65="","",YEAR($C65)&amp;"-Q"&amp;ROUNDUP(MONTH($C65)/3,0))</f>
        <v/>
      </c>
      <c r="L65">
        <f>IF($G65&lt;&gt;"ALCOHOL","",IF($K65="","",$H65*IFERROR(VLOOKUP($K65,Drink_Templates!$A:$G,7,FALSE),0)))</f>
        <v/>
      </c>
    </row>
    <row r="66" ht="15" customHeight="1">
      <c r="C66">
        <f>IF($B66="","",INT($B66))</f>
        <v/>
      </c>
      <c r="D66">
        <f>IF($C66="","",$C66-WEEKDAY($C66,2)+1)</f>
        <v/>
      </c>
      <c r="E66">
        <f>IF($C66="","",DATE(YEAR($C66),MONTH($C66),1))</f>
        <v/>
      </c>
      <c r="F66">
        <f>IF($C66="","",YEAR($C66)&amp;"-Q"&amp;ROUNDUP(MONTH($C66)/3,0))</f>
        <v/>
      </c>
      <c r="L66">
        <f>IF($G66&lt;&gt;"ALCOHOL","",IF($K66="","",$H66*IFERROR(VLOOKUP($K66,Drink_Templates!$A:$G,7,FALSE),0)))</f>
        <v/>
      </c>
    </row>
    <row r="67" ht="15" customHeight="1">
      <c r="C67">
        <f>IF($B67="","",INT($B67))</f>
        <v/>
      </c>
      <c r="D67">
        <f>IF($C67="","",$C67-WEEKDAY($C67,2)+1)</f>
        <v/>
      </c>
      <c r="E67">
        <f>IF($C67="","",DATE(YEAR($C67),MONTH($C67),1))</f>
        <v/>
      </c>
      <c r="F67">
        <f>IF($C67="","",YEAR($C67)&amp;"-Q"&amp;ROUNDUP(MONTH($C67)/3,0))</f>
        <v/>
      </c>
      <c r="L67">
        <f>IF($G67&lt;&gt;"ALCOHOL","",IF($K67="","",$H67*IFERROR(VLOOKUP($K67,Drink_Templates!$A:$G,7,FALSE),0)))</f>
        <v/>
      </c>
    </row>
    <row r="68" ht="15" customHeight="1">
      <c r="C68">
        <f>IF($B68="","",INT($B68))</f>
        <v/>
      </c>
      <c r="D68">
        <f>IF($C68="","",$C68-WEEKDAY($C68,2)+1)</f>
        <v/>
      </c>
      <c r="E68">
        <f>IF($C68="","",DATE(YEAR($C68),MONTH($C68),1))</f>
        <v/>
      </c>
      <c r="F68">
        <f>IF($C68="","",YEAR($C68)&amp;"-Q"&amp;ROUNDUP(MONTH($C68)/3,0))</f>
        <v/>
      </c>
      <c r="L68">
        <f>IF($G68&lt;&gt;"ALCOHOL","",IF($K68="","",$H68*IFERROR(VLOOKUP($K68,Drink_Templates!$A:$G,7,FALSE),0)))</f>
        <v/>
      </c>
    </row>
    <row r="69" ht="15" customHeight="1">
      <c r="C69">
        <f>IF($B69="","",INT($B69))</f>
        <v/>
      </c>
      <c r="D69">
        <f>IF($C69="","",$C69-WEEKDAY($C69,2)+1)</f>
        <v/>
      </c>
      <c r="E69">
        <f>IF($C69="","",DATE(YEAR($C69),MONTH($C69),1))</f>
        <v/>
      </c>
      <c r="F69">
        <f>IF($C69="","",YEAR($C69)&amp;"-Q"&amp;ROUNDUP(MONTH($C69)/3,0))</f>
        <v/>
      </c>
      <c r="L69">
        <f>IF($G69&lt;&gt;"ALCOHOL","",IF($K69="","",$H69*IFERROR(VLOOKUP($K69,Drink_Templates!$A:$G,7,FALSE),0)))</f>
        <v/>
      </c>
    </row>
    <row r="70" ht="15" customHeight="1">
      <c r="C70">
        <f>IF($B70="","",INT($B70))</f>
        <v/>
      </c>
      <c r="D70">
        <f>IF($C70="","",$C70-WEEKDAY($C70,2)+1)</f>
        <v/>
      </c>
      <c r="E70">
        <f>IF($C70="","",DATE(YEAR($C70),MONTH($C70),1))</f>
        <v/>
      </c>
      <c r="F70">
        <f>IF($C70="","",YEAR($C70)&amp;"-Q"&amp;ROUNDUP(MONTH($C70)/3,0))</f>
        <v/>
      </c>
      <c r="L70">
        <f>IF($G70&lt;&gt;"ALCOHOL","",IF($K70="","",$H70*IFERROR(VLOOKUP($K70,Drink_Templates!$A:$G,7,FALSE),0)))</f>
        <v/>
      </c>
    </row>
    <row r="71" ht="15" customHeight="1">
      <c r="C71">
        <f>IF($B71="","",INT($B71))</f>
        <v/>
      </c>
      <c r="D71">
        <f>IF($C71="","",$C71-WEEKDAY($C71,2)+1)</f>
        <v/>
      </c>
      <c r="E71">
        <f>IF($C71="","",DATE(YEAR($C71),MONTH($C71),1))</f>
        <v/>
      </c>
      <c r="F71">
        <f>IF($C71="","",YEAR($C71)&amp;"-Q"&amp;ROUNDUP(MONTH($C71)/3,0))</f>
        <v/>
      </c>
      <c r="L71">
        <f>IF($G71&lt;&gt;"ALCOHOL","",IF($K71="","",$H71*IFERROR(VLOOKUP($K71,Drink_Templates!$A:$G,7,FALSE),0)))</f>
        <v/>
      </c>
    </row>
    <row r="72" ht="15" customHeight="1">
      <c r="C72">
        <f>IF($B72="","",INT($B72))</f>
        <v/>
      </c>
      <c r="D72">
        <f>IF($C72="","",$C72-WEEKDAY($C72,2)+1)</f>
        <v/>
      </c>
      <c r="E72">
        <f>IF($C72="","",DATE(YEAR($C72),MONTH($C72),1))</f>
        <v/>
      </c>
      <c r="F72">
        <f>IF($C72="","",YEAR($C72)&amp;"-Q"&amp;ROUNDUP(MONTH($C72)/3,0))</f>
        <v/>
      </c>
      <c r="L72">
        <f>IF($G72&lt;&gt;"ALCOHOL","",IF($K72="","",$H72*IFERROR(VLOOKUP($K72,Drink_Templates!$A:$G,7,FALSE),0)))</f>
        <v/>
      </c>
    </row>
    <row r="73" ht="15" customHeight="1">
      <c r="C73">
        <f>IF($B73="","",INT($B73))</f>
        <v/>
      </c>
      <c r="D73">
        <f>IF($C73="","",$C73-WEEKDAY($C73,2)+1)</f>
        <v/>
      </c>
      <c r="E73">
        <f>IF($C73="","",DATE(YEAR($C73),MONTH($C73),1))</f>
        <v/>
      </c>
      <c r="F73">
        <f>IF($C73="","",YEAR($C73)&amp;"-Q"&amp;ROUNDUP(MONTH($C73)/3,0))</f>
        <v/>
      </c>
      <c r="L73">
        <f>IF($G73&lt;&gt;"ALCOHOL","",IF($K73="","",$H73*IFERROR(VLOOKUP($K73,Drink_Templates!$A:$G,7,FALSE),0)))</f>
        <v/>
      </c>
    </row>
    <row r="74" ht="15" customHeight="1">
      <c r="C74">
        <f>IF($B74="","",INT($B74))</f>
        <v/>
      </c>
      <c r="D74">
        <f>IF($C74="","",$C74-WEEKDAY($C74,2)+1)</f>
        <v/>
      </c>
      <c r="E74">
        <f>IF($C74="","",DATE(YEAR($C74),MONTH($C74),1))</f>
        <v/>
      </c>
      <c r="F74">
        <f>IF($C74="","",YEAR($C74)&amp;"-Q"&amp;ROUNDUP(MONTH($C74)/3,0))</f>
        <v/>
      </c>
      <c r="L74">
        <f>IF($G74&lt;&gt;"ALCOHOL","",IF($K74="","",$H74*IFERROR(VLOOKUP($K74,Drink_Templates!$A:$G,7,FALSE),0)))</f>
        <v/>
      </c>
    </row>
    <row r="75" ht="15" customHeight="1">
      <c r="C75">
        <f>IF($B75="","",INT($B75))</f>
        <v/>
      </c>
      <c r="D75">
        <f>IF($C75="","",$C75-WEEKDAY($C75,2)+1)</f>
        <v/>
      </c>
      <c r="E75">
        <f>IF($C75="","",DATE(YEAR($C75),MONTH($C75),1))</f>
        <v/>
      </c>
      <c r="F75">
        <f>IF($C75="","",YEAR($C75)&amp;"-Q"&amp;ROUNDUP(MONTH($C75)/3,0))</f>
        <v/>
      </c>
      <c r="L75">
        <f>IF($G75&lt;&gt;"ALCOHOL","",IF($K75="","",$H75*IFERROR(VLOOKUP($K75,Drink_Templates!$A:$G,7,FALSE),0)))</f>
        <v/>
      </c>
    </row>
    <row r="76" ht="15" customHeight="1">
      <c r="C76">
        <f>IF($B76="","",INT($B76))</f>
        <v/>
      </c>
      <c r="D76">
        <f>IF($C76="","",$C76-WEEKDAY($C76,2)+1)</f>
        <v/>
      </c>
      <c r="E76">
        <f>IF($C76="","",DATE(YEAR($C76),MONTH($C76),1))</f>
        <v/>
      </c>
      <c r="F76">
        <f>IF($C76="","",YEAR($C76)&amp;"-Q"&amp;ROUNDUP(MONTH($C76)/3,0))</f>
        <v/>
      </c>
      <c r="L76">
        <f>IF($G76&lt;&gt;"ALCOHOL","",IF($K76="","",$H76*IFERROR(VLOOKUP($K76,Drink_Templates!$A:$G,7,FALSE),0)))</f>
        <v/>
      </c>
    </row>
    <row r="77" ht="15" customHeight="1">
      <c r="C77">
        <f>IF($B77="","",INT($B77))</f>
        <v/>
      </c>
      <c r="D77">
        <f>IF($C77="","",$C77-WEEKDAY($C77,2)+1)</f>
        <v/>
      </c>
      <c r="E77">
        <f>IF($C77="","",DATE(YEAR($C77),MONTH($C77),1))</f>
        <v/>
      </c>
      <c r="F77">
        <f>IF($C77="","",YEAR($C77)&amp;"-Q"&amp;ROUNDUP(MONTH($C77)/3,0))</f>
        <v/>
      </c>
      <c r="L77">
        <f>IF($G77&lt;&gt;"ALCOHOL","",IF($K77="","",$H77*IFERROR(VLOOKUP($K77,Drink_Templates!$A:$G,7,FALSE),0)))</f>
        <v/>
      </c>
    </row>
    <row r="78" ht="15" customHeight="1">
      <c r="C78">
        <f>IF($B78="","",INT($B78))</f>
        <v/>
      </c>
      <c r="D78">
        <f>IF($C78="","",$C78-WEEKDAY($C78,2)+1)</f>
        <v/>
      </c>
      <c r="E78">
        <f>IF($C78="","",DATE(YEAR($C78),MONTH($C78),1))</f>
        <v/>
      </c>
      <c r="F78">
        <f>IF($C78="","",YEAR($C78)&amp;"-Q"&amp;ROUNDUP(MONTH($C78)/3,0))</f>
        <v/>
      </c>
      <c r="L78">
        <f>IF($G78&lt;&gt;"ALCOHOL","",IF($K78="","",$H78*IFERROR(VLOOKUP($K78,Drink_Templates!$A:$G,7,FALSE),0)))</f>
        <v/>
      </c>
    </row>
    <row r="79" ht="15" customHeight="1">
      <c r="C79">
        <f>IF($B79="","",INT($B79))</f>
        <v/>
      </c>
      <c r="D79">
        <f>IF($C79="","",$C79-WEEKDAY($C79,2)+1)</f>
        <v/>
      </c>
      <c r="E79">
        <f>IF($C79="","",DATE(YEAR($C79),MONTH($C79),1))</f>
        <v/>
      </c>
      <c r="F79">
        <f>IF($C79="","",YEAR($C79)&amp;"-Q"&amp;ROUNDUP(MONTH($C79)/3,0))</f>
        <v/>
      </c>
      <c r="L79">
        <f>IF($G79&lt;&gt;"ALCOHOL","",IF($K79="","",$H79*IFERROR(VLOOKUP($K79,Drink_Templates!$A:$G,7,FALSE),0)))</f>
        <v/>
      </c>
    </row>
    <row r="80" ht="15" customHeight="1">
      <c r="C80">
        <f>IF($B80="","",INT($B80))</f>
        <v/>
      </c>
      <c r="D80">
        <f>IF($C80="","",$C80-WEEKDAY($C80,2)+1)</f>
        <v/>
      </c>
      <c r="E80">
        <f>IF($C80="","",DATE(YEAR($C80),MONTH($C80),1))</f>
        <v/>
      </c>
      <c r="F80">
        <f>IF($C80="","",YEAR($C80)&amp;"-Q"&amp;ROUNDUP(MONTH($C80)/3,0))</f>
        <v/>
      </c>
      <c r="L80">
        <f>IF($G80&lt;&gt;"ALCOHOL","",IF($K80="","",$H80*IFERROR(VLOOKUP($K80,Drink_Templates!$A:$G,7,FALSE),0)))</f>
        <v/>
      </c>
    </row>
    <row r="81" ht="15" customHeight="1">
      <c r="C81">
        <f>IF($B81="","",INT($B81))</f>
        <v/>
      </c>
      <c r="D81">
        <f>IF($C81="","",$C81-WEEKDAY($C81,2)+1)</f>
        <v/>
      </c>
      <c r="E81">
        <f>IF($C81="","",DATE(YEAR($C81),MONTH($C81),1))</f>
        <v/>
      </c>
      <c r="F81">
        <f>IF($C81="","",YEAR($C81)&amp;"-Q"&amp;ROUNDUP(MONTH($C81)/3,0))</f>
        <v/>
      </c>
      <c r="L81">
        <f>IF($G81&lt;&gt;"ALCOHOL","",IF($K81="","",$H81*IFERROR(VLOOKUP($K81,Drink_Templates!$A:$G,7,FALSE),0)))</f>
        <v/>
      </c>
    </row>
    <row r="82" ht="15" customHeight="1">
      <c r="C82">
        <f>IF($B82="","",INT($B82))</f>
        <v/>
      </c>
      <c r="D82">
        <f>IF($C82="","",$C82-WEEKDAY($C82,2)+1)</f>
        <v/>
      </c>
      <c r="E82">
        <f>IF($C82="","",DATE(YEAR($C82),MONTH($C82),1))</f>
        <v/>
      </c>
      <c r="F82">
        <f>IF($C82="","",YEAR($C82)&amp;"-Q"&amp;ROUNDUP(MONTH($C82)/3,0))</f>
        <v/>
      </c>
      <c r="L82">
        <f>IF($G82&lt;&gt;"ALCOHOL","",IF($K82="","",$H82*IFERROR(VLOOKUP($K82,Drink_Templates!$A:$G,7,FALSE),0)))</f>
        <v/>
      </c>
    </row>
    <row r="83" ht="15" customHeight="1">
      <c r="C83">
        <f>IF($B83="","",INT($B83))</f>
        <v/>
      </c>
      <c r="D83">
        <f>IF($C83="","",$C83-WEEKDAY($C83,2)+1)</f>
        <v/>
      </c>
      <c r="E83">
        <f>IF($C83="","",DATE(YEAR($C83),MONTH($C83),1))</f>
        <v/>
      </c>
      <c r="F83">
        <f>IF($C83="","",YEAR($C83)&amp;"-Q"&amp;ROUNDUP(MONTH($C83)/3,0))</f>
        <v/>
      </c>
      <c r="L83">
        <f>IF($G83&lt;&gt;"ALCOHOL","",IF($K83="","",$H83*IFERROR(VLOOKUP($K83,Drink_Templates!$A:$G,7,FALSE),0)))</f>
        <v/>
      </c>
    </row>
    <row r="84" ht="15" customHeight="1">
      <c r="C84">
        <f>IF($B84="","",INT($B84))</f>
        <v/>
      </c>
      <c r="D84">
        <f>IF($C84="","",$C84-WEEKDAY($C84,2)+1)</f>
        <v/>
      </c>
      <c r="E84">
        <f>IF($C84="","",DATE(YEAR($C84),MONTH($C84),1))</f>
        <v/>
      </c>
      <c r="F84">
        <f>IF($C84="","",YEAR($C84)&amp;"-Q"&amp;ROUNDUP(MONTH($C84)/3,0))</f>
        <v/>
      </c>
      <c r="L84">
        <f>IF($G84&lt;&gt;"ALCOHOL","",IF($K84="","",$H84*IFERROR(VLOOKUP($K84,Drink_Templates!$A:$G,7,FALSE),0)))</f>
        <v/>
      </c>
    </row>
    <row r="85" ht="15" customHeight="1">
      <c r="C85">
        <f>IF($B85="","",INT($B85))</f>
        <v/>
      </c>
      <c r="D85">
        <f>IF($C85="","",$C85-WEEKDAY($C85,2)+1)</f>
        <v/>
      </c>
      <c r="E85">
        <f>IF($C85="","",DATE(YEAR($C85),MONTH($C85),1))</f>
        <v/>
      </c>
      <c r="F85">
        <f>IF($C85="","",YEAR($C85)&amp;"-Q"&amp;ROUNDUP(MONTH($C85)/3,0))</f>
        <v/>
      </c>
      <c r="L85">
        <f>IF($G85&lt;&gt;"ALCOHOL","",IF($K85="","",$H85*IFERROR(VLOOKUP($K85,Drink_Templates!$A:$G,7,FALSE),0)))</f>
        <v/>
      </c>
    </row>
    <row r="86" ht="15" customHeight="1">
      <c r="C86">
        <f>IF($B86="","",INT($B86))</f>
        <v/>
      </c>
      <c r="D86">
        <f>IF($C86="","",$C86-WEEKDAY($C86,2)+1)</f>
        <v/>
      </c>
      <c r="E86">
        <f>IF($C86="","",DATE(YEAR($C86),MONTH($C86),1))</f>
        <v/>
      </c>
      <c r="F86">
        <f>IF($C86="","",YEAR($C86)&amp;"-Q"&amp;ROUNDUP(MONTH($C86)/3,0))</f>
        <v/>
      </c>
      <c r="L86">
        <f>IF($G86&lt;&gt;"ALCOHOL","",IF($K86="","",$H86*IFERROR(VLOOKUP($K86,Drink_Templates!$A:$G,7,FALSE),0)))</f>
        <v/>
      </c>
    </row>
    <row r="87" ht="15" customHeight="1">
      <c r="C87">
        <f>IF($B87="","",INT($B87))</f>
        <v/>
      </c>
      <c r="D87">
        <f>IF($C87="","",$C87-WEEKDAY($C87,2)+1)</f>
        <v/>
      </c>
      <c r="E87">
        <f>IF($C87="","",DATE(YEAR($C87),MONTH($C87),1))</f>
        <v/>
      </c>
      <c r="F87">
        <f>IF($C87="","",YEAR($C87)&amp;"-Q"&amp;ROUNDUP(MONTH($C87)/3,0))</f>
        <v/>
      </c>
      <c r="L87">
        <f>IF($G87&lt;&gt;"ALCOHOL","",IF($K87="","",$H87*IFERROR(VLOOKUP($K87,Drink_Templates!$A:$G,7,FALSE),0)))</f>
        <v/>
      </c>
    </row>
    <row r="88" ht="15" customHeight="1">
      <c r="C88">
        <f>IF($B88="","",INT($B88))</f>
        <v/>
      </c>
      <c r="D88">
        <f>IF($C88="","",$C88-WEEKDAY($C88,2)+1)</f>
        <v/>
      </c>
      <c r="E88">
        <f>IF($C88="","",DATE(YEAR($C88),MONTH($C88),1))</f>
        <v/>
      </c>
      <c r="F88">
        <f>IF($C88="","",YEAR($C88)&amp;"-Q"&amp;ROUNDUP(MONTH($C88)/3,0))</f>
        <v/>
      </c>
      <c r="L88">
        <f>IF($G88&lt;&gt;"ALCOHOL","",IF($K88="","",$H88*IFERROR(VLOOKUP($K88,Drink_Templates!$A:$G,7,FALSE),0)))</f>
        <v/>
      </c>
    </row>
    <row r="89" ht="15" customHeight="1">
      <c r="C89">
        <f>IF($B89="","",INT($B89))</f>
        <v/>
      </c>
      <c r="D89">
        <f>IF($C89="","",$C89-WEEKDAY($C89,2)+1)</f>
        <v/>
      </c>
      <c r="E89">
        <f>IF($C89="","",DATE(YEAR($C89),MONTH($C89),1))</f>
        <v/>
      </c>
      <c r="F89">
        <f>IF($C89="","",YEAR($C89)&amp;"-Q"&amp;ROUNDUP(MONTH($C89)/3,0))</f>
        <v/>
      </c>
      <c r="L89">
        <f>IF($G89&lt;&gt;"ALCOHOL","",IF($K89="","",$H89*IFERROR(VLOOKUP($K89,Drink_Templates!$A:$G,7,FALSE),0)))</f>
        <v/>
      </c>
    </row>
    <row r="90" ht="15" customHeight="1">
      <c r="C90">
        <f>IF($B90="","",INT($B90))</f>
        <v/>
      </c>
      <c r="D90">
        <f>IF($C90="","",$C90-WEEKDAY($C90,2)+1)</f>
        <v/>
      </c>
      <c r="E90">
        <f>IF($C90="","",DATE(YEAR($C90),MONTH($C90),1))</f>
        <v/>
      </c>
      <c r="F90">
        <f>IF($C90="","",YEAR($C90)&amp;"-Q"&amp;ROUNDUP(MONTH($C90)/3,0))</f>
        <v/>
      </c>
      <c r="L90">
        <f>IF($G90&lt;&gt;"ALCOHOL","",IF($K90="","",$H90*IFERROR(VLOOKUP($K90,Drink_Templates!$A:$G,7,FALSE),0)))</f>
        <v/>
      </c>
    </row>
    <row r="91" ht="15" customHeight="1">
      <c r="C91">
        <f>IF($B91="","",INT($B91))</f>
        <v/>
      </c>
      <c r="D91">
        <f>IF($C91="","",$C91-WEEKDAY($C91,2)+1)</f>
        <v/>
      </c>
      <c r="E91">
        <f>IF($C91="","",DATE(YEAR($C91),MONTH($C91),1))</f>
        <v/>
      </c>
      <c r="F91">
        <f>IF($C91="","",YEAR($C91)&amp;"-Q"&amp;ROUNDUP(MONTH($C91)/3,0))</f>
        <v/>
      </c>
      <c r="L91">
        <f>IF($G91&lt;&gt;"ALCOHOL","",IF($K91="","",$H91*IFERROR(VLOOKUP($K91,Drink_Templates!$A:$G,7,FALSE),0)))</f>
        <v/>
      </c>
    </row>
    <row r="92" ht="15" customHeight="1">
      <c r="C92">
        <f>IF($B92="","",INT($B92))</f>
        <v/>
      </c>
      <c r="D92">
        <f>IF($C92="","",$C92-WEEKDAY($C92,2)+1)</f>
        <v/>
      </c>
      <c r="E92">
        <f>IF($C92="","",DATE(YEAR($C92),MONTH($C92),1))</f>
        <v/>
      </c>
      <c r="F92">
        <f>IF($C92="","",YEAR($C92)&amp;"-Q"&amp;ROUNDUP(MONTH($C92)/3,0))</f>
        <v/>
      </c>
      <c r="L92">
        <f>IF($G92&lt;&gt;"ALCOHOL","",IF($K92="","",$H92*IFERROR(VLOOKUP($K92,Drink_Templates!$A:$G,7,FALSE),0)))</f>
        <v/>
      </c>
    </row>
    <row r="93" ht="15" customHeight="1">
      <c r="C93">
        <f>IF($B93="","",INT($B93))</f>
        <v/>
      </c>
      <c r="D93">
        <f>IF($C93="","",$C93-WEEKDAY($C93,2)+1)</f>
        <v/>
      </c>
      <c r="E93">
        <f>IF($C93="","",DATE(YEAR($C93),MONTH($C93),1))</f>
        <v/>
      </c>
      <c r="F93">
        <f>IF($C93="","",YEAR($C93)&amp;"-Q"&amp;ROUNDUP(MONTH($C93)/3,0))</f>
        <v/>
      </c>
      <c r="L93">
        <f>IF($G93&lt;&gt;"ALCOHOL","",IF($K93="","",$H93*IFERROR(VLOOKUP($K93,Drink_Templates!$A:$G,7,FALSE),0)))</f>
        <v/>
      </c>
    </row>
    <row r="94" ht="15" customHeight="1">
      <c r="C94">
        <f>IF($B94="","",INT($B94))</f>
        <v/>
      </c>
      <c r="D94">
        <f>IF($C94="","",$C94-WEEKDAY($C94,2)+1)</f>
        <v/>
      </c>
      <c r="E94">
        <f>IF($C94="","",DATE(YEAR($C94),MONTH($C94),1))</f>
        <v/>
      </c>
      <c r="F94">
        <f>IF($C94="","",YEAR($C94)&amp;"-Q"&amp;ROUNDUP(MONTH($C94)/3,0))</f>
        <v/>
      </c>
      <c r="L94">
        <f>IF($G94&lt;&gt;"ALCOHOL","",IF($K94="","",$H94*IFERROR(VLOOKUP($K94,Drink_Templates!$A:$G,7,FALSE),0)))</f>
        <v/>
      </c>
    </row>
    <row r="95" ht="15" customHeight="1">
      <c r="C95">
        <f>IF($B95="","",INT($B95))</f>
        <v/>
      </c>
      <c r="D95">
        <f>IF($C95="","",$C95-WEEKDAY($C95,2)+1)</f>
        <v/>
      </c>
      <c r="E95">
        <f>IF($C95="","",DATE(YEAR($C95),MONTH($C95),1))</f>
        <v/>
      </c>
      <c r="F95">
        <f>IF($C95="","",YEAR($C95)&amp;"-Q"&amp;ROUNDUP(MONTH($C95)/3,0))</f>
        <v/>
      </c>
      <c r="L95">
        <f>IF($G95&lt;&gt;"ALCOHOL","",IF($K95="","",$H95*IFERROR(VLOOKUP($K95,Drink_Templates!$A:$G,7,FALSE),0)))</f>
        <v/>
      </c>
    </row>
    <row r="96" ht="15" customHeight="1">
      <c r="C96">
        <f>IF($B96="","",INT($B96))</f>
        <v/>
      </c>
      <c r="D96">
        <f>IF($C96="","",$C96-WEEKDAY($C96,2)+1)</f>
        <v/>
      </c>
      <c r="E96">
        <f>IF($C96="","",DATE(YEAR($C96),MONTH($C96),1))</f>
        <v/>
      </c>
      <c r="F96">
        <f>IF($C96="","",YEAR($C96)&amp;"-Q"&amp;ROUNDUP(MONTH($C96)/3,0))</f>
        <v/>
      </c>
      <c r="L96">
        <f>IF($G96&lt;&gt;"ALCOHOL","",IF($K96="","",$H96*IFERROR(VLOOKUP($K96,Drink_Templates!$A:$G,7,FALSE),0)))</f>
        <v/>
      </c>
    </row>
    <row r="97" ht="15" customHeight="1">
      <c r="C97">
        <f>IF($B97="","",INT($B97))</f>
        <v/>
      </c>
      <c r="D97">
        <f>IF($C97="","",$C97-WEEKDAY($C97,2)+1)</f>
        <v/>
      </c>
      <c r="E97">
        <f>IF($C97="","",DATE(YEAR($C97),MONTH($C97),1))</f>
        <v/>
      </c>
      <c r="F97">
        <f>IF($C97="","",YEAR($C97)&amp;"-Q"&amp;ROUNDUP(MONTH($C97)/3,0))</f>
        <v/>
      </c>
      <c r="L97">
        <f>IF($G97&lt;&gt;"ALCOHOL","",IF($K97="","",$H97*IFERROR(VLOOKUP($K97,Drink_Templates!$A:$G,7,FALSE),0)))</f>
        <v/>
      </c>
    </row>
    <row r="98" ht="15" customHeight="1">
      <c r="C98">
        <f>IF($B98="","",INT($B98))</f>
        <v/>
      </c>
      <c r="D98">
        <f>IF($C98="","",$C98-WEEKDAY($C98,2)+1)</f>
        <v/>
      </c>
      <c r="E98">
        <f>IF($C98="","",DATE(YEAR($C98),MONTH($C98),1))</f>
        <v/>
      </c>
      <c r="F98">
        <f>IF($C98="","",YEAR($C98)&amp;"-Q"&amp;ROUNDUP(MONTH($C98)/3,0))</f>
        <v/>
      </c>
      <c r="L98">
        <f>IF($G98&lt;&gt;"ALCOHOL","",IF($K98="","",$H98*IFERROR(VLOOKUP($K98,Drink_Templates!$A:$G,7,FALSE),0)))</f>
        <v/>
      </c>
    </row>
    <row r="99" ht="15" customHeight="1">
      <c r="C99">
        <f>IF($B99="","",INT($B99))</f>
        <v/>
      </c>
      <c r="D99">
        <f>IF($C99="","",$C99-WEEKDAY($C99,2)+1)</f>
        <v/>
      </c>
      <c r="E99">
        <f>IF($C99="","",DATE(YEAR($C99),MONTH($C99),1))</f>
        <v/>
      </c>
      <c r="F99">
        <f>IF($C99="","",YEAR($C99)&amp;"-Q"&amp;ROUNDUP(MONTH($C99)/3,0))</f>
        <v/>
      </c>
      <c r="L99">
        <f>IF($G99&lt;&gt;"ALCOHOL","",IF($K99="","",$H99*IFERROR(VLOOKUP($K99,Drink_Templates!$A:$G,7,FALSE),0)))</f>
        <v/>
      </c>
    </row>
    <row r="100" ht="15" customHeight="1">
      <c r="C100">
        <f>IF($B100="","",INT($B100))</f>
        <v/>
      </c>
      <c r="D100">
        <f>IF($C100="","",$C100-WEEKDAY($C100,2)+1)</f>
        <v/>
      </c>
      <c r="E100">
        <f>IF($C100="","",DATE(YEAR($C100),MONTH($C100),1))</f>
        <v/>
      </c>
      <c r="F100">
        <f>IF($C100="","",YEAR($C100)&amp;"-Q"&amp;ROUNDUP(MONTH($C100)/3,0))</f>
        <v/>
      </c>
      <c r="L100">
        <f>IF($G100&lt;&gt;"ALCOHOL","",IF($K100="","",$H100*IFERROR(VLOOKUP($K100,Drink_Templates!$A:$G,7,FALSE),0)))</f>
        <v/>
      </c>
    </row>
    <row r="101" ht="15" customHeight="1">
      <c r="C101">
        <f>IF($B101="","",INT($B101))</f>
        <v/>
      </c>
      <c r="D101">
        <f>IF($C101="","",$C101-WEEKDAY($C101,2)+1)</f>
        <v/>
      </c>
      <c r="E101">
        <f>IF($C101="","",DATE(YEAR($C101),MONTH($C101),1))</f>
        <v/>
      </c>
      <c r="F101">
        <f>IF($C101="","",YEAR($C101)&amp;"-Q"&amp;ROUNDUP(MONTH($C101)/3,0))</f>
        <v/>
      </c>
      <c r="L101">
        <f>IF($G101&lt;&gt;"ALCOHOL","",IF($K101="","",$H101*IFERROR(VLOOKUP($K101,Drink_Templates!$A:$G,7,FALSE),0)))</f>
        <v/>
      </c>
    </row>
    <row r="102" ht="15" customHeight="1">
      <c r="C102">
        <f>IF($B102="","",INT($B102))</f>
        <v/>
      </c>
      <c r="D102">
        <f>IF($C102="","",$C102-WEEKDAY($C102,2)+1)</f>
        <v/>
      </c>
      <c r="E102">
        <f>IF($C102="","",DATE(YEAR($C102),MONTH($C102),1))</f>
        <v/>
      </c>
      <c r="F102">
        <f>IF($C102="","",YEAR($C102)&amp;"-Q"&amp;ROUNDUP(MONTH($C102)/3,0))</f>
        <v/>
      </c>
      <c r="L102">
        <f>IF($G102&lt;&gt;"ALCOHOL","",IF($K102="","",$H102*IFERROR(VLOOKUP($K102,Drink_Templates!$A:$G,7,FALSE),0)))</f>
        <v/>
      </c>
    </row>
    <row r="103" ht="15" customHeight="1">
      <c r="C103">
        <f>IF($B103="","",INT($B103))</f>
        <v/>
      </c>
      <c r="D103">
        <f>IF($C103="","",$C103-WEEKDAY($C103,2)+1)</f>
        <v/>
      </c>
      <c r="E103">
        <f>IF($C103="","",DATE(YEAR($C103),MONTH($C103),1))</f>
        <v/>
      </c>
      <c r="F103">
        <f>IF($C103="","",YEAR($C103)&amp;"-Q"&amp;ROUNDUP(MONTH($C103)/3,0))</f>
        <v/>
      </c>
      <c r="L103">
        <f>IF($G103&lt;&gt;"ALCOHOL","",IF($K103="","",$H103*IFERROR(VLOOKUP($K103,Drink_Templates!$A:$G,7,FALSE),0)))</f>
        <v/>
      </c>
    </row>
    <row r="104" ht="15" customHeight="1">
      <c r="C104">
        <f>IF($B104="","",INT($B104))</f>
        <v/>
      </c>
      <c r="D104">
        <f>IF($C104="","",$C104-WEEKDAY($C104,2)+1)</f>
        <v/>
      </c>
      <c r="E104">
        <f>IF($C104="","",DATE(YEAR($C104),MONTH($C104),1))</f>
        <v/>
      </c>
      <c r="F104">
        <f>IF($C104="","",YEAR($C104)&amp;"-Q"&amp;ROUNDUP(MONTH($C104)/3,0))</f>
        <v/>
      </c>
      <c r="L104">
        <f>IF($G104&lt;&gt;"ALCOHOL","",IF($K104="","",$H104*IFERROR(VLOOKUP($K104,Drink_Templates!$A:$G,7,FALSE),0)))</f>
        <v/>
      </c>
    </row>
    <row r="105" ht="15" customHeight="1">
      <c r="C105">
        <f>IF($B105="","",INT($B105))</f>
        <v/>
      </c>
      <c r="D105">
        <f>IF($C105="","",$C105-WEEKDAY($C105,2)+1)</f>
        <v/>
      </c>
      <c r="E105">
        <f>IF($C105="","",DATE(YEAR($C105),MONTH($C105),1))</f>
        <v/>
      </c>
      <c r="F105">
        <f>IF($C105="","",YEAR($C105)&amp;"-Q"&amp;ROUNDUP(MONTH($C105)/3,0))</f>
        <v/>
      </c>
      <c r="L105">
        <f>IF($G105&lt;&gt;"ALCOHOL","",IF($K105="","",$H105*IFERROR(VLOOKUP($K105,Drink_Templates!$A:$G,7,FALSE),0)))</f>
        <v/>
      </c>
    </row>
    <row r="106" ht="15" customHeight="1">
      <c r="C106">
        <f>IF($B106="","",INT($B106))</f>
        <v/>
      </c>
      <c r="D106">
        <f>IF($C106="","",$C106-WEEKDAY($C106,2)+1)</f>
        <v/>
      </c>
      <c r="E106">
        <f>IF($C106="","",DATE(YEAR($C106),MONTH($C106),1))</f>
        <v/>
      </c>
      <c r="F106">
        <f>IF($C106="","",YEAR($C106)&amp;"-Q"&amp;ROUNDUP(MONTH($C106)/3,0))</f>
        <v/>
      </c>
      <c r="L106">
        <f>IF($G106&lt;&gt;"ALCOHOL","",IF($K106="","",$H106*IFERROR(VLOOKUP($K106,Drink_Templates!$A:$G,7,FALSE),0)))</f>
        <v/>
      </c>
    </row>
    <row r="107" ht="15" customHeight="1">
      <c r="C107">
        <f>IF($B107="","",INT($B107))</f>
        <v/>
      </c>
      <c r="D107">
        <f>IF($C107="","",$C107-WEEKDAY($C107,2)+1)</f>
        <v/>
      </c>
      <c r="E107">
        <f>IF($C107="","",DATE(YEAR($C107),MONTH($C107),1))</f>
        <v/>
      </c>
      <c r="F107">
        <f>IF($C107="","",YEAR($C107)&amp;"-Q"&amp;ROUNDUP(MONTH($C107)/3,0))</f>
        <v/>
      </c>
      <c r="L107">
        <f>IF($G107&lt;&gt;"ALCOHOL","",IF($K107="","",$H107*IFERROR(VLOOKUP($K107,Drink_Templates!$A:$G,7,FALSE),0)))</f>
        <v/>
      </c>
    </row>
    <row r="108" ht="15" customHeight="1">
      <c r="C108">
        <f>IF($B108="","",INT($B108))</f>
        <v/>
      </c>
      <c r="D108">
        <f>IF($C108="","",$C108-WEEKDAY($C108,2)+1)</f>
        <v/>
      </c>
      <c r="E108">
        <f>IF($C108="","",DATE(YEAR($C108),MONTH($C108),1))</f>
        <v/>
      </c>
      <c r="F108">
        <f>IF($C108="","",YEAR($C108)&amp;"-Q"&amp;ROUNDUP(MONTH($C108)/3,0))</f>
        <v/>
      </c>
      <c r="L108">
        <f>IF($G108&lt;&gt;"ALCOHOL","",IF($K108="","",$H108*IFERROR(VLOOKUP($K108,Drink_Templates!$A:$G,7,FALSE),0)))</f>
        <v/>
      </c>
    </row>
    <row r="109" ht="15" customHeight="1">
      <c r="C109">
        <f>IF($B109="","",INT($B109))</f>
        <v/>
      </c>
      <c r="D109">
        <f>IF($C109="","",$C109-WEEKDAY($C109,2)+1)</f>
        <v/>
      </c>
      <c r="E109">
        <f>IF($C109="","",DATE(YEAR($C109),MONTH($C109),1))</f>
        <v/>
      </c>
      <c r="F109">
        <f>IF($C109="","",YEAR($C109)&amp;"-Q"&amp;ROUNDUP(MONTH($C109)/3,0))</f>
        <v/>
      </c>
      <c r="L109">
        <f>IF($G109&lt;&gt;"ALCOHOL","",IF($K109="","",$H109*IFERROR(VLOOKUP($K109,Drink_Templates!$A:$G,7,FALSE),0)))</f>
        <v/>
      </c>
    </row>
    <row r="110" ht="15" customHeight="1">
      <c r="C110">
        <f>IF($B110="","",INT($B110))</f>
        <v/>
      </c>
      <c r="D110">
        <f>IF($C110="","",$C110-WEEKDAY($C110,2)+1)</f>
        <v/>
      </c>
      <c r="E110">
        <f>IF($C110="","",DATE(YEAR($C110),MONTH($C110),1))</f>
        <v/>
      </c>
      <c r="F110">
        <f>IF($C110="","",YEAR($C110)&amp;"-Q"&amp;ROUNDUP(MONTH($C110)/3,0))</f>
        <v/>
      </c>
      <c r="L110">
        <f>IF($G110&lt;&gt;"ALCOHOL","",IF($K110="","",$H110*IFERROR(VLOOKUP($K110,Drink_Templates!$A:$G,7,FALSE),0)))</f>
        <v/>
      </c>
    </row>
    <row r="111" ht="15" customHeight="1">
      <c r="C111">
        <f>IF($B111="","",INT($B111))</f>
        <v/>
      </c>
      <c r="D111">
        <f>IF($C111="","",$C111-WEEKDAY($C111,2)+1)</f>
        <v/>
      </c>
      <c r="E111">
        <f>IF($C111="","",DATE(YEAR($C111),MONTH($C111),1))</f>
        <v/>
      </c>
      <c r="F111">
        <f>IF($C111="","",YEAR($C111)&amp;"-Q"&amp;ROUNDUP(MONTH($C111)/3,0))</f>
        <v/>
      </c>
      <c r="L111">
        <f>IF($G111&lt;&gt;"ALCOHOL","",IF($K111="","",$H111*IFERROR(VLOOKUP($K111,Drink_Templates!$A:$G,7,FALSE),0)))</f>
        <v/>
      </c>
    </row>
    <row r="112" ht="15" customHeight="1">
      <c r="C112">
        <f>IF($B112="","",INT($B112))</f>
        <v/>
      </c>
      <c r="D112">
        <f>IF($C112="","",$C112-WEEKDAY($C112,2)+1)</f>
        <v/>
      </c>
      <c r="E112">
        <f>IF($C112="","",DATE(YEAR($C112),MONTH($C112),1))</f>
        <v/>
      </c>
      <c r="F112">
        <f>IF($C112="","",YEAR($C112)&amp;"-Q"&amp;ROUNDUP(MONTH($C112)/3,0))</f>
        <v/>
      </c>
      <c r="L112">
        <f>IF($G112&lt;&gt;"ALCOHOL","",IF($K112="","",$H112*IFERROR(VLOOKUP($K112,Drink_Templates!$A:$G,7,FALSE),0)))</f>
        <v/>
      </c>
    </row>
    <row r="113" ht="15" customHeight="1">
      <c r="C113">
        <f>IF($B113="","",INT($B113))</f>
        <v/>
      </c>
      <c r="D113">
        <f>IF($C113="","",$C113-WEEKDAY($C113,2)+1)</f>
        <v/>
      </c>
      <c r="E113">
        <f>IF($C113="","",DATE(YEAR($C113),MONTH($C113),1))</f>
        <v/>
      </c>
      <c r="F113">
        <f>IF($C113="","",YEAR($C113)&amp;"-Q"&amp;ROUNDUP(MONTH($C113)/3,0))</f>
        <v/>
      </c>
      <c r="L113">
        <f>IF($G113&lt;&gt;"ALCOHOL","",IF($K113="","",$H113*IFERROR(VLOOKUP($K113,Drink_Templates!$A:$G,7,FALSE),0)))</f>
        <v/>
      </c>
    </row>
    <row r="114" ht="15" customHeight="1">
      <c r="C114">
        <f>IF($B114="","",INT($B114))</f>
        <v/>
      </c>
      <c r="D114">
        <f>IF($C114="","",$C114-WEEKDAY($C114,2)+1)</f>
        <v/>
      </c>
      <c r="E114">
        <f>IF($C114="","",DATE(YEAR($C114),MONTH($C114),1))</f>
        <v/>
      </c>
      <c r="F114">
        <f>IF($C114="","",YEAR($C114)&amp;"-Q"&amp;ROUNDUP(MONTH($C114)/3,0))</f>
        <v/>
      </c>
      <c r="L114">
        <f>IF($G114&lt;&gt;"ALCOHOL","",IF($K114="","",$H114*IFERROR(VLOOKUP($K114,Drink_Templates!$A:$G,7,FALSE),0)))</f>
        <v/>
      </c>
    </row>
    <row r="115" ht="15" customHeight="1">
      <c r="C115">
        <f>IF($B115="","",INT($B115))</f>
        <v/>
      </c>
      <c r="D115">
        <f>IF($C115="","",$C115-WEEKDAY($C115,2)+1)</f>
        <v/>
      </c>
      <c r="E115">
        <f>IF($C115="","",DATE(YEAR($C115),MONTH($C115),1))</f>
        <v/>
      </c>
      <c r="F115">
        <f>IF($C115="","",YEAR($C115)&amp;"-Q"&amp;ROUNDUP(MONTH($C115)/3,0))</f>
        <v/>
      </c>
      <c r="L115">
        <f>IF($G115&lt;&gt;"ALCOHOL","",IF($K115="","",$H115*IFERROR(VLOOKUP($K115,Drink_Templates!$A:$G,7,FALSE),0)))</f>
        <v/>
      </c>
    </row>
    <row r="116" ht="15" customHeight="1">
      <c r="C116">
        <f>IF($B116="","",INT($B116))</f>
        <v/>
      </c>
      <c r="D116">
        <f>IF($C116="","",$C116-WEEKDAY($C116,2)+1)</f>
        <v/>
      </c>
      <c r="E116">
        <f>IF($C116="","",DATE(YEAR($C116),MONTH($C116),1))</f>
        <v/>
      </c>
      <c r="F116">
        <f>IF($C116="","",YEAR($C116)&amp;"-Q"&amp;ROUNDUP(MONTH($C116)/3,0))</f>
        <v/>
      </c>
      <c r="L116">
        <f>IF($G116&lt;&gt;"ALCOHOL","",IF($K116="","",$H116*IFERROR(VLOOKUP($K116,Drink_Templates!$A:$G,7,FALSE),0)))</f>
        <v/>
      </c>
    </row>
    <row r="117" ht="15" customHeight="1">
      <c r="C117">
        <f>IF($B117="","",INT($B117))</f>
        <v/>
      </c>
      <c r="D117">
        <f>IF($C117="","",$C117-WEEKDAY($C117,2)+1)</f>
        <v/>
      </c>
      <c r="E117">
        <f>IF($C117="","",DATE(YEAR($C117),MONTH($C117),1))</f>
        <v/>
      </c>
      <c r="F117">
        <f>IF($C117="","",YEAR($C117)&amp;"-Q"&amp;ROUNDUP(MONTH($C117)/3,0))</f>
        <v/>
      </c>
      <c r="L117">
        <f>IF($G117&lt;&gt;"ALCOHOL","",IF($K117="","",$H117*IFERROR(VLOOKUP($K117,Drink_Templates!$A:$G,7,FALSE),0)))</f>
        <v/>
      </c>
    </row>
    <row r="118" ht="15" customHeight="1">
      <c r="C118">
        <f>IF($B118="","",INT($B118))</f>
        <v/>
      </c>
      <c r="D118">
        <f>IF($C118="","",$C118-WEEKDAY($C118,2)+1)</f>
        <v/>
      </c>
      <c r="E118">
        <f>IF($C118="","",DATE(YEAR($C118),MONTH($C118),1))</f>
        <v/>
      </c>
      <c r="F118">
        <f>IF($C118="","",YEAR($C118)&amp;"-Q"&amp;ROUNDUP(MONTH($C118)/3,0))</f>
        <v/>
      </c>
      <c r="L118">
        <f>IF($G118&lt;&gt;"ALCOHOL","",IF($K118="","",$H118*IFERROR(VLOOKUP($K118,Drink_Templates!$A:$G,7,FALSE),0)))</f>
        <v/>
      </c>
    </row>
    <row r="119" ht="15" customHeight="1">
      <c r="C119">
        <f>IF($B119="","",INT($B119))</f>
        <v/>
      </c>
      <c r="D119">
        <f>IF($C119="","",$C119-WEEKDAY($C119,2)+1)</f>
        <v/>
      </c>
      <c r="E119">
        <f>IF($C119="","",DATE(YEAR($C119),MONTH($C119),1))</f>
        <v/>
      </c>
      <c r="F119">
        <f>IF($C119="","",YEAR($C119)&amp;"-Q"&amp;ROUNDUP(MONTH($C119)/3,0))</f>
        <v/>
      </c>
      <c r="L119">
        <f>IF($G119&lt;&gt;"ALCOHOL","",IF($K119="","",$H119*IFERROR(VLOOKUP($K119,Drink_Templates!$A:$G,7,FALSE),0)))</f>
        <v/>
      </c>
    </row>
    <row r="120" ht="15" customHeight="1">
      <c r="C120">
        <f>IF($B120="","",INT($B120))</f>
        <v/>
      </c>
      <c r="D120">
        <f>IF($C120="","",$C120-WEEKDAY($C120,2)+1)</f>
        <v/>
      </c>
      <c r="E120">
        <f>IF($C120="","",DATE(YEAR($C120),MONTH($C120),1))</f>
        <v/>
      </c>
      <c r="F120">
        <f>IF($C120="","",YEAR($C120)&amp;"-Q"&amp;ROUNDUP(MONTH($C120)/3,0))</f>
        <v/>
      </c>
      <c r="L120">
        <f>IF($G120&lt;&gt;"ALCOHOL","",IF($K120="","",$H120*IFERROR(VLOOKUP($K120,Drink_Templates!$A:$G,7,FALSE),0)))</f>
        <v/>
      </c>
    </row>
    <row r="121" ht="15" customHeight="1">
      <c r="C121">
        <f>IF($B121="","",INT($B121))</f>
        <v/>
      </c>
      <c r="D121">
        <f>IF($C121="","",$C121-WEEKDAY($C121,2)+1)</f>
        <v/>
      </c>
      <c r="E121">
        <f>IF($C121="","",DATE(YEAR($C121),MONTH($C121),1))</f>
        <v/>
      </c>
      <c r="F121">
        <f>IF($C121="","",YEAR($C121)&amp;"-Q"&amp;ROUNDUP(MONTH($C121)/3,0))</f>
        <v/>
      </c>
      <c r="L121">
        <f>IF($G121&lt;&gt;"ALCOHOL","",IF($K121="","",$H121*IFERROR(VLOOKUP($K121,Drink_Templates!$A:$G,7,FALSE),0)))</f>
        <v/>
      </c>
    </row>
    <row r="122" ht="15" customHeight="1">
      <c r="C122">
        <f>IF($B122="","",INT($B122))</f>
        <v/>
      </c>
      <c r="D122">
        <f>IF($C122="","",$C122-WEEKDAY($C122,2)+1)</f>
        <v/>
      </c>
      <c r="E122">
        <f>IF($C122="","",DATE(YEAR($C122),MONTH($C122),1))</f>
        <v/>
      </c>
      <c r="F122">
        <f>IF($C122="","",YEAR($C122)&amp;"-Q"&amp;ROUNDUP(MONTH($C122)/3,0))</f>
        <v/>
      </c>
      <c r="L122">
        <f>IF($G122&lt;&gt;"ALCOHOL","",IF($K122="","",$H122*IFERROR(VLOOKUP($K122,Drink_Templates!$A:$G,7,FALSE),0)))</f>
        <v/>
      </c>
    </row>
    <row r="123" ht="15" customHeight="1">
      <c r="C123">
        <f>IF($B123="","",INT($B123))</f>
        <v/>
      </c>
      <c r="D123">
        <f>IF($C123="","",$C123-WEEKDAY($C123,2)+1)</f>
        <v/>
      </c>
      <c r="E123">
        <f>IF($C123="","",DATE(YEAR($C123),MONTH($C123),1))</f>
        <v/>
      </c>
      <c r="F123">
        <f>IF($C123="","",YEAR($C123)&amp;"-Q"&amp;ROUNDUP(MONTH($C123)/3,0))</f>
        <v/>
      </c>
      <c r="L123">
        <f>IF($G123&lt;&gt;"ALCOHOL","",IF($K123="","",$H123*IFERROR(VLOOKUP($K123,Drink_Templates!$A:$G,7,FALSE),0)))</f>
        <v/>
      </c>
    </row>
    <row r="124" ht="15" customHeight="1">
      <c r="C124">
        <f>IF($B124="","",INT($B124))</f>
        <v/>
      </c>
      <c r="D124">
        <f>IF($C124="","",$C124-WEEKDAY($C124,2)+1)</f>
        <v/>
      </c>
      <c r="E124">
        <f>IF($C124="","",DATE(YEAR($C124),MONTH($C124),1))</f>
        <v/>
      </c>
      <c r="F124">
        <f>IF($C124="","",YEAR($C124)&amp;"-Q"&amp;ROUNDUP(MONTH($C124)/3,0))</f>
        <v/>
      </c>
      <c r="L124">
        <f>IF($G124&lt;&gt;"ALCOHOL","",IF($K124="","",$H124*IFERROR(VLOOKUP($K124,Drink_Templates!$A:$G,7,FALSE),0)))</f>
        <v/>
      </c>
    </row>
    <row r="125" ht="15" customHeight="1">
      <c r="C125">
        <f>IF($B125="","",INT($B125))</f>
        <v/>
      </c>
      <c r="D125">
        <f>IF($C125="","",$C125-WEEKDAY($C125,2)+1)</f>
        <v/>
      </c>
      <c r="E125">
        <f>IF($C125="","",DATE(YEAR($C125),MONTH($C125),1))</f>
        <v/>
      </c>
      <c r="F125">
        <f>IF($C125="","",YEAR($C125)&amp;"-Q"&amp;ROUNDUP(MONTH($C125)/3,0))</f>
        <v/>
      </c>
      <c r="L125">
        <f>IF($G125&lt;&gt;"ALCOHOL","",IF($K125="","",$H125*IFERROR(VLOOKUP($K125,Drink_Templates!$A:$G,7,FALSE),0)))</f>
        <v/>
      </c>
    </row>
    <row r="126" ht="15" customHeight="1">
      <c r="C126">
        <f>IF($B126="","",INT($B126))</f>
        <v/>
      </c>
      <c r="D126">
        <f>IF($C126="","",$C126-WEEKDAY($C126,2)+1)</f>
        <v/>
      </c>
      <c r="E126">
        <f>IF($C126="","",DATE(YEAR($C126),MONTH($C126),1))</f>
        <v/>
      </c>
      <c r="F126">
        <f>IF($C126="","",YEAR($C126)&amp;"-Q"&amp;ROUNDUP(MONTH($C126)/3,0))</f>
        <v/>
      </c>
      <c r="L126">
        <f>IF($G126&lt;&gt;"ALCOHOL","",IF($K126="","",$H126*IFERROR(VLOOKUP($K126,Drink_Templates!$A:$G,7,FALSE),0)))</f>
        <v/>
      </c>
    </row>
    <row r="127" ht="15" customHeight="1">
      <c r="C127">
        <f>IF($B127="","",INT($B127))</f>
        <v/>
      </c>
      <c r="D127">
        <f>IF($C127="","",$C127-WEEKDAY($C127,2)+1)</f>
        <v/>
      </c>
      <c r="E127">
        <f>IF($C127="","",DATE(YEAR($C127),MONTH($C127),1))</f>
        <v/>
      </c>
      <c r="F127">
        <f>IF($C127="","",YEAR($C127)&amp;"-Q"&amp;ROUNDUP(MONTH($C127)/3,0))</f>
        <v/>
      </c>
      <c r="L127">
        <f>IF($G127&lt;&gt;"ALCOHOL","",IF($K127="","",$H127*IFERROR(VLOOKUP($K127,Drink_Templates!$A:$G,7,FALSE),0)))</f>
        <v/>
      </c>
    </row>
    <row r="128" ht="15" customHeight="1">
      <c r="C128">
        <f>IF($B128="","",INT($B128))</f>
        <v/>
      </c>
      <c r="D128">
        <f>IF($C128="","",$C128-WEEKDAY($C128,2)+1)</f>
        <v/>
      </c>
      <c r="E128">
        <f>IF($C128="","",DATE(YEAR($C128),MONTH($C128),1))</f>
        <v/>
      </c>
      <c r="F128">
        <f>IF($C128="","",YEAR($C128)&amp;"-Q"&amp;ROUNDUP(MONTH($C128)/3,0))</f>
        <v/>
      </c>
      <c r="L128">
        <f>IF($G128&lt;&gt;"ALCOHOL","",IF($K128="","",$H128*IFERROR(VLOOKUP($K128,Drink_Templates!$A:$G,7,FALSE),0)))</f>
        <v/>
      </c>
    </row>
    <row r="129" ht="15" customHeight="1">
      <c r="C129">
        <f>IF($B129="","",INT($B129))</f>
        <v/>
      </c>
      <c r="D129">
        <f>IF($C129="","",$C129-WEEKDAY($C129,2)+1)</f>
        <v/>
      </c>
      <c r="E129">
        <f>IF($C129="","",DATE(YEAR($C129),MONTH($C129),1))</f>
        <v/>
      </c>
      <c r="F129">
        <f>IF($C129="","",YEAR($C129)&amp;"-Q"&amp;ROUNDUP(MONTH($C129)/3,0))</f>
        <v/>
      </c>
      <c r="L129">
        <f>IF($G129&lt;&gt;"ALCOHOL","",IF($K129="","",$H129*IFERROR(VLOOKUP($K129,Drink_Templates!$A:$G,7,FALSE),0)))</f>
        <v/>
      </c>
    </row>
    <row r="130" ht="15" customHeight="1">
      <c r="C130">
        <f>IF($B130="","",INT($B130))</f>
        <v/>
      </c>
      <c r="D130">
        <f>IF($C130="","",$C130-WEEKDAY($C130,2)+1)</f>
        <v/>
      </c>
      <c r="E130">
        <f>IF($C130="","",DATE(YEAR($C130),MONTH($C130),1))</f>
        <v/>
      </c>
      <c r="F130">
        <f>IF($C130="","",YEAR($C130)&amp;"-Q"&amp;ROUNDUP(MONTH($C130)/3,0))</f>
        <v/>
      </c>
      <c r="L130">
        <f>IF($G130&lt;&gt;"ALCOHOL","",IF($K130="","",$H130*IFERROR(VLOOKUP($K130,Drink_Templates!$A:$G,7,FALSE),0)))</f>
        <v/>
      </c>
    </row>
    <row r="131" ht="15" customHeight="1">
      <c r="C131">
        <f>IF($B131="","",INT($B131))</f>
        <v/>
      </c>
      <c r="D131">
        <f>IF($C131="","",$C131-WEEKDAY($C131,2)+1)</f>
        <v/>
      </c>
      <c r="E131">
        <f>IF($C131="","",DATE(YEAR($C131),MONTH($C131),1))</f>
        <v/>
      </c>
      <c r="F131">
        <f>IF($C131="","",YEAR($C131)&amp;"-Q"&amp;ROUNDUP(MONTH($C131)/3,0))</f>
        <v/>
      </c>
      <c r="L131">
        <f>IF($G131&lt;&gt;"ALCOHOL","",IF($K131="","",$H131*IFERROR(VLOOKUP($K131,Drink_Templates!$A:$G,7,FALSE),0)))</f>
        <v/>
      </c>
    </row>
    <row r="132" ht="15" customHeight="1">
      <c r="C132">
        <f>IF($B132="","",INT($B132))</f>
        <v/>
      </c>
      <c r="D132">
        <f>IF($C132="","",$C132-WEEKDAY($C132,2)+1)</f>
        <v/>
      </c>
      <c r="E132">
        <f>IF($C132="","",DATE(YEAR($C132),MONTH($C132),1))</f>
        <v/>
      </c>
      <c r="F132">
        <f>IF($C132="","",YEAR($C132)&amp;"-Q"&amp;ROUNDUP(MONTH($C132)/3,0))</f>
        <v/>
      </c>
      <c r="L132">
        <f>IF($G132&lt;&gt;"ALCOHOL","",IF($K132="","",$H132*IFERROR(VLOOKUP($K132,Drink_Templates!$A:$G,7,FALSE),0)))</f>
        <v/>
      </c>
    </row>
    <row r="133" ht="15" customHeight="1">
      <c r="C133">
        <f>IF($B133="","",INT($B133))</f>
        <v/>
      </c>
      <c r="D133">
        <f>IF($C133="","",$C133-WEEKDAY($C133,2)+1)</f>
        <v/>
      </c>
      <c r="E133">
        <f>IF($C133="","",DATE(YEAR($C133),MONTH($C133),1))</f>
        <v/>
      </c>
      <c r="F133">
        <f>IF($C133="","",YEAR($C133)&amp;"-Q"&amp;ROUNDUP(MONTH($C133)/3,0))</f>
        <v/>
      </c>
      <c r="L133">
        <f>IF($G133&lt;&gt;"ALCOHOL","",IF($K133="","",$H133*IFERROR(VLOOKUP($K133,Drink_Templates!$A:$G,7,FALSE),0)))</f>
        <v/>
      </c>
    </row>
    <row r="134" ht="15" customHeight="1">
      <c r="C134">
        <f>IF($B134="","",INT($B134))</f>
        <v/>
      </c>
      <c r="D134">
        <f>IF($C134="","",$C134-WEEKDAY($C134,2)+1)</f>
        <v/>
      </c>
      <c r="E134">
        <f>IF($C134="","",DATE(YEAR($C134),MONTH($C134),1))</f>
        <v/>
      </c>
      <c r="F134">
        <f>IF($C134="","",YEAR($C134)&amp;"-Q"&amp;ROUNDUP(MONTH($C134)/3,0))</f>
        <v/>
      </c>
      <c r="L134">
        <f>IF($G134&lt;&gt;"ALCOHOL","",IF($K134="","",$H134*IFERROR(VLOOKUP($K134,Drink_Templates!$A:$G,7,FALSE),0)))</f>
        <v/>
      </c>
    </row>
    <row r="135" ht="15" customHeight="1">
      <c r="C135">
        <f>IF($B135="","",INT($B135))</f>
        <v/>
      </c>
      <c r="D135">
        <f>IF($C135="","",$C135-WEEKDAY($C135,2)+1)</f>
        <v/>
      </c>
      <c r="E135">
        <f>IF($C135="","",DATE(YEAR($C135),MONTH($C135),1))</f>
        <v/>
      </c>
      <c r="F135">
        <f>IF($C135="","",YEAR($C135)&amp;"-Q"&amp;ROUNDUP(MONTH($C135)/3,0))</f>
        <v/>
      </c>
      <c r="L135">
        <f>IF($G135&lt;&gt;"ALCOHOL","",IF($K135="","",$H135*IFERROR(VLOOKUP($K135,Drink_Templates!$A:$G,7,FALSE),0)))</f>
        <v/>
      </c>
    </row>
    <row r="136" ht="15" customHeight="1">
      <c r="C136">
        <f>IF($B136="","",INT($B136))</f>
        <v/>
      </c>
      <c r="D136">
        <f>IF($C136="","",$C136-WEEKDAY($C136,2)+1)</f>
        <v/>
      </c>
      <c r="E136">
        <f>IF($C136="","",DATE(YEAR($C136),MONTH($C136),1))</f>
        <v/>
      </c>
      <c r="F136">
        <f>IF($C136="","",YEAR($C136)&amp;"-Q"&amp;ROUNDUP(MONTH($C136)/3,0))</f>
        <v/>
      </c>
      <c r="L136">
        <f>IF($G136&lt;&gt;"ALCOHOL","",IF($K136="","",$H136*IFERROR(VLOOKUP($K136,Drink_Templates!$A:$G,7,FALSE),0)))</f>
        <v/>
      </c>
    </row>
    <row r="137" ht="15" customHeight="1">
      <c r="C137">
        <f>IF($B137="","",INT($B137))</f>
        <v/>
      </c>
      <c r="D137">
        <f>IF($C137="","",$C137-WEEKDAY($C137,2)+1)</f>
        <v/>
      </c>
      <c r="E137">
        <f>IF($C137="","",DATE(YEAR($C137),MONTH($C137),1))</f>
        <v/>
      </c>
      <c r="F137">
        <f>IF($C137="","",YEAR($C137)&amp;"-Q"&amp;ROUNDUP(MONTH($C137)/3,0))</f>
        <v/>
      </c>
      <c r="L137">
        <f>IF($G137&lt;&gt;"ALCOHOL","",IF($K137="","",$H137*IFERROR(VLOOKUP($K137,Drink_Templates!$A:$G,7,FALSE),0)))</f>
        <v/>
      </c>
    </row>
    <row r="138" ht="15" customHeight="1">
      <c r="C138">
        <f>IF($B138="","",INT($B138))</f>
        <v/>
      </c>
      <c r="D138">
        <f>IF($C138="","",$C138-WEEKDAY($C138,2)+1)</f>
        <v/>
      </c>
      <c r="E138">
        <f>IF($C138="","",DATE(YEAR($C138),MONTH($C138),1))</f>
        <v/>
      </c>
      <c r="F138">
        <f>IF($C138="","",YEAR($C138)&amp;"-Q"&amp;ROUNDUP(MONTH($C138)/3,0))</f>
        <v/>
      </c>
      <c r="L138">
        <f>IF($G138&lt;&gt;"ALCOHOL","",IF($K138="","",$H138*IFERROR(VLOOKUP($K138,Drink_Templates!$A:$G,7,FALSE),0)))</f>
        <v/>
      </c>
    </row>
    <row r="139" ht="15" customHeight="1">
      <c r="C139">
        <f>IF($B139="","",INT($B139))</f>
        <v/>
      </c>
      <c r="D139">
        <f>IF($C139="","",$C139-WEEKDAY($C139,2)+1)</f>
        <v/>
      </c>
      <c r="E139">
        <f>IF($C139="","",DATE(YEAR($C139),MONTH($C139),1))</f>
        <v/>
      </c>
      <c r="F139">
        <f>IF($C139="","",YEAR($C139)&amp;"-Q"&amp;ROUNDUP(MONTH($C139)/3,0))</f>
        <v/>
      </c>
      <c r="L139">
        <f>IF($G139&lt;&gt;"ALCOHOL","",IF($K139="","",$H139*IFERROR(VLOOKUP($K139,Drink_Templates!$A:$G,7,FALSE),0)))</f>
        <v/>
      </c>
    </row>
    <row r="140" ht="15" customHeight="1">
      <c r="C140">
        <f>IF($B140="","",INT($B140))</f>
        <v/>
      </c>
      <c r="D140">
        <f>IF($C140="","",$C140-WEEKDAY($C140,2)+1)</f>
        <v/>
      </c>
      <c r="E140">
        <f>IF($C140="","",DATE(YEAR($C140),MONTH($C140),1))</f>
        <v/>
      </c>
      <c r="F140">
        <f>IF($C140="","",YEAR($C140)&amp;"-Q"&amp;ROUNDUP(MONTH($C140)/3,0))</f>
        <v/>
      </c>
      <c r="L140">
        <f>IF($G140&lt;&gt;"ALCOHOL","",IF($K140="","",$H140*IFERROR(VLOOKUP($K140,Drink_Templates!$A:$G,7,FALSE),0)))</f>
        <v/>
      </c>
    </row>
    <row r="141" ht="15" customHeight="1">
      <c r="C141">
        <f>IF($B141="","",INT($B141))</f>
        <v/>
      </c>
      <c r="D141">
        <f>IF($C141="","",$C141-WEEKDAY($C141,2)+1)</f>
        <v/>
      </c>
      <c r="E141">
        <f>IF($C141="","",DATE(YEAR($C141),MONTH($C141),1))</f>
        <v/>
      </c>
      <c r="F141">
        <f>IF($C141="","",YEAR($C141)&amp;"-Q"&amp;ROUNDUP(MONTH($C141)/3,0))</f>
        <v/>
      </c>
      <c r="L141">
        <f>IF($G141&lt;&gt;"ALCOHOL","",IF($K141="","",$H141*IFERROR(VLOOKUP($K141,Drink_Templates!$A:$G,7,FALSE),0)))</f>
        <v/>
      </c>
    </row>
    <row r="142" ht="15" customHeight="1">
      <c r="C142">
        <f>IF($B142="","",INT($B142))</f>
        <v/>
      </c>
      <c r="D142">
        <f>IF($C142="","",$C142-WEEKDAY($C142,2)+1)</f>
        <v/>
      </c>
      <c r="E142">
        <f>IF($C142="","",DATE(YEAR($C142),MONTH($C142),1))</f>
        <v/>
      </c>
      <c r="F142">
        <f>IF($C142="","",YEAR($C142)&amp;"-Q"&amp;ROUNDUP(MONTH($C142)/3,0))</f>
        <v/>
      </c>
      <c r="L142">
        <f>IF($G142&lt;&gt;"ALCOHOL","",IF($K142="","",$H142*IFERROR(VLOOKUP($K142,Drink_Templates!$A:$G,7,FALSE),0)))</f>
        <v/>
      </c>
    </row>
    <row r="143" ht="15" customHeight="1">
      <c r="C143">
        <f>IF($B143="","",INT($B143))</f>
        <v/>
      </c>
      <c r="D143">
        <f>IF($C143="","",$C143-WEEKDAY($C143,2)+1)</f>
        <v/>
      </c>
      <c r="E143">
        <f>IF($C143="","",DATE(YEAR($C143),MONTH($C143),1))</f>
        <v/>
      </c>
      <c r="F143">
        <f>IF($C143="","",YEAR($C143)&amp;"-Q"&amp;ROUNDUP(MONTH($C143)/3,0))</f>
        <v/>
      </c>
      <c r="L143">
        <f>IF($G143&lt;&gt;"ALCOHOL","",IF($K143="","",$H143*IFERROR(VLOOKUP($K143,Drink_Templates!$A:$G,7,FALSE),0)))</f>
        <v/>
      </c>
    </row>
    <row r="144" ht="15" customHeight="1">
      <c r="C144">
        <f>IF($B144="","",INT($B144))</f>
        <v/>
      </c>
      <c r="D144">
        <f>IF($C144="","",$C144-WEEKDAY($C144,2)+1)</f>
        <v/>
      </c>
      <c r="E144">
        <f>IF($C144="","",DATE(YEAR($C144),MONTH($C144),1))</f>
        <v/>
      </c>
      <c r="F144">
        <f>IF($C144="","",YEAR($C144)&amp;"-Q"&amp;ROUNDUP(MONTH($C144)/3,0))</f>
        <v/>
      </c>
      <c r="L144">
        <f>IF($G144&lt;&gt;"ALCOHOL","",IF($K144="","",$H144*IFERROR(VLOOKUP($K144,Drink_Templates!$A:$G,7,FALSE),0)))</f>
        <v/>
      </c>
    </row>
    <row r="145" ht="15" customHeight="1">
      <c r="C145">
        <f>IF($B145="","",INT($B145))</f>
        <v/>
      </c>
      <c r="D145">
        <f>IF($C145="","",$C145-WEEKDAY($C145,2)+1)</f>
        <v/>
      </c>
      <c r="E145">
        <f>IF($C145="","",DATE(YEAR($C145),MONTH($C145),1))</f>
        <v/>
      </c>
      <c r="F145">
        <f>IF($C145="","",YEAR($C145)&amp;"-Q"&amp;ROUNDUP(MONTH($C145)/3,0))</f>
        <v/>
      </c>
      <c r="L145">
        <f>IF($G145&lt;&gt;"ALCOHOL","",IF($K145="","",$H145*IFERROR(VLOOKUP($K145,Drink_Templates!$A:$G,7,FALSE),0)))</f>
        <v/>
      </c>
    </row>
    <row r="146" ht="15" customHeight="1">
      <c r="C146">
        <f>IF($B146="","",INT($B146))</f>
        <v/>
      </c>
      <c r="D146">
        <f>IF($C146="","",$C146-WEEKDAY($C146,2)+1)</f>
        <v/>
      </c>
      <c r="E146">
        <f>IF($C146="","",DATE(YEAR($C146),MONTH($C146),1))</f>
        <v/>
      </c>
      <c r="F146">
        <f>IF($C146="","",YEAR($C146)&amp;"-Q"&amp;ROUNDUP(MONTH($C146)/3,0))</f>
        <v/>
      </c>
      <c r="L146">
        <f>IF($G146&lt;&gt;"ALCOHOL","",IF($K146="","",$H146*IFERROR(VLOOKUP($K146,Drink_Templates!$A:$G,7,FALSE),0)))</f>
        <v/>
      </c>
    </row>
    <row r="147" ht="15" customHeight="1">
      <c r="C147">
        <f>IF($B147="","",INT($B147))</f>
        <v/>
      </c>
      <c r="D147">
        <f>IF($C147="","",$C147-WEEKDAY($C147,2)+1)</f>
        <v/>
      </c>
      <c r="E147">
        <f>IF($C147="","",DATE(YEAR($C147),MONTH($C147),1))</f>
        <v/>
      </c>
      <c r="F147">
        <f>IF($C147="","",YEAR($C147)&amp;"-Q"&amp;ROUNDUP(MONTH($C147)/3,0))</f>
        <v/>
      </c>
      <c r="L147">
        <f>IF($G147&lt;&gt;"ALCOHOL","",IF($K147="","",$H147*IFERROR(VLOOKUP($K147,Drink_Templates!$A:$G,7,FALSE),0)))</f>
        <v/>
      </c>
    </row>
    <row r="148" ht="15" customHeight="1">
      <c r="C148">
        <f>IF($B148="","",INT($B148))</f>
        <v/>
      </c>
      <c r="D148">
        <f>IF($C148="","",$C148-WEEKDAY($C148,2)+1)</f>
        <v/>
      </c>
      <c r="E148">
        <f>IF($C148="","",DATE(YEAR($C148),MONTH($C148),1))</f>
        <v/>
      </c>
      <c r="F148">
        <f>IF($C148="","",YEAR($C148)&amp;"-Q"&amp;ROUNDUP(MONTH($C148)/3,0))</f>
        <v/>
      </c>
      <c r="L148">
        <f>IF($G148&lt;&gt;"ALCOHOL","",IF($K148="","",$H148*IFERROR(VLOOKUP($K148,Drink_Templates!$A:$G,7,FALSE),0)))</f>
        <v/>
      </c>
    </row>
    <row r="149" ht="15" customHeight="1">
      <c r="C149">
        <f>IF($B149="","",INT($B149))</f>
        <v/>
      </c>
      <c r="D149">
        <f>IF($C149="","",$C149-WEEKDAY($C149,2)+1)</f>
        <v/>
      </c>
      <c r="E149">
        <f>IF($C149="","",DATE(YEAR($C149),MONTH($C149),1))</f>
        <v/>
      </c>
      <c r="F149">
        <f>IF($C149="","",YEAR($C149)&amp;"-Q"&amp;ROUNDUP(MONTH($C149)/3,0))</f>
        <v/>
      </c>
      <c r="L149">
        <f>IF($G149&lt;&gt;"ALCOHOL","",IF($K149="","",$H149*IFERROR(VLOOKUP($K149,Drink_Templates!$A:$G,7,FALSE),0)))</f>
        <v/>
      </c>
    </row>
    <row r="150" ht="15" customHeight="1">
      <c r="C150">
        <f>IF($B150="","",INT($B150))</f>
        <v/>
      </c>
      <c r="D150">
        <f>IF($C150="","",$C150-WEEKDAY($C150,2)+1)</f>
        <v/>
      </c>
      <c r="E150">
        <f>IF($C150="","",DATE(YEAR($C150),MONTH($C150),1))</f>
        <v/>
      </c>
      <c r="F150">
        <f>IF($C150="","",YEAR($C150)&amp;"-Q"&amp;ROUNDUP(MONTH($C150)/3,0))</f>
        <v/>
      </c>
      <c r="L150">
        <f>IF($G150&lt;&gt;"ALCOHOL","",IF($K150="","",$H150*IFERROR(VLOOKUP($K150,Drink_Templates!$A:$G,7,FALSE),0)))</f>
        <v/>
      </c>
    </row>
    <row r="151" ht="15" customHeight="1">
      <c r="C151">
        <f>IF($B151="","",INT($B151))</f>
        <v/>
      </c>
      <c r="D151">
        <f>IF($C151="","",$C151-WEEKDAY($C151,2)+1)</f>
        <v/>
      </c>
      <c r="E151">
        <f>IF($C151="","",DATE(YEAR($C151),MONTH($C151),1))</f>
        <v/>
      </c>
      <c r="F151">
        <f>IF($C151="","",YEAR($C151)&amp;"-Q"&amp;ROUNDUP(MONTH($C151)/3,0))</f>
        <v/>
      </c>
      <c r="L151">
        <f>IF($G151&lt;&gt;"ALCOHOL","",IF($K151="","",$H151*IFERROR(VLOOKUP($K151,Drink_Templates!$A:$G,7,FALSE),0)))</f>
        <v/>
      </c>
    </row>
    <row r="152" ht="15" customHeight="1">
      <c r="C152">
        <f>IF($B152="","",INT($B152))</f>
        <v/>
      </c>
      <c r="D152">
        <f>IF($C152="","",$C152-WEEKDAY($C152,2)+1)</f>
        <v/>
      </c>
      <c r="E152">
        <f>IF($C152="","",DATE(YEAR($C152),MONTH($C152),1))</f>
        <v/>
      </c>
      <c r="F152">
        <f>IF($C152="","",YEAR($C152)&amp;"-Q"&amp;ROUNDUP(MONTH($C152)/3,0))</f>
        <v/>
      </c>
      <c r="L152">
        <f>IF($G152&lt;&gt;"ALCOHOL","",IF($K152="","",$H152*IFERROR(VLOOKUP($K152,Drink_Templates!$A:$G,7,FALSE),0)))</f>
        <v/>
      </c>
    </row>
    <row r="153" ht="15" customHeight="1">
      <c r="C153">
        <f>IF($B153="","",INT($B153))</f>
        <v/>
      </c>
      <c r="D153">
        <f>IF($C153="","",$C153-WEEKDAY($C153,2)+1)</f>
        <v/>
      </c>
      <c r="E153">
        <f>IF($C153="","",DATE(YEAR($C153),MONTH($C153),1))</f>
        <v/>
      </c>
      <c r="F153">
        <f>IF($C153="","",YEAR($C153)&amp;"-Q"&amp;ROUNDUP(MONTH($C153)/3,0))</f>
        <v/>
      </c>
      <c r="L153">
        <f>IF($G153&lt;&gt;"ALCOHOL","",IF($K153="","",$H153*IFERROR(VLOOKUP($K153,Drink_Templates!$A:$G,7,FALSE),0)))</f>
        <v/>
      </c>
    </row>
    <row r="154" ht="15" customHeight="1">
      <c r="C154">
        <f>IF($B154="","",INT($B154))</f>
        <v/>
      </c>
      <c r="D154">
        <f>IF($C154="","",$C154-WEEKDAY($C154,2)+1)</f>
        <v/>
      </c>
      <c r="E154">
        <f>IF($C154="","",DATE(YEAR($C154),MONTH($C154),1))</f>
        <v/>
      </c>
      <c r="F154">
        <f>IF($C154="","",YEAR($C154)&amp;"-Q"&amp;ROUNDUP(MONTH($C154)/3,0))</f>
        <v/>
      </c>
      <c r="L154">
        <f>IF($G154&lt;&gt;"ALCOHOL","",IF($K154="","",$H154*IFERROR(VLOOKUP($K154,Drink_Templates!$A:$G,7,FALSE),0)))</f>
        <v/>
      </c>
    </row>
    <row r="155" ht="15" customHeight="1">
      <c r="C155">
        <f>IF($B155="","",INT($B155))</f>
        <v/>
      </c>
      <c r="D155">
        <f>IF($C155="","",$C155-WEEKDAY($C155,2)+1)</f>
        <v/>
      </c>
      <c r="E155">
        <f>IF($C155="","",DATE(YEAR($C155),MONTH($C155),1))</f>
        <v/>
      </c>
      <c r="F155">
        <f>IF($C155="","",YEAR($C155)&amp;"-Q"&amp;ROUNDUP(MONTH($C155)/3,0))</f>
        <v/>
      </c>
      <c r="L155">
        <f>IF($G155&lt;&gt;"ALCOHOL","",IF($K155="","",$H155*IFERROR(VLOOKUP($K155,Drink_Templates!$A:$G,7,FALSE),0)))</f>
        <v/>
      </c>
    </row>
    <row r="156" ht="15" customHeight="1">
      <c r="C156">
        <f>IF($B156="","",INT($B156))</f>
        <v/>
      </c>
      <c r="D156">
        <f>IF($C156="","",$C156-WEEKDAY($C156,2)+1)</f>
        <v/>
      </c>
      <c r="E156">
        <f>IF($C156="","",DATE(YEAR($C156),MONTH($C156),1))</f>
        <v/>
      </c>
      <c r="F156">
        <f>IF($C156="","",YEAR($C156)&amp;"-Q"&amp;ROUNDUP(MONTH($C156)/3,0))</f>
        <v/>
      </c>
      <c r="L156">
        <f>IF($G156&lt;&gt;"ALCOHOL","",IF($K156="","",$H156*IFERROR(VLOOKUP($K156,Drink_Templates!$A:$G,7,FALSE),0)))</f>
        <v/>
      </c>
    </row>
    <row r="157" ht="15" customHeight="1">
      <c r="C157">
        <f>IF($B157="","",INT($B157))</f>
        <v/>
      </c>
      <c r="D157">
        <f>IF($C157="","",$C157-WEEKDAY($C157,2)+1)</f>
        <v/>
      </c>
      <c r="E157">
        <f>IF($C157="","",DATE(YEAR($C157),MONTH($C157),1))</f>
        <v/>
      </c>
      <c r="F157">
        <f>IF($C157="","",YEAR($C157)&amp;"-Q"&amp;ROUNDUP(MONTH($C157)/3,0))</f>
        <v/>
      </c>
      <c r="L157">
        <f>IF($G157&lt;&gt;"ALCOHOL","",IF($K157="","",$H157*IFERROR(VLOOKUP($K157,Drink_Templates!$A:$G,7,FALSE),0)))</f>
        <v/>
      </c>
    </row>
    <row r="158" ht="15" customHeight="1">
      <c r="C158">
        <f>IF($B158="","",INT($B158))</f>
        <v/>
      </c>
      <c r="D158">
        <f>IF($C158="","",$C158-WEEKDAY($C158,2)+1)</f>
        <v/>
      </c>
      <c r="E158">
        <f>IF($C158="","",DATE(YEAR($C158),MONTH($C158),1))</f>
        <v/>
      </c>
      <c r="F158">
        <f>IF($C158="","",YEAR($C158)&amp;"-Q"&amp;ROUNDUP(MONTH($C158)/3,0))</f>
        <v/>
      </c>
      <c r="L158">
        <f>IF($G158&lt;&gt;"ALCOHOL","",IF($K158="","",$H158*IFERROR(VLOOKUP($K158,Drink_Templates!$A:$G,7,FALSE),0)))</f>
        <v/>
      </c>
    </row>
    <row r="159" ht="15" customHeight="1">
      <c r="C159">
        <f>IF($B159="","",INT($B159))</f>
        <v/>
      </c>
      <c r="D159">
        <f>IF($C159="","",$C159-WEEKDAY($C159,2)+1)</f>
        <v/>
      </c>
      <c r="E159">
        <f>IF($C159="","",DATE(YEAR($C159),MONTH($C159),1))</f>
        <v/>
      </c>
      <c r="F159">
        <f>IF($C159="","",YEAR($C159)&amp;"-Q"&amp;ROUNDUP(MONTH($C159)/3,0))</f>
        <v/>
      </c>
      <c r="L159">
        <f>IF($G159&lt;&gt;"ALCOHOL","",IF($K159="","",$H159*IFERROR(VLOOKUP($K159,Drink_Templates!$A:$G,7,FALSE),0)))</f>
        <v/>
      </c>
    </row>
    <row r="160" ht="15" customHeight="1">
      <c r="C160">
        <f>IF($B160="","",INT($B160))</f>
        <v/>
      </c>
      <c r="D160">
        <f>IF($C160="","",$C160-WEEKDAY($C160,2)+1)</f>
        <v/>
      </c>
      <c r="E160">
        <f>IF($C160="","",DATE(YEAR($C160),MONTH($C160),1))</f>
        <v/>
      </c>
      <c r="F160">
        <f>IF($C160="","",YEAR($C160)&amp;"-Q"&amp;ROUNDUP(MONTH($C160)/3,0))</f>
        <v/>
      </c>
      <c r="L160">
        <f>IF($G160&lt;&gt;"ALCOHOL","",IF($K160="","",$H160*IFERROR(VLOOKUP($K160,Drink_Templates!$A:$G,7,FALSE),0)))</f>
        <v/>
      </c>
    </row>
    <row r="161" ht="15" customHeight="1">
      <c r="C161">
        <f>IF($B161="","",INT($B161))</f>
        <v/>
      </c>
      <c r="D161">
        <f>IF($C161="","",$C161-WEEKDAY($C161,2)+1)</f>
        <v/>
      </c>
      <c r="E161">
        <f>IF($C161="","",DATE(YEAR($C161),MONTH($C161),1))</f>
        <v/>
      </c>
      <c r="F161">
        <f>IF($C161="","",YEAR($C161)&amp;"-Q"&amp;ROUNDUP(MONTH($C161)/3,0))</f>
        <v/>
      </c>
      <c r="L161">
        <f>IF($G161&lt;&gt;"ALCOHOL","",IF($K161="","",$H161*IFERROR(VLOOKUP($K161,Drink_Templates!$A:$G,7,FALSE),0)))</f>
        <v/>
      </c>
    </row>
    <row r="162" ht="15" customHeight="1">
      <c r="C162">
        <f>IF($B162="","",INT($B162))</f>
        <v/>
      </c>
      <c r="D162">
        <f>IF($C162="","",$C162-WEEKDAY($C162,2)+1)</f>
        <v/>
      </c>
      <c r="E162">
        <f>IF($C162="","",DATE(YEAR($C162),MONTH($C162),1))</f>
        <v/>
      </c>
      <c r="F162">
        <f>IF($C162="","",YEAR($C162)&amp;"-Q"&amp;ROUNDUP(MONTH($C162)/3,0))</f>
        <v/>
      </c>
      <c r="L162">
        <f>IF($G162&lt;&gt;"ALCOHOL","",IF($K162="","",$H162*IFERROR(VLOOKUP($K162,Drink_Templates!$A:$G,7,FALSE),0)))</f>
        <v/>
      </c>
    </row>
    <row r="163" ht="15" customHeight="1">
      <c r="C163">
        <f>IF($B163="","",INT($B163))</f>
        <v/>
      </c>
      <c r="D163">
        <f>IF($C163="","",$C163-WEEKDAY($C163,2)+1)</f>
        <v/>
      </c>
      <c r="E163">
        <f>IF($C163="","",DATE(YEAR($C163),MONTH($C163),1))</f>
        <v/>
      </c>
      <c r="F163">
        <f>IF($C163="","",YEAR($C163)&amp;"-Q"&amp;ROUNDUP(MONTH($C163)/3,0))</f>
        <v/>
      </c>
      <c r="L163">
        <f>IF($G163&lt;&gt;"ALCOHOL","",IF($K163="","",$H163*IFERROR(VLOOKUP($K163,Drink_Templates!$A:$G,7,FALSE),0)))</f>
        <v/>
      </c>
    </row>
    <row r="164" ht="15" customHeight="1">
      <c r="C164">
        <f>IF($B164="","",INT($B164))</f>
        <v/>
      </c>
      <c r="D164">
        <f>IF($C164="","",$C164-WEEKDAY($C164,2)+1)</f>
        <v/>
      </c>
      <c r="E164">
        <f>IF($C164="","",DATE(YEAR($C164),MONTH($C164),1))</f>
        <v/>
      </c>
      <c r="F164">
        <f>IF($C164="","",YEAR($C164)&amp;"-Q"&amp;ROUNDUP(MONTH($C164)/3,0))</f>
        <v/>
      </c>
      <c r="L164">
        <f>IF($G164&lt;&gt;"ALCOHOL","",IF($K164="","",$H164*IFERROR(VLOOKUP($K164,Drink_Templates!$A:$G,7,FALSE),0)))</f>
        <v/>
      </c>
    </row>
    <row r="165" ht="15" customHeight="1">
      <c r="C165">
        <f>IF($B165="","",INT($B165))</f>
        <v/>
      </c>
      <c r="D165">
        <f>IF($C165="","",$C165-WEEKDAY($C165,2)+1)</f>
        <v/>
      </c>
      <c r="E165">
        <f>IF($C165="","",DATE(YEAR($C165),MONTH($C165),1))</f>
        <v/>
      </c>
      <c r="F165">
        <f>IF($C165="","",YEAR($C165)&amp;"-Q"&amp;ROUNDUP(MONTH($C165)/3,0))</f>
        <v/>
      </c>
      <c r="L165">
        <f>IF($G165&lt;&gt;"ALCOHOL","",IF($K165="","",$H165*IFERROR(VLOOKUP($K165,Drink_Templates!$A:$G,7,FALSE),0)))</f>
        <v/>
      </c>
    </row>
    <row r="166" ht="15" customHeight="1">
      <c r="C166">
        <f>IF($B166="","",INT($B166))</f>
        <v/>
      </c>
      <c r="D166">
        <f>IF($C166="","",$C166-WEEKDAY($C166,2)+1)</f>
        <v/>
      </c>
      <c r="E166">
        <f>IF($C166="","",DATE(YEAR($C166),MONTH($C166),1))</f>
        <v/>
      </c>
      <c r="F166">
        <f>IF($C166="","",YEAR($C166)&amp;"-Q"&amp;ROUNDUP(MONTH($C166)/3,0))</f>
        <v/>
      </c>
      <c r="L166">
        <f>IF($G166&lt;&gt;"ALCOHOL","",IF($K166="","",$H166*IFERROR(VLOOKUP($K166,Drink_Templates!$A:$G,7,FALSE),0)))</f>
        <v/>
      </c>
    </row>
    <row r="167" ht="15" customHeight="1">
      <c r="C167">
        <f>IF($B167="","",INT($B167))</f>
        <v/>
      </c>
      <c r="D167">
        <f>IF($C167="","",$C167-WEEKDAY($C167,2)+1)</f>
        <v/>
      </c>
      <c r="E167">
        <f>IF($C167="","",DATE(YEAR($C167),MONTH($C167),1))</f>
        <v/>
      </c>
      <c r="F167">
        <f>IF($C167="","",YEAR($C167)&amp;"-Q"&amp;ROUNDUP(MONTH($C167)/3,0))</f>
        <v/>
      </c>
      <c r="L167">
        <f>IF($G167&lt;&gt;"ALCOHOL","",IF($K167="","",$H167*IFERROR(VLOOKUP($K167,Drink_Templates!$A:$G,7,FALSE),0)))</f>
        <v/>
      </c>
    </row>
    <row r="168" ht="15" customHeight="1">
      <c r="C168">
        <f>IF($B168="","",INT($B168))</f>
        <v/>
      </c>
      <c r="D168">
        <f>IF($C168="","",$C168-WEEKDAY($C168,2)+1)</f>
        <v/>
      </c>
      <c r="E168">
        <f>IF($C168="","",DATE(YEAR($C168),MONTH($C168),1))</f>
        <v/>
      </c>
      <c r="F168">
        <f>IF($C168="","",YEAR($C168)&amp;"-Q"&amp;ROUNDUP(MONTH($C168)/3,0))</f>
        <v/>
      </c>
      <c r="L168">
        <f>IF($G168&lt;&gt;"ALCOHOL","",IF($K168="","",$H168*IFERROR(VLOOKUP($K168,Drink_Templates!$A:$G,7,FALSE),0)))</f>
        <v/>
      </c>
    </row>
    <row r="169" ht="15" customHeight="1">
      <c r="C169">
        <f>IF($B169="","",INT($B169))</f>
        <v/>
      </c>
      <c r="D169">
        <f>IF($C169="","",$C169-WEEKDAY($C169,2)+1)</f>
        <v/>
      </c>
      <c r="E169">
        <f>IF($C169="","",DATE(YEAR($C169),MONTH($C169),1))</f>
        <v/>
      </c>
      <c r="F169">
        <f>IF($C169="","",YEAR($C169)&amp;"-Q"&amp;ROUNDUP(MONTH($C169)/3,0))</f>
        <v/>
      </c>
      <c r="L169">
        <f>IF($G169&lt;&gt;"ALCOHOL","",IF($K169="","",$H169*IFERROR(VLOOKUP($K169,Drink_Templates!$A:$G,7,FALSE),0)))</f>
        <v/>
      </c>
    </row>
    <row r="170" ht="15" customHeight="1">
      <c r="C170">
        <f>IF($B170="","",INT($B170))</f>
        <v/>
      </c>
      <c r="D170">
        <f>IF($C170="","",$C170-WEEKDAY($C170,2)+1)</f>
        <v/>
      </c>
      <c r="E170">
        <f>IF($C170="","",DATE(YEAR($C170),MONTH($C170),1))</f>
        <v/>
      </c>
      <c r="F170">
        <f>IF($C170="","",YEAR($C170)&amp;"-Q"&amp;ROUNDUP(MONTH($C170)/3,0))</f>
        <v/>
      </c>
      <c r="L170">
        <f>IF($G170&lt;&gt;"ALCOHOL","",IF($K170="","",$H170*IFERROR(VLOOKUP($K170,Drink_Templates!$A:$G,7,FALSE),0)))</f>
        <v/>
      </c>
    </row>
    <row r="171" ht="15" customHeight="1">
      <c r="C171">
        <f>IF($B171="","",INT($B171))</f>
        <v/>
      </c>
      <c r="D171">
        <f>IF($C171="","",$C171-WEEKDAY($C171,2)+1)</f>
        <v/>
      </c>
      <c r="E171">
        <f>IF($C171="","",DATE(YEAR($C171),MONTH($C171),1))</f>
        <v/>
      </c>
      <c r="F171">
        <f>IF($C171="","",YEAR($C171)&amp;"-Q"&amp;ROUNDUP(MONTH($C171)/3,0))</f>
        <v/>
      </c>
      <c r="L171">
        <f>IF($G171&lt;&gt;"ALCOHOL","",IF($K171="","",$H171*IFERROR(VLOOKUP($K171,Drink_Templates!$A:$G,7,FALSE),0)))</f>
        <v/>
      </c>
    </row>
    <row r="172" ht="15" customHeight="1">
      <c r="C172">
        <f>IF($B172="","",INT($B172))</f>
        <v/>
      </c>
      <c r="D172">
        <f>IF($C172="","",$C172-WEEKDAY($C172,2)+1)</f>
        <v/>
      </c>
      <c r="E172">
        <f>IF($C172="","",DATE(YEAR($C172),MONTH($C172),1))</f>
        <v/>
      </c>
      <c r="F172">
        <f>IF($C172="","",YEAR($C172)&amp;"-Q"&amp;ROUNDUP(MONTH($C172)/3,0))</f>
        <v/>
      </c>
      <c r="L172">
        <f>IF($G172&lt;&gt;"ALCOHOL","",IF($K172="","",$H172*IFERROR(VLOOKUP($K172,Drink_Templates!$A:$G,7,FALSE),0)))</f>
        <v/>
      </c>
    </row>
    <row r="173" ht="15" customHeight="1">
      <c r="C173">
        <f>IF($B173="","",INT($B173))</f>
        <v/>
      </c>
      <c r="D173">
        <f>IF($C173="","",$C173-WEEKDAY($C173,2)+1)</f>
        <v/>
      </c>
      <c r="E173">
        <f>IF($C173="","",DATE(YEAR($C173),MONTH($C173),1))</f>
        <v/>
      </c>
      <c r="F173">
        <f>IF($C173="","",YEAR($C173)&amp;"-Q"&amp;ROUNDUP(MONTH($C173)/3,0))</f>
        <v/>
      </c>
      <c r="L173">
        <f>IF($G173&lt;&gt;"ALCOHOL","",IF($K173="","",$H173*IFERROR(VLOOKUP($K173,Drink_Templates!$A:$G,7,FALSE),0)))</f>
        <v/>
      </c>
    </row>
    <row r="174" ht="15" customHeight="1">
      <c r="C174">
        <f>IF($B174="","",INT($B174))</f>
        <v/>
      </c>
      <c r="D174">
        <f>IF($C174="","",$C174-WEEKDAY($C174,2)+1)</f>
        <v/>
      </c>
      <c r="E174">
        <f>IF($C174="","",DATE(YEAR($C174),MONTH($C174),1))</f>
        <v/>
      </c>
      <c r="F174">
        <f>IF($C174="","",YEAR($C174)&amp;"-Q"&amp;ROUNDUP(MONTH($C174)/3,0))</f>
        <v/>
      </c>
      <c r="L174">
        <f>IF($G174&lt;&gt;"ALCOHOL","",IF($K174="","",$H174*IFERROR(VLOOKUP($K174,Drink_Templates!$A:$G,7,FALSE),0)))</f>
        <v/>
      </c>
    </row>
    <row r="175" ht="15" customHeight="1">
      <c r="C175">
        <f>IF($B175="","",INT($B175))</f>
        <v/>
      </c>
      <c r="D175">
        <f>IF($C175="","",$C175-WEEKDAY($C175,2)+1)</f>
        <v/>
      </c>
      <c r="E175">
        <f>IF($C175="","",DATE(YEAR($C175),MONTH($C175),1))</f>
        <v/>
      </c>
      <c r="F175">
        <f>IF($C175="","",YEAR($C175)&amp;"-Q"&amp;ROUNDUP(MONTH($C175)/3,0))</f>
        <v/>
      </c>
      <c r="L175">
        <f>IF($G175&lt;&gt;"ALCOHOL","",IF($K175="","",$H175*IFERROR(VLOOKUP($K175,Drink_Templates!$A:$G,7,FALSE),0)))</f>
        <v/>
      </c>
    </row>
    <row r="176" ht="15" customHeight="1">
      <c r="C176">
        <f>IF($B176="","",INT($B176))</f>
        <v/>
      </c>
      <c r="D176">
        <f>IF($C176="","",$C176-WEEKDAY($C176,2)+1)</f>
        <v/>
      </c>
      <c r="E176">
        <f>IF($C176="","",DATE(YEAR($C176),MONTH($C176),1))</f>
        <v/>
      </c>
      <c r="F176">
        <f>IF($C176="","",YEAR($C176)&amp;"-Q"&amp;ROUNDUP(MONTH($C176)/3,0))</f>
        <v/>
      </c>
      <c r="L176">
        <f>IF($G176&lt;&gt;"ALCOHOL","",IF($K176="","",$H176*IFERROR(VLOOKUP($K176,Drink_Templates!$A:$G,7,FALSE),0)))</f>
        <v/>
      </c>
    </row>
    <row r="177" ht="15" customHeight="1">
      <c r="C177">
        <f>IF($B177="","",INT($B177))</f>
        <v/>
      </c>
      <c r="D177">
        <f>IF($C177="","",$C177-WEEKDAY($C177,2)+1)</f>
        <v/>
      </c>
      <c r="E177">
        <f>IF($C177="","",DATE(YEAR($C177),MONTH($C177),1))</f>
        <v/>
      </c>
      <c r="F177">
        <f>IF($C177="","",YEAR($C177)&amp;"-Q"&amp;ROUNDUP(MONTH($C177)/3,0))</f>
        <v/>
      </c>
      <c r="L177">
        <f>IF($G177&lt;&gt;"ALCOHOL","",IF($K177="","",$H177*IFERROR(VLOOKUP($K177,Drink_Templates!$A:$G,7,FALSE),0)))</f>
        <v/>
      </c>
    </row>
    <row r="178" ht="15" customHeight="1">
      <c r="C178">
        <f>IF($B178="","",INT($B178))</f>
        <v/>
      </c>
      <c r="D178">
        <f>IF($C178="","",$C178-WEEKDAY($C178,2)+1)</f>
        <v/>
      </c>
      <c r="E178">
        <f>IF($C178="","",DATE(YEAR($C178),MONTH($C178),1))</f>
        <v/>
      </c>
      <c r="F178">
        <f>IF($C178="","",YEAR($C178)&amp;"-Q"&amp;ROUNDUP(MONTH($C178)/3,0))</f>
        <v/>
      </c>
      <c r="L178">
        <f>IF($G178&lt;&gt;"ALCOHOL","",IF($K178="","",$H178*IFERROR(VLOOKUP($K178,Drink_Templates!$A:$G,7,FALSE),0)))</f>
        <v/>
      </c>
    </row>
    <row r="179" ht="15" customHeight="1">
      <c r="C179">
        <f>IF($B179="","",INT($B179))</f>
        <v/>
      </c>
      <c r="D179">
        <f>IF($C179="","",$C179-WEEKDAY($C179,2)+1)</f>
        <v/>
      </c>
      <c r="E179">
        <f>IF($C179="","",DATE(YEAR($C179),MONTH($C179),1))</f>
        <v/>
      </c>
      <c r="F179">
        <f>IF($C179="","",YEAR($C179)&amp;"-Q"&amp;ROUNDUP(MONTH($C179)/3,0))</f>
        <v/>
      </c>
      <c r="L179">
        <f>IF($G179&lt;&gt;"ALCOHOL","",IF($K179="","",$H179*IFERROR(VLOOKUP($K179,Drink_Templates!$A:$G,7,FALSE),0)))</f>
        <v/>
      </c>
    </row>
    <row r="180" ht="15" customHeight="1">
      <c r="C180">
        <f>IF($B180="","",INT($B180))</f>
        <v/>
      </c>
      <c r="D180">
        <f>IF($C180="","",$C180-WEEKDAY($C180,2)+1)</f>
        <v/>
      </c>
      <c r="E180">
        <f>IF($C180="","",DATE(YEAR($C180),MONTH($C180),1))</f>
        <v/>
      </c>
      <c r="F180">
        <f>IF($C180="","",YEAR($C180)&amp;"-Q"&amp;ROUNDUP(MONTH($C180)/3,0))</f>
        <v/>
      </c>
      <c r="L180">
        <f>IF($G180&lt;&gt;"ALCOHOL","",IF($K180="","",$H180*IFERROR(VLOOKUP($K180,Drink_Templates!$A:$G,7,FALSE),0)))</f>
        <v/>
      </c>
    </row>
    <row r="181" ht="15" customHeight="1">
      <c r="C181">
        <f>IF($B181="","",INT($B181))</f>
        <v/>
      </c>
      <c r="D181">
        <f>IF($C181="","",$C181-WEEKDAY($C181,2)+1)</f>
        <v/>
      </c>
      <c r="E181">
        <f>IF($C181="","",DATE(YEAR($C181),MONTH($C181),1))</f>
        <v/>
      </c>
      <c r="F181">
        <f>IF($C181="","",YEAR($C181)&amp;"-Q"&amp;ROUNDUP(MONTH($C181)/3,0))</f>
        <v/>
      </c>
      <c r="L181">
        <f>IF($G181&lt;&gt;"ALCOHOL","",IF($K181="","",$H181*IFERROR(VLOOKUP($K181,Drink_Templates!$A:$G,7,FALSE),0)))</f>
        <v/>
      </c>
    </row>
    <row r="182" ht="15" customHeight="1">
      <c r="C182">
        <f>IF($B182="","",INT($B182))</f>
        <v/>
      </c>
      <c r="D182">
        <f>IF($C182="","",$C182-WEEKDAY($C182,2)+1)</f>
        <v/>
      </c>
      <c r="E182">
        <f>IF($C182="","",DATE(YEAR($C182),MONTH($C182),1))</f>
        <v/>
      </c>
      <c r="F182">
        <f>IF($C182="","",YEAR($C182)&amp;"-Q"&amp;ROUNDUP(MONTH($C182)/3,0))</f>
        <v/>
      </c>
      <c r="L182">
        <f>IF($G182&lt;&gt;"ALCOHOL","",IF($K182="","",$H182*IFERROR(VLOOKUP($K182,Drink_Templates!$A:$G,7,FALSE),0)))</f>
        <v/>
      </c>
    </row>
    <row r="183" ht="15" customHeight="1">
      <c r="C183">
        <f>IF($B183="","",INT($B183))</f>
        <v/>
      </c>
      <c r="D183">
        <f>IF($C183="","",$C183-WEEKDAY($C183,2)+1)</f>
        <v/>
      </c>
      <c r="E183">
        <f>IF($C183="","",DATE(YEAR($C183),MONTH($C183),1))</f>
        <v/>
      </c>
      <c r="F183">
        <f>IF($C183="","",YEAR($C183)&amp;"-Q"&amp;ROUNDUP(MONTH($C183)/3,0))</f>
        <v/>
      </c>
      <c r="L183">
        <f>IF($G183&lt;&gt;"ALCOHOL","",IF($K183="","",$H183*IFERROR(VLOOKUP($K183,Drink_Templates!$A:$G,7,FALSE),0)))</f>
        <v/>
      </c>
    </row>
    <row r="184" ht="15" customHeight="1">
      <c r="C184">
        <f>IF($B184="","",INT($B184))</f>
        <v/>
      </c>
      <c r="D184">
        <f>IF($C184="","",$C184-WEEKDAY($C184,2)+1)</f>
        <v/>
      </c>
      <c r="E184">
        <f>IF($C184="","",DATE(YEAR($C184),MONTH($C184),1))</f>
        <v/>
      </c>
      <c r="F184">
        <f>IF($C184="","",YEAR($C184)&amp;"-Q"&amp;ROUNDUP(MONTH($C184)/3,0))</f>
        <v/>
      </c>
      <c r="L184">
        <f>IF($G184&lt;&gt;"ALCOHOL","",IF($K184="","",$H184*IFERROR(VLOOKUP($K184,Drink_Templates!$A:$G,7,FALSE),0)))</f>
        <v/>
      </c>
    </row>
    <row r="185" ht="15" customHeight="1">
      <c r="C185">
        <f>IF($B185="","",INT($B185))</f>
        <v/>
      </c>
      <c r="D185">
        <f>IF($C185="","",$C185-WEEKDAY($C185,2)+1)</f>
        <v/>
      </c>
      <c r="E185">
        <f>IF($C185="","",DATE(YEAR($C185),MONTH($C185),1))</f>
        <v/>
      </c>
      <c r="F185">
        <f>IF($C185="","",YEAR($C185)&amp;"-Q"&amp;ROUNDUP(MONTH($C185)/3,0))</f>
        <v/>
      </c>
      <c r="L185">
        <f>IF($G185&lt;&gt;"ALCOHOL","",IF($K185="","",$H185*IFERROR(VLOOKUP($K185,Drink_Templates!$A:$G,7,FALSE),0)))</f>
        <v/>
      </c>
    </row>
    <row r="186" ht="15" customHeight="1">
      <c r="C186">
        <f>IF($B186="","",INT($B186))</f>
        <v/>
      </c>
      <c r="D186">
        <f>IF($C186="","",$C186-WEEKDAY($C186,2)+1)</f>
        <v/>
      </c>
      <c r="E186">
        <f>IF($C186="","",DATE(YEAR($C186),MONTH($C186),1))</f>
        <v/>
      </c>
      <c r="F186">
        <f>IF($C186="","",YEAR($C186)&amp;"-Q"&amp;ROUNDUP(MONTH($C186)/3,0))</f>
        <v/>
      </c>
      <c r="L186">
        <f>IF($G186&lt;&gt;"ALCOHOL","",IF($K186="","",$H186*IFERROR(VLOOKUP($K186,Drink_Templates!$A:$G,7,FALSE),0)))</f>
        <v/>
      </c>
    </row>
    <row r="187" ht="15" customHeight="1">
      <c r="C187">
        <f>IF($B187="","",INT($B187))</f>
        <v/>
      </c>
      <c r="D187">
        <f>IF($C187="","",$C187-WEEKDAY($C187,2)+1)</f>
        <v/>
      </c>
      <c r="E187">
        <f>IF($C187="","",DATE(YEAR($C187),MONTH($C187),1))</f>
        <v/>
      </c>
      <c r="F187">
        <f>IF($C187="","",YEAR($C187)&amp;"-Q"&amp;ROUNDUP(MONTH($C187)/3,0))</f>
        <v/>
      </c>
      <c r="L187">
        <f>IF($G187&lt;&gt;"ALCOHOL","",IF($K187="","",$H187*IFERROR(VLOOKUP($K187,Drink_Templates!$A:$G,7,FALSE),0)))</f>
        <v/>
      </c>
    </row>
    <row r="188" ht="15" customHeight="1">
      <c r="C188">
        <f>IF($B188="","",INT($B188))</f>
        <v/>
      </c>
      <c r="D188">
        <f>IF($C188="","",$C188-WEEKDAY($C188,2)+1)</f>
        <v/>
      </c>
      <c r="E188">
        <f>IF($C188="","",DATE(YEAR($C188),MONTH($C188),1))</f>
        <v/>
      </c>
      <c r="F188">
        <f>IF($C188="","",YEAR($C188)&amp;"-Q"&amp;ROUNDUP(MONTH($C188)/3,0))</f>
        <v/>
      </c>
      <c r="L188">
        <f>IF($G188&lt;&gt;"ALCOHOL","",IF($K188="","",$H188*IFERROR(VLOOKUP($K188,Drink_Templates!$A:$G,7,FALSE),0)))</f>
        <v/>
      </c>
    </row>
    <row r="189" ht="15" customHeight="1">
      <c r="C189">
        <f>IF($B189="","",INT($B189))</f>
        <v/>
      </c>
      <c r="D189">
        <f>IF($C189="","",$C189-WEEKDAY($C189,2)+1)</f>
        <v/>
      </c>
      <c r="E189">
        <f>IF($C189="","",DATE(YEAR($C189),MONTH($C189),1))</f>
        <v/>
      </c>
      <c r="F189">
        <f>IF($C189="","",YEAR($C189)&amp;"-Q"&amp;ROUNDUP(MONTH($C189)/3,0))</f>
        <v/>
      </c>
      <c r="L189">
        <f>IF($G189&lt;&gt;"ALCOHOL","",IF($K189="","",$H189*IFERROR(VLOOKUP($K189,Drink_Templates!$A:$G,7,FALSE),0)))</f>
        <v/>
      </c>
    </row>
    <row r="190" ht="15" customHeight="1">
      <c r="C190">
        <f>IF($B190="","",INT($B190))</f>
        <v/>
      </c>
      <c r="D190">
        <f>IF($C190="","",$C190-WEEKDAY($C190,2)+1)</f>
        <v/>
      </c>
      <c r="E190">
        <f>IF($C190="","",DATE(YEAR($C190),MONTH($C190),1))</f>
        <v/>
      </c>
      <c r="F190">
        <f>IF($C190="","",YEAR($C190)&amp;"-Q"&amp;ROUNDUP(MONTH($C190)/3,0))</f>
        <v/>
      </c>
      <c r="L190">
        <f>IF($G190&lt;&gt;"ALCOHOL","",IF($K190="","",$H190*IFERROR(VLOOKUP($K190,Drink_Templates!$A:$G,7,FALSE),0)))</f>
        <v/>
      </c>
    </row>
    <row r="191" ht="15" customHeight="1">
      <c r="C191">
        <f>IF($B191="","",INT($B191))</f>
        <v/>
      </c>
      <c r="D191">
        <f>IF($C191="","",$C191-WEEKDAY($C191,2)+1)</f>
        <v/>
      </c>
      <c r="E191">
        <f>IF($C191="","",DATE(YEAR($C191),MONTH($C191),1))</f>
        <v/>
      </c>
      <c r="F191">
        <f>IF($C191="","",YEAR($C191)&amp;"-Q"&amp;ROUNDUP(MONTH($C191)/3,0))</f>
        <v/>
      </c>
      <c r="L191">
        <f>IF($G191&lt;&gt;"ALCOHOL","",IF($K191="","",$H191*IFERROR(VLOOKUP($K191,Drink_Templates!$A:$G,7,FALSE),0)))</f>
        <v/>
      </c>
    </row>
    <row r="192" ht="15" customHeight="1">
      <c r="C192">
        <f>IF($B192="","",INT($B192))</f>
        <v/>
      </c>
      <c r="D192">
        <f>IF($C192="","",$C192-WEEKDAY($C192,2)+1)</f>
        <v/>
      </c>
      <c r="E192">
        <f>IF($C192="","",DATE(YEAR($C192),MONTH($C192),1))</f>
        <v/>
      </c>
      <c r="F192">
        <f>IF($C192="","",YEAR($C192)&amp;"-Q"&amp;ROUNDUP(MONTH($C192)/3,0))</f>
        <v/>
      </c>
      <c r="L192">
        <f>IF($G192&lt;&gt;"ALCOHOL","",IF($K192="","",$H192*IFERROR(VLOOKUP($K192,Drink_Templates!$A:$G,7,FALSE),0)))</f>
        <v/>
      </c>
    </row>
    <row r="193" ht="15" customHeight="1">
      <c r="C193">
        <f>IF($B193="","",INT($B193))</f>
        <v/>
      </c>
      <c r="D193">
        <f>IF($C193="","",$C193-WEEKDAY($C193,2)+1)</f>
        <v/>
      </c>
      <c r="E193">
        <f>IF($C193="","",DATE(YEAR($C193),MONTH($C193),1))</f>
        <v/>
      </c>
      <c r="F193">
        <f>IF($C193="","",YEAR($C193)&amp;"-Q"&amp;ROUNDUP(MONTH($C193)/3,0))</f>
        <v/>
      </c>
      <c r="L193">
        <f>IF($G193&lt;&gt;"ALCOHOL","",IF($K193="","",$H193*IFERROR(VLOOKUP($K193,Drink_Templates!$A:$G,7,FALSE),0)))</f>
        <v/>
      </c>
    </row>
    <row r="194" ht="15" customHeight="1">
      <c r="C194">
        <f>IF($B194="","",INT($B194))</f>
        <v/>
      </c>
      <c r="D194">
        <f>IF($C194="","",$C194-WEEKDAY($C194,2)+1)</f>
        <v/>
      </c>
      <c r="E194">
        <f>IF($C194="","",DATE(YEAR($C194),MONTH($C194),1))</f>
        <v/>
      </c>
      <c r="F194">
        <f>IF($C194="","",YEAR($C194)&amp;"-Q"&amp;ROUNDUP(MONTH($C194)/3,0))</f>
        <v/>
      </c>
      <c r="L194">
        <f>IF($G194&lt;&gt;"ALCOHOL","",IF($K194="","",$H194*IFERROR(VLOOKUP($K194,Drink_Templates!$A:$G,7,FALSE),0)))</f>
        <v/>
      </c>
    </row>
    <row r="195" ht="15" customHeight="1">
      <c r="C195">
        <f>IF($B195="","",INT($B195))</f>
        <v/>
      </c>
      <c r="D195">
        <f>IF($C195="","",$C195-WEEKDAY($C195,2)+1)</f>
        <v/>
      </c>
      <c r="E195">
        <f>IF($C195="","",DATE(YEAR($C195),MONTH($C195),1))</f>
        <v/>
      </c>
      <c r="F195">
        <f>IF($C195="","",YEAR($C195)&amp;"-Q"&amp;ROUNDUP(MONTH($C195)/3,0))</f>
        <v/>
      </c>
      <c r="L195">
        <f>IF($G195&lt;&gt;"ALCOHOL","",IF($K195="","",$H195*IFERROR(VLOOKUP($K195,Drink_Templates!$A:$G,7,FALSE),0)))</f>
        <v/>
      </c>
    </row>
    <row r="196" ht="15" customHeight="1">
      <c r="C196">
        <f>IF($B196="","",INT($B196))</f>
        <v/>
      </c>
      <c r="D196">
        <f>IF($C196="","",$C196-WEEKDAY($C196,2)+1)</f>
        <v/>
      </c>
      <c r="E196">
        <f>IF($C196="","",DATE(YEAR($C196),MONTH($C196),1))</f>
        <v/>
      </c>
      <c r="F196">
        <f>IF($C196="","",YEAR($C196)&amp;"-Q"&amp;ROUNDUP(MONTH($C196)/3,0))</f>
        <v/>
      </c>
      <c r="L196">
        <f>IF($G196&lt;&gt;"ALCOHOL","",IF($K196="","",$H196*IFERROR(VLOOKUP($K196,Drink_Templates!$A:$G,7,FALSE),0)))</f>
        <v/>
      </c>
    </row>
    <row r="197" ht="15" customHeight="1">
      <c r="C197">
        <f>IF($B197="","",INT($B197))</f>
        <v/>
      </c>
      <c r="D197">
        <f>IF($C197="","",$C197-WEEKDAY($C197,2)+1)</f>
        <v/>
      </c>
      <c r="E197">
        <f>IF($C197="","",DATE(YEAR($C197),MONTH($C197),1))</f>
        <v/>
      </c>
      <c r="F197">
        <f>IF($C197="","",YEAR($C197)&amp;"-Q"&amp;ROUNDUP(MONTH($C197)/3,0))</f>
        <v/>
      </c>
      <c r="L197">
        <f>IF($G197&lt;&gt;"ALCOHOL","",IF($K197="","",$H197*IFERROR(VLOOKUP($K197,Drink_Templates!$A:$G,7,FALSE),0)))</f>
        <v/>
      </c>
    </row>
    <row r="198" ht="15" customHeight="1">
      <c r="C198">
        <f>IF($B198="","",INT($B198))</f>
        <v/>
      </c>
      <c r="D198">
        <f>IF($C198="","",$C198-WEEKDAY($C198,2)+1)</f>
        <v/>
      </c>
      <c r="E198">
        <f>IF($C198="","",DATE(YEAR($C198),MONTH($C198),1))</f>
        <v/>
      </c>
      <c r="F198">
        <f>IF($C198="","",YEAR($C198)&amp;"-Q"&amp;ROUNDUP(MONTH($C198)/3,0))</f>
        <v/>
      </c>
      <c r="L198">
        <f>IF($G198&lt;&gt;"ALCOHOL","",IF($K198="","",$H198*IFERROR(VLOOKUP($K198,Drink_Templates!$A:$G,7,FALSE),0)))</f>
        <v/>
      </c>
    </row>
    <row r="199" ht="15" customHeight="1">
      <c r="C199">
        <f>IF($B199="","",INT($B199))</f>
        <v/>
      </c>
      <c r="D199">
        <f>IF($C199="","",$C199-WEEKDAY($C199,2)+1)</f>
        <v/>
      </c>
      <c r="E199">
        <f>IF($C199="","",DATE(YEAR($C199),MONTH($C199),1))</f>
        <v/>
      </c>
      <c r="F199">
        <f>IF($C199="","",YEAR($C199)&amp;"-Q"&amp;ROUNDUP(MONTH($C199)/3,0))</f>
        <v/>
      </c>
      <c r="L199">
        <f>IF($G199&lt;&gt;"ALCOHOL","",IF($K199="","",$H199*IFERROR(VLOOKUP($K199,Drink_Templates!$A:$G,7,FALSE),0)))</f>
        <v/>
      </c>
    </row>
    <row r="200" ht="15" customHeight="1">
      <c r="C200">
        <f>IF($B200="","",INT($B200))</f>
        <v/>
      </c>
      <c r="D200">
        <f>IF($C200="","",$C200-WEEKDAY($C200,2)+1)</f>
        <v/>
      </c>
      <c r="E200">
        <f>IF($C200="","",DATE(YEAR($C200),MONTH($C200),1))</f>
        <v/>
      </c>
      <c r="F200">
        <f>IF($C200="","",YEAR($C200)&amp;"-Q"&amp;ROUNDUP(MONTH($C200)/3,0))</f>
        <v/>
      </c>
      <c r="L200">
        <f>IF($G200&lt;&gt;"ALCOHOL","",IF($K200="","",$H200*IFERROR(VLOOKUP($K200,Drink_Templates!$A:$G,7,FALSE),0)))</f>
        <v/>
      </c>
    </row>
    <row r="201" ht="15" customHeight="1">
      <c r="C201">
        <f>IF($B201="","",INT($B201))</f>
        <v/>
      </c>
      <c r="D201">
        <f>IF($C201="","",$C201-WEEKDAY($C201,2)+1)</f>
        <v/>
      </c>
      <c r="E201">
        <f>IF($C201="","",DATE(YEAR($C201),MONTH($C201),1))</f>
        <v/>
      </c>
      <c r="F201">
        <f>IF($C201="","",YEAR($C201)&amp;"-Q"&amp;ROUNDUP(MONTH($C201)/3,0))</f>
        <v/>
      </c>
      <c r="L201">
        <f>IF($G201&lt;&gt;"ALCOHOL","",IF($K201="","",$H201*IFERROR(VLOOKUP($K201,Drink_Templates!$A:$G,7,FALSE),0)))</f>
        <v/>
      </c>
    </row>
    <row r="202" ht="15" customHeight="1">
      <c r="C202">
        <f>IF($B202="","",INT($B202))</f>
        <v/>
      </c>
      <c r="D202">
        <f>IF($C202="","",$C202-WEEKDAY($C202,2)+1)</f>
        <v/>
      </c>
      <c r="E202">
        <f>IF($C202="","",DATE(YEAR($C202),MONTH($C202),1))</f>
        <v/>
      </c>
      <c r="F202">
        <f>IF($C202="","",YEAR($C202)&amp;"-Q"&amp;ROUNDUP(MONTH($C202)/3,0))</f>
        <v/>
      </c>
      <c r="L202">
        <f>IF($G202&lt;&gt;"ALCOHOL","",IF($K202="","",$H202*IFERROR(VLOOKUP($K202,Drink_Templates!$A:$G,7,FALSE),0)))</f>
        <v/>
      </c>
    </row>
    <row r="203" ht="15" customHeight="1">
      <c r="C203">
        <f>IF($B203="","",INT($B203))</f>
        <v/>
      </c>
      <c r="D203">
        <f>IF($C203="","",$C203-WEEKDAY($C203,2)+1)</f>
        <v/>
      </c>
      <c r="E203">
        <f>IF($C203="","",DATE(YEAR($C203),MONTH($C203),1))</f>
        <v/>
      </c>
      <c r="F203">
        <f>IF($C203="","",YEAR($C203)&amp;"-Q"&amp;ROUNDUP(MONTH($C203)/3,0))</f>
        <v/>
      </c>
      <c r="L203">
        <f>IF($G203&lt;&gt;"ALCOHOL","",IF($K203="","",$H203*IFERROR(VLOOKUP($K203,Drink_Templates!$A:$G,7,FALSE),0)))</f>
        <v/>
      </c>
    </row>
    <row r="204" ht="15" customHeight="1">
      <c r="C204">
        <f>IF($B204="","",INT($B204))</f>
        <v/>
      </c>
      <c r="D204">
        <f>IF($C204="","",$C204-WEEKDAY($C204,2)+1)</f>
        <v/>
      </c>
      <c r="E204">
        <f>IF($C204="","",DATE(YEAR($C204),MONTH($C204),1))</f>
        <v/>
      </c>
      <c r="F204">
        <f>IF($C204="","",YEAR($C204)&amp;"-Q"&amp;ROUNDUP(MONTH($C204)/3,0))</f>
        <v/>
      </c>
      <c r="L204">
        <f>IF($G204&lt;&gt;"ALCOHOL","",IF($K204="","",$H204*IFERROR(VLOOKUP($K204,Drink_Templates!$A:$G,7,FALSE),0)))</f>
        <v/>
      </c>
    </row>
    <row r="205" ht="15" customHeight="1">
      <c r="C205">
        <f>IF($B205="","",INT($B205))</f>
        <v/>
      </c>
      <c r="D205">
        <f>IF($C205="","",$C205-WEEKDAY($C205,2)+1)</f>
        <v/>
      </c>
      <c r="E205">
        <f>IF($C205="","",DATE(YEAR($C205),MONTH($C205),1))</f>
        <v/>
      </c>
      <c r="F205">
        <f>IF($C205="","",YEAR($C205)&amp;"-Q"&amp;ROUNDUP(MONTH($C205)/3,0))</f>
        <v/>
      </c>
      <c r="L205">
        <f>IF($G205&lt;&gt;"ALCOHOL","",IF($K205="","",$H205*IFERROR(VLOOKUP($K205,Drink_Templates!$A:$G,7,FALSE),0)))</f>
        <v/>
      </c>
    </row>
    <row r="206" ht="15" customHeight="1">
      <c r="C206">
        <f>IF($B206="","",INT($B206))</f>
        <v/>
      </c>
      <c r="D206">
        <f>IF($C206="","",$C206-WEEKDAY($C206,2)+1)</f>
        <v/>
      </c>
      <c r="E206">
        <f>IF($C206="","",DATE(YEAR($C206),MONTH($C206),1))</f>
        <v/>
      </c>
      <c r="F206">
        <f>IF($C206="","",YEAR($C206)&amp;"-Q"&amp;ROUNDUP(MONTH($C206)/3,0))</f>
        <v/>
      </c>
      <c r="L206">
        <f>IF($G206&lt;&gt;"ALCOHOL","",IF($K206="","",$H206*IFERROR(VLOOKUP($K206,Drink_Templates!$A:$G,7,FALSE),0)))</f>
        <v/>
      </c>
    </row>
    <row r="207" ht="15" customHeight="1">
      <c r="C207">
        <f>IF($B207="","",INT($B207))</f>
        <v/>
      </c>
      <c r="D207">
        <f>IF($C207="","",$C207-WEEKDAY($C207,2)+1)</f>
        <v/>
      </c>
      <c r="E207">
        <f>IF($C207="","",DATE(YEAR($C207),MONTH($C207),1))</f>
        <v/>
      </c>
      <c r="F207">
        <f>IF($C207="","",YEAR($C207)&amp;"-Q"&amp;ROUNDUP(MONTH($C207)/3,0))</f>
        <v/>
      </c>
      <c r="L207">
        <f>IF($G207&lt;&gt;"ALCOHOL","",IF($K207="","",$H207*IFERROR(VLOOKUP($K207,Drink_Templates!$A:$G,7,FALSE),0)))</f>
        <v/>
      </c>
    </row>
    <row r="208" ht="15" customHeight="1">
      <c r="C208">
        <f>IF($B208="","",INT($B208))</f>
        <v/>
      </c>
      <c r="D208">
        <f>IF($C208="","",$C208-WEEKDAY($C208,2)+1)</f>
        <v/>
      </c>
      <c r="E208">
        <f>IF($C208="","",DATE(YEAR($C208),MONTH($C208),1))</f>
        <v/>
      </c>
      <c r="F208">
        <f>IF($C208="","",YEAR($C208)&amp;"-Q"&amp;ROUNDUP(MONTH($C208)/3,0))</f>
        <v/>
      </c>
      <c r="L208">
        <f>IF($G208&lt;&gt;"ALCOHOL","",IF($K208="","",$H208*IFERROR(VLOOKUP($K208,Drink_Templates!$A:$G,7,FALSE),0)))</f>
        <v/>
      </c>
    </row>
    <row r="209" ht="15" customHeight="1">
      <c r="C209">
        <f>IF($B209="","",INT($B209))</f>
        <v/>
      </c>
      <c r="D209">
        <f>IF($C209="","",$C209-WEEKDAY($C209,2)+1)</f>
        <v/>
      </c>
      <c r="E209">
        <f>IF($C209="","",DATE(YEAR($C209),MONTH($C209),1))</f>
        <v/>
      </c>
      <c r="F209">
        <f>IF($C209="","",YEAR($C209)&amp;"-Q"&amp;ROUNDUP(MONTH($C209)/3,0))</f>
        <v/>
      </c>
      <c r="L209">
        <f>IF($G209&lt;&gt;"ALCOHOL","",IF($K209="","",$H209*IFERROR(VLOOKUP($K209,Drink_Templates!$A:$G,7,FALSE),0)))</f>
        <v/>
      </c>
    </row>
    <row r="210" ht="15" customHeight="1">
      <c r="C210">
        <f>IF($B210="","",INT($B210))</f>
        <v/>
      </c>
      <c r="D210">
        <f>IF($C210="","",$C210-WEEKDAY($C210,2)+1)</f>
        <v/>
      </c>
      <c r="E210">
        <f>IF($C210="","",DATE(YEAR($C210),MONTH($C210),1))</f>
        <v/>
      </c>
      <c r="F210">
        <f>IF($C210="","",YEAR($C210)&amp;"-Q"&amp;ROUNDUP(MONTH($C210)/3,0))</f>
        <v/>
      </c>
      <c r="L210">
        <f>IF($G210&lt;&gt;"ALCOHOL","",IF($K210="","",$H210*IFERROR(VLOOKUP($K210,Drink_Templates!$A:$G,7,FALSE),0)))</f>
        <v/>
      </c>
    </row>
    <row r="211" ht="15" customHeight="1">
      <c r="C211">
        <f>IF($B211="","",INT($B211))</f>
        <v/>
      </c>
      <c r="D211">
        <f>IF($C211="","",$C211-WEEKDAY($C211,2)+1)</f>
        <v/>
      </c>
      <c r="E211">
        <f>IF($C211="","",DATE(YEAR($C211),MONTH($C211),1))</f>
        <v/>
      </c>
      <c r="F211">
        <f>IF($C211="","",YEAR($C211)&amp;"-Q"&amp;ROUNDUP(MONTH($C211)/3,0))</f>
        <v/>
      </c>
      <c r="L211">
        <f>IF($G211&lt;&gt;"ALCOHOL","",IF($K211="","",$H211*IFERROR(VLOOKUP($K211,Drink_Templates!$A:$G,7,FALSE),0)))</f>
        <v/>
      </c>
    </row>
    <row r="212" ht="15" customHeight="1">
      <c r="C212">
        <f>IF($B212="","",INT($B212))</f>
        <v/>
      </c>
      <c r="D212">
        <f>IF($C212="","",$C212-WEEKDAY($C212,2)+1)</f>
        <v/>
      </c>
      <c r="E212">
        <f>IF($C212="","",DATE(YEAR($C212),MONTH($C212),1))</f>
        <v/>
      </c>
      <c r="F212">
        <f>IF($C212="","",YEAR($C212)&amp;"-Q"&amp;ROUNDUP(MONTH($C212)/3,0))</f>
        <v/>
      </c>
      <c r="L212">
        <f>IF($G212&lt;&gt;"ALCOHOL","",IF($K212="","",$H212*IFERROR(VLOOKUP($K212,Drink_Templates!$A:$G,7,FALSE),0)))</f>
        <v/>
      </c>
    </row>
    <row r="213" ht="15" customHeight="1">
      <c r="C213">
        <f>IF($B213="","",INT($B213))</f>
        <v/>
      </c>
      <c r="D213">
        <f>IF($C213="","",$C213-WEEKDAY($C213,2)+1)</f>
        <v/>
      </c>
      <c r="E213">
        <f>IF($C213="","",DATE(YEAR($C213),MONTH($C213),1))</f>
        <v/>
      </c>
      <c r="F213">
        <f>IF($C213="","",YEAR($C213)&amp;"-Q"&amp;ROUNDUP(MONTH($C213)/3,0))</f>
        <v/>
      </c>
      <c r="L213">
        <f>IF($G213&lt;&gt;"ALCOHOL","",IF($K213="","",$H213*IFERROR(VLOOKUP($K213,Drink_Templates!$A:$G,7,FALSE),0)))</f>
        <v/>
      </c>
    </row>
    <row r="214" ht="15" customHeight="1">
      <c r="C214">
        <f>IF($B214="","",INT($B214))</f>
        <v/>
      </c>
      <c r="D214">
        <f>IF($C214="","",$C214-WEEKDAY($C214,2)+1)</f>
        <v/>
      </c>
      <c r="E214">
        <f>IF($C214="","",DATE(YEAR($C214),MONTH($C214),1))</f>
        <v/>
      </c>
      <c r="F214">
        <f>IF($C214="","",YEAR($C214)&amp;"-Q"&amp;ROUNDUP(MONTH($C214)/3,0))</f>
        <v/>
      </c>
      <c r="L214">
        <f>IF($G214&lt;&gt;"ALCOHOL","",IF($K214="","",$H214*IFERROR(VLOOKUP($K214,Drink_Templates!$A:$G,7,FALSE),0)))</f>
        <v/>
      </c>
    </row>
    <row r="215" ht="15" customHeight="1">
      <c r="C215">
        <f>IF($B215="","",INT($B215))</f>
        <v/>
      </c>
      <c r="D215">
        <f>IF($C215="","",$C215-WEEKDAY($C215,2)+1)</f>
        <v/>
      </c>
      <c r="E215">
        <f>IF($C215="","",DATE(YEAR($C215),MONTH($C215),1))</f>
        <v/>
      </c>
      <c r="F215">
        <f>IF($C215="","",YEAR($C215)&amp;"-Q"&amp;ROUNDUP(MONTH($C215)/3,0))</f>
        <v/>
      </c>
      <c r="L215">
        <f>IF($G215&lt;&gt;"ALCOHOL","",IF($K215="","",$H215*IFERROR(VLOOKUP($K215,Drink_Templates!$A:$G,7,FALSE),0)))</f>
        <v/>
      </c>
    </row>
    <row r="216" ht="15" customHeight="1">
      <c r="C216">
        <f>IF($B216="","",INT($B216))</f>
        <v/>
      </c>
      <c r="D216">
        <f>IF($C216="","",$C216-WEEKDAY($C216,2)+1)</f>
        <v/>
      </c>
      <c r="E216">
        <f>IF($C216="","",DATE(YEAR($C216),MONTH($C216),1))</f>
        <v/>
      </c>
      <c r="F216">
        <f>IF($C216="","",YEAR($C216)&amp;"-Q"&amp;ROUNDUP(MONTH($C216)/3,0))</f>
        <v/>
      </c>
      <c r="L216">
        <f>IF($G216&lt;&gt;"ALCOHOL","",IF($K216="","",$H216*IFERROR(VLOOKUP($K216,Drink_Templates!$A:$G,7,FALSE),0)))</f>
        <v/>
      </c>
    </row>
    <row r="217" ht="15" customHeight="1">
      <c r="C217">
        <f>IF($B217="","",INT($B217))</f>
        <v/>
      </c>
      <c r="D217">
        <f>IF($C217="","",$C217-WEEKDAY($C217,2)+1)</f>
        <v/>
      </c>
      <c r="E217">
        <f>IF($C217="","",DATE(YEAR($C217),MONTH($C217),1))</f>
        <v/>
      </c>
      <c r="F217">
        <f>IF($C217="","",YEAR($C217)&amp;"-Q"&amp;ROUNDUP(MONTH($C217)/3,0))</f>
        <v/>
      </c>
      <c r="L217">
        <f>IF($G217&lt;&gt;"ALCOHOL","",IF($K217="","",$H217*IFERROR(VLOOKUP($K217,Drink_Templates!$A:$G,7,FALSE),0)))</f>
        <v/>
      </c>
    </row>
    <row r="218" ht="15" customHeight="1">
      <c r="C218">
        <f>IF($B218="","",INT($B218))</f>
        <v/>
      </c>
      <c r="D218">
        <f>IF($C218="","",$C218-WEEKDAY($C218,2)+1)</f>
        <v/>
      </c>
      <c r="E218">
        <f>IF($C218="","",DATE(YEAR($C218),MONTH($C218),1))</f>
        <v/>
      </c>
      <c r="F218">
        <f>IF($C218="","",YEAR($C218)&amp;"-Q"&amp;ROUNDUP(MONTH($C218)/3,0))</f>
        <v/>
      </c>
      <c r="L218">
        <f>IF($G218&lt;&gt;"ALCOHOL","",IF($K218="","",$H218*IFERROR(VLOOKUP($K218,Drink_Templates!$A:$G,7,FALSE),0)))</f>
        <v/>
      </c>
    </row>
    <row r="219" ht="15" customHeight="1">
      <c r="C219">
        <f>IF($B219="","",INT($B219))</f>
        <v/>
      </c>
      <c r="D219">
        <f>IF($C219="","",$C219-WEEKDAY($C219,2)+1)</f>
        <v/>
      </c>
      <c r="E219">
        <f>IF($C219="","",DATE(YEAR($C219),MONTH($C219),1))</f>
        <v/>
      </c>
      <c r="F219">
        <f>IF($C219="","",YEAR($C219)&amp;"-Q"&amp;ROUNDUP(MONTH($C219)/3,0))</f>
        <v/>
      </c>
      <c r="L219">
        <f>IF($G219&lt;&gt;"ALCOHOL","",IF($K219="","",$H219*IFERROR(VLOOKUP($K219,Drink_Templates!$A:$G,7,FALSE),0)))</f>
        <v/>
      </c>
    </row>
    <row r="220" ht="15" customHeight="1">
      <c r="C220">
        <f>IF($B220="","",INT($B220))</f>
        <v/>
      </c>
      <c r="D220">
        <f>IF($C220="","",$C220-WEEKDAY($C220,2)+1)</f>
        <v/>
      </c>
      <c r="E220">
        <f>IF($C220="","",DATE(YEAR($C220),MONTH($C220),1))</f>
        <v/>
      </c>
      <c r="F220">
        <f>IF($C220="","",YEAR($C220)&amp;"-Q"&amp;ROUNDUP(MONTH($C220)/3,0))</f>
        <v/>
      </c>
      <c r="L220">
        <f>IF($G220&lt;&gt;"ALCOHOL","",IF($K220="","",$H220*IFERROR(VLOOKUP($K220,Drink_Templates!$A:$G,7,FALSE),0)))</f>
        <v/>
      </c>
    </row>
    <row r="221" ht="15" customHeight="1">
      <c r="C221">
        <f>IF($B221="","",INT($B221))</f>
        <v/>
      </c>
      <c r="D221">
        <f>IF($C221="","",$C221-WEEKDAY($C221,2)+1)</f>
        <v/>
      </c>
      <c r="E221">
        <f>IF($C221="","",DATE(YEAR($C221),MONTH($C221),1))</f>
        <v/>
      </c>
      <c r="F221">
        <f>IF($C221="","",YEAR($C221)&amp;"-Q"&amp;ROUNDUP(MONTH($C221)/3,0))</f>
        <v/>
      </c>
      <c r="L221">
        <f>IF($G221&lt;&gt;"ALCOHOL","",IF($K221="","",$H221*IFERROR(VLOOKUP($K221,Drink_Templates!$A:$G,7,FALSE),0)))</f>
        <v/>
      </c>
    </row>
    <row r="222" ht="15" customHeight="1">
      <c r="C222">
        <f>IF($B222="","",INT($B222))</f>
        <v/>
      </c>
      <c r="D222">
        <f>IF($C222="","",$C222-WEEKDAY($C222,2)+1)</f>
        <v/>
      </c>
      <c r="E222">
        <f>IF($C222="","",DATE(YEAR($C222),MONTH($C222),1))</f>
        <v/>
      </c>
      <c r="F222">
        <f>IF($C222="","",YEAR($C222)&amp;"-Q"&amp;ROUNDUP(MONTH($C222)/3,0))</f>
        <v/>
      </c>
      <c r="L222">
        <f>IF($G222&lt;&gt;"ALCOHOL","",IF($K222="","",$H222*IFERROR(VLOOKUP($K222,Drink_Templates!$A:$G,7,FALSE),0)))</f>
        <v/>
      </c>
    </row>
    <row r="223" ht="15" customHeight="1">
      <c r="C223">
        <f>IF($B223="","",INT($B223))</f>
        <v/>
      </c>
      <c r="D223">
        <f>IF($C223="","",$C223-WEEKDAY($C223,2)+1)</f>
        <v/>
      </c>
      <c r="E223">
        <f>IF($C223="","",DATE(YEAR($C223),MONTH($C223),1))</f>
        <v/>
      </c>
      <c r="F223">
        <f>IF($C223="","",YEAR($C223)&amp;"-Q"&amp;ROUNDUP(MONTH($C223)/3,0))</f>
        <v/>
      </c>
      <c r="L223">
        <f>IF($G223&lt;&gt;"ALCOHOL","",IF($K223="","",$H223*IFERROR(VLOOKUP($K223,Drink_Templates!$A:$G,7,FALSE),0)))</f>
        <v/>
      </c>
    </row>
    <row r="224" ht="15" customHeight="1">
      <c r="C224">
        <f>IF($B224="","",INT($B224))</f>
        <v/>
      </c>
      <c r="D224">
        <f>IF($C224="","",$C224-WEEKDAY($C224,2)+1)</f>
        <v/>
      </c>
      <c r="E224">
        <f>IF($C224="","",DATE(YEAR($C224),MONTH($C224),1))</f>
        <v/>
      </c>
      <c r="F224">
        <f>IF($C224="","",YEAR($C224)&amp;"-Q"&amp;ROUNDUP(MONTH($C224)/3,0))</f>
        <v/>
      </c>
      <c r="L224">
        <f>IF($G224&lt;&gt;"ALCOHOL","",IF($K224="","",$H224*IFERROR(VLOOKUP($K224,Drink_Templates!$A:$G,7,FALSE),0)))</f>
        <v/>
      </c>
    </row>
    <row r="225" ht="15" customHeight="1">
      <c r="C225">
        <f>IF($B225="","",INT($B225))</f>
        <v/>
      </c>
      <c r="D225">
        <f>IF($C225="","",$C225-WEEKDAY($C225,2)+1)</f>
        <v/>
      </c>
      <c r="E225">
        <f>IF($C225="","",DATE(YEAR($C225),MONTH($C225),1))</f>
        <v/>
      </c>
      <c r="F225">
        <f>IF($C225="","",YEAR($C225)&amp;"-Q"&amp;ROUNDUP(MONTH($C225)/3,0))</f>
        <v/>
      </c>
      <c r="L225">
        <f>IF($G225&lt;&gt;"ALCOHOL","",IF($K225="","",$H225*IFERROR(VLOOKUP($K225,Drink_Templates!$A:$G,7,FALSE),0)))</f>
        <v/>
      </c>
    </row>
    <row r="226" ht="15" customHeight="1">
      <c r="C226">
        <f>IF($B226="","",INT($B226))</f>
        <v/>
      </c>
      <c r="D226">
        <f>IF($C226="","",$C226-WEEKDAY($C226,2)+1)</f>
        <v/>
      </c>
      <c r="E226">
        <f>IF($C226="","",DATE(YEAR($C226),MONTH($C226),1))</f>
        <v/>
      </c>
      <c r="F226">
        <f>IF($C226="","",YEAR($C226)&amp;"-Q"&amp;ROUNDUP(MONTH($C226)/3,0))</f>
        <v/>
      </c>
      <c r="L226">
        <f>IF($G226&lt;&gt;"ALCOHOL","",IF($K226="","",$H226*IFERROR(VLOOKUP($K226,Drink_Templates!$A:$G,7,FALSE),0)))</f>
        <v/>
      </c>
    </row>
    <row r="227" ht="15" customHeight="1">
      <c r="C227">
        <f>IF($B227="","",INT($B227))</f>
        <v/>
      </c>
      <c r="D227">
        <f>IF($C227="","",$C227-WEEKDAY($C227,2)+1)</f>
        <v/>
      </c>
      <c r="E227">
        <f>IF($C227="","",DATE(YEAR($C227),MONTH($C227),1))</f>
        <v/>
      </c>
      <c r="F227">
        <f>IF($C227="","",YEAR($C227)&amp;"-Q"&amp;ROUNDUP(MONTH($C227)/3,0))</f>
        <v/>
      </c>
      <c r="L227">
        <f>IF($G227&lt;&gt;"ALCOHOL","",IF($K227="","",$H227*IFERROR(VLOOKUP($K227,Drink_Templates!$A:$G,7,FALSE),0)))</f>
        <v/>
      </c>
    </row>
    <row r="228" ht="15" customHeight="1">
      <c r="C228">
        <f>IF($B228="","",INT($B228))</f>
        <v/>
      </c>
      <c r="D228">
        <f>IF($C228="","",$C228-WEEKDAY($C228,2)+1)</f>
        <v/>
      </c>
      <c r="E228">
        <f>IF($C228="","",DATE(YEAR($C228),MONTH($C228),1))</f>
        <v/>
      </c>
      <c r="F228">
        <f>IF($C228="","",YEAR($C228)&amp;"-Q"&amp;ROUNDUP(MONTH($C228)/3,0))</f>
        <v/>
      </c>
      <c r="L228">
        <f>IF($G228&lt;&gt;"ALCOHOL","",IF($K228="","",$H228*IFERROR(VLOOKUP($K228,Drink_Templates!$A:$G,7,FALSE),0)))</f>
        <v/>
      </c>
    </row>
    <row r="229" ht="15" customHeight="1">
      <c r="C229">
        <f>IF($B229="","",INT($B229))</f>
        <v/>
      </c>
      <c r="D229">
        <f>IF($C229="","",$C229-WEEKDAY($C229,2)+1)</f>
        <v/>
      </c>
      <c r="E229">
        <f>IF($C229="","",DATE(YEAR($C229),MONTH($C229),1))</f>
        <v/>
      </c>
      <c r="F229">
        <f>IF($C229="","",YEAR($C229)&amp;"-Q"&amp;ROUNDUP(MONTH($C229)/3,0))</f>
        <v/>
      </c>
      <c r="L229">
        <f>IF($G229&lt;&gt;"ALCOHOL","",IF($K229="","",$H229*IFERROR(VLOOKUP($K229,Drink_Templates!$A:$G,7,FALSE),0)))</f>
        <v/>
      </c>
    </row>
    <row r="230" ht="15" customHeight="1">
      <c r="C230">
        <f>IF($B230="","",INT($B230))</f>
        <v/>
      </c>
      <c r="D230">
        <f>IF($C230="","",$C230-WEEKDAY($C230,2)+1)</f>
        <v/>
      </c>
      <c r="E230">
        <f>IF($C230="","",DATE(YEAR($C230),MONTH($C230),1))</f>
        <v/>
      </c>
      <c r="F230">
        <f>IF($C230="","",YEAR($C230)&amp;"-Q"&amp;ROUNDUP(MONTH($C230)/3,0))</f>
        <v/>
      </c>
      <c r="L230">
        <f>IF($G230&lt;&gt;"ALCOHOL","",IF($K230="","",$H230*IFERROR(VLOOKUP($K230,Drink_Templates!$A:$G,7,FALSE),0)))</f>
        <v/>
      </c>
    </row>
    <row r="231" ht="15" customHeight="1">
      <c r="C231">
        <f>IF($B231="","",INT($B231))</f>
        <v/>
      </c>
      <c r="D231">
        <f>IF($C231="","",$C231-WEEKDAY($C231,2)+1)</f>
        <v/>
      </c>
      <c r="E231">
        <f>IF($C231="","",DATE(YEAR($C231),MONTH($C231),1))</f>
        <v/>
      </c>
      <c r="F231">
        <f>IF($C231="","",YEAR($C231)&amp;"-Q"&amp;ROUNDUP(MONTH($C231)/3,0))</f>
        <v/>
      </c>
      <c r="L231">
        <f>IF($G231&lt;&gt;"ALCOHOL","",IF($K231="","",$H231*IFERROR(VLOOKUP($K231,Drink_Templates!$A:$G,7,FALSE),0)))</f>
        <v/>
      </c>
    </row>
    <row r="232" ht="15" customHeight="1">
      <c r="C232">
        <f>IF($B232="","",INT($B232))</f>
        <v/>
      </c>
      <c r="D232">
        <f>IF($C232="","",$C232-WEEKDAY($C232,2)+1)</f>
        <v/>
      </c>
      <c r="E232">
        <f>IF($C232="","",DATE(YEAR($C232),MONTH($C232),1))</f>
        <v/>
      </c>
      <c r="F232">
        <f>IF($C232="","",YEAR($C232)&amp;"-Q"&amp;ROUNDUP(MONTH($C232)/3,0))</f>
        <v/>
      </c>
      <c r="L232">
        <f>IF($G232&lt;&gt;"ALCOHOL","",IF($K232="","",$H232*IFERROR(VLOOKUP($K232,Drink_Templates!$A:$G,7,FALSE),0)))</f>
        <v/>
      </c>
    </row>
    <row r="233" ht="15" customHeight="1">
      <c r="C233">
        <f>IF($B233="","",INT($B233))</f>
        <v/>
      </c>
      <c r="D233">
        <f>IF($C233="","",$C233-WEEKDAY($C233,2)+1)</f>
        <v/>
      </c>
      <c r="E233">
        <f>IF($C233="","",DATE(YEAR($C233),MONTH($C233),1))</f>
        <v/>
      </c>
      <c r="F233">
        <f>IF($C233="","",YEAR($C233)&amp;"-Q"&amp;ROUNDUP(MONTH($C233)/3,0))</f>
        <v/>
      </c>
      <c r="L233">
        <f>IF($G233&lt;&gt;"ALCOHOL","",IF($K233="","",$H233*IFERROR(VLOOKUP($K233,Drink_Templates!$A:$G,7,FALSE),0)))</f>
        <v/>
      </c>
    </row>
    <row r="234" ht="15" customHeight="1">
      <c r="C234">
        <f>IF($B234="","",INT($B234))</f>
        <v/>
      </c>
      <c r="D234">
        <f>IF($C234="","",$C234-WEEKDAY($C234,2)+1)</f>
        <v/>
      </c>
      <c r="E234">
        <f>IF($C234="","",DATE(YEAR($C234),MONTH($C234),1))</f>
        <v/>
      </c>
      <c r="F234">
        <f>IF($C234="","",YEAR($C234)&amp;"-Q"&amp;ROUNDUP(MONTH($C234)/3,0))</f>
        <v/>
      </c>
      <c r="L234">
        <f>IF($G234&lt;&gt;"ALCOHOL","",IF($K234="","",$H234*IFERROR(VLOOKUP($K234,Drink_Templates!$A:$G,7,FALSE),0)))</f>
        <v/>
      </c>
    </row>
    <row r="235" ht="15" customHeight="1">
      <c r="C235">
        <f>IF($B235="","",INT($B235))</f>
        <v/>
      </c>
      <c r="D235">
        <f>IF($C235="","",$C235-WEEKDAY($C235,2)+1)</f>
        <v/>
      </c>
      <c r="E235">
        <f>IF($C235="","",DATE(YEAR($C235),MONTH($C235),1))</f>
        <v/>
      </c>
      <c r="F235">
        <f>IF($C235="","",YEAR($C235)&amp;"-Q"&amp;ROUNDUP(MONTH($C235)/3,0))</f>
        <v/>
      </c>
      <c r="L235">
        <f>IF($G235&lt;&gt;"ALCOHOL","",IF($K235="","",$H235*IFERROR(VLOOKUP($K235,Drink_Templates!$A:$G,7,FALSE),0)))</f>
        <v/>
      </c>
    </row>
    <row r="236" ht="15" customHeight="1">
      <c r="C236">
        <f>IF($B236="","",INT($B236))</f>
        <v/>
      </c>
      <c r="D236">
        <f>IF($C236="","",$C236-WEEKDAY($C236,2)+1)</f>
        <v/>
      </c>
      <c r="E236">
        <f>IF($C236="","",DATE(YEAR($C236),MONTH($C236),1))</f>
        <v/>
      </c>
      <c r="F236">
        <f>IF($C236="","",YEAR($C236)&amp;"-Q"&amp;ROUNDUP(MONTH($C236)/3,0))</f>
        <v/>
      </c>
      <c r="L236">
        <f>IF($G236&lt;&gt;"ALCOHOL","",IF($K236="","",$H236*IFERROR(VLOOKUP($K236,Drink_Templates!$A:$G,7,FALSE),0)))</f>
        <v/>
      </c>
    </row>
    <row r="237" ht="15" customHeight="1">
      <c r="C237">
        <f>IF($B237="","",INT($B237))</f>
        <v/>
      </c>
      <c r="D237">
        <f>IF($C237="","",$C237-WEEKDAY($C237,2)+1)</f>
        <v/>
      </c>
      <c r="E237">
        <f>IF($C237="","",DATE(YEAR($C237),MONTH($C237),1))</f>
        <v/>
      </c>
      <c r="F237">
        <f>IF($C237="","",YEAR($C237)&amp;"-Q"&amp;ROUNDUP(MONTH($C237)/3,0))</f>
        <v/>
      </c>
      <c r="L237">
        <f>IF($G237&lt;&gt;"ALCOHOL","",IF($K237="","",$H237*IFERROR(VLOOKUP($K237,Drink_Templates!$A:$G,7,FALSE),0)))</f>
        <v/>
      </c>
    </row>
    <row r="238" ht="15" customHeight="1">
      <c r="C238">
        <f>IF($B238="","",INT($B238))</f>
        <v/>
      </c>
      <c r="D238">
        <f>IF($C238="","",$C238-WEEKDAY($C238,2)+1)</f>
        <v/>
      </c>
      <c r="E238">
        <f>IF($C238="","",DATE(YEAR($C238),MONTH($C238),1))</f>
        <v/>
      </c>
      <c r="F238">
        <f>IF($C238="","",YEAR($C238)&amp;"-Q"&amp;ROUNDUP(MONTH($C238)/3,0))</f>
        <v/>
      </c>
      <c r="L238">
        <f>IF($G238&lt;&gt;"ALCOHOL","",IF($K238="","",$H238*IFERROR(VLOOKUP($K238,Drink_Templates!$A:$G,7,FALSE),0)))</f>
        <v/>
      </c>
    </row>
    <row r="239" ht="15" customHeight="1">
      <c r="C239">
        <f>IF($B239="","",INT($B239))</f>
        <v/>
      </c>
      <c r="D239">
        <f>IF($C239="","",$C239-WEEKDAY($C239,2)+1)</f>
        <v/>
      </c>
      <c r="E239">
        <f>IF($C239="","",DATE(YEAR($C239),MONTH($C239),1))</f>
        <v/>
      </c>
      <c r="F239">
        <f>IF($C239="","",YEAR($C239)&amp;"-Q"&amp;ROUNDUP(MONTH($C239)/3,0))</f>
        <v/>
      </c>
      <c r="L239">
        <f>IF($G239&lt;&gt;"ALCOHOL","",IF($K239="","",$H239*IFERROR(VLOOKUP($K239,Drink_Templates!$A:$G,7,FALSE),0)))</f>
        <v/>
      </c>
    </row>
    <row r="240" ht="15" customHeight="1">
      <c r="C240">
        <f>IF($B240="","",INT($B240))</f>
        <v/>
      </c>
      <c r="D240">
        <f>IF($C240="","",$C240-WEEKDAY($C240,2)+1)</f>
        <v/>
      </c>
      <c r="E240">
        <f>IF($C240="","",DATE(YEAR($C240),MONTH($C240),1))</f>
        <v/>
      </c>
      <c r="F240">
        <f>IF($C240="","",YEAR($C240)&amp;"-Q"&amp;ROUNDUP(MONTH($C240)/3,0))</f>
        <v/>
      </c>
      <c r="L240">
        <f>IF($G240&lt;&gt;"ALCOHOL","",IF($K240="","",$H240*IFERROR(VLOOKUP($K240,Drink_Templates!$A:$G,7,FALSE),0)))</f>
        <v/>
      </c>
    </row>
    <row r="241" ht="15" customHeight="1">
      <c r="C241">
        <f>IF($B241="","",INT($B241))</f>
        <v/>
      </c>
      <c r="D241">
        <f>IF($C241="","",$C241-WEEKDAY($C241,2)+1)</f>
        <v/>
      </c>
      <c r="E241">
        <f>IF($C241="","",DATE(YEAR($C241),MONTH($C241),1))</f>
        <v/>
      </c>
      <c r="F241">
        <f>IF($C241="","",YEAR($C241)&amp;"-Q"&amp;ROUNDUP(MONTH($C241)/3,0))</f>
        <v/>
      </c>
      <c r="L241">
        <f>IF($G241&lt;&gt;"ALCOHOL","",IF($K241="","",$H241*IFERROR(VLOOKUP($K241,Drink_Templates!$A:$G,7,FALSE),0)))</f>
        <v/>
      </c>
    </row>
    <row r="242" ht="15" customHeight="1">
      <c r="C242">
        <f>IF($B242="","",INT($B242))</f>
        <v/>
      </c>
      <c r="D242">
        <f>IF($C242="","",$C242-WEEKDAY($C242,2)+1)</f>
        <v/>
      </c>
      <c r="E242">
        <f>IF($C242="","",DATE(YEAR($C242),MONTH($C242),1))</f>
        <v/>
      </c>
      <c r="F242">
        <f>IF($C242="","",YEAR($C242)&amp;"-Q"&amp;ROUNDUP(MONTH($C242)/3,0))</f>
        <v/>
      </c>
      <c r="L242">
        <f>IF($G242&lt;&gt;"ALCOHOL","",IF($K242="","",$H242*IFERROR(VLOOKUP($K242,Drink_Templates!$A:$G,7,FALSE),0)))</f>
        <v/>
      </c>
    </row>
    <row r="243" ht="15" customHeight="1">
      <c r="C243">
        <f>IF($B243="","",INT($B243))</f>
        <v/>
      </c>
      <c r="D243">
        <f>IF($C243="","",$C243-WEEKDAY($C243,2)+1)</f>
        <v/>
      </c>
      <c r="E243">
        <f>IF($C243="","",DATE(YEAR($C243),MONTH($C243),1))</f>
        <v/>
      </c>
      <c r="F243">
        <f>IF($C243="","",YEAR($C243)&amp;"-Q"&amp;ROUNDUP(MONTH($C243)/3,0))</f>
        <v/>
      </c>
      <c r="L243">
        <f>IF($G243&lt;&gt;"ALCOHOL","",IF($K243="","",$H243*IFERROR(VLOOKUP($K243,Drink_Templates!$A:$G,7,FALSE),0)))</f>
        <v/>
      </c>
    </row>
    <row r="244" ht="15" customHeight="1">
      <c r="C244">
        <f>IF($B244="","",INT($B244))</f>
        <v/>
      </c>
      <c r="D244">
        <f>IF($C244="","",$C244-WEEKDAY($C244,2)+1)</f>
        <v/>
      </c>
      <c r="E244">
        <f>IF($C244="","",DATE(YEAR($C244),MONTH($C244),1))</f>
        <v/>
      </c>
      <c r="F244">
        <f>IF($C244="","",YEAR($C244)&amp;"-Q"&amp;ROUNDUP(MONTH($C244)/3,0))</f>
        <v/>
      </c>
      <c r="L244">
        <f>IF($G244&lt;&gt;"ALCOHOL","",IF($K244="","",$H244*IFERROR(VLOOKUP($K244,Drink_Templates!$A:$G,7,FALSE),0)))</f>
        <v/>
      </c>
    </row>
    <row r="245" ht="15" customHeight="1">
      <c r="C245">
        <f>IF($B245="","",INT($B245))</f>
        <v/>
      </c>
      <c r="D245">
        <f>IF($C245="","",$C245-WEEKDAY($C245,2)+1)</f>
        <v/>
      </c>
      <c r="E245">
        <f>IF($C245="","",DATE(YEAR($C245),MONTH($C245),1))</f>
        <v/>
      </c>
      <c r="F245">
        <f>IF($C245="","",YEAR($C245)&amp;"-Q"&amp;ROUNDUP(MONTH($C245)/3,0))</f>
        <v/>
      </c>
      <c r="L245">
        <f>IF($G245&lt;&gt;"ALCOHOL","",IF($K245="","",$H245*IFERROR(VLOOKUP($K245,Drink_Templates!$A:$G,7,FALSE),0)))</f>
        <v/>
      </c>
    </row>
    <row r="246" ht="15" customHeight="1">
      <c r="C246">
        <f>IF($B246="","",INT($B246))</f>
        <v/>
      </c>
      <c r="D246">
        <f>IF($C246="","",$C246-WEEKDAY($C246,2)+1)</f>
        <v/>
      </c>
      <c r="E246">
        <f>IF($C246="","",DATE(YEAR($C246),MONTH($C246),1))</f>
        <v/>
      </c>
      <c r="F246">
        <f>IF($C246="","",YEAR($C246)&amp;"-Q"&amp;ROUNDUP(MONTH($C246)/3,0))</f>
        <v/>
      </c>
      <c r="L246">
        <f>IF($G246&lt;&gt;"ALCOHOL","",IF($K246="","",$H246*IFERROR(VLOOKUP($K246,Drink_Templates!$A:$G,7,FALSE),0)))</f>
        <v/>
      </c>
    </row>
    <row r="247" ht="15" customHeight="1">
      <c r="C247">
        <f>IF($B247="","",INT($B247))</f>
        <v/>
      </c>
      <c r="D247">
        <f>IF($C247="","",$C247-WEEKDAY($C247,2)+1)</f>
        <v/>
      </c>
      <c r="E247">
        <f>IF($C247="","",DATE(YEAR($C247),MONTH($C247),1))</f>
        <v/>
      </c>
      <c r="F247">
        <f>IF($C247="","",YEAR($C247)&amp;"-Q"&amp;ROUNDUP(MONTH($C247)/3,0))</f>
        <v/>
      </c>
      <c r="L247">
        <f>IF($G247&lt;&gt;"ALCOHOL","",IF($K247="","",$H247*IFERROR(VLOOKUP($K247,Drink_Templates!$A:$G,7,FALSE),0)))</f>
        <v/>
      </c>
    </row>
    <row r="248" ht="15" customHeight="1">
      <c r="C248">
        <f>IF($B248="","",INT($B248))</f>
        <v/>
      </c>
      <c r="D248">
        <f>IF($C248="","",$C248-WEEKDAY($C248,2)+1)</f>
        <v/>
      </c>
      <c r="E248">
        <f>IF($C248="","",DATE(YEAR($C248),MONTH($C248),1))</f>
        <v/>
      </c>
      <c r="F248">
        <f>IF($C248="","",YEAR($C248)&amp;"-Q"&amp;ROUNDUP(MONTH($C248)/3,0))</f>
        <v/>
      </c>
      <c r="L248">
        <f>IF($G248&lt;&gt;"ALCOHOL","",IF($K248="","",$H248*IFERROR(VLOOKUP($K248,Drink_Templates!$A:$G,7,FALSE),0)))</f>
        <v/>
      </c>
    </row>
    <row r="249" ht="15" customHeight="1">
      <c r="C249">
        <f>IF($B249="","",INT($B249))</f>
        <v/>
      </c>
      <c r="D249">
        <f>IF($C249="","",$C249-WEEKDAY($C249,2)+1)</f>
        <v/>
      </c>
      <c r="E249">
        <f>IF($C249="","",DATE(YEAR($C249),MONTH($C249),1))</f>
        <v/>
      </c>
      <c r="F249">
        <f>IF($C249="","",YEAR($C249)&amp;"-Q"&amp;ROUNDUP(MONTH($C249)/3,0))</f>
        <v/>
      </c>
      <c r="L249">
        <f>IF($G249&lt;&gt;"ALCOHOL","",IF($K249="","",$H249*IFERROR(VLOOKUP($K249,Drink_Templates!$A:$G,7,FALSE),0)))</f>
        <v/>
      </c>
    </row>
    <row r="250" ht="15" customHeight="1">
      <c r="C250">
        <f>IF($B250="","",INT($B250))</f>
        <v/>
      </c>
      <c r="D250">
        <f>IF($C250="","",$C250-WEEKDAY($C250,2)+1)</f>
        <v/>
      </c>
      <c r="E250">
        <f>IF($C250="","",DATE(YEAR($C250),MONTH($C250),1))</f>
        <v/>
      </c>
      <c r="F250">
        <f>IF($C250="","",YEAR($C250)&amp;"-Q"&amp;ROUNDUP(MONTH($C250)/3,0))</f>
        <v/>
      </c>
      <c r="L250">
        <f>IF($G250&lt;&gt;"ALCOHOL","",IF($K250="","",$H250*IFERROR(VLOOKUP($K250,Drink_Templates!$A:$G,7,FALSE),0)))</f>
        <v/>
      </c>
    </row>
    <row r="251" ht="15" customHeight="1">
      <c r="C251">
        <f>IF($B251="","",INT($B251))</f>
        <v/>
      </c>
      <c r="D251">
        <f>IF($C251="","",$C251-WEEKDAY($C251,2)+1)</f>
        <v/>
      </c>
      <c r="E251">
        <f>IF($C251="","",DATE(YEAR($C251),MONTH($C251),1))</f>
        <v/>
      </c>
      <c r="F251">
        <f>IF($C251="","",YEAR($C251)&amp;"-Q"&amp;ROUNDUP(MONTH($C251)/3,0))</f>
        <v/>
      </c>
      <c r="L251">
        <f>IF($G251&lt;&gt;"ALCOHOL","",IF($K251="","",$H251*IFERROR(VLOOKUP($K251,Drink_Templates!$A:$G,7,FALSE),0)))</f>
        <v/>
      </c>
    </row>
    <row r="252" ht="15" customHeight="1">
      <c r="C252">
        <f>IF($B252="","",INT($B252))</f>
        <v/>
      </c>
      <c r="D252">
        <f>IF($C252="","",$C252-WEEKDAY($C252,2)+1)</f>
        <v/>
      </c>
      <c r="E252">
        <f>IF($C252="","",DATE(YEAR($C252),MONTH($C252),1))</f>
        <v/>
      </c>
      <c r="F252">
        <f>IF($C252="","",YEAR($C252)&amp;"-Q"&amp;ROUNDUP(MONTH($C252)/3,0))</f>
        <v/>
      </c>
      <c r="L252">
        <f>IF($G252&lt;&gt;"ALCOHOL","",IF($K252="","",$H252*IFERROR(VLOOKUP($K252,Drink_Templates!$A:$G,7,FALSE),0)))</f>
        <v/>
      </c>
    </row>
    <row r="253" ht="15" customHeight="1">
      <c r="C253">
        <f>IF($B253="","",INT($B253))</f>
        <v/>
      </c>
      <c r="D253">
        <f>IF($C253="","",$C253-WEEKDAY($C253,2)+1)</f>
        <v/>
      </c>
      <c r="E253">
        <f>IF($C253="","",DATE(YEAR($C253),MONTH($C253),1))</f>
        <v/>
      </c>
      <c r="F253">
        <f>IF($C253="","",YEAR($C253)&amp;"-Q"&amp;ROUNDUP(MONTH($C253)/3,0))</f>
        <v/>
      </c>
      <c r="L253">
        <f>IF($G253&lt;&gt;"ALCOHOL","",IF($K253="","",$H253*IFERROR(VLOOKUP($K253,Drink_Templates!$A:$G,7,FALSE),0)))</f>
        <v/>
      </c>
    </row>
    <row r="254" ht="15" customHeight="1">
      <c r="C254">
        <f>IF($B254="","",INT($B254))</f>
        <v/>
      </c>
      <c r="D254">
        <f>IF($C254="","",$C254-WEEKDAY($C254,2)+1)</f>
        <v/>
      </c>
      <c r="E254">
        <f>IF($C254="","",DATE(YEAR($C254),MONTH($C254),1))</f>
        <v/>
      </c>
      <c r="F254">
        <f>IF($C254="","",YEAR($C254)&amp;"-Q"&amp;ROUNDUP(MONTH($C254)/3,0))</f>
        <v/>
      </c>
      <c r="L254">
        <f>IF($G254&lt;&gt;"ALCOHOL","",IF($K254="","",$H254*IFERROR(VLOOKUP($K254,Drink_Templates!$A:$G,7,FALSE),0)))</f>
        <v/>
      </c>
    </row>
    <row r="255" ht="15" customHeight="1">
      <c r="C255">
        <f>IF($B255="","",INT($B255))</f>
        <v/>
      </c>
      <c r="D255">
        <f>IF($C255="","",$C255-WEEKDAY($C255,2)+1)</f>
        <v/>
      </c>
      <c r="E255">
        <f>IF($C255="","",DATE(YEAR($C255),MONTH($C255),1))</f>
        <v/>
      </c>
      <c r="F255">
        <f>IF($C255="","",YEAR($C255)&amp;"-Q"&amp;ROUNDUP(MONTH($C255)/3,0))</f>
        <v/>
      </c>
      <c r="L255">
        <f>IF($G255&lt;&gt;"ALCOHOL","",IF($K255="","",$H255*IFERROR(VLOOKUP($K255,Drink_Templates!$A:$G,7,FALSE),0)))</f>
        <v/>
      </c>
    </row>
    <row r="256" ht="15" customHeight="1">
      <c r="C256">
        <f>IF($B256="","",INT($B256))</f>
        <v/>
      </c>
      <c r="D256">
        <f>IF($C256="","",$C256-WEEKDAY($C256,2)+1)</f>
        <v/>
      </c>
      <c r="E256">
        <f>IF($C256="","",DATE(YEAR($C256),MONTH($C256),1))</f>
        <v/>
      </c>
      <c r="F256">
        <f>IF($C256="","",YEAR($C256)&amp;"-Q"&amp;ROUNDUP(MONTH($C256)/3,0))</f>
        <v/>
      </c>
      <c r="L256">
        <f>IF($G256&lt;&gt;"ALCOHOL","",IF($K256="","",$H256*IFERROR(VLOOKUP($K256,Drink_Templates!$A:$G,7,FALSE),0)))</f>
        <v/>
      </c>
    </row>
    <row r="257" ht="15" customHeight="1">
      <c r="C257">
        <f>IF($B257="","",INT($B257))</f>
        <v/>
      </c>
      <c r="D257">
        <f>IF($C257="","",$C257-WEEKDAY($C257,2)+1)</f>
        <v/>
      </c>
      <c r="E257">
        <f>IF($C257="","",DATE(YEAR($C257),MONTH($C257),1))</f>
        <v/>
      </c>
      <c r="F257">
        <f>IF($C257="","",YEAR($C257)&amp;"-Q"&amp;ROUNDUP(MONTH($C257)/3,0))</f>
        <v/>
      </c>
      <c r="L257">
        <f>IF($G257&lt;&gt;"ALCOHOL","",IF($K257="","",$H257*IFERROR(VLOOKUP($K257,Drink_Templates!$A:$G,7,FALSE),0)))</f>
        <v/>
      </c>
    </row>
    <row r="258" ht="15" customHeight="1">
      <c r="C258">
        <f>IF($B258="","",INT($B258))</f>
        <v/>
      </c>
      <c r="D258">
        <f>IF($C258="","",$C258-WEEKDAY($C258,2)+1)</f>
        <v/>
      </c>
      <c r="E258">
        <f>IF($C258="","",DATE(YEAR($C258),MONTH($C258),1))</f>
        <v/>
      </c>
      <c r="F258">
        <f>IF($C258="","",YEAR($C258)&amp;"-Q"&amp;ROUNDUP(MONTH($C258)/3,0))</f>
        <v/>
      </c>
      <c r="L258">
        <f>IF($G258&lt;&gt;"ALCOHOL","",IF($K258="","",$H258*IFERROR(VLOOKUP($K258,Drink_Templates!$A:$G,7,FALSE),0)))</f>
        <v/>
      </c>
    </row>
    <row r="259" ht="15" customHeight="1">
      <c r="C259">
        <f>IF($B259="","",INT($B259))</f>
        <v/>
      </c>
      <c r="D259">
        <f>IF($C259="","",$C259-WEEKDAY($C259,2)+1)</f>
        <v/>
      </c>
      <c r="E259">
        <f>IF($C259="","",DATE(YEAR($C259),MONTH($C259),1))</f>
        <v/>
      </c>
      <c r="F259">
        <f>IF($C259="","",YEAR($C259)&amp;"-Q"&amp;ROUNDUP(MONTH($C259)/3,0))</f>
        <v/>
      </c>
      <c r="L259">
        <f>IF($G259&lt;&gt;"ALCOHOL","",IF($K259="","",$H259*IFERROR(VLOOKUP($K259,Drink_Templates!$A:$G,7,FALSE),0)))</f>
        <v/>
      </c>
    </row>
    <row r="260" ht="15" customHeight="1">
      <c r="C260">
        <f>IF($B260="","",INT($B260))</f>
        <v/>
      </c>
      <c r="D260">
        <f>IF($C260="","",$C260-WEEKDAY($C260,2)+1)</f>
        <v/>
      </c>
      <c r="E260">
        <f>IF($C260="","",DATE(YEAR($C260),MONTH($C260),1))</f>
        <v/>
      </c>
      <c r="F260">
        <f>IF($C260="","",YEAR($C260)&amp;"-Q"&amp;ROUNDUP(MONTH($C260)/3,0))</f>
        <v/>
      </c>
      <c r="L260">
        <f>IF($G260&lt;&gt;"ALCOHOL","",IF($K260="","",$H260*IFERROR(VLOOKUP($K260,Drink_Templates!$A:$G,7,FALSE),0)))</f>
        <v/>
      </c>
    </row>
    <row r="261" ht="15" customHeight="1">
      <c r="C261">
        <f>IF($B261="","",INT($B261))</f>
        <v/>
      </c>
      <c r="D261">
        <f>IF($C261="","",$C261-WEEKDAY($C261,2)+1)</f>
        <v/>
      </c>
      <c r="E261">
        <f>IF($C261="","",DATE(YEAR($C261),MONTH($C261),1))</f>
        <v/>
      </c>
      <c r="F261">
        <f>IF($C261="","",YEAR($C261)&amp;"-Q"&amp;ROUNDUP(MONTH($C261)/3,0))</f>
        <v/>
      </c>
      <c r="L261">
        <f>IF($G261&lt;&gt;"ALCOHOL","",IF($K261="","",$H261*IFERROR(VLOOKUP($K261,Drink_Templates!$A:$G,7,FALSE),0)))</f>
        <v/>
      </c>
    </row>
    <row r="262" ht="15" customHeight="1">
      <c r="C262">
        <f>IF($B262="","",INT($B262))</f>
        <v/>
      </c>
      <c r="D262">
        <f>IF($C262="","",$C262-WEEKDAY($C262,2)+1)</f>
        <v/>
      </c>
      <c r="E262">
        <f>IF($C262="","",DATE(YEAR($C262),MONTH($C262),1))</f>
        <v/>
      </c>
      <c r="F262">
        <f>IF($C262="","",YEAR($C262)&amp;"-Q"&amp;ROUNDUP(MONTH($C262)/3,0))</f>
        <v/>
      </c>
      <c r="L262">
        <f>IF($G262&lt;&gt;"ALCOHOL","",IF($K262="","",$H262*IFERROR(VLOOKUP($K262,Drink_Templates!$A:$G,7,FALSE),0)))</f>
        <v/>
      </c>
    </row>
    <row r="263" ht="15" customHeight="1">
      <c r="C263">
        <f>IF($B263="","",INT($B263))</f>
        <v/>
      </c>
      <c r="D263">
        <f>IF($C263="","",$C263-WEEKDAY($C263,2)+1)</f>
        <v/>
      </c>
      <c r="E263">
        <f>IF($C263="","",DATE(YEAR($C263),MONTH($C263),1))</f>
        <v/>
      </c>
      <c r="F263">
        <f>IF($C263="","",YEAR($C263)&amp;"-Q"&amp;ROUNDUP(MONTH($C263)/3,0))</f>
        <v/>
      </c>
      <c r="L263">
        <f>IF($G263&lt;&gt;"ALCOHOL","",IF($K263="","",$H263*IFERROR(VLOOKUP($K263,Drink_Templates!$A:$G,7,FALSE),0)))</f>
        <v/>
      </c>
    </row>
    <row r="264" ht="15" customHeight="1">
      <c r="C264">
        <f>IF($B264="","",INT($B264))</f>
        <v/>
      </c>
      <c r="D264">
        <f>IF($C264="","",$C264-WEEKDAY($C264,2)+1)</f>
        <v/>
      </c>
      <c r="E264">
        <f>IF($C264="","",DATE(YEAR($C264),MONTH($C264),1))</f>
        <v/>
      </c>
      <c r="F264">
        <f>IF($C264="","",YEAR($C264)&amp;"-Q"&amp;ROUNDUP(MONTH($C264)/3,0))</f>
        <v/>
      </c>
      <c r="L264">
        <f>IF($G264&lt;&gt;"ALCOHOL","",IF($K264="","",$H264*IFERROR(VLOOKUP($K264,Drink_Templates!$A:$G,7,FALSE),0)))</f>
        <v/>
      </c>
    </row>
    <row r="265" ht="15" customHeight="1">
      <c r="C265">
        <f>IF($B265="","",INT($B265))</f>
        <v/>
      </c>
      <c r="D265">
        <f>IF($C265="","",$C265-WEEKDAY($C265,2)+1)</f>
        <v/>
      </c>
      <c r="E265">
        <f>IF($C265="","",DATE(YEAR($C265),MONTH($C265),1))</f>
        <v/>
      </c>
      <c r="F265">
        <f>IF($C265="","",YEAR($C265)&amp;"-Q"&amp;ROUNDUP(MONTH($C265)/3,0))</f>
        <v/>
      </c>
      <c r="L265">
        <f>IF($G265&lt;&gt;"ALCOHOL","",IF($K265="","",$H265*IFERROR(VLOOKUP($K265,Drink_Templates!$A:$G,7,FALSE),0)))</f>
        <v/>
      </c>
    </row>
    <row r="266" ht="15" customHeight="1">
      <c r="C266">
        <f>IF($B266="","",INT($B266))</f>
        <v/>
      </c>
      <c r="D266">
        <f>IF($C266="","",$C266-WEEKDAY($C266,2)+1)</f>
        <v/>
      </c>
      <c r="E266">
        <f>IF($C266="","",DATE(YEAR($C266),MONTH($C266),1))</f>
        <v/>
      </c>
      <c r="F266">
        <f>IF($C266="","",YEAR($C266)&amp;"-Q"&amp;ROUNDUP(MONTH($C266)/3,0))</f>
        <v/>
      </c>
      <c r="L266">
        <f>IF($G266&lt;&gt;"ALCOHOL","",IF($K266="","",$H266*IFERROR(VLOOKUP($K266,Drink_Templates!$A:$G,7,FALSE),0)))</f>
        <v/>
      </c>
    </row>
    <row r="267" ht="15" customHeight="1">
      <c r="C267">
        <f>IF($B267="","",INT($B267))</f>
        <v/>
      </c>
      <c r="D267">
        <f>IF($C267="","",$C267-WEEKDAY($C267,2)+1)</f>
        <v/>
      </c>
      <c r="E267">
        <f>IF($C267="","",DATE(YEAR($C267),MONTH($C267),1))</f>
        <v/>
      </c>
      <c r="F267">
        <f>IF($C267="","",YEAR($C267)&amp;"-Q"&amp;ROUNDUP(MONTH($C267)/3,0))</f>
        <v/>
      </c>
      <c r="L267">
        <f>IF($G267&lt;&gt;"ALCOHOL","",IF($K267="","",$H267*IFERROR(VLOOKUP($K267,Drink_Templates!$A:$G,7,FALSE),0)))</f>
        <v/>
      </c>
    </row>
    <row r="268" ht="15" customHeight="1">
      <c r="C268">
        <f>IF($B268="","",INT($B268))</f>
        <v/>
      </c>
      <c r="D268">
        <f>IF($C268="","",$C268-WEEKDAY($C268,2)+1)</f>
        <v/>
      </c>
      <c r="E268">
        <f>IF($C268="","",DATE(YEAR($C268),MONTH($C268),1))</f>
        <v/>
      </c>
      <c r="F268">
        <f>IF($C268="","",YEAR($C268)&amp;"-Q"&amp;ROUNDUP(MONTH($C268)/3,0))</f>
        <v/>
      </c>
      <c r="L268">
        <f>IF($G268&lt;&gt;"ALCOHOL","",IF($K268="","",$H268*IFERROR(VLOOKUP($K268,Drink_Templates!$A:$G,7,FALSE),0)))</f>
        <v/>
      </c>
    </row>
    <row r="269" ht="15" customHeight="1">
      <c r="C269">
        <f>IF($B269="","",INT($B269))</f>
        <v/>
      </c>
      <c r="D269">
        <f>IF($C269="","",$C269-WEEKDAY($C269,2)+1)</f>
        <v/>
      </c>
      <c r="E269">
        <f>IF($C269="","",DATE(YEAR($C269),MONTH($C269),1))</f>
        <v/>
      </c>
      <c r="F269">
        <f>IF($C269="","",YEAR($C269)&amp;"-Q"&amp;ROUNDUP(MONTH($C269)/3,0))</f>
        <v/>
      </c>
      <c r="L269">
        <f>IF($G269&lt;&gt;"ALCOHOL","",IF($K269="","",$H269*IFERROR(VLOOKUP($K269,Drink_Templates!$A:$G,7,FALSE),0)))</f>
        <v/>
      </c>
    </row>
    <row r="270" ht="15" customHeight="1">
      <c r="C270">
        <f>IF($B270="","",INT($B270))</f>
        <v/>
      </c>
      <c r="D270">
        <f>IF($C270="","",$C270-WEEKDAY($C270,2)+1)</f>
        <v/>
      </c>
      <c r="E270">
        <f>IF($C270="","",DATE(YEAR($C270),MONTH($C270),1))</f>
        <v/>
      </c>
      <c r="F270">
        <f>IF($C270="","",YEAR($C270)&amp;"-Q"&amp;ROUNDUP(MONTH($C270)/3,0))</f>
        <v/>
      </c>
      <c r="L270">
        <f>IF($G270&lt;&gt;"ALCOHOL","",IF($K270="","",$H270*IFERROR(VLOOKUP($K270,Drink_Templates!$A:$G,7,FALSE),0)))</f>
        <v/>
      </c>
    </row>
    <row r="271" ht="15" customHeight="1">
      <c r="C271">
        <f>IF($B271="","",INT($B271))</f>
        <v/>
      </c>
      <c r="D271">
        <f>IF($C271="","",$C271-WEEKDAY($C271,2)+1)</f>
        <v/>
      </c>
      <c r="E271">
        <f>IF($C271="","",DATE(YEAR($C271),MONTH($C271),1))</f>
        <v/>
      </c>
      <c r="F271">
        <f>IF($C271="","",YEAR($C271)&amp;"-Q"&amp;ROUNDUP(MONTH($C271)/3,0))</f>
        <v/>
      </c>
      <c r="L271">
        <f>IF($G271&lt;&gt;"ALCOHOL","",IF($K271="","",$H271*IFERROR(VLOOKUP($K271,Drink_Templates!$A:$G,7,FALSE),0)))</f>
        <v/>
      </c>
    </row>
    <row r="272" ht="15" customHeight="1">
      <c r="C272">
        <f>IF($B272="","",INT($B272))</f>
        <v/>
      </c>
      <c r="D272">
        <f>IF($C272="","",$C272-WEEKDAY($C272,2)+1)</f>
        <v/>
      </c>
      <c r="E272">
        <f>IF($C272="","",DATE(YEAR($C272),MONTH($C272),1))</f>
        <v/>
      </c>
      <c r="F272">
        <f>IF($C272="","",YEAR($C272)&amp;"-Q"&amp;ROUNDUP(MONTH($C272)/3,0))</f>
        <v/>
      </c>
      <c r="L272">
        <f>IF($G272&lt;&gt;"ALCOHOL","",IF($K272="","",$H272*IFERROR(VLOOKUP($K272,Drink_Templates!$A:$G,7,FALSE),0)))</f>
        <v/>
      </c>
    </row>
    <row r="273" ht="15" customHeight="1">
      <c r="C273">
        <f>IF($B273="","",INT($B273))</f>
        <v/>
      </c>
      <c r="D273">
        <f>IF($C273="","",$C273-WEEKDAY($C273,2)+1)</f>
        <v/>
      </c>
      <c r="E273">
        <f>IF($C273="","",DATE(YEAR($C273),MONTH($C273),1))</f>
        <v/>
      </c>
      <c r="F273">
        <f>IF($C273="","",YEAR($C273)&amp;"-Q"&amp;ROUNDUP(MONTH($C273)/3,0))</f>
        <v/>
      </c>
      <c r="L273">
        <f>IF($G273&lt;&gt;"ALCOHOL","",IF($K273="","",$H273*IFERROR(VLOOKUP($K273,Drink_Templates!$A:$G,7,FALSE),0)))</f>
        <v/>
      </c>
    </row>
    <row r="274" ht="15" customHeight="1">
      <c r="C274">
        <f>IF($B274="","",INT($B274))</f>
        <v/>
      </c>
      <c r="D274">
        <f>IF($C274="","",$C274-WEEKDAY($C274,2)+1)</f>
        <v/>
      </c>
      <c r="E274">
        <f>IF($C274="","",DATE(YEAR($C274),MONTH($C274),1))</f>
        <v/>
      </c>
      <c r="F274">
        <f>IF($C274="","",YEAR($C274)&amp;"-Q"&amp;ROUNDUP(MONTH($C274)/3,0))</f>
        <v/>
      </c>
      <c r="L274">
        <f>IF($G274&lt;&gt;"ALCOHOL","",IF($K274="","",$H274*IFERROR(VLOOKUP($K274,Drink_Templates!$A:$G,7,FALSE),0)))</f>
        <v/>
      </c>
    </row>
    <row r="275" ht="15" customHeight="1">
      <c r="C275">
        <f>IF($B275="","",INT($B275))</f>
        <v/>
      </c>
      <c r="D275">
        <f>IF($C275="","",$C275-WEEKDAY($C275,2)+1)</f>
        <v/>
      </c>
      <c r="E275">
        <f>IF($C275="","",DATE(YEAR($C275),MONTH($C275),1))</f>
        <v/>
      </c>
      <c r="F275">
        <f>IF($C275="","",YEAR($C275)&amp;"-Q"&amp;ROUNDUP(MONTH($C275)/3,0))</f>
        <v/>
      </c>
      <c r="L275">
        <f>IF($G275&lt;&gt;"ALCOHOL","",IF($K275="","",$H275*IFERROR(VLOOKUP($K275,Drink_Templates!$A:$G,7,FALSE),0)))</f>
        <v/>
      </c>
    </row>
    <row r="276" ht="15" customHeight="1">
      <c r="C276">
        <f>IF($B276="","",INT($B276))</f>
        <v/>
      </c>
      <c r="D276">
        <f>IF($C276="","",$C276-WEEKDAY($C276,2)+1)</f>
        <v/>
      </c>
      <c r="E276">
        <f>IF($C276="","",DATE(YEAR($C276),MONTH($C276),1))</f>
        <v/>
      </c>
      <c r="F276">
        <f>IF($C276="","",YEAR($C276)&amp;"-Q"&amp;ROUNDUP(MONTH($C276)/3,0))</f>
        <v/>
      </c>
      <c r="L276">
        <f>IF($G276&lt;&gt;"ALCOHOL","",IF($K276="","",$H276*IFERROR(VLOOKUP($K276,Drink_Templates!$A:$G,7,FALSE),0)))</f>
        <v/>
      </c>
    </row>
    <row r="277" ht="15" customHeight="1">
      <c r="C277">
        <f>IF($B277="","",INT($B277))</f>
        <v/>
      </c>
      <c r="D277">
        <f>IF($C277="","",$C277-WEEKDAY($C277,2)+1)</f>
        <v/>
      </c>
      <c r="E277">
        <f>IF($C277="","",DATE(YEAR($C277),MONTH($C277),1))</f>
        <v/>
      </c>
      <c r="F277">
        <f>IF($C277="","",YEAR($C277)&amp;"-Q"&amp;ROUNDUP(MONTH($C277)/3,0))</f>
        <v/>
      </c>
      <c r="L277">
        <f>IF($G277&lt;&gt;"ALCOHOL","",IF($K277="","",$H277*IFERROR(VLOOKUP($K277,Drink_Templates!$A:$G,7,FALSE),0)))</f>
        <v/>
      </c>
    </row>
    <row r="278" ht="15" customHeight="1">
      <c r="C278">
        <f>IF($B278="","",INT($B278))</f>
        <v/>
      </c>
      <c r="D278">
        <f>IF($C278="","",$C278-WEEKDAY($C278,2)+1)</f>
        <v/>
      </c>
      <c r="E278">
        <f>IF($C278="","",DATE(YEAR($C278),MONTH($C278),1))</f>
        <v/>
      </c>
      <c r="F278">
        <f>IF($C278="","",YEAR($C278)&amp;"-Q"&amp;ROUNDUP(MONTH($C278)/3,0))</f>
        <v/>
      </c>
      <c r="L278">
        <f>IF($G278&lt;&gt;"ALCOHOL","",IF($K278="","",$H278*IFERROR(VLOOKUP($K278,Drink_Templates!$A:$G,7,FALSE),0)))</f>
        <v/>
      </c>
    </row>
    <row r="279" ht="15" customHeight="1">
      <c r="C279">
        <f>IF($B279="","",INT($B279))</f>
        <v/>
      </c>
      <c r="D279">
        <f>IF($C279="","",$C279-WEEKDAY($C279,2)+1)</f>
        <v/>
      </c>
      <c r="E279">
        <f>IF($C279="","",DATE(YEAR($C279),MONTH($C279),1))</f>
        <v/>
      </c>
      <c r="F279">
        <f>IF($C279="","",YEAR($C279)&amp;"-Q"&amp;ROUNDUP(MONTH($C279)/3,0))</f>
        <v/>
      </c>
      <c r="L279">
        <f>IF($G279&lt;&gt;"ALCOHOL","",IF($K279="","",$H279*IFERROR(VLOOKUP($K279,Drink_Templates!$A:$G,7,FALSE),0)))</f>
        <v/>
      </c>
    </row>
    <row r="280" ht="15" customHeight="1">
      <c r="C280">
        <f>IF($B280="","",INT($B280))</f>
        <v/>
      </c>
      <c r="D280">
        <f>IF($C280="","",$C280-WEEKDAY($C280,2)+1)</f>
        <v/>
      </c>
      <c r="E280">
        <f>IF($C280="","",DATE(YEAR($C280),MONTH($C280),1))</f>
        <v/>
      </c>
      <c r="F280">
        <f>IF($C280="","",YEAR($C280)&amp;"-Q"&amp;ROUNDUP(MONTH($C280)/3,0))</f>
        <v/>
      </c>
      <c r="L280">
        <f>IF($G280&lt;&gt;"ALCOHOL","",IF($K280="","",$H280*IFERROR(VLOOKUP($K280,Drink_Templates!$A:$G,7,FALSE),0)))</f>
        <v/>
      </c>
    </row>
    <row r="281" ht="15" customHeight="1">
      <c r="C281">
        <f>IF($B281="","",INT($B281))</f>
        <v/>
      </c>
      <c r="D281">
        <f>IF($C281="","",$C281-WEEKDAY($C281,2)+1)</f>
        <v/>
      </c>
      <c r="E281">
        <f>IF($C281="","",DATE(YEAR($C281),MONTH($C281),1))</f>
        <v/>
      </c>
      <c r="F281">
        <f>IF($C281="","",YEAR($C281)&amp;"-Q"&amp;ROUNDUP(MONTH($C281)/3,0))</f>
        <v/>
      </c>
      <c r="L281">
        <f>IF($G281&lt;&gt;"ALCOHOL","",IF($K281="","",$H281*IFERROR(VLOOKUP($K281,Drink_Templates!$A:$G,7,FALSE),0)))</f>
        <v/>
      </c>
    </row>
    <row r="282" ht="15" customHeight="1">
      <c r="C282">
        <f>IF($B282="","",INT($B282))</f>
        <v/>
      </c>
      <c r="D282">
        <f>IF($C282="","",$C282-WEEKDAY($C282,2)+1)</f>
        <v/>
      </c>
      <c r="E282">
        <f>IF($C282="","",DATE(YEAR($C282),MONTH($C282),1))</f>
        <v/>
      </c>
      <c r="F282">
        <f>IF($C282="","",YEAR($C282)&amp;"-Q"&amp;ROUNDUP(MONTH($C282)/3,0))</f>
        <v/>
      </c>
      <c r="L282">
        <f>IF($G282&lt;&gt;"ALCOHOL","",IF($K282="","",$H282*IFERROR(VLOOKUP($K282,Drink_Templates!$A:$G,7,FALSE),0)))</f>
        <v/>
      </c>
    </row>
    <row r="283" ht="15" customHeight="1">
      <c r="C283">
        <f>IF($B283="","",INT($B283))</f>
        <v/>
      </c>
      <c r="D283">
        <f>IF($C283="","",$C283-WEEKDAY($C283,2)+1)</f>
        <v/>
      </c>
      <c r="E283">
        <f>IF($C283="","",DATE(YEAR($C283),MONTH($C283),1))</f>
        <v/>
      </c>
      <c r="F283">
        <f>IF($C283="","",YEAR($C283)&amp;"-Q"&amp;ROUNDUP(MONTH($C283)/3,0))</f>
        <v/>
      </c>
      <c r="L283">
        <f>IF($G283&lt;&gt;"ALCOHOL","",IF($K283="","",$H283*IFERROR(VLOOKUP($K283,Drink_Templates!$A:$G,7,FALSE),0)))</f>
        <v/>
      </c>
    </row>
    <row r="284" ht="15" customHeight="1">
      <c r="C284">
        <f>IF($B284="","",INT($B284))</f>
        <v/>
      </c>
      <c r="D284">
        <f>IF($C284="","",$C284-WEEKDAY($C284,2)+1)</f>
        <v/>
      </c>
      <c r="E284">
        <f>IF($C284="","",DATE(YEAR($C284),MONTH($C284),1))</f>
        <v/>
      </c>
      <c r="F284">
        <f>IF($C284="","",YEAR($C284)&amp;"-Q"&amp;ROUNDUP(MONTH($C284)/3,0))</f>
        <v/>
      </c>
      <c r="L284">
        <f>IF($G284&lt;&gt;"ALCOHOL","",IF($K284="","",$H284*IFERROR(VLOOKUP($K284,Drink_Templates!$A:$G,7,FALSE),0)))</f>
        <v/>
      </c>
    </row>
    <row r="285" ht="15" customHeight="1">
      <c r="C285">
        <f>IF($B285="","",INT($B285))</f>
        <v/>
      </c>
      <c r="D285">
        <f>IF($C285="","",$C285-WEEKDAY($C285,2)+1)</f>
        <v/>
      </c>
      <c r="E285">
        <f>IF($C285="","",DATE(YEAR($C285),MONTH($C285),1))</f>
        <v/>
      </c>
      <c r="F285">
        <f>IF($C285="","",YEAR($C285)&amp;"-Q"&amp;ROUNDUP(MONTH($C285)/3,0))</f>
        <v/>
      </c>
      <c r="L285">
        <f>IF($G285&lt;&gt;"ALCOHOL","",IF($K285="","",$H285*IFERROR(VLOOKUP($K285,Drink_Templates!$A:$G,7,FALSE),0)))</f>
        <v/>
      </c>
    </row>
    <row r="286" ht="15" customHeight="1">
      <c r="C286">
        <f>IF($B286="","",INT($B286))</f>
        <v/>
      </c>
      <c r="D286">
        <f>IF($C286="","",$C286-WEEKDAY($C286,2)+1)</f>
        <v/>
      </c>
      <c r="E286">
        <f>IF($C286="","",DATE(YEAR($C286),MONTH($C286),1))</f>
        <v/>
      </c>
      <c r="F286">
        <f>IF($C286="","",YEAR($C286)&amp;"-Q"&amp;ROUNDUP(MONTH($C286)/3,0))</f>
        <v/>
      </c>
      <c r="L286">
        <f>IF($G286&lt;&gt;"ALCOHOL","",IF($K286="","",$H286*IFERROR(VLOOKUP($K286,Drink_Templates!$A:$G,7,FALSE),0)))</f>
        <v/>
      </c>
    </row>
    <row r="287" ht="15" customHeight="1">
      <c r="C287">
        <f>IF($B287="","",INT($B287))</f>
        <v/>
      </c>
      <c r="D287">
        <f>IF($C287="","",$C287-WEEKDAY($C287,2)+1)</f>
        <v/>
      </c>
      <c r="E287">
        <f>IF($C287="","",DATE(YEAR($C287),MONTH($C287),1))</f>
        <v/>
      </c>
      <c r="F287">
        <f>IF($C287="","",YEAR($C287)&amp;"-Q"&amp;ROUNDUP(MONTH($C287)/3,0))</f>
        <v/>
      </c>
      <c r="L287">
        <f>IF($G287&lt;&gt;"ALCOHOL","",IF($K287="","",$H287*IFERROR(VLOOKUP($K287,Drink_Templates!$A:$G,7,FALSE),0)))</f>
        <v/>
      </c>
    </row>
    <row r="288" ht="15" customHeight="1">
      <c r="C288">
        <f>IF($B288="","",INT($B288))</f>
        <v/>
      </c>
      <c r="D288">
        <f>IF($C288="","",$C288-WEEKDAY($C288,2)+1)</f>
        <v/>
      </c>
      <c r="E288">
        <f>IF($C288="","",DATE(YEAR($C288),MONTH($C288),1))</f>
        <v/>
      </c>
      <c r="F288">
        <f>IF($C288="","",YEAR($C288)&amp;"-Q"&amp;ROUNDUP(MONTH($C288)/3,0))</f>
        <v/>
      </c>
      <c r="L288">
        <f>IF($G288&lt;&gt;"ALCOHOL","",IF($K288="","",$H288*IFERROR(VLOOKUP($K288,Drink_Templates!$A:$G,7,FALSE),0)))</f>
        <v/>
      </c>
    </row>
    <row r="289" ht="15" customHeight="1">
      <c r="C289">
        <f>IF($B289="","",INT($B289))</f>
        <v/>
      </c>
      <c r="D289">
        <f>IF($C289="","",$C289-WEEKDAY($C289,2)+1)</f>
        <v/>
      </c>
      <c r="E289">
        <f>IF($C289="","",DATE(YEAR($C289),MONTH($C289),1))</f>
        <v/>
      </c>
      <c r="F289">
        <f>IF($C289="","",YEAR($C289)&amp;"-Q"&amp;ROUNDUP(MONTH($C289)/3,0))</f>
        <v/>
      </c>
      <c r="L289">
        <f>IF($G289&lt;&gt;"ALCOHOL","",IF($K289="","",$H289*IFERROR(VLOOKUP($K289,Drink_Templates!$A:$G,7,FALSE),0)))</f>
        <v/>
      </c>
    </row>
    <row r="290" ht="15" customHeight="1">
      <c r="C290">
        <f>IF($B290="","",INT($B290))</f>
        <v/>
      </c>
      <c r="D290">
        <f>IF($C290="","",$C290-WEEKDAY($C290,2)+1)</f>
        <v/>
      </c>
      <c r="E290">
        <f>IF($C290="","",DATE(YEAR($C290),MONTH($C290),1))</f>
        <v/>
      </c>
      <c r="F290">
        <f>IF($C290="","",YEAR($C290)&amp;"-Q"&amp;ROUNDUP(MONTH($C290)/3,0))</f>
        <v/>
      </c>
      <c r="L290">
        <f>IF($G290&lt;&gt;"ALCOHOL","",IF($K290="","",$H290*IFERROR(VLOOKUP($K290,Drink_Templates!$A:$G,7,FALSE),0)))</f>
        <v/>
      </c>
    </row>
    <row r="291" ht="15" customHeight="1">
      <c r="C291">
        <f>IF($B291="","",INT($B291))</f>
        <v/>
      </c>
      <c r="D291">
        <f>IF($C291="","",$C291-WEEKDAY($C291,2)+1)</f>
        <v/>
      </c>
      <c r="E291">
        <f>IF($C291="","",DATE(YEAR($C291),MONTH($C291),1))</f>
        <v/>
      </c>
      <c r="F291">
        <f>IF($C291="","",YEAR($C291)&amp;"-Q"&amp;ROUNDUP(MONTH($C291)/3,0))</f>
        <v/>
      </c>
      <c r="L291">
        <f>IF($G291&lt;&gt;"ALCOHOL","",IF($K291="","",$H291*IFERROR(VLOOKUP($K291,Drink_Templates!$A:$G,7,FALSE),0)))</f>
        <v/>
      </c>
    </row>
    <row r="292" ht="15" customHeight="1">
      <c r="C292">
        <f>IF($B292="","",INT($B292))</f>
        <v/>
      </c>
      <c r="D292">
        <f>IF($C292="","",$C292-WEEKDAY($C292,2)+1)</f>
        <v/>
      </c>
      <c r="E292">
        <f>IF($C292="","",DATE(YEAR($C292),MONTH($C292),1))</f>
        <v/>
      </c>
      <c r="F292">
        <f>IF($C292="","",YEAR($C292)&amp;"-Q"&amp;ROUNDUP(MONTH($C292)/3,0))</f>
        <v/>
      </c>
      <c r="L292">
        <f>IF($G292&lt;&gt;"ALCOHOL","",IF($K292="","",$H292*IFERROR(VLOOKUP($K292,Drink_Templates!$A:$G,7,FALSE),0)))</f>
        <v/>
      </c>
    </row>
    <row r="293" ht="15" customHeight="1">
      <c r="C293">
        <f>IF($B293="","",INT($B293))</f>
        <v/>
      </c>
      <c r="D293">
        <f>IF($C293="","",$C293-WEEKDAY($C293,2)+1)</f>
        <v/>
      </c>
      <c r="E293">
        <f>IF($C293="","",DATE(YEAR($C293),MONTH($C293),1))</f>
        <v/>
      </c>
      <c r="F293">
        <f>IF($C293="","",YEAR($C293)&amp;"-Q"&amp;ROUNDUP(MONTH($C293)/3,0))</f>
        <v/>
      </c>
      <c r="L293">
        <f>IF($G293&lt;&gt;"ALCOHOL","",IF($K293="","",$H293*IFERROR(VLOOKUP($K293,Drink_Templates!$A:$G,7,FALSE),0)))</f>
        <v/>
      </c>
    </row>
    <row r="294" ht="15" customHeight="1">
      <c r="C294">
        <f>IF($B294="","",INT($B294))</f>
        <v/>
      </c>
      <c r="D294">
        <f>IF($C294="","",$C294-WEEKDAY($C294,2)+1)</f>
        <v/>
      </c>
      <c r="E294">
        <f>IF($C294="","",DATE(YEAR($C294),MONTH($C294),1))</f>
        <v/>
      </c>
      <c r="F294">
        <f>IF($C294="","",YEAR($C294)&amp;"-Q"&amp;ROUNDUP(MONTH($C294)/3,0))</f>
        <v/>
      </c>
      <c r="L294">
        <f>IF($G294&lt;&gt;"ALCOHOL","",IF($K294="","",$H294*IFERROR(VLOOKUP($K294,Drink_Templates!$A:$G,7,FALSE),0)))</f>
        <v/>
      </c>
    </row>
    <row r="295" ht="15" customHeight="1">
      <c r="C295">
        <f>IF($B295="","",INT($B295))</f>
        <v/>
      </c>
      <c r="D295">
        <f>IF($C295="","",$C295-WEEKDAY($C295,2)+1)</f>
        <v/>
      </c>
      <c r="E295">
        <f>IF($C295="","",DATE(YEAR($C295),MONTH($C295),1))</f>
        <v/>
      </c>
      <c r="F295">
        <f>IF($C295="","",YEAR($C295)&amp;"-Q"&amp;ROUNDUP(MONTH($C295)/3,0))</f>
        <v/>
      </c>
      <c r="L295">
        <f>IF($G295&lt;&gt;"ALCOHOL","",IF($K295="","",$H295*IFERROR(VLOOKUP($K295,Drink_Templates!$A:$G,7,FALSE),0)))</f>
        <v/>
      </c>
    </row>
    <row r="296" ht="15" customHeight="1">
      <c r="C296">
        <f>IF($B296="","",INT($B296))</f>
        <v/>
      </c>
      <c r="D296">
        <f>IF($C296="","",$C296-WEEKDAY($C296,2)+1)</f>
        <v/>
      </c>
      <c r="E296">
        <f>IF($C296="","",DATE(YEAR($C296),MONTH($C296),1))</f>
        <v/>
      </c>
      <c r="F296">
        <f>IF($C296="","",YEAR($C296)&amp;"-Q"&amp;ROUNDUP(MONTH($C296)/3,0))</f>
        <v/>
      </c>
      <c r="L296">
        <f>IF($G296&lt;&gt;"ALCOHOL","",IF($K296="","",$H296*IFERROR(VLOOKUP($K296,Drink_Templates!$A:$G,7,FALSE),0)))</f>
        <v/>
      </c>
    </row>
    <row r="297" ht="15" customHeight="1">
      <c r="C297">
        <f>IF($B297="","",INT($B297))</f>
        <v/>
      </c>
      <c r="D297">
        <f>IF($C297="","",$C297-WEEKDAY($C297,2)+1)</f>
        <v/>
      </c>
      <c r="E297">
        <f>IF($C297="","",DATE(YEAR($C297),MONTH($C297),1))</f>
        <v/>
      </c>
      <c r="F297">
        <f>IF($C297="","",YEAR($C297)&amp;"-Q"&amp;ROUNDUP(MONTH($C297)/3,0))</f>
        <v/>
      </c>
      <c r="L297">
        <f>IF($G297&lt;&gt;"ALCOHOL","",IF($K297="","",$H297*IFERROR(VLOOKUP($K297,Drink_Templates!$A:$G,7,FALSE),0)))</f>
        <v/>
      </c>
    </row>
    <row r="298" ht="15" customHeight="1">
      <c r="C298">
        <f>IF($B298="","",INT($B298))</f>
        <v/>
      </c>
      <c r="D298">
        <f>IF($C298="","",$C298-WEEKDAY($C298,2)+1)</f>
        <v/>
      </c>
      <c r="E298">
        <f>IF($C298="","",DATE(YEAR($C298),MONTH($C298),1))</f>
        <v/>
      </c>
      <c r="F298">
        <f>IF($C298="","",YEAR($C298)&amp;"-Q"&amp;ROUNDUP(MONTH($C298)/3,0))</f>
        <v/>
      </c>
      <c r="L298">
        <f>IF($G298&lt;&gt;"ALCOHOL","",IF($K298="","",$H298*IFERROR(VLOOKUP($K298,Drink_Templates!$A:$G,7,FALSE),0)))</f>
        <v/>
      </c>
    </row>
    <row r="299" ht="15" customHeight="1">
      <c r="C299">
        <f>IF($B299="","",INT($B299))</f>
        <v/>
      </c>
      <c r="D299">
        <f>IF($C299="","",$C299-WEEKDAY($C299,2)+1)</f>
        <v/>
      </c>
      <c r="E299">
        <f>IF($C299="","",DATE(YEAR($C299),MONTH($C299),1))</f>
        <v/>
      </c>
      <c r="F299">
        <f>IF($C299="","",YEAR($C299)&amp;"-Q"&amp;ROUNDUP(MONTH($C299)/3,0))</f>
        <v/>
      </c>
      <c r="L299">
        <f>IF($G299&lt;&gt;"ALCOHOL","",IF($K299="","",$H299*IFERROR(VLOOKUP($K299,Drink_Templates!$A:$G,7,FALSE),0)))</f>
        <v/>
      </c>
    </row>
    <row r="300" ht="15" customHeight="1">
      <c r="C300">
        <f>IF($B300="","",INT($B300))</f>
        <v/>
      </c>
      <c r="D300">
        <f>IF($C300="","",$C300-WEEKDAY($C300,2)+1)</f>
        <v/>
      </c>
      <c r="E300">
        <f>IF($C300="","",DATE(YEAR($C300),MONTH($C300),1))</f>
        <v/>
      </c>
      <c r="F300">
        <f>IF($C300="","",YEAR($C300)&amp;"-Q"&amp;ROUNDUP(MONTH($C300)/3,0))</f>
        <v/>
      </c>
      <c r="L300">
        <f>IF($G300&lt;&gt;"ALCOHOL","",IF($K300="","",$H300*IFERROR(VLOOKUP($K300,Drink_Templates!$A:$G,7,FALSE),0)))</f>
        <v/>
      </c>
    </row>
    <row r="301" ht="15" customHeight="1">
      <c r="C301">
        <f>IF($B301="","",INT($B301))</f>
        <v/>
      </c>
      <c r="D301">
        <f>IF($C301="","",$C301-WEEKDAY($C301,2)+1)</f>
        <v/>
      </c>
      <c r="E301">
        <f>IF($C301="","",DATE(YEAR($C301),MONTH($C301),1))</f>
        <v/>
      </c>
      <c r="F301">
        <f>IF($C301="","",YEAR($C301)&amp;"-Q"&amp;ROUNDUP(MONTH($C301)/3,0))</f>
        <v/>
      </c>
      <c r="L301">
        <f>IF($G301&lt;&gt;"ALCOHOL","",IF($K301="","",$H301*IFERROR(VLOOKUP($K301,Drink_Templates!$A:$G,7,FALSE),0)))</f>
        <v/>
      </c>
    </row>
    <row r="302" ht="15" customHeight="1">
      <c r="C302">
        <f>IF($B302="","",INT($B302))</f>
        <v/>
      </c>
      <c r="D302">
        <f>IF($C302="","",$C302-WEEKDAY($C302,2)+1)</f>
        <v/>
      </c>
      <c r="E302">
        <f>IF($C302="","",DATE(YEAR($C302),MONTH($C302),1))</f>
        <v/>
      </c>
      <c r="F302">
        <f>IF($C302="","",YEAR($C302)&amp;"-Q"&amp;ROUNDUP(MONTH($C302)/3,0))</f>
        <v/>
      </c>
      <c r="L302">
        <f>IF($G302&lt;&gt;"ALCOHOL","",IF($K302="","",$H302*IFERROR(VLOOKUP($K302,Drink_Templates!$A:$G,7,FALSE),0)))</f>
        <v/>
      </c>
    </row>
    <row r="303" ht="15" customHeight="1">
      <c r="C303">
        <f>IF($B303="","",INT($B303))</f>
        <v/>
      </c>
      <c r="D303">
        <f>IF($C303="","",$C303-WEEKDAY($C303,2)+1)</f>
        <v/>
      </c>
      <c r="E303">
        <f>IF($C303="","",DATE(YEAR($C303),MONTH($C303),1))</f>
        <v/>
      </c>
      <c r="F303">
        <f>IF($C303="","",YEAR($C303)&amp;"-Q"&amp;ROUNDUP(MONTH($C303)/3,0))</f>
        <v/>
      </c>
      <c r="L303">
        <f>IF($G303&lt;&gt;"ALCOHOL","",IF($K303="","",$H303*IFERROR(VLOOKUP($K303,Drink_Templates!$A:$G,7,FALSE),0)))</f>
        <v/>
      </c>
    </row>
    <row r="304" ht="15" customHeight="1">
      <c r="C304">
        <f>IF($B304="","",INT($B304))</f>
        <v/>
      </c>
      <c r="D304">
        <f>IF($C304="","",$C304-WEEKDAY($C304,2)+1)</f>
        <v/>
      </c>
      <c r="E304">
        <f>IF($C304="","",DATE(YEAR($C304),MONTH($C304),1))</f>
        <v/>
      </c>
      <c r="F304">
        <f>IF($C304="","",YEAR($C304)&amp;"-Q"&amp;ROUNDUP(MONTH($C304)/3,0))</f>
        <v/>
      </c>
      <c r="L304">
        <f>IF($G304&lt;&gt;"ALCOHOL","",IF($K304="","",$H304*IFERROR(VLOOKUP($K304,Drink_Templates!$A:$G,7,FALSE),0)))</f>
        <v/>
      </c>
    </row>
    <row r="305" ht="15" customHeight="1">
      <c r="C305">
        <f>IF($B305="","",INT($B305))</f>
        <v/>
      </c>
      <c r="D305">
        <f>IF($C305="","",$C305-WEEKDAY($C305,2)+1)</f>
        <v/>
      </c>
      <c r="E305">
        <f>IF($C305="","",DATE(YEAR($C305),MONTH($C305),1))</f>
        <v/>
      </c>
      <c r="F305">
        <f>IF($C305="","",YEAR($C305)&amp;"-Q"&amp;ROUNDUP(MONTH($C305)/3,0))</f>
        <v/>
      </c>
      <c r="L305">
        <f>IF($G305&lt;&gt;"ALCOHOL","",IF($K305="","",$H305*IFERROR(VLOOKUP($K305,Drink_Templates!$A:$G,7,FALSE),0)))</f>
        <v/>
      </c>
    </row>
    <row r="306" ht="15" customHeight="1">
      <c r="C306">
        <f>IF($B306="","",INT($B306))</f>
        <v/>
      </c>
      <c r="D306">
        <f>IF($C306="","",$C306-WEEKDAY($C306,2)+1)</f>
        <v/>
      </c>
      <c r="E306">
        <f>IF($C306="","",DATE(YEAR($C306),MONTH($C306),1))</f>
        <v/>
      </c>
      <c r="F306">
        <f>IF($C306="","",YEAR($C306)&amp;"-Q"&amp;ROUNDUP(MONTH($C306)/3,0))</f>
        <v/>
      </c>
      <c r="L306">
        <f>IF($G306&lt;&gt;"ALCOHOL","",IF($K306="","",$H306*IFERROR(VLOOKUP($K306,Drink_Templates!$A:$G,7,FALSE),0)))</f>
        <v/>
      </c>
    </row>
    <row r="307" ht="15" customHeight="1">
      <c r="C307">
        <f>IF($B307="","",INT($B307))</f>
        <v/>
      </c>
      <c r="D307">
        <f>IF($C307="","",$C307-WEEKDAY($C307,2)+1)</f>
        <v/>
      </c>
      <c r="E307">
        <f>IF($C307="","",DATE(YEAR($C307),MONTH($C307),1))</f>
        <v/>
      </c>
      <c r="F307">
        <f>IF($C307="","",YEAR($C307)&amp;"-Q"&amp;ROUNDUP(MONTH($C307)/3,0))</f>
        <v/>
      </c>
      <c r="L307">
        <f>IF($G307&lt;&gt;"ALCOHOL","",IF($K307="","",$H307*IFERROR(VLOOKUP($K307,Drink_Templates!$A:$G,7,FALSE),0)))</f>
        <v/>
      </c>
    </row>
    <row r="308" ht="15" customHeight="1">
      <c r="C308">
        <f>IF($B308="","",INT($B308))</f>
        <v/>
      </c>
      <c r="D308">
        <f>IF($C308="","",$C308-WEEKDAY($C308,2)+1)</f>
        <v/>
      </c>
      <c r="E308">
        <f>IF($C308="","",DATE(YEAR($C308),MONTH($C308),1))</f>
        <v/>
      </c>
      <c r="F308">
        <f>IF($C308="","",YEAR($C308)&amp;"-Q"&amp;ROUNDUP(MONTH($C308)/3,0))</f>
        <v/>
      </c>
      <c r="L308">
        <f>IF($G308&lt;&gt;"ALCOHOL","",IF($K308="","",$H308*IFERROR(VLOOKUP($K308,Drink_Templates!$A:$G,7,FALSE),0)))</f>
        <v/>
      </c>
    </row>
    <row r="309" ht="15" customHeight="1">
      <c r="C309">
        <f>IF($B309="","",INT($B309))</f>
        <v/>
      </c>
      <c r="D309">
        <f>IF($C309="","",$C309-WEEKDAY($C309,2)+1)</f>
        <v/>
      </c>
      <c r="E309">
        <f>IF($C309="","",DATE(YEAR($C309),MONTH($C309),1))</f>
        <v/>
      </c>
      <c r="F309">
        <f>IF($C309="","",YEAR($C309)&amp;"-Q"&amp;ROUNDUP(MONTH($C309)/3,0))</f>
        <v/>
      </c>
      <c r="L309">
        <f>IF($G309&lt;&gt;"ALCOHOL","",IF($K309="","",$H309*IFERROR(VLOOKUP($K309,Drink_Templates!$A:$G,7,FALSE),0)))</f>
        <v/>
      </c>
    </row>
    <row r="310" ht="15" customHeight="1">
      <c r="C310">
        <f>IF($B310="","",INT($B310))</f>
        <v/>
      </c>
      <c r="D310">
        <f>IF($C310="","",$C310-WEEKDAY($C310,2)+1)</f>
        <v/>
      </c>
      <c r="E310">
        <f>IF($C310="","",DATE(YEAR($C310),MONTH($C310),1))</f>
        <v/>
      </c>
      <c r="F310">
        <f>IF($C310="","",YEAR($C310)&amp;"-Q"&amp;ROUNDUP(MONTH($C310)/3,0))</f>
        <v/>
      </c>
      <c r="L310">
        <f>IF($G310&lt;&gt;"ALCOHOL","",IF($K310="","",$H310*IFERROR(VLOOKUP($K310,Drink_Templates!$A:$G,7,FALSE),0)))</f>
        <v/>
      </c>
    </row>
    <row r="311" ht="15" customHeight="1">
      <c r="C311">
        <f>IF($B311="","",INT($B311))</f>
        <v/>
      </c>
      <c r="D311">
        <f>IF($C311="","",$C311-WEEKDAY($C311,2)+1)</f>
        <v/>
      </c>
      <c r="E311">
        <f>IF($C311="","",DATE(YEAR($C311),MONTH($C311),1))</f>
        <v/>
      </c>
      <c r="F311">
        <f>IF($C311="","",YEAR($C311)&amp;"-Q"&amp;ROUNDUP(MONTH($C311)/3,0))</f>
        <v/>
      </c>
      <c r="L311">
        <f>IF($G311&lt;&gt;"ALCOHOL","",IF($K311="","",$H311*IFERROR(VLOOKUP($K311,Drink_Templates!$A:$G,7,FALSE),0)))</f>
        <v/>
      </c>
    </row>
    <row r="312" ht="15" customHeight="1">
      <c r="C312">
        <f>IF($B312="","",INT($B312))</f>
        <v/>
      </c>
      <c r="D312">
        <f>IF($C312="","",$C312-WEEKDAY($C312,2)+1)</f>
        <v/>
      </c>
      <c r="E312">
        <f>IF($C312="","",DATE(YEAR($C312),MONTH($C312),1))</f>
        <v/>
      </c>
      <c r="F312">
        <f>IF($C312="","",YEAR($C312)&amp;"-Q"&amp;ROUNDUP(MONTH($C312)/3,0))</f>
        <v/>
      </c>
      <c r="L312">
        <f>IF($G312&lt;&gt;"ALCOHOL","",IF($K312="","",$H312*IFERROR(VLOOKUP($K312,Drink_Templates!$A:$G,7,FALSE),0)))</f>
        <v/>
      </c>
    </row>
    <row r="313" ht="15" customHeight="1">
      <c r="C313">
        <f>IF($B313="","",INT($B313))</f>
        <v/>
      </c>
      <c r="D313">
        <f>IF($C313="","",$C313-WEEKDAY($C313,2)+1)</f>
        <v/>
      </c>
      <c r="E313">
        <f>IF($C313="","",DATE(YEAR($C313),MONTH($C313),1))</f>
        <v/>
      </c>
      <c r="F313">
        <f>IF($C313="","",YEAR($C313)&amp;"-Q"&amp;ROUNDUP(MONTH($C313)/3,0))</f>
        <v/>
      </c>
      <c r="L313">
        <f>IF($G313&lt;&gt;"ALCOHOL","",IF($K313="","",$H313*IFERROR(VLOOKUP($K313,Drink_Templates!$A:$G,7,FALSE),0)))</f>
        <v/>
      </c>
    </row>
    <row r="314" ht="15" customHeight="1">
      <c r="C314">
        <f>IF($B314="","",INT($B314))</f>
        <v/>
      </c>
      <c r="D314">
        <f>IF($C314="","",$C314-WEEKDAY($C314,2)+1)</f>
        <v/>
      </c>
      <c r="E314">
        <f>IF($C314="","",DATE(YEAR($C314),MONTH($C314),1))</f>
        <v/>
      </c>
      <c r="F314">
        <f>IF($C314="","",YEAR($C314)&amp;"-Q"&amp;ROUNDUP(MONTH($C314)/3,0))</f>
        <v/>
      </c>
      <c r="L314">
        <f>IF($G314&lt;&gt;"ALCOHOL","",IF($K314="","",$H314*IFERROR(VLOOKUP($K314,Drink_Templates!$A:$G,7,FALSE),0)))</f>
        <v/>
      </c>
    </row>
    <row r="315" ht="15" customHeight="1">
      <c r="C315">
        <f>IF($B315="","",INT($B315))</f>
        <v/>
      </c>
      <c r="D315">
        <f>IF($C315="","",$C315-WEEKDAY($C315,2)+1)</f>
        <v/>
      </c>
      <c r="E315">
        <f>IF($C315="","",DATE(YEAR($C315),MONTH($C315),1))</f>
        <v/>
      </c>
      <c r="F315">
        <f>IF($C315="","",YEAR($C315)&amp;"-Q"&amp;ROUNDUP(MONTH($C315)/3,0))</f>
        <v/>
      </c>
      <c r="L315">
        <f>IF($G315&lt;&gt;"ALCOHOL","",IF($K315="","",$H315*IFERROR(VLOOKUP($K315,Drink_Templates!$A:$G,7,FALSE),0)))</f>
        <v/>
      </c>
    </row>
    <row r="316" ht="15" customHeight="1">
      <c r="C316">
        <f>IF($B316="","",INT($B316))</f>
        <v/>
      </c>
      <c r="D316">
        <f>IF($C316="","",$C316-WEEKDAY($C316,2)+1)</f>
        <v/>
      </c>
      <c r="E316">
        <f>IF($C316="","",DATE(YEAR($C316),MONTH($C316),1))</f>
        <v/>
      </c>
      <c r="F316">
        <f>IF($C316="","",YEAR($C316)&amp;"-Q"&amp;ROUNDUP(MONTH($C316)/3,0))</f>
        <v/>
      </c>
      <c r="L316">
        <f>IF($G316&lt;&gt;"ALCOHOL","",IF($K316="","",$H316*IFERROR(VLOOKUP($K316,Drink_Templates!$A:$G,7,FALSE),0)))</f>
        <v/>
      </c>
    </row>
    <row r="317" ht="15" customHeight="1">
      <c r="C317">
        <f>IF($B317="","",INT($B317))</f>
        <v/>
      </c>
      <c r="D317">
        <f>IF($C317="","",$C317-WEEKDAY($C317,2)+1)</f>
        <v/>
      </c>
      <c r="E317">
        <f>IF($C317="","",DATE(YEAR($C317),MONTH($C317),1))</f>
        <v/>
      </c>
      <c r="F317">
        <f>IF($C317="","",YEAR($C317)&amp;"-Q"&amp;ROUNDUP(MONTH($C317)/3,0))</f>
        <v/>
      </c>
      <c r="L317">
        <f>IF($G317&lt;&gt;"ALCOHOL","",IF($K317="","",$H317*IFERROR(VLOOKUP($K317,Drink_Templates!$A:$G,7,FALSE),0)))</f>
        <v/>
      </c>
    </row>
    <row r="318" ht="15" customHeight="1">
      <c r="C318">
        <f>IF($B318="","",INT($B318))</f>
        <v/>
      </c>
      <c r="D318">
        <f>IF($C318="","",$C318-WEEKDAY($C318,2)+1)</f>
        <v/>
      </c>
      <c r="E318">
        <f>IF($C318="","",DATE(YEAR($C318),MONTH($C318),1))</f>
        <v/>
      </c>
      <c r="F318">
        <f>IF($C318="","",YEAR($C318)&amp;"-Q"&amp;ROUNDUP(MONTH($C318)/3,0))</f>
        <v/>
      </c>
      <c r="L318">
        <f>IF($G318&lt;&gt;"ALCOHOL","",IF($K318="","",$H318*IFERROR(VLOOKUP($K318,Drink_Templates!$A:$G,7,FALSE),0)))</f>
        <v/>
      </c>
    </row>
    <row r="319" ht="15" customHeight="1">
      <c r="C319">
        <f>IF($B319="","",INT($B319))</f>
        <v/>
      </c>
      <c r="D319">
        <f>IF($C319="","",$C319-WEEKDAY($C319,2)+1)</f>
        <v/>
      </c>
      <c r="E319">
        <f>IF($C319="","",DATE(YEAR($C319),MONTH($C319),1))</f>
        <v/>
      </c>
      <c r="F319">
        <f>IF($C319="","",YEAR($C319)&amp;"-Q"&amp;ROUNDUP(MONTH($C319)/3,0))</f>
        <v/>
      </c>
      <c r="L319">
        <f>IF($G319&lt;&gt;"ALCOHOL","",IF($K319="","",$H319*IFERROR(VLOOKUP($K319,Drink_Templates!$A:$G,7,FALSE),0)))</f>
        <v/>
      </c>
    </row>
    <row r="320" ht="15" customHeight="1">
      <c r="C320">
        <f>IF($B320="","",INT($B320))</f>
        <v/>
      </c>
      <c r="D320">
        <f>IF($C320="","",$C320-WEEKDAY($C320,2)+1)</f>
        <v/>
      </c>
      <c r="E320">
        <f>IF($C320="","",DATE(YEAR($C320),MONTH($C320),1))</f>
        <v/>
      </c>
      <c r="F320">
        <f>IF($C320="","",YEAR($C320)&amp;"-Q"&amp;ROUNDUP(MONTH($C320)/3,0))</f>
        <v/>
      </c>
      <c r="L320">
        <f>IF($G320&lt;&gt;"ALCOHOL","",IF($K320="","",$H320*IFERROR(VLOOKUP($K320,Drink_Templates!$A:$G,7,FALSE),0)))</f>
        <v/>
      </c>
    </row>
    <row r="321" ht="15" customHeight="1">
      <c r="C321">
        <f>IF($B321="","",INT($B321))</f>
        <v/>
      </c>
      <c r="D321">
        <f>IF($C321="","",$C321-WEEKDAY($C321,2)+1)</f>
        <v/>
      </c>
      <c r="E321">
        <f>IF($C321="","",DATE(YEAR($C321),MONTH($C321),1))</f>
        <v/>
      </c>
      <c r="F321">
        <f>IF($C321="","",YEAR($C321)&amp;"-Q"&amp;ROUNDUP(MONTH($C321)/3,0))</f>
        <v/>
      </c>
      <c r="L321">
        <f>IF($G321&lt;&gt;"ALCOHOL","",IF($K321="","",$H321*IFERROR(VLOOKUP($K321,Drink_Templates!$A:$G,7,FALSE),0)))</f>
        <v/>
      </c>
    </row>
    <row r="322" ht="15" customHeight="1">
      <c r="C322">
        <f>IF($B322="","",INT($B322))</f>
        <v/>
      </c>
      <c r="D322">
        <f>IF($C322="","",$C322-WEEKDAY($C322,2)+1)</f>
        <v/>
      </c>
      <c r="E322">
        <f>IF($C322="","",DATE(YEAR($C322),MONTH($C322),1))</f>
        <v/>
      </c>
      <c r="F322">
        <f>IF($C322="","",YEAR($C322)&amp;"-Q"&amp;ROUNDUP(MONTH($C322)/3,0))</f>
        <v/>
      </c>
      <c r="L322">
        <f>IF($G322&lt;&gt;"ALCOHOL","",IF($K322="","",$H322*IFERROR(VLOOKUP($K322,Drink_Templates!$A:$G,7,FALSE),0)))</f>
        <v/>
      </c>
    </row>
    <row r="323" ht="15" customHeight="1">
      <c r="C323">
        <f>IF($B323="","",INT($B323))</f>
        <v/>
      </c>
      <c r="D323">
        <f>IF($C323="","",$C323-WEEKDAY($C323,2)+1)</f>
        <v/>
      </c>
      <c r="E323">
        <f>IF($C323="","",DATE(YEAR($C323),MONTH($C323),1))</f>
        <v/>
      </c>
      <c r="F323">
        <f>IF($C323="","",YEAR($C323)&amp;"-Q"&amp;ROUNDUP(MONTH($C323)/3,0))</f>
        <v/>
      </c>
      <c r="L323">
        <f>IF($G323&lt;&gt;"ALCOHOL","",IF($K323="","",$H323*IFERROR(VLOOKUP($K323,Drink_Templates!$A:$G,7,FALSE),0)))</f>
        <v/>
      </c>
    </row>
    <row r="324" ht="15" customHeight="1">
      <c r="C324">
        <f>IF($B324="","",INT($B324))</f>
        <v/>
      </c>
      <c r="D324">
        <f>IF($C324="","",$C324-WEEKDAY($C324,2)+1)</f>
        <v/>
      </c>
      <c r="E324">
        <f>IF($C324="","",DATE(YEAR($C324),MONTH($C324),1))</f>
        <v/>
      </c>
      <c r="F324">
        <f>IF($C324="","",YEAR($C324)&amp;"-Q"&amp;ROUNDUP(MONTH($C324)/3,0))</f>
        <v/>
      </c>
      <c r="L324">
        <f>IF($G324&lt;&gt;"ALCOHOL","",IF($K324="","",$H324*IFERROR(VLOOKUP($K324,Drink_Templates!$A:$G,7,FALSE),0)))</f>
        <v/>
      </c>
    </row>
    <row r="325" ht="15" customHeight="1">
      <c r="C325">
        <f>IF($B325="","",INT($B325))</f>
        <v/>
      </c>
      <c r="D325">
        <f>IF($C325="","",$C325-WEEKDAY($C325,2)+1)</f>
        <v/>
      </c>
      <c r="E325">
        <f>IF($C325="","",DATE(YEAR($C325),MONTH($C325),1))</f>
        <v/>
      </c>
      <c r="F325">
        <f>IF($C325="","",YEAR($C325)&amp;"-Q"&amp;ROUNDUP(MONTH($C325)/3,0))</f>
        <v/>
      </c>
      <c r="L325">
        <f>IF($G325&lt;&gt;"ALCOHOL","",IF($K325="","",$H325*IFERROR(VLOOKUP($K325,Drink_Templates!$A:$G,7,FALSE),0)))</f>
        <v/>
      </c>
    </row>
    <row r="326" ht="15" customHeight="1">
      <c r="C326">
        <f>IF($B326="","",INT($B326))</f>
        <v/>
      </c>
      <c r="D326">
        <f>IF($C326="","",$C326-WEEKDAY($C326,2)+1)</f>
        <v/>
      </c>
      <c r="E326">
        <f>IF($C326="","",DATE(YEAR($C326),MONTH($C326),1))</f>
        <v/>
      </c>
      <c r="F326">
        <f>IF($C326="","",YEAR($C326)&amp;"-Q"&amp;ROUNDUP(MONTH($C326)/3,0))</f>
        <v/>
      </c>
      <c r="L326">
        <f>IF($G326&lt;&gt;"ALCOHOL","",IF($K326="","",$H326*IFERROR(VLOOKUP($K326,Drink_Templates!$A:$G,7,FALSE),0)))</f>
        <v/>
      </c>
    </row>
    <row r="327" ht="15" customHeight="1">
      <c r="C327">
        <f>IF($B327="","",INT($B327))</f>
        <v/>
      </c>
      <c r="D327">
        <f>IF($C327="","",$C327-WEEKDAY($C327,2)+1)</f>
        <v/>
      </c>
      <c r="E327">
        <f>IF($C327="","",DATE(YEAR($C327),MONTH($C327),1))</f>
        <v/>
      </c>
      <c r="F327">
        <f>IF($C327="","",YEAR($C327)&amp;"-Q"&amp;ROUNDUP(MONTH($C327)/3,0))</f>
        <v/>
      </c>
      <c r="L327">
        <f>IF($G327&lt;&gt;"ALCOHOL","",IF($K327="","",$H327*IFERROR(VLOOKUP($K327,Drink_Templates!$A:$G,7,FALSE),0)))</f>
        <v/>
      </c>
    </row>
    <row r="328" ht="15" customHeight="1">
      <c r="C328">
        <f>IF($B328="","",INT($B328))</f>
        <v/>
      </c>
      <c r="D328">
        <f>IF($C328="","",$C328-WEEKDAY($C328,2)+1)</f>
        <v/>
      </c>
      <c r="E328">
        <f>IF($C328="","",DATE(YEAR($C328),MONTH($C328),1))</f>
        <v/>
      </c>
      <c r="F328">
        <f>IF($C328="","",YEAR($C328)&amp;"-Q"&amp;ROUNDUP(MONTH($C328)/3,0))</f>
        <v/>
      </c>
      <c r="L328">
        <f>IF($G328&lt;&gt;"ALCOHOL","",IF($K328="","",$H328*IFERROR(VLOOKUP($K328,Drink_Templates!$A:$G,7,FALSE),0)))</f>
        <v/>
      </c>
    </row>
    <row r="329" ht="15" customHeight="1">
      <c r="C329">
        <f>IF($B329="","",INT($B329))</f>
        <v/>
      </c>
      <c r="D329">
        <f>IF($C329="","",$C329-WEEKDAY($C329,2)+1)</f>
        <v/>
      </c>
      <c r="E329">
        <f>IF($C329="","",DATE(YEAR($C329),MONTH($C329),1))</f>
        <v/>
      </c>
      <c r="F329">
        <f>IF($C329="","",YEAR($C329)&amp;"-Q"&amp;ROUNDUP(MONTH($C329)/3,0))</f>
        <v/>
      </c>
      <c r="L329">
        <f>IF($G329&lt;&gt;"ALCOHOL","",IF($K329="","",$H329*IFERROR(VLOOKUP($K329,Drink_Templates!$A:$G,7,FALSE),0)))</f>
        <v/>
      </c>
    </row>
    <row r="330" ht="15" customHeight="1">
      <c r="C330">
        <f>IF($B330="","",INT($B330))</f>
        <v/>
      </c>
      <c r="D330">
        <f>IF($C330="","",$C330-WEEKDAY($C330,2)+1)</f>
        <v/>
      </c>
      <c r="E330">
        <f>IF($C330="","",DATE(YEAR($C330),MONTH($C330),1))</f>
        <v/>
      </c>
      <c r="F330">
        <f>IF($C330="","",YEAR($C330)&amp;"-Q"&amp;ROUNDUP(MONTH($C330)/3,0))</f>
        <v/>
      </c>
      <c r="L330">
        <f>IF($G330&lt;&gt;"ALCOHOL","",IF($K330="","",$H330*IFERROR(VLOOKUP($K330,Drink_Templates!$A:$G,7,FALSE),0)))</f>
        <v/>
      </c>
    </row>
    <row r="331" ht="15" customHeight="1">
      <c r="C331">
        <f>IF($B331="","",INT($B331))</f>
        <v/>
      </c>
      <c r="D331">
        <f>IF($C331="","",$C331-WEEKDAY($C331,2)+1)</f>
        <v/>
      </c>
      <c r="E331">
        <f>IF($C331="","",DATE(YEAR($C331),MONTH($C331),1))</f>
        <v/>
      </c>
      <c r="F331">
        <f>IF($C331="","",YEAR($C331)&amp;"-Q"&amp;ROUNDUP(MONTH($C331)/3,0))</f>
        <v/>
      </c>
      <c r="L331">
        <f>IF($G331&lt;&gt;"ALCOHOL","",IF($K331="","",$H331*IFERROR(VLOOKUP($K331,Drink_Templates!$A:$G,7,FALSE),0)))</f>
        <v/>
      </c>
    </row>
    <row r="332" ht="15" customHeight="1">
      <c r="C332">
        <f>IF($B332="","",INT($B332))</f>
        <v/>
      </c>
      <c r="D332">
        <f>IF($C332="","",$C332-WEEKDAY($C332,2)+1)</f>
        <v/>
      </c>
      <c r="E332">
        <f>IF($C332="","",DATE(YEAR($C332),MONTH($C332),1))</f>
        <v/>
      </c>
      <c r="F332">
        <f>IF($C332="","",YEAR($C332)&amp;"-Q"&amp;ROUNDUP(MONTH($C332)/3,0))</f>
        <v/>
      </c>
      <c r="L332">
        <f>IF($G332&lt;&gt;"ALCOHOL","",IF($K332="","",$H332*IFERROR(VLOOKUP($K332,Drink_Templates!$A:$G,7,FALSE),0)))</f>
        <v/>
      </c>
    </row>
    <row r="333" ht="15" customHeight="1">
      <c r="C333">
        <f>IF($B333="","",INT($B333))</f>
        <v/>
      </c>
      <c r="D333">
        <f>IF($C333="","",$C333-WEEKDAY($C333,2)+1)</f>
        <v/>
      </c>
      <c r="E333">
        <f>IF($C333="","",DATE(YEAR($C333),MONTH($C333),1))</f>
        <v/>
      </c>
      <c r="F333">
        <f>IF($C333="","",YEAR($C333)&amp;"-Q"&amp;ROUNDUP(MONTH($C333)/3,0))</f>
        <v/>
      </c>
      <c r="L333">
        <f>IF($G333&lt;&gt;"ALCOHOL","",IF($K333="","",$H333*IFERROR(VLOOKUP($K333,Drink_Templates!$A:$G,7,FALSE),0)))</f>
        <v/>
      </c>
    </row>
    <row r="334" ht="15" customHeight="1">
      <c r="C334">
        <f>IF($B334="","",INT($B334))</f>
        <v/>
      </c>
      <c r="D334">
        <f>IF($C334="","",$C334-WEEKDAY($C334,2)+1)</f>
        <v/>
      </c>
      <c r="E334">
        <f>IF($C334="","",DATE(YEAR($C334),MONTH($C334),1))</f>
        <v/>
      </c>
      <c r="F334">
        <f>IF($C334="","",YEAR($C334)&amp;"-Q"&amp;ROUNDUP(MONTH($C334)/3,0))</f>
        <v/>
      </c>
      <c r="L334">
        <f>IF($G334&lt;&gt;"ALCOHOL","",IF($K334="","",$H334*IFERROR(VLOOKUP($K334,Drink_Templates!$A:$G,7,FALSE),0)))</f>
        <v/>
      </c>
    </row>
    <row r="335" ht="15" customHeight="1">
      <c r="C335">
        <f>IF($B335="","",INT($B335))</f>
        <v/>
      </c>
      <c r="D335">
        <f>IF($C335="","",$C335-WEEKDAY($C335,2)+1)</f>
        <v/>
      </c>
      <c r="E335">
        <f>IF($C335="","",DATE(YEAR($C335),MONTH($C335),1))</f>
        <v/>
      </c>
      <c r="F335">
        <f>IF($C335="","",YEAR($C335)&amp;"-Q"&amp;ROUNDUP(MONTH($C335)/3,0))</f>
        <v/>
      </c>
      <c r="L335">
        <f>IF($G335&lt;&gt;"ALCOHOL","",IF($K335="","",$H335*IFERROR(VLOOKUP($K335,Drink_Templates!$A:$G,7,FALSE),0)))</f>
        <v/>
      </c>
    </row>
    <row r="336" ht="15" customHeight="1">
      <c r="C336">
        <f>IF($B336="","",INT($B336))</f>
        <v/>
      </c>
      <c r="D336">
        <f>IF($C336="","",$C336-WEEKDAY($C336,2)+1)</f>
        <v/>
      </c>
      <c r="E336">
        <f>IF($C336="","",DATE(YEAR($C336),MONTH($C336),1))</f>
        <v/>
      </c>
      <c r="F336">
        <f>IF($C336="","",YEAR($C336)&amp;"-Q"&amp;ROUNDUP(MONTH($C336)/3,0))</f>
        <v/>
      </c>
      <c r="L336">
        <f>IF($G336&lt;&gt;"ALCOHOL","",IF($K336="","",$H336*IFERROR(VLOOKUP($K336,Drink_Templates!$A:$G,7,FALSE),0)))</f>
        <v/>
      </c>
    </row>
    <row r="337" ht="15" customHeight="1">
      <c r="C337">
        <f>IF($B337="","",INT($B337))</f>
        <v/>
      </c>
      <c r="D337">
        <f>IF($C337="","",$C337-WEEKDAY($C337,2)+1)</f>
        <v/>
      </c>
      <c r="E337">
        <f>IF($C337="","",DATE(YEAR($C337),MONTH($C337),1))</f>
        <v/>
      </c>
      <c r="F337">
        <f>IF($C337="","",YEAR($C337)&amp;"-Q"&amp;ROUNDUP(MONTH($C337)/3,0))</f>
        <v/>
      </c>
      <c r="L337">
        <f>IF($G337&lt;&gt;"ALCOHOL","",IF($K337="","",$H337*IFERROR(VLOOKUP($K337,Drink_Templates!$A:$G,7,FALSE),0)))</f>
        <v/>
      </c>
    </row>
    <row r="338" ht="15" customHeight="1">
      <c r="C338">
        <f>IF($B338="","",INT($B338))</f>
        <v/>
      </c>
      <c r="D338">
        <f>IF($C338="","",$C338-WEEKDAY($C338,2)+1)</f>
        <v/>
      </c>
      <c r="E338">
        <f>IF($C338="","",DATE(YEAR($C338),MONTH($C338),1))</f>
        <v/>
      </c>
      <c r="F338">
        <f>IF($C338="","",YEAR($C338)&amp;"-Q"&amp;ROUNDUP(MONTH($C338)/3,0))</f>
        <v/>
      </c>
      <c r="L338">
        <f>IF($G338&lt;&gt;"ALCOHOL","",IF($K338="","",$H338*IFERROR(VLOOKUP($K338,Drink_Templates!$A:$G,7,FALSE),0)))</f>
        <v/>
      </c>
    </row>
    <row r="339" ht="15" customHeight="1">
      <c r="C339">
        <f>IF($B339="","",INT($B339))</f>
        <v/>
      </c>
      <c r="D339">
        <f>IF($C339="","",$C339-WEEKDAY($C339,2)+1)</f>
        <v/>
      </c>
      <c r="E339">
        <f>IF($C339="","",DATE(YEAR($C339),MONTH($C339),1))</f>
        <v/>
      </c>
      <c r="F339">
        <f>IF($C339="","",YEAR($C339)&amp;"-Q"&amp;ROUNDUP(MONTH($C339)/3,0))</f>
        <v/>
      </c>
      <c r="L339">
        <f>IF($G339&lt;&gt;"ALCOHOL","",IF($K339="","",$H339*IFERROR(VLOOKUP($K339,Drink_Templates!$A:$G,7,FALSE),0)))</f>
        <v/>
      </c>
    </row>
    <row r="340" ht="15" customHeight="1">
      <c r="C340">
        <f>IF($B340="","",INT($B340))</f>
        <v/>
      </c>
      <c r="D340">
        <f>IF($C340="","",$C340-WEEKDAY($C340,2)+1)</f>
        <v/>
      </c>
      <c r="E340">
        <f>IF($C340="","",DATE(YEAR($C340),MONTH($C340),1))</f>
        <v/>
      </c>
      <c r="F340">
        <f>IF($C340="","",YEAR($C340)&amp;"-Q"&amp;ROUNDUP(MONTH($C340)/3,0))</f>
        <v/>
      </c>
      <c r="L340">
        <f>IF($G340&lt;&gt;"ALCOHOL","",IF($K340="","",$H340*IFERROR(VLOOKUP($K340,Drink_Templates!$A:$G,7,FALSE),0)))</f>
        <v/>
      </c>
    </row>
    <row r="341" ht="15" customHeight="1">
      <c r="C341">
        <f>IF($B341="","",INT($B341))</f>
        <v/>
      </c>
      <c r="D341">
        <f>IF($C341="","",$C341-WEEKDAY($C341,2)+1)</f>
        <v/>
      </c>
      <c r="E341">
        <f>IF($C341="","",DATE(YEAR($C341),MONTH($C341),1))</f>
        <v/>
      </c>
      <c r="F341">
        <f>IF($C341="","",YEAR($C341)&amp;"-Q"&amp;ROUNDUP(MONTH($C341)/3,0))</f>
        <v/>
      </c>
      <c r="L341">
        <f>IF($G341&lt;&gt;"ALCOHOL","",IF($K341="","",$H341*IFERROR(VLOOKUP($K341,Drink_Templates!$A:$G,7,FALSE),0)))</f>
        <v/>
      </c>
    </row>
    <row r="342" ht="15" customHeight="1">
      <c r="C342">
        <f>IF($B342="","",INT($B342))</f>
        <v/>
      </c>
      <c r="D342">
        <f>IF($C342="","",$C342-WEEKDAY($C342,2)+1)</f>
        <v/>
      </c>
      <c r="E342">
        <f>IF($C342="","",DATE(YEAR($C342),MONTH($C342),1))</f>
        <v/>
      </c>
      <c r="F342">
        <f>IF($C342="","",YEAR($C342)&amp;"-Q"&amp;ROUNDUP(MONTH($C342)/3,0))</f>
        <v/>
      </c>
      <c r="L342">
        <f>IF($G342&lt;&gt;"ALCOHOL","",IF($K342="","",$H342*IFERROR(VLOOKUP($K342,Drink_Templates!$A:$G,7,FALSE),0)))</f>
        <v/>
      </c>
    </row>
    <row r="343" ht="15" customHeight="1">
      <c r="C343">
        <f>IF($B343="","",INT($B343))</f>
        <v/>
      </c>
      <c r="D343">
        <f>IF($C343="","",$C343-WEEKDAY($C343,2)+1)</f>
        <v/>
      </c>
      <c r="E343">
        <f>IF($C343="","",DATE(YEAR($C343),MONTH($C343),1))</f>
        <v/>
      </c>
      <c r="F343">
        <f>IF($C343="","",YEAR($C343)&amp;"-Q"&amp;ROUNDUP(MONTH($C343)/3,0))</f>
        <v/>
      </c>
      <c r="L343">
        <f>IF($G343&lt;&gt;"ALCOHOL","",IF($K343="","",$H343*IFERROR(VLOOKUP($K343,Drink_Templates!$A:$G,7,FALSE),0)))</f>
        <v/>
      </c>
    </row>
    <row r="344" ht="15" customHeight="1">
      <c r="C344">
        <f>IF($B344="","",INT($B344))</f>
        <v/>
      </c>
      <c r="D344">
        <f>IF($C344="","",$C344-WEEKDAY($C344,2)+1)</f>
        <v/>
      </c>
      <c r="E344">
        <f>IF($C344="","",DATE(YEAR($C344),MONTH($C344),1))</f>
        <v/>
      </c>
      <c r="F344">
        <f>IF($C344="","",YEAR($C344)&amp;"-Q"&amp;ROUNDUP(MONTH($C344)/3,0))</f>
        <v/>
      </c>
      <c r="L344">
        <f>IF($G344&lt;&gt;"ALCOHOL","",IF($K344="","",$H344*IFERROR(VLOOKUP($K344,Drink_Templates!$A:$G,7,FALSE),0)))</f>
        <v/>
      </c>
    </row>
    <row r="345" ht="15" customHeight="1">
      <c r="C345">
        <f>IF($B345="","",INT($B345))</f>
        <v/>
      </c>
      <c r="D345">
        <f>IF($C345="","",$C345-WEEKDAY($C345,2)+1)</f>
        <v/>
      </c>
      <c r="E345">
        <f>IF($C345="","",DATE(YEAR($C345),MONTH($C345),1))</f>
        <v/>
      </c>
      <c r="F345">
        <f>IF($C345="","",YEAR($C345)&amp;"-Q"&amp;ROUNDUP(MONTH($C345)/3,0))</f>
        <v/>
      </c>
      <c r="L345">
        <f>IF($G345&lt;&gt;"ALCOHOL","",IF($K345="","",$H345*IFERROR(VLOOKUP($K345,Drink_Templates!$A:$G,7,FALSE),0)))</f>
        <v/>
      </c>
    </row>
    <row r="346" ht="15" customHeight="1">
      <c r="C346">
        <f>IF($B346="","",INT($B346))</f>
        <v/>
      </c>
      <c r="D346">
        <f>IF($C346="","",$C346-WEEKDAY($C346,2)+1)</f>
        <v/>
      </c>
      <c r="E346">
        <f>IF($C346="","",DATE(YEAR($C346),MONTH($C346),1))</f>
        <v/>
      </c>
      <c r="F346">
        <f>IF($C346="","",YEAR($C346)&amp;"-Q"&amp;ROUNDUP(MONTH($C346)/3,0))</f>
        <v/>
      </c>
      <c r="L346">
        <f>IF($G346&lt;&gt;"ALCOHOL","",IF($K346="","",$H346*IFERROR(VLOOKUP($K346,Drink_Templates!$A:$G,7,FALSE),0)))</f>
        <v/>
      </c>
    </row>
    <row r="347" ht="15" customHeight="1">
      <c r="C347">
        <f>IF($B347="","",INT($B347))</f>
        <v/>
      </c>
      <c r="D347">
        <f>IF($C347="","",$C347-WEEKDAY($C347,2)+1)</f>
        <v/>
      </c>
      <c r="E347">
        <f>IF($C347="","",DATE(YEAR($C347),MONTH($C347),1))</f>
        <v/>
      </c>
      <c r="F347">
        <f>IF($C347="","",YEAR($C347)&amp;"-Q"&amp;ROUNDUP(MONTH($C347)/3,0))</f>
        <v/>
      </c>
      <c r="L347">
        <f>IF($G347&lt;&gt;"ALCOHOL","",IF($K347="","",$H347*IFERROR(VLOOKUP($K347,Drink_Templates!$A:$G,7,FALSE),0)))</f>
        <v/>
      </c>
    </row>
    <row r="348" ht="15" customHeight="1">
      <c r="C348">
        <f>IF($B348="","",INT($B348))</f>
        <v/>
      </c>
      <c r="D348">
        <f>IF($C348="","",$C348-WEEKDAY($C348,2)+1)</f>
        <v/>
      </c>
      <c r="E348">
        <f>IF($C348="","",DATE(YEAR($C348),MONTH($C348),1))</f>
        <v/>
      </c>
      <c r="F348">
        <f>IF($C348="","",YEAR($C348)&amp;"-Q"&amp;ROUNDUP(MONTH($C348)/3,0))</f>
        <v/>
      </c>
      <c r="L348">
        <f>IF($G348&lt;&gt;"ALCOHOL","",IF($K348="","",$H348*IFERROR(VLOOKUP($K348,Drink_Templates!$A:$G,7,FALSE),0)))</f>
        <v/>
      </c>
    </row>
    <row r="349" ht="15" customHeight="1">
      <c r="C349">
        <f>IF($B349="","",INT($B349))</f>
        <v/>
      </c>
      <c r="D349">
        <f>IF($C349="","",$C349-WEEKDAY($C349,2)+1)</f>
        <v/>
      </c>
      <c r="E349">
        <f>IF($C349="","",DATE(YEAR($C349),MONTH($C349),1))</f>
        <v/>
      </c>
      <c r="F349">
        <f>IF($C349="","",YEAR($C349)&amp;"-Q"&amp;ROUNDUP(MONTH($C349)/3,0))</f>
        <v/>
      </c>
      <c r="L349">
        <f>IF($G349&lt;&gt;"ALCOHOL","",IF($K349="","",$H349*IFERROR(VLOOKUP($K349,Drink_Templates!$A:$G,7,FALSE),0)))</f>
        <v/>
      </c>
    </row>
    <row r="350" ht="15" customHeight="1">
      <c r="C350">
        <f>IF($B350="","",INT($B350))</f>
        <v/>
      </c>
      <c r="D350">
        <f>IF($C350="","",$C350-WEEKDAY($C350,2)+1)</f>
        <v/>
      </c>
      <c r="E350">
        <f>IF($C350="","",DATE(YEAR($C350),MONTH($C350),1))</f>
        <v/>
      </c>
      <c r="F350">
        <f>IF($C350="","",YEAR($C350)&amp;"-Q"&amp;ROUNDUP(MONTH($C350)/3,0))</f>
        <v/>
      </c>
      <c r="L350">
        <f>IF($G350&lt;&gt;"ALCOHOL","",IF($K350="","",$H350*IFERROR(VLOOKUP($K350,Drink_Templates!$A:$G,7,FALSE),0)))</f>
        <v/>
      </c>
    </row>
    <row r="351" ht="15" customHeight="1">
      <c r="C351">
        <f>IF($B351="","",INT($B351))</f>
        <v/>
      </c>
      <c r="D351">
        <f>IF($C351="","",$C351-WEEKDAY($C351,2)+1)</f>
        <v/>
      </c>
      <c r="E351">
        <f>IF($C351="","",DATE(YEAR($C351),MONTH($C351),1))</f>
        <v/>
      </c>
      <c r="F351">
        <f>IF($C351="","",YEAR($C351)&amp;"-Q"&amp;ROUNDUP(MONTH($C351)/3,0))</f>
        <v/>
      </c>
      <c r="L351">
        <f>IF($G351&lt;&gt;"ALCOHOL","",IF($K351="","",$H351*IFERROR(VLOOKUP($K351,Drink_Templates!$A:$G,7,FALSE),0)))</f>
        <v/>
      </c>
    </row>
    <row r="352" ht="15" customHeight="1">
      <c r="C352">
        <f>IF($B352="","",INT($B352))</f>
        <v/>
      </c>
      <c r="D352">
        <f>IF($C352="","",$C352-WEEKDAY($C352,2)+1)</f>
        <v/>
      </c>
      <c r="E352">
        <f>IF($C352="","",DATE(YEAR($C352),MONTH($C352),1))</f>
        <v/>
      </c>
      <c r="F352">
        <f>IF($C352="","",YEAR($C352)&amp;"-Q"&amp;ROUNDUP(MONTH($C352)/3,0))</f>
        <v/>
      </c>
      <c r="L352">
        <f>IF($G352&lt;&gt;"ALCOHOL","",IF($K352="","",$H352*IFERROR(VLOOKUP($K352,Drink_Templates!$A:$G,7,FALSE),0)))</f>
        <v/>
      </c>
    </row>
    <row r="353" ht="15" customHeight="1">
      <c r="C353">
        <f>IF($B353="","",INT($B353))</f>
        <v/>
      </c>
      <c r="D353">
        <f>IF($C353="","",$C353-WEEKDAY($C353,2)+1)</f>
        <v/>
      </c>
      <c r="E353">
        <f>IF($C353="","",DATE(YEAR($C353),MONTH($C353),1))</f>
        <v/>
      </c>
      <c r="F353">
        <f>IF($C353="","",YEAR($C353)&amp;"-Q"&amp;ROUNDUP(MONTH($C353)/3,0))</f>
        <v/>
      </c>
      <c r="L353">
        <f>IF($G353&lt;&gt;"ALCOHOL","",IF($K353="","",$H353*IFERROR(VLOOKUP($K353,Drink_Templates!$A:$G,7,FALSE),0)))</f>
        <v/>
      </c>
    </row>
    <row r="354" ht="15" customHeight="1">
      <c r="C354">
        <f>IF($B354="","",INT($B354))</f>
        <v/>
      </c>
      <c r="D354">
        <f>IF($C354="","",$C354-WEEKDAY($C354,2)+1)</f>
        <v/>
      </c>
      <c r="E354">
        <f>IF($C354="","",DATE(YEAR($C354),MONTH($C354),1))</f>
        <v/>
      </c>
      <c r="F354">
        <f>IF($C354="","",YEAR($C354)&amp;"-Q"&amp;ROUNDUP(MONTH($C354)/3,0))</f>
        <v/>
      </c>
      <c r="L354">
        <f>IF($G354&lt;&gt;"ALCOHOL","",IF($K354="","",$H354*IFERROR(VLOOKUP($K354,Drink_Templates!$A:$G,7,FALSE),0)))</f>
        <v/>
      </c>
    </row>
    <row r="355" ht="15" customHeight="1">
      <c r="C355">
        <f>IF($B355="","",INT($B355))</f>
        <v/>
      </c>
      <c r="D355">
        <f>IF($C355="","",$C355-WEEKDAY($C355,2)+1)</f>
        <v/>
      </c>
      <c r="E355">
        <f>IF($C355="","",DATE(YEAR($C355),MONTH($C355),1))</f>
        <v/>
      </c>
      <c r="F355">
        <f>IF($C355="","",YEAR($C355)&amp;"-Q"&amp;ROUNDUP(MONTH($C355)/3,0))</f>
        <v/>
      </c>
      <c r="L355">
        <f>IF($G355&lt;&gt;"ALCOHOL","",IF($K355="","",$H355*IFERROR(VLOOKUP($K355,Drink_Templates!$A:$G,7,FALSE),0)))</f>
        <v/>
      </c>
    </row>
    <row r="356" ht="15" customHeight="1">
      <c r="C356">
        <f>IF($B356="","",INT($B356))</f>
        <v/>
      </c>
      <c r="D356">
        <f>IF($C356="","",$C356-WEEKDAY($C356,2)+1)</f>
        <v/>
      </c>
      <c r="E356">
        <f>IF($C356="","",DATE(YEAR($C356),MONTH($C356),1))</f>
        <v/>
      </c>
      <c r="F356">
        <f>IF($C356="","",YEAR($C356)&amp;"-Q"&amp;ROUNDUP(MONTH($C356)/3,0))</f>
        <v/>
      </c>
      <c r="L356">
        <f>IF($G356&lt;&gt;"ALCOHOL","",IF($K356="","",$H356*IFERROR(VLOOKUP($K356,Drink_Templates!$A:$G,7,FALSE),0)))</f>
        <v/>
      </c>
    </row>
    <row r="357" ht="15" customHeight="1">
      <c r="C357">
        <f>IF($B357="","",INT($B357))</f>
        <v/>
      </c>
      <c r="D357">
        <f>IF($C357="","",$C357-WEEKDAY($C357,2)+1)</f>
        <v/>
      </c>
      <c r="E357">
        <f>IF($C357="","",DATE(YEAR($C357),MONTH($C357),1))</f>
        <v/>
      </c>
      <c r="F357">
        <f>IF($C357="","",YEAR($C357)&amp;"-Q"&amp;ROUNDUP(MONTH($C357)/3,0))</f>
        <v/>
      </c>
      <c r="L357">
        <f>IF($G357&lt;&gt;"ALCOHOL","",IF($K357="","",$H357*IFERROR(VLOOKUP($K357,Drink_Templates!$A:$G,7,FALSE),0)))</f>
        <v/>
      </c>
    </row>
    <row r="358" ht="15" customHeight="1">
      <c r="C358">
        <f>IF($B358="","",INT($B358))</f>
        <v/>
      </c>
      <c r="D358">
        <f>IF($C358="","",$C358-WEEKDAY($C358,2)+1)</f>
        <v/>
      </c>
      <c r="E358">
        <f>IF($C358="","",DATE(YEAR($C358),MONTH($C358),1))</f>
        <v/>
      </c>
      <c r="F358">
        <f>IF($C358="","",YEAR($C358)&amp;"-Q"&amp;ROUNDUP(MONTH($C358)/3,0))</f>
        <v/>
      </c>
      <c r="L358">
        <f>IF($G358&lt;&gt;"ALCOHOL","",IF($K358="","",$H358*IFERROR(VLOOKUP($K358,Drink_Templates!$A:$G,7,FALSE),0)))</f>
        <v/>
      </c>
    </row>
    <row r="359" ht="15" customHeight="1">
      <c r="C359">
        <f>IF($B359="","",INT($B359))</f>
        <v/>
      </c>
      <c r="D359">
        <f>IF($C359="","",$C359-WEEKDAY($C359,2)+1)</f>
        <v/>
      </c>
      <c r="E359">
        <f>IF($C359="","",DATE(YEAR($C359),MONTH($C359),1))</f>
        <v/>
      </c>
      <c r="F359">
        <f>IF($C359="","",YEAR($C359)&amp;"-Q"&amp;ROUNDUP(MONTH($C359)/3,0))</f>
        <v/>
      </c>
      <c r="L359">
        <f>IF($G359&lt;&gt;"ALCOHOL","",IF($K359="","",$H359*IFERROR(VLOOKUP($K359,Drink_Templates!$A:$G,7,FALSE),0)))</f>
        <v/>
      </c>
    </row>
    <row r="360" ht="15" customHeight="1">
      <c r="C360">
        <f>IF($B360="","",INT($B360))</f>
        <v/>
      </c>
      <c r="D360">
        <f>IF($C360="","",$C360-WEEKDAY($C360,2)+1)</f>
        <v/>
      </c>
      <c r="E360">
        <f>IF($C360="","",DATE(YEAR($C360),MONTH($C360),1))</f>
        <v/>
      </c>
      <c r="F360">
        <f>IF($C360="","",YEAR($C360)&amp;"-Q"&amp;ROUNDUP(MONTH($C360)/3,0))</f>
        <v/>
      </c>
      <c r="L360">
        <f>IF($G360&lt;&gt;"ALCOHOL","",IF($K360="","",$H360*IFERROR(VLOOKUP($K360,Drink_Templates!$A:$G,7,FALSE),0)))</f>
        <v/>
      </c>
    </row>
    <row r="361" ht="15" customHeight="1">
      <c r="C361">
        <f>IF($B361="","",INT($B361))</f>
        <v/>
      </c>
      <c r="D361">
        <f>IF($C361="","",$C361-WEEKDAY($C361,2)+1)</f>
        <v/>
      </c>
      <c r="E361">
        <f>IF($C361="","",DATE(YEAR($C361),MONTH($C361),1))</f>
        <v/>
      </c>
      <c r="F361">
        <f>IF($C361="","",YEAR($C361)&amp;"-Q"&amp;ROUNDUP(MONTH($C361)/3,0))</f>
        <v/>
      </c>
      <c r="L361">
        <f>IF($G361&lt;&gt;"ALCOHOL","",IF($K361="","",$H361*IFERROR(VLOOKUP($K361,Drink_Templates!$A:$G,7,FALSE),0)))</f>
        <v/>
      </c>
    </row>
    <row r="362" ht="15" customHeight="1">
      <c r="C362">
        <f>IF($B362="","",INT($B362))</f>
        <v/>
      </c>
      <c r="D362">
        <f>IF($C362="","",$C362-WEEKDAY($C362,2)+1)</f>
        <v/>
      </c>
      <c r="E362">
        <f>IF($C362="","",DATE(YEAR($C362),MONTH($C362),1))</f>
        <v/>
      </c>
      <c r="F362">
        <f>IF($C362="","",YEAR($C362)&amp;"-Q"&amp;ROUNDUP(MONTH($C362)/3,0))</f>
        <v/>
      </c>
      <c r="L362">
        <f>IF($G362&lt;&gt;"ALCOHOL","",IF($K362="","",$H362*IFERROR(VLOOKUP($K362,Drink_Templates!$A:$G,7,FALSE),0)))</f>
        <v/>
      </c>
    </row>
    <row r="363" ht="15" customHeight="1">
      <c r="C363">
        <f>IF($B363="","",INT($B363))</f>
        <v/>
      </c>
      <c r="D363">
        <f>IF($C363="","",$C363-WEEKDAY($C363,2)+1)</f>
        <v/>
      </c>
      <c r="E363">
        <f>IF($C363="","",DATE(YEAR($C363),MONTH($C363),1))</f>
        <v/>
      </c>
      <c r="F363">
        <f>IF($C363="","",YEAR($C363)&amp;"-Q"&amp;ROUNDUP(MONTH($C363)/3,0))</f>
        <v/>
      </c>
      <c r="L363">
        <f>IF($G363&lt;&gt;"ALCOHOL","",IF($K363="","",$H363*IFERROR(VLOOKUP($K363,Drink_Templates!$A:$G,7,FALSE),0)))</f>
        <v/>
      </c>
    </row>
    <row r="364" ht="15" customHeight="1">
      <c r="C364">
        <f>IF($B364="","",INT($B364))</f>
        <v/>
      </c>
      <c r="D364">
        <f>IF($C364="","",$C364-WEEKDAY($C364,2)+1)</f>
        <v/>
      </c>
      <c r="E364">
        <f>IF($C364="","",DATE(YEAR($C364),MONTH($C364),1))</f>
        <v/>
      </c>
      <c r="F364">
        <f>IF($C364="","",YEAR($C364)&amp;"-Q"&amp;ROUNDUP(MONTH($C364)/3,0))</f>
        <v/>
      </c>
      <c r="L364">
        <f>IF($G364&lt;&gt;"ALCOHOL","",IF($K364="","",$H364*IFERROR(VLOOKUP($K364,Drink_Templates!$A:$G,7,FALSE),0)))</f>
        <v/>
      </c>
    </row>
    <row r="365" ht="15" customHeight="1">
      <c r="C365">
        <f>IF($B365="","",INT($B365))</f>
        <v/>
      </c>
      <c r="D365">
        <f>IF($C365="","",$C365-WEEKDAY($C365,2)+1)</f>
        <v/>
      </c>
      <c r="E365">
        <f>IF($C365="","",DATE(YEAR($C365),MONTH($C365),1))</f>
        <v/>
      </c>
      <c r="F365">
        <f>IF($C365="","",YEAR($C365)&amp;"-Q"&amp;ROUNDUP(MONTH($C365)/3,0))</f>
        <v/>
      </c>
      <c r="L365">
        <f>IF($G365&lt;&gt;"ALCOHOL","",IF($K365="","",$H365*IFERROR(VLOOKUP($K365,Drink_Templates!$A:$G,7,FALSE),0)))</f>
        <v/>
      </c>
    </row>
    <row r="366" ht="15" customHeight="1">
      <c r="C366">
        <f>IF($B366="","",INT($B366))</f>
        <v/>
      </c>
      <c r="D366">
        <f>IF($C366="","",$C366-WEEKDAY($C366,2)+1)</f>
        <v/>
      </c>
      <c r="E366">
        <f>IF($C366="","",DATE(YEAR($C366),MONTH($C366),1))</f>
        <v/>
      </c>
      <c r="F366">
        <f>IF($C366="","",YEAR($C366)&amp;"-Q"&amp;ROUNDUP(MONTH($C366)/3,0))</f>
        <v/>
      </c>
      <c r="L366">
        <f>IF($G366&lt;&gt;"ALCOHOL","",IF($K366="","",$H366*IFERROR(VLOOKUP($K366,Drink_Templates!$A:$G,7,FALSE),0)))</f>
        <v/>
      </c>
    </row>
    <row r="367" ht="15" customHeight="1">
      <c r="C367">
        <f>IF($B367="","",INT($B367))</f>
        <v/>
      </c>
      <c r="D367">
        <f>IF($C367="","",$C367-WEEKDAY($C367,2)+1)</f>
        <v/>
      </c>
      <c r="E367">
        <f>IF($C367="","",DATE(YEAR($C367),MONTH($C367),1))</f>
        <v/>
      </c>
      <c r="F367">
        <f>IF($C367="","",YEAR($C367)&amp;"-Q"&amp;ROUNDUP(MONTH($C367)/3,0))</f>
        <v/>
      </c>
      <c r="L367">
        <f>IF($G367&lt;&gt;"ALCOHOL","",IF($K367="","",$H367*IFERROR(VLOOKUP($K367,Drink_Templates!$A:$G,7,FALSE),0)))</f>
        <v/>
      </c>
    </row>
    <row r="368" ht="15" customHeight="1">
      <c r="C368">
        <f>IF($B368="","",INT($B368))</f>
        <v/>
      </c>
      <c r="D368">
        <f>IF($C368="","",$C368-WEEKDAY($C368,2)+1)</f>
        <v/>
      </c>
      <c r="E368">
        <f>IF($C368="","",DATE(YEAR($C368),MONTH($C368),1))</f>
        <v/>
      </c>
      <c r="F368">
        <f>IF($C368="","",YEAR($C368)&amp;"-Q"&amp;ROUNDUP(MONTH($C368)/3,0))</f>
        <v/>
      </c>
      <c r="L368">
        <f>IF($G368&lt;&gt;"ALCOHOL","",IF($K368="","",$H368*IFERROR(VLOOKUP($K368,Drink_Templates!$A:$G,7,FALSE),0)))</f>
        <v/>
      </c>
    </row>
    <row r="369" ht="15" customHeight="1">
      <c r="C369">
        <f>IF($B369="","",INT($B369))</f>
        <v/>
      </c>
      <c r="D369">
        <f>IF($C369="","",$C369-WEEKDAY($C369,2)+1)</f>
        <v/>
      </c>
      <c r="E369">
        <f>IF($C369="","",DATE(YEAR($C369),MONTH($C369),1))</f>
        <v/>
      </c>
      <c r="F369">
        <f>IF($C369="","",YEAR($C369)&amp;"-Q"&amp;ROUNDUP(MONTH($C369)/3,0))</f>
        <v/>
      </c>
      <c r="L369">
        <f>IF($G369&lt;&gt;"ALCOHOL","",IF($K369="","",$H369*IFERROR(VLOOKUP($K369,Drink_Templates!$A:$G,7,FALSE),0)))</f>
        <v/>
      </c>
    </row>
    <row r="370" ht="15" customHeight="1">
      <c r="C370">
        <f>IF($B370="","",INT($B370))</f>
        <v/>
      </c>
      <c r="D370">
        <f>IF($C370="","",$C370-WEEKDAY($C370,2)+1)</f>
        <v/>
      </c>
      <c r="E370">
        <f>IF($C370="","",DATE(YEAR($C370),MONTH($C370),1))</f>
        <v/>
      </c>
      <c r="F370">
        <f>IF($C370="","",YEAR($C370)&amp;"-Q"&amp;ROUNDUP(MONTH($C370)/3,0))</f>
        <v/>
      </c>
      <c r="L370">
        <f>IF($G370&lt;&gt;"ALCOHOL","",IF($K370="","",$H370*IFERROR(VLOOKUP($K370,Drink_Templates!$A:$G,7,FALSE),0)))</f>
        <v/>
      </c>
    </row>
    <row r="371" ht="15" customHeight="1">
      <c r="C371">
        <f>IF($B371="","",INT($B371))</f>
        <v/>
      </c>
      <c r="D371">
        <f>IF($C371="","",$C371-WEEKDAY($C371,2)+1)</f>
        <v/>
      </c>
      <c r="E371">
        <f>IF($C371="","",DATE(YEAR($C371),MONTH($C371),1))</f>
        <v/>
      </c>
      <c r="F371">
        <f>IF($C371="","",YEAR($C371)&amp;"-Q"&amp;ROUNDUP(MONTH($C371)/3,0))</f>
        <v/>
      </c>
      <c r="L371">
        <f>IF($G371&lt;&gt;"ALCOHOL","",IF($K371="","",$H371*IFERROR(VLOOKUP($K371,Drink_Templates!$A:$G,7,FALSE),0)))</f>
        <v/>
      </c>
    </row>
    <row r="372" ht="15" customHeight="1">
      <c r="C372">
        <f>IF($B372="","",INT($B372))</f>
        <v/>
      </c>
      <c r="D372">
        <f>IF($C372="","",$C372-WEEKDAY($C372,2)+1)</f>
        <v/>
      </c>
      <c r="E372">
        <f>IF($C372="","",DATE(YEAR($C372),MONTH($C372),1))</f>
        <v/>
      </c>
      <c r="F372">
        <f>IF($C372="","",YEAR($C372)&amp;"-Q"&amp;ROUNDUP(MONTH($C372)/3,0))</f>
        <v/>
      </c>
      <c r="L372">
        <f>IF($G372&lt;&gt;"ALCOHOL","",IF($K372="","",$H372*IFERROR(VLOOKUP($K372,Drink_Templates!$A:$G,7,FALSE),0)))</f>
        <v/>
      </c>
    </row>
    <row r="373" ht="15" customHeight="1">
      <c r="C373">
        <f>IF($B373="","",INT($B373))</f>
        <v/>
      </c>
      <c r="D373">
        <f>IF($C373="","",$C373-WEEKDAY($C373,2)+1)</f>
        <v/>
      </c>
      <c r="E373">
        <f>IF($C373="","",DATE(YEAR($C373),MONTH($C373),1))</f>
        <v/>
      </c>
      <c r="F373">
        <f>IF($C373="","",YEAR($C373)&amp;"-Q"&amp;ROUNDUP(MONTH($C373)/3,0))</f>
        <v/>
      </c>
      <c r="L373">
        <f>IF($G373&lt;&gt;"ALCOHOL","",IF($K373="","",$H373*IFERROR(VLOOKUP($K373,Drink_Templates!$A:$G,7,FALSE),0)))</f>
        <v/>
      </c>
    </row>
    <row r="374" ht="15" customHeight="1">
      <c r="C374">
        <f>IF($B374="","",INT($B374))</f>
        <v/>
      </c>
      <c r="D374">
        <f>IF($C374="","",$C374-WEEKDAY($C374,2)+1)</f>
        <v/>
      </c>
      <c r="E374">
        <f>IF($C374="","",DATE(YEAR($C374),MONTH($C374),1))</f>
        <v/>
      </c>
      <c r="F374">
        <f>IF($C374="","",YEAR($C374)&amp;"-Q"&amp;ROUNDUP(MONTH($C374)/3,0))</f>
        <v/>
      </c>
      <c r="L374">
        <f>IF($G374&lt;&gt;"ALCOHOL","",IF($K374="","",$H374*IFERROR(VLOOKUP($K374,Drink_Templates!$A:$G,7,FALSE),0)))</f>
        <v/>
      </c>
    </row>
    <row r="375" ht="15" customHeight="1">
      <c r="C375">
        <f>IF($B375="","",INT($B375))</f>
        <v/>
      </c>
      <c r="D375">
        <f>IF($C375="","",$C375-WEEKDAY($C375,2)+1)</f>
        <v/>
      </c>
      <c r="E375">
        <f>IF($C375="","",DATE(YEAR($C375),MONTH($C375),1))</f>
        <v/>
      </c>
      <c r="F375">
        <f>IF($C375="","",YEAR($C375)&amp;"-Q"&amp;ROUNDUP(MONTH($C375)/3,0))</f>
        <v/>
      </c>
      <c r="L375">
        <f>IF($G375&lt;&gt;"ALCOHOL","",IF($K375="","",$H375*IFERROR(VLOOKUP($K375,Drink_Templates!$A:$G,7,FALSE),0)))</f>
        <v/>
      </c>
    </row>
    <row r="376" ht="15" customHeight="1">
      <c r="C376">
        <f>IF($B376="","",INT($B376))</f>
        <v/>
      </c>
      <c r="D376">
        <f>IF($C376="","",$C376-WEEKDAY($C376,2)+1)</f>
        <v/>
      </c>
      <c r="E376">
        <f>IF($C376="","",DATE(YEAR($C376),MONTH($C376),1))</f>
        <v/>
      </c>
      <c r="F376">
        <f>IF($C376="","",YEAR($C376)&amp;"-Q"&amp;ROUNDUP(MONTH($C376)/3,0))</f>
        <v/>
      </c>
      <c r="L376">
        <f>IF($G376&lt;&gt;"ALCOHOL","",IF($K376="","",$H376*IFERROR(VLOOKUP($K376,Drink_Templates!$A:$G,7,FALSE),0)))</f>
        <v/>
      </c>
    </row>
    <row r="377" ht="15" customHeight="1">
      <c r="C377">
        <f>IF($B377="","",INT($B377))</f>
        <v/>
      </c>
      <c r="D377">
        <f>IF($C377="","",$C377-WEEKDAY($C377,2)+1)</f>
        <v/>
      </c>
      <c r="E377">
        <f>IF($C377="","",DATE(YEAR($C377),MONTH($C377),1))</f>
        <v/>
      </c>
      <c r="F377">
        <f>IF($C377="","",YEAR($C377)&amp;"-Q"&amp;ROUNDUP(MONTH($C377)/3,0))</f>
        <v/>
      </c>
      <c r="L377">
        <f>IF($G377&lt;&gt;"ALCOHOL","",IF($K377="","",$H377*IFERROR(VLOOKUP($K377,Drink_Templates!$A:$G,7,FALSE),0)))</f>
        <v/>
      </c>
    </row>
    <row r="378" ht="15" customHeight="1">
      <c r="C378">
        <f>IF($B378="","",INT($B378))</f>
        <v/>
      </c>
      <c r="D378">
        <f>IF($C378="","",$C378-WEEKDAY($C378,2)+1)</f>
        <v/>
      </c>
      <c r="E378">
        <f>IF($C378="","",DATE(YEAR($C378),MONTH($C378),1))</f>
        <v/>
      </c>
      <c r="F378">
        <f>IF($C378="","",YEAR($C378)&amp;"-Q"&amp;ROUNDUP(MONTH($C378)/3,0))</f>
        <v/>
      </c>
      <c r="L378">
        <f>IF($G378&lt;&gt;"ALCOHOL","",IF($K378="","",$H378*IFERROR(VLOOKUP($K378,Drink_Templates!$A:$G,7,FALSE),0)))</f>
        <v/>
      </c>
    </row>
    <row r="379" ht="15" customHeight="1">
      <c r="C379">
        <f>IF($B379="","",INT($B379))</f>
        <v/>
      </c>
      <c r="D379">
        <f>IF($C379="","",$C379-WEEKDAY($C379,2)+1)</f>
        <v/>
      </c>
      <c r="E379">
        <f>IF($C379="","",DATE(YEAR($C379),MONTH($C379),1))</f>
        <v/>
      </c>
      <c r="F379">
        <f>IF($C379="","",YEAR($C379)&amp;"-Q"&amp;ROUNDUP(MONTH($C379)/3,0))</f>
        <v/>
      </c>
      <c r="L379">
        <f>IF($G379&lt;&gt;"ALCOHOL","",IF($K379="","",$H379*IFERROR(VLOOKUP($K379,Drink_Templates!$A:$G,7,FALSE),0)))</f>
        <v/>
      </c>
    </row>
    <row r="380" ht="15" customHeight="1">
      <c r="C380">
        <f>IF($B380="","",INT($B380))</f>
        <v/>
      </c>
      <c r="D380">
        <f>IF($C380="","",$C380-WEEKDAY($C380,2)+1)</f>
        <v/>
      </c>
      <c r="E380">
        <f>IF($C380="","",DATE(YEAR($C380),MONTH($C380),1))</f>
        <v/>
      </c>
      <c r="F380">
        <f>IF($C380="","",YEAR($C380)&amp;"-Q"&amp;ROUNDUP(MONTH($C380)/3,0))</f>
        <v/>
      </c>
      <c r="L380">
        <f>IF($G380&lt;&gt;"ALCOHOL","",IF($K380="","",$H380*IFERROR(VLOOKUP($K380,Drink_Templates!$A:$G,7,FALSE),0)))</f>
        <v/>
      </c>
    </row>
    <row r="381" ht="15" customHeight="1">
      <c r="C381">
        <f>IF($B381="","",INT($B381))</f>
        <v/>
      </c>
      <c r="D381">
        <f>IF($C381="","",$C381-WEEKDAY($C381,2)+1)</f>
        <v/>
      </c>
      <c r="E381">
        <f>IF($C381="","",DATE(YEAR($C381),MONTH($C381),1))</f>
        <v/>
      </c>
      <c r="F381">
        <f>IF($C381="","",YEAR($C381)&amp;"-Q"&amp;ROUNDUP(MONTH($C381)/3,0))</f>
        <v/>
      </c>
      <c r="L381">
        <f>IF($G381&lt;&gt;"ALCOHOL","",IF($K381="","",$H381*IFERROR(VLOOKUP($K381,Drink_Templates!$A:$G,7,FALSE),0)))</f>
        <v/>
      </c>
    </row>
    <row r="382" ht="15" customHeight="1">
      <c r="C382">
        <f>IF($B382="","",INT($B382))</f>
        <v/>
      </c>
      <c r="D382">
        <f>IF($C382="","",$C382-WEEKDAY($C382,2)+1)</f>
        <v/>
      </c>
      <c r="E382">
        <f>IF($C382="","",DATE(YEAR($C382),MONTH($C382),1))</f>
        <v/>
      </c>
      <c r="F382">
        <f>IF($C382="","",YEAR($C382)&amp;"-Q"&amp;ROUNDUP(MONTH($C382)/3,0))</f>
        <v/>
      </c>
      <c r="L382">
        <f>IF($G382&lt;&gt;"ALCOHOL","",IF($K382="","",$H382*IFERROR(VLOOKUP($K382,Drink_Templates!$A:$G,7,FALSE),0)))</f>
        <v/>
      </c>
    </row>
    <row r="383" ht="15" customHeight="1">
      <c r="C383">
        <f>IF($B383="","",INT($B383))</f>
        <v/>
      </c>
      <c r="D383">
        <f>IF($C383="","",$C383-WEEKDAY($C383,2)+1)</f>
        <v/>
      </c>
      <c r="E383">
        <f>IF($C383="","",DATE(YEAR($C383),MONTH($C383),1))</f>
        <v/>
      </c>
      <c r="F383">
        <f>IF($C383="","",YEAR($C383)&amp;"-Q"&amp;ROUNDUP(MONTH($C383)/3,0))</f>
        <v/>
      </c>
      <c r="L383">
        <f>IF($G383&lt;&gt;"ALCOHOL","",IF($K383="","",$H383*IFERROR(VLOOKUP($K383,Drink_Templates!$A:$G,7,FALSE),0)))</f>
        <v/>
      </c>
    </row>
    <row r="384" ht="15" customHeight="1">
      <c r="C384">
        <f>IF($B384="","",INT($B384))</f>
        <v/>
      </c>
      <c r="D384">
        <f>IF($C384="","",$C384-WEEKDAY($C384,2)+1)</f>
        <v/>
      </c>
      <c r="E384">
        <f>IF($C384="","",DATE(YEAR($C384),MONTH($C384),1))</f>
        <v/>
      </c>
      <c r="F384">
        <f>IF($C384="","",YEAR($C384)&amp;"-Q"&amp;ROUNDUP(MONTH($C384)/3,0))</f>
        <v/>
      </c>
      <c r="L384">
        <f>IF($G384&lt;&gt;"ALCOHOL","",IF($K384="","",$H384*IFERROR(VLOOKUP($K384,Drink_Templates!$A:$G,7,FALSE),0)))</f>
        <v/>
      </c>
    </row>
    <row r="385" ht="15" customHeight="1">
      <c r="C385">
        <f>IF($B385="","",INT($B385))</f>
        <v/>
      </c>
      <c r="D385">
        <f>IF($C385="","",$C385-WEEKDAY($C385,2)+1)</f>
        <v/>
      </c>
      <c r="E385">
        <f>IF($C385="","",DATE(YEAR($C385),MONTH($C385),1))</f>
        <v/>
      </c>
      <c r="F385">
        <f>IF($C385="","",YEAR($C385)&amp;"-Q"&amp;ROUNDUP(MONTH($C385)/3,0))</f>
        <v/>
      </c>
      <c r="L385">
        <f>IF($G385&lt;&gt;"ALCOHOL","",IF($K385="","",$H385*IFERROR(VLOOKUP($K385,Drink_Templates!$A:$G,7,FALSE),0)))</f>
        <v/>
      </c>
    </row>
    <row r="386" ht="15" customHeight="1">
      <c r="C386">
        <f>IF($B386="","",INT($B386))</f>
        <v/>
      </c>
      <c r="D386">
        <f>IF($C386="","",$C386-WEEKDAY($C386,2)+1)</f>
        <v/>
      </c>
      <c r="E386">
        <f>IF($C386="","",DATE(YEAR($C386),MONTH($C386),1))</f>
        <v/>
      </c>
      <c r="F386">
        <f>IF($C386="","",YEAR($C386)&amp;"-Q"&amp;ROUNDUP(MONTH($C386)/3,0))</f>
        <v/>
      </c>
      <c r="L386">
        <f>IF($G386&lt;&gt;"ALCOHOL","",IF($K386="","",$H386*IFERROR(VLOOKUP($K386,Drink_Templates!$A:$G,7,FALSE),0)))</f>
        <v/>
      </c>
    </row>
    <row r="387" ht="15" customHeight="1">
      <c r="C387">
        <f>IF($B387="","",INT($B387))</f>
        <v/>
      </c>
      <c r="D387">
        <f>IF($C387="","",$C387-WEEKDAY($C387,2)+1)</f>
        <v/>
      </c>
      <c r="E387">
        <f>IF($C387="","",DATE(YEAR($C387),MONTH($C387),1))</f>
        <v/>
      </c>
      <c r="F387">
        <f>IF($C387="","",YEAR($C387)&amp;"-Q"&amp;ROUNDUP(MONTH($C387)/3,0))</f>
        <v/>
      </c>
      <c r="L387">
        <f>IF($G387&lt;&gt;"ALCOHOL","",IF($K387="","",$H387*IFERROR(VLOOKUP($K387,Drink_Templates!$A:$G,7,FALSE),0)))</f>
        <v/>
      </c>
    </row>
    <row r="388" ht="15" customHeight="1">
      <c r="C388">
        <f>IF($B388="","",INT($B388))</f>
        <v/>
      </c>
      <c r="D388">
        <f>IF($C388="","",$C388-WEEKDAY($C388,2)+1)</f>
        <v/>
      </c>
      <c r="E388">
        <f>IF($C388="","",DATE(YEAR($C388),MONTH($C388),1))</f>
        <v/>
      </c>
      <c r="F388">
        <f>IF($C388="","",YEAR($C388)&amp;"-Q"&amp;ROUNDUP(MONTH($C388)/3,0))</f>
        <v/>
      </c>
      <c r="L388">
        <f>IF($G388&lt;&gt;"ALCOHOL","",IF($K388="","",$H388*IFERROR(VLOOKUP($K388,Drink_Templates!$A:$G,7,FALSE),0)))</f>
        <v/>
      </c>
    </row>
    <row r="389" ht="15" customHeight="1">
      <c r="C389">
        <f>IF($B389="","",INT($B389))</f>
        <v/>
      </c>
      <c r="D389">
        <f>IF($C389="","",$C389-WEEKDAY($C389,2)+1)</f>
        <v/>
      </c>
      <c r="E389">
        <f>IF($C389="","",DATE(YEAR($C389),MONTH($C389),1))</f>
        <v/>
      </c>
      <c r="F389">
        <f>IF($C389="","",YEAR($C389)&amp;"-Q"&amp;ROUNDUP(MONTH($C389)/3,0))</f>
        <v/>
      </c>
      <c r="L389">
        <f>IF($G389&lt;&gt;"ALCOHOL","",IF($K389="","",$H389*IFERROR(VLOOKUP($K389,Drink_Templates!$A:$G,7,FALSE),0)))</f>
        <v/>
      </c>
    </row>
    <row r="390" ht="15" customHeight="1">
      <c r="C390">
        <f>IF($B390="","",INT($B390))</f>
        <v/>
      </c>
      <c r="D390">
        <f>IF($C390="","",$C390-WEEKDAY($C390,2)+1)</f>
        <v/>
      </c>
      <c r="E390">
        <f>IF($C390="","",DATE(YEAR($C390),MONTH($C390),1))</f>
        <v/>
      </c>
      <c r="F390">
        <f>IF($C390="","",YEAR($C390)&amp;"-Q"&amp;ROUNDUP(MONTH($C390)/3,0))</f>
        <v/>
      </c>
      <c r="L390">
        <f>IF($G390&lt;&gt;"ALCOHOL","",IF($K390="","",$H390*IFERROR(VLOOKUP($K390,Drink_Templates!$A:$G,7,FALSE),0)))</f>
        <v/>
      </c>
    </row>
    <row r="391" ht="15" customHeight="1">
      <c r="C391">
        <f>IF($B391="","",INT($B391))</f>
        <v/>
      </c>
      <c r="D391">
        <f>IF($C391="","",$C391-WEEKDAY($C391,2)+1)</f>
        <v/>
      </c>
      <c r="E391">
        <f>IF($C391="","",DATE(YEAR($C391),MONTH($C391),1))</f>
        <v/>
      </c>
      <c r="F391">
        <f>IF($C391="","",YEAR($C391)&amp;"-Q"&amp;ROUNDUP(MONTH($C391)/3,0))</f>
        <v/>
      </c>
      <c r="L391">
        <f>IF($G391&lt;&gt;"ALCOHOL","",IF($K391="","",$H391*IFERROR(VLOOKUP($K391,Drink_Templates!$A:$G,7,FALSE),0)))</f>
        <v/>
      </c>
    </row>
    <row r="392" ht="15" customHeight="1">
      <c r="C392">
        <f>IF($B392="","",INT($B392))</f>
        <v/>
      </c>
      <c r="D392">
        <f>IF($C392="","",$C392-WEEKDAY($C392,2)+1)</f>
        <v/>
      </c>
      <c r="E392">
        <f>IF($C392="","",DATE(YEAR($C392),MONTH($C392),1))</f>
        <v/>
      </c>
      <c r="F392">
        <f>IF($C392="","",YEAR($C392)&amp;"-Q"&amp;ROUNDUP(MONTH($C392)/3,0))</f>
        <v/>
      </c>
      <c r="L392">
        <f>IF($G392&lt;&gt;"ALCOHOL","",IF($K392="","",$H392*IFERROR(VLOOKUP($K392,Drink_Templates!$A:$G,7,FALSE),0)))</f>
        <v/>
      </c>
    </row>
    <row r="393" ht="15" customHeight="1">
      <c r="C393">
        <f>IF($B393="","",INT($B393))</f>
        <v/>
      </c>
      <c r="D393">
        <f>IF($C393="","",$C393-WEEKDAY($C393,2)+1)</f>
        <v/>
      </c>
      <c r="E393">
        <f>IF($C393="","",DATE(YEAR($C393),MONTH($C393),1))</f>
        <v/>
      </c>
      <c r="F393">
        <f>IF($C393="","",YEAR($C393)&amp;"-Q"&amp;ROUNDUP(MONTH($C393)/3,0))</f>
        <v/>
      </c>
      <c r="L393">
        <f>IF($G393&lt;&gt;"ALCOHOL","",IF($K393="","",$H393*IFERROR(VLOOKUP($K393,Drink_Templates!$A:$G,7,FALSE),0)))</f>
        <v/>
      </c>
    </row>
    <row r="394" ht="15" customHeight="1">
      <c r="C394">
        <f>IF($B394="","",INT($B394))</f>
        <v/>
      </c>
      <c r="D394">
        <f>IF($C394="","",$C394-WEEKDAY($C394,2)+1)</f>
        <v/>
      </c>
      <c r="E394">
        <f>IF($C394="","",DATE(YEAR($C394),MONTH($C394),1))</f>
        <v/>
      </c>
      <c r="F394">
        <f>IF($C394="","",YEAR($C394)&amp;"-Q"&amp;ROUNDUP(MONTH($C394)/3,0))</f>
        <v/>
      </c>
      <c r="L394">
        <f>IF($G394&lt;&gt;"ALCOHOL","",IF($K394="","",$H394*IFERROR(VLOOKUP($K394,Drink_Templates!$A:$G,7,FALSE),0)))</f>
        <v/>
      </c>
    </row>
    <row r="395" ht="15" customHeight="1">
      <c r="C395">
        <f>IF($B395="","",INT($B395))</f>
        <v/>
      </c>
      <c r="D395">
        <f>IF($C395="","",$C395-WEEKDAY($C395,2)+1)</f>
        <v/>
      </c>
      <c r="E395">
        <f>IF($C395="","",DATE(YEAR($C395),MONTH($C395),1))</f>
        <v/>
      </c>
      <c r="F395">
        <f>IF($C395="","",YEAR($C395)&amp;"-Q"&amp;ROUNDUP(MONTH($C395)/3,0))</f>
        <v/>
      </c>
      <c r="L395">
        <f>IF($G395&lt;&gt;"ALCOHOL","",IF($K395="","",$H395*IFERROR(VLOOKUP($K395,Drink_Templates!$A:$G,7,FALSE),0)))</f>
        <v/>
      </c>
    </row>
    <row r="396" ht="15" customHeight="1">
      <c r="C396">
        <f>IF($B396="","",INT($B396))</f>
        <v/>
      </c>
      <c r="D396">
        <f>IF($C396="","",$C396-WEEKDAY($C396,2)+1)</f>
        <v/>
      </c>
      <c r="E396">
        <f>IF($C396="","",DATE(YEAR($C396),MONTH($C396),1))</f>
        <v/>
      </c>
      <c r="F396">
        <f>IF($C396="","",YEAR($C396)&amp;"-Q"&amp;ROUNDUP(MONTH($C396)/3,0))</f>
        <v/>
      </c>
      <c r="L396">
        <f>IF($G396&lt;&gt;"ALCOHOL","",IF($K396="","",$H396*IFERROR(VLOOKUP($K396,Drink_Templates!$A:$G,7,FALSE),0)))</f>
        <v/>
      </c>
    </row>
    <row r="397" ht="15" customHeight="1">
      <c r="C397">
        <f>IF($B397="","",INT($B397))</f>
        <v/>
      </c>
      <c r="D397">
        <f>IF($C397="","",$C397-WEEKDAY($C397,2)+1)</f>
        <v/>
      </c>
      <c r="E397">
        <f>IF($C397="","",DATE(YEAR($C397),MONTH($C397),1))</f>
        <v/>
      </c>
      <c r="F397">
        <f>IF($C397="","",YEAR($C397)&amp;"-Q"&amp;ROUNDUP(MONTH($C397)/3,0))</f>
        <v/>
      </c>
      <c r="L397">
        <f>IF($G397&lt;&gt;"ALCOHOL","",IF($K397="","",$H397*IFERROR(VLOOKUP($K397,Drink_Templates!$A:$G,7,FALSE),0)))</f>
        <v/>
      </c>
    </row>
    <row r="398" ht="15" customHeight="1">
      <c r="C398">
        <f>IF($B398="","",INT($B398))</f>
        <v/>
      </c>
      <c r="D398">
        <f>IF($C398="","",$C398-WEEKDAY($C398,2)+1)</f>
        <v/>
      </c>
      <c r="E398">
        <f>IF($C398="","",DATE(YEAR($C398),MONTH($C398),1))</f>
        <v/>
      </c>
      <c r="F398">
        <f>IF($C398="","",YEAR($C398)&amp;"-Q"&amp;ROUNDUP(MONTH($C398)/3,0))</f>
        <v/>
      </c>
      <c r="L398">
        <f>IF($G398&lt;&gt;"ALCOHOL","",IF($K398="","",$H398*IFERROR(VLOOKUP($K398,Drink_Templates!$A:$G,7,FALSE),0)))</f>
        <v/>
      </c>
    </row>
    <row r="399" ht="15" customHeight="1">
      <c r="C399">
        <f>IF($B399="","",INT($B399))</f>
        <v/>
      </c>
      <c r="D399">
        <f>IF($C399="","",$C399-WEEKDAY($C399,2)+1)</f>
        <v/>
      </c>
      <c r="E399">
        <f>IF($C399="","",DATE(YEAR($C399),MONTH($C399),1))</f>
        <v/>
      </c>
      <c r="F399">
        <f>IF($C399="","",YEAR($C399)&amp;"-Q"&amp;ROUNDUP(MONTH($C399)/3,0))</f>
        <v/>
      </c>
      <c r="L399">
        <f>IF($G399&lt;&gt;"ALCOHOL","",IF($K399="","",$H399*IFERROR(VLOOKUP($K399,Drink_Templates!$A:$G,7,FALSE),0)))</f>
        <v/>
      </c>
    </row>
    <row r="400" ht="15" customHeight="1">
      <c r="C400">
        <f>IF($B400="","",INT($B400))</f>
        <v/>
      </c>
      <c r="D400">
        <f>IF($C400="","",$C400-WEEKDAY($C400,2)+1)</f>
        <v/>
      </c>
      <c r="E400">
        <f>IF($C400="","",DATE(YEAR($C400),MONTH($C400),1))</f>
        <v/>
      </c>
      <c r="F400">
        <f>IF($C400="","",YEAR($C400)&amp;"-Q"&amp;ROUNDUP(MONTH($C400)/3,0))</f>
        <v/>
      </c>
      <c r="L400">
        <f>IF($G400&lt;&gt;"ALCOHOL","",IF($K400="","",$H400*IFERROR(VLOOKUP($K400,Drink_Templates!$A:$G,7,FALSE),0)))</f>
        <v/>
      </c>
    </row>
    <row r="401" ht="15" customHeight="1">
      <c r="C401">
        <f>IF($B401="","",INT($B401))</f>
        <v/>
      </c>
      <c r="D401">
        <f>IF($C401="","",$C401-WEEKDAY($C401,2)+1)</f>
        <v/>
      </c>
      <c r="E401">
        <f>IF($C401="","",DATE(YEAR($C401),MONTH($C401),1))</f>
        <v/>
      </c>
      <c r="F401">
        <f>IF($C401="","",YEAR($C401)&amp;"-Q"&amp;ROUNDUP(MONTH($C401)/3,0))</f>
        <v/>
      </c>
      <c r="L401">
        <f>IF($G401&lt;&gt;"ALCOHOL","",IF($K401="","",$H401*IFERROR(VLOOKUP($K401,Drink_Templates!$A:$G,7,FALSE),0)))</f>
        <v/>
      </c>
    </row>
    <row r="402" ht="15" customHeight="1">
      <c r="C402">
        <f>IF($B402="","",INT($B402))</f>
        <v/>
      </c>
      <c r="D402">
        <f>IF($C402="","",$C402-WEEKDAY($C402,2)+1)</f>
        <v/>
      </c>
      <c r="E402">
        <f>IF($C402="","",DATE(YEAR($C402),MONTH($C402),1))</f>
        <v/>
      </c>
      <c r="F402">
        <f>IF($C402="","",YEAR($C402)&amp;"-Q"&amp;ROUNDUP(MONTH($C402)/3,0))</f>
        <v/>
      </c>
      <c r="L402">
        <f>IF($G402&lt;&gt;"ALCOHOL","",IF($K402="","",$H402*IFERROR(VLOOKUP($K402,Drink_Templates!$A:$G,7,FALSE),0)))</f>
        <v/>
      </c>
    </row>
    <row r="403" ht="15" customHeight="1">
      <c r="C403">
        <f>IF($B403="","",INT($B403))</f>
        <v/>
      </c>
      <c r="D403">
        <f>IF($C403="","",$C403-WEEKDAY($C403,2)+1)</f>
        <v/>
      </c>
      <c r="E403">
        <f>IF($C403="","",DATE(YEAR($C403),MONTH($C403),1))</f>
        <v/>
      </c>
      <c r="F403">
        <f>IF($C403="","",YEAR($C403)&amp;"-Q"&amp;ROUNDUP(MONTH($C403)/3,0))</f>
        <v/>
      </c>
      <c r="L403">
        <f>IF($G403&lt;&gt;"ALCOHOL","",IF($K403="","",$H403*IFERROR(VLOOKUP($K403,Drink_Templates!$A:$G,7,FALSE),0)))</f>
        <v/>
      </c>
    </row>
    <row r="404" ht="15" customHeight="1">
      <c r="C404">
        <f>IF($B404="","",INT($B404))</f>
        <v/>
      </c>
      <c r="D404">
        <f>IF($C404="","",$C404-WEEKDAY($C404,2)+1)</f>
        <v/>
      </c>
      <c r="E404">
        <f>IF($C404="","",DATE(YEAR($C404),MONTH($C404),1))</f>
        <v/>
      </c>
      <c r="F404">
        <f>IF($C404="","",YEAR($C404)&amp;"-Q"&amp;ROUNDUP(MONTH($C404)/3,0))</f>
        <v/>
      </c>
      <c r="L404">
        <f>IF($G404&lt;&gt;"ALCOHOL","",IF($K404="","",$H404*IFERROR(VLOOKUP($K404,Drink_Templates!$A:$G,7,FALSE),0)))</f>
        <v/>
      </c>
    </row>
    <row r="405" ht="15" customHeight="1">
      <c r="C405">
        <f>IF($B405="","",INT($B405))</f>
        <v/>
      </c>
      <c r="D405">
        <f>IF($C405="","",$C405-WEEKDAY($C405,2)+1)</f>
        <v/>
      </c>
      <c r="E405">
        <f>IF($C405="","",DATE(YEAR($C405),MONTH($C405),1))</f>
        <v/>
      </c>
      <c r="F405">
        <f>IF($C405="","",YEAR($C405)&amp;"-Q"&amp;ROUNDUP(MONTH($C405)/3,0))</f>
        <v/>
      </c>
      <c r="L405">
        <f>IF($G405&lt;&gt;"ALCOHOL","",IF($K405="","",$H405*IFERROR(VLOOKUP($K405,Drink_Templates!$A:$G,7,FALSE),0)))</f>
        <v/>
      </c>
    </row>
    <row r="406" ht="15" customHeight="1">
      <c r="C406">
        <f>IF($B406="","",INT($B406))</f>
        <v/>
      </c>
      <c r="D406">
        <f>IF($C406="","",$C406-WEEKDAY($C406,2)+1)</f>
        <v/>
      </c>
      <c r="E406">
        <f>IF($C406="","",DATE(YEAR($C406),MONTH($C406),1))</f>
        <v/>
      </c>
      <c r="F406">
        <f>IF($C406="","",YEAR($C406)&amp;"-Q"&amp;ROUNDUP(MONTH($C406)/3,0))</f>
        <v/>
      </c>
      <c r="L406">
        <f>IF($G406&lt;&gt;"ALCOHOL","",IF($K406="","",$H406*IFERROR(VLOOKUP($K406,Drink_Templates!$A:$G,7,FALSE),0)))</f>
        <v/>
      </c>
    </row>
    <row r="407" ht="15" customHeight="1">
      <c r="C407">
        <f>IF($B407="","",INT($B407))</f>
        <v/>
      </c>
      <c r="D407">
        <f>IF($C407="","",$C407-WEEKDAY($C407,2)+1)</f>
        <v/>
      </c>
      <c r="E407">
        <f>IF($C407="","",DATE(YEAR($C407),MONTH($C407),1))</f>
        <v/>
      </c>
      <c r="F407">
        <f>IF($C407="","",YEAR($C407)&amp;"-Q"&amp;ROUNDUP(MONTH($C407)/3,0))</f>
        <v/>
      </c>
      <c r="L407">
        <f>IF($G407&lt;&gt;"ALCOHOL","",IF($K407="","",$H407*IFERROR(VLOOKUP($K407,Drink_Templates!$A:$G,7,FALSE),0)))</f>
        <v/>
      </c>
    </row>
    <row r="408" ht="15" customHeight="1">
      <c r="C408">
        <f>IF($B408="","",INT($B408))</f>
        <v/>
      </c>
      <c r="D408">
        <f>IF($C408="","",$C408-WEEKDAY($C408,2)+1)</f>
        <v/>
      </c>
      <c r="E408">
        <f>IF($C408="","",DATE(YEAR($C408),MONTH($C408),1))</f>
        <v/>
      </c>
      <c r="F408">
        <f>IF($C408="","",YEAR($C408)&amp;"-Q"&amp;ROUNDUP(MONTH($C408)/3,0))</f>
        <v/>
      </c>
      <c r="L408">
        <f>IF($G408&lt;&gt;"ALCOHOL","",IF($K408="","",$H408*IFERROR(VLOOKUP($K408,Drink_Templates!$A:$G,7,FALSE),0)))</f>
        <v/>
      </c>
    </row>
    <row r="409" ht="15" customHeight="1">
      <c r="C409">
        <f>IF($B409="","",INT($B409))</f>
        <v/>
      </c>
      <c r="D409">
        <f>IF($C409="","",$C409-WEEKDAY($C409,2)+1)</f>
        <v/>
      </c>
      <c r="E409">
        <f>IF($C409="","",DATE(YEAR($C409),MONTH($C409),1))</f>
        <v/>
      </c>
      <c r="F409">
        <f>IF($C409="","",YEAR($C409)&amp;"-Q"&amp;ROUNDUP(MONTH($C409)/3,0))</f>
        <v/>
      </c>
      <c r="L409">
        <f>IF($G409&lt;&gt;"ALCOHOL","",IF($K409="","",$H409*IFERROR(VLOOKUP($K409,Drink_Templates!$A:$G,7,FALSE),0)))</f>
        <v/>
      </c>
    </row>
    <row r="410" ht="15" customHeight="1">
      <c r="C410">
        <f>IF($B410="","",INT($B410))</f>
        <v/>
      </c>
      <c r="D410">
        <f>IF($C410="","",$C410-WEEKDAY($C410,2)+1)</f>
        <v/>
      </c>
      <c r="E410">
        <f>IF($C410="","",DATE(YEAR($C410),MONTH($C410),1))</f>
        <v/>
      </c>
      <c r="F410">
        <f>IF($C410="","",YEAR($C410)&amp;"-Q"&amp;ROUNDUP(MONTH($C410)/3,0))</f>
        <v/>
      </c>
      <c r="L410">
        <f>IF($G410&lt;&gt;"ALCOHOL","",IF($K410="","",$H410*IFERROR(VLOOKUP($K410,Drink_Templates!$A:$G,7,FALSE),0)))</f>
        <v/>
      </c>
    </row>
    <row r="411" ht="15" customHeight="1">
      <c r="C411">
        <f>IF($B411="","",INT($B411))</f>
        <v/>
      </c>
      <c r="D411">
        <f>IF($C411="","",$C411-WEEKDAY($C411,2)+1)</f>
        <v/>
      </c>
      <c r="E411">
        <f>IF($C411="","",DATE(YEAR($C411),MONTH($C411),1))</f>
        <v/>
      </c>
      <c r="F411">
        <f>IF($C411="","",YEAR($C411)&amp;"-Q"&amp;ROUNDUP(MONTH($C411)/3,0))</f>
        <v/>
      </c>
      <c r="L411">
        <f>IF($G411&lt;&gt;"ALCOHOL","",IF($K411="","",$H411*IFERROR(VLOOKUP($K411,Drink_Templates!$A:$G,7,FALSE),0)))</f>
        <v/>
      </c>
    </row>
    <row r="412" ht="15" customHeight="1">
      <c r="C412">
        <f>IF($B412="","",INT($B412))</f>
        <v/>
      </c>
      <c r="D412">
        <f>IF($C412="","",$C412-WEEKDAY($C412,2)+1)</f>
        <v/>
      </c>
      <c r="E412">
        <f>IF($C412="","",DATE(YEAR($C412),MONTH($C412),1))</f>
        <v/>
      </c>
      <c r="F412">
        <f>IF($C412="","",YEAR($C412)&amp;"-Q"&amp;ROUNDUP(MONTH($C412)/3,0))</f>
        <v/>
      </c>
      <c r="L412">
        <f>IF($G412&lt;&gt;"ALCOHOL","",IF($K412="","",$H412*IFERROR(VLOOKUP($K412,Drink_Templates!$A:$G,7,FALSE),0)))</f>
        <v/>
      </c>
    </row>
    <row r="413" ht="15" customHeight="1">
      <c r="C413">
        <f>IF($B413="","",INT($B413))</f>
        <v/>
      </c>
      <c r="D413">
        <f>IF($C413="","",$C413-WEEKDAY($C413,2)+1)</f>
        <v/>
      </c>
      <c r="E413">
        <f>IF($C413="","",DATE(YEAR($C413),MONTH($C413),1))</f>
        <v/>
      </c>
      <c r="F413">
        <f>IF($C413="","",YEAR($C413)&amp;"-Q"&amp;ROUNDUP(MONTH($C413)/3,0))</f>
        <v/>
      </c>
      <c r="L413">
        <f>IF($G413&lt;&gt;"ALCOHOL","",IF($K413="","",$H413*IFERROR(VLOOKUP($K413,Drink_Templates!$A:$G,7,FALSE),0)))</f>
        <v/>
      </c>
    </row>
    <row r="414" ht="15" customHeight="1">
      <c r="C414">
        <f>IF($B414="","",INT($B414))</f>
        <v/>
      </c>
      <c r="D414">
        <f>IF($C414="","",$C414-WEEKDAY($C414,2)+1)</f>
        <v/>
      </c>
      <c r="E414">
        <f>IF($C414="","",DATE(YEAR($C414),MONTH($C414),1))</f>
        <v/>
      </c>
      <c r="F414">
        <f>IF($C414="","",YEAR($C414)&amp;"-Q"&amp;ROUNDUP(MONTH($C414)/3,0))</f>
        <v/>
      </c>
      <c r="L414">
        <f>IF($G414&lt;&gt;"ALCOHOL","",IF($K414="","",$H414*IFERROR(VLOOKUP($K414,Drink_Templates!$A:$G,7,FALSE),0)))</f>
        <v/>
      </c>
    </row>
    <row r="415" ht="15" customHeight="1">
      <c r="C415">
        <f>IF($B415="","",INT($B415))</f>
        <v/>
      </c>
      <c r="D415">
        <f>IF($C415="","",$C415-WEEKDAY($C415,2)+1)</f>
        <v/>
      </c>
      <c r="E415">
        <f>IF($C415="","",DATE(YEAR($C415),MONTH($C415),1))</f>
        <v/>
      </c>
      <c r="F415">
        <f>IF($C415="","",YEAR($C415)&amp;"-Q"&amp;ROUNDUP(MONTH($C415)/3,0))</f>
        <v/>
      </c>
      <c r="L415">
        <f>IF($G415&lt;&gt;"ALCOHOL","",IF($K415="","",$H415*IFERROR(VLOOKUP($K415,Drink_Templates!$A:$G,7,FALSE),0)))</f>
        <v/>
      </c>
    </row>
    <row r="416" ht="15" customHeight="1">
      <c r="C416">
        <f>IF($B416="","",INT($B416))</f>
        <v/>
      </c>
      <c r="D416">
        <f>IF($C416="","",$C416-WEEKDAY($C416,2)+1)</f>
        <v/>
      </c>
      <c r="E416">
        <f>IF($C416="","",DATE(YEAR($C416),MONTH($C416),1))</f>
        <v/>
      </c>
      <c r="F416">
        <f>IF($C416="","",YEAR($C416)&amp;"-Q"&amp;ROUNDUP(MONTH($C416)/3,0))</f>
        <v/>
      </c>
      <c r="L416">
        <f>IF($G416&lt;&gt;"ALCOHOL","",IF($K416="","",$H416*IFERROR(VLOOKUP($K416,Drink_Templates!$A:$G,7,FALSE),0)))</f>
        <v/>
      </c>
    </row>
    <row r="417" ht="15" customHeight="1">
      <c r="C417">
        <f>IF($B417="","",INT($B417))</f>
        <v/>
      </c>
      <c r="D417">
        <f>IF($C417="","",$C417-WEEKDAY($C417,2)+1)</f>
        <v/>
      </c>
      <c r="E417">
        <f>IF($C417="","",DATE(YEAR($C417),MONTH($C417),1))</f>
        <v/>
      </c>
      <c r="F417">
        <f>IF($C417="","",YEAR($C417)&amp;"-Q"&amp;ROUNDUP(MONTH($C417)/3,0))</f>
        <v/>
      </c>
      <c r="L417">
        <f>IF($G417&lt;&gt;"ALCOHOL","",IF($K417="","",$H417*IFERROR(VLOOKUP($K417,Drink_Templates!$A:$G,7,FALSE),0)))</f>
        <v/>
      </c>
    </row>
    <row r="418" ht="15" customHeight="1">
      <c r="C418">
        <f>IF($B418="","",INT($B418))</f>
        <v/>
      </c>
      <c r="D418">
        <f>IF($C418="","",$C418-WEEKDAY($C418,2)+1)</f>
        <v/>
      </c>
      <c r="E418">
        <f>IF($C418="","",DATE(YEAR($C418),MONTH($C418),1))</f>
        <v/>
      </c>
      <c r="F418">
        <f>IF($C418="","",YEAR($C418)&amp;"-Q"&amp;ROUNDUP(MONTH($C418)/3,0))</f>
        <v/>
      </c>
      <c r="L418">
        <f>IF($G418&lt;&gt;"ALCOHOL","",IF($K418="","",$H418*IFERROR(VLOOKUP($K418,Drink_Templates!$A:$G,7,FALSE),0)))</f>
        <v/>
      </c>
    </row>
    <row r="419" ht="15" customHeight="1">
      <c r="C419">
        <f>IF($B419="","",INT($B419))</f>
        <v/>
      </c>
      <c r="D419">
        <f>IF($C419="","",$C419-WEEKDAY($C419,2)+1)</f>
        <v/>
      </c>
      <c r="E419">
        <f>IF($C419="","",DATE(YEAR($C419),MONTH($C419),1))</f>
        <v/>
      </c>
      <c r="F419">
        <f>IF($C419="","",YEAR($C419)&amp;"-Q"&amp;ROUNDUP(MONTH($C419)/3,0))</f>
        <v/>
      </c>
      <c r="L419">
        <f>IF($G419&lt;&gt;"ALCOHOL","",IF($K419="","",$H419*IFERROR(VLOOKUP($K419,Drink_Templates!$A:$G,7,FALSE),0)))</f>
        <v/>
      </c>
    </row>
    <row r="420" ht="15" customHeight="1">
      <c r="C420">
        <f>IF($B420="","",INT($B420))</f>
        <v/>
      </c>
      <c r="D420">
        <f>IF($C420="","",$C420-WEEKDAY($C420,2)+1)</f>
        <v/>
      </c>
      <c r="E420">
        <f>IF($C420="","",DATE(YEAR($C420),MONTH($C420),1))</f>
        <v/>
      </c>
      <c r="F420">
        <f>IF($C420="","",YEAR($C420)&amp;"-Q"&amp;ROUNDUP(MONTH($C420)/3,0))</f>
        <v/>
      </c>
      <c r="L420">
        <f>IF($G420&lt;&gt;"ALCOHOL","",IF($K420="","",$H420*IFERROR(VLOOKUP($K420,Drink_Templates!$A:$G,7,FALSE),0)))</f>
        <v/>
      </c>
    </row>
    <row r="421" ht="15" customHeight="1">
      <c r="C421">
        <f>IF($B421="","",INT($B421))</f>
        <v/>
      </c>
      <c r="D421">
        <f>IF($C421="","",$C421-WEEKDAY($C421,2)+1)</f>
        <v/>
      </c>
      <c r="E421">
        <f>IF($C421="","",DATE(YEAR($C421),MONTH($C421),1))</f>
        <v/>
      </c>
      <c r="F421">
        <f>IF($C421="","",YEAR($C421)&amp;"-Q"&amp;ROUNDUP(MONTH($C421)/3,0))</f>
        <v/>
      </c>
      <c r="L421">
        <f>IF($G421&lt;&gt;"ALCOHOL","",IF($K421="","",$H421*IFERROR(VLOOKUP($K421,Drink_Templates!$A:$G,7,FALSE),0)))</f>
        <v/>
      </c>
    </row>
    <row r="422" ht="15" customHeight="1">
      <c r="C422">
        <f>IF($B422="","",INT($B422))</f>
        <v/>
      </c>
      <c r="D422">
        <f>IF($C422="","",$C422-WEEKDAY($C422,2)+1)</f>
        <v/>
      </c>
      <c r="E422">
        <f>IF($C422="","",DATE(YEAR($C422),MONTH($C422),1))</f>
        <v/>
      </c>
      <c r="F422">
        <f>IF($C422="","",YEAR($C422)&amp;"-Q"&amp;ROUNDUP(MONTH($C422)/3,0))</f>
        <v/>
      </c>
      <c r="L422">
        <f>IF($G422&lt;&gt;"ALCOHOL","",IF($K422="","",$H422*IFERROR(VLOOKUP($K422,Drink_Templates!$A:$G,7,FALSE),0)))</f>
        <v/>
      </c>
    </row>
    <row r="423" ht="15" customHeight="1">
      <c r="C423">
        <f>IF($B423="","",INT($B423))</f>
        <v/>
      </c>
      <c r="D423">
        <f>IF($C423="","",$C423-WEEKDAY($C423,2)+1)</f>
        <v/>
      </c>
      <c r="E423">
        <f>IF($C423="","",DATE(YEAR($C423),MONTH($C423),1))</f>
        <v/>
      </c>
      <c r="F423">
        <f>IF($C423="","",YEAR($C423)&amp;"-Q"&amp;ROUNDUP(MONTH($C423)/3,0))</f>
        <v/>
      </c>
      <c r="L423">
        <f>IF($G423&lt;&gt;"ALCOHOL","",IF($K423="","",$H423*IFERROR(VLOOKUP($K423,Drink_Templates!$A:$G,7,FALSE),0)))</f>
        <v/>
      </c>
    </row>
    <row r="424" ht="15" customHeight="1">
      <c r="C424">
        <f>IF($B424="","",INT($B424))</f>
        <v/>
      </c>
      <c r="D424">
        <f>IF($C424="","",$C424-WEEKDAY($C424,2)+1)</f>
        <v/>
      </c>
      <c r="E424">
        <f>IF($C424="","",DATE(YEAR($C424),MONTH($C424),1))</f>
        <v/>
      </c>
      <c r="F424">
        <f>IF($C424="","",YEAR($C424)&amp;"-Q"&amp;ROUNDUP(MONTH($C424)/3,0))</f>
        <v/>
      </c>
      <c r="L424">
        <f>IF($G424&lt;&gt;"ALCOHOL","",IF($K424="","",$H424*IFERROR(VLOOKUP($K424,Drink_Templates!$A:$G,7,FALSE),0)))</f>
        <v/>
      </c>
    </row>
    <row r="425" ht="15" customHeight="1">
      <c r="C425">
        <f>IF($B425="","",INT($B425))</f>
        <v/>
      </c>
      <c r="D425">
        <f>IF($C425="","",$C425-WEEKDAY($C425,2)+1)</f>
        <v/>
      </c>
      <c r="E425">
        <f>IF($C425="","",DATE(YEAR($C425),MONTH($C425),1))</f>
        <v/>
      </c>
      <c r="F425">
        <f>IF($C425="","",YEAR($C425)&amp;"-Q"&amp;ROUNDUP(MONTH($C425)/3,0))</f>
        <v/>
      </c>
      <c r="L425">
        <f>IF($G425&lt;&gt;"ALCOHOL","",IF($K425="","",$H425*IFERROR(VLOOKUP($K425,Drink_Templates!$A:$G,7,FALSE),0)))</f>
        <v/>
      </c>
    </row>
    <row r="426" ht="15" customHeight="1">
      <c r="C426">
        <f>IF($B426="","",INT($B426))</f>
        <v/>
      </c>
      <c r="D426">
        <f>IF($C426="","",$C426-WEEKDAY($C426,2)+1)</f>
        <v/>
      </c>
      <c r="E426">
        <f>IF($C426="","",DATE(YEAR($C426),MONTH($C426),1))</f>
        <v/>
      </c>
      <c r="F426">
        <f>IF($C426="","",YEAR($C426)&amp;"-Q"&amp;ROUNDUP(MONTH($C426)/3,0))</f>
        <v/>
      </c>
      <c r="L426">
        <f>IF($G426&lt;&gt;"ALCOHOL","",IF($K426="","",$H426*IFERROR(VLOOKUP($K426,Drink_Templates!$A:$G,7,FALSE),0)))</f>
        <v/>
      </c>
    </row>
    <row r="427" ht="15" customHeight="1">
      <c r="C427">
        <f>IF($B427="","",INT($B427))</f>
        <v/>
      </c>
      <c r="D427">
        <f>IF($C427="","",$C427-WEEKDAY($C427,2)+1)</f>
        <v/>
      </c>
      <c r="E427">
        <f>IF($C427="","",DATE(YEAR($C427),MONTH($C427),1))</f>
        <v/>
      </c>
      <c r="F427">
        <f>IF($C427="","",YEAR($C427)&amp;"-Q"&amp;ROUNDUP(MONTH($C427)/3,0))</f>
        <v/>
      </c>
      <c r="L427">
        <f>IF($G427&lt;&gt;"ALCOHOL","",IF($K427="","",$H427*IFERROR(VLOOKUP($K427,Drink_Templates!$A:$G,7,FALSE),0)))</f>
        <v/>
      </c>
    </row>
    <row r="428" ht="15" customHeight="1">
      <c r="C428">
        <f>IF($B428="","",INT($B428))</f>
        <v/>
      </c>
      <c r="D428">
        <f>IF($C428="","",$C428-WEEKDAY($C428,2)+1)</f>
        <v/>
      </c>
      <c r="E428">
        <f>IF($C428="","",DATE(YEAR($C428),MONTH($C428),1))</f>
        <v/>
      </c>
      <c r="F428">
        <f>IF($C428="","",YEAR($C428)&amp;"-Q"&amp;ROUNDUP(MONTH($C428)/3,0))</f>
        <v/>
      </c>
      <c r="L428">
        <f>IF($G428&lt;&gt;"ALCOHOL","",IF($K428="","",$H428*IFERROR(VLOOKUP($K428,Drink_Templates!$A:$G,7,FALSE),0)))</f>
        <v/>
      </c>
    </row>
    <row r="429" ht="15" customHeight="1">
      <c r="C429">
        <f>IF($B429="","",INT($B429))</f>
        <v/>
      </c>
      <c r="D429">
        <f>IF($C429="","",$C429-WEEKDAY($C429,2)+1)</f>
        <v/>
      </c>
      <c r="E429">
        <f>IF($C429="","",DATE(YEAR($C429),MONTH($C429),1))</f>
        <v/>
      </c>
      <c r="F429">
        <f>IF($C429="","",YEAR($C429)&amp;"-Q"&amp;ROUNDUP(MONTH($C429)/3,0))</f>
        <v/>
      </c>
      <c r="L429">
        <f>IF($G429&lt;&gt;"ALCOHOL","",IF($K429="","",$H429*IFERROR(VLOOKUP($K429,Drink_Templates!$A:$G,7,FALSE),0)))</f>
        <v/>
      </c>
    </row>
    <row r="430" ht="15" customHeight="1">
      <c r="C430">
        <f>IF($B430="","",INT($B430))</f>
        <v/>
      </c>
      <c r="D430">
        <f>IF($C430="","",$C430-WEEKDAY($C430,2)+1)</f>
        <v/>
      </c>
      <c r="E430">
        <f>IF($C430="","",DATE(YEAR($C430),MONTH($C430),1))</f>
        <v/>
      </c>
      <c r="F430">
        <f>IF($C430="","",YEAR($C430)&amp;"-Q"&amp;ROUNDUP(MONTH($C430)/3,0))</f>
        <v/>
      </c>
      <c r="L430">
        <f>IF($G430&lt;&gt;"ALCOHOL","",IF($K430="","",$H430*IFERROR(VLOOKUP($K430,Drink_Templates!$A:$G,7,FALSE),0)))</f>
        <v/>
      </c>
    </row>
    <row r="431" ht="15" customHeight="1">
      <c r="C431">
        <f>IF($B431="","",INT($B431))</f>
        <v/>
      </c>
      <c r="D431">
        <f>IF($C431="","",$C431-WEEKDAY($C431,2)+1)</f>
        <v/>
      </c>
      <c r="E431">
        <f>IF($C431="","",DATE(YEAR($C431),MONTH($C431),1))</f>
        <v/>
      </c>
      <c r="F431">
        <f>IF($C431="","",YEAR($C431)&amp;"-Q"&amp;ROUNDUP(MONTH($C431)/3,0))</f>
        <v/>
      </c>
      <c r="L431">
        <f>IF($G431&lt;&gt;"ALCOHOL","",IF($K431="","",$H431*IFERROR(VLOOKUP($K431,Drink_Templates!$A:$G,7,FALSE),0)))</f>
        <v/>
      </c>
    </row>
    <row r="432" ht="15" customHeight="1">
      <c r="C432">
        <f>IF($B432="","",INT($B432))</f>
        <v/>
      </c>
      <c r="D432">
        <f>IF($C432="","",$C432-WEEKDAY($C432,2)+1)</f>
        <v/>
      </c>
      <c r="E432">
        <f>IF($C432="","",DATE(YEAR($C432),MONTH($C432),1))</f>
        <v/>
      </c>
      <c r="F432">
        <f>IF($C432="","",YEAR($C432)&amp;"-Q"&amp;ROUNDUP(MONTH($C432)/3,0))</f>
        <v/>
      </c>
      <c r="L432">
        <f>IF($G432&lt;&gt;"ALCOHOL","",IF($K432="","",$H432*IFERROR(VLOOKUP($K432,Drink_Templates!$A:$G,7,FALSE),0)))</f>
        <v/>
      </c>
    </row>
    <row r="433" ht="15" customHeight="1">
      <c r="C433">
        <f>IF($B433="","",INT($B433))</f>
        <v/>
      </c>
      <c r="D433">
        <f>IF($C433="","",$C433-WEEKDAY($C433,2)+1)</f>
        <v/>
      </c>
      <c r="E433">
        <f>IF($C433="","",DATE(YEAR($C433),MONTH($C433),1))</f>
        <v/>
      </c>
      <c r="F433">
        <f>IF($C433="","",YEAR($C433)&amp;"-Q"&amp;ROUNDUP(MONTH($C433)/3,0))</f>
        <v/>
      </c>
      <c r="L433">
        <f>IF($G433&lt;&gt;"ALCOHOL","",IF($K433="","",$H433*IFERROR(VLOOKUP($K433,Drink_Templates!$A:$G,7,FALSE),0)))</f>
        <v/>
      </c>
    </row>
    <row r="434" ht="15" customHeight="1">
      <c r="C434">
        <f>IF($B434="","",INT($B434))</f>
        <v/>
      </c>
      <c r="D434">
        <f>IF($C434="","",$C434-WEEKDAY($C434,2)+1)</f>
        <v/>
      </c>
      <c r="E434">
        <f>IF($C434="","",DATE(YEAR($C434),MONTH($C434),1))</f>
        <v/>
      </c>
      <c r="F434">
        <f>IF($C434="","",YEAR($C434)&amp;"-Q"&amp;ROUNDUP(MONTH($C434)/3,0))</f>
        <v/>
      </c>
      <c r="L434">
        <f>IF($G434&lt;&gt;"ALCOHOL","",IF($K434="","",$H434*IFERROR(VLOOKUP($K434,Drink_Templates!$A:$G,7,FALSE),0)))</f>
        <v/>
      </c>
    </row>
    <row r="435" ht="15" customHeight="1">
      <c r="C435">
        <f>IF($B435="","",INT($B435))</f>
        <v/>
      </c>
      <c r="D435">
        <f>IF($C435="","",$C435-WEEKDAY($C435,2)+1)</f>
        <v/>
      </c>
      <c r="E435">
        <f>IF($C435="","",DATE(YEAR($C435),MONTH($C435),1))</f>
        <v/>
      </c>
      <c r="F435">
        <f>IF($C435="","",YEAR($C435)&amp;"-Q"&amp;ROUNDUP(MONTH($C435)/3,0))</f>
        <v/>
      </c>
      <c r="L435">
        <f>IF($G435&lt;&gt;"ALCOHOL","",IF($K435="","",$H435*IFERROR(VLOOKUP($K435,Drink_Templates!$A:$G,7,FALSE),0)))</f>
        <v/>
      </c>
    </row>
    <row r="436" ht="15" customHeight="1">
      <c r="C436">
        <f>IF($B436="","",INT($B436))</f>
        <v/>
      </c>
      <c r="D436">
        <f>IF($C436="","",$C436-WEEKDAY($C436,2)+1)</f>
        <v/>
      </c>
      <c r="E436">
        <f>IF($C436="","",DATE(YEAR($C436),MONTH($C436),1))</f>
        <v/>
      </c>
      <c r="F436">
        <f>IF($C436="","",YEAR($C436)&amp;"-Q"&amp;ROUNDUP(MONTH($C436)/3,0))</f>
        <v/>
      </c>
      <c r="L436">
        <f>IF($G436&lt;&gt;"ALCOHOL","",IF($K436="","",$H436*IFERROR(VLOOKUP($K436,Drink_Templates!$A:$G,7,FALSE),0)))</f>
        <v/>
      </c>
    </row>
    <row r="437" ht="15" customHeight="1">
      <c r="C437">
        <f>IF($B437="","",INT($B437))</f>
        <v/>
      </c>
      <c r="D437">
        <f>IF($C437="","",$C437-WEEKDAY($C437,2)+1)</f>
        <v/>
      </c>
      <c r="E437">
        <f>IF($C437="","",DATE(YEAR($C437),MONTH($C437),1))</f>
        <v/>
      </c>
      <c r="F437">
        <f>IF($C437="","",YEAR($C437)&amp;"-Q"&amp;ROUNDUP(MONTH($C437)/3,0))</f>
        <v/>
      </c>
      <c r="L437">
        <f>IF($G437&lt;&gt;"ALCOHOL","",IF($K437="","",$H437*IFERROR(VLOOKUP($K437,Drink_Templates!$A:$G,7,FALSE),0)))</f>
        <v/>
      </c>
    </row>
    <row r="438" ht="15" customHeight="1">
      <c r="C438">
        <f>IF($B438="","",INT($B438))</f>
        <v/>
      </c>
      <c r="D438">
        <f>IF($C438="","",$C438-WEEKDAY($C438,2)+1)</f>
        <v/>
      </c>
      <c r="E438">
        <f>IF($C438="","",DATE(YEAR($C438),MONTH($C438),1))</f>
        <v/>
      </c>
      <c r="F438">
        <f>IF($C438="","",YEAR($C438)&amp;"-Q"&amp;ROUNDUP(MONTH($C438)/3,0))</f>
        <v/>
      </c>
      <c r="L438">
        <f>IF($G438&lt;&gt;"ALCOHOL","",IF($K438="","",$H438*IFERROR(VLOOKUP($K438,Drink_Templates!$A:$G,7,FALSE),0)))</f>
        <v/>
      </c>
    </row>
    <row r="439" ht="15" customHeight="1">
      <c r="C439">
        <f>IF($B439="","",INT($B439))</f>
        <v/>
      </c>
      <c r="D439">
        <f>IF($C439="","",$C439-WEEKDAY($C439,2)+1)</f>
        <v/>
      </c>
      <c r="E439">
        <f>IF($C439="","",DATE(YEAR($C439),MONTH($C439),1))</f>
        <v/>
      </c>
      <c r="F439">
        <f>IF($C439="","",YEAR($C439)&amp;"-Q"&amp;ROUNDUP(MONTH($C439)/3,0))</f>
        <v/>
      </c>
      <c r="L439">
        <f>IF($G439&lt;&gt;"ALCOHOL","",IF($K439="","",$H439*IFERROR(VLOOKUP($K439,Drink_Templates!$A:$G,7,FALSE),0)))</f>
        <v/>
      </c>
    </row>
    <row r="440" ht="15" customHeight="1">
      <c r="C440">
        <f>IF($B440="","",INT($B440))</f>
        <v/>
      </c>
      <c r="D440">
        <f>IF($C440="","",$C440-WEEKDAY($C440,2)+1)</f>
        <v/>
      </c>
      <c r="E440">
        <f>IF($C440="","",DATE(YEAR($C440),MONTH($C440),1))</f>
        <v/>
      </c>
      <c r="F440">
        <f>IF($C440="","",YEAR($C440)&amp;"-Q"&amp;ROUNDUP(MONTH($C440)/3,0))</f>
        <v/>
      </c>
      <c r="L440">
        <f>IF($G440&lt;&gt;"ALCOHOL","",IF($K440="","",$H440*IFERROR(VLOOKUP($K440,Drink_Templates!$A:$G,7,FALSE),0)))</f>
        <v/>
      </c>
    </row>
    <row r="441" ht="15" customHeight="1">
      <c r="C441">
        <f>IF($B441="","",INT($B441))</f>
        <v/>
      </c>
      <c r="D441">
        <f>IF($C441="","",$C441-WEEKDAY($C441,2)+1)</f>
        <v/>
      </c>
      <c r="E441">
        <f>IF($C441="","",DATE(YEAR($C441),MONTH($C441),1))</f>
        <v/>
      </c>
      <c r="F441">
        <f>IF($C441="","",YEAR($C441)&amp;"-Q"&amp;ROUNDUP(MONTH($C441)/3,0))</f>
        <v/>
      </c>
      <c r="L441">
        <f>IF($G441&lt;&gt;"ALCOHOL","",IF($K441="","",$H441*IFERROR(VLOOKUP($K441,Drink_Templates!$A:$G,7,FALSE),0)))</f>
        <v/>
      </c>
    </row>
    <row r="442" ht="15" customHeight="1">
      <c r="C442">
        <f>IF($B442="","",INT($B442))</f>
        <v/>
      </c>
      <c r="D442">
        <f>IF($C442="","",$C442-WEEKDAY($C442,2)+1)</f>
        <v/>
      </c>
      <c r="E442">
        <f>IF($C442="","",DATE(YEAR($C442),MONTH($C442),1))</f>
        <v/>
      </c>
      <c r="F442">
        <f>IF($C442="","",YEAR($C442)&amp;"-Q"&amp;ROUNDUP(MONTH($C442)/3,0))</f>
        <v/>
      </c>
      <c r="L442">
        <f>IF($G442&lt;&gt;"ALCOHOL","",IF($K442="","",$H442*IFERROR(VLOOKUP($K442,Drink_Templates!$A:$G,7,FALSE),0)))</f>
        <v/>
      </c>
    </row>
    <row r="443" ht="15" customHeight="1">
      <c r="C443">
        <f>IF($B443="","",INT($B443))</f>
        <v/>
      </c>
      <c r="D443">
        <f>IF($C443="","",$C443-WEEKDAY($C443,2)+1)</f>
        <v/>
      </c>
      <c r="E443">
        <f>IF($C443="","",DATE(YEAR($C443),MONTH($C443),1))</f>
        <v/>
      </c>
      <c r="F443">
        <f>IF($C443="","",YEAR($C443)&amp;"-Q"&amp;ROUNDUP(MONTH($C443)/3,0))</f>
        <v/>
      </c>
      <c r="L443">
        <f>IF($G443&lt;&gt;"ALCOHOL","",IF($K443="","",$H443*IFERROR(VLOOKUP($K443,Drink_Templates!$A:$G,7,FALSE),0)))</f>
        <v/>
      </c>
    </row>
    <row r="444" ht="15" customHeight="1">
      <c r="C444">
        <f>IF($B444="","",INT($B444))</f>
        <v/>
      </c>
      <c r="D444">
        <f>IF($C444="","",$C444-WEEKDAY($C444,2)+1)</f>
        <v/>
      </c>
      <c r="E444">
        <f>IF($C444="","",DATE(YEAR($C444),MONTH($C444),1))</f>
        <v/>
      </c>
      <c r="F444">
        <f>IF($C444="","",YEAR($C444)&amp;"-Q"&amp;ROUNDUP(MONTH($C444)/3,0))</f>
        <v/>
      </c>
      <c r="L444">
        <f>IF($G444&lt;&gt;"ALCOHOL","",IF($K444="","",$H444*IFERROR(VLOOKUP($K444,Drink_Templates!$A:$G,7,FALSE),0)))</f>
        <v/>
      </c>
    </row>
    <row r="445" ht="15" customHeight="1">
      <c r="C445">
        <f>IF($B445="","",INT($B445))</f>
        <v/>
      </c>
      <c r="D445">
        <f>IF($C445="","",$C445-WEEKDAY($C445,2)+1)</f>
        <v/>
      </c>
      <c r="E445">
        <f>IF($C445="","",DATE(YEAR($C445),MONTH($C445),1))</f>
        <v/>
      </c>
      <c r="F445">
        <f>IF($C445="","",YEAR($C445)&amp;"-Q"&amp;ROUNDUP(MONTH($C445)/3,0))</f>
        <v/>
      </c>
      <c r="L445">
        <f>IF($G445&lt;&gt;"ALCOHOL","",IF($K445="","",$H445*IFERROR(VLOOKUP($K445,Drink_Templates!$A:$G,7,FALSE),0)))</f>
        <v/>
      </c>
    </row>
    <row r="446" ht="15" customHeight="1">
      <c r="C446">
        <f>IF($B446="","",INT($B446))</f>
        <v/>
      </c>
      <c r="D446">
        <f>IF($C446="","",$C446-WEEKDAY($C446,2)+1)</f>
        <v/>
      </c>
      <c r="E446">
        <f>IF($C446="","",DATE(YEAR($C446),MONTH($C446),1))</f>
        <v/>
      </c>
      <c r="F446">
        <f>IF($C446="","",YEAR($C446)&amp;"-Q"&amp;ROUNDUP(MONTH($C446)/3,0))</f>
        <v/>
      </c>
      <c r="L446">
        <f>IF($G446&lt;&gt;"ALCOHOL","",IF($K446="","",$H446*IFERROR(VLOOKUP($K446,Drink_Templates!$A:$G,7,FALSE),0)))</f>
        <v/>
      </c>
    </row>
    <row r="447" ht="15" customHeight="1">
      <c r="C447">
        <f>IF($B447="","",INT($B447))</f>
        <v/>
      </c>
      <c r="D447">
        <f>IF($C447="","",$C447-WEEKDAY($C447,2)+1)</f>
        <v/>
      </c>
      <c r="E447">
        <f>IF($C447="","",DATE(YEAR($C447),MONTH($C447),1))</f>
        <v/>
      </c>
      <c r="F447">
        <f>IF($C447="","",YEAR($C447)&amp;"-Q"&amp;ROUNDUP(MONTH($C447)/3,0))</f>
        <v/>
      </c>
      <c r="L447">
        <f>IF($G447&lt;&gt;"ALCOHOL","",IF($K447="","",$H447*IFERROR(VLOOKUP($K447,Drink_Templates!$A:$G,7,FALSE),0)))</f>
        <v/>
      </c>
    </row>
    <row r="448" ht="15" customHeight="1">
      <c r="C448">
        <f>IF($B448="","",INT($B448))</f>
        <v/>
      </c>
      <c r="D448">
        <f>IF($C448="","",$C448-WEEKDAY($C448,2)+1)</f>
        <v/>
      </c>
      <c r="E448">
        <f>IF($C448="","",DATE(YEAR($C448),MONTH($C448),1))</f>
        <v/>
      </c>
      <c r="F448">
        <f>IF($C448="","",YEAR($C448)&amp;"-Q"&amp;ROUNDUP(MONTH($C448)/3,0))</f>
        <v/>
      </c>
      <c r="L448">
        <f>IF($G448&lt;&gt;"ALCOHOL","",IF($K448="","",$H448*IFERROR(VLOOKUP($K448,Drink_Templates!$A:$G,7,FALSE),0)))</f>
        <v/>
      </c>
    </row>
    <row r="449" ht="15" customHeight="1">
      <c r="C449">
        <f>IF($B449="","",INT($B449))</f>
        <v/>
      </c>
      <c r="D449">
        <f>IF($C449="","",$C449-WEEKDAY($C449,2)+1)</f>
        <v/>
      </c>
      <c r="E449">
        <f>IF($C449="","",DATE(YEAR($C449),MONTH($C449),1))</f>
        <v/>
      </c>
      <c r="F449">
        <f>IF($C449="","",YEAR($C449)&amp;"-Q"&amp;ROUNDUP(MONTH($C449)/3,0))</f>
        <v/>
      </c>
      <c r="L449">
        <f>IF($G449&lt;&gt;"ALCOHOL","",IF($K449="","",$H449*IFERROR(VLOOKUP($K449,Drink_Templates!$A:$G,7,FALSE),0)))</f>
        <v/>
      </c>
    </row>
    <row r="450" ht="15" customHeight="1">
      <c r="C450">
        <f>IF($B450="","",INT($B450))</f>
        <v/>
      </c>
      <c r="D450">
        <f>IF($C450="","",$C450-WEEKDAY($C450,2)+1)</f>
        <v/>
      </c>
      <c r="E450">
        <f>IF($C450="","",DATE(YEAR($C450),MONTH($C450),1))</f>
        <v/>
      </c>
      <c r="F450">
        <f>IF($C450="","",YEAR($C450)&amp;"-Q"&amp;ROUNDUP(MONTH($C450)/3,0))</f>
        <v/>
      </c>
      <c r="L450">
        <f>IF($G450&lt;&gt;"ALCOHOL","",IF($K450="","",$H450*IFERROR(VLOOKUP($K450,Drink_Templates!$A:$G,7,FALSE),0)))</f>
        <v/>
      </c>
    </row>
    <row r="451" ht="15" customHeight="1">
      <c r="C451">
        <f>IF($B451="","",INT($B451))</f>
        <v/>
      </c>
      <c r="D451">
        <f>IF($C451="","",$C451-WEEKDAY($C451,2)+1)</f>
        <v/>
      </c>
      <c r="E451">
        <f>IF($C451="","",DATE(YEAR($C451),MONTH($C451),1))</f>
        <v/>
      </c>
      <c r="F451">
        <f>IF($C451="","",YEAR($C451)&amp;"-Q"&amp;ROUNDUP(MONTH($C451)/3,0))</f>
        <v/>
      </c>
      <c r="L451">
        <f>IF($G451&lt;&gt;"ALCOHOL","",IF($K451="","",$H451*IFERROR(VLOOKUP($K451,Drink_Templates!$A:$G,7,FALSE),0)))</f>
        <v/>
      </c>
    </row>
    <row r="452" ht="15" customHeight="1">
      <c r="C452">
        <f>IF($B452="","",INT($B452))</f>
        <v/>
      </c>
      <c r="D452">
        <f>IF($C452="","",$C452-WEEKDAY($C452,2)+1)</f>
        <v/>
      </c>
      <c r="E452">
        <f>IF($C452="","",DATE(YEAR($C452),MONTH($C452),1))</f>
        <v/>
      </c>
      <c r="F452">
        <f>IF($C452="","",YEAR($C452)&amp;"-Q"&amp;ROUNDUP(MONTH($C452)/3,0))</f>
        <v/>
      </c>
      <c r="L452">
        <f>IF($G452&lt;&gt;"ALCOHOL","",IF($K452="","",$H452*IFERROR(VLOOKUP($K452,Drink_Templates!$A:$G,7,FALSE),0)))</f>
        <v/>
      </c>
    </row>
    <row r="453" ht="15" customHeight="1">
      <c r="C453">
        <f>IF($B453="","",INT($B453))</f>
        <v/>
      </c>
      <c r="D453">
        <f>IF($C453="","",$C453-WEEKDAY($C453,2)+1)</f>
        <v/>
      </c>
      <c r="E453">
        <f>IF($C453="","",DATE(YEAR($C453),MONTH($C453),1))</f>
        <v/>
      </c>
      <c r="F453">
        <f>IF($C453="","",YEAR($C453)&amp;"-Q"&amp;ROUNDUP(MONTH($C453)/3,0))</f>
        <v/>
      </c>
      <c r="L453">
        <f>IF($G453&lt;&gt;"ALCOHOL","",IF($K453="","",$H453*IFERROR(VLOOKUP($K453,Drink_Templates!$A:$G,7,FALSE),0)))</f>
        <v/>
      </c>
    </row>
    <row r="454" ht="15" customHeight="1">
      <c r="C454">
        <f>IF($B454="","",INT($B454))</f>
        <v/>
      </c>
      <c r="D454">
        <f>IF($C454="","",$C454-WEEKDAY($C454,2)+1)</f>
        <v/>
      </c>
      <c r="E454">
        <f>IF($C454="","",DATE(YEAR($C454),MONTH($C454),1))</f>
        <v/>
      </c>
      <c r="F454">
        <f>IF($C454="","",YEAR($C454)&amp;"-Q"&amp;ROUNDUP(MONTH($C454)/3,0))</f>
        <v/>
      </c>
      <c r="L454">
        <f>IF($G454&lt;&gt;"ALCOHOL","",IF($K454="","",$H454*IFERROR(VLOOKUP($K454,Drink_Templates!$A:$G,7,FALSE),0)))</f>
        <v/>
      </c>
    </row>
    <row r="455" ht="15" customHeight="1">
      <c r="C455">
        <f>IF($B455="","",INT($B455))</f>
        <v/>
      </c>
      <c r="D455">
        <f>IF($C455="","",$C455-WEEKDAY($C455,2)+1)</f>
        <v/>
      </c>
      <c r="E455">
        <f>IF($C455="","",DATE(YEAR($C455),MONTH($C455),1))</f>
        <v/>
      </c>
      <c r="F455">
        <f>IF($C455="","",YEAR($C455)&amp;"-Q"&amp;ROUNDUP(MONTH($C455)/3,0))</f>
        <v/>
      </c>
      <c r="L455">
        <f>IF($G455&lt;&gt;"ALCOHOL","",IF($K455="","",$H455*IFERROR(VLOOKUP($K455,Drink_Templates!$A:$G,7,FALSE),0)))</f>
        <v/>
      </c>
    </row>
    <row r="456" ht="15" customHeight="1">
      <c r="C456">
        <f>IF($B456="","",INT($B456))</f>
        <v/>
      </c>
      <c r="D456">
        <f>IF($C456="","",$C456-WEEKDAY($C456,2)+1)</f>
        <v/>
      </c>
      <c r="E456">
        <f>IF($C456="","",DATE(YEAR($C456),MONTH($C456),1))</f>
        <v/>
      </c>
      <c r="F456">
        <f>IF($C456="","",YEAR($C456)&amp;"-Q"&amp;ROUNDUP(MONTH($C456)/3,0))</f>
        <v/>
      </c>
      <c r="L456">
        <f>IF($G456&lt;&gt;"ALCOHOL","",IF($K456="","",$H456*IFERROR(VLOOKUP($K456,Drink_Templates!$A:$G,7,FALSE),0)))</f>
        <v/>
      </c>
    </row>
    <row r="457" ht="15" customHeight="1">
      <c r="C457">
        <f>IF($B457="","",INT($B457))</f>
        <v/>
      </c>
      <c r="D457">
        <f>IF($C457="","",$C457-WEEKDAY($C457,2)+1)</f>
        <v/>
      </c>
      <c r="E457">
        <f>IF($C457="","",DATE(YEAR($C457),MONTH($C457),1))</f>
        <v/>
      </c>
      <c r="F457">
        <f>IF($C457="","",YEAR($C457)&amp;"-Q"&amp;ROUNDUP(MONTH($C457)/3,0))</f>
        <v/>
      </c>
      <c r="L457">
        <f>IF($G457&lt;&gt;"ALCOHOL","",IF($K457="","",$H457*IFERROR(VLOOKUP($K457,Drink_Templates!$A:$G,7,FALSE),0)))</f>
        <v/>
      </c>
    </row>
    <row r="458" ht="15" customHeight="1">
      <c r="C458">
        <f>IF($B458="","",INT($B458))</f>
        <v/>
      </c>
      <c r="D458">
        <f>IF($C458="","",$C458-WEEKDAY($C458,2)+1)</f>
        <v/>
      </c>
      <c r="E458">
        <f>IF($C458="","",DATE(YEAR($C458),MONTH($C458),1))</f>
        <v/>
      </c>
      <c r="F458">
        <f>IF($C458="","",YEAR($C458)&amp;"-Q"&amp;ROUNDUP(MONTH($C458)/3,0))</f>
        <v/>
      </c>
      <c r="L458">
        <f>IF($G458&lt;&gt;"ALCOHOL","",IF($K458="","",$H458*IFERROR(VLOOKUP($K458,Drink_Templates!$A:$G,7,FALSE),0)))</f>
        <v/>
      </c>
    </row>
    <row r="459" ht="15" customHeight="1">
      <c r="C459">
        <f>IF($B459="","",INT($B459))</f>
        <v/>
      </c>
      <c r="D459">
        <f>IF($C459="","",$C459-WEEKDAY($C459,2)+1)</f>
        <v/>
      </c>
      <c r="E459">
        <f>IF($C459="","",DATE(YEAR($C459),MONTH($C459),1))</f>
        <v/>
      </c>
      <c r="F459">
        <f>IF($C459="","",YEAR($C459)&amp;"-Q"&amp;ROUNDUP(MONTH($C459)/3,0))</f>
        <v/>
      </c>
      <c r="L459">
        <f>IF($G459&lt;&gt;"ALCOHOL","",IF($K459="","",$H459*IFERROR(VLOOKUP($K459,Drink_Templates!$A:$G,7,FALSE),0)))</f>
        <v/>
      </c>
    </row>
    <row r="460" ht="15" customHeight="1">
      <c r="C460">
        <f>IF($B460="","",INT($B460))</f>
        <v/>
      </c>
      <c r="D460">
        <f>IF($C460="","",$C460-WEEKDAY($C460,2)+1)</f>
        <v/>
      </c>
      <c r="E460">
        <f>IF($C460="","",DATE(YEAR($C460),MONTH($C460),1))</f>
        <v/>
      </c>
      <c r="F460">
        <f>IF($C460="","",YEAR($C460)&amp;"-Q"&amp;ROUNDUP(MONTH($C460)/3,0))</f>
        <v/>
      </c>
      <c r="L460">
        <f>IF($G460&lt;&gt;"ALCOHOL","",IF($K460="","",$H460*IFERROR(VLOOKUP($K460,Drink_Templates!$A:$G,7,FALSE),0)))</f>
        <v/>
      </c>
    </row>
    <row r="461" ht="15" customHeight="1">
      <c r="C461">
        <f>IF($B461="","",INT($B461))</f>
        <v/>
      </c>
      <c r="D461">
        <f>IF($C461="","",$C461-WEEKDAY($C461,2)+1)</f>
        <v/>
      </c>
      <c r="E461">
        <f>IF($C461="","",DATE(YEAR($C461),MONTH($C461),1))</f>
        <v/>
      </c>
      <c r="F461">
        <f>IF($C461="","",YEAR($C461)&amp;"-Q"&amp;ROUNDUP(MONTH($C461)/3,0))</f>
        <v/>
      </c>
      <c r="L461">
        <f>IF($G461&lt;&gt;"ALCOHOL","",IF($K461="","",$H461*IFERROR(VLOOKUP($K461,Drink_Templates!$A:$G,7,FALSE),0)))</f>
        <v/>
      </c>
    </row>
    <row r="462" ht="15" customHeight="1">
      <c r="C462">
        <f>IF($B462="","",INT($B462))</f>
        <v/>
      </c>
      <c r="D462">
        <f>IF($C462="","",$C462-WEEKDAY($C462,2)+1)</f>
        <v/>
      </c>
      <c r="E462">
        <f>IF($C462="","",DATE(YEAR($C462),MONTH($C462),1))</f>
        <v/>
      </c>
      <c r="F462">
        <f>IF($C462="","",YEAR($C462)&amp;"-Q"&amp;ROUNDUP(MONTH($C462)/3,0))</f>
        <v/>
      </c>
      <c r="L462">
        <f>IF($G462&lt;&gt;"ALCOHOL","",IF($K462="","",$H462*IFERROR(VLOOKUP($K462,Drink_Templates!$A:$G,7,FALSE),0)))</f>
        <v/>
      </c>
    </row>
    <row r="463" ht="15" customHeight="1">
      <c r="C463">
        <f>IF($B463="","",INT($B463))</f>
        <v/>
      </c>
      <c r="D463">
        <f>IF($C463="","",$C463-WEEKDAY($C463,2)+1)</f>
        <v/>
      </c>
      <c r="E463">
        <f>IF($C463="","",DATE(YEAR($C463),MONTH($C463),1))</f>
        <v/>
      </c>
      <c r="F463">
        <f>IF($C463="","",YEAR($C463)&amp;"-Q"&amp;ROUNDUP(MONTH($C463)/3,0))</f>
        <v/>
      </c>
      <c r="L463">
        <f>IF($G463&lt;&gt;"ALCOHOL","",IF($K463="","",$H463*IFERROR(VLOOKUP($K463,Drink_Templates!$A:$G,7,FALSE),0)))</f>
        <v/>
      </c>
    </row>
    <row r="464" ht="15" customHeight="1">
      <c r="C464">
        <f>IF($B464="","",INT($B464))</f>
        <v/>
      </c>
      <c r="D464">
        <f>IF($C464="","",$C464-WEEKDAY($C464,2)+1)</f>
        <v/>
      </c>
      <c r="E464">
        <f>IF($C464="","",DATE(YEAR($C464),MONTH($C464),1))</f>
        <v/>
      </c>
      <c r="F464">
        <f>IF($C464="","",YEAR($C464)&amp;"-Q"&amp;ROUNDUP(MONTH($C464)/3,0))</f>
        <v/>
      </c>
      <c r="L464">
        <f>IF($G464&lt;&gt;"ALCOHOL","",IF($K464="","",$H464*IFERROR(VLOOKUP($K464,Drink_Templates!$A:$G,7,FALSE),0)))</f>
        <v/>
      </c>
    </row>
    <row r="465" ht="15" customHeight="1">
      <c r="C465">
        <f>IF($B465="","",INT($B465))</f>
        <v/>
      </c>
      <c r="D465">
        <f>IF($C465="","",$C465-WEEKDAY($C465,2)+1)</f>
        <v/>
      </c>
      <c r="E465">
        <f>IF($C465="","",DATE(YEAR($C465),MONTH($C465),1))</f>
        <v/>
      </c>
      <c r="F465">
        <f>IF($C465="","",YEAR($C465)&amp;"-Q"&amp;ROUNDUP(MONTH($C465)/3,0))</f>
        <v/>
      </c>
      <c r="L465">
        <f>IF($G465&lt;&gt;"ALCOHOL","",IF($K465="","",$H465*IFERROR(VLOOKUP($K465,Drink_Templates!$A:$G,7,FALSE),0)))</f>
        <v/>
      </c>
    </row>
    <row r="466" ht="15" customHeight="1">
      <c r="C466">
        <f>IF($B466="","",INT($B466))</f>
        <v/>
      </c>
      <c r="D466">
        <f>IF($C466="","",$C466-WEEKDAY($C466,2)+1)</f>
        <v/>
      </c>
      <c r="E466">
        <f>IF($C466="","",DATE(YEAR($C466),MONTH($C466),1))</f>
        <v/>
      </c>
      <c r="F466">
        <f>IF($C466="","",YEAR($C466)&amp;"-Q"&amp;ROUNDUP(MONTH($C466)/3,0))</f>
        <v/>
      </c>
      <c r="L466">
        <f>IF($G466&lt;&gt;"ALCOHOL","",IF($K466="","",$H466*IFERROR(VLOOKUP($K466,Drink_Templates!$A:$G,7,FALSE),0)))</f>
        <v/>
      </c>
    </row>
    <row r="467" ht="15" customHeight="1">
      <c r="C467">
        <f>IF($B467="","",INT($B467))</f>
        <v/>
      </c>
      <c r="D467">
        <f>IF($C467="","",$C467-WEEKDAY($C467,2)+1)</f>
        <v/>
      </c>
      <c r="E467">
        <f>IF($C467="","",DATE(YEAR($C467),MONTH($C467),1))</f>
        <v/>
      </c>
      <c r="F467">
        <f>IF($C467="","",YEAR($C467)&amp;"-Q"&amp;ROUNDUP(MONTH($C467)/3,0))</f>
        <v/>
      </c>
      <c r="L467">
        <f>IF($G467&lt;&gt;"ALCOHOL","",IF($K467="","",$H467*IFERROR(VLOOKUP($K467,Drink_Templates!$A:$G,7,FALSE),0)))</f>
        <v/>
      </c>
    </row>
    <row r="468" ht="15" customHeight="1">
      <c r="C468">
        <f>IF($B468="","",INT($B468))</f>
        <v/>
      </c>
      <c r="D468">
        <f>IF($C468="","",$C468-WEEKDAY($C468,2)+1)</f>
        <v/>
      </c>
      <c r="E468">
        <f>IF($C468="","",DATE(YEAR($C468),MONTH($C468),1))</f>
        <v/>
      </c>
      <c r="F468">
        <f>IF($C468="","",YEAR($C468)&amp;"-Q"&amp;ROUNDUP(MONTH($C468)/3,0))</f>
        <v/>
      </c>
      <c r="L468">
        <f>IF($G468&lt;&gt;"ALCOHOL","",IF($K468="","",$H468*IFERROR(VLOOKUP($K468,Drink_Templates!$A:$G,7,FALSE),0)))</f>
        <v/>
      </c>
    </row>
    <row r="469" ht="15" customHeight="1">
      <c r="C469">
        <f>IF($B469="","",INT($B469))</f>
        <v/>
      </c>
      <c r="D469">
        <f>IF($C469="","",$C469-WEEKDAY($C469,2)+1)</f>
        <v/>
      </c>
      <c r="E469">
        <f>IF($C469="","",DATE(YEAR($C469),MONTH($C469),1))</f>
        <v/>
      </c>
      <c r="F469">
        <f>IF($C469="","",YEAR($C469)&amp;"-Q"&amp;ROUNDUP(MONTH($C469)/3,0))</f>
        <v/>
      </c>
      <c r="L469">
        <f>IF($G469&lt;&gt;"ALCOHOL","",IF($K469="","",$H469*IFERROR(VLOOKUP($K469,Drink_Templates!$A:$G,7,FALSE),0)))</f>
        <v/>
      </c>
    </row>
    <row r="470" ht="15" customHeight="1">
      <c r="C470">
        <f>IF($B470="","",INT($B470))</f>
        <v/>
      </c>
      <c r="D470">
        <f>IF($C470="","",$C470-WEEKDAY($C470,2)+1)</f>
        <v/>
      </c>
      <c r="E470">
        <f>IF($C470="","",DATE(YEAR($C470),MONTH($C470),1))</f>
        <v/>
      </c>
      <c r="F470">
        <f>IF($C470="","",YEAR($C470)&amp;"-Q"&amp;ROUNDUP(MONTH($C470)/3,0))</f>
        <v/>
      </c>
      <c r="L470">
        <f>IF($G470&lt;&gt;"ALCOHOL","",IF($K470="","",$H470*IFERROR(VLOOKUP($K470,Drink_Templates!$A:$G,7,FALSE),0)))</f>
        <v/>
      </c>
    </row>
    <row r="471" ht="15" customHeight="1">
      <c r="C471">
        <f>IF($B471="","",INT($B471))</f>
        <v/>
      </c>
      <c r="D471">
        <f>IF($C471="","",$C471-WEEKDAY($C471,2)+1)</f>
        <v/>
      </c>
      <c r="E471">
        <f>IF($C471="","",DATE(YEAR($C471),MONTH($C471),1))</f>
        <v/>
      </c>
      <c r="F471">
        <f>IF($C471="","",YEAR($C471)&amp;"-Q"&amp;ROUNDUP(MONTH($C471)/3,0))</f>
        <v/>
      </c>
      <c r="L471">
        <f>IF($G471&lt;&gt;"ALCOHOL","",IF($K471="","",$H471*IFERROR(VLOOKUP($K471,Drink_Templates!$A:$G,7,FALSE),0)))</f>
        <v/>
      </c>
    </row>
    <row r="472" ht="15" customHeight="1">
      <c r="C472">
        <f>IF($B472="","",INT($B472))</f>
        <v/>
      </c>
      <c r="D472">
        <f>IF($C472="","",$C472-WEEKDAY($C472,2)+1)</f>
        <v/>
      </c>
      <c r="E472">
        <f>IF($C472="","",DATE(YEAR($C472),MONTH($C472),1))</f>
        <v/>
      </c>
      <c r="F472">
        <f>IF($C472="","",YEAR($C472)&amp;"-Q"&amp;ROUNDUP(MONTH($C472)/3,0))</f>
        <v/>
      </c>
      <c r="L472">
        <f>IF($G472&lt;&gt;"ALCOHOL","",IF($K472="","",$H472*IFERROR(VLOOKUP($K472,Drink_Templates!$A:$G,7,FALSE),0)))</f>
        <v/>
      </c>
    </row>
    <row r="473" ht="15" customHeight="1">
      <c r="C473">
        <f>IF($B473="","",INT($B473))</f>
        <v/>
      </c>
      <c r="D473">
        <f>IF($C473="","",$C473-WEEKDAY($C473,2)+1)</f>
        <v/>
      </c>
      <c r="E473">
        <f>IF($C473="","",DATE(YEAR($C473),MONTH($C473),1))</f>
        <v/>
      </c>
      <c r="F473">
        <f>IF($C473="","",YEAR($C473)&amp;"-Q"&amp;ROUNDUP(MONTH($C473)/3,0))</f>
        <v/>
      </c>
      <c r="L473">
        <f>IF($G473&lt;&gt;"ALCOHOL","",IF($K473="","",$H473*IFERROR(VLOOKUP($K473,Drink_Templates!$A:$G,7,FALSE),0)))</f>
        <v/>
      </c>
    </row>
    <row r="474" ht="15" customHeight="1">
      <c r="C474">
        <f>IF($B474="","",INT($B474))</f>
        <v/>
      </c>
      <c r="D474">
        <f>IF($C474="","",$C474-WEEKDAY($C474,2)+1)</f>
        <v/>
      </c>
      <c r="E474">
        <f>IF($C474="","",DATE(YEAR($C474),MONTH($C474),1))</f>
        <v/>
      </c>
      <c r="F474">
        <f>IF($C474="","",YEAR($C474)&amp;"-Q"&amp;ROUNDUP(MONTH($C474)/3,0))</f>
        <v/>
      </c>
      <c r="L474">
        <f>IF($G474&lt;&gt;"ALCOHOL","",IF($K474="","",$H474*IFERROR(VLOOKUP($K474,Drink_Templates!$A:$G,7,FALSE),0)))</f>
        <v/>
      </c>
    </row>
    <row r="475" ht="15" customHeight="1">
      <c r="C475">
        <f>IF($B475="","",INT($B475))</f>
        <v/>
      </c>
      <c r="D475">
        <f>IF($C475="","",$C475-WEEKDAY($C475,2)+1)</f>
        <v/>
      </c>
      <c r="E475">
        <f>IF($C475="","",DATE(YEAR($C475),MONTH($C475),1))</f>
        <v/>
      </c>
      <c r="F475">
        <f>IF($C475="","",YEAR($C475)&amp;"-Q"&amp;ROUNDUP(MONTH($C475)/3,0))</f>
        <v/>
      </c>
      <c r="L475">
        <f>IF($G475&lt;&gt;"ALCOHOL","",IF($K475="","",$H475*IFERROR(VLOOKUP($K475,Drink_Templates!$A:$G,7,FALSE),0)))</f>
        <v/>
      </c>
    </row>
    <row r="476" ht="15" customHeight="1">
      <c r="C476">
        <f>IF($B476="","",INT($B476))</f>
        <v/>
      </c>
      <c r="D476">
        <f>IF($C476="","",$C476-WEEKDAY($C476,2)+1)</f>
        <v/>
      </c>
      <c r="E476">
        <f>IF($C476="","",DATE(YEAR($C476),MONTH($C476),1))</f>
        <v/>
      </c>
      <c r="F476">
        <f>IF($C476="","",YEAR($C476)&amp;"-Q"&amp;ROUNDUP(MONTH($C476)/3,0))</f>
        <v/>
      </c>
      <c r="L476">
        <f>IF($G476&lt;&gt;"ALCOHOL","",IF($K476="","",$H476*IFERROR(VLOOKUP($K476,Drink_Templates!$A:$G,7,FALSE),0)))</f>
        <v/>
      </c>
    </row>
    <row r="477" ht="15" customHeight="1">
      <c r="C477">
        <f>IF($B477="","",INT($B477))</f>
        <v/>
      </c>
      <c r="D477">
        <f>IF($C477="","",$C477-WEEKDAY($C477,2)+1)</f>
        <v/>
      </c>
      <c r="E477">
        <f>IF($C477="","",DATE(YEAR($C477),MONTH($C477),1))</f>
        <v/>
      </c>
      <c r="F477">
        <f>IF($C477="","",YEAR($C477)&amp;"-Q"&amp;ROUNDUP(MONTH($C477)/3,0))</f>
        <v/>
      </c>
      <c r="L477">
        <f>IF($G477&lt;&gt;"ALCOHOL","",IF($K477="","",$H477*IFERROR(VLOOKUP($K477,Drink_Templates!$A:$G,7,FALSE),0)))</f>
        <v/>
      </c>
    </row>
    <row r="478" ht="15" customHeight="1">
      <c r="C478">
        <f>IF($B478="","",INT($B478))</f>
        <v/>
      </c>
      <c r="D478">
        <f>IF($C478="","",$C478-WEEKDAY($C478,2)+1)</f>
        <v/>
      </c>
      <c r="E478">
        <f>IF($C478="","",DATE(YEAR($C478),MONTH($C478),1))</f>
        <v/>
      </c>
      <c r="F478">
        <f>IF($C478="","",YEAR($C478)&amp;"-Q"&amp;ROUNDUP(MONTH($C478)/3,0))</f>
        <v/>
      </c>
      <c r="L478">
        <f>IF($G478&lt;&gt;"ALCOHOL","",IF($K478="","",$H478*IFERROR(VLOOKUP($K478,Drink_Templates!$A:$G,7,FALSE),0)))</f>
        <v/>
      </c>
    </row>
    <row r="479" ht="15" customHeight="1">
      <c r="C479">
        <f>IF($B479="","",INT($B479))</f>
        <v/>
      </c>
      <c r="D479">
        <f>IF($C479="","",$C479-WEEKDAY($C479,2)+1)</f>
        <v/>
      </c>
      <c r="E479">
        <f>IF($C479="","",DATE(YEAR($C479),MONTH($C479),1))</f>
        <v/>
      </c>
      <c r="F479">
        <f>IF($C479="","",YEAR($C479)&amp;"-Q"&amp;ROUNDUP(MONTH($C479)/3,0))</f>
        <v/>
      </c>
      <c r="L479">
        <f>IF($G479&lt;&gt;"ALCOHOL","",IF($K479="","",$H479*IFERROR(VLOOKUP($K479,Drink_Templates!$A:$G,7,FALSE),0)))</f>
        <v/>
      </c>
    </row>
    <row r="480" ht="15" customHeight="1">
      <c r="C480">
        <f>IF($B480="","",INT($B480))</f>
        <v/>
      </c>
      <c r="D480">
        <f>IF($C480="","",$C480-WEEKDAY($C480,2)+1)</f>
        <v/>
      </c>
      <c r="E480">
        <f>IF($C480="","",DATE(YEAR($C480),MONTH($C480),1))</f>
        <v/>
      </c>
      <c r="F480">
        <f>IF($C480="","",YEAR($C480)&amp;"-Q"&amp;ROUNDUP(MONTH($C480)/3,0))</f>
        <v/>
      </c>
      <c r="L480">
        <f>IF($G480&lt;&gt;"ALCOHOL","",IF($K480="","",$H480*IFERROR(VLOOKUP($K480,Drink_Templates!$A:$G,7,FALSE),0)))</f>
        <v/>
      </c>
    </row>
    <row r="481" ht="15" customHeight="1">
      <c r="C481">
        <f>IF($B481="","",INT($B481))</f>
        <v/>
      </c>
      <c r="D481">
        <f>IF($C481="","",$C481-WEEKDAY($C481,2)+1)</f>
        <v/>
      </c>
      <c r="E481">
        <f>IF($C481="","",DATE(YEAR($C481),MONTH($C481),1))</f>
        <v/>
      </c>
      <c r="F481">
        <f>IF($C481="","",YEAR($C481)&amp;"-Q"&amp;ROUNDUP(MONTH($C481)/3,0))</f>
        <v/>
      </c>
      <c r="L481">
        <f>IF($G481&lt;&gt;"ALCOHOL","",IF($K481="","",$H481*IFERROR(VLOOKUP($K481,Drink_Templates!$A:$G,7,FALSE),0)))</f>
        <v/>
      </c>
    </row>
    <row r="482" ht="15" customHeight="1">
      <c r="C482">
        <f>IF($B482="","",INT($B482))</f>
        <v/>
      </c>
      <c r="D482">
        <f>IF($C482="","",$C482-WEEKDAY($C482,2)+1)</f>
        <v/>
      </c>
      <c r="E482">
        <f>IF($C482="","",DATE(YEAR($C482),MONTH($C482),1))</f>
        <v/>
      </c>
      <c r="F482">
        <f>IF($C482="","",YEAR($C482)&amp;"-Q"&amp;ROUNDUP(MONTH($C482)/3,0))</f>
        <v/>
      </c>
      <c r="L482">
        <f>IF($G482&lt;&gt;"ALCOHOL","",IF($K482="","",$H482*IFERROR(VLOOKUP($K482,Drink_Templates!$A:$G,7,FALSE),0)))</f>
        <v/>
      </c>
    </row>
    <row r="483" ht="15" customHeight="1">
      <c r="C483">
        <f>IF($B483="","",INT($B483))</f>
        <v/>
      </c>
      <c r="D483">
        <f>IF($C483="","",$C483-WEEKDAY($C483,2)+1)</f>
        <v/>
      </c>
      <c r="E483">
        <f>IF($C483="","",DATE(YEAR($C483),MONTH($C483),1))</f>
        <v/>
      </c>
      <c r="F483">
        <f>IF($C483="","",YEAR($C483)&amp;"-Q"&amp;ROUNDUP(MONTH($C483)/3,0))</f>
        <v/>
      </c>
      <c r="L483">
        <f>IF($G483&lt;&gt;"ALCOHOL","",IF($K483="","",$H483*IFERROR(VLOOKUP($K483,Drink_Templates!$A:$G,7,FALSE),0)))</f>
        <v/>
      </c>
    </row>
    <row r="484" ht="15" customHeight="1">
      <c r="C484">
        <f>IF($B484="","",INT($B484))</f>
        <v/>
      </c>
      <c r="D484">
        <f>IF($C484="","",$C484-WEEKDAY($C484,2)+1)</f>
        <v/>
      </c>
      <c r="E484">
        <f>IF($C484="","",DATE(YEAR($C484),MONTH($C484),1))</f>
        <v/>
      </c>
      <c r="F484">
        <f>IF($C484="","",YEAR($C484)&amp;"-Q"&amp;ROUNDUP(MONTH($C484)/3,0))</f>
        <v/>
      </c>
      <c r="L484">
        <f>IF($G484&lt;&gt;"ALCOHOL","",IF($K484="","",$H484*IFERROR(VLOOKUP($K484,Drink_Templates!$A:$G,7,FALSE),0)))</f>
        <v/>
      </c>
    </row>
    <row r="485" ht="15" customHeight="1">
      <c r="C485">
        <f>IF($B485="","",INT($B485))</f>
        <v/>
      </c>
      <c r="D485">
        <f>IF($C485="","",$C485-WEEKDAY($C485,2)+1)</f>
        <v/>
      </c>
      <c r="E485">
        <f>IF($C485="","",DATE(YEAR($C485),MONTH($C485),1))</f>
        <v/>
      </c>
      <c r="F485">
        <f>IF($C485="","",YEAR($C485)&amp;"-Q"&amp;ROUNDUP(MONTH($C485)/3,0))</f>
        <v/>
      </c>
      <c r="L485">
        <f>IF($G485&lt;&gt;"ALCOHOL","",IF($K485="","",$H485*IFERROR(VLOOKUP($K485,Drink_Templates!$A:$G,7,FALSE),0)))</f>
        <v/>
      </c>
    </row>
    <row r="486" ht="15" customHeight="1">
      <c r="C486">
        <f>IF($B486="","",INT($B486))</f>
        <v/>
      </c>
      <c r="D486">
        <f>IF($C486="","",$C486-WEEKDAY($C486,2)+1)</f>
        <v/>
      </c>
      <c r="E486">
        <f>IF($C486="","",DATE(YEAR($C486),MONTH($C486),1))</f>
        <v/>
      </c>
      <c r="F486">
        <f>IF($C486="","",YEAR($C486)&amp;"-Q"&amp;ROUNDUP(MONTH($C486)/3,0))</f>
        <v/>
      </c>
      <c r="L486">
        <f>IF($G486&lt;&gt;"ALCOHOL","",IF($K486="","",$H486*IFERROR(VLOOKUP($K486,Drink_Templates!$A:$G,7,FALSE),0)))</f>
        <v/>
      </c>
    </row>
    <row r="487" ht="15" customHeight="1">
      <c r="C487">
        <f>IF($B487="","",INT($B487))</f>
        <v/>
      </c>
      <c r="D487">
        <f>IF($C487="","",$C487-WEEKDAY($C487,2)+1)</f>
        <v/>
      </c>
      <c r="E487">
        <f>IF($C487="","",DATE(YEAR($C487),MONTH($C487),1))</f>
        <v/>
      </c>
      <c r="F487">
        <f>IF($C487="","",YEAR($C487)&amp;"-Q"&amp;ROUNDUP(MONTH($C487)/3,0))</f>
        <v/>
      </c>
      <c r="L487">
        <f>IF($G487&lt;&gt;"ALCOHOL","",IF($K487="","",$H487*IFERROR(VLOOKUP($K487,Drink_Templates!$A:$G,7,FALSE),0)))</f>
        <v/>
      </c>
    </row>
    <row r="488" ht="15" customHeight="1">
      <c r="C488">
        <f>IF($B488="","",INT($B488))</f>
        <v/>
      </c>
      <c r="D488">
        <f>IF($C488="","",$C488-WEEKDAY($C488,2)+1)</f>
        <v/>
      </c>
      <c r="E488">
        <f>IF($C488="","",DATE(YEAR($C488),MONTH($C488),1))</f>
        <v/>
      </c>
      <c r="F488">
        <f>IF($C488="","",YEAR($C488)&amp;"-Q"&amp;ROUNDUP(MONTH($C488)/3,0))</f>
        <v/>
      </c>
      <c r="L488">
        <f>IF($G488&lt;&gt;"ALCOHOL","",IF($K488="","",$H488*IFERROR(VLOOKUP($K488,Drink_Templates!$A:$G,7,FALSE),0)))</f>
        <v/>
      </c>
    </row>
    <row r="489" ht="15" customHeight="1">
      <c r="C489">
        <f>IF($B489="","",INT($B489))</f>
        <v/>
      </c>
      <c r="D489">
        <f>IF($C489="","",$C489-WEEKDAY($C489,2)+1)</f>
        <v/>
      </c>
      <c r="E489">
        <f>IF($C489="","",DATE(YEAR($C489),MONTH($C489),1))</f>
        <v/>
      </c>
      <c r="F489">
        <f>IF($C489="","",YEAR($C489)&amp;"-Q"&amp;ROUNDUP(MONTH($C489)/3,0))</f>
        <v/>
      </c>
      <c r="L489">
        <f>IF($G489&lt;&gt;"ALCOHOL","",IF($K489="","",$H489*IFERROR(VLOOKUP($K489,Drink_Templates!$A:$G,7,FALSE),0)))</f>
        <v/>
      </c>
    </row>
    <row r="490" ht="15" customHeight="1">
      <c r="C490">
        <f>IF($B490="","",INT($B490))</f>
        <v/>
      </c>
      <c r="D490">
        <f>IF($C490="","",$C490-WEEKDAY($C490,2)+1)</f>
        <v/>
      </c>
      <c r="E490">
        <f>IF($C490="","",DATE(YEAR($C490),MONTH($C490),1))</f>
        <v/>
      </c>
      <c r="F490">
        <f>IF($C490="","",YEAR($C490)&amp;"-Q"&amp;ROUNDUP(MONTH($C490)/3,0))</f>
        <v/>
      </c>
      <c r="L490">
        <f>IF($G490&lt;&gt;"ALCOHOL","",IF($K490="","",$H490*IFERROR(VLOOKUP($K490,Drink_Templates!$A:$G,7,FALSE),0)))</f>
        <v/>
      </c>
    </row>
    <row r="491" ht="15" customHeight="1">
      <c r="C491">
        <f>IF($B491="","",INT($B491))</f>
        <v/>
      </c>
      <c r="D491">
        <f>IF($C491="","",$C491-WEEKDAY($C491,2)+1)</f>
        <v/>
      </c>
      <c r="E491">
        <f>IF($C491="","",DATE(YEAR($C491),MONTH($C491),1))</f>
        <v/>
      </c>
      <c r="F491">
        <f>IF($C491="","",YEAR($C491)&amp;"-Q"&amp;ROUNDUP(MONTH($C491)/3,0))</f>
        <v/>
      </c>
      <c r="L491">
        <f>IF($G491&lt;&gt;"ALCOHOL","",IF($K491="","",$H491*IFERROR(VLOOKUP($K491,Drink_Templates!$A:$G,7,FALSE),0)))</f>
        <v/>
      </c>
    </row>
    <row r="492" ht="15" customHeight="1">
      <c r="C492">
        <f>IF($B492="","",INT($B492))</f>
        <v/>
      </c>
      <c r="D492">
        <f>IF($C492="","",$C492-WEEKDAY($C492,2)+1)</f>
        <v/>
      </c>
      <c r="E492">
        <f>IF($C492="","",DATE(YEAR($C492),MONTH($C492),1))</f>
        <v/>
      </c>
      <c r="F492">
        <f>IF($C492="","",YEAR($C492)&amp;"-Q"&amp;ROUNDUP(MONTH($C492)/3,0))</f>
        <v/>
      </c>
      <c r="L492">
        <f>IF($G492&lt;&gt;"ALCOHOL","",IF($K492="","",$H492*IFERROR(VLOOKUP($K492,Drink_Templates!$A:$G,7,FALSE),0)))</f>
        <v/>
      </c>
    </row>
    <row r="493" ht="15" customHeight="1">
      <c r="C493">
        <f>IF($B493="","",INT($B493))</f>
        <v/>
      </c>
      <c r="D493">
        <f>IF($C493="","",$C493-WEEKDAY($C493,2)+1)</f>
        <v/>
      </c>
      <c r="E493">
        <f>IF($C493="","",DATE(YEAR($C493),MONTH($C493),1))</f>
        <v/>
      </c>
      <c r="F493">
        <f>IF($C493="","",YEAR($C493)&amp;"-Q"&amp;ROUNDUP(MONTH($C493)/3,0))</f>
        <v/>
      </c>
      <c r="L493">
        <f>IF($G493&lt;&gt;"ALCOHOL","",IF($K493="","",$H493*IFERROR(VLOOKUP($K493,Drink_Templates!$A:$G,7,FALSE),0)))</f>
        <v/>
      </c>
    </row>
    <row r="494" ht="15" customHeight="1">
      <c r="C494">
        <f>IF($B494="","",INT($B494))</f>
        <v/>
      </c>
      <c r="D494">
        <f>IF($C494="","",$C494-WEEKDAY($C494,2)+1)</f>
        <v/>
      </c>
      <c r="E494">
        <f>IF($C494="","",DATE(YEAR($C494),MONTH($C494),1))</f>
        <v/>
      </c>
      <c r="F494">
        <f>IF($C494="","",YEAR($C494)&amp;"-Q"&amp;ROUNDUP(MONTH($C494)/3,0))</f>
        <v/>
      </c>
      <c r="L494">
        <f>IF($G494&lt;&gt;"ALCOHOL","",IF($K494="","",$H494*IFERROR(VLOOKUP($K494,Drink_Templates!$A:$G,7,FALSE),0)))</f>
        <v/>
      </c>
    </row>
    <row r="495" ht="15" customHeight="1">
      <c r="C495">
        <f>IF($B495="","",INT($B495))</f>
        <v/>
      </c>
      <c r="D495">
        <f>IF($C495="","",$C495-WEEKDAY($C495,2)+1)</f>
        <v/>
      </c>
      <c r="E495">
        <f>IF($C495="","",DATE(YEAR($C495),MONTH($C495),1))</f>
        <v/>
      </c>
      <c r="F495">
        <f>IF($C495="","",YEAR($C495)&amp;"-Q"&amp;ROUNDUP(MONTH($C495)/3,0))</f>
        <v/>
      </c>
      <c r="L495">
        <f>IF($G495&lt;&gt;"ALCOHOL","",IF($K495="","",$H495*IFERROR(VLOOKUP($K495,Drink_Templates!$A:$G,7,FALSE),0)))</f>
        <v/>
      </c>
    </row>
    <row r="496" ht="15" customHeight="1">
      <c r="C496">
        <f>IF($B496="","",INT($B496))</f>
        <v/>
      </c>
      <c r="D496">
        <f>IF($C496="","",$C496-WEEKDAY($C496,2)+1)</f>
        <v/>
      </c>
      <c r="E496">
        <f>IF($C496="","",DATE(YEAR($C496),MONTH($C496),1))</f>
        <v/>
      </c>
      <c r="F496">
        <f>IF($C496="","",YEAR($C496)&amp;"-Q"&amp;ROUNDUP(MONTH($C496)/3,0))</f>
        <v/>
      </c>
      <c r="L496">
        <f>IF($G496&lt;&gt;"ALCOHOL","",IF($K496="","",$H496*IFERROR(VLOOKUP($K496,Drink_Templates!$A:$G,7,FALSE),0)))</f>
        <v/>
      </c>
    </row>
    <row r="497" ht="15" customHeight="1">
      <c r="C497">
        <f>IF($B497="","",INT($B497))</f>
        <v/>
      </c>
      <c r="D497">
        <f>IF($C497="","",$C497-WEEKDAY($C497,2)+1)</f>
        <v/>
      </c>
      <c r="E497">
        <f>IF($C497="","",DATE(YEAR($C497),MONTH($C497),1))</f>
        <v/>
      </c>
      <c r="F497">
        <f>IF($C497="","",YEAR($C497)&amp;"-Q"&amp;ROUNDUP(MONTH($C497)/3,0))</f>
        <v/>
      </c>
      <c r="L497">
        <f>IF($G497&lt;&gt;"ALCOHOL","",IF($K497="","",$H497*IFERROR(VLOOKUP($K497,Drink_Templates!$A:$G,7,FALSE),0)))</f>
        <v/>
      </c>
    </row>
    <row r="498" ht="15" customHeight="1">
      <c r="C498">
        <f>IF($B498="","",INT($B498))</f>
        <v/>
      </c>
      <c r="D498">
        <f>IF($C498="","",$C498-WEEKDAY($C498,2)+1)</f>
        <v/>
      </c>
      <c r="E498">
        <f>IF($C498="","",DATE(YEAR($C498),MONTH($C498),1))</f>
        <v/>
      </c>
      <c r="F498">
        <f>IF($C498="","",YEAR($C498)&amp;"-Q"&amp;ROUNDUP(MONTH($C498)/3,0))</f>
        <v/>
      </c>
      <c r="L498">
        <f>IF($G498&lt;&gt;"ALCOHOL","",IF($K498="","",$H498*IFERROR(VLOOKUP($K498,Drink_Templates!$A:$G,7,FALSE),0)))</f>
        <v/>
      </c>
    </row>
    <row r="499" ht="15" customHeight="1">
      <c r="C499">
        <f>IF($B499="","",INT($B499))</f>
        <v/>
      </c>
      <c r="D499">
        <f>IF($C499="","",$C499-WEEKDAY($C499,2)+1)</f>
        <v/>
      </c>
      <c r="E499">
        <f>IF($C499="","",DATE(YEAR($C499),MONTH($C499),1))</f>
        <v/>
      </c>
      <c r="F499">
        <f>IF($C499="","",YEAR($C499)&amp;"-Q"&amp;ROUNDUP(MONTH($C499)/3,0))</f>
        <v/>
      </c>
      <c r="L499">
        <f>IF($G499&lt;&gt;"ALCOHOL","",IF($K499="","",$H499*IFERROR(VLOOKUP($K499,Drink_Templates!$A:$G,7,FALSE),0)))</f>
        <v/>
      </c>
    </row>
    <row r="500" ht="15" customHeight="1">
      <c r="C500">
        <f>IF($B500="","",INT($B500))</f>
        <v/>
      </c>
      <c r="D500">
        <f>IF($C500="","",$C500-WEEKDAY($C500,2)+1)</f>
        <v/>
      </c>
      <c r="E500">
        <f>IF($C500="","",DATE(YEAR($C500),MONTH($C500),1))</f>
        <v/>
      </c>
      <c r="F500">
        <f>IF($C500="","",YEAR($C500)&amp;"-Q"&amp;ROUNDUP(MONTH($C500)/3,0))</f>
        <v/>
      </c>
      <c r="L500">
        <f>IF($G500&lt;&gt;"ALCOHOL","",IF($K500="","",$H500*IFERROR(VLOOKUP($K500,Drink_Templates!$A:$G,7,FALSE),0)))</f>
        <v/>
      </c>
    </row>
    <row r="501" ht="15" customHeight="1">
      <c r="C501">
        <f>IF($B501="","",INT($B501))</f>
        <v/>
      </c>
      <c r="D501">
        <f>IF($C501="","",$C501-WEEKDAY($C501,2)+1)</f>
        <v/>
      </c>
      <c r="E501">
        <f>IF($C501="","",DATE(YEAR($C501),MONTH($C501),1))</f>
        <v/>
      </c>
      <c r="F501">
        <f>IF($C501="","",YEAR($C501)&amp;"-Q"&amp;ROUNDUP(MONTH($C501)/3,0))</f>
        <v/>
      </c>
      <c r="L501">
        <f>IF($G501&lt;&gt;"ALCOHOL","",IF($K501="","",$H501*IFERROR(VLOOKUP($K501,Drink_Templates!$A:$G,7,FALSE),0)))</f>
        <v/>
      </c>
    </row>
    <row r="502" ht="15" customHeight="1">
      <c r="C502">
        <f>IF($B502="","",INT($B502))</f>
        <v/>
      </c>
      <c r="D502">
        <f>IF($C502="","",$C502-WEEKDAY($C502,2)+1)</f>
        <v/>
      </c>
      <c r="E502">
        <f>IF($C502="","",DATE(YEAR($C502),MONTH($C502),1))</f>
        <v/>
      </c>
      <c r="F502">
        <f>IF($C502="","",YEAR($C502)&amp;"-Q"&amp;ROUNDUP(MONTH($C502)/3,0))</f>
        <v/>
      </c>
      <c r="L502">
        <f>IF($G502&lt;&gt;"ALCOHOL","",IF($K502="","",$H502*IFERROR(VLOOKUP($K502,Drink_Templates!$A:$G,7,FALSE),0)))</f>
        <v/>
      </c>
    </row>
    <row r="503" ht="15" customHeight="1">
      <c r="C503">
        <f>IF($B503="","",INT($B503))</f>
        <v/>
      </c>
      <c r="D503">
        <f>IF($C503="","",$C503-WEEKDAY($C503,2)+1)</f>
        <v/>
      </c>
      <c r="E503">
        <f>IF($C503="","",DATE(YEAR($C503),MONTH($C503),1))</f>
        <v/>
      </c>
      <c r="F503">
        <f>IF($C503="","",YEAR($C503)&amp;"-Q"&amp;ROUNDUP(MONTH($C503)/3,0))</f>
        <v/>
      </c>
      <c r="L503">
        <f>IF($G503&lt;&gt;"ALCOHOL","",IF($K503="","",$H503*IFERROR(VLOOKUP($K503,Drink_Templates!$A:$G,7,FALSE),0)))</f>
        <v/>
      </c>
    </row>
    <row r="504" ht="15" customHeight="1">
      <c r="C504">
        <f>IF($B504="","",INT($B504))</f>
        <v/>
      </c>
      <c r="D504">
        <f>IF($C504="","",$C504-WEEKDAY($C504,2)+1)</f>
        <v/>
      </c>
      <c r="E504">
        <f>IF($C504="","",DATE(YEAR($C504),MONTH($C504),1))</f>
        <v/>
      </c>
      <c r="F504">
        <f>IF($C504="","",YEAR($C504)&amp;"-Q"&amp;ROUNDUP(MONTH($C504)/3,0))</f>
        <v/>
      </c>
      <c r="L504">
        <f>IF($G504&lt;&gt;"ALCOHOL","",IF($K504="","",$H504*IFERROR(VLOOKUP($K504,Drink_Templates!$A:$G,7,FALSE),0)))</f>
        <v/>
      </c>
    </row>
    <row r="505" ht="15" customHeight="1">
      <c r="C505">
        <f>IF($B505="","",INT($B505))</f>
        <v/>
      </c>
      <c r="D505">
        <f>IF($C505="","",$C505-WEEKDAY($C505,2)+1)</f>
        <v/>
      </c>
      <c r="E505">
        <f>IF($C505="","",DATE(YEAR($C505),MONTH($C505),1))</f>
        <v/>
      </c>
      <c r="F505">
        <f>IF($C505="","",YEAR($C505)&amp;"-Q"&amp;ROUNDUP(MONTH($C505)/3,0))</f>
        <v/>
      </c>
      <c r="L505">
        <f>IF($G505&lt;&gt;"ALCOHOL","",IF($K505="","",$H505*IFERROR(VLOOKUP($K505,Drink_Templates!$A:$G,7,FALSE),0)))</f>
        <v/>
      </c>
    </row>
    <row r="506" ht="15" customHeight="1">
      <c r="C506">
        <f>IF($B506="","",INT($B506))</f>
        <v/>
      </c>
      <c r="D506">
        <f>IF($C506="","",$C506-WEEKDAY($C506,2)+1)</f>
        <v/>
      </c>
      <c r="E506">
        <f>IF($C506="","",DATE(YEAR($C506),MONTH($C506),1))</f>
        <v/>
      </c>
      <c r="F506">
        <f>IF($C506="","",YEAR($C506)&amp;"-Q"&amp;ROUNDUP(MONTH($C506)/3,0))</f>
        <v/>
      </c>
      <c r="L506">
        <f>IF($G506&lt;&gt;"ALCOHOL","",IF($K506="","",$H506*IFERROR(VLOOKUP($K506,Drink_Templates!$A:$G,7,FALSE),0)))</f>
        <v/>
      </c>
    </row>
    <row r="507" ht="15" customHeight="1">
      <c r="C507">
        <f>IF($B507="","",INT($B507))</f>
        <v/>
      </c>
      <c r="D507">
        <f>IF($C507="","",$C507-WEEKDAY($C507,2)+1)</f>
        <v/>
      </c>
      <c r="E507">
        <f>IF($C507="","",DATE(YEAR($C507),MONTH($C507),1))</f>
        <v/>
      </c>
      <c r="F507">
        <f>IF($C507="","",YEAR($C507)&amp;"-Q"&amp;ROUNDUP(MONTH($C507)/3,0))</f>
        <v/>
      </c>
      <c r="L507">
        <f>IF($G507&lt;&gt;"ALCOHOL","",IF($K507="","",$H507*IFERROR(VLOOKUP($K507,Drink_Templates!$A:$G,7,FALSE),0)))</f>
        <v/>
      </c>
    </row>
    <row r="508" ht="15" customHeight="1">
      <c r="C508">
        <f>IF($B508="","",INT($B508))</f>
        <v/>
      </c>
      <c r="D508">
        <f>IF($C508="","",$C508-WEEKDAY($C508,2)+1)</f>
        <v/>
      </c>
      <c r="E508">
        <f>IF($C508="","",DATE(YEAR($C508),MONTH($C508),1))</f>
        <v/>
      </c>
      <c r="F508">
        <f>IF($C508="","",YEAR($C508)&amp;"-Q"&amp;ROUNDUP(MONTH($C508)/3,0))</f>
        <v/>
      </c>
      <c r="L508">
        <f>IF($G508&lt;&gt;"ALCOHOL","",IF($K508="","",$H508*IFERROR(VLOOKUP($K508,Drink_Templates!$A:$G,7,FALSE),0)))</f>
        <v/>
      </c>
    </row>
    <row r="509" ht="15" customHeight="1">
      <c r="C509">
        <f>IF($B509="","",INT($B509))</f>
        <v/>
      </c>
      <c r="D509">
        <f>IF($C509="","",$C509-WEEKDAY($C509,2)+1)</f>
        <v/>
      </c>
      <c r="E509">
        <f>IF($C509="","",DATE(YEAR($C509),MONTH($C509),1))</f>
        <v/>
      </c>
      <c r="F509">
        <f>IF($C509="","",YEAR($C509)&amp;"-Q"&amp;ROUNDUP(MONTH($C509)/3,0))</f>
        <v/>
      </c>
      <c r="L509">
        <f>IF($G509&lt;&gt;"ALCOHOL","",IF($K509="","",$H509*IFERROR(VLOOKUP($K509,Drink_Templates!$A:$G,7,FALSE),0)))</f>
        <v/>
      </c>
    </row>
    <row r="510" ht="15" customHeight="1">
      <c r="C510">
        <f>IF($B510="","",INT($B510))</f>
        <v/>
      </c>
      <c r="D510">
        <f>IF($C510="","",$C510-WEEKDAY($C510,2)+1)</f>
        <v/>
      </c>
      <c r="E510">
        <f>IF($C510="","",DATE(YEAR($C510),MONTH($C510),1))</f>
        <v/>
      </c>
      <c r="F510">
        <f>IF($C510="","",YEAR($C510)&amp;"-Q"&amp;ROUNDUP(MONTH($C510)/3,0))</f>
        <v/>
      </c>
      <c r="L510">
        <f>IF($G510&lt;&gt;"ALCOHOL","",IF($K510="","",$H510*IFERROR(VLOOKUP($K510,Drink_Templates!$A:$G,7,FALSE),0)))</f>
        <v/>
      </c>
    </row>
    <row r="511" ht="15" customHeight="1">
      <c r="C511">
        <f>IF($B511="","",INT($B511))</f>
        <v/>
      </c>
      <c r="D511">
        <f>IF($C511="","",$C511-WEEKDAY($C511,2)+1)</f>
        <v/>
      </c>
      <c r="E511">
        <f>IF($C511="","",DATE(YEAR($C511),MONTH($C511),1))</f>
        <v/>
      </c>
      <c r="F511">
        <f>IF($C511="","",YEAR($C511)&amp;"-Q"&amp;ROUNDUP(MONTH($C511)/3,0))</f>
        <v/>
      </c>
      <c r="L511">
        <f>IF($G511&lt;&gt;"ALCOHOL","",IF($K511="","",$H511*IFERROR(VLOOKUP($K511,Drink_Templates!$A:$G,7,FALSE),0)))</f>
        <v/>
      </c>
    </row>
    <row r="512" ht="15" customHeight="1">
      <c r="C512">
        <f>IF($B512="","",INT($B512))</f>
        <v/>
      </c>
      <c r="D512">
        <f>IF($C512="","",$C512-WEEKDAY($C512,2)+1)</f>
        <v/>
      </c>
      <c r="E512">
        <f>IF($C512="","",DATE(YEAR($C512),MONTH($C512),1))</f>
        <v/>
      </c>
      <c r="F512">
        <f>IF($C512="","",YEAR($C512)&amp;"-Q"&amp;ROUNDUP(MONTH($C512)/3,0))</f>
        <v/>
      </c>
      <c r="L512">
        <f>IF($G512&lt;&gt;"ALCOHOL","",IF($K512="","",$H512*IFERROR(VLOOKUP($K512,Drink_Templates!$A:$G,7,FALSE),0)))</f>
        <v/>
      </c>
    </row>
    <row r="513" ht="15" customHeight="1">
      <c r="C513">
        <f>IF($B513="","",INT($B513))</f>
        <v/>
      </c>
      <c r="D513">
        <f>IF($C513="","",$C513-WEEKDAY($C513,2)+1)</f>
        <v/>
      </c>
      <c r="E513">
        <f>IF($C513="","",DATE(YEAR($C513),MONTH($C513),1))</f>
        <v/>
      </c>
      <c r="F513">
        <f>IF($C513="","",YEAR($C513)&amp;"-Q"&amp;ROUNDUP(MONTH($C513)/3,0))</f>
        <v/>
      </c>
      <c r="L513">
        <f>IF($G513&lt;&gt;"ALCOHOL","",IF($K513="","",$H513*IFERROR(VLOOKUP($K513,Drink_Templates!$A:$G,7,FALSE),0)))</f>
        <v/>
      </c>
    </row>
    <row r="514" ht="15" customHeight="1">
      <c r="C514">
        <f>IF($B514="","",INT($B514))</f>
        <v/>
      </c>
      <c r="D514">
        <f>IF($C514="","",$C514-WEEKDAY($C514,2)+1)</f>
        <v/>
      </c>
      <c r="E514">
        <f>IF($C514="","",DATE(YEAR($C514),MONTH($C514),1))</f>
        <v/>
      </c>
      <c r="F514">
        <f>IF($C514="","",YEAR($C514)&amp;"-Q"&amp;ROUNDUP(MONTH($C514)/3,0))</f>
        <v/>
      </c>
      <c r="L514">
        <f>IF($G514&lt;&gt;"ALCOHOL","",IF($K514="","",$H514*IFERROR(VLOOKUP($K514,Drink_Templates!$A:$G,7,FALSE),0)))</f>
        <v/>
      </c>
    </row>
    <row r="515" ht="15" customHeight="1">
      <c r="C515">
        <f>IF($B515="","",INT($B515))</f>
        <v/>
      </c>
      <c r="D515">
        <f>IF($C515="","",$C515-WEEKDAY($C515,2)+1)</f>
        <v/>
      </c>
      <c r="E515">
        <f>IF($C515="","",DATE(YEAR($C515),MONTH($C515),1))</f>
        <v/>
      </c>
      <c r="F515">
        <f>IF($C515="","",YEAR($C515)&amp;"-Q"&amp;ROUNDUP(MONTH($C515)/3,0))</f>
        <v/>
      </c>
      <c r="L515">
        <f>IF($G515&lt;&gt;"ALCOHOL","",IF($K515="","",$H515*IFERROR(VLOOKUP($K515,Drink_Templates!$A:$G,7,FALSE),0)))</f>
        <v/>
      </c>
    </row>
    <row r="516" ht="15" customHeight="1">
      <c r="C516">
        <f>IF($B516="","",INT($B516))</f>
        <v/>
      </c>
      <c r="D516">
        <f>IF($C516="","",$C516-WEEKDAY($C516,2)+1)</f>
        <v/>
      </c>
      <c r="E516">
        <f>IF($C516="","",DATE(YEAR($C516),MONTH($C516),1))</f>
        <v/>
      </c>
      <c r="F516">
        <f>IF($C516="","",YEAR($C516)&amp;"-Q"&amp;ROUNDUP(MONTH($C516)/3,0))</f>
        <v/>
      </c>
      <c r="L516">
        <f>IF($G516&lt;&gt;"ALCOHOL","",IF($K516="","",$H516*IFERROR(VLOOKUP($K516,Drink_Templates!$A:$G,7,FALSE),0)))</f>
        <v/>
      </c>
    </row>
    <row r="517" ht="15" customHeight="1">
      <c r="C517">
        <f>IF($B517="","",INT($B517))</f>
        <v/>
      </c>
      <c r="D517">
        <f>IF($C517="","",$C517-WEEKDAY($C517,2)+1)</f>
        <v/>
      </c>
      <c r="E517">
        <f>IF($C517="","",DATE(YEAR($C517),MONTH($C517),1))</f>
        <v/>
      </c>
      <c r="F517">
        <f>IF($C517="","",YEAR($C517)&amp;"-Q"&amp;ROUNDUP(MONTH($C517)/3,0))</f>
        <v/>
      </c>
      <c r="L517">
        <f>IF($G517&lt;&gt;"ALCOHOL","",IF($K517="","",$H517*IFERROR(VLOOKUP($K517,Drink_Templates!$A:$G,7,FALSE),0)))</f>
        <v/>
      </c>
    </row>
    <row r="518" ht="15" customHeight="1">
      <c r="C518">
        <f>IF($B518="","",INT($B518))</f>
        <v/>
      </c>
      <c r="D518">
        <f>IF($C518="","",$C518-WEEKDAY($C518,2)+1)</f>
        <v/>
      </c>
      <c r="E518">
        <f>IF($C518="","",DATE(YEAR($C518),MONTH($C518),1))</f>
        <v/>
      </c>
      <c r="F518">
        <f>IF($C518="","",YEAR($C518)&amp;"-Q"&amp;ROUNDUP(MONTH($C518)/3,0))</f>
        <v/>
      </c>
      <c r="L518">
        <f>IF($G518&lt;&gt;"ALCOHOL","",IF($K518="","",$H518*IFERROR(VLOOKUP($K518,Drink_Templates!$A:$G,7,FALSE),0)))</f>
        <v/>
      </c>
    </row>
    <row r="519" ht="15" customHeight="1">
      <c r="C519">
        <f>IF($B519="","",INT($B519))</f>
        <v/>
      </c>
      <c r="D519">
        <f>IF($C519="","",$C519-WEEKDAY($C519,2)+1)</f>
        <v/>
      </c>
      <c r="E519">
        <f>IF($C519="","",DATE(YEAR($C519),MONTH($C519),1))</f>
        <v/>
      </c>
      <c r="F519">
        <f>IF($C519="","",YEAR($C519)&amp;"-Q"&amp;ROUNDUP(MONTH($C519)/3,0))</f>
        <v/>
      </c>
      <c r="L519">
        <f>IF($G519&lt;&gt;"ALCOHOL","",IF($K519="","",$H519*IFERROR(VLOOKUP($K519,Drink_Templates!$A:$G,7,FALSE),0)))</f>
        <v/>
      </c>
    </row>
    <row r="520" ht="15" customHeight="1">
      <c r="C520">
        <f>IF($B520="","",INT($B520))</f>
        <v/>
      </c>
      <c r="D520">
        <f>IF($C520="","",$C520-WEEKDAY($C520,2)+1)</f>
        <v/>
      </c>
      <c r="E520">
        <f>IF($C520="","",DATE(YEAR($C520),MONTH($C520),1))</f>
        <v/>
      </c>
      <c r="F520">
        <f>IF($C520="","",YEAR($C520)&amp;"-Q"&amp;ROUNDUP(MONTH($C520)/3,0))</f>
        <v/>
      </c>
      <c r="L520">
        <f>IF($G520&lt;&gt;"ALCOHOL","",IF($K520="","",$H520*IFERROR(VLOOKUP($K520,Drink_Templates!$A:$G,7,FALSE),0)))</f>
        <v/>
      </c>
    </row>
    <row r="521" ht="15" customHeight="1">
      <c r="C521">
        <f>IF($B521="","",INT($B521))</f>
        <v/>
      </c>
      <c r="D521">
        <f>IF($C521="","",$C521-WEEKDAY($C521,2)+1)</f>
        <v/>
      </c>
      <c r="E521">
        <f>IF($C521="","",DATE(YEAR($C521),MONTH($C521),1))</f>
        <v/>
      </c>
      <c r="F521">
        <f>IF($C521="","",YEAR($C521)&amp;"-Q"&amp;ROUNDUP(MONTH($C521)/3,0))</f>
        <v/>
      </c>
      <c r="L521">
        <f>IF($G521&lt;&gt;"ALCOHOL","",IF($K521="","",$H521*IFERROR(VLOOKUP($K521,Drink_Templates!$A:$G,7,FALSE),0)))</f>
        <v/>
      </c>
    </row>
    <row r="522" ht="15" customHeight="1">
      <c r="C522">
        <f>IF($B522="","",INT($B522))</f>
        <v/>
      </c>
      <c r="D522">
        <f>IF($C522="","",$C522-WEEKDAY($C522,2)+1)</f>
        <v/>
      </c>
      <c r="E522">
        <f>IF($C522="","",DATE(YEAR($C522),MONTH($C522),1))</f>
        <v/>
      </c>
      <c r="F522">
        <f>IF($C522="","",YEAR($C522)&amp;"-Q"&amp;ROUNDUP(MONTH($C522)/3,0))</f>
        <v/>
      </c>
      <c r="L522">
        <f>IF($G522&lt;&gt;"ALCOHOL","",IF($K522="","",$H522*IFERROR(VLOOKUP($K522,Drink_Templates!$A:$G,7,FALSE),0)))</f>
        <v/>
      </c>
    </row>
    <row r="523" ht="15" customHeight="1">
      <c r="C523">
        <f>IF($B523="","",INT($B523))</f>
        <v/>
      </c>
      <c r="D523">
        <f>IF($C523="","",$C523-WEEKDAY($C523,2)+1)</f>
        <v/>
      </c>
      <c r="E523">
        <f>IF($C523="","",DATE(YEAR($C523),MONTH($C523),1))</f>
        <v/>
      </c>
      <c r="F523">
        <f>IF($C523="","",YEAR($C523)&amp;"-Q"&amp;ROUNDUP(MONTH($C523)/3,0))</f>
        <v/>
      </c>
      <c r="L523">
        <f>IF($G523&lt;&gt;"ALCOHOL","",IF($K523="","",$H523*IFERROR(VLOOKUP($K523,Drink_Templates!$A:$G,7,FALSE),0)))</f>
        <v/>
      </c>
    </row>
    <row r="524" ht="15" customHeight="1">
      <c r="C524">
        <f>IF($B524="","",INT($B524))</f>
        <v/>
      </c>
      <c r="D524">
        <f>IF($C524="","",$C524-WEEKDAY($C524,2)+1)</f>
        <v/>
      </c>
      <c r="E524">
        <f>IF($C524="","",DATE(YEAR($C524),MONTH($C524),1))</f>
        <v/>
      </c>
      <c r="F524">
        <f>IF($C524="","",YEAR($C524)&amp;"-Q"&amp;ROUNDUP(MONTH($C524)/3,0))</f>
        <v/>
      </c>
      <c r="L524">
        <f>IF($G524&lt;&gt;"ALCOHOL","",IF($K524="","",$H524*IFERROR(VLOOKUP($K524,Drink_Templates!$A:$G,7,FALSE),0)))</f>
        <v/>
      </c>
    </row>
    <row r="525" ht="15" customHeight="1">
      <c r="C525">
        <f>IF($B525="","",INT($B525))</f>
        <v/>
      </c>
      <c r="D525">
        <f>IF($C525="","",$C525-WEEKDAY($C525,2)+1)</f>
        <v/>
      </c>
      <c r="E525">
        <f>IF($C525="","",DATE(YEAR($C525),MONTH($C525),1))</f>
        <v/>
      </c>
      <c r="F525">
        <f>IF($C525="","",YEAR($C525)&amp;"-Q"&amp;ROUNDUP(MONTH($C525)/3,0))</f>
        <v/>
      </c>
      <c r="L525">
        <f>IF($G525&lt;&gt;"ALCOHOL","",IF($K525="","",$H525*IFERROR(VLOOKUP($K525,Drink_Templates!$A:$G,7,FALSE),0)))</f>
        <v/>
      </c>
    </row>
    <row r="526" ht="15" customHeight="1">
      <c r="C526">
        <f>IF($B526="","",INT($B526))</f>
        <v/>
      </c>
      <c r="D526">
        <f>IF($C526="","",$C526-WEEKDAY($C526,2)+1)</f>
        <v/>
      </c>
      <c r="E526">
        <f>IF($C526="","",DATE(YEAR($C526),MONTH($C526),1))</f>
        <v/>
      </c>
      <c r="F526">
        <f>IF($C526="","",YEAR($C526)&amp;"-Q"&amp;ROUNDUP(MONTH($C526)/3,0))</f>
        <v/>
      </c>
      <c r="L526">
        <f>IF($G526&lt;&gt;"ALCOHOL","",IF($K526="","",$H526*IFERROR(VLOOKUP($K526,Drink_Templates!$A:$G,7,FALSE),0)))</f>
        <v/>
      </c>
    </row>
    <row r="527" ht="15" customHeight="1">
      <c r="C527">
        <f>IF($B527="","",INT($B527))</f>
        <v/>
      </c>
      <c r="D527">
        <f>IF($C527="","",$C527-WEEKDAY($C527,2)+1)</f>
        <v/>
      </c>
      <c r="E527">
        <f>IF($C527="","",DATE(YEAR($C527),MONTH($C527),1))</f>
        <v/>
      </c>
      <c r="F527">
        <f>IF($C527="","",YEAR($C527)&amp;"-Q"&amp;ROUNDUP(MONTH($C527)/3,0))</f>
        <v/>
      </c>
      <c r="L527">
        <f>IF($G527&lt;&gt;"ALCOHOL","",IF($K527="","",$H527*IFERROR(VLOOKUP($K527,Drink_Templates!$A:$G,7,FALSE),0)))</f>
        <v/>
      </c>
    </row>
    <row r="528" ht="15" customHeight="1">
      <c r="C528">
        <f>IF($B528="","",INT($B528))</f>
        <v/>
      </c>
      <c r="D528">
        <f>IF($C528="","",$C528-WEEKDAY($C528,2)+1)</f>
        <v/>
      </c>
      <c r="E528">
        <f>IF($C528="","",DATE(YEAR($C528),MONTH($C528),1))</f>
        <v/>
      </c>
      <c r="F528">
        <f>IF($C528="","",YEAR($C528)&amp;"-Q"&amp;ROUNDUP(MONTH($C528)/3,0))</f>
        <v/>
      </c>
      <c r="L528">
        <f>IF($G528&lt;&gt;"ALCOHOL","",IF($K528="","",$H528*IFERROR(VLOOKUP($K528,Drink_Templates!$A:$G,7,FALSE),0)))</f>
        <v/>
      </c>
    </row>
    <row r="529" ht="15" customHeight="1">
      <c r="C529">
        <f>IF($B529="","",INT($B529))</f>
        <v/>
      </c>
      <c r="D529">
        <f>IF($C529="","",$C529-WEEKDAY($C529,2)+1)</f>
        <v/>
      </c>
      <c r="E529">
        <f>IF($C529="","",DATE(YEAR($C529),MONTH($C529),1))</f>
        <v/>
      </c>
      <c r="F529">
        <f>IF($C529="","",YEAR($C529)&amp;"-Q"&amp;ROUNDUP(MONTH($C529)/3,0))</f>
        <v/>
      </c>
      <c r="L529">
        <f>IF($G529&lt;&gt;"ALCOHOL","",IF($K529="","",$H529*IFERROR(VLOOKUP($K529,Drink_Templates!$A:$G,7,FALSE),0)))</f>
        <v/>
      </c>
    </row>
    <row r="530" ht="15" customHeight="1">
      <c r="C530">
        <f>IF($B530="","",INT($B530))</f>
        <v/>
      </c>
      <c r="D530">
        <f>IF($C530="","",$C530-WEEKDAY($C530,2)+1)</f>
        <v/>
      </c>
      <c r="E530">
        <f>IF($C530="","",DATE(YEAR($C530),MONTH($C530),1))</f>
        <v/>
      </c>
      <c r="F530">
        <f>IF($C530="","",YEAR($C530)&amp;"-Q"&amp;ROUNDUP(MONTH($C530)/3,0))</f>
        <v/>
      </c>
      <c r="L530">
        <f>IF($G530&lt;&gt;"ALCOHOL","",IF($K530="","",$H530*IFERROR(VLOOKUP($K530,Drink_Templates!$A:$G,7,FALSE),0)))</f>
        <v/>
      </c>
    </row>
    <row r="531" ht="15" customHeight="1">
      <c r="C531">
        <f>IF($B531="","",INT($B531))</f>
        <v/>
      </c>
      <c r="D531">
        <f>IF($C531="","",$C531-WEEKDAY($C531,2)+1)</f>
        <v/>
      </c>
      <c r="E531">
        <f>IF($C531="","",DATE(YEAR($C531),MONTH($C531),1))</f>
        <v/>
      </c>
      <c r="F531">
        <f>IF($C531="","",YEAR($C531)&amp;"-Q"&amp;ROUNDUP(MONTH($C531)/3,0))</f>
        <v/>
      </c>
      <c r="L531">
        <f>IF($G531&lt;&gt;"ALCOHOL","",IF($K531="","",$H531*IFERROR(VLOOKUP($K531,Drink_Templates!$A:$G,7,FALSE),0)))</f>
        <v/>
      </c>
    </row>
    <row r="532" ht="15" customHeight="1">
      <c r="C532">
        <f>IF($B532="","",INT($B532))</f>
        <v/>
      </c>
      <c r="D532">
        <f>IF($C532="","",$C532-WEEKDAY($C532,2)+1)</f>
        <v/>
      </c>
      <c r="E532">
        <f>IF($C532="","",DATE(YEAR($C532),MONTH($C532),1))</f>
        <v/>
      </c>
      <c r="F532">
        <f>IF($C532="","",YEAR($C532)&amp;"-Q"&amp;ROUNDUP(MONTH($C532)/3,0))</f>
        <v/>
      </c>
      <c r="L532">
        <f>IF($G532&lt;&gt;"ALCOHOL","",IF($K532="","",$H532*IFERROR(VLOOKUP($K532,Drink_Templates!$A:$G,7,FALSE),0)))</f>
        <v/>
      </c>
    </row>
    <row r="533" ht="15" customHeight="1">
      <c r="C533">
        <f>IF($B533="","",INT($B533))</f>
        <v/>
      </c>
      <c r="D533">
        <f>IF($C533="","",$C533-WEEKDAY($C533,2)+1)</f>
        <v/>
      </c>
      <c r="E533">
        <f>IF($C533="","",DATE(YEAR($C533),MONTH($C533),1))</f>
        <v/>
      </c>
      <c r="F533">
        <f>IF($C533="","",YEAR($C533)&amp;"-Q"&amp;ROUNDUP(MONTH($C533)/3,0))</f>
        <v/>
      </c>
      <c r="L533">
        <f>IF($G533&lt;&gt;"ALCOHOL","",IF($K533="","",$H533*IFERROR(VLOOKUP($K533,Drink_Templates!$A:$G,7,FALSE),0)))</f>
        <v/>
      </c>
    </row>
    <row r="534" ht="15" customHeight="1">
      <c r="C534">
        <f>IF($B534="","",INT($B534))</f>
        <v/>
      </c>
      <c r="D534">
        <f>IF($C534="","",$C534-WEEKDAY($C534,2)+1)</f>
        <v/>
      </c>
      <c r="E534">
        <f>IF($C534="","",DATE(YEAR($C534),MONTH($C534),1))</f>
        <v/>
      </c>
      <c r="F534">
        <f>IF($C534="","",YEAR($C534)&amp;"-Q"&amp;ROUNDUP(MONTH($C534)/3,0))</f>
        <v/>
      </c>
      <c r="L534">
        <f>IF($G534&lt;&gt;"ALCOHOL","",IF($K534="","",$H534*IFERROR(VLOOKUP($K534,Drink_Templates!$A:$G,7,FALSE),0)))</f>
        <v/>
      </c>
    </row>
    <row r="535" ht="15" customHeight="1">
      <c r="C535">
        <f>IF($B535="","",INT($B535))</f>
        <v/>
      </c>
      <c r="D535">
        <f>IF($C535="","",$C535-WEEKDAY($C535,2)+1)</f>
        <v/>
      </c>
      <c r="E535">
        <f>IF($C535="","",DATE(YEAR($C535),MONTH($C535),1))</f>
        <v/>
      </c>
      <c r="F535">
        <f>IF($C535="","",YEAR($C535)&amp;"-Q"&amp;ROUNDUP(MONTH($C535)/3,0))</f>
        <v/>
      </c>
      <c r="L535">
        <f>IF($G535&lt;&gt;"ALCOHOL","",IF($K535="","",$H535*IFERROR(VLOOKUP($K535,Drink_Templates!$A:$G,7,FALSE),0)))</f>
        <v/>
      </c>
    </row>
    <row r="536" ht="15" customHeight="1">
      <c r="C536">
        <f>IF($B536="","",INT($B536))</f>
        <v/>
      </c>
      <c r="D536">
        <f>IF($C536="","",$C536-WEEKDAY($C536,2)+1)</f>
        <v/>
      </c>
      <c r="E536">
        <f>IF($C536="","",DATE(YEAR($C536),MONTH($C536),1))</f>
        <v/>
      </c>
      <c r="F536">
        <f>IF($C536="","",YEAR($C536)&amp;"-Q"&amp;ROUNDUP(MONTH($C536)/3,0))</f>
        <v/>
      </c>
      <c r="L536">
        <f>IF($G536&lt;&gt;"ALCOHOL","",IF($K536="","",$H536*IFERROR(VLOOKUP($K536,Drink_Templates!$A:$G,7,FALSE),0)))</f>
        <v/>
      </c>
    </row>
    <row r="537" ht="15" customHeight="1">
      <c r="C537">
        <f>IF($B537="","",INT($B537))</f>
        <v/>
      </c>
      <c r="D537">
        <f>IF($C537="","",$C537-WEEKDAY($C537,2)+1)</f>
        <v/>
      </c>
      <c r="E537">
        <f>IF($C537="","",DATE(YEAR($C537),MONTH($C537),1))</f>
        <v/>
      </c>
      <c r="F537">
        <f>IF($C537="","",YEAR($C537)&amp;"-Q"&amp;ROUNDUP(MONTH($C537)/3,0))</f>
        <v/>
      </c>
      <c r="L537">
        <f>IF($G537&lt;&gt;"ALCOHOL","",IF($K537="","",$H537*IFERROR(VLOOKUP($K537,Drink_Templates!$A:$G,7,FALSE),0)))</f>
        <v/>
      </c>
    </row>
    <row r="538" ht="15" customHeight="1">
      <c r="C538">
        <f>IF($B538="","",INT($B538))</f>
        <v/>
      </c>
      <c r="D538">
        <f>IF($C538="","",$C538-WEEKDAY($C538,2)+1)</f>
        <v/>
      </c>
      <c r="E538">
        <f>IF($C538="","",DATE(YEAR($C538),MONTH($C538),1))</f>
        <v/>
      </c>
      <c r="F538">
        <f>IF($C538="","",YEAR($C538)&amp;"-Q"&amp;ROUNDUP(MONTH($C538)/3,0))</f>
        <v/>
      </c>
      <c r="L538">
        <f>IF($G538&lt;&gt;"ALCOHOL","",IF($K538="","",$H538*IFERROR(VLOOKUP($K538,Drink_Templates!$A:$G,7,FALSE),0)))</f>
        <v/>
      </c>
    </row>
    <row r="539" ht="15" customHeight="1">
      <c r="C539">
        <f>IF($B539="","",INT($B539))</f>
        <v/>
      </c>
      <c r="D539">
        <f>IF($C539="","",$C539-WEEKDAY($C539,2)+1)</f>
        <v/>
      </c>
      <c r="E539">
        <f>IF($C539="","",DATE(YEAR($C539),MONTH($C539),1))</f>
        <v/>
      </c>
      <c r="F539">
        <f>IF($C539="","",YEAR($C539)&amp;"-Q"&amp;ROUNDUP(MONTH($C539)/3,0))</f>
        <v/>
      </c>
      <c r="L539">
        <f>IF($G539&lt;&gt;"ALCOHOL","",IF($K539="","",$H539*IFERROR(VLOOKUP($K539,Drink_Templates!$A:$G,7,FALSE),0)))</f>
        <v/>
      </c>
    </row>
    <row r="540" ht="15" customHeight="1">
      <c r="C540">
        <f>IF($B540="","",INT($B540))</f>
        <v/>
      </c>
      <c r="D540">
        <f>IF($C540="","",$C540-WEEKDAY($C540,2)+1)</f>
        <v/>
      </c>
      <c r="E540">
        <f>IF($C540="","",DATE(YEAR($C540),MONTH($C540),1))</f>
        <v/>
      </c>
      <c r="F540">
        <f>IF($C540="","",YEAR($C540)&amp;"-Q"&amp;ROUNDUP(MONTH($C540)/3,0))</f>
        <v/>
      </c>
      <c r="L540">
        <f>IF($G540&lt;&gt;"ALCOHOL","",IF($K540="","",$H540*IFERROR(VLOOKUP($K540,Drink_Templates!$A:$G,7,FALSE),0)))</f>
        <v/>
      </c>
    </row>
    <row r="541" ht="15" customHeight="1">
      <c r="C541">
        <f>IF($B541="","",INT($B541))</f>
        <v/>
      </c>
      <c r="D541">
        <f>IF($C541="","",$C541-WEEKDAY($C541,2)+1)</f>
        <v/>
      </c>
      <c r="E541">
        <f>IF($C541="","",DATE(YEAR($C541),MONTH($C541),1))</f>
        <v/>
      </c>
      <c r="F541">
        <f>IF($C541="","",YEAR($C541)&amp;"-Q"&amp;ROUNDUP(MONTH($C541)/3,0))</f>
        <v/>
      </c>
      <c r="L541">
        <f>IF($G541&lt;&gt;"ALCOHOL","",IF($K541="","",$H541*IFERROR(VLOOKUP($K541,Drink_Templates!$A:$G,7,FALSE),0)))</f>
        <v/>
      </c>
    </row>
    <row r="542" ht="15" customHeight="1">
      <c r="C542">
        <f>IF($B542="","",INT($B542))</f>
        <v/>
      </c>
      <c r="D542">
        <f>IF($C542="","",$C542-WEEKDAY($C542,2)+1)</f>
        <v/>
      </c>
      <c r="E542">
        <f>IF($C542="","",DATE(YEAR($C542),MONTH($C542),1))</f>
        <v/>
      </c>
      <c r="F542">
        <f>IF($C542="","",YEAR($C542)&amp;"-Q"&amp;ROUNDUP(MONTH($C542)/3,0))</f>
        <v/>
      </c>
      <c r="L542">
        <f>IF($G542&lt;&gt;"ALCOHOL","",IF($K542="","",$H542*IFERROR(VLOOKUP($K542,Drink_Templates!$A:$G,7,FALSE),0)))</f>
        <v/>
      </c>
    </row>
    <row r="543" ht="15" customHeight="1">
      <c r="C543">
        <f>IF($B543="","",INT($B543))</f>
        <v/>
      </c>
      <c r="D543">
        <f>IF($C543="","",$C543-WEEKDAY($C543,2)+1)</f>
        <v/>
      </c>
      <c r="E543">
        <f>IF($C543="","",DATE(YEAR($C543),MONTH($C543),1))</f>
        <v/>
      </c>
      <c r="F543">
        <f>IF($C543="","",YEAR($C543)&amp;"-Q"&amp;ROUNDUP(MONTH($C543)/3,0))</f>
        <v/>
      </c>
      <c r="L543">
        <f>IF($G543&lt;&gt;"ALCOHOL","",IF($K543="","",$H543*IFERROR(VLOOKUP($K543,Drink_Templates!$A:$G,7,FALSE),0)))</f>
        <v/>
      </c>
    </row>
    <row r="544" ht="15" customHeight="1">
      <c r="C544">
        <f>IF($B544="","",INT($B544))</f>
        <v/>
      </c>
      <c r="D544">
        <f>IF($C544="","",$C544-WEEKDAY($C544,2)+1)</f>
        <v/>
      </c>
      <c r="E544">
        <f>IF($C544="","",DATE(YEAR($C544),MONTH($C544),1))</f>
        <v/>
      </c>
      <c r="F544">
        <f>IF($C544="","",YEAR($C544)&amp;"-Q"&amp;ROUNDUP(MONTH($C544)/3,0))</f>
        <v/>
      </c>
      <c r="L544">
        <f>IF($G544&lt;&gt;"ALCOHOL","",IF($K544="","",$H544*IFERROR(VLOOKUP($K544,Drink_Templates!$A:$G,7,FALSE),0)))</f>
        <v/>
      </c>
    </row>
    <row r="545" ht="15" customHeight="1">
      <c r="C545">
        <f>IF($B545="","",INT($B545))</f>
        <v/>
      </c>
      <c r="D545">
        <f>IF($C545="","",$C545-WEEKDAY($C545,2)+1)</f>
        <v/>
      </c>
      <c r="E545">
        <f>IF($C545="","",DATE(YEAR($C545),MONTH($C545),1))</f>
        <v/>
      </c>
      <c r="F545">
        <f>IF($C545="","",YEAR($C545)&amp;"-Q"&amp;ROUNDUP(MONTH($C545)/3,0))</f>
        <v/>
      </c>
      <c r="L545">
        <f>IF($G545&lt;&gt;"ALCOHOL","",IF($K545="","",$H545*IFERROR(VLOOKUP($K545,Drink_Templates!$A:$G,7,FALSE),0)))</f>
        <v/>
      </c>
    </row>
    <row r="546" ht="15" customHeight="1">
      <c r="C546">
        <f>IF($B546="","",INT($B546))</f>
        <v/>
      </c>
      <c r="D546">
        <f>IF($C546="","",$C546-WEEKDAY($C546,2)+1)</f>
        <v/>
      </c>
      <c r="E546">
        <f>IF($C546="","",DATE(YEAR($C546),MONTH($C546),1))</f>
        <v/>
      </c>
      <c r="F546">
        <f>IF($C546="","",YEAR($C546)&amp;"-Q"&amp;ROUNDUP(MONTH($C546)/3,0))</f>
        <v/>
      </c>
      <c r="L546">
        <f>IF($G546&lt;&gt;"ALCOHOL","",IF($K546="","",$H546*IFERROR(VLOOKUP($K546,Drink_Templates!$A:$G,7,FALSE),0)))</f>
        <v/>
      </c>
    </row>
    <row r="547" ht="15" customHeight="1">
      <c r="C547">
        <f>IF($B547="","",INT($B547))</f>
        <v/>
      </c>
      <c r="D547">
        <f>IF($C547="","",$C547-WEEKDAY($C547,2)+1)</f>
        <v/>
      </c>
      <c r="E547">
        <f>IF($C547="","",DATE(YEAR($C547),MONTH($C547),1))</f>
        <v/>
      </c>
      <c r="F547">
        <f>IF($C547="","",YEAR($C547)&amp;"-Q"&amp;ROUNDUP(MONTH($C547)/3,0))</f>
        <v/>
      </c>
      <c r="L547">
        <f>IF($G547&lt;&gt;"ALCOHOL","",IF($K547="","",$H547*IFERROR(VLOOKUP($K547,Drink_Templates!$A:$G,7,FALSE),0)))</f>
        <v/>
      </c>
    </row>
    <row r="548" ht="15" customHeight="1">
      <c r="C548">
        <f>IF($B548="","",INT($B548))</f>
        <v/>
      </c>
      <c r="D548">
        <f>IF($C548="","",$C548-WEEKDAY($C548,2)+1)</f>
        <v/>
      </c>
      <c r="E548">
        <f>IF($C548="","",DATE(YEAR($C548),MONTH($C548),1))</f>
        <v/>
      </c>
      <c r="F548">
        <f>IF($C548="","",YEAR($C548)&amp;"-Q"&amp;ROUNDUP(MONTH($C548)/3,0))</f>
        <v/>
      </c>
      <c r="L548">
        <f>IF($G548&lt;&gt;"ALCOHOL","",IF($K548="","",$H548*IFERROR(VLOOKUP($K548,Drink_Templates!$A:$G,7,FALSE),0)))</f>
        <v/>
      </c>
    </row>
    <row r="549" ht="15" customHeight="1">
      <c r="C549">
        <f>IF($B549="","",INT($B549))</f>
        <v/>
      </c>
      <c r="D549">
        <f>IF($C549="","",$C549-WEEKDAY($C549,2)+1)</f>
        <v/>
      </c>
      <c r="E549">
        <f>IF($C549="","",DATE(YEAR($C549),MONTH($C549),1))</f>
        <v/>
      </c>
      <c r="F549">
        <f>IF($C549="","",YEAR($C549)&amp;"-Q"&amp;ROUNDUP(MONTH($C549)/3,0))</f>
        <v/>
      </c>
      <c r="L549">
        <f>IF($G549&lt;&gt;"ALCOHOL","",IF($K549="","",$H549*IFERROR(VLOOKUP($K549,Drink_Templates!$A:$G,7,FALSE),0)))</f>
        <v/>
      </c>
    </row>
    <row r="550" ht="15" customHeight="1">
      <c r="C550">
        <f>IF($B550="","",INT($B550))</f>
        <v/>
      </c>
      <c r="D550">
        <f>IF($C550="","",$C550-WEEKDAY($C550,2)+1)</f>
        <v/>
      </c>
      <c r="E550">
        <f>IF($C550="","",DATE(YEAR($C550),MONTH($C550),1))</f>
        <v/>
      </c>
      <c r="F550">
        <f>IF($C550="","",YEAR($C550)&amp;"-Q"&amp;ROUNDUP(MONTH($C550)/3,0))</f>
        <v/>
      </c>
      <c r="L550">
        <f>IF($G550&lt;&gt;"ALCOHOL","",IF($K550="","",$H550*IFERROR(VLOOKUP($K550,Drink_Templates!$A:$G,7,FALSE),0)))</f>
        <v/>
      </c>
    </row>
    <row r="551" ht="15" customHeight="1">
      <c r="C551">
        <f>IF($B551="","",INT($B551))</f>
        <v/>
      </c>
      <c r="D551">
        <f>IF($C551="","",$C551-WEEKDAY($C551,2)+1)</f>
        <v/>
      </c>
      <c r="E551">
        <f>IF($C551="","",DATE(YEAR($C551),MONTH($C551),1))</f>
        <v/>
      </c>
      <c r="F551">
        <f>IF($C551="","",YEAR($C551)&amp;"-Q"&amp;ROUNDUP(MONTH($C551)/3,0))</f>
        <v/>
      </c>
      <c r="L551">
        <f>IF($G551&lt;&gt;"ALCOHOL","",IF($K551="","",$H551*IFERROR(VLOOKUP($K551,Drink_Templates!$A:$G,7,FALSE),0)))</f>
        <v/>
      </c>
    </row>
    <row r="552" ht="15" customHeight="1">
      <c r="C552">
        <f>IF($B552="","",INT($B552))</f>
        <v/>
      </c>
      <c r="D552">
        <f>IF($C552="","",$C552-WEEKDAY($C552,2)+1)</f>
        <v/>
      </c>
      <c r="E552">
        <f>IF($C552="","",DATE(YEAR($C552),MONTH($C552),1))</f>
        <v/>
      </c>
      <c r="F552">
        <f>IF($C552="","",YEAR($C552)&amp;"-Q"&amp;ROUNDUP(MONTH($C552)/3,0))</f>
        <v/>
      </c>
      <c r="L552">
        <f>IF($G552&lt;&gt;"ALCOHOL","",IF($K552="","",$H552*IFERROR(VLOOKUP($K552,Drink_Templates!$A:$G,7,FALSE),0)))</f>
        <v/>
      </c>
    </row>
    <row r="553" ht="15" customHeight="1">
      <c r="C553">
        <f>IF($B553="","",INT($B553))</f>
        <v/>
      </c>
      <c r="D553">
        <f>IF($C553="","",$C553-WEEKDAY($C553,2)+1)</f>
        <v/>
      </c>
      <c r="E553">
        <f>IF($C553="","",DATE(YEAR($C553),MONTH($C553),1))</f>
        <v/>
      </c>
      <c r="F553">
        <f>IF($C553="","",YEAR($C553)&amp;"-Q"&amp;ROUNDUP(MONTH($C553)/3,0))</f>
        <v/>
      </c>
      <c r="L553">
        <f>IF($G553&lt;&gt;"ALCOHOL","",IF($K553="","",$H553*IFERROR(VLOOKUP($K553,Drink_Templates!$A:$G,7,FALSE),0)))</f>
        <v/>
      </c>
    </row>
    <row r="554" ht="15" customHeight="1">
      <c r="C554">
        <f>IF($B554="","",INT($B554))</f>
        <v/>
      </c>
      <c r="D554">
        <f>IF($C554="","",$C554-WEEKDAY($C554,2)+1)</f>
        <v/>
      </c>
      <c r="E554">
        <f>IF($C554="","",DATE(YEAR($C554),MONTH($C554),1))</f>
        <v/>
      </c>
      <c r="F554">
        <f>IF($C554="","",YEAR($C554)&amp;"-Q"&amp;ROUNDUP(MONTH($C554)/3,0))</f>
        <v/>
      </c>
      <c r="L554">
        <f>IF($G554&lt;&gt;"ALCOHOL","",IF($K554="","",$H554*IFERROR(VLOOKUP($K554,Drink_Templates!$A:$G,7,FALSE),0)))</f>
        <v/>
      </c>
    </row>
    <row r="555" ht="15" customHeight="1">
      <c r="C555">
        <f>IF($B555="","",INT($B555))</f>
        <v/>
      </c>
      <c r="D555">
        <f>IF($C555="","",$C555-WEEKDAY($C555,2)+1)</f>
        <v/>
      </c>
      <c r="E555">
        <f>IF($C555="","",DATE(YEAR($C555),MONTH($C555),1))</f>
        <v/>
      </c>
      <c r="F555">
        <f>IF($C555="","",YEAR($C555)&amp;"-Q"&amp;ROUNDUP(MONTH($C555)/3,0))</f>
        <v/>
      </c>
      <c r="L555">
        <f>IF($G555&lt;&gt;"ALCOHOL","",IF($K555="","",$H555*IFERROR(VLOOKUP($K555,Drink_Templates!$A:$G,7,FALSE),0)))</f>
        <v/>
      </c>
    </row>
    <row r="556" ht="15" customHeight="1">
      <c r="C556">
        <f>IF($B556="","",INT($B556))</f>
        <v/>
      </c>
      <c r="D556">
        <f>IF($C556="","",$C556-WEEKDAY($C556,2)+1)</f>
        <v/>
      </c>
      <c r="E556">
        <f>IF($C556="","",DATE(YEAR($C556),MONTH($C556),1))</f>
        <v/>
      </c>
      <c r="F556">
        <f>IF($C556="","",YEAR($C556)&amp;"-Q"&amp;ROUNDUP(MONTH($C556)/3,0))</f>
        <v/>
      </c>
      <c r="L556">
        <f>IF($G556&lt;&gt;"ALCOHOL","",IF($K556="","",$H556*IFERROR(VLOOKUP($K556,Drink_Templates!$A:$G,7,FALSE),0)))</f>
        <v/>
      </c>
    </row>
    <row r="557" ht="15" customHeight="1">
      <c r="C557">
        <f>IF($B557="","",INT($B557))</f>
        <v/>
      </c>
      <c r="D557">
        <f>IF($C557="","",$C557-WEEKDAY($C557,2)+1)</f>
        <v/>
      </c>
      <c r="E557">
        <f>IF($C557="","",DATE(YEAR($C557),MONTH($C557),1))</f>
        <v/>
      </c>
      <c r="F557">
        <f>IF($C557="","",YEAR($C557)&amp;"-Q"&amp;ROUNDUP(MONTH($C557)/3,0))</f>
        <v/>
      </c>
      <c r="L557">
        <f>IF($G557&lt;&gt;"ALCOHOL","",IF($K557="","",$H557*IFERROR(VLOOKUP($K557,Drink_Templates!$A:$G,7,FALSE),0)))</f>
        <v/>
      </c>
    </row>
    <row r="558" ht="15" customHeight="1">
      <c r="C558">
        <f>IF($B558="","",INT($B558))</f>
        <v/>
      </c>
      <c r="D558">
        <f>IF($C558="","",$C558-WEEKDAY($C558,2)+1)</f>
        <v/>
      </c>
      <c r="E558">
        <f>IF($C558="","",DATE(YEAR($C558),MONTH($C558),1))</f>
        <v/>
      </c>
      <c r="F558">
        <f>IF($C558="","",YEAR($C558)&amp;"-Q"&amp;ROUNDUP(MONTH($C558)/3,0))</f>
        <v/>
      </c>
      <c r="L558">
        <f>IF($G558&lt;&gt;"ALCOHOL","",IF($K558="","",$H558*IFERROR(VLOOKUP($K558,Drink_Templates!$A:$G,7,FALSE),0)))</f>
        <v/>
      </c>
    </row>
    <row r="559" ht="15" customHeight="1">
      <c r="C559">
        <f>IF($B559="","",INT($B559))</f>
        <v/>
      </c>
      <c r="D559">
        <f>IF($C559="","",$C559-WEEKDAY($C559,2)+1)</f>
        <v/>
      </c>
      <c r="E559">
        <f>IF($C559="","",DATE(YEAR($C559),MONTH($C559),1))</f>
        <v/>
      </c>
      <c r="F559">
        <f>IF($C559="","",YEAR($C559)&amp;"-Q"&amp;ROUNDUP(MONTH($C559)/3,0))</f>
        <v/>
      </c>
      <c r="L559">
        <f>IF($G559&lt;&gt;"ALCOHOL","",IF($K559="","",$H559*IFERROR(VLOOKUP($K559,Drink_Templates!$A:$G,7,FALSE),0)))</f>
        <v/>
      </c>
    </row>
    <row r="560" ht="15" customHeight="1">
      <c r="C560">
        <f>IF($B560="","",INT($B560))</f>
        <v/>
      </c>
      <c r="D560">
        <f>IF($C560="","",$C560-WEEKDAY($C560,2)+1)</f>
        <v/>
      </c>
      <c r="E560">
        <f>IF($C560="","",DATE(YEAR($C560),MONTH($C560),1))</f>
        <v/>
      </c>
      <c r="F560">
        <f>IF($C560="","",YEAR($C560)&amp;"-Q"&amp;ROUNDUP(MONTH($C560)/3,0))</f>
        <v/>
      </c>
      <c r="L560">
        <f>IF($G560&lt;&gt;"ALCOHOL","",IF($K560="","",$H560*IFERROR(VLOOKUP($K560,Drink_Templates!$A:$G,7,FALSE),0)))</f>
        <v/>
      </c>
    </row>
    <row r="561" ht="15" customHeight="1">
      <c r="C561">
        <f>IF($B561="","",INT($B561))</f>
        <v/>
      </c>
      <c r="D561">
        <f>IF($C561="","",$C561-WEEKDAY($C561,2)+1)</f>
        <v/>
      </c>
      <c r="E561">
        <f>IF($C561="","",DATE(YEAR($C561),MONTH($C561),1))</f>
        <v/>
      </c>
      <c r="F561">
        <f>IF($C561="","",YEAR($C561)&amp;"-Q"&amp;ROUNDUP(MONTH($C561)/3,0))</f>
        <v/>
      </c>
      <c r="L561">
        <f>IF($G561&lt;&gt;"ALCOHOL","",IF($K561="","",$H561*IFERROR(VLOOKUP($K561,Drink_Templates!$A:$G,7,FALSE),0)))</f>
        <v/>
      </c>
    </row>
    <row r="562" ht="15" customHeight="1">
      <c r="C562">
        <f>IF($B562="","",INT($B562))</f>
        <v/>
      </c>
      <c r="D562">
        <f>IF($C562="","",$C562-WEEKDAY($C562,2)+1)</f>
        <v/>
      </c>
      <c r="E562">
        <f>IF($C562="","",DATE(YEAR($C562),MONTH($C562),1))</f>
        <v/>
      </c>
      <c r="F562">
        <f>IF($C562="","",YEAR($C562)&amp;"-Q"&amp;ROUNDUP(MONTH($C562)/3,0))</f>
        <v/>
      </c>
      <c r="L562">
        <f>IF($G562&lt;&gt;"ALCOHOL","",IF($K562="","",$H562*IFERROR(VLOOKUP($K562,Drink_Templates!$A:$G,7,FALSE),0)))</f>
        <v/>
      </c>
    </row>
    <row r="563" ht="15" customHeight="1">
      <c r="C563">
        <f>IF($B563="","",INT($B563))</f>
        <v/>
      </c>
      <c r="D563">
        <f>IF($C563="","",$C563-WEEKDAY($C563,2)+1)</f>
        <v/>
      </c>
      <c r="E563">
        <f>IF($C563="","",DATE(YEAR($C563),MONTH($C563),1))</f>
        <v/>
      </c>
      <c r="F563">
        <f>IF($C563="","",YEAR($C563)&amp;"-Q"&amp;ROUNDUP(MONTH($C563)/3,0))</f>
        <v/>
      </c>
      <c r="L563">
        <f>IF($G563&lt;&gt;"ALCOHOL","",IF($K563="","",$H563*IFERROR(VLOOKUP($K563,Drink_Templates!$A:$G,7,FALSE),0)))</f>
        <v/>
      </c>
    </row>
    <row r="564" ht="15" customHeight="1">
      <c r="C564">
        <f>IF($B564="","",INT($B564))</f>
        <v/>
      </c>
      <c r="D564">
        <f>IF($C564="","",$C564-WEEKDAY($C564,2)+1)</f>
        <v/>
      </c>
      <c r="E564">
        <f>IF($C564="","",DATE(YEAR($C564),MONTH($C564),1))</f>
        <v/>
      </c>
      <c r="F564">
        <f>IF($C564="","",YEAR($C564)&amp;"-Q"&amp;ROUNDUP(MONTH($C564)/3,0))</f>
        <v/>
      </c>
      <c r="L564">
        <f>IF($G564&lt;&gt;"ALCOHOL","",IF($K564="","",$H564*IFERROR(VLOOKUP($K564,Drink_Templates!$A:$G,7,FALSE),0)))</f>
        <v/>
      </c>
    </row>
    <row r="565" ht="15" customHeight="1">
      <c r="C565">
        <f>IF($B565="","",INT($B565))</f>
        <v/>
      </c>
      <c r="D565">
        <f>IF($C565="","",$C565-WEEKDAY($C565,2)+1)</f>
        <v/>
      </c>
      <c r="E565">
        <f>IF($C565="","",DATE(YEAR($C565),MONTH($C565),1))</f>
        <v/>
      </c>
      <c r="F565">
        <f>IF($C565="","",YEAR($C565)&amp;"-Q"&amp;ROUNDUP(MONTH($C565)/3,0))</f>
        <v/>
      </c>
      <c r="L565">
        <f>IF($G565&lt;&gt;"ALCOHOL","",IF($K565="","",$H565*IFERROR(VLOOKUP($K565,Drink_Templates!$A:$G,7,FALSE),0)))</f>
        <v/>
      </c>
    </row>
    <row r="566" ht="15" customHeight="1">
      <c r="C566">
        <f>IF($B566="","",INT($B566))</f>
        <v/>
      </c>
      <c r="D566">
        <f>IF($C566="","",$C566-WEEKDAY($C566,2)+1)</f>
        <v/>
      </c>
      <c r="E566">
        <f>IF($C566="","",DATE(YEAR($C566),MONTH($C566),1))</f>
        <v/>
      </c>
      <c r="F566">
        <f>IF($C566="","",YEAR($C566)&amp;"-Q"&amp;ROUNDUP(MONTH($C566)/3,0))</f>
        <v/>
      </c>
      <c r="L566">
        <f>IF($G566&lt;&gt;"ALCOHOL","",IF($K566="","",$H566*IFERROR(VLOOKUP($K566,Drink_Templates!$A:$G,7,FALSE),0)))</f>
        <v/>
      </c>
    </row>
    <row r="567" ht="15" customHeight="1">
      <c r="C567">
        <f>IF($B567="","",INT($B567))</f>
        <v/>
      </c>
      <c r="D567">
        <f>IF($C567="","",$C567-WEEKDAY($C567,2)+1)</f>
        <v/>
      </c>
      <c r="E567">
        <f>IF($C567="","",DATE(YEAR($C567),MONTH($C567),1))</f>
        <v/>
      </c>
      <c r="F567">
        <f>IF($C567="","",YEAR($C567)&amp;"-Q"&amp;ROUNDUP(MONTH($C567)/3,0))</f>
        <v/>
      </c>
      <c r="L567">
        <f>IF($G567&lt;&gt;"ALCOHOL","",IF($K567="","",$H567*IFERROR(VLOOKUP($K567,Drink_Templates!$A:$G,7,FALSE),0)))</f>
        <v/>
      </c>
    </row>
    <row r="568" ht="15" customHeight="1">
      <c r="C568">
        <f>IF($B568="","",INT($B568))</f>
        <v/>
      </c>
      <c r="D568">
        <f>IF($C568="","",$C568-WEEKDAY($C568,2)+1)</f>
        <v/>
      </c>
      <c r="E568">
        <f>IF($C568="","",DATE(YEAR($C568),MONTH($C568),1))</f>
        <v/>
      </c>
      <c r="F568">
        <f>IF($C568="","",YEAR($C568)&amp;"-Q"&amp;ROUNDUP(MONTH($C568)/3,0))</f>
        <v/>
      </c>
      <c r="L568">
        <f>IF($G568&lt;&gt;"ALCOHOL","",IF($K568="","",$H568*IFERROR(VLOOKUP($K568,Drink_Templates!$A:$G,7,FALSE),0)))</f>
        <v/>
      </c>
    </row>
    <row r="569" ht="15" customHeight="1">
      <c r="C569">
        <f>IF($B569="","",INT($B569))</f>
        <v/>
      </c>
      <c r="D569">
        <f>IF($C569="","",$C569-WEEKDAY($C569,2)+1)</f>
        <v/>
      </c>
      <c r="E569">
        <f>IF($C569="","",DATE(YEAR($C569),MONTH($C569),1))</f>
        <v/>
      </c>
      <c r="F569">
        <f>IF($C569="","",YEAR($C569)&amp;"-Q"&amp;ROUNDUP(MONTH($C569)/3,0))</f>
        <v/>
      </c>
      <c r="L569">
        <f>IF($G569&lt;&gt;"ALCOHOL","",IF($K569="","",$H569*IFERROR(VLOOKUP($K569,Drink_Templates!$A:$G,7,FALSE),0)))</f>
        <v/>
      </c>
    </row>
    <row r="570" ht="15" customHeight="1">
      <c r="C570">
        <f>IF($B570="","",INT($B570))</f>
        <v/>
      </c>
      <c r="D570">
        <f>IF($C570="","",$C570-WEEKDAY($C570,2)+1)</f>
        <v/>
      </c>
      <c r="E570">
        <f>IF($C570="","",DATE(YEAR($C570),MONTH($C570),1))</f>
        <v/>
      </c>
      <c r="F570">
        <f>IF($C570="","",YEAR($C570)&amp;"-Q"&amp;ROUNDUP(MONTH($C570)/3,0))</f>
        <v/>
      </c>
      <c r="L570">
        <f>IF($G570&lt;&gt;"ALCOHOL","",IF($K570="","",$H570*IFERROR(VLOOKUP($K570,Drink_Templates!$A:$G,7,FALSE),0)))</f>
        <v/>
      </c>
    </row>
    <row r="571" ht="15" customHeight="1">
      <c r="C571">
        <f>IF($B571="","",INT($B571))</f>
        <v/>
      </c>
      <c r="D571">
        <f>IF($C571="","",$C571-WEEKDAY($C571,2)+1)</f>
        <v/>
      </c>
      <c r="E571">
        <f>IF($C571="","",DATE(YEAR($C571),MONTH($C571),1))</f>
        <v/>
      </c>
      <c r="F571">
        <f>IF($C571="","",YEAR($C571)&amp;"-Q"&amp;ROUNDUP(MONTH($C571)/3,0))</f>
        <v/>
      </c>
      <c r="L571">
        <f>IF($G571&lt;&gt;"ALCOHOL","",IF($K571="","",$H571*IFERROR(VLOOKUP($K571,Drink_Templates!$A:$G,7,FALSE),0)))</f>
        <v/>
      </c>
    </row>
    <row r="572" ht="15" customHeight="1">
      <c r="C572">
        <f>IF($B572="","",INT($B572))</f>
        <v/>
      </c>
      <c r="D572">
        <f>IF($C572="","",$C572-WEEKDAY($C572,2)+1)</f>
        <v/>
      </c>
      <c r="E572">
        <f>IF($C572="","",DATE(YEAR($C572),MONTH($C572),1))</f>
        <v/>
      </c>
      <c r="F572">
        <f>IF($C572="","",YEAR($C572)&amp;"-Q"&amp;ROUNDUP(MONTH($C572)/3,0))</f>
        <v/>
      </c>
      <c r="L572">
        <f>IF($G572&lt;&gt;"ALCOHOL","",IF($K572="","",$H572*IFERROR(VLOOKUP($K572,Drink_Templates!$A:$G,7,FALSE),0)))</f>
        <v/>
      </c>
    </row>
    <row r="573" ht="15" customHeight="1">
      <c r="C573">
        <f>IF($B573="","",INT($B573))</f>
        <v/>
      </c>
      <c r="D573">
        <f>IF($C573="","",$C573-WEEKDAY($C573,2)+1)</f>
        <v/>
      </c>
      <c r="E573">
        <f>IF($C573="","",DATE(YEAR($C573),MONTH($C573),1))</f>
        <v/>
      </c>
      <c r="F573">
        <f>IF($C573="","",YEAR($C573)&amp;"-Q"&amp;ROUNDUP(MONTH($C573)/3,0))</f>
        <v/>
      </c>
      <c r="L573">
        <f>IF($G573&lt;&gt;"ALCOHOL","",IF($K573="","",$H573*IFERROR(VLOOKUP($K573,Drink_Templates!$A:$G,7,FALSE),0)))</f>
        <v/>
      </c>
    </row>
    <row r="574" ht="15" customHeight="1">
      <c r="C574">
        <f>IF($B574="","",INT($B574))</f>
        <v/>
      </c>
      <c r="D574">
        <f>IF($C574="","",$C574-WEEKDAY($C574,2)+1)</f>
        <v/>
      </c>
      <c r="E574">
        <f>IF($C574="","",DATE(YEAR($C574),MONTH($C574),1))</f>
        <v/>
      </c>
      <c r="F574">
        <f>IF($C574="","",YEAR($C574)&amp;"-Q"&amp;ROUNDUP(MONTH($C574)/3,0))</f>
        <v/>
      </c>
      <c r="L574">
        <f>IF($G574&lt;&gt;"ALCOHOL","",IF($K574="","",$H574*IFERROR(VLOOKUP($K574,Drink_Templates!$A:$G,7,FALSE),0)))</f>
        <v/>
      </c>
    </row>
    <row r="575" ht="15" customHeight="1">
      <c r="C575">
        <f>IF($B575="","",INT($B575))</f>
        <v/>
      </c>
      <c r="D575">
        <f>IF($C575="","",$C575-WEEKDAY($C575,2)+1)</f>
        <v/>
      </c>
      <c r="E575">
        <f>IF($C575="","",DATE(YEAR($C575),MONTH($C575),1))</f>
        <v/>
      </c>
      <c r="F575">
        <f>IF($C575="","",YEAR($C575)&amp;"-Q"&amp;ROUNDUP(MONTH($C575)/3,0))</f>
        <v/>
      </c>
      <c r="L575">
        <f>IF($G575&lt;&gt;"ALCOHOL","",IF($K575="","",$H575*IFERROR(VLOOKUP($K575,Drink_Templates!$A:$G,7,FALSE),0)))</f>
        <v/>
      </c>
    </row>
    <row r="576" ht="15" customHeight="1">
      <c r="C576">
        <f>IF($B576="","",INT($B576))</f>
        <v/>
      </c>
      <c r="D576">
        <f>IF($C576="","",$C576-WEEKDAY($C576,2)+1)</f>
        <v/>
      </c>
      <c r="E576">
        <f>IF($C576="","",DATE(YEAR($C576),MONTH($C576),1))</f>
        <v/>
      </c>
      <c r="F576">
        <f>IF($C576="","",YEAR($C576)&amp;"-Q"&amp;ROUNDUP(MONTH($C576)/3,0))</f>
        <v/>
      </c>
      <c r="L576">
        <f>IF($G576&lt;&gt;"ALCOHOL","",IF($K576="","",$H576*IFERROR(VLOOKUP($K576,Drink_Templates!$A:$G,7,FALSE),0)))</f>
        <v/>
      </c>
    </row>
    <row r="577" ht="15" customHeight="1">
      <c r="C577">
        <f>IF($B577="","",INT($B577))</f>
        <v/>
      </c>
      <c r="D577">
        <f>IF($C577="","",$C577-WEEKDAY($C577,2)+1)</f>
        <v/>
      </c>
      <c r="E577">
        <f>IF($C577="","",DATE(YEAR($C577),MONTH($C577),1))</f>
        <v/>
      </c>
      <c r="F577">
        <f>IF($C577="","",YEAR($C577)&amp;"-Q"&amp;ROUNDUP(MONTH($C577)/3,0))</f>
        <v/>
      </c>
      <c r="L577">
        <f>IF($G577&lt;&gt;"ALCOHOL","",IF($K577="","",$H577*IFERROR(VLOOKUP($K577,Drink_Templates!$A:$G,7,FALSE),0)))</f>
        <v/>
      </c>
    </row>
    <row r="578" ht="15" customHeight="1">
      <c r="C578">
        <f>IF($B578="","",INT($B578))</f>
        <v/>
      </c>
      <c r="D578">
        <f>IF($C578="","",$C578-WEEKDAY($C578,2)+1)</f>
        <v/>
      </c>
      <c r="E578">
        <f>IF($C578="","",DATE(YEAR($C578),MONTH($C578),1))</f>
        <v/>
      </c>
      <c r="F578">
        <f>IF($C578="","",YEAR($C578)&amp;"-Q"&amp;ROUNDUP(MONTH($C578)/3,0))</f>
        <v/>
      </c>
      <c r="L578">
        <f>IF($G578&lt;&gt;"ALCOHOL","",IF($K578="","",$H578*IFERROR(VLOOKUP($K578,Drink_Templates!$A:$G,7,FALSE),0)))</f>
        <v/>
      </c>
    </row>
    <row r="579" ht="15" customHeight="1">
      <c r="C579">
        <f>IF($B579="","",INT($B579))</f>
        <v/>
      </c>
      <c r="D579">
        <f>IF($C579="","",$C579-WEEKDAY($C579,2)+1)</f>
        <v/>
      </c>
      <c r="E579">
        <f>IF($C579="","",DATE(YEAR($C579),MONTH($C579),1))</f>
        <v/>
      </c>
      <c r="F579">
        <f>IF($C579="","",YEAR($C579)&amp;"-Q"&amp;ROUNDUP(MONTH($C579)/3,0))</f>
        <v/>
      </c>
      <c r="L579">
        <f>IF($G579&lt;&gt;"ALCOHOL","",IF($K579="","",$H579*IFERROR(VLOOKUP($K579,Drink_Templates!$A:$G,7,FALSE),0)))</f>
        <v/>
      </c>
    </row>
    <row r="580" ht="15" customHeight="1">
      <c r="C580">
        <f>IF($B580="","",INT($B580))</f>
        <v/>
      </c>
      <c r="D580">
        <f>IF($C580="","",$C580-WEEKDAY($C580,2)+1)</f>
        <v/>
      </c>
      <c r="E580">
        <f>IF($C580="","",DATE(YEAR($C580),MONTH($C580),1))</f>
        <v/>
      </c>
      <c r="F580">
        <f>IF($C580="","",YEAR($C580)&amp;"-Q"&amp;ROUNDUP(MONTH($C580)/3,0))</f>
        <v/>
      </c>
      <c r="L580">
        <f>IF($G580&lt;&gt;"ALCOHOL","",IF($K580="","",$H580*IFERROR(VLOOKUP($K580,Drink_Templates!$A:$G,7,FALSE),0)))</f>
        <v/>
      </c>
    </row>
    <row r="581" ht="15" customHeight="1">
      <c r="C581">
        <f>IF($B581="","",INT($B581))</f>
        <v/>
      </c>
      <c r="D581">
        <f>IF($C581="","",$C581-WEEKDAY($C581,2)+1)</f>
        <v/>
      </c>
      <c r="E581">
        <f>IF($C581="","",DATE(YEAR($C581),MONTH($C581),1))</f>
        <v/>
      </c>
      <c r="F581">
        <f>IF($C581="","",YEAR($C581)&amp;"-Q"&amp;ROUNDUP(MONTH($C581)/3,0))</f>
        <v/>
      </c>
      <c r="L581">
        <f>IF($G581&lt;&gt;"ALCOHOL","",IF($K581="","",$H581*IFERROR(VLOOKUP($K581,Drink_Templates!$A:$G,7,FALSE),0)))</f>
        <v/>
      </c>
    </row>
    <row r="582" ht="15" customHeight="1">
      <c r="C582">
        <f>IF($B582="","",INT($B582))</f>
        <v/>
      </c>
      <c r="D582">
        <f>IF($C582="","",$C582-WEEKDAY($C582,2)+1)</f>
        <v/>
      </c>
      <c r="E582">
        <f>IF($C582="","",DATE(YEAR($C582),MONTH($C582),1))</f>
        <v/>
      </c>
      <c r="F582">
        <f>IF($C582="","",YEAR($C582)&amp;"-Q"&amp;ROUNDUP(MONTH($C582)/3,0))</f>
        <v/>
      </c>
      <c r="L582">
        <f>IF($G582&lt;&gt;"ALCOHOL","",IF($K582="","",$H582*IFERROR(VLOOKUP($K582,Drink_Templates!$A:$G,7,FALSE),0)))</f>
        <v/>
      </c>
    </row>
    <row r="583" ht="15" customHeight="1">
      <c r="C583">
        <f>IF($B583="","",INT($B583))</f>
        <v/>
      </c>
      <c r="D583">
        <f>IF($C583="","",$C583-WEEKDAY($C583,2)+1)</f>
        <v/>
      </c>
      <c r="E583">
        <f>IF($C583="","",DATE(YEAR($C583),MONTH($C583),1))</f>
        <v/>
      </c>
      <c r="F583">
        <f>IF($C583="","",YEAR($C583)&amp;"-Q"&amp;ROUNDUP(MONTH($C583)/3,0))</f>
        <v/>
      </c>
      <c r="L583">
        <f>IF($G583&lt;&gt;"ALCOHOL","",IF($K583="","",$H583*IFERROR(VLOOKUP($K583,Drink_Templates!$A:$G,7,FALSE),0)))</f>
        <v/>
      </c>
    </row>
    <row r="584" ht="15" customHeight="1">
      <c r="C584">
        <f>IF($B584="","",INT($B584))</f>
        <v/>
      </c>
      <c r="D584">
        <f>IF($C584="","",$C584-WEEKDAY($C584,2)+1)</f>
        <v/>
      </c>
      <c r="E584">
        <f>IF($C584="","",DATE(YEAR($C584),MONTH($C584),1))</f>
        <v/>
      </c>
      <c r="F584">
        <f>IF($C584="","",YEAR($C584)&amp;"-Q"&amp;ROUNDUP(MONTH($C584)/3,0))</f>
        <v/>
      </c>
      <c r="L584">
        <f>IF($G584&lt;&gt;"ALCOHOL","",IF($K584="","",$H584*IFERROR(VLOOKUP($K584,Drink_Templates!$A:$G,7,FALSE),0)))</f>
        <v/>
      </c>
    </row>
    <row r="585" ht="15" customHeight="1">
      <c r="C585">
        <f>IF($B585="","",INT($B585))</f>
        <v/>
      </c>
      <c r="D585">
        <f>IF($C585="","",$C585-WEEKDAY($C585,2)+1)</f>
        <v/>
      </c>
      <c r="E585">
        <f>IF($C585="","",DATE(YEAR($C585),MONTH($C585),1))</f>
        <v/>
      </c>
      <c r="F585">
        <f>IF($C585="","",YEAR($C585)&amp;"-Q"&amp;ROUNDUP(MONTH($C585)/3,0))</f>
        <v/>
      </c>
      <c r="L585">
        <f>IF($G585&lt;&gt;"ALCOHOL","",IF($K585="","",$H585*IFERROR(VLOOKUP($K585,Drink_Templates!$A:$G,7,FALSE),0)))</f>
        <v/>
      </c>
    </row>
    <row r="586" ht="15" customHeight="1">
      <c r="C586">
        <f>IF($B586="","",INT($B586))</f>
        <v/>
      </c>
      <c r="D586">
        <f>IF($C586="","",$C586-WEEKDAY($C586,2)+1)</f>
        <v/>
      </c>
      <c r="E586">
        <f>IF($C586="","",DATE(YEAR($C586),MONTH($C586),1))</f>
        <v/>
      </c>
      <c r="F586">
        <f>IF($C586="","",YEAR($C586)&amp;"-Q"&amp;ROUNDUP(MONTH($C586)/3,0))</f>
        <v/>
      </c>
      <c r="L586">
        <f>IF($G586&lt;&gt;"ALCOHOL","",IF($K586="","",$H586*IFERROR(VLOOKUP($K586,Drink_Templates!$A:$G,7,FALSE),0)))</f>
        <v/>
      </c>
    </row>
    <row r="587" ht="15" customHeight="1">
      <c r="C587">
        <f>IF($B587="","",INT($B587))</f>
        <v/>
      </c>
      <c r="D587">
        <f>IF($C587="","",$C587-WEEKDAY($C587,2)+1)</f>
        <v/>
      </c>
      <c r="E587">
        <f>IF($C587="","",DATE(YEAR($C587),MONTH($C587),1))</f>
        <v/>
      </c>
      <c r="F587">
        <f>IF($C587="","",YEAR($C587)&amp;"-Q"&amp;ROUNDUP(MONTH($C587)/3,0))</f>
        <v/>
      </c>
      <c r="L587">
        <f>IF($G587&lt;&gt;"ALCOHOL","",IF($K587="","",$H587*IFERROR(VLOOKUP($K587,Drink_Templates!$A:$G,7,FALSE),0)))</f>
        <v/>
      </c>
    </row>
    <row r="588" ht="15" customHeight="1">
      <c r="C588">
        <f>IF($B588="","",INT($B588))</f>
        <v/>
      </c>
      <c r="D588">
        <f>IF($C588="","",$C588-WEEKDAY($C588,2)+1)</f>
        <v/>
      </c>
      <c r="E588">
        <f>IF($C588="","",DATE(YEAR($C588),MONTH($C588),1))</f>
        <v/>
      </c>
      <c r="F588">
        <f>IF($C588="","",YEAR($C588)&amp;"-Q"&amp;ROUNDUP(MONTH($C588)/3,0))</f>
        <v/>
      </c>
      <c r="L588">
        <f>IF($G588&lt;&gt;"ALCOHOL","",IF($K588="","",$H588*IFERROR(VLOOKUP($K588,Drink_Templates!$A:$G,7,FALSE),0)))</f>
        <v/>
      </c>
    </row>
    <row r="589" ht="15" customHeight="1">
      <c r="C589">
        <f>IF($B589="","",INT($B589))</f>
        <v/>
      </c>
      <c r="D589">
        <f>IF($C589="","",$C589-WEEKDAY($C589,2)+1)</f>
        <v/>
      </c>
      <c r="E589">
        <f>IF($C589="","",DATE(YEAR($C589),MONTH($C589),1))</f>
        <v/>
      </c>
      <c r="F589">
        <f>IF($C589="","",YEAR($C589)&amp;"-Q"&amp;ROUNDUP(MONTH($C589)/3,0))</f>
        <v/>
      </c>
      <c r="L589">
        <f>IF($G589&lt;&gt;"ALCOHOL","",IF($K589="","",$H589*IFERROR(VLOOKUP($K589,Drink_Templates!$A:$G,7,FALSE),0)))</f>
        <v/>
      </c>
    </row>
    <row r="590" ht="15" customHeight="1">
      <c r="C590">
        <f>IF($B590="","",INT($B590))</f>
        <v/>
      </c>
      <c r="D590">
        <f>IF($C590="","",$C590-WEEKDAY($C590,2)+1)</f>
        <v/>
      </c>
      <c r="E590">
        <f>IF($C590="","",DATE(YEAR($C590),MONTH($C590),1))</f>
        <v/>
      </c>
      <c r="F590">
        <f>IF($C590="","",YEAR($C590)&amp;"-Q"&amp;ROUNDUP(MONTH($C590)/3,0))</f>
        <v/>
      </c>
      <c r="L590">
        <f>IF($G590&lt;&gt;"ALCOHOL","",IF($K590="","",$H590*IFERROR(VLOOKUP($K590,Drink_Templates!$A:$G,7,FALSE),0)))</f>
        <v/>
      </c>
    </row>
    <row r="591" ht="15" customHeight="1">
      <c r="C591">
        <f>IF($B591="","",INT($B591))</f>
        <v/>
      </c>
      <c r="D591">
        <f>IF($C591="","",$C591-WEEKDAY($C591,2)+1)</f>
        <v/>
      </c>
      <c r="E591">
        <f>IF($C591="","",DATE(YEAR($C591),MONTH($C591),1))</f>
        <v/>
      </c>
      <c r="F591">
        <f>IF($C591="","",YEAR($C591)&amp;"-Q"&amp;ROUNDUP(MONTH($C591)/3,0))</f>
        <v/>
      </c>
      <c r="L591">
        <f>IF($G591&lt;&gt;"ALCOHOL","",IF($K591="","",$H591*IFERROR(VLOOKUP($K591,Drink_Templates!$A:$G,7,FALSE),0)))</f>
        <v/>
      </c>
    </row>
    <row r="592" ht="15" customHeight="1">
      <c r="C592">
        <f>IF($B592="","",INT($B592))</f>
        <v/>
      </c>
      <c r="D592">
        <f>IF($C592="","",$C592-WEEKDAY($C592,2)+1)</f>
        <v/>
      </c>
      <c r="E592">
        <f>IF($C592="","",DATE(YEAR($C592),MONTH($C592),1))</f>
        <v/>
      </c>
      <c r="F592">
        <f>IF($C592="","",YEAR($C592)&amp;"-Q"&amp;ROUNDUP(MONTH($C592)/3,0))</f>
        <v/>
      </c>
      <c r="L592">
        <f>IF($G592&lt;&gt;"ALCOHOL","",IF($K592="","",$H592*IFERROR(VLOOKUP($K592,Drink_Templates!$A:$G,7,FALSE),0)))</f>
        <v/>
      </c>
    </row>
    <row r="593" ht="15" customHeight="1">
      <c r="C593">
        <f>IF($B593="","",INT($B593))</f>
        <v/>
      </c>
      <c r="D593">
        <f>IF($C593="","",$C593-WEEKDAY($C593,2)+1)</f>
        <v/>
      </c>
      <c r="E593">
        <f>IF($C593="","",DATE(YEAR($C593),MONTH($C593),1))</f>
        <v/>
      </c>
      <c r="F593">
        <f>IF($C593="","",YEAR($C593)&amp;"-Q"&amp;ROUNDUP(MONTH($C593)/3,0))</f>
        <v/>
      </c>
      <c r="L593">
        <f>IF($G593&lt;&gt;"ALCOHOL","",IF($K593="","",$H593*IFERROR(VLOOKUP($K593,Drink_Templates!$A:$G,7,FALSE),0)))</f>
        <v/>
      </c>
    </row>
    <row r="594" ht="15" customHeight="1">
      <c r="C594">
        <f>IF($B594="","",INT($B594))</f>
        <v/>
      </c>
      <c r="D594">
        <f>IF($C594="","",$C594-WEEKDAY($C594,2)+1)</f>
        <v/>
      </c>
      <c r="E594">
        <f>IF($C594="","",DATE(YEAR($C594),MONTH($C594),1))</f>
        <v/>
      </c>
      <c r="F594">
        <f>IF($C594="","",YEAR($C594)&amp;"-Q"&amp;ROUNDUP(MONTH($C594)/3,0))</f>
        <v/>
      </c>
      <c r="L594">
        <f>IF($G594&lt;&gt;"ALCOHOL","",IF($K594="","",$H594*IFERROR(VLOOKUP($K594,Drink_Templates!$A:$G,7,FALSE),0)))</f>
        <v/>
      </c>
    </row>
    <row r="595" ht="15" customHeight="1">
      <c r="C595">
        <f>IF($B595="","",INT($B595))</f>
        <v/>
      </c>
      <c r="D595">
        <f>IF($C595="","",$C595-WEEKDAY($C595,2)+1)</f>
        <v/>
      </c>
      <c r="E595">
        <f>IF($C595="","",DATE(YEAR($C595),MONTH($C595),1))</f>
        <v/>
      </c>
      <c r="F595">
        <f>IF($C595="","",YEAR($C595)&amp;"-Q"&amp;ROUNDUP(MONTH($C595)/3,0))</f>
        <v/>
      </c>
      <c r="L595">
        <f>IF($G595&lt;&gt;"ALCOHOL","",IF($K595="","",$H595*IFERROR(VLOOKUP($K595,Drink_Templates!$A:$G,7,FALSE),0)))</f>
        <v/>
      </c>
    </row>
    <row r="596" ht="15" customHeight="1">
      <c r="C596">
        <f>IF($B596="","",INT($B596))</f>
        <v/>
      </c>
      <c r="D596">
        <f>IF($C596="","",$C596-WEEKDAY($C596,2)+1)</f>
        <v/>
      </c>
      <c r="E596">
        <f>IF($C596="","",DATE(YEAR($C596),MONTH($C596),1))</f>
        <v/>
      </c>
      <c r="F596">
        <f>IF($C596="","",YEAR($C596)&amp;"-Q"&amp;ROUNDUP(MONTH($C596)/3,0))</f>
        <v/>
      </c>
      <c r="L596">
        <f>IF($G596&lt;&gt;"ALCOHOL","",IF($K596="","",$H596*IFERROR(VLOOKUP($K596,Drink_Templates!$A:$G,7,FALSE),0)))</f>
        <v/>
      </c>
    </row>
    <row r="597" ht="15" customHeight="1">
      <c r="C597">
        <f>IF($B597="","",INT($B597))</f>
        <v/>
      </c>
      <c r="D597">
        <f>IF($C597="","",$C597-WEEKDAY($C597,2)+1)</f>
        <v/>
      </c>
      <c r="E597">
        <f>IF($C597="","",DATE(YEAR($C597),MONTH($C597),1))</f>
        <v/>
      </c>
      <c r="F597">
        <f>IF($C597="","",YEAR($C597)&amp;"-Q"&amp;ROUNDUP(MONTH($C597)/3,0))</f>
        <v/>
      </c>
      <c r="L597">
        <f>IF($G597&lt;&gt;"ALCOHOL","",IF($K597="","",$H597*IFERROR(VLOOKUP($K597,Drink_Templates!$A:$G,7,FALSE),0)))</f>
        <v/>
      </c>
    </row>
    <row r="598" ht="15" customHeight="1">
      <c r="C598">
        <f>IF($B598="","",INT($B598))</f>
        <v/>
      </c>
      <c r="D598">
        <f>IF($C598="","",$C598-WEEKDAY($C598,2)+1)</f>
        <v/>
      </c>
      <c r="E598">
        <f>IF($C598="","",DATE(YEAR($C598),MONTH($C598),1))</f>
        <v/>
      </c>
      <c r="F598">
        <f>IF($C598="","",YEAR($C598)&amp;"-Q"&amp;ROUNDUP(MONTH($C598)/3,0))</f>
        <v/>
      </c>
      <c r="L598">
        <f>IF($G598&lt;&gt;"ALCOHOL","",IF($K598="","",$H598*IFERROR(VLOOKUP($K598,Drink_Templates!$A:$G,7,FALSE),0)))</f>
        <v/>
      </c>
    </row>
    <row r="599" ht="15" customHeight="1">
      <c r="C599">
        <f>IF($B599="","",INT($B599))</f>
        <v/>
      </c>
      <c r="D599">
        <f>IF($C599="","",$C599-WEEKDAY($C599,2)+1)</f>
        <v/>
      </c>
      <c r="E599">
        <f>IF($C599="","",DATE(YEAR($C599),MONTH($C599),1))</f>
        <v/>
      </c>
      <c r="F599">
        <f>IF($C599="","",YEAR($C599)&amp;"-Q"&amp;ROUNDUP(MONTH($C599)/3,0))</f>
        <v/>
      </c>
      <c r="L599">
        <f>IF($G599&lt;&gt;"ALCOHOL","",IF($K599="","",$H599*IFERROR(VLOOKUP($K599,Drink_Templates!$A:$G,7,FALSE),0)))</f>
        <v/>
      </c>
    </row>
    <row r="600" ht="15" customHeight="1">
      <c r="C600">
        <f>IF($B600="","",INT($B600))</f>
        <v/>
      </c>
      <c r="D600">
        <f>IF($C600="","",$C600-WEEKDAY($C600,2)+1)</f>
        <v/>
      </c>
      <c r="E600">
        <f>IF($C600="","",DATE(YEAR($C600),MONTH($C600),1))</f>
        <v/>
      </c>
      <c r="F600">
        <f>IF($C600="","",YEAR($C600)&amp;"-Q"&amp;ROUNDUP(MONTH($C600)/3,0))</f>
        <v/>
      </c>
      <c r="L600">
        <f>IF($G600&lt;&gt;"ALCOHOL","",IF($K600="","",$H600*IFERROR(VLOOKUP($K600,Drink_Templates!$A:$G,7,FALSE),0)))</f>
        <v/>
      </c>
    </row>
    <row r="601" ht="15" customHeight="1">
      <c r="C601">
        <f>IF($B601="","",INT($B601))</f>
        <v/>
      </c>
      <c r="D601">
        <f>IF($C601="","",$C601-WEEKDAY($C601,2)+1)</f>
        <v/>
      </c>
      <c r="E601">
        <f>IF($C601="","",DATE(YEAR($C601),MONTH($C601),1))</f>
        <v/>
      </c>
      <c r="F601">
        <f>IF($C601="","",YEAR($C601)&amp;"-Q"&amp;ROUNDUP(MONTH($C601)/3,0))</f>
        <v/>
      </c>
      <c r="L601">
        <f>IF($G601&lt;&gt;"ALCOHOL","",IF($K601="","",$H601*IFERROR(VLOOKUP($K601,Drink_Templates!$A:$G,7,FALSE),0)))</f>
        <v/>
      </c>
    </row>
    <row r="602" ht="15" customHeight="1">
      <c r="C602">
        <f>IF($B602="","",INT($B602))</f>
        <v/>
      </c>
      <c r="D602">
        <f>IF($C602="","",$C602-WEEKDAY($C602,2)+1)</f>
        <v/>
      </c>
      <c r="E602">
        <f>IF($C602="","",DATE(YEAR($C602),MONTH($C602),1))</f>
        <v/>
      </c>
      <c r="F602">
        <f>IF($C602="","",YEAR($C602)&amp;"-Q"&amp;ROUNDUP(MONTH($C602)/3,0))</f>
        <v/>
      </c>
      <c r="L602">
        <f>IF($G602&lt;&gt;"ALCOHOL","",IF($K602="","",$H602*IFERROR(VLOOKUP($K602,Drink_Templates!$A:$G,7,FALSE),0)))</f>
        <v/>
      </c>
    </row>
    <row r="603" ht="15" customHeight="1">
      <c r="C603">
        <f>IF($B603="","",INT($B603))</f>
        <v/>
      </c>
      <c r="D603">
        <f>IF($C603="","",$C603-WEEKDAY($C603,2)+1)</f>
        <v/>
      </c>
      <c r="E603">
        <f>IF($C603="","",DATE(YEAR($C603),MONTH($C603),1))</f>
        <v/>
      </c>
      <c r="F603">
        <f>IF($C603="","",YEAR($C603)&amp;"-Q"&amp;ROUNDUP(MONTH($C603)/3,0))</f>
        <v/>
      </c>
      <c r="L603">
        <f>IF($G603&lt;&gt;"ALCOHOL","",IF($K603="","",$H603*IFERROR(VLOOKUP($K603,Drink_Templates!$A:$G,7,FALSE),0)))</f>
        <v/>
      </c>
    </row>
    <row r="604" ht="15" customHeight="1">
      <c r="C604">
        <f>IF($B604="","",INT($B604))</f>
        <v/>
      </c>
      <c r="D604">
        <f>IF($C604="","",$C604-WEEKDAY($C604,2)+1)</f>
        <v/>
      </c>
      <c r="E604">
        <f>IF($C604="","",DATE(YEAR($C604),MONTH($C604),1))</f>
        <v/>
      </c>
      <c r="F604">
        <f>IF($C604="","",YEAR($C604)&amp;"-Q"&amp;ROUNDUP(MONTH($C604)/3,0))</f>
        <v/>
      </c>
      <c r="L604">
        <f>IF($G604&lt;&gt;"ALCOHOL","",IF($K604="","",$H604*IFERROR(VLOOKUP($K604,Drink_Templates!$A:$G,7,FALSE),0)))</f>
        <v/>
      </c>
    </row>
    <row r="605" ht="15" customHeight="1">
      <c r="C605">
        <f>IF($B605="","",INT($B605))</f>
        <v/>
      </c>
      <c r="D605">
        <f>IF($C605="","",$C605-WEEKDAY($C605,2)+1)</f>
        <v/>
      </c>
      <c r="E605">
        <f>IF($C605="","",DATE(YEAR($C605),MONTH($C605),1))</f>
        <v/>
      </c>
      <c r="F605">
        <f>IF($C605="","",YEAR($C605)&amp;"-Q"&amp;ROUNDUP(MONTH($C605)/3,0))</f>
        <v/>
      </c>
      <c r="L605">
        <f>IF($G605&lt;&gt;"ALCOHOL","",IF($K605="","",$H605*IFERROR(VLOOKUP($K605,Drink_Templates!$A:$G,7,FALSE),0)))</f>
        <v/>
      </c>
    </row>
    <row r="606" ht="15" customHeight="1">
      <c r="C606">
        <f>IF($B606="","",INT($B606))</f>
        <v/>
      </c>
      <c r="D606">
        <f>IF($C606="","",$C606-WEEKDAY($C606,2)+1)</f>
        <v/>
      </c>
      <c r="E606">
        <f>IF($C606="","",DATE(YEAR($C606),MONTH($C606),1))</f>
        <v/>
      </c>
      <c r="F606">
        <f>IF($C606="","",YEAR($C606)&amp;"-Q"&amp;ROUNDUP(MONTH($C606)/3,0))</f>
        <v/>
      </c>
      <c r="L606">
        <f>IF($G606&lt;&gt;"ALCOHOL","",IF($K606="","",$H606*IFERROR(VLOOKUP($K606,Drink_Templates!$A:$G,7,FALSE),0)))</f>
        <v/>
      </c>
    </row>
    <row r="607" ht="15" customHeight="1">
      <c r="C607">
        <f>IF($B607="","",INT($B607))</f>
        <v/>
      </c>
      <c r="D607">
        <f>IF($C607="","",$C607-WEEKDAY($C607,2)+1)</f>
        <v/>
      </c>
      <c r="E607">
        <f>IF($C607="","",DATE(YEAR($C607),MONTH($C607),1))</f>
        <v/>
      </c>
      <c r="F607">
        <f>IF($C607="","",YEAR($C607)&amp;"-Q"&amp;ROUNDUP(MONTH($C607)/3,0))</f>
        <v/>
      </c>
      <c r="L607">
        <f>IF($G607&lt;&gt;"ALCOHOL","",IF($K607="","",$H607*IFERROR(VLOOKUP($K607,Drink_Templates!$A:$G,7,FALSE),0)))</f>
        <v/>
      </c>
    </row>
    <row r="608" ht="15" customHeight="1">
      <c r="C608">
        <f>IF($B608="","",INT($B608))</f>
        <v/>
      </c>
      <c r="D608">
        <f>IF($C608="","",$C608-WEEKDAY($C608,2)+1)</f>
        <v/>
      </c>
      <c r="E608">
        <f>IF($C608="","",DATE(YEAR($C608),MONTH($C608),1))</f>
        <v/>
      </c>
      <c r="F608">
        <f>IF($C608="","",YEAR($C608)&amp;"-Q"&amp;ROUNDUP(MONTH($C608)/3,0))</f>
        <v/>
      </c>
      <c r="L608">
        <f>IF($G608&lt;&gt;"ALCOHOL","",IF($K608="","",$H608*IFERROR(VLOOKUP($K608,Drink_Templates!$A:$G,7,FALSE),0)))</f>
        <v/>
      </c>
    </row>
    <row r="609" ht="15" customHeight="1">
      <c r="C609">
        <f>IF($B609="","",INT($B609))</f>
        <v/>
      </c>
      <c r="D609">
        <f>IF($C609="","",$C609-WEEKDAY($C609,2)+1)</f>
        <v/>
      </c>
      <c r="E609">
        <f>IF($C609="","",DATE(YEAR($C609),MONTH($C609),1))</f>
        <v/>
      </c>
      <c r="F609">
        <f>IF($C609="","",YEAR($C609)&amp;"-Q"&amp;ROUNDUP(MONTH($C609)/3,0))</f>
        <v/>
      </c>
      <c r="L609">
        <f>IF($G609&lt;&gt;"ALCOHOL","",IF($K609="","",$H609*IFERROR(VLOOKUP($K609,Drink_Templates!$A:$G,7,FALSE),0)))</f>
        <v/>
      </c>
    </row>
    <row r="610" ht="15" customHeight="1">
      <c r="C610">
        <f>IF($B610="","",INT($B610))</f>
        <v/>
      </c>
      <c r="D610">
        <f>IF($C610="","",$C610-WEEKDAY($C610,2)+1)</f>
        <v/>
      </c>
      <c r="E610">
        <f>IF($C610="","",DATE(YEAR($C610),MONTH($C610),1))</f>
        <v/>
      </c>
      <c r="F610">
        <f>IF($C610="","",YEAR($C610)&amp;"-Q"&amp;ROUNDUP(MONTH($C610)/3,0))</f>
        <v/>
      </c>
      <c r="L610">
        <f>IF($G610&lt;&gt;"ALCOHOL","",IF($K610="","",$H610*IFERROR(VLOOKUP($K610,Drink_Templates!$A:$G,7,FALSE),0)))</f>
        <v/>
      </c>
    </row>
    <row r="611" ht="15" customHeight="1">
      <c r="C611">
        <f>IF($B611="","",INT($B611))</f>
        <v/>
      </c>
      <c r="D611">
        <f>IF($C611="","",$C611-WEEKDAY($C611,2)+1)</f>
        <v/>
      </c>
      <c r="E611">
        <f>IF($C611="","",DATE(YEAR($C611),MONTH($C611),1))</f>
        <v/>
      </c>
      <c r="F611">
        <f>IF($C611="","",YEAR($C611)&amp;"-Q"&amp;ROUNDUP(MONTH($C611)/3,0))</f>
        <v/>
      </c>
      <c r="L611">
        <f>IF($G611&lt;&gt;"ALCOHOL","",IF($K611="","",$H611*IFERROR(VLOOKUP($K611,Drink_Templates!$A:$G,7,FALSE),0)))</f>
        <v/>
      </c>
    </row>
    <row r="612" ht="15" customHeight="1">
      <c r="C612">
        <f>IF($B612="","",INT($B612))</f>
        <v/>
      </c>
      <c r="D612">
        <f>IF($C612="","",$C612-WEEKDAY($C612,2)+1)</f>
        <v/>
      </c>
      <c r="E612">
        <f>IF($C612="","",DATE(YEAR($C612),MONTH($C612),1))</f>
        <v/>
      </c>
      <c r="F612">
        <f>IF($C612="","",YEAR($C612)&amp;"-Q"&amp;ROUNDUP(MONTH($C612)/3,0))</f>
        <v/>
      </c>
      <c r="L612">
        <f>IF($G612&lt;&gt;"ALCOHOL","",IF($K612="","",$H612*IFERROR(VLOOKUP($K612,Drink_Templates!$A:$G,7,FALSE),0)))</f>
        <v/>
      </c>
    </row>
    <row r="613" ht="15" customHeight="1">
      <c r="C613">
        <f>IF($B613="","",INT($B613))</f>
        <v/>
      </c>
      <c r="D613">
        <f>IF($C613="","",$C613-WEEKDAY($C613,2)+1)</f>
        <v/>
      </c>
      <c r="E613">
        <f>IF($C613="","",DATE(YEAR($C613),MONTH($C613),1))</f>
        <v/>
      </c>
      <c r="F613">
        <f>IF($C613="","",YEAR($C613)&amp;"-Q"&amp;ROUNDUP(MONTH($C613)/3,0))</f>
        <v/>
      </c>
      <c r="L613">
        <f>IF($G613&lt;&gt;"ALCOHOL","",IF($K613="","",$H613*IFERROR(VLOOKUP($K613,Drink_Templates!$A:$G,7,FALSE),0)))</f>
        <v/>
      </c>
    </row>
    <row r="614" ht="15" customHeight="1">
      <c r="C614">
        <f>IF($B614="","",INT($B614))</f>
        <v/>
      </c>
      <c r="D614">
        <f>IF($C614="","",$C614-WEEKDAY($C614,2)+1)</f>
        <v/>
      </c>
      <c r="E614">
        <f>IF($C614="","",DATE(YEAR($C614),MONTH($C614),1))</f>
        <v/>
      </c>
      <c r="F614">
        <f>IF($C614="","",YEAR($C614)&amp;"-Q"&amp;ROUNDUP(MONTH($C614)/3,0))</f>
        <v/>
      </c>
      <c r="L614">
        <f>IF($G614&lt;&gt;"ALCOHOL","",IF($K614="","",$H614*IFERROR(VLOOKUP($K614,Drink_Templates!$A:$G,7,FALSE),0)))</f>
        <v/>
      </c>
    </row>
    <row r="615" ht="15" customHeight="1">
      <c r="C615">
        <f>IF($B615="","",INT($B615))</f>
        <v/>
      </c>
      <c r="D615">
        <f>IF($C615="","",$C615-WEEKDAY($C615,2)+1)</f>
        <v/>
      </c>
      <c r="E615">
        <f>IF($C615="","",DATE(YEAR($C615),MONTH($C615),1))</f>
        <v/>
      </c>
      <c r="F615">
        <f>IF($C615="","",YEAR($C615)&amp;"-Q"&amp;ROUNDUP(MONTH($C615)/3,0))</f>
        <v/>
      </c>
      <c r="L615">
        <f>IF($G615&lt;&gt;"ALCOHOL","",IF($K615="","",$H615*IFERROR(VLOOKUP($K615,Drink_Templates!$A:$G,7,FALSE),0)))</f>
        <v/>
      </c>
    </row>
    <row r="616" ht="15" customHeight="1">
      <c r="C616">
        <f>IF($B616="","",INT($B616))</f>
        <v/>
      </c>
      <c r="D616">
        <f>IF($C616="","",$C616-WEEKDAY($C616,2)+1)</f>
        <v/>
      </c>
      <c r="E616">
        <f>IF($C616="","",DATE(YEAR($C616),MONTH($C616),1))</f>
        <v/>
      </c>
      <c r="F616">
        <f>IF($C616="","",YEAR($C616)&amp;"-Q"&amp;ROUNDUP(MONTH($C616)/3,0))</f>
        <v/>
      </c>
      <c r="L616">
        <f>IF($G616&lt;&gt;"ALCOHOL","",IF($K616="","",$H616*IFERROR(VLOOKUP($K616,Drink_Templates!$A:$G,7,FALSE),0)))</f>
        <v/>
      </c>
    </row>
    <row r="617" ht="15" customHeight="1">
      <c r="C617">
        <f>IF($B617="","",INT($B617))</f>
        <v/>
      </c>
      <c r="D617">
        <f>IF($C617="","",$C617-WEEKDAY($C617,2)+1)</f>
        <v/>
      </c>
      <c r="E617">
        <f>IF($C617="","",DATE(YEAR($C617),MONTH($C617),1))</f>
        <v/>
      </c>
      <c r="F617">
        <f>IF($C617="","",YEAR($C617)&amp;"-Q"&amp;ROUNDUP(MONTH($C617)/3,0))</f>
        <v/>
      </c>
      <c r="L617">
        <f>IF($G617&lt;&gt;"ALCOHOL","",IF($K617="","",$H617*IFERROR(VLOOKUP($K617,Drink_Templates!$A:$G,7,FALSE),0)))</f>
        <v/>
      </c>
    </row>
    <row r="618" ht="15" customHeight="1">
      <c r="C618">
        <f>IF($B618="","",INT($B618))</f>
        <v/>
      </c>
      <c r="D618">
        <f>IF($C618="","",$C618-WEEKDAY($C618,2)+1)</f>
        <v/>
      </c>
      <c r="E618">
        <f>IF($C618="","",DATE(YEAR($C618),MONTH($C618),1))</f>
        <v/>
      </c>
      <c r="F618">
        <f>IF($C618="","",YEAR($C618)&amp;"-Q"&amp;ROUNDUP(MONTH($C618)/3,0))</f>
        <v/>
      </c>
      <c r="L618">
        <f>IF($G618&lt;&gt;"ALCOHOL","",IF($K618="","",$H618*IFERROR(VLOOKUP($K618,Drink_Templates!$A:$G,7,FALSE),0)))</f>
        <v/>
      </c>
    </row>
    <row r="619" ht="15" customHeight="1">
      <c r="C619">
        <f>IF($B619="","",INT($B619))</f>
        <v/>
      </c>
      <c r="D619">
        <f>IF($C619="","",$C619-WEEKDAY($C619,2)+1)</f>
        <v/>
      </c>
      <c r="E619">
        <f>IF($C619="","",DATE(YEAR($C619),MONTH($C619),1))</f>
        <v/>
      </c>
      <c r="F619">
        <f>IF($C619="","",YEAR($C619)&amp;"-Q"&amp;ROUNDUP(MONTH($C619)/3,0))</f>
        <v/>
      </c>
      <c r="L619">
        <f>IF($G619&lt;&gt;"ALCOHOL","",IF($K619="","",$H619*IFERROR(VLOOKUP($K619,Drink_Templates!$A:$G,7,FALSE),0)))</f>
        <v/>
      </c>
    </row>
    <row r="620" ht="15" customHeight="1">
      <c r="C620">
        <f>IF($B620="","",INT($B620))</f>
        <v/>
      </c>
      <c r="D620">
        <f>IF($C620="","",$C620-WEEKDAY($C620,2)+1)</f>
        <v/>
      </c>
      <c r="E620">
        <f>IF($C620="","",DATE(YEAR($C620),MONTH($C620),1))</f>
        <v/>
      </c>
      <c r="F620">
        <f>IF($C620="","",YEAR($C620)&amp;"-Q"&amp;ROUNDUP(MONTH($C620)/3,0))</f>
        <v/>
      </c>
      <c r="L620">
        <f>IF($G620&lt;&gt;"ALCOHOL","",IF($K620="","",$H620*IFERROR(VLOOKUP($K620,Drink_Templates!$A:$G,7,FALSE),0)))</f>
        <v/>
      </c>
    </row>
    <row r="621" ht="15" customHeight="1">
      <c r="C621">
        <f>IF($B621="","",INT($B621))</f>
        <v/>
      </c>
      <c r="D621">
        <f>IF($C621="","",$C621-WEEKDAY($C621,2)+1)</f>
        <v/>
      </c>
      <c r="E621">
        <f>IF($C621="","",DATE(YEAR($C621),MONTH($C621),1))</f>
        <v/>
      </c>
      <c r="F621">
        <f>IF($C621="","",YEAR($C621)&amp;"-Q"&amp;ROUNDUP(MONTH($C621)/3,0))</f>
        <v/>
      </c>
      <c r="L621">
        <f>IF($G621&lt;&gt;"ALCOHOL","",IF($K621="","",$H621*IFERROR(VLOOKUP($K621,Drink_Templates!$A:$G,7,FALSE),0)))</f>
        <v/>
      </c>
    </row>
    <row r="622" ht="15" customHeight="1">
      <c r="C622">
        <f>IF($B622="","",INT($B622))</f>
        <v/>
      </c>
      <c r="D622">
        <f>IF($C622="","",$C622-WEEKDAY($C622,2)+1)</f>
        <v/>
      </c>
      <c r="E622">
        <f>IF($C622="","",DATE(YEAR($C622),MONTH($C622),1))</f>
        <v/>
      </c>
      <c r="F622">
        <f>IF($C622="","",YEAR($C622)&amp;"-Q"&amp;ROUNDUP(MONTH($C622)/3,0))</f>
        <v/>
      </c>
      <c r="L622">
        <f>IF($G622&lt;&gt;"ALCOHOL","",IF($K622="","",$H622*IFERROR(VLOOKUP($K622,Drink_Templates!$A:$G,7,FALSE),0)))</f>
        <v/>
      </c>
    </row>
    <row r="623" ht="15" customHeight="1">
      <c r="C623">
        <f>IF($B623="","",INT($B623))</f>
        <v/>
      </c>
      <c r="D623">
        <f>IF($C623="","",$C623-WEEKDAY($C623,2)+1)</f>
        <v/>
      </c>
      <c r="E623">
        <f>IF($C623="","",DATE(YEAR($C623),MONTH($C623),1))</f>
        <v/>
      </c>
      <c r="F623">
        <f>IF($C623="","",YEAR($C623)&amp;"-Q"&amp;ROUNDUP(MONTH($C623)/3,0))</f>
        <v/>
      </c>
      <c r="L623">
        <f>IF($G623&lt;&gt;"ALCOHOL","",IF($K623="","",$H623*IFERROR(VLOOKUP($K623,Drink_Templates!$A:$G,7,FALSE),0)))</f>
        <v/>
      </c>
    </row>
    <row r="624" ht="15" customHeight="1">
      <c r="C624">
        <f>IF($B624="","",INT($B624))</f>
        <v/>
      </c>
      <c r="D624">
        <f>IF($C624="","",$C624-WEEKDAY($C624,2)+1)</f>
        <v/>
      </c>
      <c r="E624">
        <f>IF($C624="","",DATE(YEAR($C624),MONTH($C624),1))</f>
        <v/>
      </c>
      <c r="F624">
        <f>IF($C624="","",YEAR($C624)&amp;"-Q"&amp;ROUNDUP(MONTH($C624)/3,0))</f>
        <v/>
      </c>
      <c r="L624">
        <f>IF($G624&lt;&gt;"ALCOHOL","",IF($K624="","",$H624*IFERROR(VLOOKUP($K624,Drink_Templates!$A:$G,7,FALSE),0)))</f>
        <v/>
      </c>
    </row>
    <row r="625" ht="15" customHeight="1">
      <c r="C625">
        <f>IF($B625="","",INT($B625))</f>
        <v/>
      </c>
      <c r="D625">
        <f>IF($C625="","",$C625-WEEKDAY($C625,2)+1)</f>
        <v/>
      </c>
      <c r="E625">
        <f>IF($C625="","",DATE(YEAR($C625),MONTH($C625),1))</f>
        <v/>
      </c>
      <c r="F625">
        <f>IF($C625="","",YEAR($C625)&amp;"-Q"&amp;ROUNDUP(MONTH($C625)/3,0))</f>
        <v/>
      </c>
      <c r="L625">
        <f>IF($G625&lt;&gt;"ALCOHOL","",IF($K625="","",$H625*IFERROR(VLOOKUP($K625,Drink_Templates!$A:$G,7,FALSE),0)))</f>
        <v/>
      </c>
    </row>
    <row r="626" ht="15" customHeight="1">
      <c r="C626">
        <f>IF($B626="","",INT($B626))</f>
        <v/>
      </c>
      <c r="D626">
        <f>IF($C626="","",$C626-WEEKDAY($C626,2)+1)</f>
        <v/>
      </c>
      <c r="E626">
        <f>IF($C626="","",DATE(YEAR($C626),MONTH($C626),1))</f>
        <v/>
      </c>
      <c r="F626">
        <f>IF($C626="","",YEAR($C626)&amp;"-Q"&amp;ROUNDUP(MONTH($C626)/3,0))</f>
        <v/>
      </c>
      <c r="L626">
        <f>IF($G626&lt;&gt;"ALCOHOL","",IF($K626="","",$H626*IFERROR(VLOOKUP($K626,Drink_Templates!$A:$G,7,FALSE),0)))</f>
        <v/>
      </c>
    </row>
    <row r="627" ht="15" customHeight="1">
      <c r="C627">
        <f>IF($B627="","",INT($B627))</f>
        <v/>
      </c>
      <c r="D627">
        <f>IF($C627="","",$C627-WEEKDAY($C627,2)+1)</f>
        <v/>
      </c>
      <c r="E627">
        <f>IF($C627="","",DATE(YEAR($C627),MONTH($C627),1))</f>
        <v/>
      </c>
      <c r="F627">
        <f>IF($C627="","",YEAR($C627)&amp;"-Q"&amp;ROUNDUP(MONTH($C627)/3,0))</f>
        <v/>
      </c>
      <c r="L627">
        <f>IF($G627&lt;&gt;"ALCOHOL","",IF($K627="","",$H627*IFERROR(VLOOKUP($K627,Drink_Templates!$A:$G,7,FALSE),0)))</f>
        <v/>
      </c>
    </row>
    <row r="628" ht="15" customHeight="1">
      <c r="C628">
        <f>IF($B628="","",INT($B628))</f>
        <v/>
      </c>
      <c r="D628">
        <f>IF($C628="","",$C628-WEEKDAY($C628,2)+1)</f>
        <v/>
      </c>
      <c r="E628">
        <f>IF($C628="","",DATE(YEAR($C628),MONTH($C628),1))</f>
        <v/>
      </c>
      <c r="F628">
        <f>IF($C628="","",YEAR($C628)&amp;"-Q"&amp;ROUNDUP(MONTH($C628)/3,0))</f>
        <v/>
      </c>
      <c r="L628">
        <f>IF($G628&lt;&gt;"ALCOHOL","",IF($K628="","",$H628*IFERROR(VLOOKUP($K628,Drink_Templates!$A:$G,7,FALSE),0)))</f>
        <v/>
      </c>
    </row>
    <row r="629" ht="15" customHeight="1">
      <c r="C629">
        <f>IF($B629="","",INT($B629))</f>
        <v/>
      </c>
      <c r="D629">
        <f>IF($C629="","",$C629-WEEKDAY($C629,2)+1)</f>
        <v/>
      </c>
      <c r="E629">
        <f>IF($C629="","",DATE(YEAR($C629),MONTH($C629),1))</f>
        <v/>
      </c>
      <c r="F629">
        <f>IF($C629="","",YEAR($C629)&amp;"-Q"&amp;ROUNDUP(MONTH($C629)/3,0))</f>
        <v/>
      </c>
      <c r="L629">
        <f>IF($G629&lt;&gt;"ALCOHOL","",IF($K629="","",$H629*IFERROR(VLOOKUP($K629,Drink_Templates!$A:$G,7,FALSE),0)))</f>
        <v/>
      </c>
    </row>
    <row r="630" ht="15" customHeight="1">
      <c r="C630">
        <f>IF($B630="","",INT($B630))</f>
        <v/>
      </c>
      <c r="D630">
        <f>IF($C630="","",$C630-WEEKDAY($C630,2)+1)</f>
        <v/>
      </c>
      <c r="E630">
        <f>IF($C630="","",DATE(YEAR($C630),MONTH($C630),1))</f>
        <v/>
      </c>
      <c r="F630">
        <f>IF($C630="","",YEAR($C630)&amp;"-Q"&amp;ROUNDUP(MONTH($C630)/3,0))</f>
        <v/>
      </c>
      <c r="L630">
        <f>IF($G630&lt;&gt;"ALCOHOL","",IF($K630="","",$H630*IFERROR(VLOOKUP($K630,Drink_Templates!$A:$G,7,FALSE),0)))</f>
        <v/>
      </c>
    </row>
    <row r="631" ht="15" customHeight="1">
      <c r="C631">
        <f>IF($B631="","",INT($B631))</f>
        <v/>
      </c>
      <c r="D631">
        <f>IF($C631="","",$C631-WEEKDAY($C631,2)+1)</f>
        <v/>
      </c>
      <c r="E631">
        <f>IF($C631="","",DATE(YEAR($C631),MONTH($C631),1))</f>
        <v/>
      </c>
      <c r="F631">
        <f>IF($C631="","",YEAR($C631)&amp;"-Q"&amp;ROUNDUP(MONTH($C631)/3,0))</f>
        <v/>
      </c>
      <c r="L631">
        <f>IF($G631&lt;&gt;"ALCOHOL","",IF($K631="","",$H631*IFERROR(VLOOKUP($K631,Drink_Templates!$A:$G,7,FALSE),0)))</f>
        <v/>
      </c>
    </row>
    <row r="632" ht="15" customHeight="1">
      <c r="C632">
        <f>IF($B632="","",INT($B632))</f>
        <v/>
      </c>
      <c r="D632">
        <f>IF($C632="","",$C632-WEEKDAY($C632,2)+1)</f>
        <v/>
      </c>
      <c r="E632">
        <f>IF($C632="","",DATE(YEAR($C632),MONTH($C632),1))</f>
        <v/>
      </c>
      <c r="F632">
        <f>IF($C632="","",YEAR($C632)&amp;"-Q"&amp;ROUNDUP(MONTH($C632)/3,0))</f>
        <v/>
      </c>
      <c r="L632">
        <f>IF($G632&lt;&gt;"ALCOHOL","",IF($K632="","",$H632*IFERROR(VLOOKUP($K632,Drink_Templates!$A:$G,7,FALSE),0)))</f>
        <v/>
      </c>
    </row>
    <row r="633" ht="15" customHeight="1">
      <c r="C633">
        <f>IF($B633="","",INT($B633))</f>
        <v/>
      </c>
      <c r="D633">
        <f>IF($C633="","",$C633-WEEKDAY($C633,2)+1)</f>
        <v/>
      </c>
      <c r="E633">
        <f>IF($C633="","",DATE(YEAR($C633),MONTH($C633),1))</f>
        <v/>
      </c>
      <c r="F633">
        <f>IF($C633="","",YEAR($C633)&amp;"-Q"&amp;ROUNDUP(MONTH($C633)/3,0))</f>
        <v/>
      </c>
      <c r="L633">
        <f>IF($G633&lt;&gt;"ALCOHOL","",IF($K633="","",$H633*IFERROR(VLOOKUP($K633,Drink_Templates!$A:$G,7,FALSE),0)))</f>
        <v/>
      </c>
    </row>
    <row r="634" ht="15" customHeight="1">
      <c r="C634">
        <f>IF($B634="","",INT($B634))</f>
        <v/>
      </c>
      <c r="D634">
        <f>IF($C634="","",$C634-WEEKDAY($C634,2)+1)</f>
        <v/>
      </c>
      <c r="E634">
        <f>IF($C634="","",DATE(YEAR($C634),MONTH($C634),1))</f>
        <v/>
      </c>
      <c r="F634">
        <f>IF($C634="","",YEAR($C634)&amp;"-Q"&amp;ROUNDUP(MONTH($C634)/3,0))</f>
        <v/>
      </c>
      <c r="L634">
        <f>IF($G634&lt;&gt;"ALCOHOL","",IF($K634="","",$H634*IFERROR(VLOOKUP($K634,Drink_Templates!$A:$G,7,FALSE),0)))</f>
        <v/>
      </c>
    </row>
    <row r="635" ht="15" customHeight="1">
      <c r="C635">
        <f>IF($B635="","",INT($B635))</f>
        <v/>
      </c>
      <c r="D635">
        <f>IF($C635="","",$C635-WEEKDAY($C635,2)+1)</f>
        <v/>
      </c>
      <c r="E635">
        <f>IF($C635="","",DATE(YEAR($C635),MONTH($C635),1))</f>
        <v/>
      </c>
      <c r="F635">
        <f>IF($C635="","",YEAR($C635)&amp;"-Q"&amp;ROUNDUP(MONTH($C635)/3,0))</f>
        <v/>
      </c>
      <c r="L635">
        <f>IF($G635&lt;&gt;"ALCOHOL","",IF($K635="","",$H635*IFERROR(VLOOKUP($K635,Drink_Templates!$A:$G,7,FALSE),0)))</f>
        <v/>
      </c>
    </row>
    <row r="636" ht="15" customHeight="1">
      <c r="C636">
        <f>IF($B636="","",INT($B636))</f>
        <v/>
      </c>
      <c r="D636">
        <f>IF($C636="","",$C636-WEEKDAY($C636,2)+1)</f>
        <v/>
      </c>
      <c r="E636">
        <f>IF($C636="","",DATE(YEAR($C636),MONTH($C636),1))</f>
        <v/>
      </c>
      <c r="F636">
        <f>IF($C636="","",YEAR($C636)&amp;"-Q"&amp;ROUNDUP(MONTH($C636)/3,0))</f>
        <v/>
      </c>
      <c r="L636">
        <f>IF($G636&lt;&gt;"ALCOHOL","",IF($K636="","",$H636*IFERROR(VLOOKUP($K636,Drink_Templates!$A:$G,7,FALSE),0)))</f>
        <v/>
      </c>
    </row>
    <row r="637" ht="15" customHeight="1">
      <c r="C637">
        <f>IF($B637="","",INT($B637))</f>
        <v/>
      </c>
      <c r="D637">
        <f>IF($C637="","",$C637-WEEKDAY($C637,2)+1)</f>
        <v/>
      </c>
      <c r="E637">
        <f>IF($C637="","",DATE(YEAR($C637),MONTH($C637),1))</f>
        <v/>
      </c>
      <c r="F637">
        <f>IF($C637="","",YEAR($C637)&amp;"-Q"&amp;ROUNDUP(MONTH($C637)/3,0))</f>
        <v/>
      </c>
      <c r="L637">
        <f>IF($G637&lt;&gt;"ALCOHOL","",IF($K637="","",$H637*IFERROR(VLOOKUP($K637,Drink_Templates!$A:$G,7,FALSE),0)))</f>
        <v/>
      </c>
    </row>
    <row r="638" ht="15" customHeight="1">
      <c r="C638">
        <f>IF($B638="","",INT($B638))</f>
        <v/>
      </c>
      <c r="D638">
        <f>IF($C638="","",$C638-WEEKDAY($C638,2)+1)</f>
        <v/>
      </c>
      <c r="E638">
        <f>IF($C638="","",DATE(YEAR($C638),MONTH($C638),1))</f>
        <v/>
      </c>
      <c r="F638">
        <f>IF($C638="","",YEAR($C638)&amp;"-Q"&amp;ROUNDUP(MONTH($C638)/3,0))</f>
        <v/>
      </c>
      <c r="L638">
        <f>IF($G638&lt;&gt;"ALCOHOL","",IF($K638="","",$H638*IFERROR(VLOOKUP($K638,Drink_Templates!$A:$G,7,FALSE),0)))</f>
        <v/>
      </c>
    </row>
    <row r="639" ht="15" customHeight="1">
      <c r="C639">
        <f>IF($B639="","",INT($B639))</f>
        <v/>
      </c>
      <c r="D639">
        <f>IF($C639="","",$C639-WEEKDAY($C639,2)+1)</f>
        <v/>
      </c>
      <c r="E639">
        <f>IF($C639="","",DATE(YEAR($C639),MONTH($C639),1))</f>
        <v/>
      </c>
      <c r="F639">
        <f>IF($C639="","",YEAR($C639)&amp;"-Q"&amp;ROUNDUP(MONTH($C639)/3,0))</f>
        <v/>
      </c>
      <c r="L639">
        <f>IF($G639&lt;&gt;"ALCOHOL","",IF($K639="","",$H639*IFERROR(VLOOKUP($K639,Drink_Templates!$A:$G,7,FALSE),0)))</f>
        <v/>
      </c>
    </row>
    <row r="640" ht="15" customHeight="1">
      <c r="C640">
        <f>IF($B640="","",INT($B640))</f>
        <v/>
      </c>
      <c r="D640">
        <f>IF($C640="","",$C640-WEEKDAY($C640,2)+1)</f>
        <v/>
      </c>
      <c r="E640">
        <f>IF($C640="","",DATE(YEAR($C640),MONTH($C640),1))</f>
        <v/>
      </c>
      <c r="F640">
        <f>IF($C640="","",YEAR($C640)&amp;"-Q"&amp;ROUNDUP(MONTH($C640)/3,0))</f>
        <v/>
      </c>
      <c r="L640">
        <f>IF($G640&lt;&gt;"ALCOHOL","",IF($K640="","",$H640*IFERROR(VLOOKUP($K640,Drink_Templates!$A:$G,7,FALSE),0)))</f>
        <v/>
      </c>
    </row>
    <row r="641" ht="15" customHeight="1">
      <c r="C641">
        <f>IF($B641="","",INT($B641))</f>
        <v/>
      </c>
      <c r="D641">
        <f>IF($C641="","",$C641-WEEKDAY($C641,2)+1)</f>
        <v/>
      </c>
      <c r="E641">
        <f>IF($C641="","",DATE(YEAR($C641),MONTH($C641),1))</f>
        <v/>
      </c>
      <c r="F641">
        <f>IF($C641="","",YEAR($C641)&amp;"-Q"&amp;ROUNDUP(MONTH($C641)/3,0))</f>
        <v/>
      </c>
      <c r="L641">
        <f>IF($G641&lt;&gt;"ALCOHOL","",IF($K641="","",$H641*IFERROR(VLOOKUP($K641,Drink_Templates!$A:$G,7,FALSE),0)))</f>
        <v/>
      </c>
    </row>
    <row r="642" ht="15" customHeight="1">
      <c r="C642">
        <f>IF($B642="","",INT($B642))</f>
        <v/>
      </c>
      <c r="D642">
        <f>IF($C642="","",$C642-WEEKDAY($C642,2)+1)</f>
        <v/>
      </c>
      <c r="E642">
        <f>IF($C642="","",DATE(YEAR($C642),MONTH($C642),1))</f>
        <v/>
      </c>
      <c r="F642">
        <f>IF($C642="","",YEAR($C642)&amp;"-Q"&amp;ROUNDUP(MONTH($C642)/3,0))</f>
        <v/>
      </c>
      <c r="L642">
        <f>IF($G642&lt;&gt;"ALCOHOL","",IF($K642="","",$H642*IFERROR(VLOOKUP($K642,Drink_Templates!$A:$G,7,FALSE),0)))</f>
        <v/>
      </c>
    </row>
    <row r="643" ht="15" customHeight="1">
      <c r="C643">
        <f>IF($B643="","",INT($B643))</f>
        <v/>
      </c>
      <c r="D643">
        <f>IF($C643="","",$C643-WEEKDAY($C643,2)+1)</f>
        <v/>
      </c>
      <c r="E643">
        <f>IF($C643="","",DATE(YEAR($C643),MONTH($C643),1))</f>
        <v/>
      </c>
      <c r="F643">
        <f>IF($C643="","",YEAR($C643)&amp;"-Q"&amp;ROUNDUP(MONTH($C643)/3,0))</f>
        <v/>
      </c>
      <c r="L643">
        <f>IF($G643&lt;&gt;"ALCOHOL","",IF($K643="","",$H643*IFERROR(VLOOKUP($K643,Drink_Templates!$A:$G,7,FALSE),0)))</f>
        <v/>
      </c>
    </row>
    <row r="644" ht="15" customHeight="1">
      <c r="C644">
        <f>IF($B644="","",INT($B644))</f>
        <v/>
      </c>
      <c r="D644">
        <f>IF($C644="","",$C644-WEEKDAY($C644,2)+1)</f>
        <v/>
      </c>
      <c r="E644">
        <f>IF($C644="","",DATE(YEAR($C644),MONTH($C644),1))</f>
        <v/>
      </c>
      <c r="F644">
        <f>IF($C644="","",YEAR($C644)&amp;"-Q"&amp;ROUNDUP(MONTH($C644)/3,0))</f>
        <v/>
      </c>
      <c r="L644">
        <f>IF($G644&lt;&gt;"ALCOHOL","",IF($K644="","",$H644*IFERROR(VLOOKUP($K644,Drink_Templates!$A:$G,7,FALSE),0)))</f>
        <v/>
      </c>
    </row>
    <row r="645" ht="15" customHeight="1">
      <c r="C645">
        <f>IF($B645="","",INT($B645))</f>
        <v/>
      </c>
      <c r="D645">
        <f>IF($C645="","",$C645-WEEKDAY($C645,2)+1)</f>
        <v/>
      </c>
      <c r="E645">
        <f>IF($C645="","",DATE(YEAR($C645),MONTH($C645),1))</f>
        <v/>
      </c>
      <c r="F645">
        <f>IF($C645="","",YEAR($C645)&amp;"-Q"&amp;ROUNDUP(MONTH($C645)/3,0))</f>
        <v/>
      </c>
      <c r="L645">
        <f>IF($G645&lt;&gt;"ALCOHOL","",IF($K645="","",$H645*IFERROR(VLOOKUP($K645,Drink_Templates!$A:$G,7,FALSE),0)))</f>
        <v/>
      </c>
    </row>
    <row r="646" ht="15" customHeight="1">
      <c r="C646">
        <f>IF($B646="","",INT($B646))</f>
        <v/>
      </c>
      <c r="D646">
        <f>IF($C646="","",$C646-WEEKDAY($C646,2)+1)</f>
        <v/>
      </c>
      <c r="E646">
        <f>IF($C646="","",DATE(YEAR($C646),MONTH($C646),1))</f>
        <v/>
      </c>
      <c r="F646">
        <f>IF($C646="","",YEAR($C646)&amp;"-Q"&amp;ROUNDUP(MONTH($C646)/3,0))</f>
        <v/>
      </c>
      <c r="L646">
        <f>IF($G646&lt;&gt;"ALCOHOL","",IF($K646="","",$H646*IFERROR(VLOOKUP($K646,Drink_Templates!$A:$G,7,FALSE),0)))</f>
        <v/>
      </c>
    </row>
    <row r="647" ht="15" customHeight="1">
      <c r="C647">
        <f>IF($B647="","",INT($B647))</f>
        <v/>
      </c>
      <c r="D647">
        <f>IF($C647="","",$C647-WEEKDAY($C647,2)+1)</f>
        <v/>
      </c>
      <c r="E647">
        <f>IF($C647="","",DATE(YEAR($C647),MONTH($C647),1))</f>
        <v/>
      </c>
      <c r="F647">
        <f>IF($C647="","",YEAR($C647)&amp;"-Q"&amp;ROUNDUP(MONTH($C647)/3,0))</f>
        <v/>
      </c>
      <c r="L647">
        <f>IF($G647&lt;&gt;"ALCOHOL","",IF($K647="","",$H647*IFERROR(VLOOKUP($K647,Drink_Templates!$A:$G,7,FALSE),0)))</f>
        <v/>
      </c>
    </row>
    <row r="648" ht="15" customHeight="1">
      <c r="C648">
        <f>IF($B648="","",INT($B648))</f>
        <v/>
      </c>
      <c r="D648">
        <f>IF($C648="","",$C648-WEEKDAY($C648,2)+1)</f>
        <v/>
      </c>
      <c r="E648">
        <f>IF($C648="","",DATE(YEAR($C648),MONTH($C648),1))</f>
        <v/>
      </c>
      <c r="F648">
        <f>IF($C648="","",YEAR($C648)&amp;"-Q"&amp;ROUNDUP(MONTH($C648)/3,0))</f>
        <v/>
      </c>
      <c r="L648">
        <f>IF($G648&lt;&gt;"ALCOHOL","",IF($K648="","",$H648*IFERROR(VLOOKUP($K648,Drink_Templates!$A:$G,7,FALSE),0)))</f>
        <v/>
      </c>
    </row>
    <row r="649" ht="15" customHeight="1">
      <c r="C649">
        <f>IF($B649="","",INT($B649))</f>
        <v/>
      </c>
      <c r="D649">
        <f>IF($C649="","",$C649-WEEKDAY($C649,2)+1)</f>
        <v/>
      </c>
      <c r="E649">
        <f>IF($C649="","",DATE(YEAR($C649),MONTH($C649),1))</f>
        <v/>
      </c>
      <c r="F649">
        <f>IF($C649="","",YEAR($C649)&amp;"-Q"&amp;ROUNDUP(MONTH($C649)/3,0))</f>
        <v/>
      </c>
      <c r="L649">
        <f>IF($G649&lt;&gt;"ALCOHOL","",IF($K649="","",$H649*IFERROR(VLOOKUP($K649,Drink_Templates!$A:$G,7,FALSE),0)))</f>
        <v/>
      </c>
    </row>
    <row r="650" ht="15" customHeight="1">
      <c r="C650">
        <f>IF($B650="","",INT($B650))</f>
        <v/>
      </c>
      <c r="D650">
        <f>IF($C650="","",$C650-WEEKDAY($C650,2)+1)</f>
        <v/>
      </c>
      <c r="E650">
        <f>IF($C650="","",DATE(YEAR($C650),MONTH($C650),1))</f>
        <v/>
      </c>
      <c r="F650">
        <f>IF($C650="","",YEAR($C650)&amp;"-Q"&amp;ROUNDUP(MONTH($C650)/3,0))</f>
        <v/>
      </c>
      <c r="L650">
        <f>IF($G650&lt;&gt;"ALCOHOL","",IF($K650="","",$H650*IFERROR(VLOOKUP($K650,Drink_Templates!$A:$G,7,FALSE),0)))</f>
        <v/>
      </c>
    </row>
    <row r="651" ht="15" customHeight="1">
      <c r="C651">
        <f>IF($B651="","",INT($B651))</f>
        <v/>
      </c>
      <c r="D651">
        <f>IF($C651="","",$C651-WEEKDAY($C651,2)+1)</f>
        <v/>
      </c>
      <c r="E651">
        <f>IF($C651="","",DATE(YEAR($C651),MONTH($C651),1))</f>
        <v/>
      </c>
      <c r="F651">
        <f>IF($C651="","",YEAR($C651)&amp;"-Q"&amp;ROUNDUP(MONTH($C651)/3,0))</f>
        <v/>
      </c>
      <c r="L651">
        <f>IF($G651&lt;&gt;"ALCOHOL","",IF($K651="","",$H651*IFERROR(VLOOKUP($K651,Drink_Templates!$A:$G,7,FALSE),0)))</f>
        <v/>
      </c>
    </row>
    <row r="652" ht="15" customHeight="1">
      <c r="C652">
        <f>IF($B652="","",INT($B652))</f>
        <v/>
      </c>
      <c r="D652">
        <f>IF($C652="","",$C652-WEEKDAY($C652,2)+1)</f>
        <v/>
      </c>
      <c r="E652">
        <f>IF($C652="","",DATE(YEAR($C652),MONTH($C652),1))</f>
        <v/>
      </c>
      <c r="F652">
        <f>IF($C652="","",YEAR($C652)&amp;"-Q"&amp;ROUNDUP(MONTH($C652)/3,0))</f>
        <v/>
      </c>
      <c r="L652">
        <f>IF($G652&lt;&gt;"ALCOHOL","",IF($K652="","",$H652*IFERROR(VLOOKUP($K652,Drink_Templates!$A:$G,7,FALSE),0)))</f>
        <v/>
      </c>
    </row>
    <row r="653" ht="15" customHeight="1">
      <c r="C653">
        <f>IF($B653="","",INT($B653))</f>
        <v/>
      </c>
      <c r="D653">
        <f>IF($C653="","",$C653-WEEKDAY($C653,2)+1)</f>
        <v/>
      </c>
      <c r="E653">
        <f>IF($C653="","",DATE(YEAR($C653),MONTH($C653),1))</f>
        <v/>
      </c>
      <c r="F653">
        <f>IF($C653="","",YEAR($C653)&amp;"-Q"&amp;ROUNDUP(MONTH($C653)/3,0))</f>
        <v/>
      </c>
      <c r="L653">
        <f>IF($G653&lt;&gt;"ALCOHOL","",IF($K653="","",$H653*IFERROR(VLOOKUP($K653,Drink_Templates!$A:$G,7,FALSE),0)))</f>
        <v/>
      </c>
    </row>
    <row r="654" ht="15" customHeight="1">
      <c r="C654">
        <f>IF($B654="","",INT($B654))</f>
        <v/>
      </c>
      <c r="D654">
        <f>IF($C654="","",$C654-WEEKDAY($C654,2)+1)</f>
        <v/>
      </c>
      <c r="E654">
        <f>IF($C654="","",DATE(YEAR($C654),MONTH($C654),1))</f>
        <v/>
      </c>
      <c r="F654">
        <f>IF($C654="","",YEAR($C654)&amp;"-Q"&amp;ROUNDUP(MONTH($C654)/3,0))</f>
        <v/>
      </c>
      <c r="L654">
        <f>IF($G654&lt;&gt;"ALCOHOL","",IF($K654="","",$H654*IFERROR(VLOOKUP($K654,Drink_Templates!$A:$G,7,FALSE),0)))</f>
        <v/>
      </c>
    </row>
    <row r="655" ht="15" customHeight="1">
      <c r="C655">
        <f>IF($B655="","",INT($B655))</f>
        <v/>
      </c>
      <c r="D655">
        <f>IF($C655="","",$C655-WEEKDAY($C655,2)+1)</f>
        <v/>
      </c>
      <c r="E655">
        <f>IF($C655="","",DATE(YEAR($C655),MONTH($C655),1))</f>
        <v/>
      </c>
      <c r="F655">
        <f>IF($C655="","",YEAR($C655)&amp;"-Q"&amp;ROUNDUP(MONTH($C655)/3,0))</f>
        <v/>
      </c>
      <c r="L655">
        <f>IF($G655&lt;&gt;"ALCOHOL","",IF($K655="","",$H655*IFERROR(VLOOKUP($K655,Drink_Templates!$A:$G,7,FALSE),0)))</f>
        <v/>
      </c>
    </row>
    <row r="656" ht="15" customHeight="1">
      <c r="C656">
        <f>IF($B656="","",INT($B656))</f>
        <v/>
      </c>
      <c r="D656">
        <f>IF($C656="","",$C656-WEEKDAY($C656,2)+1)</f>
        <v/>
      </c>
      <c r="E656">
        <f>IF($C656="","",DATE(YEAR($C656),MONTH($C656),1))</f>
        <v/>
      </c>
      <c r="F656">
        <f>IF($C656="","",YEAR($C656)&amp;"-Q"&amp;ROUNDUP(MONTH($C656)/3,0))</f>
        <v/>
      </c>
      <c r="L656">
        <f>IF($G656&lt;&gt;"ALCOHOL","",IF($K656="","",$H656*IFERROR(VLOOKUP($K656,Drink_Templates!$A:$G,7,FALSE),0)))</f>
        <v/>
      </c>
    </row>
    <row r="657" ht="15" customHeight="1">
      <c r="C657">
        <f>IF($B657="","",INT($B657))</f>
        <v/>
      </c>
      <c r="D657">
        <f>IF($C657="","",$C657-WEEKDAY($C657,2)+1)</f>
        <v/>
      </c>
      <c r="E657">
        <f>IF($C657="","",DATE(YEAR($C657),MONTH($C657),1))</f>
        <v/>
      </c>
      <c r="F657">
        <f>IF($C657="","",YEAR($C657)&amp;"-Q"&amp;ROUNDUP(MONTH($C657)/3,0))</f>
        <v/>
      </c>
      <c r="L657">
        <f>IF($G657&lt;&gt;"ALCOHOL","",IF($K657="","",$H657*IFERROR(VLOOKUP($K657,Drink_Templates!$A:$G,7,FALSE),0)))</f>
        <v/>
      </c>
    </row>
    <row r="658" ht="15" customHeight="1">
      <c r="C658">
        <f>IF($B658="","",INT($B658))</f>
        <v/>
      </c>
      <c r="D658">
        <f>IF($C658="","",$C658-WEEKDAY($C658,2)+1)</f>
        <v/>
      </c>
      <c r="E658">
        <f>IF($C658="","",DATE(YEAR($C658),MONTH($C658),1))</f>
        <v/>
      </c>
      <c r="F658">
        <f>IF($C658="","",YEAR($C658)&amp;"-Q"&amp;ROUNDUP(MONTH($C658)/3,0))</f>
        <v/>
      </c>
      <c r="L658">
        <f>IF($G658&lt;&gt;"ALCOHOL","",IF($K658="","",$H658*IFERROR(VLOOKUP($K658,Drink_Templates!$A:$G,7,FALSE),0)))</f>
        <v/>
      </c>
    </row>
    <row r="659" ht="15" customHeight="1">
      <c r="C659">
        <f>IF($B659="","",INT($B659))</f>
        <v/>
      </c>
      <c r="D659">
        <f>IF($C659="","",$C659-WEEKDAY($C659,2)+1)</f>
        <v/>
      </c>
      <c r="E659">
        <f>IF($C659="","",DATE(YEAR($C659),MONTH($C659),1))</f>
        <v/>
      </c>
      <c r="F659">
        <f>IF($C659="","",YEAR($C659)&amp;"-Q"&amp;ROUNDUP(MONTH($C659)/3,0))</f>
        <v/>
      </c>
      <c r="L659">
        <f>IF($G659&lt;&gt;"ALCOHOL","",IF($K659="","",$H659*IFERROR(VLOOKUP($K659,Drink_Templates!$A:$G,7,FALSE),0)))</f>
        <v/>
      </c>
    </row>
    <row r="660" ht="15" customHeight="1">
      <c r="C660">
        <f>IF($B660="","",INT($B660))</f>
        <v/>
      </c>
      <c r="D660">
        <f>IF($C660="","",$C660-WEEKDAY($C660,2)+1)</f>
        <v/>
      </c>
      <c r="E660">
        <f>IF($C660="","",DATE(YEAR($C660),MONTH($C660),1))</f>
        <v/>
      </c>
      <c r="F660">
        <f>IF($C660="","",YEAR($C660)&amp;"-Q"&amp;ROUNDUP(MONTH($C660)/3,0))</f>
        <v/>
      </c>
      <c r="L660">
        <f>IF($G660&lt;&gt;"ALCOHOL","",IF($K660="","",$H660*IFERROR(VLOOKUP($K660,Drink_Templates!$A:$G,7,FALSE),0)))</f>
        <v/>
      </c>
    </row>
    <row r="661" ht="15" customHeight="1">
      <c r="C661">
        <f>IF($B661="","",INT($B661))</f>
        <v/>
      </c>
      <c r="D661">
        <f>IF($C661="","",$C661-WEEKDAY($C661,2)+1)</f>
        <v/>
      </c>
      <c r="E661">
        <f>IF($C661="","",DATE(YEAR($C661),MONTH($C661),1))</f>
        <v/>
      </c>
      <c r="F661">
        <f>IF($C661="","",YEAR($C661)&amp;"-Q"&amp;ROUNDUP(MONTH($C661)/3,0))</f>
        <v/>
      </c>
      <c r="L661">
        <f>IF($G661&lt;&gt;"ALCOHOL","",IF($K661="","",$H661*IFERROR(VLOOKUP($K661,Drink_Templates!$A:$G,7,FALSE),0)))</f>
        <v/>
      </c>
    </row>
    <row r="662" ht="15" customHeight="1">
      <c r="C662">
        <f>IF($B662="","",INT($B662))</f>
        <v/>
      </c>
      <c r="D662">
        <f>IF($C662="","",$C662-WEEKDAY($C662,2)+1)</f>
        <v/>
      </c>
      <c r="E662">
        <f>IF($C662="","",DATE(YEAR($C662),MONTH($C662),1))</f>
        <v/>
      </c>
      <c r="F662">
        <f>IF($C662="","",YEAR($C662)&amp;"-Q"&amp;ROUNDUP(MONTH($C662)/3,0))</f>
        <v/>
      </c>
      <c r="L662">
        <f>IF($G662&lt;&gt;"ALCOHOL","",IF($K662="","",$H662*IFERROR(VLOOKUP($K662,Drink_Templates!$A:$G,7,FALSE),0)))</f>
        <v/>
      </c>
    </row>
    <row r="663" ht="15" customHeight="1">
      <c r="C663">
        <f>IF($B663="","",INT($B663))</f>
        <v/>
      </c>
      <c r="D663">
        <f>IF($C663="","",$C663-WEEKDAY($C663,2)+1)</f>
        <v/>
      </c>
      <c r="E663">
        <f>IF($C663="","",DATE(YEAR($C663),MONTH($C663),1))</f>
        <v/>
      </c>
      <c r="F663">
        <f>IF($C663="","",YEAR($C663)&amp;"-Q"&amp;ROUNDUP(MONTH($C663)/3,0))</f>
        <v/>
      </c>
      <c r="L663">
        <f>IF($G663&lt;&gt;"ALCOHOL","",IF($K663="","",$H663*IFERROR(VLOOKUP($K663,Drink_Templates!$A:$G,7,FALSE),0)))</f>
        <v/>
      </c>
    </row>
    <row r="664" ht="15" customHeight="1">
      <c r="C664">
        <f>IF($B664="","",INT($B664))</f>
        <v/>
      </c>
      <c r="D664">
        <f>IF($C664="","",$C664-WEEKDAY($C664,2)+1)</f>
        <v/>
      </c>
      <c r="E664">
        <f>IF($C664="","",DATE(YEAR($C664),MONTH($C664),1))</f>
        <v/>
      </c>
      <c r="F664">
        <f>IF($C664="","",YEAR($C664)&amp;"-Q"&amp;ROUNDUP(MONTH($C664)/3,0))</f>
        <v/>
      </c>
      <c r="L664">
        <f>IF($G664&lt;&gt;"ALCOHOL","",IF($K664="","",$H664*IFERROR(VLOOKUP($K664,Drink_Templates!$A:$G,7,FALSE),0)))</f>
        <v/>
      </c>
    </row>
    <row r="665" ht="15" customHeight="1">
      <c r="C665">
        <f>IF($B665="","",INT($B665))</f>
        <v/>
      </c>
      <c r="D665">
        <f>IF($C665="","",$C665-WEEKDAY($C665,2)+1)</f>
        <v/>
      </c>
      <c r="E665">
        <f>IF($C665="","",DATE(YEAR($C665),MONTH($C665),1))</f>
        <v/>
      </c>
      <c r="F665">
        <f>IF($C665="","",YEAR($C665)&amp;"-Q"&amp;ROUNDUP(MONTH($C665)/3,0))</f>
        <v/>
      </c>
      <c r="L665">
        <f>IF($G665&lt;&gt;"ALCOHOL","",IF($K665="","",$H665*IFERROR(VLOOKUP($K665,Drink_Templates!$A:$G,7,FALSE),0)))</f>
        <v/>
      </c>
    </row>
    <row r="666" ht="15" customHeight="1">
      <c r="C666">
        <f>IF($B666="","",INT($B666))</f>
        <v/>
      </c>
      <c r="D666">
        <f>IF($C666="","",$C666-WEEKDAY($C666,2)+1)</f>
        <v/>
      </c>
      <c r="E666">
        <f>IF($C666="","",DATE(YEAR($C666),MONTH($C666),1))</f>
        <v/>
      </c>
      <c r="F666">
        <f>IF($C666="","",YEAR($C666)&amp;"-Q"&amp;ROUNDUP(MONTH($C666)/3,0))</f>
        <v/>
      </c>
      <c r="L666">
        <f>IF($G666&lt;&gt;"ALCOHOL","",IF($K666="","",$H666*IFERROR(VLOOKUP($K666,Drink_Templates!$A:$G,7,FALSE),0)))</f>
        <v/>
      </c>
    </row>
    <row r="667" ht="15" customHeight="1">
      <c r="C667">
        <f>IF($B667="","",INT($B667))</f>
        <v/>
      </c>
      <c r="D667">
        <f>IF($C667="","",$C667-WEEKDAY($C667,2)+1)</f>
        <v/>
      </c>
      <c r="E667">
        <f>IF($C667="","",DATE(YEAR($C667),MONTH($C667),1))</f>
        <v/>
      </c>
      <c r="F667">
        <f>IF($C667="","",YEAR($C667)&amp;"-Q"&amp;ROUNDUP(MONTH($C667)/3,0))</f>
        <v/>
      </c>
      <c r="L667">
        <f>IF($G667&lt;&gt;"ALCOHOL","",IF($K667="","",$H667*IFERROR(VLOOKUP($K667,Drink_Templates!$A:$G,7,FALSE),0)))</f>
        <v/>
      </c>
    </row>
    <row r="668" ht="15" customHeight="1">
      <c r="C668">
        <f>IF($B668="","",INT($B668))</f>
        <v/>
      </c>
      <c r="D668">
        <f>IF($C668="","",$C668-WEEKDAY($C668,2)+1)</f>
        <v/>
      </c>
      <c r="E668">
        <f>IF($C668="","",DATE(YEAR($C668),MONTH($C668),1))</f>
        <v/>
      </c>
      <c r="F668">
        <f>IF($C668="","",YEAR($C668)&amp;"-Q"&amp;ROUNDUP(MONTH($C668)/3,0))</f>
        <v/>
      </c>
      <c r="L668">
        <f>IF($G668&lt;&gt;"ALCOHOL","",IF($K668="","",$H668*IFERROR(VLOOKUP($K668,Drink_Templates!$A:$G,7,FALSE),0)))</f>
        <v/>
      </c>
    </row>
    <row r="669" ht="15" customHeight="1">
      <c r="C669">
        <f>IF($B669="","",INT($B669))</f>
        <v/>
      </c>
      <c r="D669">
        <f>IF($C669="","",$C669-WEEKDAY($C669,2)+1)</f>
        <v/>
      </c>
      <c r="E669">
        <f>IF($C669="","",DATE(YEAR($C669),MONTH($C669),1))</f>
        <v/>
      </c>
      <c r="F669">
        <f>IF($C669="","",YEAR($C669)&amp;"-Q"&amp;ROUNDUP(MONTH($C669)/3,0))</f>
        <v/>
      </c>
      <c r="L669">
        <f>IF($G669&lt;&gt;"ALCOHOL","",IF($K669="","",$H669*IFERROR(VLOOKUP($K669,Drink_Templates!$A:$G,7,FALSE),0)))</f>
        <v/>
      </c>
    </row>
    <row r="670" ht="15" customHeight="1">
      <c r="C670">
        <f>IF($B670="","",INT($B670))</f>
        <v/>
      </c>
      <c r="D670">
        <f>IF($C670="","",$C670-WEEKDAY($C670,2)+1)</f>
        <v/>
      </c>
      <c r="E670">
        <f>IF($C670="","",DATE(YEAR($C670),MONTH($C670),1))</f>
        <v/>
      </c>
      <c r="F670">
        <f>IF($C670="","",YEAR($C670)&amp;"-Q"&amp;ROUNDUP(MONTH($C670)/3,0))</f>
        <v/>
      </c>
      <c r="L670">
        <f>IF($G670&lt;&gt;"ALCOHOL","",IF($K670="","",$H670*IFERROR(VLOOKUP($K670,Drink_Templates!$A:$G,7,FALSE),0)))</f>
        <v/>
      </c>
    </row>
    <row r="671" ht="15" customHeight="1">
      <c r="C671">
        <f>IF($B671="","",INT($B671))</f>
        <v/>
      </c>
      <c r="D671">
        <f>IF($C671="","",$C671-WEEKDAY($C671,2)+1)</f>
        <v/>
      </c>
      <c r="E671">
        <f>IF($C671="","",DATE(YEAR($C671),MONTH($C671),1))</f>
        <v/>
      </c>
      <c r="F671">
        <f>IF($C671="","",YEAR($C671)&amp;"-Q"&amp;ROUNDUP(MONTH($C671)/3,0))</f>
        <v/>
      </c>
      <c r="L671">
        <f>IF($G671&lt;&gt;"ALCOHOL","",IF($K671="","",$H671*IFERROR(VLOOKUP($K671,Drink_Templates!$A:$G,7,FALSE),0)))</f>
        <v/>
      </c>
    </row>
    <row r="672" ht="15" customHeight="1">
      <c r="C672">
        <f>IF($B672="","",INT($B672))</f>
        <v/>
      </c>
      <c r="D672">
        <f>IF($C672="","",$C672-WEEKDAY($C672,2)+1)</f>
        <v/>
      </c>
      <c r="E672">
        <f>IF($C672="","",DATE(YEAR($C672),MONTH($C672),1))</f>
        <v/>
      </c>
      <c r="F672">
        <f>IF($C672="","",YEAR($C672)&amp;"-Q"&amp;ROUNDUP(MONTH($C672)/3,0))</f>
        <v/>
      </c>
      <c r="L672">
        <f>IF($G672&lt;&gt;"ALCOHOL","",IF($K672="","",$H672*IFERROR(VLOOKUP($K672,Drink_Templates!$A:$G,7,FALSE),0)))</f>
        <v/>
      </c>
    </row>
    <row r="673" ht="15" customHeight="1">
      <c r="C673">
        <f>IF($B673="","",INT($B673))</f>
        <v/>
      </c>
      <c r="D673">
        <f>IF($C673="","",$C673-WEEKDAY($C673,2)+1)</f>
        <v/>
      </c>
      <c r="E673">
        <f>IF($C673="","",DATE(YEAR($C673),MONTH($C673),1))</f>
        <v/>
      </c>
      <c r="F673">
        <f>IF($C673="","",YEAR($C673)&amp;"-Q"&amp;ROUNDUP(MONTH($C673)/3,0))</f>
        <v/>
      </c>
      <c r="L673">
        <f>IF($G673&lt;&gt;"ALCOHOL","",IF($K673="","",$H673*IFERROR(VLOOKUP($K673,Drink_Templates!$A:$G,7,FALSE),0)))</f>
        <v/>
      </c>
    </row>
    <row r="674" ht="15" customHeight="1">
      <c r="C674">
        <f>IF($B674="","",INT($B674))</f>
        <v/>
      </c>
      <c r="D674">
        <f>IF($C674="","",$C674-WEEKDAY($C674,2)+1)</f>
        <v/>
      </c>
      <c r="E674">
        <f>IF($C674="","",DATE(YEAR($C674),MONTH($C674),1))</f>
        <v/>
      </c>
      <c r="F674">
        <f>IF($C674="","",YEAR($C674)&amp;"-Q"&amp;ROUNDUP(MONTH($C674)/3,0))</f>
        <v/>
      </c>
      <c r="L674">
        <f>IF($G674&lt;&gt;"ALCOHOL","",IF($K674="","",$H674*IFERROR(VLOOKUP($K674,Drink_Templates!$A:$G,7,FALSE),0)))</f>
        <v/>
      </c>
    </row>
    <row r="675" ht="15" customHeight="1">
      <c r="C675">
        <f>IF($B675="","",INT($B675))</f>
        <v/>
      </c>
      <c r="D675">
        <f>IF($C675="","",$C675-WEEKDAY($C675,2)+1)</f>
        <v/>
      </c>
      <c r="E675">
        <f>IF($C675="","",DATE(YEAR($C675),MONTH($C675),1))</f>
        <v/>
      </c>
      <c r="F675">
        <f>IF($C675="","",YEAR($C675)&amp;"-Q"&amp;ROUNDUP(MONTH($C675)/3,0))</f>
        <v/>
      </c>
      <c r="L675">
        <f>IF($G675&lt;&gt;"ALCOHOL","",IF($K675="","",$H675*IFERROR(VLOOKUP($K675,Drink_Templates!$A:$G,7,FALSE),0)))</f>
        <v/>
      </c>
    </row>
    <row r="676" ht="15" customHeight="1">
      <c r="C676">
        <f>IF($B676="","",INT($B676))</f>
        <v/>
      </c>
      <c r="D676">
        <f>IF($C676="","",$C676-WEEKDAY($C676,2)+1)</f>
        <v/>
      </c>
      <c r="E676">
        <f>IF($C676="","",DATE(YEAR($C676),MONTH($C676),1))</f>
        <v/>
      </c>
      <c r="F676">
        <f>IF($C676="","",YEAR($C676)&amp;"-Q"&amp;ROUNDUP(MONTH($C676)/3,0))</f>
        <v/>
      </c>
      <c r="L676">
        <f>IF($G676&lt;&gt;"ALCOHOL","",IF($K676="","",$H676*IFERROR(VLOOKUP($K676,Drink_Templates!$A:$G,7,FALSE),0)))</f>
        <v/>
      </c>
    </row>
    <row r="677" ht="15" customHeight="1">
      <c r="C677">
        <f>IF($B677="","",INT($B677))</f>
        <v/>
      </c>
      <c r="D677">
        <f>IF($C677="","",$C677-WEEKDAY($C677,2)+1)</f>
        <v/>
      </c>
      <c r="E677">
        <f>IF($C677="","",DATE(YEAR($C677),MONTH($C677),1))</f>
        <v/>
      </c>
      <c r="F677">
        <f>IF($C677="","",YEAR($C677)&amp;"-Q"&amp;ROUNDUP(MONTH($C677)/3,0))</f>
        <v/>
      </c>
      <c r="L677">
        <f>IF($G677&lt;&gt;"ALCOHOL","",IF($K677="","",$H677*IFERROR(VLOOKUP($K677,Drink_Templates!$A:$G,7,FALSE),0)))</f>
        <v/>
      </c>
    </row>
    <row r="678" ht="15" customHeight="1">
      <c r="C678">
        <f>IF($B678="","",INT($B678))</f>
        <v/>
      </c>
      <c r="D678">
        <f>IF($C678="","",$C678-WEEKDAY($C678,2)+1)</f>
        <v/>
      </c>
      <c r="E678">
        <f>IF($C678="","",DATE(YEAR($C678),MONTH($C678),1))</f>
        <v/>
      </c>
      <c r="F678">
        <f>IF($C678="","",YEAR($C678)&amp;"-Q"&amp;ROUNDUP(MONTH($C678)/3,0))</f>
        <v/>
      </c>
      <c r="L678">
        <f>IF($G678&lt;&gt;"ALCOHOL","",IF($K678="","",$H678*IFERROR(VLOOKUP($K678,Drink_Templates!$A:$G,7,FALSE),0)))</f>
        <v/>
      </c>
    </row>
    <row r="679" ht="15" customHeight="1">
      <c r="C679">
        <f>IF($B679="","",INT($B679))</f>
        <v/>
      </c>
      <c r="D679">
        <f>IF($C679="","",$C679-WEEKDAY($C679,2)+1)</f>
        <v/>
      </c>
      <c r="E679">
        <f>IF($C679="","",DATE(YEAR($C679),MONTH($C679),1))</f>
        <v/>
      </c>
      <c r="F679">
        <f>IF($C679="","",YEAR($C679)&amp;"-Q"&amp;ROUNDUP(MONTH($C679)/3,0))</f>
        <v/>
      </c>
      <c r="L679">
        <f>IF($G679&lt;&gt;"ALCOHOL","",IF($K679="","",$H679*IFERROR(VLOOKUP($K679,Drink_Templates!$A:$G,7,FALSE),0)))</f>
        <v/>
      </c>
    </row>
    <row r="680" ht="15" customHeight="1">
      <c r="C680">
        <f>IF($B680="","",INT($B680))</f>
        <v/>
      </c>
      <c r="D680">
        <f>IF($C680="","",$C680-WEEKDAY($C680,2)+1)</f>
        <v/>
      </c>
      <c r="E680">
        <f>IF($C680="","",DATE(YEAR($C680),MONTH($C680),1))</f>
        <v/>
      </c>
      <c r="F680">
        <f>IF($C680="","",YEAR($C680)&amp;"-Q"&amp;ROUNDUP(MONTH($C680)/3,0))</f>
        <v/>
      </c>
      <c r="L680">
        <f>IF($G680&lt;&gt;"ALCOHOL","",IF($K680="","",$H680*IFERROR(VLOOKUP($K680,Drink_Templates!$A:$G,7,FALSE),0)))</f>
        <v/>
      </c>
    </row>
    <row r="681" ht="15" customHeight="1">
      <c r="C681">
        <f>IF($B681="","",INT($B681))</f>
        <v/>
      </c>
      <c r="D681">
        <f>IF($C681="","",$C681-WEEKDAY($C681,2)+1)</f>
        <v/>
      </c>
      <c r="E681">
        <f>IF($C681="","",DATE(YEAR($C681),MONTH($C681),1))</f>
        <v/>
      </c>
      <c r="F681">
        <f>IF($C681="","",YEAR($C681)&amp;"-Q"&amp;ROUNDUP(MONTH($C681)/3,0))</f>
        <v/>
      </c>
      <c r="L681">
        <f>IF($G681&lt;&gt;"ALCOHOL","",IF($K681="","",$H681*IFERROR(VLOOKUP($K681,Drink_Templates!$A:$G,7,FALSE),0)))</f>
        <v/>
      </c>
    </row>
    <row r="682" ht="15" customHeight="1">
      <c r="C682">
        <f>IF($B682="","",INT($B682))</f>
        <v/>
      </c>
      <c r="D682">
        <f>IF($C682="","",$C682-WEEKDAY($C682,2)+1)</f>
        <v/>
      </c>
      <c r="E682">
        <f>IF($C682="","",DATE(YEAR($C682),MONTH($C682),1))</f>
        <v/>
      </c>
      <c r="F682">
        <f>IF($C682="","",YEAR($C682)&amp;"-Q"&amp;ROUNDUP(MONTH($C682)/3,0))</f>
        <v/>
      </c>
      <c r="L682">
        <f>IF($G682&lt;&gt;"ALCOHOL","",IF($K682="","",$H682*IFERROR(VLOOKUP($K682,Drink_Templates!$A:$G,7,FALSE),0)))</f>
        <v/>
      </c>
    </row>
    <row r="683" ht="15" customHeight="1">
      <c r="C683">
        <f>IF($B683="","",INT($B683))</f>
        <v/>
      </c>
      <c r="D683">
        <f>IF($C683="","",$C683-WEEKDAY($C683,2)+1)</f>
        <v/>
      </c>
      <c r="E683">
        <f>IF($C683="","",DATE(YEAR($C683),MONTH($C683),1))</f>
        <v/>
      </c>
      <c r="F683">
        <f>IF($C683="","",YEAR($C683)&amp;"-Q"&amp;ROUNDUP(MONTH($C683)/3,0))</f>
        <v/>
      </c>
      <c r="L683">
        <f>IF($G683&lt;&gt;"ALCOHOL","",IF($K683="","",$H683*IFERROR(VLOOKUP($K683,Drink_Templates!$A:$G,7,FALSE),0)))</f>
        <v/>
      </c>
    </row>
    <row r="684" ht="15" customHeight="1">
      <c r="C684">
        <f>IF($B684="","",INT($B684))</f>
        <v/>
      </c>
      <c r="D684">
        <f>IF($C684="","",$C684-WEEKDAY($C684,2)+1)</f>
        <v/>
      </c>
      <c r="E684">
        <f>IF($C684="","",DATE(YEAR($C684),MONTH($C684),1))</f>
        <v/>
      </c>
      <c r="F684">
        <f>IF($C684="","",YEAR($C684)&amp;"-Q"&amp;ROUNDUP(MONTH($C684)/3,0))</f>
        <v/>
      </c>
      <c r="L684">
        <f>IF($G684&lt;&gt;"ALCOHOL","",IF($K684="","",$H684*IFERROR(VLOOKUP($K684,Drink_Templates!$A:$G,7,FALSE),0)))</f>
        <v/>
      </c>
    </row>
    <row r="685" ht="15" customHeight="1">
      <c r="C685">
        <f>IF($B685="","",INT($B685))</f>
        <v/>
      </c>
      <c r="D685">
        <f>IF($C685="","",$C685-WEEKDAY($C685,2)+1)</f>
        <v/>
      </c>
      <c r="E685">
        <f>IF($C685="","",DATE(YEAR($C685),MONTH($C685),1))</f>
        <v/>
      </c>
      <c r="F685">
        <f>IF($C685="","",YEAR($C685)&amp;"-Q"&amp;ROUNDUP(MONTH($C685)/3,0))</f>
        <v/>
      </c>
      <c r="L685">
        <f>IF($G685&lt;&gt;"ALCOHOL","",IF($K685="","",$H685*IFERROR(VLOOKUP($K685,Drink_Templates!$A:$G,7,FALSE),0)))</f>
        <v/>
      </c>
    </row>
    <row r="686" ht="15" customHeight="1">
      <c r="C686">
        <f>IF($B686="","",INT($B686))</f>
        <v/>
      </c>
      <c r="D686">
        <f>IF($C686="","",$C686-WEEKDAY($C686,2)+1)</f>
        <v/>
      </c>
      <c r="E686">
        <f>IF($C686="","",DATE(YEAR($C686),MONTH($C686),1))</f>
        <v/>
      </c>
      <c r="F686">
        <f>IF($C686="","",YEAR($C686)&amp;"-Q"&amp;ROUNDUP(MONTH($C686)/3,0))</f>
        <v/>
      </c>
      <c r="L686">
        <f>IF($G686&lt;&gt;"ALCOHOL","",IF($K686="","",$H686*IFERROR(VLOOKUP($K686,Drink_Templates!$A:$G,7,FALSE),0)))</f>
        <v/>
      </c>
    </row>
    <row r="687" ht="15" customHeight="1">
      <c r="C687">
        <f>IF($B687="","",INT($B687))</f>
        <v/>
      </c>
      <c r="D687">
        <f>IF($C687="","",$C687-WEEKDAY($C687,2)+1)</f>
        <v/>
      </c>
      <c r="E687">
        <f>IF($C687="","",DATE(YEAR($C687),MONTH($C687),1))</f>
        <v/>
      </c>
      <c r="F687">
        <f>IF($C687="","",YEAR($C687)&amp;"-Q"&amp;ROUNDUP(MONTH($C687)/3,0))</f>
        <v/>
      </c>
      <c r="L687">
        <f>IF($G687&lt;&gt;"ALCOHOL","",IF($K687="","",$H687*IFERROR(VLOOKUP($K687,Drink_Templates!$A:$G,7,FALSE),0)))</f>
        <v/>
      </c>
    </row>
    <row r="688" ht="15" customHeight="1">
      <c r="C688">
        <f>IF($B688="","",INT($B688))</f>
        <v/>
      </c>
      <c r="D688">
        <f>IF($C688="","",$C688-WEEKDAY($C688,2)+1)</f>
        <v/>
      </c>
      <c r="E688">
        <f>IF($C688="","",DATE(YEAR($C688),MONTH($C688),1))</f>
        <v/>
      </c>
      <c r="F688">
        <f>IF($C688="","",YEAR($C688)&amp;"-Q"&amp;ROUNDUP(MONTH($C688)/3,0))</f>
        <v/>
      </c>
      <c r="L688">
        <f>IF($G688&lt;&gt;"ALCOHOL","",IF($K688="","",$H688*IFERROR(VLOOKUP($K688,Drink_Templates!$A:$G,7,FALSE),0)))</f>
        <v/>
      </c>
    </row>
    <row r="689" ht="15" customHeight="1">
      <c r="C689">
        <f>IF($B689="","",INT($B689))</f>
        <v/>
      </c>
      <c r="D689">
        <f>IF($C689="","",$C689-WEEKDAY($C689,2)+1)</f>
        <v/>
      </c>
      <c r="E689">
        <f>IF($C689="","",DATE(YEAR($C689),MONTH($C689),1))</f>
        <v/>
      </c>
      <c r="F689">
        <f>IF($C689="","",YEAR($C689)&amp;"-Q"&amp;ROUNDUP(MONTH($C689)/3,0))</f>
        <v/>
      </c>
      <c r="L689">
        <f>IF($G689&lt;&gt;"ALCOHOL","",IF($K689="","",$H689*IFERROR(VLOOKUP($K689,Drink_Templates!$A:$G,7,FALSE),0)))</f>
        <v/>
      </c>
    </row>
    <row r="690" ht="15" customHeight="1">
      <c r="C690">
        <f>IF($B690="","",INT($B690))</f>
        <v/>
      </c>
      <c r="D690">
        <f>IF($C690="","",$C690-WEEKDAY($C690,2)+1)</f>
        <v/>
      </c>
      <c r="E690">
        <f>IF($C690="","",DATE(YEAR($C690),MONTH($C690),1))</f>
        <v/>
      </c>
      <c r="F690">
        <f>IF($C690="","",YEAR($C690)&amp;"-Q"&amp;ROUNDUP(MONTH($C690)/3,0))</f>
        <v/>
      </c>
      <c r="L690">
        <f>IF($G690&lt;&gt;"ALCOHOL","",IF($K690="","",$H690*IFERROR(VLOOKUP($K690,Drink_Templates!$A:$G,7,FALSE),0)))</f>
        <v/>
      </c>
    </row>
    <row r="691" ht="15" customHeight="1">
      <c r="C691">
        <f>IF($B691="","",INT($B691))</f>
        <v/>
      </c>
      <c r="D691">
        <f>IF($C691="","",$C691-WEEKDAY($C691,2)+1)</f>
        <v/>
      </c>
      <c r="E691">
        <f>IF($C691="","",DATE(YEAR($C691),MONTH($C691),1))</f>
        <v/>
      </c>
      <c r="F691">
        <f>IF($C691="","",YEAR($C691)&amp;"-Q"&amp;ROUNDUP(MONTH($C691)/3,0))</f>
        <v/>
      </c>
      <c r="L691">
        <f>IF($G691&lt;&gt;"ALCOHOL","",IF($K691="","",$H691*IFERROR(VLOOKUP($K691,Drink_Templates!$A:$G,7,FALSE),0)))</f>
        <v/>
      </c>
    </row>
    <row r="692" ht="15" customHeight="1">
      <c r="C692">
        <f>IF($B692="","",INT($B692))</f>
        <v/>
      </c>
      <c r="D692">
        <f>IF($C692="","",$C692-WEEKDAY($C692,2)+1)</f>
        <v/>
      </c>
      <c r="E692">
        <f>IF($C692="","",DATE(YEAR($C692),MONTH($C692),1))</f>
        <v/>
      </c>
      <c r="F692">
        <f>IF($C692="","",YEAR($C692)&amp;"-Q"&amp;ROUNDUP(MONTH($C692)/3,0))</f>
        <v/>
      </c>
      <c r="L692">
        <f>IF($G692&lt;&gt;"ALCOHOL","",IF($K692="","",$H692*IFERROR(VLOOKUP($K692,Drink_Templates!$A:$G,7,FALSE),0)))</f>
        <v/>
      </c>
    </row>
    <row r="693" ht="15" customHeight="1">
      <c r="C693">
        <f>IF($B693="","",INT($B693))</f>
        <v/>
      </c>
      <c r="D693">
        <f>IF($C693="","",$C693-WEEKDAY($C693,2)+1)</f>
        <v/>
      </c>
      <c r="E693">
        <f>IF($C693="","",DATE(YEAR($C693),MONTH($C693),1))</f>
        <v/>
      </c>
      <c r="F693">
        <f>IF($C693="","",YEAR($C693)&amp;"-Q"&amp;ROUNDUP(MONTH($C693)/3,0))</f>
        <v/>
      </c>
      <c r="L693">
        <f>IF($G693&lt;&gt;"ALCOHOL","",IF($K693="","",$H693*IFERROR(VLOOKUP($K693,Drink_Templates!$A:$G,7,FALSE),0)))</f>
        <v/>
      </c>
    </row>
    <row r="694" ht="15" customHeight="1">
      <c r="C694">
        <f>IF($B694="","",INT($B694))</f>
        <v/>
      </c>
      <c r="D694">
        <f>IF($C694="","",$C694-WEEKDAY($C694,2)+1)</f>
        <v/>
      </c>
      <c r="E694">
        <f>IF($C694="","",DATE(YEAR($C694),MONTH($C694),1))</f>
        <v/>
      </c>
      <c r="F694">
        <f>IF($C694="","",YEAR($C694)&amp;"-Q"&amp;ROUNDUP(MONTH($C694)/3,0))</f>
        <v/>
      </c>
      <c r="L694">
        <f>IF($G694&lt;&gt;"ALCOHOL","",IF($K694="","",$H694*IFERROR(VLOOKUP($K694,Drink_Templates!$A:$G,7,FALSE),0)))</f>
        <v/>
      </c>
    </row>
    <row r="695" ht="15" customHeight="1">
      <c r="C695">
        <f>IF($B695="","",INT($B695))</f>
        <v/>
      </c>
      <c r="D695">
        <f>IF($C695="","",$C695-WEEKDAY($C695,2)+1)</f>
        <v/>
      </c>
      <c r="E695">
        <f>IF($C695="","",DATE(YEAR($C695),MONTH($C695),1))</f>
        <v/>
      </c>
      <c r="F695">
        <f>IF($C695="","",YEAR($C695)&amp;"-Q"&amp;ROUNDUP(MONTH($C695)/3,0))</f>
        <v/>
      </c>
      <c r="L695">
        <f>IF($G695&lt;&gt;"ALCOHOL","",IF($K695="","",$H695*IFERROR(VLOOKUP($K695,Drink_Templates!$A:$G,7,FALSE),0)))</f>
        <v/>
      </c>
    </row>
    <row r="696" ht="15" customHeight="1">
      <c r="C696">
        <f>IF($B696="","",INT($B696))</f>
        <v/>
      </c>
      <c r="D696">
        <f>IF($C696="","",$C696-WEEKDAY($C696,2)+1)</f>
        <v/>
      </c>
      <c r="E696">
        <f>IF($C696="","",DATE(YEAR($C696),MONTH($C696),1))</f>
        <v/>
      </c>
      <c r="F696">
        <f>IF($C696="","",YEAR($C696)&amp;"-Q"&amp;ROUNDUP(MONTH($C696)/3,0))</f>
        <v/>
      </c>
      <c r="L696">
        <f>IF($G696&lt;&gt;"ALCOHOL","",IF($K696="","",$H696*IFERROR(VLOOKUP($K696,Drink_Templates!$A:$G,7,FALSE),0)))</f>
        <v/>
      </c>
    </row>
    <row r="697" ht="15" customHeight="1">
      <c r="C697">
        <f>IF($B697="","",INT($B697))</f>
        <v/>
      </c>
      <c r="D697">
        <f>IF($C697="","",$C697-WEEKDAY($C697,2)+1)</f>
        <v/>
      </c>
      <c r="E697">
        <f>IF($C697="","",DATE(YEAR($C697),MONTH($C697),1))</f>
        <v/>
      </c>
      <c r="F697">
        <f>IF($C697="","",YEAR($C697)&amp;"-Q"&amp;ROUNDUP(MONTH($C697)/3,0))</f>
        <v/>
      </c>
      <c r="L697">
        <f>IF($G697&lt;&gt;"ALCOHOL","",IF($K697="","",$H697*IFERROR(VLOOKUP($K697,Drink_Templates!$A:$G,7,FALSE),0)))</f>
        <v/>
      </c>
    </row>
    <row r="698" ht="15" customHeight="1">
      <c r="C698">
        <f>IF($B698="","",INT($B698))</f>
        <v/>
      </c>
      <c r="D698">
        <f>IF($C698="","",$C698-WEEKDAY($C698,2)+1)</f>
        <v/>
      </c>
      <c r="E698">
        <f>IF($C698="","",DATE(YEAR($C698),MONTH($C698),1))</f>
        <v/>
      </c>
      <c r="F698">
        <f>IF($C698="","",YEAR($C698)&amp;"-Q"&amp;ROUNDUP(MONTH($C698)/3,0))</f>
        <v/>
      </c>
      <c r="L698">
        <f>IF($G698&lt;&gt;"ALCOHOL","",IF($K698="","",$H698*IFERROR(VLOOKUP($K698,Drink_Templates!$A:$G,7,FALSE),0)))</f>
        <v/>
      </c>
    </row>
    <row r="699" ht="15" customHeight="1">
      <c r="C699">
        <f>IF($B699="","",INT($B699))</f>
        <v/>
      </c>
      <c r="D699">
        <f>IF($C699="","",$C699-WEEKDAY($C699,2)+1)</f>
        <v/>
      </c>
      <c r="E699">
        <f>IF($C699="","",DATE(YEAR($C699),MONTH($C699),1))</f>
        <v/>
      </c>
      <c r="F699">
        <f>IF($C699="","",YEAR($C699)&amp;"-Q"&amp;ROUNDUP(MONTH($C699)/3,0))</f>
        <v/>
      </c>
      <c r="L699">
        <f>IF($G699&lt;&gt;"ALCOHOL","",IF($K699="","",$H699*IFERROR(VLOOKUP($K699,Drink_Templates!$A:$G,7,FALSE),0)))</f>
        <v/>
      </c>
    </row>
    <row r="700" ht="15" customHeight="1">
      <c r="C700">
        <f>IF($B700="","",INT($B700))</f>
        <v/>
      </c>
      <c r="D700">
        <f>IF($C700="","",$C700-WEEKDAY($C700,2)+1)</f>
        <v/>
      </c>
      <c r="E700">
        <f>IF($C700="","",DATE(YEAR($C700),MONTH($C700),1))</f>
        <v/>
      </c>
      <c r="F700">
        <f>IF($C700="","",YEAR($C700)&amp;"-Q"&amp;ROUNDUP(MONTH($C700)/3,0))</f>
        <v/>
      </c>
      <c r="L700">
        <f>IF($G700&lt;&gt;"ALCOHOL","",IF($K700="","",$H700*IFERROR(VLOOKUP($K700,Drink_Templates!$A:$G,7,FALSE),0)))</f>
        <v/>
      </c>
    </row>
    <row r="701" ht="15" customHeight="1">
      <c r="C701">
        <f>IF($B701="","",INT($B701))</f>
        <v/>
      </c>
      <c r="D701">
        <f>IF($C701="","",$C701-WEEKDAY($C701,2)+1)</f>
        <v/>
      </c>
      <c r="E701">
        <f>IF($C701="","",DATE(YEAR($C701),MONTH($C701),1))</f>
        <v/>
      </c>
      <c r="F701">
        <f>IF($C701="","",YEAR($C701)&amp;"-Q"&amp;ROUNDUP(MONTH($C701)/3,0))</f>
        <v/>
      </c>
      <c r="L701">
        <f>IF($G701&lt;&gt;"ALCOHOL","",IF($K701="","",$H701*IFERROR(VLOOKUP($K701,Drink_Templates!$A:$G,7,FALSE),0)))</f>
        <v/>
      </c>
    </row>
    <row r="702" ht="15" customHeight="1">
      <c r="C702">
        <f>IF($B702="","",INT($B702))</f>
        <v/>
      </c>
      <c r="D702">
        <f>IF($C702="","",$C702-WEEKDAY($C702,2)+1)</f>
        <v/>
      </c>
      <c r="E702">
        <f>IF($C702="","",DATE(YEAR($C702),MONTH($C702),1))</f>
        <v/>
      </c>
      <c r="F702">
        <f>IF($C702="","",YEAR($C702)&amp;"-Q"&amp;ROUNDUP(MONTH($C702)/3,0))</f>
        <v/>
      </c>
      <c r="L702">
        <f>IF($G702&lt;&gt;"ALCOHOL","",IF($K702="","",$H702*IFERROR(VLOOKUP($K702,Drink_Templates!$A:$G,7,FALSE),0)))</f>
        <v/>
      </c>
    </row>
    <row r="703" ht="15" customHeight="1">
      <c r="C703">
        <f>IF($B703="","",INT($B703))</f>
        <v/>
      </c>
      <c r="D703">
        <f>IF($C703="","",$C703-WEEKDAY($C703,2)+1)</f>
        <v/>
      </c>
      <c r="E703">
        <f>IF($C703="","",DATE(YEAR($C703),MONTH($C703),1))</f>
        <v/>
      </c>
      <c r="F703">
        <f>IF($C703="","",YEAR($C703)&amp;"-Q"&amp;ROUNDUP(MONTH($C703)/3,0))</f>
        <v/>
      </c>
      <c r="L703">
        <f>IF($G703&lt;&gt;"ALCOHOL","",IF($K703="","",$H703*IFERROR(VLOOKUP($K703,Drink_Templates!$A:$G,7,FALSE),0)))</f>
        <v/>
      </c>
    </row>
    <row r="704" ht="15" customHeight="1">
      <c r="C704">
        <f>IF($B704="","",INT($B704))</f>
        <v/>
      </c>
      <c r="D704">
        <f>IF($C704="","",$C704-WEEKDAY($C704,2)+1)</f>
        <v/>
      </c>
      <c r="E704">
        <f>IF($C704="","",DATE(YEAR($C704),MONTH($C704),1))</f>
        <v/>
      </c>
      <c r="F704">
        <f>IF($C704="","",YEAR($C704)&amp;"-Q"&amp;ROUNDUP(MONTH($C704)/3,0))</f>
        <v/>
      </c>
      <c r="L704">
        <f>IF($G704&lt;&gt;"ALCOHOL","",IF($K704="","",$H704*IFERROR(VLOOKUP($K704,Drink_Templates!$A:$G,7,FALSE),0)))</f>
        <v/>
      </c>
    </row>
    <row r="705" ht="15" customHeight="1">
      <c r="C705">
        <f>IF($B705="","",INT($B705))</f>
        <v/>
      </c>
      <c r="D705">
        <f>IF($C705="","",$C705-WEEKDAY($C705,2)+1)</f>
        <v/>
      </c>
      <c r="E705">
        <f>IF($C705="","",DATE(YEAR($C705),MONTH($C705),1))</f>
        <v/>
      </c>
      <c r="F705">
        <f>IF($C705="","",YEAR($C705)&amp;"-Q"&amp;ROUNDUP(MONTH($C705)/3,0))</f>
        <v/>
      </c>
      <c r="L705">
        <f>IF($G705&lt;&gt;"ALCOHOL","",IF($K705="","",$H705*IFERROR(VLOOKUP($K705,Drink_Templates!$A:$G,7,FALSE),0)))</f>
        <v/>
      </c>
    </row>
    <row r="706" ht="15" customHeight="1">
      <c r="C706">
        <f>IF($B706="","",INT($B706))</f>
        <v/>
      </c>
      <c r="D706">
        <f>IF($C706="","",$C706-WEEKDAY($C706,2)+1)</f>
        <v/>
      </c>
      <c r="E706">
        <f>IF($C706="","",DATE(YEAR($C706),MONTH($C706),1))</f>
        <v/>
      </c>
      <c r="F706">
        <f>IF($C706="","",YEAR($C706)&amp;"-Q"&amp;ROUNDUP(MONTH($C706)/3,0))</f>
        <v/>
      </c>
      <c r="L706">
        <f>IF($G706&lt;&gt;"ALCOHOL","",IF($K706="","",$H706*IFERROR(VLOOKUP($K706,Drink_Templates!$A:$G,7,FALSE),0)))</f>
        <v/>
      </c>
    </row>
    <row r="707" ht="15" customHeight="1">
      <c r="C707">
        <f>IF($B707="","",INT($B707))</f>
        <v/>
      </c>
      <c r="D707">
        <f>IF($C707="","",$C707-WEEKDAY($C707,2)+1)</f>
        <v/>
      </c>
      <c r="E707">
        <f>IF($C707="","",DATE(YEAR($C707),MONTH($C707),1))</f>
        <v/>
      </c>
      <c r="F707">
        <f>IF($C707="","",YEAR($C707)&amp;"-Q"&amp;ROUNDUP(MONTH($C707)/3,0))</f>
        <v/>
      </c>
      <c r="L707">
        <f>IF($G707&lt;&gt;"ALCOHOL","",IF($K707="","",$H707*IFERROR(VLOOKUP($K707,Drink_Templates!$A:$G,7,FALSE),0)))</f>
        <v/>
      </c>
    </row>
    <row r="708" ht="15" customHeight="1">
      <c r="C708">
        <f>IF($B708="","",INT($B708))</f>
        <v/>
      </c>
      <c r="D708">
        <f>IF($C708="","",$C708-WEEKDAY($C708,2)+1)</f>
        <v/>
      </c>
      <c r="E708">
        <f>IF($C708="","",DATE(YEAR($C708),MONTH($C708),1))</f>
        <v/>
      </c>
      <c r="F708">
        <f>IF($C708="","",YEAR($C708)&amp;"-Q"&amp;ROUNDUP(MONTH($C708)/3,0))</f>
        <v/>
      </c>
      <c r="L708">
        <f>IF($G708&lt;&gt;"ALCOHOL","",IF($K708="","",$H708*IFERROR(VLOOKUP($K708,Drink_Templates!$A:$G,7,FALSE),0)))</f>
        <v/>
      </c>
    </row>
    <row r="709" ht="15" customHeight="1">
      <c r="C709">
        <f>IF($B709="","",INT($B709))</f>
        <v/>
      </c>
      <c r="D709">
        <f>IF($C709="","",$C709-WEEKDAY($C709,2)+1)</f>
        <v/>
      </c>
      <c r="E709">
        <f>IF($C709="","",DATE(YEAR($C709),MONTH($C709),1))</f>
        <v/>
      </c>
      <c r="F709">
        <f>IF($C709="","",YEAR($C709)&amp;"-Q"&amp;ROUNDUP(MONTH($C709)/3,0))</f>
        <v/>
      </c>
      <c r="L709">
        <f>IF($G709&lt;&gt;"ALCOHOL","",IF($K709="","",$H709*IFERROR(VLOOKUP($K709,Drink_Templates!$A:$G,7,FALSE),0)))</f>
        <v/>
      </c>
    </row>
    <row r="710" ht="15" customHeight="1">
      <c r="C710">
        <f>IF($B710="","",INT($B710))</f>
        <v/>
      </c>
      <c r="D710">
        <f>IF($C710="","",$C710-WEEKDAY($C710,2)+1)</f>
        <v/>
      </c>
      <c r="E710">
        <f>IF($C710="","",DATE(YEAR($C710),MONTH($C710),1))</f>
        <v/>
      </c>
      <c r="F710">
        <f>IF($C710="","",YEAR($C710)&amp;"-Q"&amp;ROUNDUP(MONTH($C710)/3,0))</f>
        <v/>
      </c>
      <c r="L710">
        <f>IF($G710&lt;&gt;"ALCOHOL","",IF($K710="","",$H710*IFERROR(VLOOKUP($K710,Drink_Templates!$A:$G,7,FALSE),0)))</f>
        <v/>
      </c>
    </row>
    <row r="711" ht="15" customHeight="1">
      <c r="C711">
        <f>IF($B711="","",INT($B711))</f>
        <v/>
      </c>
      <c r="D711">
        <f>IF($C711="","",$C711-WEEKDAY($C711,2)+1)</f>
        <v/>
      </c>
      <c r="E711">
        <f>IF($C711="","",DATE(YEAR($C711),MONTH($C711),1))</f>
        <v/>
      </c>
      <c r="F711">
        <f>IF($C711="","",YEAR($C711)&amp;"-Q"&amp;ROUNDUP(MONTH($C711)/3,0))</f>
        <v/>
      </c>
      <c r="L711">
        <f>IF($G711&lt;&gt;"ALCOHOL","",IF($K711="","",$H711*IFERROR(VLOOKUP($K711,Drink_Templates!$A:$G,7,FALSE),0)))</f>
        <v/>
      </c>
    </row>
    <row r="712" ht="15" customHeight="1">
      <c r="C712">
        <f>IF($B712="","",INT($B712))</f>
        <v/>
      </c>
      <c r="D712">
        <f>IF($C712="","",$C712-WEEKDAY($C712,2)+1)</f>
        <v/>
      </c>
      <c r="E712">
        <f>IF($C712="","",DATE(YEAR($C712),MONTH($C712),1))</f>
        <v/>
      </c>
      <c r="F712">
        <f>IF($C712="","",YEAR($C712)&amp;"-Q"&amp;ROUNDUP(MONTH($C712)/3,0))</f>
        <v/>
      </c>
      <c r="L712">
        <f>IF($G712&lt;&gt;"ALCOHOL","",IF($K712="","",$H712*IFERROR(VLOOKUP($K712,Drink_Templates!$A:$G,7,FALSE),0)))</f>
        <v/>
      </c>
    </row>
    <row r="713" ht="15" customHeight="1">
      <c r="C713">
        <f>IF($B713="","",INT($B713))</f>
        <v/>
      </c>
      <c r="D713">
        <f>IF($C713="","",$C713-WEEKDAY($C713,2)+1)</f>
        <v/>
      </c>
      <c r="E713">
        <f>IF($C713="","",DATE(YEAR($C713),MONTH($C713),1))</f>
        <v/>
      </c>
      <c r="F713">
        <f>IF($C713="","",YEAR($C713)&amp;"-Q"&amp;ROUNDUP(MONTH($C713)/3,0))</f>
        <v/>
      </c>
      <c r="L713">
        <f>IF($G713&lt;&gt;"ALCOHOL","",IF($K713="","",$H713*IFERROR(VLOOKUP($K713,Drink_Templates!$A:$G,7,FALSE),0)))</f>
        <v/>
      </c>
    </row>
    <row r="714" ht="15" customHeight="1">
      <c r="C714">
        <f>IF($B714="","",INT($B714))</f>
        <v/>
      </c>
      <c r="D714">
        <f>IF($C714="","",$C714-WEEKDAY($C714,2)+1)</f>
        <v/>
      </c>
      <c r="E714">
        <f>IF($C714="","",DATE(YEAR($C714),MONTH($C714),1))</f>
        <v/>
      </c>
      <c r="F714">
        <f>IF($C714="","",YEAR($C714)&amp;"-Q"&amp;ROUNDUP(MONTH($C714)/3,0))</f>
        <v/>
      </c>
      <c r="L714">
        <f>IF($G714&lt;&gt;"ALCOHOL","",IF($K714="","",$H714*IFERROR(VLOOKUP($K714,Drink_Templates!$A:$G,7,FALSE),0)))</f>
        <v/>
      </c>
    </row>
    <row r="715" ht="15" customHeight="1">
      <c r="C715">
        <f>IF($B715="","",INT($B715))</f>
        <v/>
      </c>
      <c r="D715">
        <f>IF($C715="","",$C715-WEEKDAY($C715,2)+1)</f>
        <v/>
      </c>
      <c r="E715">
        <f>IF($C715="","",DATE(YEAR($C715),MONTH($C715),1))</f>
        <v/>
      </c>
      <c r="F715">
        <f>IF($C715="","",YEAR($C715)&amp;"-Q"&amp;ROUNDUP(MONTH($C715)/3,0))</f>
        <v/>
      </c>
      <c r="L715">
        <f>IF($G715&lt;&gt;"ALCOHOL","",IF($K715="","",$H715*IFERROR(VLOOKUP($K715,Drink_Templates!$A:$G,7,FALSE),0)))</f>
        <v/>
      </c>
    </row>
    <row r="716" ht="15" customHeight="1">
      <c r="C716">
        <f>IF($B716="","",INT($B716))</f>
        <v/>
      </c>
      <c r="D716">
        <f>IF($C716="","",$C716-WEEKDAY($C716,2)+1)</f>
        <v/>
      </c>
      <c r="E716">
        <f>IF($C716="","",DATE(YEAR($C716),MONTH($C716),1))</f>
        <v/>
      </c>
      <c r="F716">
        <f>IF($C716="","",YEAR($C716)&amp;"-Q"&amp;ROUNDUP(MONTH($C716)/3,0))</f>
        <v/>
      </c>
      <c r="L716">
        <f>IF($G716&lt;&gt;"ALCOHOL","",IF($K716="","",$H716*IFERROR(VLOOKUP($K716,Drink_Templates!$A:$G,7,FALSE),0)))</f>
        <v/>
      </c>
    </row>
    <row r="717" ht="15" customHeight="1">
      <c r="C717">
        <f>IF($B717="","",INT($B717))</f>
        <v/>
      </c>
      <c r="D717">
        <f>IF($C717="","",$C717-WEEKDAY($C717,2)+1)</f>
        <v/>
      </c>
      <c r="E717">
        <f>IF($C717="","",DATE(YEAR($C717),MONTH($C717),1))</f>
        <v/>
      </c>
      <c r="F717">
        <f>IF($C717="","",YEAR($C717)&amp;"-Q"&amp;ROUNDUP(MONTH($C717)/3,0))</f>
        <v/>
      </c>
      <c r="L717">
        <f>IF($G717&lt;&gt;"ALCOHOL","",IF($K717="","",$H717*IFERROR(VLOOKUP($K717,Drink_Templates!$A:$G,7,FALSE),0)))</f>
        <v/>
      </c>
    </row>
    <row r="718" ht="15" customHeight="1">
      <c r="C718">
        <f>IF($B718="","",INT($B718))</f>
        <v/>
      </c>
      <c r="D718">
        <f>IF($C718="","",$C718-WEEKDAY($C718,2)+1)</f>
        <v/>
      </c>
      <c r="E718">
        <f>IF($C718="","",DATE(YEAR($C718),MONTH($C718),1))</f>
        <v/>
      </c>
      <c r="F718">
        <f>IF($C718="","",YEAR($C718)&amp;"-Q"&amp;ROUNDUP(MONTH($C718)/3,0))</f>
        <v/>
      </c>
      <c r="L718">
        <f>IF($G718&lt;&gt;"ALCOHOL","",IF($K718="","",$H718*IFERROR(VLOOKUP($K718,Drink_Templates!$A:$G,7,FALSE),0)))</f>
        <v/>
      </c>
    </row>
    <row r="719" ht="15" customHeight="1">
      <c r="C719">
        <f>IF($B719="","",INT($B719))</f>
        <v/>
      </c>
      <c r="D719">
        <f>IF($C719="","",$C719-WEEKDAY($C719,2)+1)</f>
        <v/>
      </c>
      <c r="E719">
        <f>IF($C719="","",DATE(YEAR($C719),MONTH($C719),1))</f>
        <v/>
      </c>
      <c r="F719">
        <f>IF($C719="","",YEAR($C719)&amp;"-Q"&amp;ROUNDUP(MONTH($C719)/3,0))</f>
        <v/>
      </c>
      <c r="L719">
        <f>IF($G719&lt;&gt;"ALCOHOL","",IF($K719="","",$H719*IFERROR(VLOOKUP($K719,Drink_Templates!$A:$G,7,FALSE),0)))</f>
        <v/>
      </c>
    </row>
    <row r="720" ht="15" customHeight="1">
      <c r="C720">
        <f>IF($B720="","",INT($B720))</f>
        <v/>
      </c>
      <c r="D720">
        <f>IF($C720="","",$C720-WEEKDAY($C720,2)+1)</f>
        <v/>
      </c>
      <c r="E720">
        <f>IF($C720="","",DATE(YEAR($C720),MONTH($C720),1))</f>
        <v/>
      </c>
      <c r="F720">
        <f>IF($C720="","",YEAR($C720)&amp;"-Q"&amp;ROUNDUP(MONTH($C720)/3,0))</f>
        <v/>
      </c>
      <c r="L720">
        <f>IF($G720&lt;&gt;"ALCOHOL","",IF($K720="","",$H720*IFERROR(VLOOKUP($K720,Drink_Templates!$A:$G,7,FALSE),0)))</f>
        <v/>
      </c>
    </row>
    <row r="721" ht="15" customHeight="1">
      <c r="C721">
        <f>IF($B721="","",INT($B721))</f>
        <v/>
      </c>
      <c r="D721">
        <f>IF($C721="","",$C721-WEEKDAY($C721,2)+1)</f>
        <v/>
      </c>
      <c r="E721">
        <f>IF($C721="","",DATE(YEAR($C721),MONTH($C721),1))</f>
        <v/>
      </c>
      <c r="F721">
        <f>IF($C721="","",YEAR($C721)&amp;"-Q"&amp;ROUNDUP(MONTH($C721)/3,0))</f>
        <v/>
      </c>
      <c r="L721">
        <f>IF($G721&lt;&gt;"ALCOHOL","",IF($K721="","",$H721*IFERROR(VLOOKUP($K721,Drink_Templates!$A:$G,7,FALSE),0)))</f>
        <v/>
      </c>
    </row>
    <row r="722" ht="15" customHeight="1">
      <c r="C722">
        <f>IF($B722="","",INT($B722))</f>
        <v/>
      </c>
      <c r="D722">
        <f>IF($C722="","",$C722-WEEKDAY($C722,2)+1)</f>
        <v/>
      </c>
      <c r="E722">
        <f>IF($C722="","",DATE(YEAR($C722),MONTH($C722),1))</f>
        <v/>
      </c>
      <c r="F722">
        <f>IF($C722="","",YEAR($C722)&amp;"-Q"&amp;ROUNDUP(MONTH($C722)/3,0))</f>
        <v/>
      </c>
      <c r="L722">
        <f>IF($G722&lt;&gt;"ALCOHOL","",IF($K722="","",$H722*IFERROR(VLOOKUP($K722,Drink_Templates!$A:$G,7,FALSE),0)))</f>
        <v/>
      </c>
    </row>
    <row r="723" ht="15" customHeight="1">
      <c r="C723">
        <f>IF($B723="","",INT($B723))</f>
        <v/>
      </c>
      <c r="D723">
        <f>IF($C723="","",$C723-WEEKDAY($C723,2)+1)</f>
        <v/>
      </c>
      <c r="E723">
        <f>IF($C723="","",DATE(YEAR($C723),MONTH($C723),1))</f>
        <v/>
      </c>
      <c r="F723">
        <f>IF($C723="","",YEAR($C723)&amp;"-Q"&amp;ROUNDUP(MONTH($C723)/3,0))</f>
        <v/>
      </c>
      <c r="L723">
        <f>IF($G723&lt;&gt;"ALCOHOL","",IF($K723="","",$H723*IFERROR(VLOOKUP($K723,Drink_Templates!$A:$G,7,FALSE),0)))</f>
        <v/>
      </c>
    </row>
    <row r="724" ht="15" customHeight="1">
      <c r="C724">
        <f>IF($B724="","",INT($B724))</f>
        <v/>
      </c>
      <c r="D724">
        <f>IF($C724="","",$C724-WEEKDAY($C724,2)+1)</f>
        <v/>
      </c>
      <c r="E724">
        <f>IF($C724="","",DATE(YEAR($C724),MONTH($C724),1))</f>
        <v/>
      </c>
      <c r="F724">
        <f>IF($C724="","",YEAR($C724)&amp;"-Q"&amp;ROUNDUP(MONTH($C724)/3,0))</f>
        <v/>
      </c>
      <c r="L724">
        <f>IF($G724&lt;&gt;"ALCOHOL","",IF($K724="","",$H724*IFERROR(VLOOKUP($K724,Drink_Templates!$A:$G,7,FALSE),0)))</f>
        <v/>
      </c>
    </row>
    <row r="725" ht="15" customHeight="1">
      <c r="C725">
        <f>IF($B725="","",INT($B725))</f>
        <v/>
      </c>
      <c r="D725">
        <f>IF($C725="","",$C725-WEEKDAY($C725,2)+1)</f>
        <v/>
      </c>
      <c r="E725">
        <f>IF($C725="","",DATE(YEAR($C725),MONTH($C725),1))</f>
        <v/>
      </c>
      <c r="F725">
        <f>IF($C725="","",YEAR($C725)&amp;"-Q"&amp;ROUNDUP(MONTH($C725)/3,0))</f>
        <v/>
      </c>
      <c r="L725">
        <f>IF($G725&lt;&gt;"ALCOHOL","",IF($K725="","",$H725*IFERROR(VLOOKUP($K725,Drink_Templates!$A:$G,7,FALSE),0)))</f>
        <v/>
      </c>
    </row>
    <row r="726" ht="15" customHeight="1">
      <c r="C726">
        <f>IF($B726="","",INT($B726))</f>
        <v/>
      </c>
      <c r="D726">
        <f>IF($C726="","",$C726-WEEKDAY($C726,2)+1)</f>
        <v/>
      </c>
      <c r="E726">
        <f>IF($C726="","",DATE(YEAR($C726),MONTH($C726),1))</f>
        <v/>
      </c>
      <c r="F726">
        <f>IF($C726="","",YEAR($C726)&amp;"-Q"&amp;ROUNDUP(MONTH($C726)/3,0))</f>
        <v/>
      </c>
      <c r="L726">
        <f>IF($G726&lt;&gt;"ALCOHOL","",IF($K726="","",$H726*IFERROR(VLOOKUP($K726,Drink_Templates!$A:$G,7,FALSE),0)))</f>
        <v/>
      </c>
    </row>
    <row r="727" ht="15" customHeight="1">
      <c r="C727">
        <f>IF($B727="","",INT($B727))</f>
        <v/>
      </c>
      <c r="D727">
        <f>IF($C727="","",$C727-WEEKDAY($C727,2)+1)</f>
        <v/>
      </c>
      <c r="E727">
        <f>IF($C727="","",DATE(YEAR($C727),MONTH($C727),1))</f>
        <v/>
      </c>
      <c r="F727">
        <f>IF($C727="","",YEAR($C727)&amp;"-Q"&amp;ROUNDUP(MONTH($C727)/3,0))</f>
        <v/>
      </c>
      <c r="L727">
        <f>IF($G727&lt;&gt;"ALCOHOL","",IF($K727="","",$H727*IFERROR(VLOOKUP($K727,Drink_Templates!$A:$G,7,FALSE),0)))</f>
        <v/>
      </c>
    </row>
    <row r="728" ht="15" customHeight="1">
      <c r="C728">
        <f>IF($B728="","",INT($B728))</f>
        <v/>
      </c>
      <c r="D728">
        <f>IF($C728="","",$C728-WEEKDAY($C728,2)+1)</f>
        <v/>
      </c>
      <c r="E728">
        <f>IF($C728="","",DATE(YEAR($C728),MONTH($C728),1))</f>
        <v/>
      </c>
      <c r="F728">
        <f>IF($C728="","",YEAR($C728)&amp;"-Q"&amp;ROUNDUP(MONTH($C728)/3,0))</f>
        <v/>
      </c>
      <c r="L728">
        <f>IF($G728&lt;&gt;"ALCOHOL","",IF($K728="","",$H728*IFERROR(VLOOKUP($K728,Drink_Templates!$A:$G,7,FALSE),0)))</f>
        <v/>
      </c>
    </row>
    <row r="729" ht="15" customHeight="1">
      <c r="C729">
        <f>IF($B729="","",INT($B729))</f>
        <v/>
      </c>
      <c r="D729">
        <f>IF($C729="","",$C729-WEEKDAY($C729,2)+1)</f>
        <v/>
      </c>
      <c r="E729">
        <f>IF($C729="","",DATE(YEAR($C729),MONTH($C729),1))</f>
        <v/>
      </c>
      <c r="F729">
        <f>IF($C729="","",YEAR($C729)&amp;"-Q"&amp;ROUNDUP(MONTH($C729)/3,0))</f>
        <v/>
      </c>
      <c r="L729">
        <f>IF($G729&lt;&gt;"ALCOHOL","",IF($K729="","",$H729*IFERROR(VLOOKUP($K729,Drink_Templates!$A:$G,7,FALSE),0)))</f>
        <v/>
      </c>
    </row>
    <row r="730" ht="15" customHeight="1">
      <c r="C730">
        <f>IF($B730="","",INT($B730))</f>
        <v/>
      </c>
      <c r="D730">
        <f>IF($C730="","",$C730-WEEKDAY($C730,2)+1)</f>
        <v/>
      </c>
      <c r="E730">
        <f>IF($C730="","",DATE(YEAR($C730),MONTH($C730),1))</f>
        <v/>
      </c>
      <c r="F730">
        <f>IF($C730="","",YEAR($C730)&amp;"-Q"&amp;ROUNDUP(MONTH($C730)/3,0))</f>
        <v/>
      </c>
      <c r="L730">
        <f>IF($G730&lt;&gt;"ALCOHOL","",IF($K730="","",$H730*IFERROR(VLOOKUP($K730,Drink_Templates!$A:$G,7,FALSE),0)))</f>
        <v/>
      </c>
    </row>
    <row r="731" ht="15" customHeight="1">
      <c r="C731">
        <f>IF($B731="","",INT($B731))</f>
        <v/>
      </c>
      <c r="D731">
        <f>IF($C731="","",$C731-WEEKDAY($C731,2)+1)</f>
        <v/>
      </c>
      <c r="E731">
        <f>IF($C731="","",DATE(YEAR($C731),MONTH($C731),1))</f>
        <v/>
      </c>
      <c r="F731">
        <f>IF($C731="","",YEAR($C731)&amp;"-Q"&amp;ROUNDUP(MONTH($C731)/3,0))</f>
        <v/>
      </c>
      <c r="L731">
        <f>IF($G731&lt;&gt;"ALCOHOL","",IF($K731="","",$H731*IFERROR(VLOOKUP($K731,Drink_Templates!$A:$G,7,FALSE),0)))</f>
        <v/>
      </c>
    </row>
    <row r="732" ht="15" customHeight="1">
      <c r="C732">
        <f>IF($B732="","",INT($B732))</f>
        <v/>
      </c>
      <c r="D732">
        <f>IF($C732="","",$C732-WEEKDAY($C732,2)+1)</f>
        <v/>
      </c>
      <c r="E732">
        <f>IF($C732="","",DATE(YEAR($C732),MONTH($C732),1))</f>
        <v/>
      </c>
      <c r="F732">
        <f>IF($C732="","",YEAR($C732)&amp;"-Q"&amp;ROUNDUP(MONTH($C732)/3,0))</f>
        <v/>
      </c>
      <c r="L732">
        <f>IF($G732&lt;&gt;"ALCOHOL","",IF($K732="","",$H732*IFERROR(VLOOKUP($K732,Drink_Templates!$A:$G,7,FALSE),0)))</f>
        <v/>
      </c>
    </row>
    <row r="733" ht="15" customHeight="1">
      <c r="C733">
        <f>IF($B733="","",INT($B733))</f>
        <v/>
      </c>
      <c r="D733">
        <f>IF($C733="","",$C733-WEEKDAY($C733,2)+1)</f>
        <v/>
      </c>
      <c r="E733">
        <f>IF($C733="","",DATE(YEAR($C733),MONTH($C733),1))</f>
        <v/>
      </c>
      <c r="F733">
        <f>IF($C733="","",YEAR($C733)&amp;"-Q"&amp;ROUNDUP(MONTH($C733)/3,0))</f>
        <v/>
      </c>
      <c r="L733">
        <f>IF($G733&lt;&gt;"ALCOHOL","",IF($K733="","",$H733*IFERROR(VLOOKUP($K733,Drink_Templates!$A:$G,7,FALSE),0)))</f>
        <v/>
      </c>
    </row>
    <row r="734" ht="15" customHeight="1">
      <c r="C734">
        <f>IF($B734="","",INT($B734))</f>
        <v/>
      </c>
      <c r="D734">
        <f>IF($C734="","",$C734-WEEKDAY($C734,2)+1)</f>
        <v/>
      </c>
      <c r="E734">
        <f>IF($C734="","",DATE(YEAR($C734),MONTH($C734),1))</f>
        <v/>
      </c>
      <c r="F734">
        <f>IF($C734="","",YEAR($C734)&amp;"-Q"&amp;ROUNDUP(MONTH($C734)/3,0))</f>
        <v/>
      </c>
      <c r="L734">
        <f>IF($G734&lt;&gt;"ALCOHOL","",IF($K734="","",$H734*IFERROR(VLOOKUP($K734,Drink_Templates!$A:$G,7,FALSE),0)))</f>
        <v/>
      </c>
    </row>
    <row r="735" ht="15" customHeight="1">
      <c r="C735">
        <f>IF($B735="","",INT($B735))</f>
        <v/>
      </c>
      <c r="D735">
        <f>IF($C735="","",$C735-WEEKDAY($C735,2)+1)</f>
        <v/>
      </c>
      <c r="E735">
        <f>IF($C735="","",DATE(YEAR($C735),MONTH($C735),1))</f>
        <v/>
      </c>
      <c r="F735">
        <f>IF($C735="","",YEAR($C735)&amp;"-Q"&amp;ROUNDUP(MONTH($C735)/3,0))</f>
        <v/>
      </c>
      <c r="L735">
        <f>IF($G735&lt;&gt;"ALCOHOL","",IF($K735="","",$H735*IFERROR(VLOOKUP($K735,Drink_Templates!$A:$G,7,FALSE),0)))</f>
        <v/>
      </c>
    </row>
    <row r="736" ht="15" customHeight="1">
      <c r="C736">
        <f>IF($B736="","",INT($B736))</f>
        <v/>
      </c>
      <c r="D736">
        <f>IF($C736="","",$C736-WEEKDAY($C736,2)+1)</f>
        <v/>
      </c>
      <c r="E736">
        <f>IF($C736="","",DATE(YEAR($C736),MONTH($C736),1))</f>
        <v/>
      </c>
      <c r="F736">
        <f>IF($C736="","",YEAR($C736)&amp;"-Q"&amp;ROUNDUP(MONTH($C736)/3,0))</f>
        <v/>
      </c>
      <c r="L736">
        <f>IF($G736&lt;&gt;"ALCOHOL","",IF($K736="","",$H736*IFERROR(VLOOKUP($K736,Drink_Templates!$A:$G,7,FALSE),0)))</f>
        <v/>
      </c>
    </row>
    <row r="737" ht="15" customHeight="1">
      <c r="C737">
        <f>IF($B737="","",INT($B737))</f>
        <v/>
      </c>
      <c r="D737">
        <f>IF($C737="","",$C737-WEEKDAY($C737,2)+1)</f>
        <v/>
      </c>
      <c r="E737">
        <f>IF($C737="","",DATE(YEAR($C737),MONTH($C737),1))</f>
        <v/>
      </c>
      <c r="F737">
        <f>IF($C737="","",YEAR($C737)&amp;"-Q"&amp;ROUNDUP(MONTH($C737)/3,0))</f>
        <v/>
      </c>
      <c r="L737">
        <f>IF($G737&lt;&gt;"ALCOHOL","",IF($K737="","",$H737*IFERROR(VLOOKUP($K737,Drink_Templates!$A:$G,7,FALSE),0)))</f>
        <v/>
      </c>
    </row>
    <row r="738" ht="15" customHeight="1">
      <c r="C738">
        <f>IF($B738="","",INT($B738))</f>
        <v/>
      </c>
      <c r="D738">
        <f>IF($C738="","",$C738-WEEKDAY($C738,2)+1)</f>
        <v/>
      </c>
      <c r="E738">
        <f>IF($C738="","",DATE(YEAR($C738),MONTH($C738),1))</f>
        <v/>
      </c>
      <c r="F738">
        <f>IF($C738="","",YEAR($C738)&amp;"-Q"&amp;ROUNDUP(MONTH($C738)/3,0))</f>
        <v/>
      </c>
      <c r="L738">
        <f>IF($G738&lt;&gt;"ALCOHOL","",IF($K738="","",$H738*IFERROR(VLOOKUP($K738,Drink_Templates!$A:$G,7,FALSE),0)))</f>
        <v/>
      </c>
    </row>
    <row r="739" ht="15" customHeight="1">
      <c r="C739">
        <f>IF($B739="","",INT($B739))</f>
        <v/>
      </c>
      <c r="D739">
        <f>IF($C739="","",$C739-WEEKDAY($C739,2)+1)</f>
        <v/>
      </c>
      <c r="E739">
        <f>IF($C739="","",DATE(YEAR($C739),MONTH($C739),1))</f>
        <v/>
      </c>
      <c r="F739">
        <f>IF($C739="","",YEAR($C739)&amp;"-Q"&amp;ROUNDUP(MONTH($C739)/3,0))</f>
        <v/>
      </c>
      <c r="L739">
        <f>IF($G739&lt;&gt;"ALCOHOL","",IF($K739="","",$H739*IFERROR(VLOOKUP($K739,Drink_Templates!$A:$G,7,FALSE),0)))</f>
        <v/>
      </c>
    </row>
    <row r="740" ht="15" customHeight="1">
      <c r="C740">
        <f>IF($B740="","",INT($B740))</f>
        <v/>
      </c>
      <c r="D740">
        <f>IF($C740="","",$C740-WEEKDAY($C740,2)+1)</f>
        <v/>
      </c>
      <c r="E740">
        <f>IF($C740="","",DATE(YEAR($C740),MONTH($C740),1))</f>
        <v/>
      </c>
      <c r="F740">
        <f>IF($C740="","",YEAR($C740)&amp;"-Q"&amp;ROUNDUP(MONTH($C740)/3,0))</f>
        <v/>
      </c>
      <c r="L740">
        <f>IF($G740&lt;&gt;"ALCOHOL","",IF($K740="","",$H740*IFERROR(VLOOKUP($K740,Drink_Templates!$A:$G,7,FALSE),0)))</f>
        <v/>
      </c>
    </row>
    <row r="741" ht="15" customHeight="1">
      <c r="C741">
        <f>IF($B741="","",INT($B741))</f>
        <v/>
      </c>
      <c r="D741">
        <f>IF($C741="","",$C741-WEEKDAY($C741,2)+1)</f>
        <v/>
      </c>
      <c r="E741">
        <f>IF($C741="","",DATE(YEAR($C741),MONTH($C741),1))</f>
        <v/>
      </c>
      <c r="F741">
        <f>IF($C741="","",YEAR($C741)&amp;"-Q"&amp;ROUNDUP(MONTH($C741)/3,0))</f>
        <v/>
      </c>
      <c r="L741">
        <f>IF($G741&lt;&gt;"ALCOHOL","",IF($K741="","",$H741*IFERROR(VLOOKUP($K741,Drink_Templates!$A:$G,7,FALSE),0)))</f>
        <v/>
      </c>
    </row>
    <row r="742" ht="15" customHeight="1">
      <c r="C742">
        <f>IF($B742="","",INT($B742))</f>
        <v/>
      </c>
      <c r="D742">
        <f>IF($C742="","",$C742-WEEKDAY($C742,2)+1)</f>
        <v/>
      </c>
      <c r="E742">
        <f>IF($C742="","",DATE(YEAR($C742),MONTH($C742),1))</f>
        <v/>
      </c>
      <c r="F742">
        <f>IF($C742="","",YEAR($C742)&amp;"-Q"&amp;ROUNDUP(MONTH($C742)/3,0))</f>
        <v/>
      </c>
      <c r="L742">
        <f>IF($G742&lt;&gt;"ALCOHOL","",IF($K742="","",$H742*IFERROR(VLOOKUP($K742,Drink_Templates!$A:$G,7,FALSE),0)))</f>
        <v/>
      </c>
    </row>
    <row r="743" ht="15" customHeight="1">
      <c r="C743">
        <f>IF($B743="","",INT($B743))</f>
        <v/>
      </c>
      <c r="D743">
        <f>IF($C743="","",$C743-WEEKDAY($C743,2)+1)</f>
        <v/>
      </c>
      <c r="E743">
        <f>IF($C743="","",DATE(YEAR($C743),MONTH($C743),1))</f>
        <v/>
      </c>
      <c r="F743">
        <f>IF($C743="","",YEAR($C743)&amp;"-Q"&amp;ROUNDUP(MONTH($C743)/3,0))</f>
        <v/>
      </c>
      <c r="L743">
        <f>IF($G743&lt;&gt;"ALCOHOL","",IF($K743="","",$H743*IFERROR(VLOOKUP($K743,Drink_Templates!$A:$G,7,FALSE),0)))</f>
        <v/>
      </c>
    </row>
    <row r="744" ht="15" customHeight="1">
      <c r="C744">
        <f>IF($B744="","",INT($B744))</f>
        <v/>
      </c>
      <c r="D744">
        <f>IF($C744="","",$C744-WEEKDAY($C744,2)+1)</f>
        <v/>
      </c>
      <c r="E744">
        <f>IF($C744="","",DATE(YEAR($C744),MONTH($C744),1))</f>
        <v/>
      </c>
      <c r="F744">
        <f>IF($C744="","",YEAR($C744)&amp;"-Q"&amp;ROUNDUP(MONTH($C744)/3,0))</f>
        <v/>
      </c>
      <c r="L744">
        <f>IF($G744&lt;&gt;"ALCOHOL","",IF($K744="","",$H744*IFERROR(VLOOKUP($K744,Drink_Templates!$A:$G,7,FALSE),0)))</f>
        <v/>
      </c>
    </row>
    <row r="745" ht="15" customHeight="1">
      <c r="C745">
        <f>IF($B745="","",INT($B745))</f>
        <v/>
      </c>
      <c r="D745">
        <f>IF($C745="","",$C745-WEEKDAY($C745,2)+1)</f>
        <v/>
      </c>
      <c r="E745">
        <f>IF($C745="","",DATE(YEAR($C745),MONTH($C745),1))</f>
        <v/>
      </c>
      <c r="F745">
        <f>IF($C745="","",YEAR($C745)&amp;"-Q"&amp;ROUNDUP(MONTH($C745)/3,0))</f>
        <v/>
      </c>
      <c r="L745">
        <f>IF($G745&lt;&gt;"ALCOHOL","",IF($K745="","",$H745*IFERROR(VLOOKUP($K745,Drink_Templates!$A:$G,7,FALSE),0)))</f>
        <v/>
      </c>
    </row>
    <row r="746" ht="15" customHeight="1">
      <c r="C746">
        <f>IF($B746="","",INT($B746))</f>
        <v/>
      </c>
      <c r="D746">
        <f>IF($C746="","",$C746-WEEKDAY($C746,2)+1)</f>
        <v/>
      </c>
      <c r="E746">
        <f>IF($C746="","",DATE(YEAR($C746),MONTH($C746),1))</f>
        <v/>
      </c>
      <c r="F746">
        <f>IF($C746="","",YEAR($C746)&amp;"-Q"&amp;ROUNDUP(MONTH($C746)/3,0))</f>
        <v/>
      </c>
      <c r="L746">
        <f>IF($G746&lt;&gt;"ALCOHOL","",IF($K746="","",$H746*IFERROR(VLOOKUP($K746,Drink_Templates!$A:$G,7,FALSE),0)))</f>
        <v/>
      </c>
    </row>
    <row r="747" ht="15" customHeight="1">
      <c r="C747">
        <f>IF($B747="","",INT($B747))</f>
        <v/>
      </c>
      <c r="D747">
        <f>IF($C747="","",$C747-WEEKDAY($C747,2)+1)</f>
        <v/>
      </c>
      <c r="E747">
        <f>IF($C747="","",DATE(YEAR($C747),MONTH($C747),1))</f>
        <v/>
      </c>
      <c r="F747">
        <f>IF($C747="","",YEAR($C747)&amp;"-Q"&amp;ROUNDUP(MONTH($C747)/3,0))</f>
        <v/>
      </c>
      <c r="L747">
        <f>IF($G747&lt;&gt;"ALCOHOL","",IF($K747="","",$H747*IFERROR(VLOOKUP($K747,Drink_Templates!$A:$G,7,FALSE),0)))</f>
        <v/>
      </c>
    </row>
    <row r="748" ht="15" customHeight="1">
      <c r="C748">
        <f>IF($B748="","",INT($B748))</f>
        <v/>
      </c>
      <c r="D748">
        <f>IF($C748="","",$C748-WEEKDAY($C748,2)+1)</f>
        <v/>
      </c>
      <c r="E748">
        <f>IF($C748="","",DATE(YEAR($C748),MONTH($C748),1))</f>
        <v/>
      </c>
      <c r="F748">
        <f>IF($C748="","",YEAR($C748)&amp;"-Q"&amp;ROUNDUP(MONTH($C748)/3,0))</f>
        <v/>
      </c>
      <c r="L748">
        <f>IF($G748&lt;&gt;"ALCOHOL","",IF($K748="","",$H748*IFERROR(VLOOKUP($K748,Drink_Templates!$A:$G,7,FALSE),0)))</f>
        <v/>
      </c>
    </row>
    <row r="749" ht="15" customHeight="1">
      <c r="C749">
        <f>IF($B749="","",INT($B749))</f>
        <v/>
      </c>
      <c r="D749">
        <f>IF($C749="","",$C749-WEEKDAY($C749,2)+1)</f>
        <v/>
      </c>
      <c r="E749">
        <f>IF($C749="","",DATE(YEAR($C749),MONTH($C749),1))</f>
        <v/>
      </c>
      <c r="F749">
        <f>IF($C749="","",YEAR($C749)&amp;"-Q"&amp;ROUNDUP(MONTH($C749)/3,0))</f>
        <v/>
      </c>
      <c r="L749">
        <f>IF($G749&lt;&gt;"ALCOHOL","",IF($K749="","",$H749*IFERROR(VLOOKUP($K749,Drink_Templates!$A:$G,7,FALSE),0)))</f>
        <v/>
      </c>
    </row>
    <row r="750" ht="15" customHeight="1">
      <c r="C750">
        <f>IF($B750="","",INT($B750))</f>
        <v/>
      </c>
      <c r="D750">
        <f>IF($C750="","",$C750-WEEKDAY($C750,2)+1)</f>
        <v/>
      </c>
      <c r="E750">
        <f>IF($C750="","",DATE(YEAR($C750),MONTH($C750),1))</f>
        <v/>
      </c>
      <c r="F750">
        <f>IF($C750="","",YEAR($C750)&amp;"-Q"&amp;ROUNDUP(MONTH($C750)/3,0))</f>
        <v/>
      </c>
      <c r="L750">
        <f>IF($G750&lt;&gt;"ALCOHOL","",IF($K750="","",$H750*IFERROR(VLOOKUP($K750,Drink_Templates!$A:$G,7,FALSE),0)))</f>
        <v/>
      </c>
    </row>
    <row r="751" ht="15" customHeight="1">
      <c r="C751">
        <f>IF($B751="","",INT($B751))</f>
        <v/>
      </c>
      <c r="D751">
        <f>IF($C751="","",$C751-WEEKDAY($C751,2)+1)</f>
        <v/>
      </c>
      <c r="E751">
        <f>IF($C751="","",DATE(YEAR($C751),MONTH($C751),1))</f>
        <v/>
      </c>
      <c r="F751">
        <f>IF($C751="","",YEAR($C751)&amp;"-Q"&amp;ROUNDUP(MONTH($C751)/3,0))</f>
        <v/>
      </c>
      <c r="L751">
        <f>IF($G751&lt;&gt;"ALCOHOL","",IF($K751="","",$H751*IFERROR(VLOOKUP($K751,Drink_Templates!$A:$G,7,FALSE),0)))</f>
        <v/>
      </c>
    </row>
    <row r="752" ht="15" customHeight="1">
      <c r="C752">
        <f>IF($B752="","",INT($B752))</f>
        <v/>
      </c>
      <c r="D752">
        <f>IF($C752="","",$C752-WEEKDAY($C752,2)+1)</f>
        <v/>
      </c>
      <c r="E752">
        <f>IF($C752="","",DATE(YEAR($C752),MONTH($C752),1))</f>
        <v/>
      </c>
      <c r="F752">
        <f>IF($C752="","",YEAR($C752)&amp;"-Q"&amp;ROUNDUP(MONTH($C752)/3,0))</f>
        <v/>
      </c>
      <c r="L752">
        <f>IF($G752&lt;&gt;"ALCOHOL","",IF($K752="","",$H752*IFERROR(VLOOKUP($K752,Drink_Templates!$A:$G,7,FALSE),0)))</f>
        <v/>
      </c>
    </row>
    <row r="753" ht="15" customHeight="1">
      <c r="C753">
        <f>IF($B753="","",INT($B753))</f>
        <v/>
      </c>
      <c r="D753">
        <f>IF($C753="","",$C753-WEEKDAY($C753,2)+1)</f>
        <v/>
      </c>
      <c r="E753">
        <f>IF($C753="","",DATE(YEAR($C753),MONTH($C753),1))</f>
        <v/>
      </c>
      <c r="F753">
        <f>IF($C753="","",YEAR($C753)&amp;"-Q"&amp;ROUNDUP(MONTH($C753)/3,0))</f>
        <v/>
      </c>
      <c r="L753">
        <f>IF($G753&lt;&gt;"ALCOHOL","",IF($K753="","",$H753*IFERROR(VLOOKUP($K753,Drink_Templates!$A:$G,7,FALSE),0)))</f>
        <v/>
      </c>
    </row>
    <row r="754" ht="15" customHeight="1">
      <c r="C754">
        <f>IF($B754="","",INT($B754))</f>
        <v/>
      </c>
      <c r="D754">
        <f>IF($C754="","",$C754-WEEKDAY($C754,2)+1)</f>
        <v/>
      </c>
      <c r="E754">
        <f>IF($C754="","",DATE(YEAR($C754),MONTH($C754),1))</f>
        <v/>
      </c>
      <c r="F754">
        <f>IF($C754="","",YEAR($C754)&amp;"-Q"&amp;ROUNDUP(MONTH($C754)/3,0))</f>
        <v/>
      </c>
      <c r="L754">
        <f>IF($G754&lt;&gt;"ALCOHOL","",IF($K754="","",$H754*IFERROR(VLOOKUP($K754,Drink_Templates!$A:$G,7,FALSE),0)))</f>
        <v/>
      </c>
    </row>
    <row r="755" ht="15" customHeight="1">
      <c r="C755">
        <f>IF($B755="","",INT($B755))</f>
        <v/>
      </c>
      <c r="D755">
        <f>IF($C755="","",$C755-WEEKDAY($C755,2)+1)</f>
        <v/>
      </c>
      <c r="E755">
        <f>IF($C755="","",DATE(YEAR($C755),MONTH($C755),1))</f>
        <v/>
      </c>
      <c r="F755">
        <f>IF($C755="","",YEAR($C755)&amp;"-Q"&amp;ROUNDUP(MONTH($C755)/3,0))</f>
        <v/>
      </c>
      <c r="L755">
        <f>IF($G755&lt;&gt;"ALCOHOL","",IF($K755="","",$H755*IFERROR(VLOOKUP($K755,Drink_Templates!$A:$G,7,FALSE),0)))</f>
        <v/>
      </c>
    </row>
    <row r="756" ht="15" customHeight="1">
      <c r="C756">
        <f>IF($B756="","",INT($B756))</f>
        <v/>
      </c>
      <c r="D756">
        <f>IF($C756="","",$C756-WEEKDAY($C756,2)+1)</f>
        <v/>
      </c>
      <c r="E756">
        <f>IF($C756="","",DATE(YEAR($C756),MONTH($C756),1))</f>
        <v/>
      </c>
      <c r="F756">
        <f>IF($C756="","",YEAR($C756)&amp;"-Q"&amp;ROUNDUP(MONTH($C756)/3,0))</f>
        <v/>
      </c>
      <c r="L756">
        <f>IF($G756&lt;&gt;"ALCOHOL","",IF($K756="","",$H756*IFERROR(VLOOKUP($K756,Drink_Templates!$A:$G,7,FALSE),0)))</f>
        <v/>
      </c>
    </row>
    <row r="757" ht="15" customHeight="1">
      <c r="C757">
        <f>IF($B757="","",INT($B757))</f>
        <v/>
      </c>
      <c r="D757">
        <f>IF($C757="","",$C757-WEEKDAY($C757,2)+1)</f>
        <v/>
      </c>
      <c r="E757">
        <f>IF($C757="","",DATE(YEAR($C757),MONTH($C757),1))</f>
        <v/>
      </c>
      <c r="F757">
        <f>IF($C757="","",YEAR($C757)&amp;"-Q"&amp;ROUNDUP(MONTH($C757)/3,0))</f>
        <v/>
      </c>
      <c r="L757">
        <f>IF($G757&lt;&gt;"ALCOHOL","",IF($K757="","",$H757*IFERROR(VLOOKUP($K757,Drink_Templates!$A:$G,7,FALSE),0)))</f>
        <v/>
      </c>
    </row>
    <row r="758" ht="15" customHeight="1">
      <c r="C758">
        <f>IF($B758="","",INT($B758))</f>
        <v/>
      </c>
      <c r="D758">
        <f>IF($C758="","",$C758-WEEKDAY($C758,2)+1)</f>
        <v/>
      </c>
      <c r="E758">
        <f>IF($C758="","",DATE(YEAR($C758),MONTH($C758),1))</f>
        <v/>
      </c>
      <c r="F758">
        <f>IF($C758="","",YEAR($C758)&amp;"-Q"&amp;ROUNDUP(MONTH($C758)/3,0))</f>
        <v/>
      </c>
      <c r="L758">
        <f>IF($G758&lt;&gt;"ALCOHOL","",IF($K758="","",$H758*IFERROR(VLOOKUP($K758,Drink_Templates!$A:$G,7,FALSE),0)))</f>
        <v/>
      </c>
    </row>
    <row r="759" ht="15" customHeight="1">
      <c r="C759">
        <f>IF($B759="","",INT($B759))</f>
        <v/>
      </c>
      <c r="D759">
        <f>IF($C759="","",$C759-WEEKDAY($C759,2)+1)</f>
        <v/>
      </c>
      <c r="E759">
        <f>IF($C759="","",DATE(YEAR($C759),MONTH($C759),1))</f>
        <v/>
      </c>
      <c r="F759">
        <f>IF($C759="","",YEAR($C759)&amp;"-Q"&amp;ROUNDUP(MONTH($C759)/3,0))</f>
        <v/>
      </c>
      <c r="L759">
        <f>IF($G759&lt;&gt;"ALCOHOL","",IF($K759="","",$H759*IFERROR(VLOOKUP($K759,Drink_Templates!$A:$G,7,FALSE),0)))</f>
        <v/>
      </c>
    </row>
    <row r="760" ht="15" customHeight="1">
      <c r="C760">
        <f>IF($B760="","",INT($B760))</f>
        <v/>
      </c>
      <c r="D760">
        <f>IF($C760="","",$C760-WEEKDAY($C760,2)+1)</f>
        <v/>
      </c>
      <c r="E760">
        <f>IF($C760="","",DATE(YEAR($C760),MONTH($C760),1))</f>
        <v/>
      </c>
      <c r="F760">
        <f>IF($C760="","",YEAR($C760)&amp;"-Q"&amp;ROUNDUP(MONTH($C760)/3,0))</f>
        <v/>
      </c>
      <c r="L760">
        <f>IF($G760&lt;&gt;"ALCOHOL","",IF($K760="","",$H760*IFERROR(VLOOKUP($K760,Drink_Templates!$A:$G,7,FALSE),0)))</f>
        <v/>
      </c>
    </row>
    <row r="761" ht="15" customHeight="1">
      <c r="C761">
        <f>IF($B761="","",INT($B761))</f>
        <v/>
      </c>
      <c r="D761">
        <f>IF($C761="","",$C761-WEEKDAY($C761,2)+1)</f>
        <v/>
      </c>
      <c r="E761">
        <f>IF($C761="","",DATE(YEAR($C761),MONTH($C761),1))</f>
        <v/>
      </c>
      <c r="F761">
        <f>IF($C761="","",YEAR($C761)&amp;"-Q"&amp;ROUNDUP(MONTH($C761)/3,0))</f>
        <v/>
      </c>
      <c r="L761">
        <f>IF($G761&lt;&gt;"ALCOHOL","",IF($K761="","",$H761*IFERROR(VLOOKUP($K761,Drink_Templates!$A:$G,7,FALSE),0)))</f>
        <v/>
      </c>
    </row>
    <row r="762" ht="15" customHeight="1">
      <c r="C762">
        <f>IF($B762="","",INT($B762))</f>
        <v/>
      </c>
      <c r="D762">
        <f>IF($C762="","",$C762-WEEKDAY($C762,2)+1)</f>
        <v/>
      </c>
      <c r="E762">
        <f>IF($C762="","",DATE(YEAR($C762),MONTH($C762),1))</f>
        <v/>
      </c>
      <c r="F762">
        <f>IF($C762="","",YEAR($C762)&amp;"-Q"&amp;ROUNDUP(MONTH($C762)/3,0))</f>
        <v/>
      </c>
      <c r="L762">
        <f>IF($G762&lt;&gt;"ALCOHOL","",IF($K762="","",$H762*IFERROR(VLOOKUP($K762,Drink_Templates!$A:$G,7,FALSE),0)))</f>
        <v/>
      </c>
    </row>
    <row r="763" ht="15" customHeight="1">
      <c r="C763">
        <f>IF($B763="","",INT($B763))</f>
        <v/>
      </c>
      <c r="D763">
        <f>IF($C763="","",$C763-WEEKDAY($C763,2)+1)</f>
        <v/>
      </c>
      <c r="E763">
        <f>IF($C763="","",DATE(YEAR($C763),MONTH($C763),1))</f>
        <v/>
      </c>
      <c r="F763">
        <f>IF($C763="","",YEAR($C763)&amp;"-Q"&amp;ROUNDUP(MONTH($C763)/3,0))</f>
        <v/>
      </c>
      <c r="L763">
        <f>IF($G763&lt;&gt;"ALCOHOL","",IF($K763="","",$H763*IFERROR(VLOOKUP($K763,Drink_Templates!$A:$G,7,FALSE),0)))</f>
        <v/>
      </c>
    </row>
    <row r="764" ht="15" customHeight="1">
      <c r="C764">
        <f>IF($B764="","",INT($B764))</f>
        <v/>
      </c>
      <c r="D764">
        <f>IF($C764="","",$C764-WEEKDAY($C764,2)+1)</f>
        <v/>
      </c>
      <c r="E764">
        <f>IF($C764="","",DATE(YEAR($C764),MONTH($C764),1))</f>
        <v/>
      </c>
      <c r="F764">
        <f>IF($C764="","",YEAR($C764)&amp;"-Q"&amp;ROUNDUP(MONTH($C764)/3,0))</f>
        <v/>
      </c>
      <c r="L764">
        <f>IF($G764&lt;&gt;"ALCOHOL","",IF($K764="","",$H764*IFERROR(VLOOKUP($K764,Drink_Templates!$A:$G,7,FALSE),0)))</f>
        <v/>
      </c>
    </row>
    <row r="765" ht="15" customHeight="1">
      <c r="C765">
        <f>IF($B765="","",INT($B765))</f>
        <v/>
      </c>
      <c r="D765">
        <f>IF($C765="","",$C765-WEEKDAY($C765,2)+1)</f>
        <v/>
      </c>
      <c r="E765">
        <f>IF($C765="","",DATE(YEAR($C765),MONTH($C765),1))</f>
        <v/>
      </c>
      <c r="F765">
        <f>IF($C765="","",YEAR($C765)&amp;"-Q"&amp;ROUNDUP(MONTH($C765)/3,0))</f>
        <v/>
      </c>
      <c r="L765">
        <f>IF($G765&lt;&gt;"ALCOHOL","",IF($K765="","",$H765*IFERROR(VLOOKUP($K765,Drink_Templates!$A:$G,7,FALSE),0)))</f>
        <v/>
      </c>
    </row>
    <row r="766" ht="15" customHeight="1">
      <c r="C766">
        <f>IF($B766="","",INT($B766))</f>
        <v/>
      </c>
      <c r="D766">
        <f>IF($C766="","",$C766-WEEKDAY($C766,2)+1)</f>
        <v/>
      </c>
      <c r="E766">
        <f>IF($C766="","",DATE(YEAR($C766),MONTH($C766),1))</f>
        <v/>
      </c>
      <c r="F766">
        <f>IF($C766="","",YEAR($C766)&amp;"-Q"&amp;ROUNDUP(MONTH($C766)/3,0))</f>
        <v/>
      </c>
      <c r="L766">
        <f>IF($G766&lt;&gt;"ALCOHOL","",IF($K766="","",$H766*IFERROR(VLOOKUP($K766,Drink_Templates!$A:$G,7,FALSE),0)))</f>
        <v/>
      </c>
    </row>
    <row r="767" ht="15" customHeight="1">
      <c r="C767">
        <f>IF($B767="","",INT($B767))</f>
        <v/>
      </c>
      <c r="D767">
        <f>IF($C767="","",$C767-WEEKDAY($C767,2)+1)</f>
        <v/>
      </c>
      <c r="E767">
        <f>IF($C767="","",DATE(YEAR($C767),MONTH($C767),1))</f>
        <v/>
      </c>
      <c r="F767">
        <f>IF($C767="","",YEAR($C767)&amp;"-Q"&amp;ROUNDUP(MONTH($C767)/3,0))</f>
        <v/>
      </c>
      <c r="L767">
        <f>IF($G767&lt;&gt;"ALCOHOL","",IF($K767="","",$H767*IFERROR(VLOOKUP($K767,Drink_Templates!$A:$G,7,FALSE),0)))</f>
        <v/>
      </c>
    </row>
    <row r="768" ht="15" customHeight="1">
      <c r="C768">
        <f>IF($B768="","",INT($B768))</f>
        <v/>
      </c>
      <c r="D768">
        <f>IF($C768="","",$C768-WEEKDAY($C768,2)+1)</f>
        <v/>
      </c>
      <c r="E768">
        <f>IF($C768="","",DATE(YEAR($C768),MONTH($C768),1))</f>
        <v/>
      </c>
      <c r="F768">
        <f>IF($C768="","",YEAR($C768)&amp;"-Q"&amp;ROUNDUP(MONTH($C768)/3,0))</f>
        <v/>
      </c>
      <c r="L768">
        <f>IF($G768&lt;&gt;"ALCOHOL","",IF($K768="","",$H768*IFERROR(VLOOKUP($K768,Drink_Templates!$A:$G,7,FALSE),0)))</f>
        <v/>
      </c>
    </row>
    <row r="769" ht="15" customHeight="1">
      <c r="C769">
        <f>IF($B769="","",INT($B769))</f>
        <v/>
      </c>
      <c r="D769">
        <f>IF($C769="","",$C769-WEEKDAY($C769,2)+1)</f>
        <v/>
      </c>
      <c r="E769">
        <f>IF($C769="","",DATE(YEAR($C769),MONTH($C769),1))</f>
        <v/>
      </c>
      <c r="F769">
        <f>IF($C769="","",YEAR($C769)&amp;"-Q"&amp;ROUNDUP(MONTH($C769)/3,0))</f>
        <v/>
      </c>
      <c r="L769">
        <f>IF($G769&lt;&gt;"ALCOHOL","",IF($K769="","",$H769*IFERROR(VLOOKUP($K769,Drink_Templates!$A:$G,7,FALSE),0)))</f>
        <v/>
      </c>
    </row>
    <row r="770" ht="15" customHeight="1">
      <c r="C770">
        <f>IF($B770="","",INT($B770))</f>
        <v/>
      </c>
      <c r="D770">
        <f>IF($C770="","",$C770-WEEKDAY($C770,2)+1)</f>
        <v/>
      </c>
      <c r="E770">
        <f>IF($C770="","",DATE(YEAR($C770),MONTH($C770),1))</f>
        <v/>
      </c>
      <c r="F770">
        <f>IF($C770="","",YEAR($C770)&amp;"-Q"&amp;ROUNDUP(MONTH($C770)/3,0))</f>
        <v/>
      </c>
      <c r="L770">
        <f>IF($G770&lt;&gt;"ALCOHOL","",IF($K770="","",$H770*IFERROR(VLOOKUP($K770,Drink_Templates!$A:$G,7,FALSE),0)))</f>
        <v/>
      </c>
    </row>
    <row r="771" ht="15" customHeight="1">
      <c r="C771">
        <f>IF($B771="","",INT($B771))</f>
        <v/>
      </c>
      <c r="D771">
        <f>IF($C771="","",$C771-WEEKDAY($C771,2)+1)</f>
        <v/>
      </c>
      <c r="E771">
        <f>IF($C771="","",DATE(YEAR($C771),MONTH($C771),1))</f>
        <v/>
      </c>
      <c r="F771">
        <f>IF($C771="","",YEAR($C771)&amp;"-Q"&amp;ROUNDUP(MONTH($C771)/3,0))</f>
        <v/>
      </c>
      <c r="L771">
        <f>IF($G771&lt;&gt;"ALCOHOL","",IF($K771="","",$H771*IFERROR(VLOOKUP($K771,Drink_Templates!$A:$G,7,FALSE),0)))</f>
        <v/>
      </c>
    </row>
    <row r="772" ht="15" customHeight="1">
      <c r="C772">
        <f>IF($B772="","",INT($B772))</f>
        <v/>
      </c>
      <c r="D772">
        <f>IF($C772="","",$C772-WEEKDAY($C772,2)+1)</f>
        <v/>
      </c>
      <c r="E772">
        <f>IF($C772="","",DATE(YEAR($C772),MONTH($C772),1))</f>
        <v/>
      </c>
      <c r="F772">
        <f>IF($C772="","",YEAR($C772)&amp;"-Q"&amp;ROUNDUP(MONTH($C772)/3,0))</f>
        <v/>
      </c>
      <c r="L772">
        <f>IF($G772&lt;&gt;"ALCOHOL","",IF($K772="","",$H772*IFERROR(VLOOKUP($K772,Drink_Templates!$A:$G,7,FALSE),0)))</f>
        <v/>
      </c>
    </row>
    <row r="773" ht="15" customHeight="1">
      <c r="C773">
        <f>IF($B773="","",INT($B773))</f>
        <v/>
      </c>
      <c r="D773">
        <f>IF($C773="","",$C773-WEEKDAY($C773,2)+1)</f>
        <v/>
      </c>
      <c r="E773">
        <f>IF($C773="","",DATE(YEAR($C773),MONTH($C773),1))</f>
        <v/>
      </c>
      <c r="F773">
        <f>IF($C773="","",YEAR($C773)&amp;"-Q"&amp;ROUNDUP(MONTH($C773)/3,0))</f>
        <v/>
      </c>
      <c r="L773">
        <f>IF($G773&lt;&gt;"ALCOHOL","",IF($K773="","",$H773*IFERROR(VLOOKUP($K773,Drink_Templates!$A:$G,7,FALSE),0)))</f>
        <v/>
      </c>
    </row>
    <row r="774" ht="15" customHeight="1">
      <c r="C774">
        <f>IF($B774="","",INT($B774))</f>
        <v/>
      </c>
      <c r="D774">
        <f>IF($C774="","",$C774-WEEKDAY($C774,2)+1)</f>
        <v/>
      </c>
      <c r="E774">
        <f>IF($C774="","",DATE(YEAR($C774),MONTH($C774),1))</f>
        <v/>
      </c>
      <c r="F774">
        <f>IF($C774="","",YEAR($C774)&amp;"-Q"&amp;ROUNDUP(MONTH($C774)/3,0))</f>
        <v/>
      </c>
      <c r="L774">
        <f>IF($G774&lt;&gt;"ALCOHOL","",IF($K774="","",$H774*IFERROR(VLOOKUP($K774,Drink_Templates!$A:$G,7,FALSE),0)))</f>
        <v/>
      </c>
    </row>
    <row r="775" ht="15" customHeight="1">
      <c r="C775">
        <f>IF($B775="","",INT($B775))</f>
        <v/>
      </c>
      <c r="D775">
        <f>IF($C775="","",$C775-WEEKDAY($C775,2)+1)</f>
        <v/>
      </c>
      <c r="E775">
        <f>IF($C775="","",DATE(YEAR($C775),MONTH($C775),1))</f>
        <v/>
      </c>
      <c r="F775">
        <f>IF($C775="","",YEAR($C775)&amp;"-Q"&amp;ROUNDUP(MONTH($C775)/3,0))</f>
        <v/>
      </c>
      <c r="L775">
        <f>IF($G775&lt;&gt;"ALCOHOL","",IF($K775="","",$H775*IFERROR(VLOOKUP($K775,Drink_Templates!$A:$G,7,FALSE),0)))</f>
        <v/>
      </c>
    </row>
    <row r="776" ht="15" customHeight="1">
      <c r="C776">
        <f>IF($B776="","",INT($B776))</f>
        <v/>
      </c>
      <c r="D776">
        <f>IF($C776="","",$C776-WEEKDAY($C776,2)+1)</f>
        <v/>
      </c>
      <c r="E776">
        <f>IF($C776="","",DATE(YEAR($C776),MONTH($C776),1))</f>
        <v/>
      </c>
      <c r="F776">
        <f>IF($C776="","",YEAR($C776)&amp;"-Q"&amp;ROUNDUP(MONTH($C776)/3,0))</f>
        <v/>
      </c>
      <c r="L776">
        <f>IF($G776&lt;&gt;"ALCOHOL","",IF($K776="","",$H776*IFERROR(VLOOKUP($K776,Drink_Templates!$A:$G,7,FALSE),0)))</f>
        <v/>
      </c>
    </row>
    <row r="777" ht="15" customHeight="1">
      <c r="C777">
        <f>IF($B777="","",INT($B777))</f>
        <v/>
      </c>
      <c r="D777">
        <f>IF($C777="","",$C777-WEEKDAY($C777,2)+1)</f>
        <v/>
      </c>
      <c r="E777">
        <f>IF($C777="","",DATE(YEAR($C777),MONTH($C777),1))</f>
        <v/>
      </c>
      <c r="F777">
        <f>IF($C777="","",YEAR($C777)&amp;"-Q"&amp;ROUNDUP(MONTH($C777)/3,0))</f>
        <v/>
      </c>
      <c r="L777">
        <f>IF($G777&lt;&gt;"ALCOHOL","",IF($K777="","",$H777*IFERROR(VLOOKUP($K777,Drink_Templates!$A:$G,7,FALSE),0)))</f>
        <v/>
      </c>
    </row>
    <row r="778" ht="15" customHeight="1">
      <c r="C778">
        <f>IF($B778="","",INT($B778))</f>
        <v/>
      </c>
      <c r="D778">
        <f>IF($C778="","",$C778-WEEKDAY($C778,2)+1)</f>
        <v/>
      </c>
      <c r="E778">
        <f>IF($C778="","",DATE(YEAR($C778),MONTH($C778),1))</f>
        <v/>
      </c>
      <c r="F778">
        <f>IF($C778="","",YEAR($C778)&amp;"-Q"&amp;ROUNDUP(MONTH($C778)/3,0))</f>
        <v/>
      </c>
      <c r="L778">
        <f>IF($G778&lt;&gt;"ALCOHOL","",IF($K778="","",$H778*IFERROR(VLOOKUP($K778,Drink_Templates!$A:$G,7,FALSE),0)))</f>
        <v/>
      </c>
    </row>
    <row r="779" ht="15" customHeight="1">
      <c r="C779">
        <f>IF($B779="","",INT($B779))</f>
        <v/>
      </c>
      <c r="D779">
        <f>IF($C779="","",$C779-WEEKDAY($C779,2)+1)</f>
        <v/>
      </c>
      <c r="E779">
        <f>IF($C779="","",DATE(YEAR($C779),MONTH($C779),1))</f>
        <v/>
      </c>
      <c r="F779">
        <f>IF($C779="","",YEAR($C779)&amp;"-Q"&amp;ROUNDUP(MONTH($C779)/3,0))</f>
        <v/>
      </c>
      <c r="L779">
        <f>IF($G779&lt;&gt;"ALCOHOL","",IF($K779="","",$H779*IFERROR(VLOOKUP($K779,Drink_Templates!$A:$G,7,FALSE),0)))</f>
        <v/>
      </c>
    </row>
    <row r="780" ht="15" customHeight="1">
      <c r="C780">
        <f>IF($B780="","",INT($B780))</f>
        <v/>
      </c>
      <c r="D780">
        <f>IF($C780="","",$C780-WEEKDAY($C780,2)+1)</f>
        <v/>
      </c>
      <c r="E780">
        <f>IF($C780="","",DATE(YEAR($C780),MONTH($C780),1))</f>
        <v/>
      </c>
      <c r="F780">
        <f>IF($C780="","",YEAR($C780)&amp;"-Q"&amp;ROUNDUP(MONTH($C780)/3,0))</f>
        <v/>
      </c>
      <c r="L780">
        <f>IF($G780&lt;&gt;"ALCOHOL","",IF($K780="","",$H780*IFERROR(VLOOKUP($K780,Drink_Templates!$A:$G,7,FALSE),0)))</f>
        <v/>
      </c>
    </row>
    <row r="781" ht="15" customHeight="1">
      <c r="C781">
        <f>IF($B781="","",INT($B781))</f>
        <v/>
      </c>
      <c r="D781">
        <f>IF($C781="","",$C781-WEEKDAY($C781,2)+1)</f>
        <v/>
      </c>
      <c r="E781">
        <f>IF($C781="","",DATE(YEAR($C781),MONTH($C781),1))</f>
        <v/>
      </c>
      <c r="F781">
        <f>IF($C781="","",YEAR($C781)&amp;"-Q"&amp;ROUNDUP(MONTH($C781)/3,0))</f>
        <v/>
      </c>
      <c r="L781">
        <f>IF($G781&lt;&gt;"ALCOHOL","",IF($K781="","",$H781*IFERROR(VLOOKUP($K781,Drink_Templates!$A:$G,7,FALSE),0)))</f>
        <v/>
      </c>
    </row>
    <row r="782" ht="15" customHeight="1">
      <c r="C782">
        <f>IF($B782="","",INT($B782))</f>
        <v/>
      </c>
      <c r="D782">
        <f>IF($C782="","",$C782-WEEKDAY($C782,2)+1)</f>
        <v/>
      </c>
      <c r="E782">
        <f>IF($C782="","",DATE(YEAR($C782),MONTH($C782),1))</f>
        <v/>
      </c>
      <c r="F782">
        <f>IF($C782="","",YEAR($C782)&amp;"-Q"&amp;ROUNDUP(MONTH($C782)/3,0))</f>
        <v/>
      </c>
      <c r="L782">
        <f>IF($G782&lt;&gt;"ALCOHOL","",IF($K782="","",$H782*IFERROR(VLOOKUP($K782,Drink_Templates!$A:$G,7,FALSE),0)))</f>
        <v/>
      </c>
    </row>
    <row r="783" ht="15" customHeight="1">
      <c r="C783">
        <f>IF($B783="","",INT($B783))</f>
        <v/>
      </c>
      <c r="D783">
        <f>IF($C783="","",$C783-WEEKDAY($C783,2)+1)</f>
        <v/>
      </c>
      <c r="E783">
        <f>IF($C783="","",DATE(YEAR($C783),MONTH($C783),1))</f>
        <v/>
      </c>
      <c r="F783">
        <f>IF($C783="","",YEAR($C783)&amp;"-Q"&amp;ROUNDUP(MONTH($C783)/3,0))</f>
        <v/>
      </c>
      <c r="L783">
        <f>IF($G783&lt;&gt;"ALCOHOL","",IF($K783="","",$H783*IFERROR(VLOOKUP($K783,Drink_Templates!$A:$G,7,FALSE),0)))</f>
        <v/>
      </c>
    </row>
    <row r="784" ht="15" customHeight="1">
      <c r="C784">
        <f>IF($B784="","",INT($B784))</f>
        <v/>
      </c>
      <c r="D784">
        <f>IF($C784="","",$C784-WEEKDAY($C784,2)+1)</f>
        <v/>
      </c>
      <c r="E784">
        <f>IF($C784="","",DATE(YEAR($C784),MONTH($C784),1))</f>
        <v/>
      </c>
      <c r="F784">
        <f>IF($C784="","",YEAR($C784)&amp;"-Q"&amp;ROUNDUP(MONTH($C784)/3,0))</f>
        <v/>
      </c>
      <c r="L784">
        <f>IF($G784&lt;&gt;"ALCOHOL","",IF($K784="","",$H784*IFERROR(VLOOKUP($K784,Drink_Templates!$A:$G,7,FALSE),0)))</f>
        <v/>
      </c>
    </row>
    <row r="785" ht="15" customHeight="1">
      <c r="C785">
        <f>IF($B785="","",INT($B785))</f>
        <v/>
      </c>
      <c r="D785">
        <f>IF($C785="","",$C785-WEEKDAY($C785,2)+1)</f>
        <v/>
      </c>
      <c r="E785">
        <f>IF($C785="","",DATE(YEAR($C785),MONTH($C785),1))</f>
        <v/>
      </c>
      <c r="F785">
        <f>IF($C785="","",YEAR($C785)&amp;"-Q"&amp;ROUNDUP(MONTH($C785)/3,0))</f>
        <v/>
      </c>
      <c r="L785">
        <f>IF($G785&lt;&gt;"ALCOHOL","",IF($K785="","",$H785*IFERROR(VLOOKUP($K785,Drink_Templates!$A:$G,7,FALSE),0)))</f>
        <v/>
      </c>
    </row>
    <row r="786" ht="15" customHeight="1">
      <c r="C786">
        <f>IF($B786="","",INT($B786))</f>
        <v/>
      </c>
      <c r="D786">
        <f>IF($C786="","",$C786-WEEKDAY($C786,2)+1)</f>
        <v/>
      </c>
      <c r="E786">
        <f>IF($C786="","",DATE(YEAR($C786),MONTH($C786),1))</f>
        <v/>
      </c>
      <c r="F786">
        <f>IF($C786="","",YEAR($C786)&amp;"-Q"&amp;ROUNDUP(MONTH($C786)/3,0))</f>
        <v/>
      </c>
      <c r="L786">
        <f>IF($G786&lt;&gt;"ALCOHOL","",IF($K786="","",$H786*IFERROR(VLOOKUP($K786,Drink_Templates!$A:$G,7,FALSE),0)))</f>
        <v/>
      </c>
    </row>
    <row r="787" ht="15" customHeight="1">
      <c r="C787">
        <f>IF($B787="","",INT($B787))</f>
        <v/>
      </c>
      <c r="D787">
        <f>IF($C787="","",$C787-WEEKDAY($C787,2)+1)</f>
        <v/>
      </c>
      <c r="E787">
        <f>IF($C787="","",DATE(YEAR($C787),MONTH($C787),1))</f>
        <v/>
      </c>
      <c r="F787">
        <f>IF($C787="","",YEAR($C787)&amp;"-Q"&amp;ROUNDUP(MONTH($C787)/3,0))</f>
        <v/>
      </c>
      <c r="L787">
        <f>IF($G787&lt;&gt;"ALCOHOL","",IF($K787="","",$H787*IFERROR(VLOOKUP($K787,Drink_Templates!$A:$G,7,FALSE),0)))</f>
        <v/>
      </c>
    </row>
    <row r="788" ht="15" customHeight="1">
      <c r="C788">
        <f>IF($B788="","",INT($B788))</f>
        <v/>
      </c>
      <c r="D788">
        <f>IF($C788="","",$C788-WEEKDAY($C788,2)+1)</f>
        <v/>
      </c>
      <c r="E788">
        <f>IF($C788="","",DATE(YEAR($C788),MONTH($C788),1))</f>
        <v/>
      </c>
      <c r="F788">
        <f>IF($C788="","",YEAR($C788)&amp;"-Q"&amp;ROUNDUP(MONTH($C788)/3,0))</f>
        <v/>
      </c>
      <c r="L788">
        <f>IF($G788&lt;&gt;"ALCOHOL","",IF($K788="","",$H788*IFERROR(VLOOKUP($K788,Drink_Templates!$A:$G,7,FALSE),0)))</f>
        <v/>
      </c>
    </row>
    <row r="789" ht="15" customHeight="1">
      <c r="C789">
        <f>IF($B789="","",INT($B789))</f>
        <v/>
      </c>
      <c r="D789">
        <f>IF($C789="","",$C789-WEEKDAY($C789,2)+1)</f>
        <v/>
      </c>
      <c r="E789">
        <f>IF($C789="","",DATE(YEAR($C789),MONTH($C789),1))</f>
        <v/>
      </c>
      <c r="F789">
        <f>IF($C789="","",YEAR($C789)&amp;"-Q"&amp;ROUNDUP(MONTH($C789)/3,0))</f>
        <v/>
      </c>
      <c r="L789">
        <f>IF($G789&lt;&gt;"ALCOHOL","",IF($K789="","",$H789*IFERROR(VLOOKUP($K789,Drink_Templates!$A:$G,7,FALSE),0)))</f>
        <v/>
      </c>
    </row>
    <row r="790" ht="15" customHeight="1">
      <c r="C790">
        <f>IF($B790="","",INT($B790))</f>
        <v/>
      </c>
      <c r="D790">
        <f>IF($C790="","",$C790-WEEKDAY($C790,2)+1)</f>
        <v/>
      </c>
      <c r="E790">
        <f>IF($C790="","",DATE(YEAR($C790),MONTH($C790),1))</f>
        <v/>
      </c>
      <c r="F790">
        <f>IF($C790="","",YEAR($C790)&amp;"-Q"&amp;ROUNDUP(MONTH($C790)/3,0))</f>
        <v/>
      </c>
      <c r="L790">
        <f>IF($G790&lt;&gt;"ALCOHOL","",IF($K790="","",$H790*IFERROR(VLOOKUP($K790,Drink_Templates!$A:$G,7,FALSE),0)))</f>
        <v/>
      </c>
    </row>
    <row r="791" ht="15" customHeight="1">
      <c r="C791">
        <f>IF($B791="","",INT($B791))</f>
        <v/>
      </c>
      <c r="D791">
        <f>IF($C791="","",$C791-WEEKDAY($C791,2)+1)</f>
        <v/>
      </c>
      <c r="E791">
        <f>IF($C791="","",DATE(YEAR($C791),MONTH($C791),1))</f>
        <v/>
      </c>
      <c r="F791">
        <f>IF($C791="","",YEAR($C791)&amp;"-Q"&amp;ROUNDUP(MONTH($C791)/3,0))</f>
        <v/>
      </c>
      <c r="L791">
        <f>IF($G791&lt;&gt;"ALCOHOL","",IF($K791="","",$H791*IFERROR(VLOOKUP($K791,Drink_Templates!$A:$G,7,FALSE),0)))</f>
        <v/>
      </c>
    </row>
    <row r="792" ht="15" customHeight="1">
      <c r="C792">
        <f>IF($B792="","",INT($B792))</f>
        <v/>
      </c>
      <c r="D792">
        <f>IF($C792="","",$C792-WEEKDAY($C792,2)+1)</f>
        <v/>
      </c>
      <c r="E792">
        <f>IF($C792="","",DATE(YEAR($C792),MONTH($C792),1))</f>
        <v/>
      </c>
      <c r="F792">
        <f>IF($C792="","",YEAR($C792)&amp;"-Q"&amp;ROUNDUP(MONTH($C792)/3,0))</f>
        <v/>
      </c>
      <c r="L792">
        <f>IF($G792&lt;&gt;"ALCOHOL","",IF($K792="","",$H792*IFERROR(VLOOKUP($K792,Drink_Templates!$A:$G,7,FALSE),0)))</f>
        <v/>
      </c>
    </row>
    <row r="793" ht="15" customHeight="1">
      <c r="C793">
        <f>IF($B793="","",INT($B793))</f>
        <v/>
      </c>
      <c r="D793">
        <f>IF($C793="","",$C793-WEEKDAY($C793,2)+1)</f>
        <v/>
      </c>
      <c r="E793">
        <f>IF($C793="","",DATE(YEAR($C793),MONTH($C793),1))</f>
        <v/>
      </c>
      <c r="F793">
        <f>IF($C793="","",YEAR($C793)&amp;"-Q"&amp;ROUNDUP(MONTH($C793)/3,0))</f>
        <v/>
      </c>
      <c r="L793">
        <f>IF($G793&lt;&gt;"ALCOHOL","",IF($K793="","",$H793*IFERROR(VLOOKUP($K793,Drink_Templates!$A:$G,7,FALSE),0)))</f>
        <v/>
      </c>
    </row>
    <row r="794" ht="15" customHeight="1">
      <c r="C794">
        <f>IF($B794="","",INT($B794))</f>
        <v/>
      </c>
      <c r="D794">
        <f>IF($C794="","",$C794-WEEKDAY($C794,2)+1)</f>
        <v/>
      </c>
      <c r="E794">
        <f>IF($C794="","",DATE(YEAR($C794),MONTH($C794),1))</f>
        <v/>
      </c>
      <c r="F794">
        <f>IF($C794="","",YEAR($C794)&amp;"-Q"&amp;ROUNDUP(MONTH($C794)/3,0))</f>
        <v/>
      </c>
      <c r="L794">
        <f>IF($G794&lt;&gt;"ALCOHOL","",IF($K794="","",$H794*IFERROR(VLOOKUP($K794,Drink_Templates!$A:$G,7,FALSE),0)))</f>
        <v/>
      </c>
    </row>
    <row r="795" ht="15" customHeight="1">
      <c r="C795">
        <f>IF($B795="","",INT($B795))</f>
        <v/>
      </c>
      <c r="D795">
        <f>IF($C795="","",$C795-WEEKDAY($C795,2)+1)</f>
        <v/>
      </c>
      <c r="E795">
        <f>IF($C795="","",DATE(YEAR($C795),MONTH($C795),1))</f>
        <v/>
      </c>
      <c r="F795">
        <f>IF($C795="","",YEAR($C795)&amp;"-Q"&amp;ROUNDUP(MONTH($C795)/3,0))</f>
        <v/>
      </c>
      <c r="L795">
        <f>IF($G795&lt;&gt;"ALCOHOL","",IF($K795="","",$H795*IFERROR(VLOOKUP($K795,Drink_Templates!$A:$G,7,FALSE),0)))</f>
        <v/>
      </c>
    </row>
    <row r="796" ht="15" customHeight="1">
      <c r="C796">
        <f>IF($B796="","",INT($B796))</f>
        <v/>
      </c>
      <c r="D796">
        <f>IF($C796="","",$C796-WEEKDAY($C796,2)+1)</f>
        <v/>
      </c>
      <c r="E796">
        <f>IF($C796="","",DATE(YEAR($C796),MONTH($C796),1))</f>
        <v/>
      </c>
      <c r="F796">
        <f>IF($C796="","",YEAR($C796)&amp;"-Q"&amp;ROUNDUP(MONTH($C796)/3,0))</f>
        <v/>
      </c>
      <c r="L796">
        <f>IF($G796&lt;&gt;"ALCOHOL","",IF($K796="","",$H796*IFERROR(VLOOKUP($K796,Drink_Templates!$A:$G,7,FALSE),0)))</f>
        <v/>
      </c>
    </row>
    <row r="797" ht="15" customHeight="1">
      <c r="C797">
        <f>IF($B797="","",INT($B797))</f>
        <v/>
      </c>
      <c r="D797">
        <f>IF($C797="","",$C797-WEEKDAY($C797,2)+1)</f>
        <v/>
      </c>
      <c r="E797">
        <f>IF($C797="","",DATE(YEAR($C797),MONTH($C797),1))</f>
        <v/>
      </c>
      <c r="F797">
        <f>IF($C797="","",YEAR($C797)&amp;"-Q"&amp;ROUNDUP(MONTH($C797)/3,0))</f>
        <v/>
      </c>
      <c r="L797">
        <f>IF($G797&lt;&gt;"ALCOHOL","",IF($K797="","",$H797*IFERROR(VLOOKUP($K797,Drink_Templates!$A:$G,7,FALSE),0)))</f>
        <v/>
      </c>
    </row>
    <row r="798" ht="15" customHeight="1">
      <c r="C798">
        <f>IF($B798="","",INT($B798))</f>
        <v/>
      </c>
      <c r="D798">
        <f>IF($C798="","",$C798-WEEKDAY($C798,2)+1)</f>
        <v/>
      </c>
      <c r="E798">
        <f>IF($C798="","",DATE(YEAR($C798),MONTH($C798),1))</f>
        <v/>
      </c>
      <c r="F798">
        <f>IF($C798="","",YEAR($C798)&amp;"-Q"&amp;ROUNDUP(MONTH($C798)/3,0))</f>
        <v/>
      </c>
      <c r="L798">
        <f>IF($G798&lt;&gt;"ALCOHOL","",IF($K798="","",$H798*IFERROR(VLOOKUP($K798,Drink_Templates!$A:$G,7,FALSE),0)))</f>
        <v/>
      </c>
    </row>
    <row r="799" ht="15" customHeight="1">
      <c r="C799">
        <f>IF($B799="","",INT($B799))</f>
        <v/>
      </c>
      <c r="D799">
        <f>IF($C799="","",$C799-WEEKDAY($C799,2)+1)</f>
        <v/>
      </c>
      <c r="E799">
        <f>IF($C799="","",DATE(YEAR($C799),MONTH($C799),1))</f>
        <v/>
      </c>
      <c r="F799">
        <f>IF($C799="","",YEAR($C799)&amp;"-Q"&amp;ROUNDUP(MONTH($C799)/3,0))</f>
        <v/>
      </c>
      <c r="L799">
        <f>IF($G799&lt;&gt;"ALCOHOL","",IF($K799="","",$H799*IFERROR(VLOOKUP($K799,Drink_Templates!$A:$G,7,FALSE),0)))</f>
        <v/>
      </c>
    </row>
    <row r="800" ht="15" customHeight="1">
      <c r="C800">
        <f>IF($B800="","",INT($B800))</f>
        <v/>
      </c>
      <c r="D800">
        <f>IF($C800="","",$C800-WEEKDAY($C800,2)+1)</f>
        <v/>
      </c>
      <c r="E800">
        <f>IF($C800="","",DATE(YEAR($C800),MONTH($C800),1))</f>
        <v/>
      </c>
      <c r="F800">
        <f>IF($C800="","",YEAR($C800)&amp;"-Q"&amp;ROUNDUP(MONTH($C800)/3,0))</f>
        <v/>
      </c>
      <c r="L800">
        <f>IF($G800&lt;&gt;"ALCOHOL","",IF($K800="","",$H800*IFERROR(VLOOKUP($K800,Drink_Templates!$A:$G,7,FALSE),0)))</f>
        <v/>
      </c>
    </row>
    <row r="801" ht="15" customHeight="1">
      <c r="C801">
        <f>IF($B801="","",INT($B801))</f>
        <v/>
      </c>
      <c r="D801">
        <f>IF($C801="","",$C801-WEEKDAY($C801,2)+1)</f>
        <v/>
      </c>
      <c r="E801">
        <f>IF($C801="","",DATE(YEAR($C801),MONTH($C801),1))</f>
        <v/>
      </c>
      <c r="F801">
        <f>IF($C801="","",YEAR($C801)&amp;"-Q"&amp;ROUNDUP(MONTH($C801)/3,0))</f>
        <v/>
      </c>
      <c r="L801">
        <f>IF($G801&lt;&gt;"ALCOHOL","",IF($K801="","",$H801*IFERROR(VLOOKUP($K801,Drink_Templates!$A:$G,7,FALSE),0)))</f>
        <v/>
      </c>
    </row>
    <row r="802" ht="15" customHeight="1">
      <c r="C802">
        <f>IF($B802="","",INT($B802))</f>
        <v/>
      </c>
      <c r="D802">
        <f>IF($C802="","",$C802-WEEKDAY($C802,2)+1)</f>
        <v/>
      </c>
      <c r="E802">
        <f>IF($C802="","",DATE(YEAR($C802),MONTH($C802),1))</f>
        <v/>
      </c>
      <c r="F802">
        <f>IF($C802="","",YEAR($C802)&amp;"-Q"&amp;ROUNDUP(MONTH($C802)/3,0))</f>
        <v/>
      </c>
      <c r="L802">
        <f>IF($G802&lt;&gt;"ALCOHOL","",IF($K802="","",$H802*IFERROR(VLOOKUP($K802,Drink_Templates!$A:$G,7,FALSE),0)))</f>
        <v/>
      </c>
    </row>
    <row r="803" ht="15" customHeight="1">
      <c r="C803">
        <f>IF($B803="","",INT($B803))</f>
        <v/>
      </c>
      <c r="D803">
        <f>IF($C803="","",$C803-WEEKDAY($C803,2)+1)</f>
        <v/>
      </c>
      <c r="E803">
        <f>IF($C803="","",DATE(YEAR($C803),MONTH($C803),1))</f>
        <v/>
      </c>
      <c r="F803">
        <f>IF($C803="","",YEAR($C803)&amp;"-Q"&amp;ROUNDUP(MONTH($C803)/3,0))</f>
        <v/>
      </c>
      <c r="L803">
        <f>IF($G803&lt;&gt;"ALCOHOL","",IF($K803="","",$H803*IFERROR(VLOOKUP($K803,Drink_Templates!$A:$G,7,FALSE),0)))</f>
        <v/>
      </c>
    </row>
    <row r="804" ht="15" customHeight="1">
      <c r="C804">
        <f>IF($B804="","",INT($B804))</f>
        <v/>
      </c>
      <c r="D804">
        <f>IF($C804="","",$C804-WEEKDAY($C804,2)+1)</f>
        <v/>
      </c>
      <c r="E804">
        <f>IF($C804="","",DATE(YEAR($C804),MONTH($C804),1))</f>
        <v/>
      </c>
      <c r="F804">
        <f>IF($C804="","",YEAR($C804)&amp;"-Q"&amp;ROUNDUP(MONTH($C804)/3,0))</f>
        <v/>
      </c>
      <c r="L804">
        <f>IF($G804&lt;&gt;"ALCOHOL","",IF($K804="","",$H804*IFERROR(VLOOKUP($K804,Drink_Templates!$A:$G,7,FALSE),0)))</f>
        <v/>
      </c>
    </row>
    <row r="805" ht="15" customHeight="1">
      <c r="C805">
        <f>IF($B805="","",INT($B805))</f>
        <v/>
      </c>
      <c r="D805">
        <f>IF($C805="","",$C805-WEEKDAY($C805,2)+1)</f>
        <v/>
      </c>
      <c r="E805">
        <f>IF($C805="","",DATE(YEAR($C805),MONTH($C805),1))</f>
        <v/>
      </c>
      <c r="F805">
        <f>IF($C805="","",YEAR($C805)&amp;"-Q"&amp;ROUNDUP(MONTH($C805)/3,0))</f>
        <v/>
      </c>
      <c r="L805">
        <f>IF($G805&lt;&gt;"ALCOHOL","",IF($K805="","",$H805*IFERROR(VLOOKUP($K805,Drink_Templates!$A:$G,7,FALSE),0)))</f>
        <v/>
      </c>
    </row>
    <row r="806" ht="15" customHeight="1">
      <c r="C806">
        <f>IF($B806="","",INT($B806))</f>
        <v/>
      </c>
      <c r="D806">
        <f>IF($C806="","",$C806-WEEKDAY($C806,2)+1)</f>
        <v/>
      </c>
      <c r="E806">
        <f>IF($C806="","",DATE(YEAR($C806),MONTH($C806),1))</f>
        <v/>
      </c>
      <c r="F806">
        <f>IF($C806="","",YEAR($C806)&amp;"-Q"&amp;ROUNDUP(MONTH($C806)/3,0))</f>
        <v/>
      </c>
      <c r="L806">
        <f>IF($G806&lt;&gt;"ALCOHOL","",IF($K806="","",$H806*IFERROR(VLOOKUP($K806,Drink_Templates!$A:$G,7,FALSE),0)))</f>
        <v/>
      </c>
    </row>
    <row r="807" ht="15" customHeight="1">
      <c r="C807">
        <f>IF($B807="","",INT($B807))</f>
        <v/>
      </c>
      <c r="D807">
        <f>IF($C807="","",$C807-WEEKDAY($C807,2)+1)</f>
        <v/>
      </c>
      <c r="E807">
        <f>IF($C807="","",DATE(YEAR($C807),MONTH($C807),1))</f>
        <v/>
      </c>
      <c r="F807">
        <f>IF($C807="","",YEAR($C807)&amp;"-Q"&amp;ROUNDUP(MONTH($C807)/3,0))</f>
        <v/>
      </c>
      <c r="L807">
        <f>IF($G807&lt;&gt;"ALCOHOL","",IF($K807="","",$H807*IFERROR(VLOOKUP($K807,Drink_Templates!$A:$G,7,FALSE),0)))</f>
        <v/>
      </c>
    </row>
    <row r="808" ht="15" customHeight="1">
      <c r="C808">
        <f>IF($B808="","",INT($B808))</f>
        <v/>
      </c>
      <c r="D808">
        <f>IF($C808="","",$C808-WEEKDAY($C808,2)+1)</f>
        <v/>
      </c>
      <c r="E808">
        <f>IF($C808="","",DATE(YEAR($C808),MONTH($C808),1))</f>
        <v/>
      </c>
      <c r="F808">
        <f>IF($C808="","",YEAR($C808)&amp;"-Q"&amp;ROUNDUP(MONTH($C808)/3,0))</f>
        <v/>
      </c>
      <c r="L808">
        <f>IF($G808&lt;&gt;"ALCOHOL","",IF($K808="","",$H808*IFERROR(VLOOKUP($K808,Drink_Templates!$A:$G,7,FALSE),0)))</f>
        <v/>
      </c>
    </row>
    <row r="809" ht="15" customHeight="1">
      <c r="C809">
        <f>IF($B809="","",INT($B809))</f>
        <v/>
      </c>
      <c r="D809">
        <f>IF($C809="","",$C809-WEEKDAY($C809,2)+1)</f>
        <v/>
      </c>
      <c r="E809">
        <f>IF($C809="","",DATE(YEAR($C809),MONTH($C809),1))</f>
        <v/>
      </c>
      <c r="F809">
        <f>IF($C809="","",YEAR($C809)&amp;"-Q"&amp;ROUNDUP(MONTH($C809)/3,0))</f>
        <v/>
      </c>
      <c r="L809">
        <f>IF($G809&lt;&gt;"ALCOHOL","",IF($K809="","",$H809*IFERROR(VLOOKUP($K809,Drink_Templates!$A:$G,7,FALSE),0)))</f>
        <v/>
      </c>
    </row>
    <row r="810" ht="15" customHeight="1">
      <c r="C810">
        <f>IF($B810="","",INT($B810))</f>
        <v/>
      </c>
      <c r="D810">
        <f>IF($C810="","",$C810-WEEKDAY($C810,2)+1)</f>
        <v/>
      </c>
      <c r="E810">
        <f>IF($C810="","",DATE(YEAR($C810),MONTH($C810),1))</f>
        <v/>
      </c>
      <c r="F810">
        <f>IF($C810="","",YEAR($C810)&amp;"-Q"&amp;ROUNDUP(MONTH($C810)/3,0))</f>
        <v/>
      </c>
      <c r="L810">
        <f>IF($G810&lt;&gt;"ALCOHOL","",IF($K810="","",$H810*IFERROR(VLOOKUP($K810,Drink_Templates!$A:$G,7,FALSE),0)))</f>
        <v/>
      </c>
    </row>
    <row r="811" ht="15" customHeight="1">
      <c r="C811">
        <f>IF($B811="","",INT($B811))</f>
        <v/>
      </c>
      <c r="D811">
        <f>IF($C811="","",$C811-WEEKDAY($C811,2)+1)</f>
        <v/>
      </c>
      <c r="E811">
        <f>IF($C811="","",DATE(YEAR($C811),MONTH($C811),1))</f>
        <v/>
      </c>
      <c r="F811">
        <f>IF($C811="","",YEAR($C811)&amp;"-Q"&amp;ROUNDUP(MONTH($C811)/3,0))</f>
        <v/>
      </c>
      <c r="L811">
        <f>IF($G811&lt;&gt;"ALCOHOL","",IF($K811="","",$H811*IFERROR(VLOOKUP($K811,Drink_Templates!$A:$G,7,FALSE),0)))</f>
        <v/>
      </c>
    </row>
    <row r="812" ht="15" customHeight="1">
      <c r="C812">
        <f>IF($B812="","",INT($B812))</f>
        <v/>
      </c>
      <c r="D812">
        <f>IF($C812="","",$C812-WEEKDAY($C812,2)+1)</f>
        <v/>
      </c>
      <c r="E812">
        <f>IF($C812="","",DATE(YEAR($C812),MONTH($C812),1))</f>
        <v/>
      </c>
      <c r="F812">
        <f>IF($C812="","",YEAR($C812)&amp;"-Q"&amp;ROUNDUP(MONTH($C812)/3,0))</f>
        <v/>
      </c>
      <c r="L812">
        <f>IF($G812&lt;&gt;"ALCOHOL","",IF($K812="","",$H812*IFERROR(VLOOKUP($K812,Drink_Templates!$A:$G,7,FALSE),0)))</f>
        <v/>
      </c>
    </row>
    <row r="813" ht="15" customHeight="1">
      <c r="C813">
        <f>IF($B813="","",INT($B813))</f>
        <v/>
      </c>
      <c r="D813">
        <f>IF($C813="","",$C813-WEEKDAY($C813,2)+1)</f>
        <v/>
      </c>
      <c r="E813">
        <f>IF($C813="","",DATE(YEAR($C813),MONTH($C813),1))</f>
        <v/>
      </c>
      <c r="F813">
        <f>IF($C813="","",YEAR($C813)&amp;"-Q"&amp;ROUNDUP(MONTH($C813)/3,0))</f>
        <v/>
      </c>
      <c r="L813">
        <f>IF($G813&lt;&gt;"ALCOHOL","",IF($K813="","",$H813*IFERROR(VLOOKUP($K813,Drink_Templates!$A:$G,7,FALSE),0)))</f>
        <v/>
      </c>
    </row>
    <row r="814" ht="15" customHeight="1">
      <c r="C814">
        <f>IF($B814="","",INT($B814))</f>
        <v/>
      </c>
      <c r="D814">
        <f>IF($C814="","",$C814-WEEKDAY($C814,2)+1)</f>
        <v/>
      </c>
      <c r="E814">
        <f>IF($C814="","",DATE(YEAR($C814),MONTH($C814),1))</f>
        <v/>
      </c>
      <c r="F814">
        <f>IF($C814="","",YEAR($C814)&amp;"-Q"&amp;ROUNDUP(MONTH($C814)/3,0))</f>
        <v/>
      </c>
      <c r="L814">
        <f>IF($G814&lt;&gt;"ALCOHOL","",IF($K814="","",$H814*IFERROR(VLOOKUP($K814,Drink_Templates!$A:$G,7,FALSE),0)))</f>
        <v/>
      </c>
    </row>
    <row r="815" ht="15" customHeight="1">
      <c r="C815">
        <f>IF($B815="","",INT($B815))</f>
        <v/>
      </c>
      <c r="D815">
        <f>IF($C815="","",$C815-WEEKDAY($C815,2)+1)</f>
        <v/>
      </c>
      <c r="E815">
        <f>IF($C815="","",DATE(YEAR($C815),MONTH($C815),1))</f>
        <v/>
      </c>
      <c r="F815">
        <f>IF($C815="","",YEAR($C815)&amp;"-Q"&amp;ROUNDUP(MONTH($C815)/3,0))</f>
        <v/>
      </c>
      <c r="L815">
        <f>IF($G815&lt;&gt;"ALCOHOL","",IF($K815="","",$H815*IFERROR(VLOOKUP($K815,Drink_Templates!$A:$G,7,FALSE),0)))</f>
        <v/>
      </c>
    </row>
    <row r="816" ht="15" customHeight="1">
      <c r="C816">
        <f>IF($B816="","",INT($B816))</f>
        <v/>
      </c>
      <c r="D816">
        <f>IF($C816="","",$C816-WEEKDAY($C816,2)+1)</f>
        <v/>
      </c>
      <c r="E816">
        <f>IF($C816="","",DATE(YEAR($C816),MONTH($C816),1))</f>
        <v/>
      </c>
      <c r="F816">
        <f>IF($C816="","",YEAR($C816)&amp;"-Q"&amp;ROUNDUP(MONTH($C816)/3,0))</f>
        <v/>
      </c>
      <c r="L816">
        <f>IF($G816&lt;&gt;"ALCOHOL","",IF($K816="","",$H816*IFERROR(VLOOKUP($K816,Drink_Templates!$A:$G,7,FALSE),0)))</f>
        <v/>
      </c>
    </row>
    <row r="817" ht="15" customHeight="1">
      <c r="C817">
        <f>IF($B817="","",INT($B817))</f>
        <v/>
      </c>
      <c r="D817">
        <f>IF($C817="","",$C817-WEEKDAY($C817,2)+1)</f>
        <v/>
      </c>
      <c r="E817">
        <f>IF($C817="","",DATE(YEAR($C817),MONTH($C817),1))</f>
        <v/>
      </c>
      <c r="F817">
        <f>IF($C817="","",YEAR($C817)&amp;"-Q"&amp;ROUNDUP(MONTH($C817)/3,0))</f>
        <v/>
      </c>
      <c r="L817">
        <f>IF($G817&lt;&gt;"ALCOHOL","",IF($K817="","",$H817*IFERROR(VLOOKUP($K817,Drink_Templates!$A:$G,7,FALSE),0)))</f>
        <v/>
      </c>
    </row>
    <row r="818" ht="15" customHeight="1">
      <c r="C818">
        <f>IF($B818="","",INT($B818))</f>
        <v/>
      </c>
      <c r="D818">
        <f>IF($C818="","",$C818-WEEKDAY($C818,2)+1)</f>
        <v/>
      </c>
      <c r="E818">
        <f>IF($C818="","",DATE(YEAR($C818),MONTH($C818),1))</f>
        <v/>
      </c>
      <c r="F818">
        <f>IF($C818="","",YEAR($C818)&amp;"-Q"&amp;ROUNDUP(MONTH($C818)/3,0))</f>
        <v/>
      </c>
      <c r="L818">
        <f>IF($G818&lt;&gt;"ALCOHOL","",IF($K818="","",$H818*IFERROR(VLOOKUP($K818,Drink_Templates!$A:$G,7,FALSE),0)))</f>
        <v/>
      </c>
    </row>
    <row r="819" ht="15" customHeight="1">
      <c r="C819">
        <f>IF($B819="","",INT($B819))</f>
        <v/>
      </c>
      <c r="D819">
        <f>IF($C819="","",$C819-WEEKDAY($C819,2)+1)</f>
        <v/>
      </c>
      <c r="E819">
        <f>IF($C819="","",DATE(YEAR($C819),MONTH($C819),1))</f>
        <v/>
      </c>
      <c r="F819">
        <f>IF($C819="","",YEAR($C819)&amp;"-Q"&amp;ROUNDUP(MONTH($C819)/3,0))</f>
        <v/>
      </c>
      <c r="L819">
        <f>IF($G819&lt;&gt;"ALCOHOL","",IF($K819="","",$H819*IFERROR(VLOOKUP($K819,Drink_Templates!$A:$G,7,FALSE),0)))</f>
        <v/>
      </c>
    </row>
    <row r="820" ht="15" customHeight="1">
      <c r="C820">
        <f>IF($B820="","",INT($B820))</f>
        <v/>
      </c>
      <c r="D820">
        <f>IF($C820="","",$C820-WEEKDAY($C820,2)+1)</f>
        <v/>
      </c>
      <c r="E820">
        <f>IF($C820="","",DATE(YEAR($C820),MONTH($C820),1))</f>
        <v/>
      </c>
      <c r="F820">
        <f>IF($C820="","",YEAR($C820)&amp;"-Q"&amp;ROUNDUP(MONTH($C820)/3,0))</f>
        <v/>
      </c>
      <c r="L820">
        <f>IF($G820&lt;&gt;"ALCOHOL","",IF($K820="","",$H820*IFERROR(VLOOKUP($K820,Drink_Templates!$A:$G,7,FALSE),0)))</f>
        <v/>
      </c>
    </row>
    <row r="821" ht="15" customHeight="1">
      <c r="C821">
        <f>IF($B821="","",INT($B821))</f>
        <v/>
      </c>
      <c r="D821">
        <f>IF($C821="","",$C821-WEEKDAY($C821,2)+1)</f>
        <v/>
      </c>
      <c r="E821">
        <f>IF($C821="","",DATE(YEAR($C821),MONTH($C821),1))</f>
        <v/>
      </c>
      <c r="F821">
        <f>IF($C821="","",YEAR($C821)&amp;"-Q"&amp;ROUNDUP(MONTH($C821)/3,0))</f>
        <v/>
      </c>
      <c r="L821">
        <f>IF($G821&lt;&gt;"ALCOHOL","",IF($K821="","",$H821*IFERROR(VLOOKUP($K821,Drink_Templates!$A:$G,7,FALSE),0)))</f>
        <v/>
      </c>
    </row>
    <row r="822" ht="15" customHeight="1">
      <c r="C822">
        <f>IF($B822="","",INT($B822))</f>
        <v/>
      </c>
      <c r="D822">
        <f>IF($C822="","",$C822-WEEKDAY($C822,2)+1)</f>
        <v/>
      </c>
      <c r="E822">
        <f>IF($C822="","",DATE(YEAR($C822),MONTH($C822),1))</f>
        <v/>
      </c>
      <c r="F822">
        <f>IF($C822="","",YEAR($C822)&amp;"-Q"&amp;ROUNDUP(MONTH($C822)/3,0))</f>
        <v/>
      </c>
      <c r="L822">
        <f>IF($G822&lt;&gt;"ALCOHOL","",IF($K822="","",$H822*IFERROR(VLOOKUP($K822,Drink_Templates!$A:$G,7,FALSE),0)))</f>
        <v/>
      </c>
    </row>
    <row r="823" ht="15" customHeight="1">
      <c r="C823">
        <f>IF($B823="","",INT($B823))</f>
        <v/>
      </c>
      <c r="D823">
        <f>IF($C823="","",$C823-WEEKDAY($C823,2)+1)</f>
        <v/>
      </c>
      <c r="E823">
        <f>IF($C823="","",DATE(YEAR($C823),MONTH($C823),1))</f>
        <v/>
      </c>
      <c r="F823">
        <f>IF($C823="","",YEAR($C823)&amp;"-Q"&amp;ROUNDUP(MONTH($C823)/3,0))</f>
        <v/>
      </c>
      <c r="L823">
        <f>IF($G823&lt;&gt;"ALCOHOL","",IF($K823="","",$H823*IFERROR(VLOOKUP($K823,Drink_Templates!$A:$G,7,FALSE),0)))</f>
        <v/>
      </c>
    </row>
    <row r="824" ht="15" customHeight="1">
      <c r="C824">
        <f>IF($B824="","",INT($B824))</f>
        <v/>
      </c>
      <c r="D824">
        <f>IF($C824="","",$C824-WEEKDAY($C824,2)+1)</f>
        <v/>
      </c>
      <c r="E824">
        <f>IF($C824="","",DATE(YEAR($C824),MONTH($C824),1))</f>
        <v/>
      </c>
      <c r="F824">
        <f>IF($C824="","",YEAR($C824)&amp;"-Q"&amp;ROUNDUP(MONTH($C824)/3,0))</f>
        <v/>
      </c>
      <c r="L824">
        <f>IF($G824&lt;&gt;"ALCOHOL","",IF($K824="","",$H824*IFERROR(VLOOKUP($K824,Drink_Templates!$A:$G,7,FALSE),0)))</f>
        <v/>
      </c>
    </row>
    <row r="825" ht="15" customHeight="1">
      <c r="C825">
        <f>IF($B825="","",INT($B825))</f>
        <v/>
      </c>
      <c r="D825">
        <f>IF($C825="","",$C825-WEEKDAY($C825,2)+1)</f>
        <v/>
      </c>
      <c r="E825">
        <f>IF($C825="","",DATE(YEAR($C825),MONTH($C825),1))</f>
        <v/>
      </c>
      <c r="F825">
        <f>IF($C825="","",YEAR($C825)&amp;"-Q"&amp;ROUNDUP(MONTH($C825)/3,0))</f>
        <v/>
      </c>
      <c r="L825">
        <f>IF($G825&lt;&gt;"ALCOHOL","",IF($K825="","",$H825*IFERROR(VLOOKUP($K825,Drink_Templates!$A:$G,7,FALSE),0)))</f>
        <v/>
      </c>
    </row>
    <row r="826" ht="15" customHeight="1">
      <c r="C826">
        <f>IF($B826="","",INT($B826))</f>
        <v/>
      </c>
      <c r="D826">
        <f>IF($C826="","",$C826-WEEKDAY($C826,2)+1)</f>
        <v/>
      </c>
      <c r="E826">
        <f>IF($C826="","",DATE(YEAR($C826),MONTH($C826),1))</f>
        <v/>
      </c>
      <c r="F826">
        <f>IF($C826="","",YEAR($C826)&amp;"-Q"&amp;ROUNDUP(MONTH($C826)/3,0))</f>
        <v/>
      </c>
      <c r="L826">
        <f>IF($G826&lt;&gt;"ALCOHOL","",IF($K826="","",$H826*IFERROR(VLOOKUP($K826,Drink_Templates!$A:$G,7,FALSE),0)))</f>
        <v/>
      </c>
    </row>
    <row r="827" ht="15" customHeight="1">
      <c r="C827">
        <f>IF($B827="","",INT($B827))</f>
        <v/>
      </c>
      <c r="D827">
        <f>IF($C827="","",$C827-WEEKDAY($C827,2)+1)</f>
        <v/>
      </c>
      <c r="E827">
        <f>IF($C827="","",DATE(YEAR($C827),MONTH($C827),1))</f>
        <v/>
      </c>
      <c r="F827">
        <f>IF($C827="","",YEAR($C827)&amp;"-Q"&amp;ROUNDUP(MONTH($C827)/3,0))</f>
        <v/>
      </c>
      <c r="L827">
        <f>IF($G827&lt;&gt;"ALCOHOL","",IF($K827="","",$H827*IFERROR(VLOOKUP($K827,Drink_Templates!$A:$G,7,FALSE),0)))</f>
        <v/>
      </c>
    </row>
    <row r="828" ht="15" customHeight="1">
      <c r="C828">
        <f>IF($B828="","",INT($B828))</f>
        <v/>
      </c>
      <c r="D828">
        <f>IF($C828="","",$C828-WEEKDAY($C828,2)+1)</f>
        <v/>
      </c>
      <c r="E828">
        <f>IF($C828="","",DATE(YEAR($C828),MONTH($C828),1))</f>
        <v/>
      </c>
      <c r="F828">
        <f>IF($C828="","",YEAR($C828)&amp;"-Q"&amp;ROUNDUP(MONTH($C828)/3,0))</f>
        <v/>
      </c>
      <c r="L828">
        <f>IF($G828&lt;&gt;"ALCOHOL","",IF($K828="","",$H828*IFERROR(VLOOKUP($K828,Drink_Templates!$A:$G,7,FALSE),0)))</f>
        <v/>
      </c>
    </row>
    <row r="829" ht="15" customHeight="1">
      <c r="C829">
        <f>IF($B829="","",INT($B829))</f>
        <v/>
      </c>
      <c r="D829">
        <f>IF($C829="","",$C829-WEEKDAY($C829,2)+1)</f>
        <v/>
      </c>
      <c r="E829">
        <f>IF($C829="","",DATE(YEAR($C829),MONTH($C829),1))</f>
        <v/>
      </c>
      <c r="F829">
        <f>IF($C829="","",YEAR($C829)&amp;"-Q"&amp;ROUNDUP(MONTH($C829)/3,0))</f>
        <v/>
      </c>
      <c r="L829">
        <f>IF($G829&lt;&gt;"ALCOHOL","",IF($K829="","",$H829*IFERROR(VLOOKUP($K829,Drink_Templates!$A:$G,7,FALSE),0)))</f>
        <v/>
      </c>
    </row>
    <row r="830" ht="15" customHeight="1">
      <c r="C830">
        <f>IF($B830="","",INT($B830))</f>
        <v/>
      </c>
      <c r="D830">
        <f>IF($C830="","",$C830-WEEKDAY($C830,2)+1)</f>
        <v/>
      </c>
      <c r="E830">
        <f>IF($C830="","",DATE(YEAR($C830),MONTH($C830),1))</f>
        <v/>
      </c>
      <c r="F830">
        <f>IF($C830="","",YEAR($C830)&amp;"-Q"&amp;ROUNDUP(MONTH($C830)/3,0))</f>
        <v/>
      </c>
      <c r="L830">
        <f>IF($G830&lt;&gt;"ALCOHOL","",IF($K830="","",$H830*IFERROR(VLOOKUP($K830,Drink_Templates!$A:$G,7,FALSE),0)))</f>
        <v/>
      </c>
    </row>
    <row r="831" ht="15" customHeight="1">
      <c r="C831">
        <f>IF($B831="","",INT($B831))</f>
        <v/>
      </c>
      <c r="D831">
        <f>IF($C831="","",$C831-WEEKDAY($C831,2)+1)</f>
        <v/>
      </c>
      <c r="E831">
        <f>IF($C831="","",DATE(YEAR($C831),MONTH($C831),1))</f>
        <v/>
      </c>
      <c r="F831">
        <f>IF($C831="","",YEAR($C831)&amp;"-Q"&amp;ROUNDUP(MONTH($C831)/3,0))</f>
        <v/>
      </c>
      <c r="L831">
        <f>IF($G831&lt;&gt;"ALCOHOL","",IF($K831="","",$H831*IFERROR(VLOOKUP($K831,Drink_Templates!$A:$G,7,FALSE),0)))</f>
        <v/>
      </c>
    </row>
    <row r="832" ht="15" customHeight="1">
      <c r="C832">
        <f>IF($B832="","",INT($B832))</f>
        <v/>
      </c>
      <c r="D832">
        <f>IF($C832="","",$C832-WEEKDAY($C832,2)+1)</f>
        <v/>
      </c>
      <c r="E832">
        <f>IF($C832="","",DATE(YEAR($C832),MONTH($C832),1))</f>
        <v/>
      </c>
      <c r="F832">
        <f>IF($C832="","",YEAR($C832)&amp;"-Q"&amp;ROUNDUP(MONTH($C832)/3,0))</f>
        <v/>
      </c>
      <c r="L832">
        <f>IF($G832&lt;&gt;"ALCOHOL","",IF($K832="","",$H832*IFERROR(VLOOKUP($K832,Drink_Templates!$A:$G,7,FALSE),0)))</f>
        <v/>
      </c>
    </row>
    <row r="833" ht="15" customHeight="1">
      <c r="C833">
        <f>IF($B833="","",INT($B833))</f>
        <v/>
      </c>
      <c r="D833">
        <f>IF($C833="","",$C833-WEEKDAY($C833,2)+1)</f>
        <v/>
      </c>
      <c r="E833">
        <f>IF($C833="","",DATE(YEAR($C833),MONTH($C833),1))</f>
        <v/>
      </c>
      <c r="F833">
        <f>IF($C833="","",YEAR($C833)&amp;"-Q"&amp;ROUNDUP(MONTH($C833)/3,0))</f>
        <v/>
      </c>
      <c r="L833">
        <f>IF($G833&lt;&gt;"ALCOHOL","",IF($K833="","",$H833*IFERROR(VLOOKUP($K833,Drink_Templates!$A:$G,7,FALSE),0)))</f>
        <v/>
      </c>
    </row>
    <row r="834" ht="15" customHeight="1">
      <c r="C834">
        <f>IF($B834="","",INT($B834))</f>
        <v/>
      </c>
      <c r="D834">
        <f>IF($C834="","",$C834-WEEKDAY($C834,2)+1)</f>
        <v/>
      </c>
      <c r="E834">
        <f>IF($C834="","",DATE(YEAR($C834),MONTH($C834),1))</f>
        <v/>
      </c>
      <c r="F834">
        <f>IF($C834="","",YEAR($C834)&amp;"-Q"&amp;ROUNDUP(MONTH($C834)/3,0))</f>
        <v/>
      </c>
      <c r="L834">
        <f>IF($G834&lt;&gt;"ALCOHOL","",IF($K834="","",$H834*IFERROR(VLOOKUP($K834,Drink_Templates!$A:$G,7,FALSE),0)))</f>
        <v/>
      </c>
    </row>
    <row r="835" ht="15" customHeight="1">
      <c r="C835">
        <f>IF($B835="","",INT($B835))</f>
        <v/>
      </c>
      <c r="D835">
        <f>IF($C835="","",$C835-WEEKDAY($C835,2)+1)</f>
        <v/>
      </c>
      <c r="E835">
        <f>IF($C835="","",DATE(YEAR($C835),MONTH($C835),1))</f>
        <v/>
      </c>
      <c r="F835">
        <f>IF($C835="","",YEAR($C835)&amp;"-Q"&amp;ROUNDUP(MONTH($C835)/3,0))</f>
        <v/>
      </c>
      <c r="L835">
        <f>IF($G835&lt;&gt;"ALCOHOL","",IF($K835="","",$H835*IFERROR(VLOOKUP($K835,Drink_Templates!$A:$G,7,FALSE),0)))</f>
        <v/>
      </c>
    </row>
    <row r="836" ht="15" customHeight="1">
      <c r="C836">
        <f>IF($B836="","",INT($B836))</f>
        <v/>
      </c>
      <c r="D836">
        <f>IF($C836="","",$C836-WEEKDAY($C836,2)+1)</f>
        <v/>
      </c>
      <c r="E836">
        <f>IF($C836="","",DATE(YEAR($C836),MONTH($C836),1))</f>
        <v/>
      </c>
      <c r="F836">
        <f>IF($C836="","",YEAR($C836)&amp;"-Q"&amp;ROUNDUP(MONTH($C836)/3,0))</f>
        <v/>
      </c>
      <c r="L836">
        <f>IF($G836&lt;&gt;"ALCOHOL","",IF($K836="","",$H836*IFERROR(VLOOKUP($K836,Drink_Templates!$A:$G,7,FALSE),0)))</f>
        <v/>
      </c>
    </row>
    <row r="837" ht="15" customHeight="1">
      <c r="C837">
        <f>IF($B837="","",INT($B837))</f>
        <v/>
      </c>
      <c r="D837">
        <f>IF($C837="","",$C837-WEEKDAY($C837,2)+1)</f>
        <v/>
      </c>
      <c r="E837">
        <f>IF($C837="","",DATE(YEAR($C837),MONTH($C837),1))</f>
        <v/>
      </c>
      <c r="F837">
        <f>IF($C837="","",YEAR($C837)&amp;"-Q"&amp;ROUNDUP(MONTH($C837)/3,0))</f>
        <v/>
      </c>
      <c r="L837">
        <f>IF($G837&lt;&gt;"ALCOHOL","",IF($K837="","",$H837*IFERROR(VLOOKUP($K837,Drink_Templates!$A:$G,7,FALSE),0)))</f>
        <v/>
      </c>
    </row>
    <row r="838" ht="15" customHeight="1">
      <c r="C838">
        <f>IF($B838="","",INT($B838))</f>
        <v/>
      </c>
      <c r="D838">
        <f>IF($C838="","",$C838-WEEKDAY($C838,2)+1)</f>
        <v/>
      </c>
      <c r="E838">
        <f>IF($C838="","",DATE(YEAR($C838),MONTH($C838),1))</f>
        <v/>
      </c>
      <c r="F838">
        <f>IF($C838="","",YEAR($C838)&amp;"-Q"&amp;ROUNDUP(MONTH($C838)/3,0))</f>
        <v/>
      </c>
      <c r="L838">
        <f>IF($G838&lt;&gt;"ALCOHOL","",IF($K838="","",$H838*IFERROR(VLOOKUP($K838,Drink_Templates!$A:$G,7,FALSE),0)))</f>
        <v/>
      </c>
    </row>
    <row r="839" ht="15" customHeight="1">
      <c r="C839">
        <f>IF($B839="","",INT($B839))</f>
        <v/>
      </c>
      <c r="D839">
        <f>IF($C839="","",$C839-WEEKDAY($C839,2)+1)</f>
        <v/>
      </c>
      <c r="E839">
        <f>IF($C839="","",DATE(YEAR($C839),MONTH($C839),1))</f>
        <v/>
      </c>
      <c r="F839">
        <f>IF($C839="","",YEAR($C839)&amp;"-Q"&amp;ROUNDUP(MONTH($C839)/3,0))</f>
        <v/>
      </c>
      <c r="L839">
        <f>IF($G839&lt;&gt;"ALCOHOL","",IF($K839="","",$H839*IFERROR(VLOOKUP($K839,Drink_Templates!$A:$G,7,FALSE),0)))</f>
        <v/>
      </c>
    </row>
    <row r="840" ht="15" customHeight="1">
      <c r="C840">
        <f>IF($B840="","",INT($B840))</f>
        <v/>
      </c>
      <c r="D840">
        <f>IF($C840="","",$C840-WEEKDAY($C840,2)+1)</f>
        <v/>
      </c>
      <c r="E840">
        <f>IF($C840="","",DATE(YEAR($C840),MONTH($C840),1))</f>
        <v/>
      </c>
      <c r="F840">
        <f>IF($C840="","",YEAR($C840)&amp;"-Q"&amp;ROUNDUP(MONTH($C840)/3,0))</f>
        <v/>
      </c>
      <c r="L840">
        <f>IF($G840&lt;&gt;"ALCOHOL","",IF($K840="","",$H840*IFERROR(VLOOKUP($K840,Drink_Templates!$A:$G,7,FALSE),0)))</f>
        <v/>
      </c>
    </row>
    <row r="841" ht="15" customHeight="1">
      <c r="C841">
        <f>IF($B841="","",INT($B841))</f>
        <v/>
      </c>
      <c r="D841">
        <f>IF($C841="","",$C841-WEEKDAY($C841,2)+1)</f>
        <v/>
      </c>
      <c r="E841">
        <f>IF($C841="","",DATE(YEAR($C841),MONTH($C841),1))</f>
        <v/>
      </c>
      <c r="F841">
        <f>IF($C841="","",YEAR($C841)&amp;"-Q"&amp;ROUNDUP(MONTH($C841)/3,0))</f>
        <v/>
      </c>
      <c r="L841">
        <f>IF($G841&lt;&gt;"ALCOHOL","",IF($K841="","",$H841*IFERROR(VLOOKUP($K841,Drink_Templates!$A:$G,7,FALSE),0)))</f>
        <v/>
      </c>
    </row>
    <row r="842" ht="15" customHeight="1">
      <c r="C842">
        <f>IF($B842="","",INT($B842))</f>
        <v/>
      </c>
      <c r="D842">
        <f>IF($C842="","",$C842-WEEKDAY($C842,2)+1)</f>
        <v/>
      </c>
      <c r="E842">
        <f>IF($C842="","",DATE(YEAR($C842),MONTH($C842),1))</f>
        <v/>
      </c>
      <c r="F842">
        <f>IF($C842="","",YEAR($C842)&amp;"-Q"&amp;ROUNDUP(MONTH($C842)/3,0))</f>
        <v/>
      </c>
      <c r="L842">
        <f>IF($G842&lt;&gt;"ALCOHOL","",IF($K842="","",$H842*IFERROR(VLOOKUP($K842,Drink_Templates!$A:$G,7,FALSE),0)))</f>
        <v/>
      </c>
    </row>
    <row r="843" ht="15" customHeight="1">
      <c r="C843">
        <f>IF($B843="","",INT($B843))</f>
        <v/>
      </c>
      <c r="D843">
        <f>IF($C843="","",$C843-WEEKDAY($C843,2)+1)</f>
        <v/>
      </c>
      <c r="E843">
        <f>IF($C843="","",DATE(YEAR($C843),MONTH($C843),1))</f>
        <v/>
      </c>
      <c r="F843">
        <f>IF($C843="","",YEAR($C843)&amp;"-Q"&amp;ROUNDUP(MONTH($C843)/3,0))</f>
        <v/>
      </c>
      <c r="L843">
        <f>IF($G843&lt;&gt;"ALCOHOL","",IF($K843="","",$H843*IFERROR(VLOOKUP($K843,Drink_Templates!$A:$G,7,FALSE),0)))</f>
        <v/>
      </c>
    </row>
    <row r="844" ht="15" customHeight="1">
      <c r="C844">
        <f>IF($B844="","",INT($B844))</f>
        <v/>
      </c>
      <c r="D844">
        <f>IF($C844="","",$C844-WEEKDAY($C844,2)+1)</f>
        <v/>
      </c>
      <c r="E844">
        <f>IF($C844="","",DATE(YEAR($C844),MONTH($C844),1))</f>
        <v/>
      </c>
      <c r="F844">
        <f>IF($C844="","",YEAR($C844)&amp;"-Q"&amp;ROUNDUP(MONTH($C844)/3,0))</f>
        <v/>
      </c>
      <c r="L844">
        <f>IF($G844&lt;&gt;"ALCOHOL","",IF($K844="","",$H844*IFERROR(VLOOKUP($K844,Drink_Templates!$A:$G,7,FALSE),0)))</f>
        <v/>
      </c>
    </row>
    <row r="845" ht="15" customHeight="1">
      <c r="C845">
        <f>IF($B845="","",INT($B845))</f>
        <v/>
      </c>
      <c r="D845">
        <f>IF($C845="","",$C845-WEEKDAY($C845,2)+1)</f>
        <v/>
      </c>
      <c r="E845">
        <f>IF($C845="","",DATE(YEAR($C845),MONTH($C845),1))</f>
        <v/>
      </c>
      <c r="F845">
        <f>IF($C845="","",YEAR($C845)&amp;"-Q"&amp;ROUNDUP(MONTH($C845)/3,0))</f>
        <v/>
      </c>
      <c r="L845">
        <f>IF($G845&lt;&gt;"ALCOHOL","",IF($K845="","",$H845*IFERROR(VLOOKUP($K845,Drink_Templates!$A:$G,7,FALSE),0)))</f>
        <v/>
      </c>
    </row>
    <row r="846" ht="15" customHeight="1">
      <c r="C846">
        <f>IF($B846="","",INT($B846))</f>
        <v/>
      </c>
      <c r="D846">
        <f>IF($C846="","",$C846-WEEKDAY($C846,2)+1)</f>
        <v/>
      </c>
      <c r="E846">
        <f>IF($C846="","",DATE(YEAR($C846),MONTH($C846),1))</f>
        <v/>
      </c>
      <c r="F846">
        <f>IF($C846="","",YEAR($C846)&amp;"-Q"&amp;ROUNDUP(MONTH($C846)/3,0))</f>
        <v/>
      </c>
      <c r="L846">
        <f>IF($G846&lt;&gt;"ALCOHOL","",IF($K846="","",$H846*IFERROR(VLOOKUP($K846,Drink_Templates!$A:$G,7,FALSE),0)))</f>
        <v/>
      </c>
    </row>
    <row r="847" ht="15" customHeight="1">
      <c r="C847">
        <f>IF($B847="","",INT($B847))</f>
        <v/>
      </c>
      <c r="D847">
        <f>IF($C847="","",$C847-WEEKDAY($C847,2)+1)</f>
        <v/>
      </c>
      <c r="E847">
        <f>IF($C847="","",DATE(YEAR($C847),MONTH($C847),1))</f>
        <v/>
      </c>
      <c r="F847">
        <f>IF($C847="","",YEAR($C847)&amp;"-Q"&amp;ROUNDUP(MONTH($C847)/3,0))</f>
        <v/>
      </c>
      <c r="L847">
        <f>IF($G847&lt;&gt;"ALCOHOL","",IF($K847="","",$H847*IFERROR(VLOOKUP($K847,Drink_Templates!$A:$G,7,FALSE),0)))</f>
        <v/>
      </c>
    </row>
    <row r="848" ht="15" customHeight="1">
      <c r="C848">
        <f>IF($B848="","",INT($B848))</f>
        <v/>
      </c>
      <c r="D848">
        <f>IF($C848="","",$C848-WEEKDAY($C848,2)+1)</f>
        <v/>
      </c>
      <c r="E848">
        <f>IF($C848="","",DATE(YEAR($C848),MONTH($C848),1))</f>
        <v/>
      </c>
      <c r="F848">
        <f>IF($C848="","",YEAR($C848)&amp;"-Q"&amp;ROUNDUP(MONTH($C848)/3,0))</f>
        <v/>
      </c>
      <c r="L848">
        <f>IF($G848&lt;&gt;"ALCOHOL","",IF($K848="","",$H848*IFERROR(VLOOKUP($K848,Drink_Templates!$A:$G,7,FALSE),0)))</f>
        <v/>
      </c>
    </row>
    <row r="849" ht="15" customHeight="1">
      <c r="C849">
        <f>IF($B849="","",INT($B849))</f>
        <v/>
      </c>
      <c r="D849">
        <f>IF($C849="","",$C849-WEEKDAY($C849,2)+1)</f>
        <v/>
      </c>
      <c r="E849">
        <f>IF($C849="","",DATE(YEAR($C849),MONTH($C849),1))</f>
        <v/>
      </c>
      <c r="F849">
        <f>IF($C849="","",YEAR($C849)&amp;"-Q"&amp;ROUNDUP(MONTH($C849)/3,0))</f>
        <v/>
      </c>
      <c r="L849">
        <f>IF($G849&lt;&gt;"ALCOHOL","",IF($K849="","",$H849*IFERROR(VLOOKUP($K849,Drink_Templates!$A:$G,7,FALSE),0)))</f>
        <v/>
      </c>
    </row>
    <row r="850" ht="15" customHeight="1">
      <c r="C850">
        <f>IF($B850="","",INT($B850))</f>
        <v/>
      </c>
      <c r="D850">
        <f>IF($C850="","",$C850-WEEKDAY($C850,2)+1)</f>
        <v/>
      </c>
      <c r="E850">
        <f>IF($C850="","",DATE(YEAR($C850),MONTH($C850),1))</f>
        <v/>
      </c>
      <c r="F850">
        <f>IF($C850="","",YEAR($C850)&amp;"-Q"&amp;ROUNDUP(MONTH($C850)/3,0))</f>
        <v/>
      </c>
      <c r="L850">
        <f>IF($G850&lt;&gt;"ALCOHOL","",IF($K850="","",$H850*IFERROR(VLOOKUP($K850,Drink_Templates!$A:$G,7,FALSE),0)))</f>
        <v/>
      </c>
    </row>
    <row r="851" ht="15" customHeight="1">
      <c r="C851">
        <f>IF($B851="","",INT($B851))</f>
        <v/>
      </c>
      <c r="D851">
        <f>IF($C851="","",$C851-WEEKDAY($C851,2)+1)</f>
        <v/>
      </c>
      <c r="E851">
        <f>IF($C851="","",DATE(YEAR($C851),MONTH($C851),1))</f>
        <v/>
      </c>
      <c r="F851">
        <f>IF($C851="","",YEAR($C851)&amp;"-Q"&amp;ROUNDUP(MONTH($C851)/3,0))</f>
        <v/>
      </c>
      <c r="L851">
        <f>IF($G851&lt;&gt;"ALCOHOL","",IF($K851="","",$H851*IFERROR(VLOOKUP($K851,Drink_Templates!$A:$G,7,FALSE),0)))</f>
        <v/>
      </c>
    </row>
    <row r="852" ht="15" customHeight="1">
      <c r="C852">
        <f>IF($B852="","",INT($B852))</f>
        <v/>
      </c>
      <c r="D852">
        <f>IF($C852="","",$C852-WEEKDAY($C852,2)+1)</f>
        <v/>
      </c>
      <c r="E852">
        <f>IF($C852="","",DATE(YEAR($C852),MONTH($C852),1))</f>
        <v/>
      </c>
      <c r="F852">
        <f>IF($C852="","",YEAR($C852)&amp;"-Q"&amp;ROUNDUP(MONTH($C852)/3,0))</f>
        <v/>
      </c>
      <c r="L852">
        <f>IF($G852&lt;&gt;"ALCOHOL","",IF($K852="","",$H852*IFERROR(VLOOKUP($K852,Drink_Templates!$A:$G,7,FALSE),0)))</f>
        <v/>
      </c>
    </row>
    <row r="853" ht="15" customHeight="1">
      <c r="C853">
        <f>IF($B853="","",INT($B853))</f>
        <v/>
      </c>
      <c r="D853">
        <f>IF($C853="","",$C853-WEEKDAY($C853,2)+1)</f>
        <v/>
      </c>
      <c r="E853">
        <f>IF($C853="","",DATE(YEAR($C853),MONTH($C853),1))</f>
        <v/>
      </c>
      <c r="F853">
        <f>IF($C853="","",YEAR($C853)&amp;"-Q"&amp;ROUNDUP(MONTH($C853)/3,0))</f>
        <v/>
      </c>
      <c r="L853">
        <f>IF($G853&lt;&gt;"ALCOHOL","",IF($K853="","",$H853*IFERROR(VLOOKUP($K853,Drink_Templates!$A:$G,7,FALSE),0)))</f>
        <v/>
      </c>
    </row>
    <row r="854" ht="15" customHeight="1">
      <c r="C854">
        <f>IF($B854="","",INT($B854))</f>
        <v/>
      </c>
      <c r="D854">
        <f>IF($C854="","",$C854-WEEKDAY($C854,2)+1)</f>
        <v/>
      </c>
      <c r="E854">
        <f>IF($C854="","",DATE(YEAR($C854),MONTH($C854),1))</f>
        <v/>
      </c>
      <c r="F854">
        <f>IF($C854="","",YEAR($C854)&amp;"-Q"&amp;ROUNDUP(MONTH($C854)/3,0))</f>
        <v/>
      </c>
      <c r="L854">
        <f>IF($G854&lt;&gt;"ALCOHOL","",IF($K854="","",$H854*IFERROR(VLOOKUP($K854,Drink_Templates!$A:$G,7,FALSE),0)))</f>
        <v/>
      </c>
    </row>
    <row r="855" ht="15" customHeight="1">
      <c r="C855">
        <f>IF($B855="","",INT($B855))</f>
        <v/>
      </c>
      <c r="D855">
        <f>IF($C855="","",$C855-WEEKDAY($C855,2)+1)</f>
        <v/>
      </c>
      <c r="E855">
        <f>IF($C855="","",DATE(YEAR($C855),MONTH($C855),1))</f>
        <v/>
      </c>
      <c r="F855">
        <f>IF($C855="","",YEAR($C855)&amp;"-Q"&amp;ROUNDUP(MONTH($C855)/3,0))</f>
        <v/>
      </c>
      <c r="L855">
        <f>IF($G855&lt;&gt;"ALCOHOL","",IF($K855="","",$H855*IFERROR(VLOOKUP($K855,Drink_Templates!$A:$G,7,FALSE),0)))</f>
        <v/>
      </c>
    </row>
    <row r="856" ht="15" customHeight="1">
      <c r="C856">
        <f>IF($B856="","",INT($B856))</f>
        <v/>
      </c>
      <c r="D856">
        <f>IF($C856="","",$C856-WEEKDAY($C856,2)+1)</f>
        <v/>
      </c>
      <c r="E856">
        <f>IF($C856="","",DATE(YEAR($C856),MONTH($C856),1))</f>
        <v/>
      </c>
      <c r="F856">
        <f>IF($C856="","",YEAR($C856)&amp;"-Q"&amp;ROUNDUP(MONTH($C856)/3,0))</f>
        <v/>
      </c>
      <c r="L856">
        <f>IF($G856&lt;&gt;"ALCOHOL","",IF($K856="","",$H856*IFERROR(VLOOKUP($K856,Drink_Templates!$A:$G,7,FALSE),0)))</f>
        <v/>
      </c>
    </row>
    <row r="857" ht="15" customHeight="1">
      <c r="C857">
        <f>IF($B857="","",INT($B857))</f>
        <v/>
      </c>
      <c r="D857">
        <f>IF($C857="","",$C857-WEEKDAY($C857,2)+1)</f>
        <v/>
      </c>
      <c r="E857">
        <f>IF($C857="","",DATE(YEAR($C857),MONTH($C857),1))</f>
        <v/>
      </c>
      <c r="F857">
        <f>IF($C857="","",YEAR($C857)&amp;"-Q"&amp;ROUNDUP(MONTH($C857)/3,0))</f>
        <v/>
      </c>
      <c r="L857">
        <f>IF($G857&lt;&gt;"ALCOHOL","",IF($K857="","",$H857*IFERROR(VLOOKUP($K857,Drink_Templates!$A:$G,7,FALSE),0)))</f>
        <v/>
      </c>
    </row>
    <row r="858" ht="15" customHeight="1">
      <c r="C858">
        <f>IF($B858="","",INT($B858))</f>
        <v/>
      </c>
      <c r="D858">
        <f>IF($C858="","",$C858-WEEKDAY($C858,2)+1)</f>
        <v/>
      </c>
      <c r="E858">
        <f>IF($C858="","",DATE(YEAR($C858),MONTH($C858),1))</f>
        <v/>
      </c>
      <c r="F858">
        <f>IF($C858="","",YEAR($C858)&amp;"-Q"&amp;ROUNDUP(MONTH($C858)/3,0))</f>
        <v/>
      </c>
      <c r="L858">
        <f>IF($G858&lt;&gt;"ALCOHOL","",IF($K858="","",$H858*IFERROR(VLOOKUP($K858,Drink_Templates!$A:$G,7,FALSE),0)))</f>
        <v/>
      </c>
    </row>
    <row r="859" ht="15" customHeight="1">
      <c r="C859">
        <f>IF($B859="","",INT($B859))</f>
        <v/>
      </c>
      <c r="D859">
        <f>IF($C859="","",$C859-WEEKDAY($C859,2)+1)</f>
        <v/>
      </c>
      <c r="E859">
        <f>IF($C859="","",DATE(YEAR($C859),MONTH($C859),1))</f>
        <v/>
      </c>
      <c r="F859">
        <f>IF($C859="","",YEAR($C859)&amp;"-Q"&amp;ROUNDUP(MONTH($C859)/3,0))</f>
        <v/>
      </c>
      <c r="L859">
        <f>IF($G859&lt;&gt;"ALCOHOL","",IF($K859="","",$H859*IFERROR(VLOOKUP($K859,Drink_Templates!$A:$G,7,FALSE),0)))</f>
        <v/>
      </c>
    </row>
    <row r="860" ht="15" customHeight="1">
      <c r="C860">
        <f>IF($B860="","",INT($B860))</f>
        <v/>
      </c>
      <c r="D860">
        <f>IF($C860="","",$C860-WEEKDAY($C860,2)+1)</f>
        <v/>
      </c>
      <c r="E860">
        <f>IF($C860="","",DATE(YEAR($C860),MONTH($C860),1))</f>
        <v/>
      </c>
      <c r="F860">
        <f>IF($C860="","",YEAR($C860)&amp;"-Q"&amp;ROUNDUP(MONTH($C860)/3,0))</f>
        <v/>
      </c>
      <c r="L860">
        <f>IF($G860&lt;&gt;"ALCOHOL","",IF($K860="","",$H860*IFERROR(VLOOKUP($K860,Drink_Templates!$A:$G,7,FALSE),0)))</f>
        <v/>
      </c>
    </row>
    <row r="861" ht="15" customHeight="1">
      <c r="C861">
        <f>IF($B861="","",INT($B861))</f>
        <v/>
      </c>
      <c r="D861">
        <f>IF($C861="","",$C861-WEEKDAY($C861,2)+1)</f>
        <v/>
      </c>
      <c r="E861">
        <f>IF($C861="","",DATE(YEAR($C861),MONTH($C861),1))</f>
        <v/>
      </c>
      <c r="F861">
        <f>IF($C861="","",YEAR($C861)&amp;"-Q"&amp;ROUNDUP(MONTH($C861)/3,0))</f>
        <v/>
      </c>
      <c r="L861">
        <f>IF($G861&lt;&gt;"ALCOHOL","",IF($K861="","",$H861*IFERROR(VLOOKUP($K861,Drink_Templates!$A:$G,7,FALSE),0)))</f>
        <v/>
      </c>
    </row>
    <row r="862" ht="15" customHeight="1">
      <c r="C862">
        <f>IF($B862="","",INT($B862))</f>
        <v/>
      </c>
      <c r="D862">
        <f>IF($C862="","",$C862-WEEKDAY($C862,2)+1)</f>
        <v/>
      </c>
      <c r="E862">
        <f>IF($C862="","",DATE(YEAR($C862),MONTH($C862),1))</f>
        <v/>
      </c>
      <c r="F862">
        <f>IF($C862="","",YEAR($C862)&amp;"-Q"&amp;ROUNDUP(MONTH($C862)/3,0))</f>
        <v/>
      </c>
      <c r="L862">
        <f>IF($G862&lt;&gt;"ALCOHOL","",IF($K862="","",$H862*IFERROR(VLOOKUP($K862,Drink_Templates!$A:$G,7,FALSE),0)))</f>
        <v/>
      </c>
    </row>
    <row r="863" ht="15" customHeight="1">
      <c r="C863">
        <f>IF($B863="","",INT($B863))</f>
        <v/>
      </c>
      <c r="D863">
        <f>IF($C863="","",$C863-WEEKDAY($C863,2)+1)</f>
        <v/>
      </c>
      <c r="E863">
        <f>IF($C863="","",DATE(YEAR($C863),MONTH($C863),1))</f>
        <v/>
      </c>
      <c r="F863">
        <f>IF($C863="","",YEAR($C863)&amp;"-Q"&amp;ROUNDUP(MONTH($C863)/3,0))</f>
        <v/>
      </c>
      <c r="L863">
        <f>IF($G863&lt;&gt;"ALCOHOL","",IF($K863="","",$H863*IFERROR(VLOOKUP($K863,Drink_Templates!$A:$G,7,FALSE),0)))</f>
        <v/>
      </c>
    </row>
    <row r="864" ht="15" customHeight="1">
      <c r="C864">
        <f>IF($B864="","",INT($B864))</f>
        <v/>
      </c>
      <c r="D864">
        <f>IF($C864="","",$C864-WEEKDAY($C864,2)+1)</f>
        <v/>
      </c>
      <c r="E864">
        <f>IF($C864="","",DATE(YEAR($C864),MONTH($C864),1))</f>
        <v/>
      </c>
      <c r="F864">
        <f>IF($C864="","",YEAR($C864)&amp;"-Q"&amp;ROUNDUP(MONTH($C864)/3,0))</f>
        <v/>
      </c>
      <c r="L864">
        <f>IF($G864&lt;&gt;"ALCOHOL","",IF($K864="","",$H864*IFERROR(VLOOKUP($K864,Drink_Templates!$A:$G,7,FALSE),0)))</f>
        <v/>
      </c>
    </row>
    <row r="865" ht="15" customHeight="1">
      <c r="C865">
        <f>IF($B865="","",INT($B865))</f>
        <v/>
      </c>
      <c r="D865">
        <f>IF($C865="","",$C865-WEEKDAY($C865,2)+1)</f>
        <v/>
      </c>
      <c r="E865">
        <f>IF($C865="","",DATE(YEAR($C865),MONTH($C865),1))</f>
        <v/>
      </c>
      <c r="F865">
        <f>IF($C865="","",YEAR($C865)&amp;"-Q"&amp;ROUNDUP(MONTH($C865)/3,0))</f>
        <v/>
      </c>
      <c r="L865">
        <f>IF($G865&lt;&gt;"ALCOHOL","",IF($K865="","",$H865*IFERROR(VLOOKUP($K865,Drink_Templates!$A:$G,7,FALSE),0)))</f>
        <v/>
      </c>
    </row>
    <row r="866" ht="15" customHeight="1">
      <c r="C866">
        <f>IF($B866="","",INT($B866))</f>
        <v/>
      </c>
      <c r="D866">
        <f>IF($C866="","",$C866-WEEKDAY($C866,2)+1)</f>
        <v/>
      </c>
      <c r="E866">
        <f>IF($C866="","",DATE(YEAR($C866),MONTH($C866),1))</f>
        <v/>
      </c>
      <c r="F866">
        <f>IF($C866="","",YEAR($C866)&amp;"-Q"&amp;ROUNDUP(MONTH($C866)/3,0))</f>
        <v/>
      </c>
      <c r="L866">
        <f>IF($G866&lt;&gt;"ALCOHOL","",IF($K866="","",$H866*IFERROR(VLOOKUP($K866,Drink_Templates!$A:$G,7,FALSE),0)))</f>
        <v/>
      </c>
    </row>
    <row r="867" ht="15" customHeight="1">
      <c r="C867">
        <f>IF($B867="","",INT($B867))</f>
        <v/>
      </c>
      <c r="D867">
        <f>IF($C867="","",$C867-WEEKDAY($C867,2)+1)</f>
        <v/>
      </c>
      <c r="E867">
        <f>IF($C867="","",DATE(YEAR($C867),MONTH($C867),1))</f>
        <v/>
      </c>
      <c r="F867">
        <f>IF($C867="","",YEAR($C867)&amp;"-Q"&amp;ROUNDUP(MONTH($C867)/3,0))</f>
        <v/>
      </c>
      <c r="L867">
        <f>IF($G867&lt;&gt;"ALCOHOL","",IF($K867="","",$H867*IFERROR(VLOOKUP($K867,Drink_Templates!$A:$G,7,FALSE),0)))</f>
        <v/>
      </c>
    </row>
    <row r="868" ht="15" customHeight="1">
      <c r="C868">
        <f>IF($B868="","",INT($B868))</f>
        <v/>
      </c>
      <c r="D868">
        <f>IF($C868="","",$C868-WEEKDAY($C868,2)+1)</f>
        <v/>
      </c>
      <c r="E868">
        <f>IF($C868="","",DATE(YEAR($C868),MONTH($C868),1))</f>
        <v/>
      </c>
      <c r="F868">
        <f>IF($C868="","",YEAR($C868)&amp;"-Q"&amp;ROUNDUP(MONTH($C868)/3,0))</f>
        <v/>
      </c>
      <c r="L868">
        <f>IF($G868&lt;&gt;"ALCOHOL","",IF($K868="","",$H868*IFERROR(VLOOKUP($K868,Drink_Templates!$A:$G,7,FALSE),0)))</f>
        <v/>
      </c>
    </row>
    <row r="869" ht="15" customHeight="1">
      <c r="C869">
        <f>IF($B869="","",INT($B869))</f>
        <v/>
      </c>
      <c r="D869">
        <f>IF($C869="","",$C869-WEEKDAY($C869,2)+1)</f>
        <v/>
      </c>
      <c r="E869">
        <f>IF($C869="","",DATE(YEAR($C869),MONTH($C869),1))</f>
        <v/>
      </c>
      <c r="F869">
        <f>IF($C869="","",YEAR($C869)&amp;"-Q"&amp;ROUNDUP(MONTH($C869)/3,0))</f>
        <v/>
      </c>
      <c r="L869">
        <f>IF($G869&lt;&gt;"ALCOHOL","",IF($K869="","",$H869*IFERROR(VLOOKUP($K869,Drink_Templates!$A:$G,7,FALSE),0)))</f>
        <v/>
      </c>
    </row>
    <row r="870" ht="15" customHeight="1">
      <c r="C870">
        <f>IF($B870="","",INT($B870))</f>
        <v/>
      </c>
      <c r="D870">
        <f>IF($C870="","",$C870-WEEKDAY($C870,2)+1)</f>
        <v/>
      </c>
      <c r="E870">
        <f>IF($C870="","",DATE(YEAR($C870),MONTH($C870),1))</f>
        <v/>
      </c>
      <c r="F870">
        <f>IF($C870="","",YEAR($C870)&amp;"-Q"&amp;ROUNDUP(MONTH($C870)/3,0))</f>
        <v/>
      </c>
      <c r="L870">
        <f>IF($G870&lt;&gt;"ALCOHOL","",IF($K870="","",$H870*IFERROR(VLOOKUP($K870,Drink_Templates!$A:$G,7,FALSE),0)))</f>
        <v/>
      </c>
    </row>
    <row r="871" ht="15" customHeight="1">
      <c r="C871">
        <f>IF($B871="","",INT($B871))</f>
        <v/>
      </c>
      <c r="D871">
        <f>IF($C871="","",$C871-WEEKDAY($C871,2)+1)</f>
        <v/>
      </c>
      <c r="E871">
        <f>IF($C871="","",DATE(YEAR($C871),MONTH($C871),1))</f>
        <v/>
      </c>
      <c r="F871">
        <f>IF($C871="","",YEAR($C871)&amp;"-Q"&amp;ROUNDUP(MONTH($C871)/3,0))</f>
        <v/>
      </c>
      <c r="L871">
        <f>IF($G871&lt;&gt;"ALCOHOL","",IF($K871="","",$H871*IFERROR(VLOOKUP($K871,Drink_Templates!$A:$G,7,FALSE),0)))</f>
        <v/>
      </c>
    </row>
    <row r="872" ht="15" customHeight="1">
      <c r="C872">
        <f>IF($B872="","",INT($B872))</f>
        <v/>
      </c>
      <c r="D872">
        <f>IF($C872="","",$C872-WEEKDAY($C872,2)+1)</f>
        <v/>
      </c>
      <c r="E872">
        <f>IF($C872="","",DATE(YEAR($C872),MONTH($C872),1))</f>
        <v/>
      </c>
      <c r="F872">
        <f>IF($C872="","",YEAR($C872)&amp;"-Q"&amp;ROUNDUP(MONTH($C872)/3,0))</f>
        <v/>
      </c>
      <c r="L872">
        <f>IF($G872&lt;&gt;"ALCOHOL","",IF($K872="","",$H872*IFERROR(VLOOKUP($K872,Drink_Templates!$A:$G,7,FALSE),0)))</f>
        <v/>
      </c>
    </row>
    <row r="873" ht="15" customHeight="1">
      <c r="C873">
        <f>IF($B873="","",INT($B873))</f>
        <v/>
      </c>
      <c r="D873">
        <f>IF($C873="","",$C873-WEEKDAY($C873,2)+1)</f>
        <v/>
      </c>
      <c r="E873">
        <f>IF($C873="","",DATE(YEAR($C873),MONTH($C873),1))</f>
        <v/>
      </c>
      <c r="F873">
        <f>IF($C873="","",YEAR($C873)&amp;"-Q"&amp;ROUNDUP(MONTH($C873)/3,0))</f>
        <v/>
      </c>
      <c r="L873">
        <f>IF($G873&lt;&gt;"ALCOHOL","",IF($K873="","",$H873*IFERROR(VLOOKUP($K873,Drink_Templates!$A:$G,7,FALSE),0)))</f>
        <v/>
      </c>
    </row>
    <row r="874" ht="15" customHeight="1">
      <c r="C874">
        <f>IF($B874="","",INT($B874))</f>
        <v/>
      </c>
      <c r="D874">
        <f>IF($C874="","",$C874-WEEKDAY($C874,2)+1)</f>
        <v/>
      </c>
      <c r="E874">
        <f>IF($C874="","",DATE(YEAR($C874),MONTH($C874),1))</f>
        <v/>
      </c>
      <c r="F874">
        <f>IF($C874="","",YEAR($C874)&amp;"-Q"&amp;ROUNDUP(MONTH($C874)/3,0))</f>
        <v/>
      </c>
      <c r="L874">
        <f>IF($G874&lt;&gt;"ALCOHOL","",IF($K874="","",$H874*IFERROR(VLOOKUP($K874,Drink_Templates!$A:$G,7,FALSE),0)))</f>
        <v/>
      </c>
    </row>
    <row r="875" ht="15" customHeight="1">
      <c r="C875">
        <f>IF($B875="","",INT($B875))</f>
        <v/>
      </c>
      <c r="D875">
        <f>IF($C875="","",$C875-WEEKDAY($C875,2)+1)</f>
        <v/>
      </c>
      <c r="E875">
        <f>IF($C875="","",DATE(YEAR($C875),MONTH($C875),1))</f>
        <v/>
      </c>
      <c r="F875">
        <f>IF($C875="","",YEAR($C875)&amp;"-Q"&amp;ROUNDUP(MONTH($C875)/3,0))</f>
        <v/>
      </c>
      <c r="L875">
        <f>IF($G875&lt;&gt;"ALCOHOL","",IF($K875="","",$H875*IFERROR(VLOOKUP($K875,Drink_Templates!$A:$G,7,FALSE),0)))</f>
        <v/>
      </c>
    </row>
    <row r="876" ht="15" customHeight="1">
      <c r="C876">
        <f>IF($B876="","",INT($B876))</f>
        <v/>
      </c>
      <c r="D876">
        <f>IF($C876="","",$C876-WEEKDAY($C876,2)+1)</f>
        <v/>
      </c>
      <c r="E876">
        <f>IF($C876="","",DATE(YEAR($C876),MONTH($C876),1))</f>
        <v/>
      </c>
      <c r="F876">
        <f>IF($C876="","",YEAR($C876)&amp;"-Q"&amp;ROUNDUP(MONTH($C876)/3,0))</f>
        <v/>
      </c>
      <c r="L876">
        <f>IF($G876&lt;&gt;"ALCOHOL","",IF($K876="","",$H876*IFERROR(VLOOKUP($K876,Drink_Templates!$A:$G,7,FALSE),0)))</f>
        <v/>
      </c>
    </row>
    <row r="877" ht="15" customHeight="1">
      <c r="C877">
        <f>IF($B877="","",INT($B877))</f>
        <v/>
      </c>
      <c r="D877">
        <f>IF($C877="","",$C877-WEEKDAY($C877,2)+1)</f>
        <v/>
      </c>
      <c r="E877">
        <f>IF($C877="","",DATE(YEAR($C877),MONTH($C877),1))</f>
        <v/>
      </c>
      <c r="F877">
        <f>IF($C877="","",YEAR($C877)&amp;"-Q"&amp;ROUNDUP(MONTH($C877)/3,0))</f>
        <v/>
      </c>
      <c r="L877">
        <f>IF($G877&lt;&gt;"ALCOHOL","",IF($K877="","",$H877*IFERROR(VLOOKUP($K877,Drink_Templates!$A:$G,7,FALSE),0)))</f>
        <v/>
      </c>
    </row>
    <row r="878" ht="15" customHeight="1">
      <c r="C878">
        <f>IF($B878="","",INT($B878))</f>
        <v/>
      </c>
      <c r="D878">
        <f>IF($C878="","",$C878-WEEKDAY($C878,2)+1)</f>
        <v/>
      </c>
      <c r="E878">
        <f>IF($C878="","",DATE(YEAR($C878),MONTH($C878),1))</f>
        <v/>
      </c>
      <c r="F878">
        <f>IF($C878="","",YEAR($C878)&amp;"-Q"&amp;ROUNDUP(MONTH($C878)/3,0))</f>
        <v/>
      </c>
      <c r="L878">
        <f>IF($G878&lt;&gt;"ALCOHOL","",IF($K878="","",$H878*IFERROR(VLOOKUP($K878,Drink_Templates!$A:$G,7,FALSE),0)))</f>
        <v/>
      </c>
    </row>
    <row r="879" ht="15" customHeight="1">
      <c r="C879">
        <f>IF($B879="","",INT($B879))</f>
        <v/>
      </c>
      <c r="D879">
        <f>IF($C879="","",$C879-WEEKDAY($C879,2)+1)</f>
        <v/>
      </c>
      <c r="E879">
        <f>IF($C879="","",DATE(YEAR($C879),MONTH($C879),1))</f>
        <v/>
      </c>
      <c r="F879">
        <f>IF($C879="","",YEAR($C879)&amp;"-Q"&amp;ROUNDUP(MONTH($C879)/3,0))</f>
        <v/>
      </c>
      <c r="L879">
        <f>IF($G879&lt;&gt;"ALCOHOL","",IF($K879="","",$H879*IFERROR(VLOOKUP($K879,Drink_Templates!$A:$G,7,FALSE),0)))</f>
        <v/>
      </c>
    </row>
    <row r="880" ht="15" customHeight="1">
      <c r="C880">
        <f>IF($B880="","",INT($B880))</f>
        <v/>
      </c>
      <c r="D880">
        <f>IF($C880="","",$C880-WEEKDAY($C880,2)+1)</f>
        <v/>
      </c>
      <c r="E880">
        <f>IF($C880="","",DATE(YEAR($C880),MONTH($C880),1))</f>
        <v/>
      </c>
      <c r="F880">
        <f>IF($C880="","",YEAR($C880)&amp;"-Q"&amp;ROUNDUP(MONTH($C880)/3,0))</f>
        <v/>
      </c>
      <c r="L880">
        <f>IF($G880&lt;&gt;"ALCOHOL","",IF($K880="","",$H880*IFERROR(VLOOKUP($K880,Drink_Templates!$A:$G,7,FALSE),0)))</f>
        <v/>
      </c>
    </row>
    <row r="881" ht="15" customHeight="1">
      <c r="C881">
        <f>IF($B881="","",INT($B881))</f>
        <v/>
      </c>
      <c r="D881">
        <f>IF($C881="","",$C881-WEEKDAY($C881,2)+1)</f>
        <v/>
      </c>
      <c r="E881">
        <f>IF($C881="","",DATE(YEAR($C881),MONTH($C881),1))</f>
        <v/>
      </c>
      <c r="F881">
        <f>IF($C881="","",YEAR($C881)&amp;"-Q"&amp;ROUNDUP(MONTH($C881)/3,0))</f>
        <v/>
      </c>
      <c r="L881">
        <f>IF($G881&lt;&gt;"ALCOHOL","",IF($K881="","",$H881*IFERROR(VLOOKUP($K881,Drink_Templates!$A:$G,7,FALSE),0)))</f>
        <v/>
      </c>
    </row>
    <row r="882" ht="15" customHeight="1">
      <c r="C882">
        <f>IF($B882="","",INT($B882))</f>
        <v/>
      </c>
      <c r="D882">
        <f>IF($C882="","",$C882-WEEKDAY($C882,2)+1)</f>
        <v/>
      </c>
      <c r="E882">
        <f>IF($C882="","",DATE(YEAR($C882),MONTH($C882),1))</f>
        <v/>
      </c>
      <c r="F882">
        <f>IF($C882="","",YEAR($C882)&amp;"-Q"&amp;ROUNDUP(MONTH($C882)/3,0))</f>
        <v/>
      </c>
      <c r="L882">
        <f>IF($G882&lt;&gt;"ALCOHOL","",IF($K882="","",$H882*IFERROR(VLOOKUP($K882,Drink_Templates!$A:$G,7,FALSE),0)))</f>
        <v/>
      </c>
    </row>
    <row r="883" ht="15" customHeight="1">
      <c r="C883">
        <f>IF($B883="","",INT($B883))</f>
        <v/>
      </c>
      <c r="D883">
        <f>IF($C883="","",$C883-WEEKDAY($C883,2)+1)</f>
        <v/>
      </c>
      <c r="E883">
        <f>IF($C883="","",DATE(YEAR($C883),MONTH($C883),1))</f>
        <v/>
      </c>
      <c r="F883">
        <f>IF($C883="","",YEAR($C883)&amp;"-Q"&amp;ROUNDUP(MONTH($C883)/3,0))</f>
        <v/>
      </c>
      <c r="L883">
        <f>IF($G883&lt;&gt;"ALCOHOL","",IF($K883="","",$H883*IFERROR(VLOOKUP($K883,Drink_Templates!$A:$G,7,FALSE),0)))</f>
        <v/>
      </c>
    </row>
    <row r="884" ht="15" customHeight="1">
      <c r="C884">
        <f>IF($B884="","",INT($B884))</f>
        <v/>
      </c>
      <c r="D884">
        <f>IF($C884="","",$C884-WEEKDAY($C884,2)+1)</f>
        <v/>
      </c>
      <c r="E884">
        <f>IF($C884="","",DATE(YEAR($C884),MONTH($C884),1))</f>
        <v/>
      </c>
      <c r="F884">
        <f>IF($C884="","",YEAR($C884)&amp;"-Q"&amp;ROUNDUP(MONTH($C884)/3,0))</f>
        <v/>
      </c>
      <c r="L884">
        <f>IF($G884&lt;&gt;"ALCOHOL","",IF($K884="","",$H884*IFERROR(VLOOKUP($K884,Drink_Templates!$A:$G,7,FALSE),0)))</f>
        <v/>
      </c>
    </row>
    <row r="885" ht="15" customHeight="1">
      <c r="C885">
        <f>IF($B885="","",INT($B885))</f>
        <v/>
      </c>
      <c r="D885">
        <f>IF($C885="","",$C885-WEEKDAY($C885,2)+1)</f>
        <v/>
      </c>
      <c r="E885">
        <f>IF($C885="","",DATE(YEAR($C885),MONTH($C885),1))</f>
        <v/>
      </c>
      <c r="F885">
        <f>IF($C885="","",YEAR($C885)&amp;"-Q"&amp;ROUNDUP(MONTH($C885)/3,0))</f>
        <v/>
      </c>
      <c r="L885">
        <f>IF($G885&lt;&gt;"ALCOHOL","",IF($K885="","",$H885*IFERROR(VLOOKUP($K885,Drink_Templates!$A:$G,7,FALSE),0)))</f>
        <v/>
      </c>
    </row>
    <row r="886" ht="15" customHeight="1">
      <c r="C886">
        <f>IF($B886="","",INT($B886))</f>
        <v/>
      </c>
      <c r="D886">
        <f>IF($C886="","",$C886-WEEKDAY($C886,2)+1)</f>
        <v/>
      </c>
      <c r="E886">
        <f>IF($C886="","",DATE(YEAR($C886),MONTH($C886),1))</f>
        <v/>
      </c>
      <c r="F886">
        <f>IF($C886="","",YEAR($C886)&amp;"-Q"&amp;ROUNDUP(MONTH($C886)/3,0))</f>
        <v/>
      </c>
      <c r="L886">
        <f>IF($G886&lt;&gt;"ALCOHOL","",IF($K886="","",$H886*IFERROR(VLOOKUP($K886,Drink_Templates!$A:$G,7,FALSE),0)))</f>
        <v/>
      </c>
    </row>
    <row r="887" ht="15" customHeight="1">
      <c r="C887">
        <f>IF($B887="","",INT($B887))</f>
        <v/>
      </c>
      <c r="D887">
        <f>IF($C887="","",$C887-WEEKDAY($C887,2)+1)</f>
        <v/>
      </c>
      <c r="E887">
        <f>IF($C887="","",DATE(YEAR($C887),MONTH($C887),1))</f>
        <v/>
      </c>
      <c r="F887">
        <f>IF($C887="","",YEAR($C887)&amp;"-Q"&amp;ROUNDUP(MONTH($C887)/3,0))</f>
        <v/>
      </c>
      <c r="L887">
        <f>IF($G887&lt;&gt;"ALCOHOL","",IF($K887="","",$H887*IFERROR(VLOOKUP($K887,Drink_Templates!$A:$G,7,FALSE),0)))</f>
        <v/>
      </c>
    </row>
    <row r="888" ht="15" customHeight="1">
      <c r="C888">
        <f>IF($B888="","",INT($B888))</f>
        <v/>
      </c>
      <c r="D888">
        <f>IF($C888="","",$C888-WEEKDAY($C888,2)+1)</f>
        <v/>
      </c>
      <c r="E888">
        <f>IF($C888="","",DATE(YEAR($C888),MONTH($C888),1))</f>
        <v/>
      </c>
      <c r="F888">
        <f>IF($C888="","",YEAR($C888)&amp;"-Q"&amp;ROUNDUP(MONTH($C888)/3,0))</f>
        <v/>
      </c>
      <c r="L888">
        <f>IF($G888&lt;&gt;"ALCOHOL","",IF($K888="","",$H888*IFERROR(VLOOKUP($K888,Drink_Templates!$A:$G,7,FALSE),0)))</f>
        <v/>
      </c>
    </row>
    <row r="889" ht="15" customHeight="1">
      <c r="C889">
        <f>IF($B889="","",INT($B889))</f>
        <v/>
      </c>
      <c r="D889">
        <f>IF($C889="","",$C889-WEEKDAY($C889,2)+1)</f>
        <v/>
      </c>
      <c r="E889">
        <f>IF($C889="","",DATE(YEAR($C889),MONTH($C889),1))</f>
        <v/>
      </c>
      <c r="F889">
        <f>IF($C889="","",YEAR($C889)&amp;"-Q"&amp;ROUNDUP(MONTH($C889)/3,0))</f>
        <v/>
      </c>
      <c r="L889">
        <f>IF($G889&lt;&gt;"ALCOHOL","",IF($K889="","",$H889*IFERROR(VLOOKUP($K889,Drink_Templates!$A:$G,7,FALSE),0)))</f>
        <v/>
      </c>
    </row>
    <row r="890" ht="15" customHeight="1">
      <c r="C890">
        <f>IF($B890="","",INT($B890))</f>
        <v/>
      </c>
      <c r="D890">
        <f>IF($C890="","",$C890-WEEKDAY($C890,2)+1)</f>
        <v/>
      </c>
      <c r="E890">
        <f>IF($C890="","",DATE(YEAR($C890),MONTH($C890),1))</f>
        <v/>
      </c>
      <c r="F890">
        <f>IF($C890="","",YEAR($C890)&amp;"-Q"&amp;ROUNDUP(MONTH($C890)/3,0))</f>
        <v/>
      </c>
      <c r="L890">
        <f>IF($G890&lt;&gt;"ALCOHOL","",IF($K890="","",$H890*IFERROR(VLOOKUP($K890,Drink_Templates!$A:$G,7,FALSE),0)))</f>
        <v/>
      </c>
    </row>
    <row r="891" ht="15" customHeight="1">
      <c r="C891">
        <f>IF($B891="","",INT($B891))</f>
        <v/>
      </c>
      <c r="D891">
        <f>IF($C891="","",$C891-WEEKDAY($C891,2)+1)</f>
        <v/>
      </c>
      <c r="E891">
        <f>IF($C891="","",DATE(YEAR($C891),MONTH($C891),1))</f>
        <v/>
      </c>
      <c r="F891">
        <f>IF($C891="","",YEAR($C891)&amp;"-Q"&amp;ROUNDUP(MONTH($C891)/3,0))</f>
        <v/>
      </c>
      <c r="L891">
        <f>IF($G891&lt;&gt;"ALCOHOL","",IF($K891="","",$H891*IFERROR(VLOOKUP($K891,Drink_Templates!$A:$G,7,FALSE),0)))</f>
        <v/>
      </c>
    </row>
    <row r="892" ht="15" customHeight="1">
      <c r="C892">
        <f>IF($B892="","",INT($B892))</f>
        <v/>
      </c>
      <c r="D892">
        <f>IF($C892="","",$C892-WEEKDAY($C892,2)+1)</f>
        <v/>
      </c>
      <c r="E892">
        <f>IF($C892="","",DATE(YEAR($C892),MONTH($C892),1))</f>
        <v/>
      </c>
      <c r="F892">
        <f>IF($C892="","",YEAR($C892)&amp;"-Q"&amp;ROUNDUP(MONTH($C892)/3,0))</f>
        <v/>
      </c>
      <c r="L892">
        <f>IF($G892&lt;&gt;"ALCOHOL","",IF($K892="","",$H892*IFERROR(VLOOKUP($K892,Drink_Templates!$A:$G,7,FALSE),0)))</f>
        <v/>
      </c>
    </row>
    <row r="893" ht="15" customHeight="1">
      <c r="C893">
        <f>IF($B893="","",INT($B893))</f>
        <v/>
      </c>
      <c r="D893">
        <f>IF($C893="","",$C893-WEEKDAY($C893,2)+1)</f>
        <v/>
      </c>
      <c r="E893">
        <f>IF($C893="","",DATE(YEAR($C893),MONTH($C893),1))</f>
        <v/>
      </c>
      <c r="F893">
        <f>IF($C893="","",YEAR($C893)&amp;"-Q"&amp;ROUNDUP(MONTH($C893)/3,0))</f>
        <v/>
      </c>
      <c r="L893">
        <f>IF($G893&lt;&gt;"ALCOHOL","",IF($K893="","",$H893*IFERROR(VLOOKUP($K893,Drink_Templates!$A:$G,7,FALSE),0)))</f>
        <v/>
      </c>
    </row>
    <row r="894" ht="15" customHeight="1">
      <c r="C894">
        <f>IF($B894="","",INT($B894))</f>
        <v/>
      </c>
      <c r="D894">
        <f>IF($C894="","",$C894-WEEKDAY($C894,2)+1)</f>
        <v/>
      </c>
      <c r="E894">
        <f>IF($C894="","",DATE(YEAR($C894),MONTH($C894),1))</f>
        <v/>
      </c>
      <c r="F894">
        <f>IF($C894="","",YEAR($C894)&amp;"-Q"&amp;ROUNDUP(MONTH($C894)/3,0))</f>
        <v/>
      </c>
      <c r="L894">
        <f>IF($G894&lt;&gt;"ALCOHOL","",IF($K894="","",$H894*IFERROR(VLOOKUP($K894,Drink_Templates!$A:$G,7,FALSE),0)))</f>
        <v/>
      </c>
    </row>
    <row r="895" ht="15" customHeight="1">
      <c r="C895">
        <f>IF($B895="","",INT($B895))</f>
        <v/>
      </c>
      <c r="D895">
        <f>IF($C895="","",$C895-WEEKDAY($C895,2)+1)</f>
        <v/>
      </c>
      <c r="E895">
        <f>IF($C895="","",DATE(YEAR($C895),MONTH($C895),1))</f>
        <v/>
      </c>
      <c r="F895">
        <f>IF($C895="","",YEAR($C895)&amp;"-Q"&amp;ROUNDUP(MONTH($C895)/3,0))</f>
        <v/>
      </c>
      <c r="L895">
        <f>IF($G895&lt;&gt;"ALCOHOL","",IF($K895="","",$H895*IFERROR(VLOOKUP($K895,Drink_Templates!$A:$G,7,FALSE),0)))</f>
        <v/>
      </c>
    </row>
    <row r="896" ht="15" customHeight="1">
      <c r="C896">
        <f>IF($B896="","",INT($B896))</f>
        <v/>
      </c>
      <c r="D896">
        <f>IF($C896="","",$C896-WEEKDAY($C896,2)+1)</f>
        <v/>
      </c>
      <c r="E896">
        <f>IF($C896="","",DATE(YEAR($C896),MONTH($C896),1))</f>
        <v/>
      </c>
      <c r="F896">
        <f>IF($C896="","",YEAR($C896)&amp;"-Q"&amp;ROUNDUP(MONTH($C896)/3,0))</f>
        <v/>
      </c>
      <c r="L896">
        <f>IF($G896&lt;&gt;"ALCOHOL","",IF($K896="","",$H896*IFERROR(VLOOKUP($K896,Drink_Templates!$A:$G,7,FALSE),0)))</f>
        <v/>
      </c>
    </row>
    <row r="897" ht="15" customHeight="1">
      <c r="C897">
        <f>IF($B897="","",INT($B897))</f>
        <v/>
      </c>
      <c r="D897">
        <f>IF($C897="","",$C897-WEEKDAY($C897,2)+1)</f>
        <v/>
      </c>
      <c r="E897">
        <f>IF($C897="","",DATE(YEAR($C897),MONTH($C897),1))</f>
        <v/>
      </c>
      <c r="F897">
        <f>IF($C897="","",YEAR($C897)&amp;"-Q"&amp;ROUNDUP(MONTH($C897)/3,0))</f>
        <v/>
      </c>
      <c r="L897">
        <f>IF($G897&lt;&gt;"ALCOHOL","",IF($K897="","",$H897*IFERROR(VLOOKUP($K897,Drink_Templates!$A:$G,7,FALSE),0)))</f>
        <v/>
      </c>
    </row>
    <row r="898" ht="15" customHeight="1">
      <c r="C898">
        <f>IF($B898="","",INT($B898))</f>
        <v/>
      </c>
      <c r="D898">
        <f>IF($C898="","",$C898-WEEKDAY($C898,2)+1)</f>
        <v/>
      </c>
      <c r="E898">
        <f>IF($C898="","",DATE(YEAR($C898),MONTH($C898),1))</f>
        <v/>
      </c>
      <c r="F898">
        <f>IF($C898="","",YEAR($C898)&amp;"-Q"&amp;ROUNDUP(MONTH($C898)/3,0))</f>
        <v/>
      </c>
      <c r="L898">
        <f>IF($G898&lt;&gt;"ALCOHOL","",IF($K898="","",$H898*IFERROR(VLOOKUP($K898,Drink_Templates!$A:$G,7,FALSE),0)))</f>
        <v/>
      </c>
    </row>
    <row r="899" ht="15" customHeight="1">
      <c r="C899">
        <f>IF($B899="","",INT($B899))</f>
        <v/>
      </c>
      <c r="D899">
        <f>IF($C899="","",$C899-WEEKDAY($C899,2)+1)</f>
        <v/>
      </c>
      <c r="E899">
        <f>IF($C899="","",DATE(YEAR($C899),MONTH($C899),1))</f>
        <v/>
      </c>
      <c r="F899">
        <f>IF($C899="","",YEAR($C899)&amp;"-Q"&amp;ROUNDUP(MONTH($C899)/3,0))</f>
        <v/>
      </c>
      <c r="L899">
        <f>IF($G899&lt;&gt;"ALCOHOL","",IF($K899="","",$H899*IFERROR(VLOOKUP($K899,Drink_Templates!$A:$G,7,FALSE),0)))</f>
        <v/>
      </c>
    </row>
    <row r="900" ht="15" customHeight="1">
      <c r="C900">
        <f>IF($B900="","",INT($B900))</f>
        <v/>
      </c>
      <c r="D900">
        <f>IF($C900="","",$C900-WEEKDAY($C900,2)+1)</f>
        <v/>
      </c>
      <c r="E900">
        <f>IF($C900="","",DATE(YEAR($C900),MONTH($C900),1))</f>
        <v/>
      </c>
      <c r="F900">
        <f>IF($C900="","",YEAR($C900)&amp;"-Q"&amp;ROUNDUP(MONTH($C900)/3,0))</f>
        <v/>
      </c>
      <c r="L900">
        <f>IF($G900&lt;&gt;"ALCOHOL","",IF($K900="","",$H900*IFERROR(VLOOKUP($K900,Drink_Templates!$A:$G,7,FALSE),0)))</f>
        <v/>
      </c>
    </row>
    <row r="901" ht="15" customHeight="1">
      <c r="C901">
        <f>IF($B901="","",INT($B901))</f>
        <v/>
      </c>
      <c r="D901">
        <f>IF($C901="","",$C901-WEEKDAY($C901,2)+1)</f>
        <v/>
      </c>
      <c r="E901">
        <f>IF($C901="","",DATE(YEAR($C901),MONTH($C901),1))</f>
        <v/>
      </c>
      <c r="F901">
        <f>IF($C901="","",YEAR($C901)&amp;"-Q"&amp;ROUNDUP(MONTH($C901)/3,0))</f>
        <v/>
      </c>
      <c r="L901">
        <f>IF($G901&lt;&gt;"ALCOHOL","",IF($K901="","",$H901*IFERROR(VLOOKUP($K901,Drink_Templates!$A:$G,7,FALSE),0)))</f>
        <v/>
      </c>
    </row>
    <row r="902" ht="15" customHeight="1">
      <c r="C902">
        <f>IF($B902="","",INT($B902))</f>
        <v/>
      </c>
      <c r="D902">
        <f>IF($C902="","",$C902-WEEKDAY($C902,2)+1)</f>
        <v/>
      </c>
      <c r="E902">
        <f>IF($C902="","",DATE(YEAR($C902),MONTH($C902),1))</f>
        <v/>
      </c>
      <c r="F902">
        <f>IF($C902="","",YEAR($C902)&amp;"-Q"&amp;ROUNDUP(MONTH($C902)/3,0))</f>
        <v/>
      </c>
      <c r="L902">
        <f>IF($G902&lt;&gt;"ALCOHOL","",IF($K902="","",$H902*IFERROR(VLOOKUP($K902,Drink_Templates!$A:$G,7,FALSE),0)))</f>
        <v/>
      </c>
    </row>
    <row r="903" ht="15" customHeight="1">
      <c r="C903">
        <f>IF($B903="","",INT($B903))</f>
        <v/>
      </c>
      <c r="D903">
        <f>IF($C903="","",$C903-WEEKDAY($C903,2)+1)</f>
        <v/>
      </c>
      <c r="E903">
        <f>IF($C903="","",DATE(YEAR($C903),MONTH($C903),1))</f>
        <v/>
      </c>
      <c r="F903">
        <f>IF($C903="","",YEAR($C903)&amp;"-Q"&amp;ROUNDUP(MONTH($C903)/3,0))</f>
        <v/>
      </c>
      <c r="L903">
        <f>IF($G903&lt;&gt;"ALCOHOL","",IF($K903="","",$H903*IFERROR(VLOOKUP($K903,Drink_Templates!$A:$G,7,FALSE),0)))</f>
        <v/>
      </c>
    </row>
    <row r="904" ht="15" customHeight="1">
      <c r="C904">
        <f>IF($B904="","",INT($B904))</f>
        <v/>
      </c>
      <c r="D904">
        <f>IF($C904="","",$C904-WEEKDAY($C904,2)+1)</f>
        <v/>
      </c>
      <c r="E904">
        <f>IF($C904="","",DATE(YEAR($C904),MONTH($C904),1))</f>
        <v/>
      </c>
      <c r="F904">
        <f>IF($C904="","",YEAR($C904)&amp;"-Q"&amp;ROUNDUP(MONTH($C904)/3,0))</f>
        <v/>
      </c>
      <c r="L904">
        <f>IF($G904&lt;&gt;"ALCOHOL","",IF($K904="","",$H904*IFERROR(VLOOKUP($K904,Drink_Templates!$A:$G,7,FALSE),0)))</f>
        <v/>
      </c>
    </row>
    <row r="905" ht="15" customHeight="1">
      <c r="C905">
        <f>IF($B905="","",INT($B905))</f>
        <v/>
      </c>
      <c r="D905">
        <f>IF($C905="","",$C905-WEEKDAY($C905,2)+1)</f>
        <v/>
      </c>
      <c r="E905">
        <f>IF($C905="","",DATE(YEAR($C905),MONTH($C905),1))</f>
        <v/>
      </c>
      <c r="F905">
        <f>IF($C905="","",YEAR($C905)&amp;"-Q"&amp;ROUNDUP(MONTH($C905)/3,0))</f>
        <v/>
      </c>
      <c r="L905">
        <f>IF($G905&lt;&gt;"ALCOHOL","",IF($K905="","",$H905*IFERROR(VLOOKUP($K905,Drink_Templates!$A:$G,7,FALSE),0)))</f>
        <v/>
      </c>
    </row>
    <row r="906" ht="15" customHeight="1">
      <c r="C906">
        <f>IF($B906="","",INT($B906))</f>
        <v/>
      </c>
      <c r="D906">
        <f>IF($C906="","",$C906-WEEKDAY($C906,2)+1)</f>
        <v/>
      </c>
      <c r="E906">
        <f>IF($C906="","",DATE(YEAR($C906),MONTH($C906),1))</f>
        <v/>
      </c>
      <c r="F906">
        <f>IF($C906="","",YEAR($C906)&amp;"-Q"&amp;ROUNDUP(MONTH($C906)/3,0))</f>
        <v/>
      </c>
      <c r="L906">
        <f>IF($G906&lt;&gt;"ALCOHOL","",IF($K906="","",$H906*IFERROR(VLOOKUP($K906,Drink_Templates!$A:$G,7,FALSE),0)))</f>
        <v/>
      </c>
    </row>
    <row r="907" ht="15" customHeight="1">
      <c r="C907">
        <f>IF($B907="","",INT($B907))</f>
        <v/>
      </c>
      <c r="D907">
        <f>IF($C907="","",$C907-WEEKDAY($C907,2)+1)</f>
        <v/>
      </c>
      <c r="E907">
        <f>IF($C907="","",DATE(YEAR($C907),MONTH($C907),1))</f>
        <v/>
      </c>
      <c r="F907">
        <f>IF($C907="","",YEAR($C907)&amp;"-Q"&amp;ROUNDUP(MONTH($C907)/3,0))</f>
        <v/>
      </c>
      <c r="L907">
        <f>IF($G907&lt;&gt;"ALCOHOL","",IF($K907="","",$H907*IFERROR(VLOOKUP($K907,Drink_Templates!$A:$G,7,FALSE),0)))</f>
        <v/>
      </c>
    </row>
    <row r="908" ht="15" customHeight="1">
      <c r="C908">
        <f>IF($B908="","",INT($B908))</f>
        <v/>
      </c>
      <c r="D908">
        <f>IF($C908="","",$C908-WEEKDAY($C908,2)+1)</f>
        <v/>
      </c>
      <c r="E908">
        <f>IF($C908="","",DATE(YEAR($C908),MONTH($C908),1))</f>
        <v/>
      </c>
      <c r="F908">
        <f>IF($C908="","",YEAR($C908)&amp;"-Q"&amp;ROUNDUP(MONTH($C908)/3,0))</f>
        <v/>
      </c>
      <c r="L908">
        <f>IF($G908&lt;&gt;"ALCOHOL","",IF($K908="","",$H908*IFERROR(VLOOKUP($K908,Drink_Templates!$A:$G,7,FALSE),0)))</f>
        <v/>
      </c>
    </row>
    <row r="909" ht="15" customHeight="1">
      <c r="C909">
        <f>IF($B909="","",INT($B909))</f>
        <v/>
      </c>
      <c r="D909">
        <f>IF($C909="","",$C909-WEEKDAY($C909,2)+1)</f>
        <v/>
      </c>
      <c r="E909">
        <f>IF($C909="","",DATE(YEAR($C909),MONTH($C909),1))</f>
        <v/>
      </c>
      <c r="F909">
        <f>IF($C909="","",YEAR($C909)&amp;"-Q"&amp;ROUNDUP(MONTH($C909)/3,0))</f>
        <v/>
      </c>
      <c r="L909">
        <f>IF($G909&lt;&gt;"ALCOHOL","",IF($K909="","",$H909*IFERROR(VLOOKUP($K909,Drink_Templates!$A:$G,7,FALSE),0)))</f>
        <v/>
      </c>
    </row>
    <row r="910" ht="15" customHeight="1">
      <c r="C910">
        <f>IF($B910="","",INT($B910))</f>
        <v/>
      </c>
      <c r="D910">
        <f>IF($C910="","",$C910-WEEKDAY($C910,2)+1)</f>
        <v/>
      </c>
      <c r="E910">
        <f>IF($C910="","",DATE(YEAR($C910),MONTH($C910),1))</f>
        <v/>
      </c>
      <c r="F910">
        <f>IF($C910="","",YEAR($C910)&amp;"-Q"&amp;ROUNDUP(MONTH($C910)/3,0))</f>
        <v/>
      </c>
      <c r="L910">
        <f>IF($G910&lt;&gt;"ALCOHOL","",IF($K910="","",$H910*IFERROR(VLOOKUP($K910,Drink_Templates!$A:$G,7,FALSE),0)))</f>
        <v/>
      </c>
    </row>
    <row r="911" ht="15" customHeight="1">
      <c r="C911">
        <f>IF($B911="","",INT($B911))</f>
        <v/>
      </c>
      <c r="D911">
        <f>IF($C911="","",$C911-WEEKDAY($C911,2)+1)</f>
        <v/>
      </c>
      <c r="E911">
        <f>IF($C911="","",DATE(YEAR($C911),MONTH($C911),1))</f>
        <v/>
      </c>
      <c r="F911">
        <f>IF($C911="","",YEAR($C911)&amp;"-Q"&amp;ROUNDUP(MONTH($C911)/3,0))</f>
        <v/>
      </c>
      <c r="L911">
        <f>IF($G911&lt;&gt;"ALCOHOL","",IF($K911="","",$H911*IFERROR(VLOOKUP($K911,Drink_Templates!$A:$G,7,FALSE),0)))</f>
        <v/>
      </c>
    </row>
    <row r="912" ht="15" customHeight="1">
      <c r="C912">
        <f>IF($B912="","",INT($B912))</f>
        <v/>
      </c>
      <c r="D912">
        <f>IF($C912="","",$C912-WEEKDAY($C912,2)+1)</f>
        <v/>
      </c>
      <c r="E912">
        <f>IF($C912="","",DATE(YEAR($C912),MONTH($C912),1))</f>
        <v/>
      </c>
      <c r="F912">
        <f>IF($C912="","",YEAR($C912)&amp;"-Q"&amp;ROUNDUP(MONTH($C912)/3,0))</f>
        <v/>
      </c>
      <c r="L912">
        <f>IF($G912&lt;&gt;"ALCOHOL","",IF($K912="","",$H912*IFERROR(VLOOKUP($K912,Drink_Templates!$A:$G,7,FALSE),0)))</f>
        <v/>
      </c>
    </row>
    <row r="913" ht="15" customHeight="1">
      <c r="C913">
        <f>IF($B913="","",INT($B913))</f>
        <v/>
      </c>
      <c r="D913">
        <f>IF($C913="","",$C913-WEEKDAY($C913,2)+1)</f>
        <v/>
      </c>
      <c r="E913">
        <f>IF($C913="","",DATE(YEAR($C913),MONTH($C913),1))</f>
        <v/>
      </c>
      <c r="F913">
        <f>IF($C913="","",YEAR($C913)&amp;"-Q"&amp;ROUNDUP(MONTH($C913)/3,0))</f>
        <v/>
      </c>
      <c r="L913">
        <f>IF($G913&lt;&gt;"ALCOHOL","",IF($K913="","",$H913*IFERROR(VLOOKUP($K913,Drink_Templates!$A:$G,7,FALSE),0)))</f>
        <v/>
      </c>
    </row>
    <row r="914" ht="15" customHeight="1">
      <c r="C914">
        <f>IF($B914="","",INT($B914))</f>
        <v/>
      </c>
      <c r="D914">
        <f>IF($C914="","",$C914-WEEKDAY($C914,2)+1)</f>
        <v/>
      </c>
      <c r="E914">
        <f>IF($C914="","",DATE(YEAR($C914),MONTH($C914),1))</f>
        <v/>
      </c>
      <c r="F914">
        <f>IF($C914="","",YEAR($C914)&amp;"-Q"&amp;ROUNDUP(MONTH($C914)/3,0))</f>
        <v/>
      </c>
      <c r="L914">
        <f>IF($G914&lt;&gt;"ALCOHOL","",IF($K914="","",$H914*IFERROR(VLOOKUP($K914,Drink_Templates!$A:$G,7,FALSE),0)))</f>
        <v/>
      </c>
    </row>
    <row r="915" ht="15" customHeight="1">
      <c r="C915">
        <f>IF($B915="","",INT($B915))</f>
        <v/>
      </c>
      <c r="D915">
        <f>IF($C915="","",$C915-WEEKDAY($C915,2)+1)</f>
        <v/>
      </c>
      <c r="E915">
        <f>IF($C915="","",DATE(YEAR($C915),MONTH($C915),1))</f>
        <v/>
      </c>
      <c r="F915">
        <f>IF($C915="","",YEAR($C915)&amp;"-Q"&amp;ROUNDUP(MONTH($C915)/3,0))</f>
        <v/>
      </c>
      <c r="L915">
        <f>IF($G915&lt;&gt;"ALCOHOL","",IF($K915="","",$H915*IFERROR(VLOOKUP($K915,Drink_Templates!$A:$G,7,FALSE),0)))</f>
        <v/>
      </c>
    </row>
    <row r="916" ht="15" customHeight="1">
      <c r="C916">
        <f>IF($B916="","",INT($B916))</f>
        <v/>
      </c>
      <c r="D916">
        <f>IF($C916="","",$C916-WEEKDAY($C916,2)+1)</f>
        <v/>
      </c>
      <c r="E916">
        <f>IF($C916="","",DATE(YEAR($C916),MONTH($C916),1))</f>
        <v/>
      </c>
      <c r="F916">
        <f>IF($C916="","",YEAR($C916)&amp;"-Q"&amp;ROUNDUP(MONTH($C916)/3,0))</f>
        <v/>
      </c>
      <c r="L916">
        <f>IF($G916&lt;&gt;"ALCOHOL","",IF($K916="","",$H916*IFERROR(VLOOKUP($K916,Drink_Templates!$A:$G,7,FALSE),0)))</f>
        <v/>
      </c>
    </row>
    <row r="917" ht="15" customHeight="1">
      <c r="C917">
        <f>IF($B917="","",INT($B917))</f>
        <v/>
      </c>
      <c r="D917">
        <f>IF($C917="","",$C917-WEEKDAY($C917,2)+1)</f>
        <v/>
      </c>
      <c r="E917">
        <f>IF($C917="","",DATE(YEAR($C917),MONTH($C917),1))</f>
        <v/>
      </c>
      <c r="F917">
        <f>IF($C917="","",YEAR($C917)&amp;"-Q"&amp;ROUNDUP(MONTH($C917)/3,0))</f>
        <v/>
      </c>
      <c r="L917">
        <f>IF($G917&lt;&gt;"ALCOHOL","",IF($K917="","",$H917*IFERROR(VLOOKUP($K917,Drink_Templates!$A:$G,7,FALSE),0)))</f>
        <v/>
      </c>
    </row>
    <row r="918" ht="15" customHeight="1">
      <c r="C918">
        <f>IF($B918="","",INT($B918))</f>
        <v/>
      </c>
      <c r="D918">
        <f>IF($C918="","",$C918-WEEKDAY($C918,2)+1)</f>
        <v/>
      </c>
      <c r="E918">
        <f>IF($C918="","",DATE(YEAR($C918),MONTH($C918),1))</f>
        <v/>
      </c>
      <c r="F918">
        <f>IF($C918="","",YEAR($C918)&amp;"-Q"&amp;ROUNDUP(MONTH($C918)/3,0))</f>
        <v/>
      </c>
      <c r="L918">
        <f>IF($G918&lt;&gt;"ALCOHOL","",IF($K918="","",$H918*IFERROR(VLOOKUP($K918,Drink_Templates!$A:$G,7,FALSE),0)))</f>
        <v/>
      </c>
    </row>
    <row r="919" ht="15" customHeight="1">
      <c r="C919">
        <f>IF($B919="","",INT($B919))</f>
        <v/>
      </c>
      <c r="D919">
        <f>IF($C919="","",$C919-WEEKDAY($C919,2)+1)</f>
        <v/>
      </c>
      <c r="E919">
        <f>IF($C919="","",DATE(YEAR($C919),MONTH($C919),1))</f>
        <v/>
      </c>
      <c r="F919">
        <f>IF($C919="","",YEAR($C919)&amp;"-Q"&amp;ROUNDUP(MONTH($C919)/3,0))</f>
        <v/>
      </c>
      <c r="L919">
        <f>IF($G919&lt;&gt;"ALCOHOL","",IF($K919="","",$H919*IFERROR(VLOOKUP($K919,Drink_Templates!$A:$G,7,FALSE),0)))</f>
        <v/>
      </c>
    </row>
    <row r="920" ht="15" customHeight="1">
      <c r="C920">
        <f>IF($B920="","",INT($B920))</f>
        <v/>
      </c>
      <c r="D920">
        <f>IF($C920="","",$C920-WEEKDAY($C920,2)+1)</f>
        <v/>
      </c>
      <c r="E920">
        <f>IF($C920="","",DATE(YEAR($C920),MONTH($C920),1))</f>
        <v/>
      </c>
      <c r="F920">
        <f>IF($C920="","",YEAR($C920)&amp;"-Q"&amp;ROUNDUP(MONTH($C920)/3,0))</f>
        <v/>
      </c>
      <c r="L920">
        <f>IF($G920&lt;&gt;"ALCOHOL","",IF($K920="","",$H920*IFERROR(VLOOKUP($K920,Drink_Templates!$A:$G,7,FALSE),0)))</f>
        <v/>
      </c>
    </row>
    <row r="921" ht="15" customHeight="1">
      <c r="C921">
        <f>IF($B921="","",INT($B921))</f>
        <v/>
      </c>
      <c r="D921">
        <f>IF($C921="","",$C921-WEEKDAY($C921,2)+1)</f>
        <v/>
      </c>
      <c r="E921">
        <f>IF($C921="","",DATE(YEAR($C921),MONTH($C921),1))</f>
        <v/>
      </c>
      <c r="F921">
        <f>IF($C921="","",YEAR($C921)&amp;"-Q"&amp;ROUNDUP(MONTH($C921)/3,0))</f>
        <v/>
      </c>
      <c r="L921">
        <f>IF($G921&lt;&gt;"ALCOHOL","",IF($K921="","",$H921*IFERROR(VLOOKUP($K921,Drink_Templates!$A:$G,7,FALSE),0)))</f>
        <v/>
      </c>
    </row>
    <row r="922" ht="15" customHeight="1">
      <c r="C922">
        <f>IF($B922="","",INT($B922))</f>
        <v/>
      </c>
      <c r="D922">
        <f>IF($C922="","",$C922-WEEKDAY($C922,2)+1)</f>
        <v/>
      </c>
      <c r="E922">
        <f>IF($C922="","",DATE(YEAR($C922),MONTH($C922),1))</f>
        <v/>
      </c>
      <c r="F922">
        <f>IF($C922="","",YEAR($C922)&amp;"-Q"&amp;ROUNDUP(MONTH($C922)/3,0))</f>
        <v/>
      </c>
      <c r="L922">
        <f>IF($G922&lt;&gt;"ALCOHOL","",IF($K922="","",$H922*IFERROR(VLOOKUP($K922,Drink_Templates!$A:$G,7,FALSE),0)))</f>
        <v/>
      </c>
    </row>
    <row r="923" ht="15" customHeight="1">
      <c r="C923">
        <f>IF($B923="","",INT($B923))</f>
        <v/>
      </c>
      <c r="D923">
        <f>IF($C923="","",$C923-WEEKDAY($C923,2)+1)</f>
        <v/>
      </c>
      <c r="E923">
        <f>IF($C923="","",DATE(YEAR($C923),MONTH($C923),1))</f>
        <v/>
      </c>
      <c r="F923">
        <f>IF($C923="","",YEAR($C923)&amp;"-Q"&amp;ROUNDUP(MONTH($C923)/3,0))</f>
        <v/>
      </c>
      <c r="L923">
        <f>IF($G923&lt;&gt;"ALCOHOL","",IF($K923="","",$H923*IFERROR(VLOOKUP($K923,Drink_Templates!$A:$G,7,FALSE),0)))</f>
        <v/>
      </c>
    </row>
    <row r="924" ht="15" customHeight="1">
      <c r="C924">
        <f>IF($B924="","",INT($B924))</f>
        <v/>
      </c>
      <c r="D924">
        <f>IF($C924="","",$C924-WEEKDAY($C924,2)+1)</f>
        <v/>
      </c>
      <c r="E924">
        <f>IF($C924="","",DATE(YEAR($C924),MONTH($C924),1))</f>
        <v/>
      </c>
      <c r="F924">
        <f>IF($C924="","",YEAR($C924)&amp;"-Q"&amp;ROUNDUP(MONTH($C924)/3,0))</f>
        <v/>
      </c>
      <c r="L924">
        <f>IF($G924&lt;&gt;"ALCOHOL","",IF($K924="","",$H924*IFERROR(VLOOKUP($K924,Drink_Templates!$A:$G,7,FALSE),0)))</f>
        <v/>
      </c>
    </row>
    <row r="925" ht="15" customHeight="1">
      <c r="C925">
        <f>IF($B925="","",INT($B925))</f>
        <v/>
      </c>
      <c r="D925">
        <f>IF($C925="","",$C925-WEEKDAY($C925,2)+1)</f>
        <v/>
      </c>
      <c r="E925">
        <f>IF($C925="","",DATE(YEAR($C925),MONTH($C925),1))</f>
        <v/>
      </c>
      <c r="F925">
        <f>IF($C925="","",YEAR($C925)&amp;"-Q"&amp;ROUNDUP(MONTH($C925)/3,0))</f>
        <v/>
      </c>
      <c r="L925">
        <f>IF($G925&lt;&gt;"ALCOHOL","",IF($K925="","",$H925*IFERROR(VLOOKUP($K925,Drink_Templates!$A:$G,7,FALSE),0)))</f>
        <v/>
      </c>
    </row>
    <row r="926" ht="15" customHeight="1">
      <c r="C926">
        <f>IF($B926="","",INT($B926))</f>
        <v/>
      </c>
      <c r="D926">
        <f>IF($C926="","",$C926-WEEKDAY($C926,2)+1)</f>
        <v/>
      </c>
      <c r="E926">
        <f>IF($C926="","",DATE(YEAR($C926),MONTH($C926),1))</f>
        <v/>
      </c>
      <c r="F926">
        <f>IF($C926="","",YEAR($C926)&amp;"-Q"&amp;ROUNDUP(MONTH($C926)/3,0))</f>
        <v/>
      </c>
      <c r="L926">
        <f>IF($G926&lt;&gt;"ALCOHOL","",IF($K926="","",$H926*IFERROR(VLOOKUP($K926,Drink_Templates!$A:$G,7,FALSE),0)))</f>
        <v/>
      </c>
    </row>
    <row r="927" ht="15" customHeight="1">
      <c r="C927">
        <f>IF($B927="","",INT($B927))</f>
        <v/>
      </c>
      <c r="D927">
        <f>IF($C927="","",$C927-WEEKDAY($C927,2)+1)</f>
        <v/>
      </c>
      <c r="E927">
        <f>IF($C927="","",DATE(YEAR($C927),MONTH($C927),1))</f>
        <v/>
      </c>
      <c r="F927">
        <f>IF($C927="","",YEAR($C927)&amp;"-Q"&amp;ROUNDUP(MONTH($C927)/3,0))</f>
        <v/>
      </c>
      <c r="L927">
        <f>IF($G927&lt;&gt;"ALCOHOL","",IF($K927="","",$H927*IFERROR(VLOOKUP($K927,Drink_Templates!$A:$G,7,FALSE),0)))</f>
        <v/>
      </c>
    </row>
    <row r="928" ht="15" customHeight="1">
      <c r="C928">
        <f>IF($B928="","",INT($B928))</f>
        <v/>
      </c>
      <c r="D928">
        <f>IF($C928="","",$C928-WEEKDAY($C928,2)+1)</f>
        <v/>
      </c>
      <c r="E928">
        <f>IF($C928="","",DATE(YEAR($C928),MONTH($C928),1))</f>
        <v/>
      </c>
      <c r="F928">
        <f>IF($C928="","",YEAR($C928)&amp;"-Q"&amp;ROUNDUP(MONTH($C928)/3,0))</f>
        <v/>
      </c>
      <c r="L928">
        <f>IF($G928&lt;&gt;"ALCOHOL","",IF($K928="","",$H928*IFERROR(VLOOKUP($K928,Drink_Templates!$A:$G,7,FALSE),0)))</f>
        <v/>
      </c>
    </row>
    <row r="929" ht="15" customHeight="1">
      <c r="C929">
        <f>IF($B929="","",INT($B929))</f>
        <v/>
      </c>
      <c r="D929">
        <f>IF($C929="","",$C929-WEEKDAY($C929,2)+1)</f>
        <v/>
      </c>
      <c r="E929">
        <f>IF($C929="","",DATE(YEAR($C929),MONTH($C929),1))</f>
        <v/>
      </c>
      <c r="F929">
        <f>IF($C929="","",YEAR($C929)&amp;"-Q"&amp;ROUNDUP(MONTH($C929)/3,0))</f>
        <v/>
      </c>
      <c r="L929">
        <f>IF($G929&lt;&gt;"ALCOHOL","",IF($K929="","",$H929*IFERROR(VLOOKUP($K929,Drink_Templates!$A:$G,7,FALSE),0)))</f>
        <v/>
      </c>
    </row>
    <row r="930" ht="15" customHeight="1">
      <c r="C930">
        <f>IF($B930="","",INT($B930))</f>
        <v/>
      </c>
      <c r="D930">
        <f>IF($C930="","",$C930-WEEKDAY($C930,2)+1)</f>
        <v/>
      </c>
      <c r="E930">
        <f>IF($C930="","",DATE(YEAR($C930),MONTH($C930),1))</f>
        <v/>
      </c>
      <c r="F930">
        <f>IF($C930="","",YEAR($C930)&amp;"-Q"&amp;ROUNDUP(MONTH($C930)/3,0))</f>
        <v/>
      </c>
      <c r="L930">
        <f>IF($G930&lt;&gt;"ALCOHOL","",IF($K930="","",$H930*IFERROR(VLOOKUP($K930,Drink_Templates!$A:$G,7,FALSE),0)))</f>
        <v/>
      </c>
    </row>
    <row r="931" ht="15" customHeight="1">
      <c r="C931">
        <f>IF($B931="","",INT($B931))</f>
        <v/>
      </c>
      <c r="D931">
        <f>IF($C931="","",$C931-WEEKDAY($C931,2)+1)</f>
        <v/>
      </c>
      <c r="E931">
        <f>IF($C931="","",DATE(YEAR($C931),MONTH($C931),1))</f>
        <v/>
      </c>
      <c r="F931">
        <f>IF($C931="","",YEAR($C931)&amp;"-Q"&amp;ROUNDUP(MONTH($C931)/3,0))</f>
        <v/>
      </c>
      <c r="L931">
        <f>IF($G931&lt;&gt;"ALCOHOL","",IF($K931="","",$H931*IFERROR(VLOOKUP($K931,Drink_Templates!$A:$G,7,FALSE),0)))</f>
        <v/>
      </c>
    </row>
    <row r="932" ht="15" customHeight="1">
      <c r="C932">
        <f>IF($B932="","",INT($B932))</f>
        <v/>
      </c>
      <c r="D932">
        <f>IF($C932="","",$C932-WEEKDAY($C932,2)+1)</f>
        <v/>
      </c>
      <c r="E932">
        <f>IF($C932="","",DATE(YEAR($C932),MONTH($C932),1))</f>
        <v/>
      </c>
      <c r="F932">
        <f>IF($C932="","",YEAR($C932)&amp;"-Q"&amp;ROUNDUP(MONTH($C932)/3,0))</f>
        <v/>
      </c>
      <c r="L932">
        <f>IF($G932&lt;&gt;"ALCOHOL","",IF($K932="","",$H932*IFERROR(VLOOKUP($K932,Drink_Templates!$A:$G,7,FALSE),0)))</f>
        <v/>
      </c>
    </row>
    <row r="933" ht="15" customHeight="1">
      <c r="C933">
        <f>IF($B933="","",INT($B933))</f>
        <v/>
      </c>
      <c r="D933">
        <f>IF($C933="","",$C933-WEEKDAY($C933,2)+1)</f>
        <v/>
      </c>
      <c r="E933">
        <f>IF($C933="","",DATE(YEAR($C933),MONTH($C933),1))</f>
        <v/>
      </c>
      <c r="F933">
        <f>IF($C933="","",YEAR($C933)&amp;"-Q"&amp;ROUNDUP(MONTH($C933)/3,0))</f>
        <v/>
      </c>
      <c r="L933">
        <f>IF($G933&lt;&gt;"ALCOHOL","",IF($K933="","",$H933*IFERROR(VLOOKUP($K933,Drink_Templates!$A:$G,7,FALSE),0)))</f>
        <v/>
      </c>
    </row>
    <row r="934" ht="15" customHeight="1">
      <c r="C934">
        <f>IF($B934="","",INT($B934))</f>
        <v/>
      </c>
      <c r="D934">
        <f>IF($C934="","",$C934-WEEKDAY($C934,2)+1)</f>
        <v/>
      </c>
      <c r="E934">
        <f>IF($C934="","",DATE(YEAR($C934),MONTH($C934),1))</f>
        <v/>
      </c>
      <c r="F934">
        <f>IF($C934="","",YEAR($C934)&amp;"-Q"&amp;ROUNDUP(MONTH($C934)/3,0))</f>
        <v/>
      </c>
      <c r="L934">
        <f>IF($G934&lt;&gt;"ALCOHOL","",IF($K934="","",$H934*IFERROR(VLOOKUP($K934,Drink_Templates!$A:$G,7,FALSE),0)))</f>
        <v/>
      </c>
    </row>
    <row r="935" ht="15" customHeight="1">
      <c r="C935">
        <f>IF($B935="","",INT($B935))</f>
        <v/>
      </c>
      <c r="D935">
        <f>IF($C935="","",$C935-WEEKDAY($C935,2)+1)</f>
        <v/>
      </c>
      <c r="E935">
        <f>IF($C935="","",DATE(YEAR($C935),MONTH($C935),1))</f>
        <v/>
      </c>
      <c r="F935">
        <f>IF($C935="","",YEAR($C935)&amp;"-Q"&amp;ROUNDUP(MONTH($C935)/3,0))</f>
        <v/>
      </c>
      <c r="L935">
        <f>IF($G935&lt;&gt;"ALCOHOL","",IF($K935="","",$H935*IFERROR(VLOOKUP($K935,Drink_Templates!$A:$G,7,FALSE),0)))</f>
        <v/>
      </c>
    </row>
    <row r="936" ht="15" customHeight="1">
      <c r="C936">
        <f>IF($B936="","",INT($B936))</f>
        <v/>
      </c>
      <c r="D936">
        <f>IF($C936="","",$C936-WEEKDAY($C936,2)+1)</f>
        <v/>
      </c>
      <c r="E936">
        <f>IF($C936="","",DATE(YEAR($C936),MONTH($C936),1))</f>
        <v/>
      </c>
      <c r="F936">
        <f>IF($C936="","",YEAR($C936)&amp;"-Q"&amp;ROUNDUP(MONTH($C936)/3,0))</f>
        <v/>
      </c>
      <c r="L936">
        <f>IF($G936&lt;&gt;"ALCOHOL","",IF($K936="","",$H936*IFERROR(VLOOKUP($K936,Drink_Templates!$A:$G,7,FALSE),0)))</f>
        <v/>
      </c>
    </row>
    <row r="937" ht="15" customHeight="1">
      <c r="C937">
        <f>IF($B937="","",INT($B937))</f>
        <v/>
      </c>
      <c r="D937">
        <f>IF($C937="","",$C937-WEEKDAY($C937,2)+1)</f>
        <v/>
      </c>
      <c r="E937">
        <f>IF($C937="","",DATE(YEAR($C937),MONTH($C937),1))</f>
        <v/>
      </c>
      <c r="F937">
        <f>IF($C937="","",YEAR($C937)&amp;"-Q"&amp;ROUNDUP(MONTH($C937)/3,0))</f>
        <v/>
      </c>
      <c r="L937">
        <f>IF($G937&lt;&gt;"ALCOHOL","",IF($K937="","",$H937*IFERROR(VLOOKUP($K937,Drink_Templates!$A:$G,7,FALSE),0)))</f>
        <v/>
      </c>
    </row>
    <row r="938" ht="15" customHeight="1">
      <c r="C938">
        <f>IF($B938="","",INT($B938))</f>
        <v/>
      </c>
      <c r="D938">
        <f>IF($C938="","",$C938-WEEKDAY($C938,2)+1)</f>
        <v/>
      </c>
      <c r="E938">
        <f>IF($C938="","",DATE(YEAR($C938),MONTH($C938),1))</f>
        <v/>
      </c>
      <c r="F938">
        <f>IF($C938="","",YEAR($C938)&amp;"-Q"&amp;ROUNDUP(MONTH($C938)/3,0))</f>
        <v/>
      </c>
      <c r="L938">
        <f>IF($G938&lt;&gt;"ALCOHOL","",IF($K938="","",$H938*IFERROR(VLOOKUP($K938,Drink_Templates!$A:$G,7,FALSE),0)))</f>
        <v/>
      </c>
    </row>
    <row r="939" ht="15" customHeight="1">
      <c r="C939">
        <f>IF($B939="","",INT($B939))</f>
        <v/>
      </c>
      <c r="D939">
        <f>IF($C939="","",$C939-WEEKDAY($C939,2)+1)</f>
        <v/>
      </c>
      <c r="E939">
        <f>IF($C939="","",DATE(YEAR($C939),MONTH($C939),1))</f>
        <v/>
      </c>
      <c r="F939">
        <f>IF($C939="","",YEAR($C939)&amp;"-Q"&amp;ROUNDUP(MONTH($C939)/3,0))</f>
        <v/>
      </c>
      <c r="L939">
        <f>IF($G939&lt;&gt;"ALCOHOL","",IF($K939="","",$H939*IFERROR(VLOOKUP($K939,Drink_Templates!$A:$G,7,FALSE),0)))</f>
        <v/>
      </c>
    </row>
    <row r="940" ht="15" customHeight="1">
      <c r="C940">
        <f>IF($B940="","",INT($B940))</f>
        <v/>
      </c>
      <c r="D940">
        <f>IF($C940="","",$C940-WEEKDAY($C940,2)+1)</f>
        <v/>
      </c>
      <c r="E940">
        <f>IF($C940="","",DATE(YEAR($C940),MONTH($C940),1))</f>
        <v/>
      </c>
      <c r="F940">
        <f>IF($C940="","",YEAR($C940)&amp;"-Q"&amp;ROUNDUP(MONTH($C940)/3,0))</f>
        <v/>
      </c>
      <c r="L940">
        <f>IF($G940&lt;&gt;"ALCOHOL","",IF($K940="","",$H940*IFERROR(VLOOKUP($K940,Drink_Templates!$A:$G,7,FALSE),0)))</f>
        <v/>
      </c>
    </row>
    <row r="941" ht="15" customHeight="1">
      <c r="C941">
        <f>IF($B941="","",INT($B941))</f>
        <v/>
      </c>
      <c r="D941">
        <f>IF($C941="","",$C941-WEEKDAY($C941,2)+1)</f>
        <v/>
      </c>
      <c r="E941">
        <f>IF($C941="","",DATE(YEAR($C941),MONTH($C941),1))</f>
        <v/>
      </c>
      <c r="F941">
        <f>IF($C941="","",YEAR($C941)&amp;"-Q"&amp;ROUNDUP(MONTH($C941)/3,0))</f>
        <v/>
      </c>
      <c r="L941">
        <f>IF($G941&lt;&gt;"ALCOHOL","",IF($K941="","",$H941*IFERROR(VLOOKUP($K941,Drink_Templates!$A:$G,7,FALSE),0)))</f>
        <v/>
      </c>
    </row>
    <row r="942" ht="15" customHeight="1">
      <c r="C942">
        <f>IF($B942="","",INT($B942))</f>
        <v/>
      </c>
      <c r="D942">
        <f>IF($C942="","",$C942-WEEKDAY($C942,2)+1)</f>
        <v/>
      </c>
      <c r="E942">
        <f>IF($C942="","",DATE(YEAR($C942),MONTH($C942),1))</f>
        <v/>
      </c>
      <c r="F942">
        <f>IF($C942="","",YEAR($C942)&amp;"-Q"&amp;ROUNDUP(MONTH($C942)/3,0))</f>
        <v/>
      </c>
      <c r="L942">
        <f>IF($G942&lt;&gt;"ALCOHOL","",IF($K942="","",$H942*IFERROR(VLOOKUP($K942,Drink_Templates!$A:$G,7,FALSE),0)))</f>
        <v/>
      </c>
    </row>
    <row r="943" ht="15" customHeight="1">
      <c r="C943">
        <f>IF($B943="","",INT($B943))</f>
        <v/>
      </c>
      <c r="D943">
        <f>IF($C943="","",$C943-WEEKDAY($C943,2)+1)</f>
        <v/>
      </c>
      <c r="E943">
        <f>IF($C943="","",DATE(YEAR($C943),MONTH($C943),1))</f>
        <v/>
      </c>
      <c r="F943">
        <f>IF($C943="","",YEAR($C943)&amp;"-Q"&amp;ROUNDUP(MONTH($C943)/3,0))</f>
        <v/>
      </c>
      <c r="L943">
        <f>IF($G943&lt;&gt;"ALCOHOL","",IF($K943="","",$H943*IFERROR(VLOOKUP($K943,Drink_Templates!$A:$G,7,FALSE),0)))</f>
        <v/>
      </c>
    </row>
    <row r="944" ht="15" customHeight="1">
      <c r="C944">
        <f>IF($B944="","",INT($B944))</f>
        <v/>
      </c>
      <c r="D944">
        <f>IF($C944="","",$C944-WEEKDAY($C944,2)+1)</f>
        <v/>
      </c>
      <c r="E944">
        <f>IF($C944="","",DATE(YEAR($C944),MONTH($C944),1))</f>
        <v/>
      </c>
      <c r="F944">
        <f>IF($C944="","",YEAR($C944)&amp;"-Q"&amp;ROUNDUP(MONTH($C944)/3,0))</f>
        <v/>
      </c>
      <c r="L944">
        <f>IF($G944&lt;&gt;"ALCOHOL","",IF($K944="","",$H944*IFERROR(VLOOKUP($K944,Drink_Templates!$A:$G,7,FALSE),0)))</f>
        <v/>
      </c>
    </row>
    <row r="945" ht="15" customHeight="1">
      <c r="C945">
        <f>IF($B945="","",INT($B945))</f>
        <v/>
      </c>
      <c r="D945">
        <f>IF($C945="","",$C945-WEEKDAY($C945,2)+1)</f>
        <v/>
      </c>
      <c r="E945">
        <f>IF($C945="","",DATE(YEAR($C945),MONTH($C945),1))</f>
        <v/>
      </c>
      <c r="F945">
        <f>IF($C945="","",YEAR($C945)&amp;"-Q"&amp;ROUNDUP(MONTH($C945)/3,0))</f>
        <v/>
      </c>
      <c r="L945">
        <f>IF($G945&lt;&gt;"ALCOHOL","",IF($K945="","",$H945*IFERROR(VLOOKUP($K945,Drink_Templates!$A:$G,7,FALSE),0)))</f>
        <v/>
      </c>
    </row>
    <row r="946" ht="15" customHeight="1">
      <c r="C946">
        <f>IF($B946="","",INT($B946))</f>
        <v/>
      </c>
      <c r="D946">
        <f>IF($C946="","",$C946-WEEKDAY($C946,2)+1)</f>
        <v/>
      </c>
      <c r="E946">
        <f>IF($C946="","",DATE(YEAR($C946),MONTH($C946),1))</f>
        <v/>
      </c>
      <c r="F946">
        <f>IF($C946="","",YEAR($C946)&amp;"-Q"&amp;ROUNDUP(MONTH($C946)/3,0))</f>
        <v/>
      </c>
      <c r="L946">
        <f>IF($G946&lt;&gt;"ALCOHOL","",IF($K946="","",$H946*IFERROR(VLOOKUP($K946,Drink_Templates!$A:$G,7,FALSE),0)))</f>
        <v/>
      </c>
    </row>
    <row r="947" ht="15" customHeight="1">
      <c r="C947">
        <f>IF($B947="","",INT($B947))</f>
        <v/>
      </c>
      <c r="D947">
        <f>IF($C947="","",$C947-WEEKDAY($C947,2)+1)</f>
        <v/>
      </c>
      <c r="E947">
        <f>IF($C947="","",DATE(YEAR($C947),MONTH($C947),1))</f>
        <v/>
      </c>
      <c r="F947">
        <f>IF($C947="","",YEAR($C947)&amp;"-Q"&amp;ROUNDUP(MONTH($C947)/3,0))</f>
        <v/>
      </c>
      <c r="L947">
        <f>IF($G947&lt;&gt;"ALCOHOL","",IF($K947="","",$H947*IFERROR(VLOOKUP($K947,Drink_Templates!$A:$G,7,FALSE),0)))</f>
        <v/>
      </c>
    </row>
    <row r="948" ht="15" customHeight="1">
      <c r="C948">
        <f>IF($B948="","",INT($B948))</f>
        <v/>
      </c>
      <c r="D948">
        <f>IF($C948="","",$C948-WEEKDAY($C948,2)+1)</f>
        <v/>
      </c>
      <c r="E948">
        <f>IF($C948="","",DATE(YEAR($C948),MONTH($C948),1))</f>
        <v/>
      </c>
      <c r="F948">
        <f>IF($C948="","",YEAR($C948)&amp;"-Q"&amp;ROUNDUP(MONTH($C948)/3,0))</f>
        <v/>
      </c>
      <c r="L948">
        <f>IF($G948&lt;&gt;"ALCOHOL","",IF($K948="","",$H948*IFERROR(VLOOKUP($K948,Drink_Templates!$A:$G,7,FALSE),0)))</f>
        <v/>
      </c>
    </row>
    <row r="949" ht="15" customHeight="1">
      <c r="C949">
        <f>IF($B949="","",INT($B949))</f>
        <v/>
      </c>
      <c r="D949">
        <f>IF($C949="","",$C949-WEEKDAY($C949,2)+1)</f>
        <v/>
      </c>
      <c r="E949">
        <f>IF($C949="","",DATE(YEAR($C949),MONTH($C949),1))</f>
        <v/>
      </c>
      <c r="F949">
        <f>IF($C949="","",YEAR($C949)&amp;"-Q"&amp;ROUNDUP(MONTH($C949)/3,0))</f>
        <v/>
      </c>
      <c r="L949">
        <f>IF($G949&lt;&gt;"ALCOHOL","",IF($K949="","",$H949*IFERROR(VLOOKUP($K949,Drink_Templates!$A:$G,7,FALSE),0)))</f>
        <v/>
      </c>
    </row>
    <row r="950" ht="15" customHeight="1">
      <c r="C950">
        <f>IF($B950="","",INT($B950))</f>
        <v/>
      </c>
      <c r="D950">
        <f>IF($C950="","",$C950-WEEKDAY($C950,2)+1)</f>
        <v/>
      </c>
      <c r="E950">
        <f>IF($C950="","",DATE(YEAR($C950),MONTH($C950),1))</f>
        <v/>
      </c>
      <c r="F950">
        <f>IF($C950="","",YEAR($C950)&amp;"-Q"&amp;ROUNDUP(MONTH($C950)/3,0))</f>
        <v/>
      </c>
      <c r="L950">
        <f>IF($G950&lt;&gt;"ALCOHOL","",IF($K950="","",$H950*IFERROR(VLOOKUP($K950,Drink_Templates!$A:$G,7,FALSE),0)))</f>
        <v/>
      </c>
    </row>
    <row r="951" ht="15" customHeight="1">
      <c r="C951">
        <f>IF($B951="","",INT($B951))</f>
        <v/>
      </c>
      <c r="D951">
        <f>IF($C951="","",$C951-WEEKDAY($C951,2)+1)</f>
        <v/>
      </c>
      <c r="E951">
        <f>IF($C951="","",DATE(YEAR($C951),MONTH($C951),1))</f>
        <v/>
      </c>
      <c r="F951">
        <f>IF($C951="","",YEAR($C951)&amp;"-Q"&amp;ROUNDUP(MONTH($C951)/3,0))</f>
        <v/>
      </c>
      <c r="L951">
        <f>IF($G951&lt;&gt;"ALCOHOL","",IF($K951="","",$H951*IFERROR(VLOOKUP($K951,Drink_Templates!$A:$G,7,FALSE),0)))</f>
        <v/>
      </c>
    </row>
    <row r="952" ht="15" customHeight="1">
      <c r="C952">
        <f>IF($B952="","",INT($B952))</f>
        <v/>
      </c>
      <c r="D952">
        <f>IF($C952="","",$C952-WEEKDAY($C952,2)+1)</f>
        <v/>
      </c>
      <c r="E952">
        <f>IF($C952="","",DATE(YEAR($C952),MONTH($C952),1))</f>
        <v/>
      </c>
      <c r="F952">
        <f>IF($C952="","",YEAR($C952)&amp;"-Q"&amp;ROUNDUP(MONTH($C952)/3,0))</f>
        <v/>
      </c>
      <c r="L952">
        <f>IF($G952&lt;&gt;"ALCOHOL","",IF($K952="","",$H952*IFERROR(VLOOKUP($K952,Drink_Templates!$A:$G,7,FALSE),0)))</f>
        <v/>
      </c>
    </row>
    <row r="953" ht="15" customHeight="1">
      <c r="C953">
        <f>IF($B953="","",INT($B953))</f>
        <v/>
      </c>
      <c r="D953">
        <f>IF($C953="","",$C953-WEEKDAY($C953,2)+1)</f>
        <v/>
      </c>
      <c r="E953">
        <f>IF($C953="","",DATE(YEAR($C953),MONTH($C953),1))</f>
        <v/>
      </c>
      <c r="F953">
        <f>IF($C953="","",YEAR($C953)&amp;"-Q"&amp;ROUNDUP(MONTH($C953)/3,0))</f>
        <v/>
      </c>
      <c r="L953">
        <f>IF($G953&lt;&gt;"ALCOHOL","",IF($K953="","",$H953*IFERROR(VLOOKUP($K953,Drink_Templates!$A:$G,7,FALSE),0)))</f>
        <v/>
      </c>
    </row>
    <row r="954" ht="15" customHeight="1">
      <c r="C954">
        <f>IF($B954="","",INT($B954))</f>
        <v/>
      </c>
      <c r="D954">
        <f>IF($C954="","",$C954-WEEKDAY($C954,2)+1)</f>
        <v/>
      </c>
      <c r="E954">
        <f>IF($C954="","",DATE(YEAR($C954),MONTH($C954),1))</f>
        <v/>
      </c>
      <c r="F954">
        <f>IF($C954="","",YEAR($C954)&amp;"-Q"&amp;ROUNDUP(MONTH($C954)/3,0))</f>
        <v/>
      </c>
      <c r="L954">
        <f>IF($G954&lt;&gt;"ALCOHOL","",IF($K954="","",$H954*IFERROR(VLOOKUP($K954,Drink_Templates!$A:$G,7,FALSE),0)))</f>
        <v/>
      </c>
    </row>
    <row r="955" ht="15" customHeight="1">
      <c r="C955">
        <f>IF($B955="","",INT($B955))</f>
        <v/>
      </c>
      <c r="D955">
        <f>IF($C955="","",$C955-WEEKDAY($C955,2)+1)</f>
        <v/>
      </c>
      <c r="E955">
        <f>IF($C955="","",DATE(YEAR($C955),MONTH($C955),1))</f>
        <v/>
      </c>
      <c r="F955">
        <f>IF($C955="","",YEAR($C955)&amp;"-Q"&amp;ROUNDUP(MONTH($C955)/3,0))</f>
        <v/>
      </c>
      <c r="L955">
        <f>IF($G955&lt;&gt;"ALCOHOL","",IF($K955="","",$H955*IFERROR(VLOOKUP($K955,Drink_Templates!$A:$G,7,FALSE),0)))</f>
        <v/>
      </c>
    </row>
    <row r="956" ht="15" customHeight="1">
      <c r="C956">
        <f>IF($B956="","",INT($B956))</f>
        <v/>
      </c>
      <c r="D956">
        <f>IF($C956="","",$C956-WEEKDAY($C956,2)+1)</f>
        <v/>
      </c>
      <c r="E956">
        <f>IF($C956="","",DATE(YEAR($C956),MONTH($C956),1))</f>
        <v/>
      </c>
      <c r="F956">
        <f>IF($C956="","",YEAR($C956)&amp;"-Q"&amp;ROUNDUP(MONTH($C956)/3,0))</f>
        <v/>
      </c>
      <c r="L956">
        <f>IF($G956&lt;&gt;"ALCOHOL","",IF($K956="","",$H956*IFERROR(VLOOKUP($K956,Drink_Templates!$A:$G,7,FALSE),0)))</f>
        <v/>
      </c>
    </row>
    <row r="957" ht="15" customHeight="1">
      <c r="C957">
        <f>IF($B957="","",INT($B957))</f>
        <v/>
      </c>
      <c r="D957">
        <f>IF($C957="","",$C957-WEEKDAY($C957,2)+1)</f>
        <v/>
      </c>
      <c r="E957">
        <f>IF($C957="","",DATE(YEAR($C957),MONTH($C957),1))</f>
        <v/>
      </c>
      <c r="F957">
        <f>IF($C957="","",YEAR($C957)&amp;"-Q"&amp;ROUNDUP(MONTH($C957)/3,0))</f>
        <v/>
      </c>
      <c r="L957">
        <f>IF($G957&lt;&gt;"ALCOHOL","",IF($K957="","",$H957*IFERROR(VLOOKUP($K957,Drink_Templates!$A:$G,7,FALSE),0)))</f>
        <v/>
      </c>
    </row>
    <row r="958" ht="15" customHeight="1">
      <c r="C958">
        <f>IF($B958="","",INT($B958))</f>
        <v/>
      </c>
      <c r="D958">
        <f>IF($C958="","",$C958-WEEKDAY($C958,2)+1)</f>
        <v/>
      </c>
      <c r="E958">
        <f>IF($C958="","",DATE(YEAR($C958),MONTH($C958),1))</f>
        <v/>
      </c>
      <c r="F958">
        <f>IF($C958="","",YEAR($C958)&amp;"-Q"&amp;ROUNDUP(MONTH($C958)/3,0))</f>
        <v/>
      </c>
      <c r="L958">
        <f>IF($G958&lt;&gt;"ALCOHOL","",IF($K958="","",$H958*IFERROR(VLOOKUP($K958,Drink_Templates!$A:$G,7,FALSE),0)))</f>
        <v/>
      </c>
    </row>
    <row r="959" ht="15" customHeight="1">
      <c r="C959">
        <f>IF($B959="","",INT($B959))</f>
        <v/>
      </c>
      <c r="D959">
        <f>IF($C959="","",$C959-WEEKDAY($C959,2)+1)</f>
        <v/>
      </c>
      <c r="E959">
        <f>IF($C959="","",DATE(YEAR($C959),MONTH($C959),1))</f>
        <v/>
      </c>
      <c r="F959">
        <f>IF($C959="","",YEAR($C959)&amp;"-Q"&amp;ROUNDUP(MONTH($C959)/3,0))</f>
        <v/>
      </c>
      <c r="L959">
        <f>IF($G959&lt;&gt;"ALCOHOL","",IF($K959="","",$H959*IFERROR(VLOOKUP($K959,Drink_Templates!$A:$G,7,FALSE),0)))</f>
        <v/>
      </c>
    </row>
    <row r="960" ht="15" customHeight="1">
      <c r="C960">
        <f>IF($B960="","",INT($B960))</f>
        <v/>
      </c>
      <c r="D960">
        <f>IF($C960="","",$C960-WEEKDAY($C960,2)+1)</f>
        <v/>
      </c>
      <c r="E960">
        <f>IF($C960="","",DATE(YEAR($C960),MONTH($C960),1))</f>
        <v/>
      </c>
      <c r="F960">
        <f>IF($C960="","",YEAR($C960)&amp;"-Q"&amp;ROUNDUP(MONTH($C960)/3,0))</f>
        <v/>
      </c>
      <c r="L960">
        <f>IF($G960&lt;&gt;"ALCOHOL","",IF($K960="","",$H960*IFERROR(VLOOKUP($K960,Drink_Templates!$A:$G,7,FALSE),0)))</f>
        <v/>
      </c>
    </row>
    <row r="961" ht="15" customHeight="1">
      <c r="C961">
        <f>IF($B961="","",INT($B961))</f>
        <v/>
      </c>
      <c r="D961">
        <f>IF($C961="","",$C961-WEEKDAY($C961,2)+1)</f>
        <v/>
      </c>
      <c r="E961">
        <f>IF($C961="","",DATE(YEAR($C961),MONTH($C961),1))</f>
        <v/>
      </c>
      <c r="F961">
        <f>IF($C961="","",YEAR($C961)&amp;"-Q"&amp;ROUNDUP(MONTH($C961)/3,0))</f>
        <v/>
      </c>
      <c r="L961">
        <f>IF($G961&lt;&gt;"ALCOHOL","",IF($K961="","",$H961*IFERROR(VLOOKUP($K961,Drink_Templates!$A:$G,7,FALSE),0)))</f>
        <v/>
      </c>
    </row>
    <row r="962" ht="15" customHeight="1">
      <c r="C962">
        <f>IF($B962="","",INT($B962))</f>
        <v/>
      </c>
      <c r="D962">
        <f>IF($C962="","",$C962-WEEKDAY($C962,2)+1)</f>
        <v/>
      </c>
      <c r="E962">
        <f>IF($C962="","",DATE(YEAR($C962),MONTH($C962),1))</f>
        <v/>
      </c>
      <c r="F962">
        <f>IF($C962="","",YEAR($C962)&amp;"-Q"&amp;ROUNDUP(MONTH($C962)/3,0))</f>
        <v/>
      </c>
      <c r="L962">
        <f>IF($G962&lt;&gt;"ALCOHOL","",IF($K962="","",$H962*IFERROR(VLOOKUP($K962,Drink_Templates!$A:$G,7,FALSE),0)))</f>
        <v/>
      </c>
    </row>
    <row r="963" ht="15" customHeight="1">
      <c r="C963">
        <f>IF($B963="","",INT($B963))</f>
        <v/>
      </c>
      <c r="D963">
        <f>IF($C963="","",$C963-WEEKDAY($C963,2)+1)</f>
        <v/>
      </c>
      <c r="E963">
        <f>IF($C963="","",DATE(YEAR($C963),MONTH($C963),1))</f>
        <v/>
      </c>
      <c r="F963">
        <f>IF($C963="","",YEAR($C963)&amp;"-Q"&amp;ROUNDUP(MONTH($C963)/3,0))</f>
        <v/>
      </c>
      <c r="L963">
        <f>IF($G963&lt;&gt;"ALCOHOL","",IF($K963="","",$H963*IFERROR(VLOOKUP($K963,Drink_Templates!$A:$G,7,FALSE),0)))</f>
        <v/>
      </c>
    </row>
    <row r="964" ht="15" customHeight="1">
      <c r="C964">
        <f>IF($B964="","",INT($B964))</f>
        <v/>
      </c>
      <c r="D964">
        <f>IF($C964="","",$C964-WEEKDAY($C964,2)+1)</f>
        <v/>
      </c>
      <c r="E964">
        <f>IF($C964="","",DATE(YEAR($C964),MONTH($C964),1))</f>
        <v/>
      </c>
      <c r="F964">
        <f>IF($C964="","",YEAR($C964)&amp;"-Q"&amp;ROUNDUP(MONTH($C964)/3,0))</f>
        <v/>
      </c>
      <c r="L964">
        <f>IF($G964&lt;&gt;"ALCOHOL","",IF($K964="","",$H964*IFERROR(VLOOKUP($K964,Drink_Templates!$A:$G,7,FALSE),0)))</f>
        <v/>
      </c>
    </row>
    <row r="965" ht="15" customHeight="1">
      <c r="C965">
        <f>IF($B965="","",INT($B965))</f>
        <v/>
      </c>
      <c r="D965">
        <f>IF($C965="","",$C965-WEEKDAY($C965,2)+1)</f>
        <v/>
      </c>
      <c r="E965">
        <f>IF($C965="","",DATE(YEAR($C965),MONTH($C965),1))</f>
        <v/>
      </c>
      <c r="F965">
        <f>IF($C965="","",YEAR($C965)&amp;"-Q"&amp;ROUNDUP(MONTH($C965)/3,0))</f>
        <v/>
      </c>
      <c r="L965">
        <f>IF($G965&lt;&gt;"ALCOHOL","",IF($K965="","",$H965*IFERROR(VLOOKUP($K965,Drink_Templates!$A:$G,7,FALSE),0)))</f>
        <v/>
      </c>
    </row>
    <row r="966" ht="15" customHeight="1">
      <c r="C966">
        <f>IF($B966="","",INT($B966))</f>
        <v/>
      </c>
      <c r="D966">
        <f>IF($C966="","",$C966-WEEKDAY($C966,2)+1)</f>
        <v/>
      </c>
      <c r="E966">
        <f>IF($C966="","",DATE(YEAR($C966),MONTH($C966),1))</f>
        <v/>
      </c>
      <c r="F966">
        <f>IF($C966="","",YEAR($C966)&amp;"-Q"&amp;ROUNDUP(MONTH($C966)/3,0))</f>
        <v/>
      </c>
      <c r="L966">
        <f>IF($G966&lt;&gt;"ALCOHOL","",IF($K966="","",$H966*IFERROR(VLOOKUP($K966,Drink_Templates!$A:$G,7,FALSE),0)))</f>
        <v/>
      </c>
    </row>
    <row r="967" ht="15" customHeight="1">
      <c r="C967">
        <f>IF($B967="","",INT($B967))</f>
        <v/>
      </c>
      <c r="D967">
        <f>IF($C967="","",$C967-WEEKDAY($C967,2)+1)</f>
        <v/>
      </c>
      <c r="E967">
        <f>IF($C967="","",DATE(YEAR($C967),MONTH($C967),1))</f>
        <v/>
      </c>
      <c r="F967">
        <f>IF($C967="","",YEAR($C967)&amp;"-Q"&amp;ROUNDUP(MONTH($C967)/3,0))</f>
        <v/>
      </c>
      <c r="L967">
        <f>IF($G967&lt;&gt;"ALCOHOL","",IF($K967="","",$H967*IFERROR(VLOOKUP($K967,Drink_Templates!$A:$G,7,FALSE),0)))</f>
        <v/>
      </c>
    </row>
    <row r="968" ht="15" customHeight="1">
      <c r="C968">
        <f>IF($B968="","",INT($B968))</f>
        <v/>
      </c>
      <c r="D968">
        <f>IF($C968="","",$C968-WEEKDAY($C968,2)+1)</f>
        <v/>
      </c>
      <c r="E968">
        <f>IF($C968="","",DATE(YEAR($C968),MONTH($C968),1))</f>
        <v/>
      </c>
      <c r="F968">
        <f>IF($C968="","",YEAR($C968)&amp;"-Q"&amp;ROUNDUP(MONTH($C968)/3,0))</f>
        <v/>
      </c>
      <c r="L968">
        <f>IF($G968&lt;&gt;"ALCOHOL","",IF($K968="","",$H968*IFERROR(VLOOKUP($K968,Drink_Templates!$A:$G,7,FALSE),0)))</f>
        <v/>
      </c>
    </row>
    <row r="969" ht="15" customHeight="1">
      <c r="C969">
        <f>IF($B969="","",INT($B969))</f>
        <v/>
      </c>
      <c r="D969">
        <f>IF($C969="","",$C969-WEEKDAY($C969,2)+1)</f>
        <v/>
      </c>
      <c r="E969">
        <f>IF($C969="","",DATE(YEAR($C969),MONTH($C969),1))</f>
        <v/>
      </c>
      <c r="F969">
        <f>IF($C969="","",YEAR($C969)&amp;"-Q"&amp;ROUNDUP(MONTH($C969)/3,0))</f>
        <v/>
      </c>
      <c r="L969">
        <f>IF($G969&lt;&gt;"ALCOHOL","",IF($K969="","",$H969*IFERROR(VLOOKUP($K969,Drink_Templates!$A:$G,7,FALSE),0)))</f>
        <v/>
      </c>
    </row>
    <row r="970" ht="15" customHeight="1">
      <c r="C970">
        <f>IF($B970="","",INT($B970))</f>
        <v/>
      </c>
      <c r="D970">
        <f>IF($C970="","",$C970-WEEKDAY($C970,2)+1)</f>
        <v/>
      </c>
      <c r="E970">
        <f>IF($C970="","",DATE(YEAR($C970),MONTH($C970),1))</f>
        <v/>
      </c>
      <c r="F970">
        <f>IF($C970="","",YEAR($C970)&amp;"-Q"&amp;ROUNDUP(MONTH($C970)/3,0))</f>
        <v/>
      </c>
      <c r="L970">
        <f>IF($G970&lt;&gt;"ALCOHOL","",IF($K970="","",$H970*IFERROR(VLOOKUP($K970,Drink_Templates!$A:$G,7,FALSE),0)))</f>
        <v/>
      </c>
    </row>
    <row r="971" ht="15" customHeight="1">
      <c r="C971">
        <f>IF($B971="","",INT($B971))</f>
        <v/>
      </c>
      <c r="D971">
        <f>IF($C971="","",$C971-WEEKDAY($C971,2)+1)</f>
        <v/>
      </c>
      <c r="E971">
        <f>IF($C971="","",DATE(YEAR($C971),MONTH($C971),1))</f>
        <v/>
      </c>
      <c r="F971">
        <f>IF($C971="","",YEAR($C971)&amp;"-Q"&amp;ROUNDUP(MONTH($C971)/3,0))</f>
        <v/>
      </c>
      <c r="L971">
        <f>IF($G971&lt;&gt;"ALCOHOL","",IF($K971="","",$H971*IFERROR(VLOOKUP($K971,Drink_Templates!$A:$G,7,FALSE),0)))</f>
        <v/>
      </c>
    </row>
    <row r="972" ht="15" customHeight="1">
      <c r="C972">
        <f>IF($B972="","",INT($B972))</f>
        <v/>
      </c>
      <c r="D972">
        <f>IF($C972="","",$C972-WEEKDAY($C972,2)+1)</f>
        <v/>
      </c>
      <c r="E972">
        <f>IF($C972="","",DATE(YEAR($C972),MONTH($C972),1))</f>
        <v/>
      </c>
      <c r="F972">
        <f>IF($C972="","",YEAR($C972)&amp;"-Q"&amp;ROUNDUP(MONTH($C972)/3,0))</f>
        <v/>
      </c>
      <c r="L972">
        <f>IF($G972&lt;&gt;"ALCOHOL","",IF($K972="","",$H972*IFERROR(VLOOKUP($K972,Drink_Templates!$A:$G,7,FALSE),0)))</f>
        <v/>
      </c>
    </row>
    <row r="973" ht="15" customHeight="1">
      <c r="C973">
        <f>IF($B973="","",INT($B973))</f>
        <v/>
      </c>
      <c r="D973">
        <f>IF($C973="","",$C973-WEEKDAY($C973,2)+1)</f>
        <v/>
      </c>
      <c r="E973">
        <f>IF($C973="","",DATE(YEAR($C973),MONTH($C973),1))</f>
        <v/>
      </c>
      <c r="F973">
        <f>IF($C973="","",YEAR($C973)&amp;"-Q"&amp;ROUNDUP(MONTH($C973)/3,0))</f>
        <v/>
      </c>
      <c r="L973">
        <f>IF($G973&lt;&gt;"ALCOHOL","",IF($K973="","",$H973*IFERROR(VLOOKUP($K973,Drink_Templates!$A:$G,7,FALSE),0)))</f>
        <v/>
      </c>
    </row>
    <row r="974" ht="15" customHeight="1">
      <c r="C974">
        <f>IF($B974="","",INT($B974))</f>
        <v/>
      </c>
      <c r="D974">
        <f>IF($C974="","",$C974-WEEKDAY($C974,2)+1)</f>
        <v/>
      </c>
      <c r="E974">
        <f>IF($C974="","",DATE(YEAR($C974),MONTH($C974),1))</f>
        <v/>
      </c>
      <c r="F974">
        <f>IF($C974="","",YEAR($C974)&amp;"-Q"&amp;ROUNDUP(MONTH($C974)/3,0))</f>
        <v/>
      </c>
      <c r="L974">
        <f>IF($G974&lt;&gt;"ALCOHOL","",IF($K974="","",$H974*IFERROR(VLOOKUP($K974,Drink_Templates!$A:$G,7,FALSE),0)))</f>
        <v/>
      </c>
    </row>
    <row r="975" ht="15" customHeight="1">
      <c r="C975">
        <f>IF($B975="","",INT($B975))</f>
        <v/>
      </c>
      <c r="D975">
        <f>IF($C975="","",$C975-WEEKDAY($C975,2)+1)</f>
        <v/>
      </c>
      <c r="E975">
        <f>IF($C975="","",DATE(YEAR($C975),MONTH($C975),1))</f>
        <v/>
      </c>
      <c r="F975">
        <f>IF($C975="","",YEAR($C975)&amp;"-Q"&amp;ROUNDUP(MONTH($C975)/3,0))</f>
        <v/>
      </c>
      <c r="L975">
        <f>IF($G975&lt;&gt;"ALCOHOL","",IF($K975="","",$H975*IFERROR(VLOOKUP($K975,Drink_Templates!$A:$G,7,FALSE),0)))</f>
        <v/>
      </c>
    </row>
    <row r="976" ht="15" customHeight="1">
      <c r="C976">
        <f>IF($B976="","",INT($B976))</f>
        <v/>
      </c>
      <c r="D976">
        <f>IF($C976="","",$C976-WEEKDAY($C976,2)+1)</f>
        <v/>
      </c>
      <c r="E976">
        <f>IF($C976="","",DATE(YEAR($C976),MONTH($C976),1))</f>
        <v/>
      </c>
      <c r="F976">
        <f>IF($C976="","",YEAR($C976)&amp;"-Q"&amp;ROUNDUP(MONTH($C976)/3,0))</f>
        <v/>
      </c>
      <c r="L976">
        <f>IF($G976&lt;&gt;"ALCOHOL","",IF($K976="","",$H976*IFERROR(VLOOKUP($K976,Drink_Templates!$A:$G,7,FALSE),0)))</f>
        <v/>
      </c>
    </row>
    <row r="977" ht="15" customHeight="1">
      <c r="C977">
        <f>IF($B977="","",INT($B977))</f>
        <v/>
      </c>
      <c r="D977">
        <f>IF($C977="","",$C977-WEEKDAY($C977,2)+1)</f>
        <v/>
      </c>
      <c r="E977">
        <f>IF($C977="","",DATE(YEAR($C977),MONTH($C977),1))</f>
        <v/>
      </c>
      <c r="F977">
        <f>IF($C977="","",YEAR($C977)&amp;"-Q"&amp;ROUNDUP(MONTH($C977)/3,0))</f>
        <v/>
      </c>
      <c r="L977">
        <f>IF($G977&lt;&gt;"ALCOHOL","",IF($K977="","",$H977*IFERROR(VLOOKUP($K977,Drink_Templates!$A:$G,7,FALSE),0)))</f>
        <v/>
      </c>
    </row>
    <row r="978" ht="15" customHeight="1">
      <c r="C978">
        <f>IF($B978="","",INT($B978))</f>
        <v/>
      </c>
      <c r="D978">
        <f>IF($C978="","",$C978-WEEKDAY($C978,2)+1)</f>
        <v/>
      </c>
      <c r="E978">
        <f>IF($C978="","",DATE(YEAR($C978),MONTH($C978),1))</f>
        <v/>
      </c>
      <c r="F978">
        <f>IF($C978="","",YEAR($C978)&amp;"-Q"&amp;ROUNDUP(MONTH($C978)/3,0))</f>
        <v/>
      </c>
      <c r="L978">
        <f>IF($G978&lt;&gt;"ALCOHOL","",IF($K978="","",$H978*IFERROR(VLOOKUP($K978,Drink_Templates!$A:$G,7,FALSE),0)))</f>
        <v/>
      </c>
    </row>
    <row r="979" ht="15" customHeight="1">
      <c r="C979">
        <f>IF($B979="","",INT($B979))</f>
        <v/>
      </c>
      <c r="D979">
        <f>IF($C979="","",$C979-WEEKDAY($C979,2)+1)</f>
        <v/>
      </c>
      <c r="E979">
        <f>IF($C979="","",DATE(YEAR($C979),MONTH($C979),1))</f>
        <v/>
      </c>
      <c r="F979">
        <f>IF($C979="","",YEAR($C979)&amp;"-Q"&amp;ROUNDUP(MONTH($C979)/3,0))</f>
        <v/>
      </c>
      <c r="L979">
        <f>IF($G979&lt;&gt;"ALCOHOL","",IF($K979="","",$H979*IFERROR(VLOOKUP($K979,Drink_Templates!$A:$G,7,FALSE),0)))</f>
        <v/>
      </c>
    </row>
    <row r="980" ht="15" customHeight="1">
      <c r="C980">
        <f>IF($B980="","",INT($B980))</f>
        <v/>
      </c>
      <c r="D980">
        <f>IF($C980="","",$C980-WEEKDAY($C980,2)+1)</f>
        <v/>
      </c>
      <c r="E980">
        <f>IF($C980="","",DATE(YEAR($C980),MONTH($C980),1))</f>
        <v/>
      </c>
      <c r="F980">
        <f>IF($C980="","",YEAR($C980)&amp;"-Q"&amp;ROUNDUP(MONTH($C980)/3,0))</f>
        <v/>
      </c>
      <c r="L980">
        <f>IF($G980&lt;&gt;"ALCOHOL","",IF($K980="","",$H980*IFERROR(VLOOKUP($K980,Drink_Templates!$A:$G,7,FALSE),0)))</f>
        <v/>
      </c>
    </row>
    <row r="981" ht="15" customHeight="1">
      <c r="C981">
        <f>IF($B981="","",INT($B981))</f>
        <v/>
      </c>
      <c r="D981">
        <f>IF($C981="","",$C981-WEEKDAY($C981,2)+1)</f>
        <v/>
      </c>
      <c r="E981">
        <f>IF($C981="","",DATE(YEAR($C981),MONTH($C981),1))</f>
        <v/>
      </c>
      <c r="F981">
        <f>IF($C981="","",YEAR($C981)&amp;"-Q"&amp;ROUNDUP(MONTH($C981)/3,0))</f>
        <v/>
      </c>
      <c r="L981">
        <f>IF($G981&lt;&gt;"ALCOHOL","",IF($K981="","",$H981*IFERROR(VLOOKUP($K981,Drink_Templates!$A:$G,7,FALSE),0)))</f>
        <v/>
      </c>
    </row>
    <row r="982" ht="15" customHeight="1">
      <c r="C982">
        <f>IF($B982="","",INT($B982))</f>
        <v/>
      </c>
      <c r="D982">
        <f>IF($C982="","",$C982-WEEKDAY($C982,2)+1)</f>
        <v/>
      </c>
      <c r="E982">
        <f>IF($C982="","",DATE(YEAR($C982),MONTH($C982),1))</f>
        <v/>
      </c>
      <c r="F982">
        <f>IF($C982="","",YEAR($C982)&amp;"-Q"&amp;ROUNDUP(MONTH($C982)/3,0))</f>
        <v/>
      </c>
      <c r="L982">
        <f>IF($G982&lt;&gt;"ALCOHOL","",IF($K982="","",$H982*IFERROR(VLOOKUP($K982,Drink_Templates!$A:$G,7,FALSE),0)))</f>
        <v/>
      </c>
    </row>
    <row r="983" ht="15" customHeight="1">
      <c r="C983">
        <f>IF($B983="","",INT($B983))</f>
        <v/>
      </c>
      <c r="D983">
        <f>IF($C983="","",$C983-WEEKDAY($C983,2)+1)</f>
        <v/>
      </c>
      <c r="E983">
        <f>IF($C983="","",DATE(YEAR($C983),MONTH($C983),1))</f>
        <v/>
      </c>
      <c r="F983">
        <f>IF($C983="","",YEAR($C983)&amp;"-Q"&amp;ROUNDUP(MONTH($C983)/3,0))</f>
        <v/>
      </c>
      <c r="L983">
        <f>IF($G983&lt;&gt;"ALCOHOL","",IF($K983="","",$H983*IFERROR(VLOOKUP($K983,Drink_Templates!$A:$G,7,FALSE),0)))</f>
        <v/>
      </c>
    </row>
    <row r="984" ht="15" customHeight="1">
      <c r="C984">
        <f>IF($B984="","",INT($B984))</f>
        <v/>
      </c>
      <c r="D984">
        <f>IF($C984="","",$C984-WEEKDAY($C984,2)+1)</f>
        <v/>
      </c>
      <c r="E984">
        <f>IF($C984="","",DATE(YEAR($C984),MONTH($C984),1))</f>
        <v/>
      </c>
      <c r="F984">
        <f>IF($C984="","",YEAR($C984)&amp;"-Q"&amp;ROUNDUP(MONTH($C984)/3,0))</f>
        <v/>
      </c>
      <c r="L984">
        <f>IF($G984&lt;&gt;"ALCOHOL","",IF($K984="","",$H984*IFERROR(VLOOKUP($K984,Drink_Templates!$A:$G,7,FALSE),0)))</f>
        <v/>
      </c>
    </row>
    <row r="985" ht="15" customHeight="1">
      <c r="C985">
        <f>IF($B985="","",INT($B985))</f>
        <v/>
      </c>
      <c r="D985">
        <f>IF($C985="","",$C985-WEEKDAY($C985,2)+1)</f>
        <v/>
      </c>
      <c r="E985">
        <f>IF($C985="","",DATE(YEAR($C985),MONTH($C985),1))</f>
        <v/>
      </c>
      <c r="F985">
        <f>IF($C985="","",YEAR($C985)&amp;"-Q"&amp;ROUNDUP(MONTH($C985)/3,0))</f>
        <v/>
      </c>
      <c r="L985">
        <f>IF($G985&lt;&gt;"ALCOHOL","",IF($K985="","",$H985*IFERROR(VLOOKUP($K985,Drink_Templates!$A:$G,7,FALSE),0)))</f>
        <v/>
      </c>
    </row>
    <row r="986" ht="15" customHeight="1">
      <c r="C986">
        <f>IF($B986="","",INT($B986))</f>
        <v/>
      </c>
      <c r="D986">
        <f>IF($C986="","",$C986-WEEKDAY($C986,2)+1)</f>
        <v/>
      </c>
      <c r="E986">
        <f>IF($C986="","",DATE(YEAR($C986),MONTH($C986),1))</f>
        <v/>
      </c>
      <c r="F986">
        <f>IF($C986="","",YEAR($C986)&amp;"-Q"&amp;ROUNDUP(MONTH($C986)/3,0))</f>
        <v/>
      </c>
      <c r="L986">
        <f>IF($G986&lt;&gt;"ALCOHOL","",IF($K986="","",$H986*IFERROR(VLOOKUP($K986,Drink_Templates!$A:$G,7,FALSE),0)))</f>
        <v/>
      </c>
    </row>
    <row r="987" ht="15" customHeight="1">
      <c r="C987">
        <f>IF($B987="","",INT($B987))</f>
        <v/>
      </c>
      <c r="D987">
        <f>IF($C987="","",$C987-WEEKDAY($C987,2)+1)</f>
        <v/>
      </c>
      <c r="E987">
        <f>IF($C987="","",DATE(YEAR($C987),MONTH($C987),1))</f>
        <v/>
      </c>
      <c r="F987">
        <f>IF($C987="","",YEAR($C987)&amp;"-Q"&amp;ROUNDUP(MONTH($C987)/3,0))</f>
        <v/>
      </c>
      <c r="L987">
        <f>IF($G987&lt;&gt;"ALCOHOL","",IF($K987="","",$H987*IFERROR(VLOOKUP($K987,Drink_Templates!$A:$G,7,FALSE),0)))</f>
        <v/>
      </c>
    </row>
    <row r="988" ht="15" customHeight="1">
      <c r="C988">
        <f>IF($B988="","",INT($B988))</f>
        <v/>
      </c>
      <c r="D988">
        <f>IF($C988="","",$C988-WEEKDAY($C988,2)+1)</f>
        <v/>
      </c>
      <c r="E988">
        <f>IF($C988="","",DATE(YEAR($C988),MONTH($C988),1))</f>
        <v/>
      </c>
      <c r="F988">
        <f>IF($C988="","",YEAR($C988)&amp;"-Q"&amp;ROUNDUP(MONTH($C988)/3,0))</f>
        <v/>
      </c>
      <c r="L988">
        <f>IF($G988&lt;&gt;"ALCOHOL","",IF($K988="","",$H988*IFERROR(VLOOKUP($K988,Drink_Templates!$A:$G,7,FALSE),0)))</f>
        <v/>
      </c>
    </row>
    <row r="989" ht="15" customHeight="1">
      <c r="C989">
        <f>IF($B989="","",INT($B989))</f>
        <v/>
      </c>
      <c r="D989">
        <f>IF($C989="","",$C989-WEEKDAY($C989,2)+1)</f>
        <v/>
      </c>
      <c r="E989">
        <f>IF($C989="","",DATE(YEAR($C989),MONTH($C989),1))</f>
        <v/>
      </c>
      <c r="F989">
        <f>IF($C989="","",YEAR($C989)&amp;"-Q"&amp;ROUNDUP(MONTH($C989)/3,0))</f>
        <v/>
      </c>
      <c r="L989">
        <f>IF($G989&lt;&gt;"ALCOHOL","",IF($K989="","",$H989*IFERROR(VLOOKUP($K989,Drink_Templates!$A:$G,7,FALSE),0)))</f>
        <v/>
      </c>
    </row>
    <row r="990" ht="15" customHeight="1">
      <c r="C990">
        <f>IF($B990="","",INT($B990))</f>
        <v/>
      </c>
      <c r="D990">
        <f>IF($C990="","",$C990-WEEKDAY($C990,2)+1)</f>
        <v/>
      </c>
      <c r="E990">
        <f>IF($C990="","",DATE(YEAR($C990),MONTH($C990),1))</f>
        <v/>
      </c>
      <c r="F990">
        <f>IF($C990="","",YEAR($C990)&amp;"-Q"&amp;ROUNDUP(MONTH($C990)/3,0))</f>
        <v/>
      </c>
      <c r="L990">
        <f>IF($G990&lt;&gt;"ALCOHOL","",IF($K990="","",$H990*IFERROR(VLOOKUP($K990,Drink_Templates!$A:$G,7,FALSE),0)))</f>
        <v/>
      </c>
    </row>
    <row r="991" ht="15" customHeight="1">
      <c r="C991">
        <f>IF($B991="","",INT($B991))</f>
        <v/>
      </c>
      <c r="D991">
        <f>IF($C991="","",$C991-WEEKDAY($C991,2)+1)</f>
        <v/>
      </c>
      <c r="E991">
        <f>IF($C991="","",DATE(YEAR($C991),MONTH($C991),1))</f>
        <v/>
      </c>
      <c r="F991">
        <f>IF($C991="","",YEAR($C991)&amp;"-Q"&amp;ROUNDUP(MONTH($C991)/3,0))</f>
        <v/>
      </c>
      <c r="L991">
        <f>IF($G991&lt;&gt;"ALCOHOL","",IF($K991="","",$H991*IFERROR(VLOOKUP($K991,Drink_Templates!$A:$G,7,FALSE),0)))</f>
        <v/>
      </c>
    </row>
    <row r="992" ht="15" customHeight="1">
      <c r="C992">
        <f>IF($B992="","",INT($B992))</f>
        <v/>
      </c>
      <c r="D992">
        <f>IF($C992="","",$C992-WEEKDAY($C992,2)+1)</f>
        <v/>
      </c>
      <c r="E992">
        <f>IF($C992="","",DATE(YEAR($C992),MONTH($C992),1))</f>
        <v/>
      </c>
      <c r="F992">
        <f>IF($C992="","",YEAR($C992)&amp;"-Q"&amp;ROUNDUP(MONTH($C992)/3,0))</f>
        <v/>
      </c>
      <c r="L992">
        <f>IF($G992&lt;&gt;"ALCOHOL","",IF($K992="","",$H992*IFERROR(VLOOKUP($K992,Drink_Templates!$A:$G,7,FALSE),0)))</f>
        <v/>
      </c>
    </row>
    <row r="993" ht="15" customHeight="1">
      <c r="C993">
        <f>IF($B993="","",INT($B993))</f>
        <v/>
      </c>
      <c r="D993">
        <f>IF($C993="","",$C993-WEEKDAY($C993,2)+1)</f>
        <v/>
      </c>
      <c r="E993">
        <f>IF($C993="","",DATE(YEAR($C993),MONTH($C993),1))</f>
        <v/>
      </c>
      <c r="F993">
        <f>IF($C993="","",YEAR($C993)&amp;"-Q"&amp;ROUNDUP(MONTH($C993)/3,0))</f>
        <v/>
      </c>
      <c r="L993">
        <f>IF($G993&lt;&gt;"ALCOHOL","",IF($K993="","",$H993*IFERROR(VLOOKUP($K993,Drink_Templates!$A:$G,7,FALSE),0)))</f>
        <v/>
      </c>
    </row>
    <row r="994" ht="15" customHeight="1">
      <c r="C994">
        <f>IF($B994="","",INT($B994))</f>
        <v/>
      </c>
      <c r="D994">
        <f>IF($C994="","",$C994-WEEKDAY($C994,2)+1)</f>
        <v/>
      </c>
      <c r="E994">
        <f>IF($C994="","",DATE(YEAR($C994),MONTH($C994),1))</f>
        <v/>
      </c>
      <c r="F994">
        <f>IF($C994="","",YEAR($C994)&amp;"-Q"&amp;ROUNDUP(MONTH($C994)/3,0))</f>
        <v/>
      </c>
      <c r="L994">
        <f>IF($G994&lt;&gt;"ALCOHOL","",IF($K994="","",$H994*IFERROR(VLOOKUP($K994,Drink_Templates!$A:$G,7,FALSE),0)))</f>
        <v/>
      </c>
    </row>
    <row r="995" ht="15" customHeight="1">
      <c r="C995">
        <f>IF($B995="","",INT($B995))</f>
        <v/>
      </c>
      <c r="D995">
        <f>IF($C995="","",$C995-WEEKDAY($C995,2)+1)</f>
        <v/>
      </c>
      <c r="E995">
        <f>IF($C995="","",DATE(YEAR($C995),MONTH($C995),1))</f>
        <v/>
      </c>
      <c r="F995">
        <f>IF($C995="","",YEAR($C995)&amp;"-Q"&amp;ROUNDUP(MONTH($C995)/3,0))</f>
        <v/>
      </c>
      <c r="L995">
        <f>IF($G995&lt;&gt;"ALCOHOL","",IF($K995="","",$H995*IFERROR(VLOOKUP($K995,Drink_Templates!$A:$G,7,FALSE),0)))</f>
        <v/>
      </c>
    </row>
    <row r="996" ht="15" customHeight="1">
      <c r="C996">
        <f>IF($B996="","",INT($B996))</f>
        <v/>
      </c>
      <c r="D996">
        <f>IF($C996="","",$C996-WEEKDAY($C996,2)+1)</f>
        <v/>
      </c>
      <c r="E996">
        <f>IF($C996="","",DATE(YEAR($C996),MONTH($C996),1))</f>
        <v/>
      </c>
      <c r="F996">
        <f>IF($C996="","",YEAR($C996)&amp;"-Q"&amp;ROUNDUP(MONTH($C996)/3,0))</f>
        <v/>
      </c>
      <c r="L996">
        <f>IF($G996&lt;&gt;"ALCOHOL","",IF($K996="","",$H996*IFERROR(VLOOKUP($K996,Drink_Templates!$A:$G,7,FALSE),0)))</f>
        <v/>
      </c>
    </row>
    <row r="997" ht="15" customHeight="1">
      <c r="C997">
        <f>IF($B997="","",INT($B997))</f>
        <v/>
      </c>
      <c r="D997">
        <f>IF($C997="","",$C997-WEEKDAY($C997,2)+1)</f>
        <v/>
      </c>
      <c r="E997">
        <f>IF($C997="","",DATE(YEAR($C997),MONTH($C997),1))</f>
        <v/>
      </c>
      <c r="F997">
        <f>IF($C997="","",YEAR($C997)&amp;"-Q"&amp;ROUNDUP(MONTH($C997)/3,0))</f>
        <v/>
      </c>
      <c r="L997">
        <f>IF($G997&lt;&gt;"ALCOHOL","",IF($K997="","",$H997*IFERROR(VLOOKUP($K997,Drink_Templates!$A:$G,7,FALSE),0)))</f>
        <v/>
      </c>
    </row>
    <row r="998" ht="15" customHeight="1">
      <c r="C998">
        <f>IF($B998="","",INT($B998))</f>
        <v/>
      </c>
      <c r="D998">
        <f>IF($C998="","",$C998-WEEKDAY($C998,2)+1)</f>
        <v/>
      </c>
      <c r="E998">
        <f>IF($C998="","",DATE(YEAR($C998),MONTH($C998),1))</f>
        <v/>
      </c>
      <c r="F998">
        <f>IF($C998="","",YEAR($C998)&amp;"-Q"&amp;ROUNDUP(MONTH($C998)/3,0))</f>
        <v/>
      </c>
      <c r="L998">
        <f>IF($G998&lt;&gt;"ALCOHOL","",IF($K998="","",$H998*IFERROR(VLOOKUP($K998,Drink_Templates!$A:$G,7,FALSE),0)))</f>
        <v/>
      </c>
    </row>
    <row r="999" ht="15" customHeight="1">
      <c r="C999">
        <f>IF($B999="","",INT($B999))</f>
        <v/>
      </c>
      <c r="D999">
        <f>IF($C999="","",$C999-WEEKDAY($C999,2)+1)</f>
        <v/>
      </c>
      <c r="E999">
        <f>IF($C999="","",DATE(YEAR($C999),MONTH($C999),1))</f>
        <v/>
      </c>
      <c r="F999">
        <f>IF($C999="","",YEAR($C999)&amp;"-Q"&amp;ROUNDUP(MONTH($C999)/3,0))</f>
        <v/>
      </c>
      <c r="L999">
        <f>IF($G999&lt;&gt;"ALCOHOL","",IF($K999="","",$H999*IFERROR(VLOOKUP($K999,Drink_Templates!$A:$G,7,FALSE),0)))</f>
        <v/>
      </c>
    </row>
    <row r="1000" ht="15" customHeight="1">
      <c r="C1000">
        <f>IF($B1000="","",INT($B1000))</f>
        <v/>
      </c>
      <c r="D1000">
        <f>IF($C1000="","",$C1000-WEEKDAY($C1000,2)+1)</f>
        <v/>
      </c>
      <c r="E1000">
        <f>IF($C1000="","",DATE(YEAR($C1000),MONTH($C1000),1))</f>
        <v/>
      </c>
      <c r="F1000">
        <f>IF($C1000="","",YEAR($C1000)&amp;"-Q"&amp;ROUNDUP(MONTH($C1000)/3,0))</f>
        <v/>
      </c>
      <c r="L1000">
        <f>IF($G1000&lt;&gt;"ALCOHOL","",IF($K1000="","",$H1000*IFERROR(VLOOKUP($K1000,Drink_Templates!$A:$G,7,FALSE),0)))</f>
        <v/>
      </c>
    </row>
    <row r="1001" ht="15" customHeight="1">
      <c r="C1001">
        <f>IF($B1001="","",INT($B1001))</f>
        <v/>
      </c>
      <c r="D1001">
        <f>IF($C1001="","",$C1001-WEEKDAY($C1001,2)+1)</f>
        <v/>
      </c>
      <c r="E1001">
        <f>IF($C1001="","",DATE(YEAR($C1001),MONTH($C1001),1))</f>
        <v/>
      </c>
      <c r="F1001">
        <f>IF($C1001="","",YEAR($C1001)&amp;"-Q"&amp;ROUNDUP(MONTH($C1001)/3,0))</f>
        <v/>
      </c>
      <c r="L1001">
        <f>IF($G1001&lt;&gt;"ALCOHOL","",IF($K1001="","",$H1001*IFERROR(VLOOKUP($K1001,Drink_Templates!$A:$G,7,FALSE),0)))</f>
        <v/>
      </c>
    </row>
    <row r="1002" ht="15" customHeight="1">
      <c r="C1002">
        <f>IF($B1002="","",INT($B1002))</f>
        <v/>
      </c>
      <c r="D1002">
        <f>IF($C1002="","",$C1002-WEEKDAY($C1002,2)+1)</f>
        <v/>
      </c>
      <c r="E1002">
        <f>IF($C1002="","",DATE(YEAR($C1002),MONTH($C1002),1))</f>
        <v/>
      </c>
      <c r="F1002">
        <f>IF($C1002="","",YEAR($C1002)&amp;"-Q"&amp;ROUNDUP(MONTH($C1002)/3,0))</f>
        <v/>
      </c>
      <c r="L1002">
        <f>IF($G1002&lt;&gt;"ALCOHOL","",IF($K1002="","",$H1002*IFERROR(VLOOKUP($K1002,Drink_Templates!$A:$G,7,FALSE),0)))</f>
        <v/>
      </c>
    </row>
    <row r="1003" ht="15" customHeight="1">
      <c r="C1003">
        <f>IF($B1003="","",INT($B1003))</f>
        <v/>
      </c>
      <c r="D1003">
        <f>IF($C1003="","",$C1003-WEEKDAY($C1003,2)+1)</f>
        <v/>
      </c>
      <c r="E1003">
        <f>IF($C1003="","",DATE(YEAR($C1003),MONTH($C1003),1))</f>
        <v/>
      </c>
      <c r="F1003">
        <f>IF($C1003="","",YEAR($C1003)&amp;"-Q"&amp;ROUNDUP(MONTH($C1003)/3,0))</f>
        <v/>
      </c>
      <c r="L1003">
        <f>IF($G1003&lt;&gt;"ALCOHOL","",IF($K1003="","",$H1003*IFERROR(VLOOKUP($K1003,Drink_Templates!$A:$G,7,FALSE),0)))</f>
        <v/>
      </c>
    </row>
    <row r="1004" ht="15" customHeight="1">
      <c r="C1004">
        <f>IF($B1004="","",INT($B1004))</f>
        <v/>
      </c>
      <c r="D1004">
        <f>IF($C1004="","",$C1004-WEEKDAY($C1004,2)+1)</f>
        <v/>
      </c>
      <c r="E1004">
        <f>IF($C1004="","",DATE(YEAR($C1004),MONTH($C1004),1))</f>
        <v/>
      </c>
      <c r="F1004">
        <f>IF($C1004="","",YEAR($C1004)&amp;"-Q"&amp;ROUNDUP(MONTH($C1004)/3,0))</f>
        <v/>
      </c>
      <c r="L1004">
        <f>IF($G1004&lt;&gt;"ALCOHOL","",IF($K1004="","",$H1004*IFERROR(VLOOKUP($K1004,Drink_Templates!$A:$G,7,FALSE),0)))</f>
        <v/>
      </c>
    </row>
    <row r="1005" ht="15" customHeight="1">
      <c r="C1005">
        <f>IF($B1005="","",INT($B1005))</f>
        <v/>
      </c>
      <c r="D1005">
        <f>IF($C1005="","",$C1005-WEEKDAY($C1005,2)+1)</f>
        <v/>
      </c>
      <c r="E1005">
        <f>IF($C1005="","",DATE(YEAR($C1005),MONTH($C1005),1))</f>
        <v/>
      </c>
      <c r="F1005">
        <f>IF($C1005="","",YEAR($C1005)&amp;"-Q"&amp;ROUNDUP(MONTH($C1005)/3,0))</f>
        <v/>
      </c>
      <c r="L1005">
        <f>IF($G1005&lt;&gt;"ALCOHOL","",IF($K1005="","",$H1005*IFERROR(VLOOKUP($K1005,Drink_Templates!$A:$G,7,FALSE),0)))</f>
        <v/>
      </c>
    </row>
    <row r="1006" ht="15" customHeight="1">
      <c r="C1006">
        <f>IF($B1006="","",INT($B1006))</f>
        <v/>
      </c>
      <c r="D1006">
        <f>IF($C1006="","",$C1006-WEEKDAY($C1006,2)+1)</f>
        <v/>
      </c>
      <c r="E1006">
        <f>IF($C1006="","",DATE(YEAR($C1006),MONTH($C1006),1))</f>
        <v/>
      </c>
      <c r="F1006">
        <f>IF($C1006="","",YEAR($C1006)&amp;"-Q"&amp;ROUNDUP(MONTH($C1006)/3,0))</f>
        <v/>
      </c>
      <c r="L1006">
        <f>IF($G1006&lt;&gt;"ALCOHOL","",IF($K1006="","",$H1006*IFERROR(VLOOKUP($K1006,Drink_Templates!$A:$G,7,FALSE),0)))</f>
        <v/>
      </c>
    </row>
    <row r="1007" ht="15" customHeight="1">
      <c r="C1007">
        <f>IF($B1007="","",INT($B1007))</f>
        <v/>
      </c>
      <c r="D1007">
        <f>IF($C1007="","",$C1007-WEEKDAY($C1007,2)+1)</f>
        <v/>
      </c>
      <c r="E1007">
        <f>IF($C1007="","",DATE(YEAR($C1007),MONTH($C1007),1))</f>
        <v/>
      </c>
      <c r="F1007">
        <f>IF($C1007="","",YEAR($C1007)&amp;"-Q"&amp;ROUNDUP(MONTH($C1007)/3,0))</f>
        <v/>
      </c>
      <c r="L1007">
        <f>IF($G1007&lt;&gt;"ALCOHOL","",IF($K1007="","",$H1007*IFERROR(VLOOKUP($K1007,Drink_Templates!$A:$G,7,FALSE),0)))</f>
        <v/>
      </c>
    </row>
    <row r="1008" ht="15" customHeight="1">
      <c r="C1008">
        <f>IF($B1008="","",INT($B1008))</f>
        <v/>
      </c>
      <c r="D1008">
        <f>IF($C1008="","",$C1008-WEEKDAY($C1008,2)+1)</f>
        <v/>
      </c>
      <c r="E1008">
        <f>IF($C1008="","",DATE(YEAR($C1008),MONTH($C1008),1))</f>
        <v/>
      </c>
      <c r="F1008">
        <f>IF($C1008="","",YEAR($C1008)&amp;"-Q"&amp;ROUNDUP(MONTH($C1008)/3,0))</f>
        <v/>
      </c>
      <c r="L1008">
        <f>IF($G1008&lt;&gt;"ALCOHOL","",IF($K1008="","",$H1008*IFERROR(VLOOKUP($K1008,Drink_Templates!$A:$G,7,FALSE),0)))</f>
        <v/>
      </c>
    </row>
    <row r="1009" ht="15" customHeight="1">
      <c r="C1009">
        <f>IF($B1009="","",INT($B1009))</f>
        <v/>
      </c>
      <c r="D1009">
        <f>IF($C1009="","",$C1009-WEEKDAY($C1009,2)+1)</f>
        <v/>
      </c>
      <c r="E1009">
        <f>IF($C1009="","",DATE(YEAR($C1009),MONTH($C1009),1))</f>
        <v/>
      </c>
      <c r="F1009">
        <f>IF($C1009="","",YEAR($C1009)&amp;"-Q"&amp;ROUNDUP(MONTH($C1009)/3,0))</f>
        <v/>
      </c>
      <c r="L1009">
        <f>IF($G1009&lt;&gt;"ALCOHOL","",IF($K1009="","",$H1009*IFERROR(VLOOKUP($K1009,Drink_Templates!$A:$G,7,FALSE),0)))</f>
        <v/>
      </c>
    </row>
    <row r="1010" ht="15" customHeight="1">
      <c r="C1010">
        <f>IF($B1010="","",INT($B1010))</f>
        <v/>
      </c>
      <c r="D1010">
        <f>IF($C1010="","",$C1010-WEEKDAY($C1010,2)+1)</f>
        <v/>
      </c>
      <c r="E1010">
        <f>IF($C1010="","",DATE(YEAR($C1010),MONTH($C1010),1))</f>
        <v/>
      </c>
      <c r="F1010">
        <f>IF($C1010="","",YEAR($C1010)&amp;"-Q"&amp;ROUNDUP(MONTH($C1010)/3,0))</f>
        <v/>
      </c>
      <c r="L1010">
        <f>IF($G1010&lt;&gt;"ALCOHOL","",IF($K1010="","",$H1010*IFERROR(VLOOKUP($K1010,Drink_Templates!$A:$G,7,FALSE),0)))</f>
        <v/>
      </c>
    </row>
    <row r="1011" ht="15" customHeight="1">
      <c r="C1011">
        <f>IF($B1011="","",INT($B1011))</f>
        <v/>
      </c>
      <c r="D1011">
        <f>IF($C1011="","",$C1011-WEEKDAY($C1011,2)+1)</f>
        <v/>
      </c>
      <c r="E1011">
        <f>IF($C1011="","",DATE(YEAR($C1011),MONTH($C1011),1))</f>
        <v/>
      </c>
      <c r="F1011">
        <f>IF($C1011="","",YEAR($C1011)&amp;"-Q"&amp;ROUNDUP(MONTH($C1011)/3,0))</f>
        <v/>
      </c>
      <c r="L1011">
        <f>IF($G1011&lt;&gt;"ALCOHOL","",IF($K1011="","",$H1011*IFERROR(VLOOKUP($K1011,Drink_Templates!$A:$G,7,FALSE),0)))</f>
        <v/>
      </c>
    </row>
    <row r="1012" ht="15" customHeight="1">
      <c r="C1012">
        <f>IF($B1012="","",INT($B1012))</f>
        <v/>
      </c>
      <c r="D1012">
        <f>IF($C1012="","",$C1012-WEEKDAY($C1012,2)+1)</f>
        <v/>
      </c>
      <c r="E1012">
        <f>IF($C1012="","",DATE(YEAR($C1012),MONTH($C1012),1))</f>
        <v/>
      </c>
      <c r="F1012">
        <f>IF($C1012="","",YEAR($C1012)&amp;"-Q"&amp;ROUNDUP(MONTH($C1012)/3,0))</f>
        <v/>
      </c>
      <c r="L1012">
        <f>IF($G1012&lt;&gt;"ALCOHOL","",IF($K1012="","",$H1012*IFERROR(VLOOKUP($K1012,Drink_Templates!$A:$G,7,FALSE),0)))</f>
        <v/>
      </c>
    </row>
    <row r="1013" ht="15" customHeight="1">
      <c r="C1013">
        <f>IF($B1013="","",INT($B1013))</f>
        <v/>
      </c>
      <c r="D1013">
        <f>IF($C1013="","",$C1013-WEEKDAY($C1013,2)+1)</f>
        <v/>
      </c>
      <c r="E1013">
        <f>IF($C1013="","",DATE(YEAR($C1013),MONTH($C1013),1))</f>
        <v/>
      </c>
      <c r="F1013">
        <f>IF($C1013="","",YEAR($C1013)&amp;"-Q"&amp;ROUNDUP(MONTH($C1013)/3,0))</f>
        <v/>
      </c>
      <c r="L1013">
        <f>IF($G1013&lt;&gt;"ALCOHOL","",IF($K1013="","",$H1013*IFERROR(VLOOKUP($K1013,Drink_Templates!$A:$G,7,FALSE),0)))</f>
        <v/>
      </c>
    </row>
    <row r="1014" ht="15" customHeight="1">
      <c r="C1014">
        <f>IF($B1014="","",INT($B1014))</f>
        <v/>
      </c>
      <c r="D1014">
        <f>IF($C1014="","",$C1014-WEEKDAY($C1014,2)+1)</f>
        <v/>
      </c>
      <c r="E1014">
        <f>IF($C1014="","",DATE(YEAR($C1014),MONTH($C1014),1))</f>
        <v/>
      </c>
      <c r="F1014">
        <f>IF($C1014="","",YEAR($C1014)&amp;"-Q"&amp;ROUNDUP(MONTH($C1014)/3,0))</f>
        <v/>
      </c>
      <c r="L1014">
        <f>IF($G1014&lt;&gt;"ALCOHOL","",IF($K1014="","",$H1014*IFERROR(VLOOKUP($K1014,Drink_Templates!$A:$G,7,FALSE),0)))</f>
        <v/>
      </c>
    </row>
    <row r="1015" ht="15" customHeight="1">
      <c r="C1015">
        <f>IF($B1015="","",INT($B1015))</f>
        <v/>
      </c>
      <c r="D1015">
        <f>IF($C1015="","",$C1015-WEEKDAY($C1015,2)+1)</f>
        <v/>
      </c>
      <c r="E1015">
        <f>IF($C1015="","",DATE(YEAR($C1015),MONTH($C1015),1))</f>
        <v/>
      </c>
      <c r="F1015">
        <f>IF($C1015="","",YEAR($C1015)&amp;"-Q"&amp;ROUNDUP(MONTH($C1015)/3,0))</f>
        <v/>
      </c>
      <c r="L1015">
        <f>IF($G1015&lt;&gt;"ALCOHOL","",IF($K1015="","",$H1015*IFERROR(VLOOKUP($K1015,Drink_Templates!$A:$G,7,FALSE),0)))</f>
        <v/>
      </c>
    </row>
    <row r="1016" ht="15" customHeight="1">
      <c r="C1016">
        <f>IF($B1016="","",INT($B1016))</f>
        <v/>
      </c>
      <c r="D1016">
        <f>IF($C1016="","",$C1016-WEEKDAY($C1016,2)+1)</f>
        <v/>
      </c>
      <c r="E1016">
        <f>IF($C1016="","",DATE(YEAR($C1016),MONTH($C1016),1))</f>
        <v/>
      </c>
      <c r="F1016">
        <f>IF($C1016="","",YEAR($C1016)&amp;"-Q"&amp;ROUNDUP(MONTH($C1016)/3,0))</f>
        <v/>
      </c>
      <c r="L1016">
        <f>IF($G1016&lt;&gt;"ALCOHOL","",IF($K1016="","",$H1016*IFERROR(VLOOKUP($K1016,Drink_Templates!$A:$G,7,FALSE),0)))</f>
        <v/>
      </c>
    </row>
    <row r="1017" ht="15" customHeight="1">
      <c r="C1017">
        <f>IF($B1017="","",INT($B1017))</f>
        <v/>
      </c>
      <c r="D1017">
        <f>IF($C1017="","",$C1017-WEEKDAY($C1017,2)+1)</f>
        <v/>
      </c>
      <c r="E1017">
        <f>IF($C1017="","",DATE(YEAR($C1017),MONTH($C1017),1))</f>
        <v/>
      </c>
      <c r="F1017">
        <f>IF($C1017="","",YEAR($C1017)&amp;"-Q"&amp;ROUNDUP(MONTH($C1017)/3,0))</f>
        <v/>
      </c>
      <c r="L1017">
        <f>IF($G1017&lt;&gt;"ALCOHOL","",IF($K1017="","",$H1017*IFERROR(VLOOKUP($K1017,Drink_Templates!$A:$G,7,FALSE),0)))</f>
        <v/>
      </c>
    </row>
    <row r="1018" ht="15" customHeight="1">
      <c r="C1018">
        <f>IF($B1018="","",INT($B1018))</f>
        <v/>
      </c>
      <c r="D1018">
        <f>IF($C1018="","",$C1018-WEEKDAY($C1018,2)+1)</f>
        <v/>
      </c>
      <c r="E1018">
        <f>IF($C1018="","",DATE(YEAR($C1018),MONTH($C1018),1))</f>
        <v/>
      </c>
      <c r="F1018">
        <f>IF($C1018="","",YEAR($C1018)&amp;"-Q"&amp;ROUNDUP(MONTH($C1018)/3,0))</f>
        <v/>
      </c>
      <c r="L1018">
        <f>IF($G1018&lt;&gt;"ALCOHOL","",IF($K1018="","",$H1018*IFERROR(VLOOKUP($K1018,Drink_Templates!$A:$G,7,FALSE),0)))</f>
        <v/>
      </c>
    </row>
    <row r="1019" ht="15" customHeight="1">
      <c r="C1019">
        <f>IF($B1019="","",INT($B1019))</f>
        <v/>
      </c>
      <c r="D1019">
        <f>IF($C1019="","",$C1019-WEEKDAY($C1019,2)+1)</f>
        <v/>
      </c>
      <c r="E1019">
        <f>IF($C1019="","",DATE(YEAR($C1019),MONTH($C1019),1))</f>
        <v/>
      </c>
      <c r="F1019">
        <f>IF($C1019="","",YEAR($C1019)&amp;"-Q"&amp;ROUNDUP(MONTH($C1019)/3,0))</f>
        <v/>
      </c>
      <c r="L1019">
        <f>IF($G1019&lt;&gt;"ALCOHOL","",IF($K1019="","",$H1019*IFERROR(VLOOKUP($K1019,Drink_Templates!$A:$G,7,FALSE),0)))</f>
        <v/>
      </c>
    </row>
    <row r="1020" ht="15" customHeight="1">
      <c r="C1020">
        <f>IF($B1020="","",INT($B1020))</f>
        <v/>
      </c>
      <c r="D1020">
        <f>IF($C1020="","",$C1020-WEEKDAY($C1020,2)+1)</f>
        <v/>
      </c>
      <c r="E1020">
        <f>IF($C1020="","",DATE(YEAR($C1020),MONTH($C1020),1))</f>
        <v/>
      </c>
      <c r="F1020">
        <f>IF($C1020="","",YEAR($C1020)&amp;"-Q"&amp;ROUNDUP(MONTH($C1020)/3,0))</f>
        <v/>
      </c>
      <c r="L1020">
        <f>IF($G1020&lt;&gt;"ALCOHOL","",IF($K1020="","",$H1020*IFERROR(VLOOKUP($K1020,Drink_Templates!$A:$G,7,FALSE),0)))</f>
        <v/>
      </c>
    </row>
    <row r="1021" ht="15" customHeight="1">
      <c r="C1021">
        <f>IF($B1021="","",INT($B1021))</f>
        <v/>
      </c>
      <c r="D1021">
        <f>IF($C1021="","",$C1021-WEEKDAY($C1021,2)+1)</f>
        <v/>
      </c>
      <c r="E1021">
        <f>IF($C1021="","",DATE(YEAR($C1021),MONTH($C1021),1))</f>
        <v/>
      </c>
      <c r="F1021">
        <f>IF($C1021="","",YEAR($C1021)&amp;"-Q"&amp;ROUNDUP(MONTH($C1021)/3,0))</f>
        <v/>
      </c>
      <c r="L1021">
        <f>IF($G1021&lt;&gt;"ALCOHOL","",IF($K1021="","",$H1021*IFERROR(VLOOKUP($K1021,Drink_Templates!$A:$G,7,FALSE),0)))</f>
        <v/>
      </c>
    </row>
    <row r="1022" ht="15" customHeight="1">
      <c r="C1022">
        <f>IF($B1022="","",INT($B1022))</f>
        <v/>
      </c>
      <c r="D1022">
        <f>IF($C1022="","",$C1022-WEEKDAY($C1022,2)+1)</f>
        <v/>
      </c>
      <c r="E1022">
        <f>IF($C1022="","",DATE(YEAR($C1022),MONTH($C1022),1))</f>
        <v/>
      </c>
      <c r="F1022">
        <f>IF($C1022="","",YEAR($C1022)&amp;"-Q"&amp;ROUNDUP(MONTH($C1022)/3,0))</f>
        <v/>
      </c>
      <c r="L1022">
        <f>IF($G1022&lt;&gt;"ALCOHOL","",IF($K1022="","",$H1022*IFERROR(VLOOKUP($K1022,Drink_Templates!$A:$G,7,FALSE),0)))</f>
        <v/>
      </c>
    </row>
    <row r="1023" ht="15" customHeight="1">
      <c r="C1023">
        <f>IF($B1023="","",INT($B1023))</f>
        <v/>
      </c>
      <c r="D1023">
        <f>IF($C1023="","",$C1023-WEEKDAY($C1023,2)+1)</f>
        <v/>
      </c>
      <c r="E1023">
        <f>IF($C1023="","",DATE(YEAR($C1023),MONTH($C1023),1))</f>
        <v/>
      </c>
      <c r="F1023">
        <f>IF($C1023="","",YEAR($C1023)&amp;"-Q"&amp;ROUNDUP(MONTH($C1023)/3,0))</f>
        <v/>
      </c>
      <c r="L1023">
        <f>IF($G1023&lt;&gt;"ALCOHOL","",IF($K1023="","",$H1023*IFERROR(VLOOKUP($K1023,Drink_Templates!$A:$G,7,FALSE),0)))</f>
        <v/>
      </c>
    </row>
    <row r="1024" ht="15" customHeight="1">
      <c r="C1024">
        <f>IF($B1024="","",INT($B1024))</f>
        <v/>
      </c>
      <c r="D1024">
        <f>IF($C1024="","",$C1024-WEEKDAY($C1024,2)+1)</f>
        <v/>
      </c>
      <c r="E1024">
        <f>IF($C1024="","",DATE(YEAR($C1024),MONTH($C1024),1))</f>
        <v/>
      </c>
      <c r="F1024">
        <f>IF($C1024="","",YEAR($C1024)&amp;"-Q"&amp;ROUNDUP(MONTH($C1024)/3,0))</f>
        <v/>
      </c>
      <c r="L1024">
        <f>IF($G1024&lt;&gt;"ALCOHOL","",IF($K1024="","",$H1024*IFERROR(VLOOKUP($K1024,Drink_Templates!$A:$G,7,FALSE),0)))</f>
        <v/>
      </c>
    </row>
    <row r="1025" ht="15" customHeight="1">
      <c r="C1025">
        <f>IF($B1025="","",INT($B1025))</f>
        <v/>
      </c>
      <c r="D1025">
        <f>IF($C1025="","",$C1025-WEEKDAY($C1025,2)+1)</f>
        <v/>
      </c>
      <c r="E1025">
        <f>IF($C1025="","",DATE(YEAR($C1025),MONTH($C1025),1))</f>
        <v/>
      </c>
      <c r="F1025">
        <f>IF($C1025="","",YEAR($C1025)&amp;"-Q"&amp;ROUNDUP(MONTH($C1025)/3,0))</f>
        <v/>
      </c>
      <c r="L1025">
        <f>IF($G1025&lt;&gt;"ALCOHOL","",IF($K1025="","",$H1025*IFERROR(VLOOKUP($K1025,Drink_Templates!$A:$G,7,FALSE),0)))</f>
        <v/>
      </c>
    </row>
    <row r="1026" ht="15" customHeight="1">
      <c r="C1026">
        <f>IF($B1026="","",INT($B1026))</f>
        <v/>
      </c>
      <c r="D1026">
        <f>IF($C1026="","",$C1026-WEEKDAY($C1026,2)+1)</f>
        <v/>
      </c>
      <c r="E1026">
        <f>IF($C1026="","",DATE(YEAR($C1026),MONTH($C1026),1))</f>
        <v/>
      </c>
      <c r="F1026">
        <f>IF($C1026="","",YEAR($C1026)&amp;"-Q"&amp;ROUNDUP(MONTH($C1026)/3,0))</f>
        <v/>
      </c>
      <c r="L1026">
        <f>IF($G1026&lt;&gt;"ALCOHOL","",IF($K1026="","",$H1026*IFERROR(VLOOKUP($K1026,Drink_Templates!$A:$G,7,FALSE),0)))</f>
        <v/>
      </c>
    </row>
    <row r="1027" ht="15" customHeight="1">
      <c r="C1027">
        <f>IF($B1027="","",INT($B1027))</f>
        <v/>
      </c>
      <c r="D1027">
        <f>IF($C1027="","",$C1027-WEEKDAY($C1027,2)+1)</f>
        <v/>
      </c>
      <c r="E1027">
        <f>IF($C1027="","",DATE(YEAR($C1027),MONTH($C1027),1))</f>
        <v/>
      </c>
      <c r="F1027">
        <f>IF($C1027="","",YEAR($C1027)&amp;"-Q"&amp;ROUNDUP(MONTH($C1027)/3,0))</f>
        <v/>
      </c>
      <c r="L1027">
        <f>IF($G1027&lt;&gt;"ALCOHOL","",IF($K1027="","",$H1027*IFERROR(VLOOKUP($K1027,Drink_Templates!$A:$G,7,FALSE),0)))</f>
        <v/>
      </c>
    </row>
    <row r="1028" ht="15" customHeight="1">
      <c r="C1028">
        <f>IF($B1028="","",INT($B1028))</f>
        <v/>
      </c>
      <c r="D1028">
        <f>IF($C1028="","",$C1028-WEEKDAY($C1028,2)+1)</f>
        <v/>
      </c>
      <c r="E1028">
        <f>IF($C1028="","",DATE(YEAR($C1028),MONTH($C1028),1))</f>
        <v/>
      </c>
      <c r="F1028">
        <f>IF($C1028="","",YEAR($C1028)&amp;"-Q"&amp;ROUNDUP(MONTH($C1028)/3,0))</f>
        <v/>
      </c>
      <c r="L1028">
        <f>IF($G1028&lt;&gt;"ALCOHOL","",IF($K1028="","",$H1028*IFERROR(VLOOKUP($K1028,Drink_Templates!$A:$G,7,FALSE),0)))</f>
        <v/>
      </c>
    </row>
    <row r="1029" ht="15" customHeight="1">
      <c r="C1029">
        <f>IF($B1029="","",INT($B1029))</f>
        <v/>
      </c>
      <c r="D1029">
        <f>IF($C1029="","",$C1029-WEEKDAY($C1029,2)+1)</f>
        <v/>
      </c>
      <c r="E1029">
        <f>IF($C1029="","",DATE(YEAR($C1029),MONTH($C1029),1))</f>
        <v/>
      </c>
      <c r="F1029">
        <f>IF($C1029="","",YEAR($C1029)&amp;"-Q"&amp;ROUNDUP(MONTH($C1029)/3,0))</f>
        <v/>
      </c>
      <c r="L1029">
        <f>IF($G1029&lt;&gt;"ALCOHOL","",IF($K1029="","",$H1029*IFERROR(VLOOKUP($K1029,Drink_Templates!$A:$G,7,FALSE),0)))</f>
        <v/>
      </c>
    </row>
    <row r="1030" ht="15" customHeight="1">
      <c r="C1030">
        <f>IF($B1030="","",INT($B1030))</f>
        <v/>
      </c>
      <c r="D1030">
        <f>IF($C1030="","",$C1030-WEEKDAY($C1030,2)+1)</f>
        <v/>
      </c>
      <c r="E1030">
        <f>IF($C1030="","",DATE(YEAR($C1030),MONTH($C1030),1))</f>
        <v/>
      </c>
      <c r="F1030">
        <f>IF($C1030="","",YEAR($C1030)&amp;"-Q"&amp;ROUNDUP(MONTH($C1030)/3,0))</f>
        <v/>
      </c>
      <c r="L1030">
        <f>IF($G1030&lt;&gt;"ALCOHOL","",IF($K1030="","",$H1030*IFERROR(VLOOKUP($K1030,Drink_Templates!$A:$G,7,FALSE),0)))</f>
        <v/>
      </c>
    </row>
    <row r="1031" ht="15" customHeight="1">
      <c r="C1031">
        <f>IF($B1031="","",INT($B1031))</f>
        <v/>
      </c>
      <c r="D1031">
        <f>IF($C1031="","",$C1031-WEEKDAY($C1031,2)+1)</f>
        <v/>
      </c>
      <c r="E1031">
        <f>IF($C1031="","",DATE(YEAR($C1031),MONTH($C1031),1))</f>
        <v/>
      </c>
      <c r="F1031">
        <f>IF($C1031="","",YEAR($C1031)&amp;"-Q"&amp;ROUNDUP(MONTH($C1031)/3,0))</f>
        <v/>
      </c>
      <c r="L1031">
        <f>IF($G1031&lt;&gt;"ALCOHOL","",IF($K1031="","",$H1031*IFERROR(VLOOKUP($K1031,Drink_Templates!$A:$G,7,FALSE),0)))</f>
        <v/>
      </c>
    </row>
    <row r="1032" ht="15" customHeight="1">
      <c r="C1032">
        <f>IF($B1032="","",INT($B1032))</f>
        <v/>
      </c>
      <c r="D1032">
        <f>IF($C1032="","",$C1032-WEEKDAY($C1032,2)+1)</f>
        <v/>
      </c>
      <c r="E1032">
        <f>IF($C1032="","",DATE(YEAR($C1032),MONTH($C1032),1))</f>
        <v/>
      </c>
      <c r="F1032">
        <f>IF($C1032="","",YEAR($C1032)&amp;"-Q"&amp;ROUNDUP(MONTH($C1032)/3,0))</f>
        <v/>
      </c>
      <c r="L1032">
        <f>IF($G1032&lt;&gt;"ALCOHOL","",IF($K1032="","",$H1032*IFERROR(VLOOKUP($K1032,Drink_Templates!$A:$G,7,FALSE),0)))</f>
        <v/>
      </c>
    </row>
    <row r="1033" ht="15" customHeight="1">
      <c r="C1033">
        <f>IF($B1033="","",INT($B1033))</f>
        <v/>
      </c>
      <c r="D1033">
        <f>IF($C1033="","",$C1033-WEEKDAY($C1033,2)+1)</f>
        <v/>
      </c>
      <c r="E1033">
        <f>IF($C1033="","",DATE(YEAR($C1033),MONTH($C1033),1))</f>
        <v/>
      </c>
      <c r="F1033">
        <f>IF($C1033="","",YEAR($C1033)&amp;"-Q"&amp;ROUNDUP(MONTH($C1033)/3,0))</f>
        <v/>
      </c>
      <c r="L1033">
        <f>IF($G1033&lt;&gt;"ALCOHOL","",IF($K1033="","",$H1033*IFERROR(VLOOKUP($K1033,Drink_Templates!$A:$G,7,FALSE),0)))</f>
        <v/>
      </c>
    </row>
    <row r="1034" ht="15" customHeight="1">
      <c r="C1034">
        <f>IF($B1034="","",INT($B1034))</f>
        <v/>
      </c>
      <c r="D1034">
        <f>IF($C1034="","",$C1034-WEEKDAY($C1034,2)+1)</f>
        <v/>
      </c>
      <c r="E1034">
        <f>IF($C1034="","",DATE(YEAR($C1034),MONTH($C1034),1))</f>
        <v/>
      </c>
      <c r="F1034">
        <f>IF($C1034="","",YEAR($C1034)&amp;"-Q"&amp;ROUNDUP(MONTH($C1034)/3,0))</f>
        <v/>
      </c>
      <c r="L1034">
        <f>IF($G1034&lt;&gt;"ALCOHOL","",IF($K1034="","",$H1034*IFERROR(VLOOKUP($K1034,Drink_Templates!$A:$G,7,FALSE),0)))</f>
        <v/>
      </c>
    </row>
    <row r="1035" ht="15" customHeight="1">
      <c r="C1035">
        <f>IF($B1035="","",INT($B1035))</f>
        <v/>
      </c>
      <c r="D1035">
        <f>IF($C1035="","",$C1035-WEEKDAY($C1035,2)+1)</f>
        <v/>
      </c>
      <c r="E1035">
        <f>IF($C1035="","",DATE(YEAR($C1035),MONTH($C1035),1))</f>
        <v/>
      </c>
      <c r="F1035">
        <f>IF($C1035="","",YEAR($C1035)&amp;"-Q"&amp;ROUNDUP(MONTH($C1035)/3,0))</f>
        <v/>
      </c>
      <c r="L1035">
        <f>IF($G1035&lt;&gt;"ALCOHOL","",IF($K1035="","",$H1035*IFERROR(VLOOKUP($K1035,Drink_Templates!$A:$G,7,FALSE),0)))</f>
        <v/>
      </c>
    </row>
    <row r="1036" ht="15" customHeight="1">
      <c r="C1036">
        <f>IF($B1036="","",INT($B1036))</f>
        <v/>
      </c>
      <c r="D1036">
        <f>IF($C1036="","",$C1036-WEEKDAY($C1036,2)+1)</f>
        <v/>
      </c>
      <c r="E1036">
        <f>IF($C1036="","",DATE(YEAR($C1036),MONTH($C1036),1))</f>
        <v/>
      </c>
      <c r="F1036">
        <f>IF($C1036="","",YEAR($C1036)&amp;"-Q"&amp;ROUNDUP(MONTH($C1036)/3,0))</f>
        <v/>
      </c>
      <c r="L1036">
        <f>IF($G1036&lt;&gt;"ALCOHOL","",IF($K1036="","",$H1036*IFERROR(VLOOKUP($K1036,Drink_Templates!$A:$G,7,FALSE),0)))</f>
        <v/>
      </c>
    </row>
    <row r="1037" ht="15" customHeight="1">
      <c r="C1037">
        <f>IF($B1037="","",INT($B1037))</f>
        <v/>
      </c>
      <c r="D1037">
        <f>IF($C1037="","",$C1037-WEEKDAY($C1037,2)+1)</f>
        <v/>
      </c>
      <c r="E1037">
        <f>IF($C1037="","",DATE(YEAR($C1037),MONTH($C1037),1))</f>
        <v/>
      </c>
      <c r="F1037">
        <f>IF($C1037="","",YEAR($C1037)&amp;"-Q"&amp;ROUNDUP(MONTH($C1037)/3,0))</f>
        <v/>
      </c>
      <c r="L1037">
        <f>IF($G1037&lt;&gt;"ALCOHOL","",IF($K1037="","",$H1037*IFERROR(VLOOKUP($K1037,Drink_Templates!$A:$G,7,FALSE),0)))</f>
        <v/>
      </c>
    </row>
    <row r="1038" ht="15" customHeight="1">
      <c r="C1038">
        <f>IF($B1038="","",INT($B1038))</f>
        <v/>
      </c>
      <c r="D1038">
        <f>IF($C1038="","",$C1038-WEEKDAY($C1038,2)+1)</f>
        <v/>
      </c>
      <c r="E1038">
        <f>IF($C1038="","",DATE(YEAR($C1038),MONTH($C1038),1))</f>
        <v/>
      </c>
      <c r="F1038">
        <f>IF($C1038="","",YEAR($C1038)&amp;"-Q"&amp;ROUNDUP(MONTH($C1038)/3,0))</f>
        <v/>
      </c>
      <c r="L1038">
        <f>IF($G1038&lt;&gt;"ALCOHOL","",IF($K1038="","",$H1038*IFERROR(VLOOKUP($K1038,Drink_Templates!$A:$G,7,FALSE),0)))</f>
        <v/>
      </c>
    </row>
    <row r="1039" ht="15" customHeight="1">
      <c r="C1039">
        <f>IF($B1039="","",INT($B1039))</f>
        <v/>
      </c>
      <c r="D1039">
        <f>IF($C1039="","",$C1039-WEEKDAY($C1039,2)+1)</f>
        <v/>
      </c>
      <c r="E1039">
        <f>IF($C1039="","",DATE(YEAR($C1039),MONTH($C1039),1))</f>
        <v/>
      </c>
      <c r="F1039">
        <f>IF($C1039="","",YEAR($C1039)&amp;"-Q"&amp;ROUNDUP(MONTH($C1039)/3,0))</f>
        <v/>
      </c>
      <c r="L1039">
        <f>IF($G1039&lt;&gt;"ALCOHOL","",IF($K1039="","",$H1039*IFERROR(VLOOKUP($K1039,Drink_Templates!$A:$G,7,FALSE),0)))</f>
        <v/>
      </c>
    </row>
    <row r="1040" ht="15" customHeight="1">
      <c r="C1040">
        <f>IF($B1040="","",INT($B1040))</f>
        <v/>
      </c>
      <c r="D1040">
        <f>IF($C1040="","",$C1040-WEEKDAY($C1040,2)+1)</f>
        <v/>
      </c>
      <c r="E1040">
        <f>IF($C1040="","",DATE(YEAR($C1040),MONTH($C1040),1))</f>
        <v/>
      </c>
      <c r="F1040">
        <f>IF($C1040="","",YEAR($C1040)&amp;"-Q"&amp;ROUNDUP(MONTH($C1040)/3,0))</f>
        <v/>
      </c>
      <c r="L1040">
        <f>IF($G1040&lt;&gt;"ALCOHOL","",IF($K1040="","",$H1040*IFERROR(VLOOKUP($K1040,Drink_Templates!$A:$G,7,FALSE),0)))</f>
        <v/>
      </c>
    </row>
    <row r="1041" ht="15" customHeight="1">
      <c r="C1041">
        <f>IF($B1041="","",INT($B1041))</f>
        <v/>
      </c>
      <c r="D1041">
        <f>IF($C1041="","",$C1041-WEEKDAY($C1041,2)+1)</f>
        <v/>
      </c>
      <c r="E1041">
        <f>IF($C1041="","",DATE(YEAR($C1041),MONTH($C1041),1))</f>
        <v/>
      </c>
      <c r="F1041">
        <f>IF($C1041="","",YEAR($C1041)&amp;"-Q"&amp;ROUNDUP(MONTH($C1041)/3,0))</f>
        <v/>
      </c>
      <c r="L1041">
        <f>IF($G1041&lt;&gt;"ALCOHOL","",IF($K1041="","",$H1041*IFERROR(VLOOKUP($K1041,Drink_Templates!$A:$G,7,FALSE),0)))</f>
        <v/>
      </c>
    </row>
    <row r="1042" ht="15" customHeight="1">
      <c r="C1042">
        <f>IF($B1042="","",INT($B1042))</f>
        <v/>
      </c>
      <c r="D1042">
        <f>IF($C1042="","",$C1042-WEEKDAY($C1042,2)+1)</f>
        <v/>
      </c>
      <c r="E1042">
        <f>IF($C1042="","",DATE(YEAR($C1042),MONTH($C1042),1))</f>
        <v/>
      </c>
      <c r="F1042">
        <f>IF($C1042="","",YEAR($C1042)&amp;"-Q"&amp;ROUNDUP(MONTH($C1042)/3,0))</f>
        <v/>
      </c>
      <c r="L1042">
        <f>IF($G1042&lt;&gt;"ALCOHOL","",IF($K1042="","",$H1042*IFERROR(VLOOKUP($K1042,Drink_Templates!$A:$G,7,FALSE),0)))</f>
        <v/>
      </c>
    </row>
    <row r="1043" ht="15" customHeight="1">
      <c r="C1043">
        <f>IF($B1043="","",INT($B1043))</f>
        <v/>
      </c>
      <c r="D1043">
        <f>IF($C1043="","",$C1043-WEEKDAY($C1043,2)+1)</f>
        <v/>
      </c>
      <c r="E1043">
        <f>IF($C1043="","",DATE(YEAR($C1043),MONTH($C1043),1))</f>
        <v/>
      </c>
      <c r="F1043">
        <f>IF($C1043="","",YEAR($C1043)&amp;"-Q"&amp;ROUNDUP(MONTH($C1043)/3,0))</f>
        <v/>
      </c>
      <c r="L1043">
        <f>IF($G1043&lt;&gt;"ALCOHOL","",IF($K1043="","",$H1043*IFERROR(VLOOKUP($K1043,Drink_Templates!$A:$G,7,FALSE),0)))</f>
        <v/>
      </c>
    </row>
    <row r="1044" ht="15" customHeight="1">
      <c r="C1044">
        <f>IF($B1044="","",INT($B1044))</f>
        <v/>
      </c>
      <c r="D1044">
        <f>IF($C1044="","",$C1044-WEEKDAY($C1044,2)+1)</f>
        <v/>
      </c>
      <c r="E1044">
        <f>IF($C1044="","",DATE(YEAR($C1044),MONTH($C1044),1))</f>
        <v/>
      </c>
      <c r="F1044">
        <f>IF($C1044="","",YEAR($C1044)&amp;"-Q"&amp;ROUNDUP(MONTH($C1044)/3,0))</f>
        <v/>
      </c>
      <c r="L1044">
        <f>IF($G1044&lt;&gt;"ALCOHOL","",IF($K1044="","",$H1044*IFERROR(VLOOKUP($K1044,Drink_Templates!$A:$G,7,FALSE),0)))</f>
        <v/>
      </c>
    </row>
    <row r="1045" ht="15" customHeight="1">
      <c r="C1045">
        <f>IF($B1045="","",INT($B1045))</f>
        <v/>
      </c>
      <c r="D1045">
        <f>IF($C1045="","",$C1045-WEEKDAY($C1045,2)+1)</f>
        <v/>
      </c>
      <c r="E1045">
        <f>IF($C1045="","",DATE(YEAR($C1045),MONTH($C1045),1))</f>
        <v/>
      </c>
      <c r="F1045">
        <f>IF($C1045="","",YEAR($C1045)&amp;"-Q"&amp;ROUNDUP(MONTH($C1045)/3,0))</f>
        <v/>
      </c>
      <c r="L1045">
        <f>IF($G1045&lt;&gt;"ALCOHOL","",IF($K1045="","",$H1045*IFERROR(VLOOKUP($K1045,Drink_Templates!$A:$G,7,FALSE),0)))</f>
        <v/>
      </c>
    </row>
    <row r="1046" ht="15" customHeight="1">
      <c r="C1046">
        <f>IF($B1046="","",INT($B1046))</f>
        <v/>
      </c>
      <c r="D1046">
        <f>IF($C1046="","",$C1046-WEEKDAY($C1046,2)+1)</f>
        <v/>
      </c>
      <c r="E1046">
        <f>IF($C1046="","",DATE(YEAR($C1046),MONTH($C1046),1))</f>
        <v/>
      </c>
      <c r="F1046">
        <f>IF($C1046="","",YEAR($C1046)&amp;"-Q"&amp;ROUNDUP(MONTH($C1046)/3,0))</f>
        <v/>
      </c>
      <c r="L1046">
        <f>IF($G1046&lt;&gt;"ALCOHOL","",IF($K1046="","",$H1046*IFERROR(VLOOKUP($K1046,Drink_Templates!$A:$G,7,FALSE),0)))</f>
        <v/>
      </c>
    </row>
    <row r="1047" ht="15" customHeight="1">
      <c r="C1047">
        <f>IF($B1047="","",INT($B1047))</f>
        <v/>
      </c>
      <c r="D1047">
        <f>IF($C1047="","",$C1047-WEEKDAY($C1047,2)+1)</f>
        <v/>
      </c>
      <c r="E1047">
        <f>IF($C1047="","",DATE(YEAR($C1047),MONTH($C1047),1))</f>
        <v/>
      </c>
      <c r="F1047">
        <f>IF($C1047="","",YEAR($C1047)&amp;"-Q"&amp;ROUNDUP(MONTH($C1047)/3,0))</f>
        <v/>
      </c>
      <c r="L1047">
        <f>IF($G1047&lt;&gt;"ALCOHOL","",IF($K1047="","",$H1047*IFERROR(VLOOKUP($K1047,Drink_Templates!$A:$G,7,FALSE),0)))</f>
        <v/>
      </c>
    </row>
    <row r="1048" ht="15" customHeight="1">
      <c r="C1048">
        <f>IF($B1048="","",INT($B1048))</f>
        <v/>
      </c>
      <c r="D1048">
        <f>IF($C1048="","",$C1048-WEEKDAY($C1048,2)+1)</f>
        <v/>
      </c>
      <c r="E1048">
        <f>IF($C1048="","",DATE(YEAR($C1048),MONTH($C1048),1))</f>
        <v/>
      </c>
      <c r="F1048">
        <f>IF($C1048="","",YEAR($C1048)&amp;"-Q"&amp;ROUNDUP(MONTH($C1048)/3,0))</f>
        <v/>
      </c>
      <c r="L1048">
        <f>IF($G1048&lt;&gt;"ALCOHOL","",IF($K1048="","",$H1048*IFERROR(VLOOKUP($K1048,Drink_Templates!$A:$G,7,FALSE),0)))</f>
        <v/>
      </c>
    </row>
    <row r="1049" ht="15" customHeight="1">
      <c r="C1049">
        <f>IF($B1049="","",INT($B1049))</f>
        <v/>
      </c>
      <c r="D1049">
        <f>IF($C1049="","",$C1049-WEEKDAY($C1049,2)+1)</f>
        <v/>
      </c>
      <c r="E1049">
        <f>IF($C1049="","",DATE(YEAR($C1049),MONTH($C1049),1))</f>
        <v/>
      </c>
      <c r="F1049">
        <f>IF($C1049="","",YEAR($C1049)&amp;"-Q"&amp;ROUNDUP(MONTH($C1049)/3,0))</f>
        <v/>
      </c>
      <c r="L1049">
        <f>IF($G1049&lt;&gt;"ALCOHOL","",IF($K1049="","",$H1049*IFERROR(VLOOKUP($K1049,Drink_Templates!$A:$G,7,FALSE),0)))</f>
        <v/>
      </c>
    </row>
    <row r="1050" ht="15" customHeight="1">
      <c r="C1050">
        <f>IF($B1050="","",INT($B1050))</f>
        <v/>
      </c>
      <c r="D1050">
        <f>IF($C1050="","",$C1050-WEEKDAY($C1050,2)+1)</f>
        <v/>
      </c>
      <c r="E1050">
        <f>IF($C1050="","",DATE(YEAR($C1050),MONTH($C1050),1))</f>
        <v/>
      </c>
      <c r="F1050">
        <f>IF($C1050="","",YEAR($C1050)&amp;"-Q"&amp;ROUNDUP(MONTH($C1050)/3,0))</f>
        <v/>
      </c>
      <c r="L1050">
        <f>IF($G1050&lt;&gt;"ALCOHOL","",IF($K1050="","",$H1050*IFERROR(VLOOKUP($K1050,Drink_Templates!$A:$G,7,FALSE),0)))</f>
        <v/>
      </c>
    </row>
    <row r="1051" ht="15" customHeight="1">
      <c r="C1051">
        <f>IF($B1051="","",INT($B1051))</f>
        <v/>
      </c>
      <c r="D1051">
        <f>IF($C1051="","",$C1051-WEEKDAY($C1051,2)+1)</f>
        <v/>
      </c>
      <c r="E1051">
        <f>IF($C1051="","",DATE(YEAR($C1051),MONTH($C1051),1))</f>
        <v/>
      </c>
      <c r="F1051">
        <f>IF($C1051="","",YEAR($C1051)&amp;"-Q"&amp;ROUNDUP(MONTH($C1051)/3,0))</f>
        <v/>
      </c>
      <c r="L1051">
        <f>IF($G1051&lt;&gt;"ALCOHOL","",IF($K1051="","",$H1051*IFERROR(VLOOKUP($K1051,Drink_Templates!$A:$G,7,FALSE),0)))</f>
        <v/>
      </c>
    </row>
    <row r="1052" ht="15" customHeight="1">
      <c r="C1052">
        <f>IF($B1052="","",INT($B1052))</f>
        <v/>
      </c>
      <c r="D1052">
        <f>IF($C1052="","",$C1052-WEEKDAY($C1052,2)+1)</f>
        <v/>
      </c>
      <c r="E1052">
        <f>IF($C1052="","",DATE(YEAR($C1052),MONTH($C1052),1))</f>
        <v/>
      </c>
      <c r="F1052">
        <f>IF($C1052="","",YEAR($C1052)&amp;"-Q"&amp;ROUNDUP(MONTH($C1052)/3,0))</f>
        <v/>
      </c>
      <c r="L1052">
        <f>IF($G1052&lt;&gt;"ALCOHOL","",IF($K1052="","",$H1052*IFERROR(VLOOKUP($K1052,Drink_Templates!$A:$G,7,FALSE),0)))</f>
        <v/>
      </c>
    </row>
    <row r="1053" ht="15" customHeight="1">
      <c r="C1053">
        <f>IF($B1053="","",INT($B1053))</f>
        <v/>
      </c>
      <c r="D1053">
        <f>IF($C1053="","",$C1053-WEEKDAY($C1053,2)+1)</f>
        <v/>
      </c>
      <c r="E1053">
        <f>IF($C1053="","",DATE(YEAR($C1053),MONTH($C1053),1))</f>
        <v/>
      </c>
      <c r="F1053">
        <f>IF($C1053="","",YEAR($C1053)&amp;"-Q"&amp;ROUNDUP(MONTH($C1053)/3,0))</f>
        <v/>
      </c>
      <c r="L1053">
        <f>IF($G1053&lt;&gt;"ALCOHOL","",IF($K1053="","",$H1053*IFERROR(VLOOKUP($K1053,Drink_Templates!$A:$G,7,FALSE),0)))</f>
        <v/>
      </c>
    </row>
    <row r="1054" ht="15" customHeight="1">
      <c r="C1054">
        <f>IF($B1054="","",INT($B1054))</f>
        <v/>
      </c>
      <c r="D1054">
        <f>IF($C1054="","",$C1054-WEEKDAY($C1054,2)+1)</f>
        <v/>
      </c>
      <c r="E1054">
        <f>IF($C1054="","",DATE(YEAR($C1054),MONTH($C1054),1))</f>
        <v/>
      </c>
      <c r="F1054">
        <f>IF($C1054="","",YEAR($C1054)&amp;"-Q"&amp;ROUNDUP(MONTH($C1054)/3,0))</f>
        <v/>
      </c>
      <c r="L1054">
        <f>IF($G1054&lt;&gt;"ALCOHOL","",IF($K1054="","",$H1054*IFERROR(VLOOKUP($K1054,Drink_Templates!$A:$G,7,FALSE),0)))</f>
        <v/>
      </c>
    </row>
    <row r="1055" ht="15" customHeight="1">
      <c r="C1055">
        <f>IF($B1055="","",INT($B1055))</f>
        <v/>
      </c>
      <c r="D1055">
        <f>IF($C1055="","",$C1055-WEEKDAY($C1055,2)+1)</f>
        <v/>
      </c>
      <c r="E1055">
        <f>IF($C1055="","",DATE(YEAR($C1055),MONTH($C1055),1))</f>
        <v/>
      </c>
      <c r="F1055">
        <f>IF($C1055="","",YEAR($C1055)&amp;"-Q"&amp;ROUNDUP(MONTH($C1055)/3,0))</f>
        <v/>
      </c>
      <c r="L1055">
        <f>IF($G1055&lt;&gt;"ALCOHOL","",IF($K1055="","",$H1055*IFERROR(VLOOKUP($K1055,Drink_Templates!$A:$G,7,FALSE),0)))</f>
        <v/>
      </c>
    </row>
    <row r="1056" ht="15" customHeight="1">
      <c r="C1056">
        <f>IF($B1056="","",INT($B1056))</f>
        <v/>
      </c>
      <c r="D1056">
        <f>IF($C1056="","",$C1056-WEEKDAY($C1056,2)+1)</f>
        <v/>
      </c>
      <c r="E1056">
        <f>IF($C1056="","",DATE(YEAR($C1056),MONTH($C1056),1))</f>
        <v/>
      </c>
      <c r="F1056">
        <f>IF($C1056="","",YEAR($C1056)&amp;"-Q"&amp;ROUNDUP(MONTH($C1056)/3,0))</f>
        <v/>
      </c>
      <c r="L1056">
        <f>IF($G1056&lt;&gt;"ALCOHOL","",IF($K1056="","",$H1056*IFERROR(VLOOKUP($K1056,Drink_Templates!$A:$G,7,FALSE),0)))</f>
        <v/>
      </c>
    </row>
    <row r="1057" ht="15" customHeight="1">
      <c r="C1057">
        <f>IF($B1057="","",INT($B1057))</f>
        <v/>
      </c>
      <c r="D1057">
        <f>IF($C1057="","",$C1057-WEEKDAY($C1057,2)+1)</f>
        <v/>
      </c>
      <c r="E1057">
        <f>IF($C1057="","",DATE(YEAR($C1057),MONTH($C1057),1))</f>
        <v/>
      </c>
      <c r="F1057">
        <f>IF($C1057="","",YEAR($C1057)&amp;"-Q"&amp;ROUNDUP(MONTH($C1057)/3,0))</f>
        <v/>
      </c>
      <c r="L1057">
        <f>IF($G1057&lt;&gt;"ALCOHOL","",IF($K1057="","",$H1057*IFERROR(VLOOKUP($K1057,Drink_Templates!$A:$G,7,FALSE),0)))</f>
        <v/>
      </c>
    </row>
    <row r="1058" ht="15" customHeight="1">
      <c r="C1058">
        <f>IF($B1058="","",INT($B1058))</f>
        <v/>
      </c>
      <c r="D1058">
        <f>IF($C1058="","",$C1058-WEEKDAY($C1058,2)+1)</f>
        <v/>
      </c>
      <c r="E1058">
        <f>IF($C1058="","",DATE(YEAR($C1058),MONTH($C1058),1))</f>
        <v/>
      </c>
      <c r="F1058">
        <f>IF($C1058="","",YEAR($C1058)&amp;"-Q"&amp;ROUNDUP(MONTH($C1058)/3,0))</f>
        <v/>
      </c>
      <c r="L1058">
        <f>IF($G1058&lt;&gt;"ALCOHOL","",IF($K1058="","",$H1058*IFERROR(VLOOKUP($K1058,Drink_Templates!$A:$G,7,FALSE),0)))</f>
        <v/>
      </c>
    </row>
    <row r="1059" ht="15" customHeight="1">
      <c r="C1059">
        <f>IF($B1059="","",INT($B1059))</f>
        <v/>
      </c>
      <c r="D1059">
        <f>IF($C1059="","",$C1059-WEEKDAY($C1059,2)+1)</f>
        <v/>
      </c>
      <c r="E1059">
        <f>IF($C1059="","",DATE(YEAR($C1059),MONTH($C1059),1))</f>
        <v/>
      </c>
      <c r="F1059">
        <f>IF($C1059="","",YEAR($C1059)&amp;"-Q"&amp;ROUNDUP(MONTH($C1059)/3,0))</f>
        <v/>
      </c>
      <c r="L1059">
        <f>IF($G1059&lt;&gt;"ALCOHOL","",IF($K1059="","",$H1059*IFERROR(VLOOKUP($K1059,Drink_Templates!$A:$G,7,FALSE),0)))</f>
        <v/>
      </c>
    </row>
    <row r="1060" ht="15" customHeight="1">
      <c r="C1060">
        <f>IF($B1060="","",INT($B1060))</f>
        <v/>
      </c>
      <c r="D1060">
        <f>IF($C1060="","",$C1060-WEEKDAY($C1060,2)+1)</f>
        <v/>
      </c>
      <c r="E1060">
        <f>IF($C1060="","",DATE(YEAR($C1060),MONTH($C1060),1))</f>
        <v/>
      </c>
      <c r="F1060">
        <f>IF($C1060="","",YEAR($C1060)&amp;"-Q"&amp;ROUNDUP(MONTH($C1060)/3,0))</f>
        <v/>
      </c>
      <c r="L1060">
        <f>IF($G1060&lt;&gt;"ALCOHOL","",IF($K1060="","",$H1060*IFERROR(VLOOKUP($K1060,Drink_Templates!$A:$G,7,FALSE),0)))</f>
        <v/>
      </c>
    </row>
    <row r="1061" ht="15" customHeight="1">
      <c r="C1061">
        <f>IF($B1061="","",INT($B1061))</f>
        <v/>
      </c>
      <c r="D1061">
        <f>IF($C1061="","",$C1061-WEEKDAY($C1061,2)+1)</f>
        <v/>
      </c>
      <c r="E1061">
        <f>IF($C1061="","",DATE(YEAR($C1061),MONTH($C1061),1))</f>
        <v/>
      </c>
      <c r="F1061">
        <f>IF($C1061="","",YEAR($C1061)&amp;"-Q"&amp;ROUNDUP(MONTH($C1061)/3,0))</f>
        <v/>
      </c>
      <c r="L1061">
        <f>IF($G1061&lt;&gt;"ALCOHOL","",IF($K1061="","",$H1061*IFERROR(VLOOKUP($K1061,Drink_Templates!$A:$G,7,FALSE),0)))</f>
        <v/>
      </c>
    </row>
    <row r="1062" ht="15" customHeight="1">
      <c r="C1062">
        <f>IF($B1062="","",INT($B1062))</f>
        <v/>
      </c>
      <c r="D1062">
        <f>IF($C1062="","",$C1062-WEEKDAY($C1062,2)+1)</f>
        <v/>
      </c>
      <c r="E1062">
        <f>IF($C1062="","",DATE(YEAR($C1062),MONTH($C1062),1))</f>
        <v/>
      </c>
      <c r="F1062">
        <f>IF($C1062="","",YEAR($C1062)&amp;"-Q"&amp;ROUNDUP(MONTH($C1062)/3,0))</f>
        <v/>
      </c>
      <c r="L1062">
        <f>IF($G1062&lt;&gt;"ALCOHOL","",IF($K1062="","",$H1062*IFERROR(VLOOKUP($K1062,Drink_Templates!$A:$G,7,FALSE),0)))</f>
        <v/>
      </c>
    </row>
    <row r="1063" ht="15" customHeight="1">
      <c r="C1063">
        <f>IF($B1063="","",INT($B1063))</f>
        <v/>
      </c>
      <c r="D1063">
        <f>IF($C1063="","",$C1063-WEEKDAY($C1063,2)+1)</f>
        <v/>
      </c>
      <c r="E1063">
        <f>IF($C1063="","",DATE(YEAR($C1063),MONTH($C1063),1))</f>
        <v/>
      </c>
      <c r="F1063">
        <f>IF($C1063="","",YEAR($C1063)&amp;"-Q"&amp;ROUNDUP(MONTH($C1063)/3,0))</f>
        <v/>
      </c>
      <c r="L1063">
        <f>IF($G1063&lt;&gt;"ALCOHOL","",IF($K1063="","",$H1063*IFERROR(VLOOKUP($K1063,Drink_Templates!$A:$G,7,FALSE),0)))</f>
        <v/>
      </c>
    </row>
    <row r="1064" ht="15" customHeight="1">
      <c r="C1064">
        <f>IF($B1064="","",INT($B1064))</f>
        <v/>
      </c>
      <c r="D1064">
        <f>IF($C1064="","",$C1064-WEEKDAY($C1064,2)+1)</f>
        <v/>
      </c>
      <c r="E1064">
        <f>IF($C1064="","",DATE(YEAR($C1064),MONTH($C1064),1))</f>
        <v/>
      </c>
      <c r="F1064">
        <f>IF($C1064="","",YEAR($C1064)&amp;"-Q"&amp;ROUNDUP(MONTH($C1064)/3,0))</f>
        <v/>
      </c>
      <c r="L1064">
        <f>IF($G1064&lt;&gt;"ALCOHOL","",IF($K1064="","",$H1064*IFERROR(VLOOKUP($K1064,Drink_Templates!$A:$G,7,FALSE),0)))</f>
        <v/>
      </c>
    </row>
    <row r="1065" ht="15" customHeight="1">
      <c r="C1065">
        <f>IF($B1065="","",INT($B1065))</f>
        <v/>
      </c>
      <c r="D1065">
        <f>IF($C1065="","",$C1065-WEEKDAY($C1065,2)+1)</f>
        <v/>
      </c>
      <c r="E1065">
        <f>IF($C1065="","",DATE(YEAR($C1065),MONTH($C1065),1))</f>
        <v/>
      </c>
      <c r="F1065">
        <f>IF($C1065="","",YEAR($C1065)&amp;"-Q"&amp;ROUNDUP(MONTH($C1065)/3,0))</f>
        <v/>
      </c>
      <c r="L1065">
        <f>IF($G1065&lt;&gt;"ALCOHOL","",IF($K1065="","",$H1065*IFERROR(VLOOKUP($K1065,Drink_Templates!$A:$G,7,FALSE),0)))</f>
        <v/>
      </c>
    </row>
    <row r="1066" ht="15" customHeight="1">
      <c r="C1066">
        <f>IF($B1066="","",INT($B1066))</f>
        <v/>
      </c>
      <c r="D1066">
        <f>IF($C1066="","",$C1066-WEEKDAY($C1066,2)+1)</f>
        <v/>
      </c>
      <c r="E1066">
        <f>IF($C1066="","",DATE(YEAR($C1066),MONTH($C1066),1))</f>
        <v/>
      </c>
      <c r="F1066">
        <f>IF($C1066="","",YEAR($C1066)&amp;"-Q"&amp;ROUNDUP(MONTH($C1066)/3,0))</f>
        <v/>
      </c>
      <c r="L1066">
        <f>IF($G1066&lt;&gt;"ALCOHOL","",IF($K1066="","",$H1066*IFERROR(VLOOKUP($K1066,Drink_Templates!$A:$G,7,FALSE),0)))</f>
        <v/>
      </c>
    </row>
    <row r="1067" ht="15" customHeight="1">
      <c r="C1067">
        <f>IF($B1067="","",INT($B1067))</f>
        <v/>
      </c>
      <c r="D1067">
        <f>IF($C1067="","",$C1067-WEEKDAY($C1067,2)+1)</f>
        <v/>
      </c>
      <c r="E1067">
        <f>IF($C1067="","",DATE(YEAR($C1067),MONTH($C1067),1))</f>
        <v/>
      </c>
      <c r="F1067">
        <f>IF($C1067="","",YEAR($C1067)&amp;"-Q"&amp;ROUNDUP(MONTH($C1067)/3,0))</f>
        <v/>
      </c>
      <c r="L1067">
        <f>IF($G1067&lt;&gt;"ALCOHOL","",IF($K1067="","",$H1067*IFERROR(VLOOKUP($K1067,Drink_Templates!$A:$G,7,FALSE),0)))</f>
        <v/>
      </c>
    </row>
    <row r="1068" ht="15" customHeight="1">
      <c r="C1068">
        <f>IF($B1068="","",INT($B1068))</f>
        <v/>
      </c>
      <c r="D1068">
        <f>IF($C1068="","",$C1068-WEEKDAY($C1068,2)+1)</f>
        <v/>
      </c>
      <c r="E1068">
        <f>IF($C1068="","",DATE(YEAR($C1068),MONTH($C1068),1))</f>
        <v/>
      </c>
      <c r="F1068">
        <f>IF($C1068="","",YEAR($C1068)&amp;"-Q"&amp;ROUNDUP(MONTH($C1068)/3,0))</f>
        <v/>
      </c>
      <c r="L1068">
        <f>IF($G1068&lt;&gt;"ALCOHOL","",IF($K1068="","",$H1068*IFERROR(VLOOKUP($K1068,Drink_Templates!$A:$G,7,FALSE),0)))</f>
        <v/>
      </c>
    </row>
    <row r="1069" ht="15" customHeight="1">
      <c r="C1069">
        <f>IF($B1069="","",INT($B1069))</f>
        <v/>
      </c>
      <c r="D1069">
        <f>IF($C1069="","",$C1069-WEEKDAY($C1069,2)+1)</f>
        <v/>
      </c>
      <c r="E1069">
        <f>IF($C1069="","",DATE(YEAR($C1069),MONTH($C1069),1))</f>
        <v/>
      </c>
      <c r="F1069">
        <f>IF($C1069="","",YEAR($C1069)&amp;"-Q"&amp;ROUNDUP(MONTH($C1069)/3,0))</f>
        <v/>
      </c>
      <c r="L1069">
        <f>IF($G1069&lt;&gt;"ALCOHOL","",IF($K1069="","",$H1069*IFERROR(VLOOKUP($K1069,Drink_Templates!$A:$G,7,FALSE),0)))</f>
        <v/>
      </c>
    </row>
    <row r="1070" ht="15" customHeight="1">
      <c r="C1070">
        <f>IF($B1070="","",INT($B1070))</f>
        <v/>
      </c>
      <c r="D1070">
        <f>IF($C1070="","",$C1070-WEEKDAY($C1070,2)+1)</f>
        <v/>
      </c>
      <c r="E1070">
        <f>IF($C1070="","",DATE(YEAR($C1070),MONTH($C1070),1))</f>
        <v/>
      </c>
      <c r="F1070">
        <f>IF($C1070="","",YEAR($C1070)&amp;"-Q"&amp;ROUNDUP(MONTH($C1070)/3,0))</f>
        <v/>
      </c>
      <c r="L1070">
        <f>IF($G1070&lt;&gt;"ALCOHOL","",IF($K1070="","",$H1070*IFERROR(VLOOKUP($K1070,Drink_Templates!$A:$G,7,FALSE),0)))</f>
        <v/>
      </c>
    </row>
    <row r="1071" ht="15" customHeight="1">
      <c r="C1071">
        <f>IF($B1071="","",INT($B1071))</f>
        <v/>
      </c>
      <c r="D1071">
        <f>IF($C1071="","",$C1071-WEEKDAY($C1071,2)+1)</f>
        <v/>
      </c>
      <c r="E1071">
        <f>IF($C1071="","",DATE(YEAR($C1071),MONTH($C1071),1))</f>
        <v/>
      </c>
      <c r="F1071">
        <f>IF($C1071="","",YEAR($C1071)&amp;"-Q"&amp;ROUNDUP(MONTH($C1071)/3,0))</f>
        <v/>
      </c>
      <c r="L1071">
        <f>IF($G1071&lt;&gt;"ALCOHOL","",IF($K1071="","",$H1071*IFERROR(VLOOKUP($K1071,Drink_Templates!$A:$G,7,FALSE),0)))</f>
        <v/>
      </c>
    </row>
    <row r="1072" ht="15" customHeight="1">
      <c r="C1072">
        <f>IF($B1072="","",INT($B1072))</f>
        <v/>
      </c>
      <c r="D1072">
        <f>IF($C1072="","",$C1072-WEEKDAY($C1072,2)+1)</f>
        <v/>
      </c>
      <c r="E1072">
        <f>IF($C1072="","",DATE(YEAR($C1072),MONTH($C1072),1))</f>
        <v/>
      </c>
      <c r="F1072">
        <f>IF($C1072="","",YEAR($C1072)&amp;"-Q"&amp;ROUNDUP(MONTH($C1072)/3,0))</f>
        <v/>
      </c>
      <c r="L1072">
        <f>IF($G1072&lt;&gt;"ALCOHOL","",IF($K1072="","",$H1072*IFERROR(VLOOKUP($K1072,Drink_Templates!$A:$G,7,FALSE),0)))</f>
        <v/>
      </c>
    </row>
    <row r="1073" ht="15" customHeight="1">
      <c r="C1073">
        <f>IF($B1073="","",INT($B1073))</f>
        <v/>
      </c>
      <c r="D1073">
        <f>IF($C1073="","",$C1073-WEEKDAY($C1073,2)+1)</f>
        <v/>
      </c>
      <c r="E1073">
        <f>IF($C1073="","",DATE(YEAR($C1073),MONTH($C1073),1))</f>
        <v/>
      </c>
      <c r="F1073">
        <f>IF($C1073="","",YEAR($C1073)&amp;"-Q"&amp;ROUNDUP(MONTH($C1073)/3,0))</f>
        <v/>
      </c>
      <c r="L1073">
        <f>IF($G1073&lt;&gt;"ALCOHOL","",IF($K1073="","",$H1073*IFERROR(VLOOKUP($K1073,Drink_Templates!$A:$G,7,FALSE),0)))</f>
        <v/>
      </c>
    </row>
    <row r="1074" ht="15" customHeight="1">
      <c r="C1074">
        <f>IF($B1074="","",INT($B1074))</f>
        <v/>
      </c>
      <c r="D1074">
        <f>IF($C1074="","",$C1074-WEEKDAY($C1074,2)+1)</f>
        <v/>
      </c>
      <c r="E1074">
        <f>IF($C1074="","",DATE(YEAR($C1074),MONTH($C1074),1))</f>
        <v/>
      </c>
      <c r="F1074">
        <f>IF($C1074="","",YEAR($C1074)&amp;"-Q"&amp;ROUNDUP(MONTH($C1074)/3,0))</f>
        <v/>
      </c>
      <c r="L1074">
        <f>IF($G1074&lt;&gt;"ALCOHOL","",IF($K1074="","",$H1074*IFERROR(VLOOKUP($K1074,Drink_Templates!$A:$G,7,FALSE),0)))</f>
        <v/>
      </c>
    </row>
    <row r="1075" ht="15" customHeight="1">
      <c r="C1075">
        <f>IF($B1075="","",INT($B1075))</f>
        <v/>
      </c>
      <c r="D1075">
        <f>IF($C1075="","",$C1075-WEEKDAY($C1075,2)+1)</f>
        <v/>
      </c>
      <c r="E1075">
        <f>IF($C1075="","",DATE(YEAR($C1075),MONTH($C1075),1))</f>
        <v/>
      </c>
      <c r="F1075">
        <f>IF($C1075="","",YEAR($C1075)&amp;"-Q"&amp;ROUNDUP(MONTH($C1075)/3,0))</f>
        <v/>
      </c>
      <c r="L1075">
        <f>IF($G1075&lt;&gt;"ALCOHOL","",IF($K1075="","",$H1075*IFERROR(VLOOKUP($K1075,Drink_Templates!$A:$G,7,FALSE),0)))</f>
        <v/>
      </c>
    </row>
    <row r="1076" ht="15" customHeight="1">
      <c r="C1076">
        <f>IF($B1076="","",INT($B1076))</f>
        <v/>
      </c>
      <c r="D1076">
        <f>IF($C1076="","",$C1076-WEEKDAY($C1076,2)+1)</f>
        <v/>
      </c>
      <c r="E1076">
        <f>IF($C1076="","",DATE(YEAR($C1076),MONTH($C1076),1))</f>
        <v/>
      </c>
      <c r="F1076">
        <f>IF($C1076="","",YEAR($C1076)&amp;"-Q"&amp;ROUNDUP(MONTH($C1076)/3,0))</f>
        <v/>
      </c>
      <c r="L1076">
        <f>IF($G1076&lt;&gt;"ALCOHOL","",IF($K1076="","",$H1076*IFERROR(VLOOKUP($K1076,Drink_Templates!$A:$G,7,FALSE),0)))</f>
        <v/>
      </c>
    </row>
    <row r="1077" ht="15" customHeight="1">
      <c r="C1077">
        <f>IF($B1077="","",INT($B1077))</f>
        <v/>
      </c>
      <c r="D1077">
        <f>IF($C1077="","",$C1077-WEEKDAY($C1077,2)+1)</f>
        <v/>
      </c>
      <c r="E1077">
        <f>IF($C1077="","",DATE(YEAR($C1077),MONTH($C1077),1))</f>
        <v/>
      </c>
      <c r="F1077">
        <f>IF($C1077="","",YEAR($C1077)&amp;"-Q"&amp;ROUNDUP(MONTH($C1077)/3,0))</f>
        <v/>
      </c>
      <c r="L1077">
        <f>IF($G1077&lt;&gt;"ALCOHOL","",IF($K1077="","",$H1077*IFERROR(VLOOKUP($K1077,Drink_Templates!$A:$G,7,FALSE),0)))</f>
        <v/>
      </c>
    </row>
    <row r="1078" ht="15" customHeight="1">
      <c r="C1078">
        <f>IF($B1078="","",INT($B1078))</f>
        <v/>
      </c>
      <c r="D1078">
        <f>IF($C1078="","",$C1078-WEEKDAY($C1078,2)+1)</f>
        <v/>
      </c>
      <c r="E1078">
        <f>IF($C1078="","",DATE(YEAR($C1078),MONTH($C1078),1))</f>
        <v/>
      </c>
      <c r="F1078">
        <f>IF($C1078="","",YEAR($C1078)&amp;"-Q"&amp;ROUNDUP(MONTH($C1078)/3,0))</f>
        <v/>
      </c>
      <c r="L1078">
        <f>IF($G1078&lt;&gt;"ALCOHOL","",IF($K1078="","",$H1078*IFERROR(VLOOKUP($K1078,Drink_Templates!$A:$G,7,FALSE),0)))</f>
        <v/>
      </c>
    </row>
    <row r="1079" ht="15" customHeight="1">
      <c r="C1079">
        <f>IF($B1079="","",INT($B1079))</f>
        <v/>
      </c>
      <c r="D1079">
        <f>IF($C1079="","",$C1079-WEEKDAY($C1079,2)+1)</f>
        <v/>
      </c>
      <c r="E1079">
        <f>IF($C1079="","",DATE(YEAR($C1079),MONTH($C1079),1))</f>
        <v/>
      </c>
      <c r="F1079">
        <f>IF($C1079="","",YEAR($C1079)&amp;"-Q"&amp;ROUNDUP(MONTH($C1079)/3,0))</f>
        <v/>
      </c>
      <c r="L1079">
        <f>IF($G1079&lt;&gt;"ALCOHOL","",IF($K1079="","",$H1079*IFERROR(VLOOKUP($K1079,Drink_Templates!$A:$G,7,FALSE),0)))</f>
        <v/>
      </c>
    </row>
    <row r="1080" ht="15" customHeight="1">
      <c r="C1080">
        <f>IF($B1080="","",INT($B1080))</f>
        <v/>
      </c>
      <c r="D1080">
        <f>IF($C1080="","",$C1080-WEEKDAY($C1080,2)+1)</f>
        <v/>
      </c>
      <c r="E1080">
        <f>IF($C1080="","",DATE(YEAR($C1080),MONTH($C1080),1))</f>
        <v/>
      </c>
      <c r="F1080">
        <f>IF($C1080="","",YEAR($C1080)&amp;"-Q"&amp;ROUNDUP(MONTH($C1080)/3,0))</f>
        <v/>
      </c>
      <c r="L1080">
        <f>IF($G1080&lt;&gt;"ALCOHOL","",IF($K1080="","",$H1080*IFERROR(VLOOKUP($K1080,Drink_Templates!$A:$G,7,FALSE),0)))</f>
        <v/>
      </c>
    </row>
    <row r="1081" ht="15" customHeight="1">
      <c r="C1081">
        <f>IF($B1081="","",INT($B1081))</f>
        <v/>
      </c>
      <c r="D1081">
        <f>IF($C1081="","",$C1081-WEEKDAY($C1081,2)+1)</f>
        <v/>
      </c>
      <c r="E1081">
        <f>IF($C1081="","",DATE(YEAR($C1081),MONTH($C1081),1))</f>
        <v/>
      </c>
      <c r="F1081">
        <f>IF($C1081="","",YEAR($C1081)&amp;"-Q"&amp;ROUNDUP(MONTH($C1081)/3,0))</f>
        <v/>
      </c>
      <c r="L1081">
        <f>IF($G1081&lt;&gt;"ALCOHOL","",IF($K1081="","",$H1081*IFERROR(VLOOKUP($K1081,Drink_Templates!$A:$G,7,FALSE),0)))</f>
        <v/>
      </c>
    </row>
    <row r="1082" ht="15" customHeight="1">
      <c r="C1082">
        <f>IF($B1082="","",INT($B1082))</f>
        <v/>
      </c>
      <c r="D1082">
        <f>IF($C1082="","",$C1082-WEEKDAY($C1082,2)+1)</f>
        <v/>
      </c>
      <c r="E1082">
        <f>IF($C1082="","",DATE(YEAR($C1082),MONTH($C1082),1))</f>
        <v/>
      </c>
      <c r="F1082">
        <f>IF($C1082="","",YEAR($C1082)&amp;"-Q"&amp;ROUNDUP(MONTH($C1082)/3,0))</f>
        <v/>
      </c>
      <c r="L1082">
        <f>IF($G1082&lt;&gt;"ALCOHOL","",IF($K1082="","",$H1082*IFERROR(VLOOKUP($K1082,Drink_Templates!$A:$G,7,FALSE),0)))</f>
        <v/>
      </c>
    </row>
    <row r="1083" ht="15" customHeight="1">
      <c r="C1083">
        <f>IF($B1083="","",INT($B1083))</f>
        <v/>
      </c>
      <c r="D1083">
        <f>IF($C1083="","",$C1083-WEEKDAY($C1083,2)+1)</f>
        <v/>
      </c>
      <c r="E1083">
        <f>IF($C1083="","",DATE(YEAR($C1083),MONTH($C1083),1))</f>
        <v/>
      </c>
      <c r="F1083">
        <f>IF($C1083="","",YEAR($C1083)&amp;"-Q"&amp;ROUNDUP(MONTH($C1083)/3,0))</f>
        <v/>
      </c>
      <c r="L1083">
        <f>IF($G1083&lt;&gt;"ALCOHOL","",IF($K1083="","",$H1083*IFERROR(VLOOKUP($K1083,Drink_Templates!$A:$G,7,FALSE),0)))</f>
        <v/>
      </c>
    </row>
    <row r="1084" ht="15" customHeight="1">
      <c r="C1084">
        <f>IF($B1084="","",INT($B1084))</f>
        <v/>
      </c>
      <c r="D1084">
        <f>IF($C1084="","",$C1084-WEEKDAY($C1084,2)+1)</f>
        <v/>
      </c>
      <c r="E1084">
        <f>IF($C1084="","",DATE(YEAR($C1084),MONTH($C1084),1))</f>
        <v/>
      </c>
      <c r="F1084">
        <f>IF($C1084="","",YEAR($C1084)&amp;"-Q"&amp;ROUNDUP(MONTH($C1084)/3,0))</f>
        <v/>
      </c>
      <c r="L1084">
        <f>IF($G1084&lt;&gt;"ALCOHOL","",IF($K1084="","",$H1084*IFERROR(VLOOKUP($K1084,Drink_Templates!$A:$G,7,FALSE),0)))</f>
        <v/>
      </c>
    </row>
    <row r="1085" ht="15" customHeight="1">
      <c r="C1085">
        <f>IF($B1085="","",INT($B1085))</f>
        <v/>
      </c>
      <c r="D1085">
        <f>IF($C1085="","",$C1085-WEEKDAY($C1085,2)+1)</f>
        <v/>
      </c>
      <c r="E1085">
        <f>IF($C1085="","",DATE(YEAR($C1085),MONTH($C1085),1))</f>
        <v/>
      </c>
      <c r="F1085">
        <f>IF($C1085="","",YEAR($C1085)&amp;"-Q"&amp;ROUNDUP(MONTH($C1085)/3,0))</f>
        <v/>
      </c>
      <c r="L1085">
        <f>IF($G1085&lt;&gt;"ALCOHOL","",IF($K1085="","",$H1085*IFERROR(VLOOKUP($K1085,Drink_Templates!$A:$G,7,FALSE),0)))</f>
        <v/>
      </c>
    </row>
    <row r="1086" ht="15" customHeight="1">
      <c r="C1086">
        <f>IF($B1086="","",INT($B1086))</f>
        <v/>
      </c>
      <c r="D1086">
        <f>IF($C1086="","",$C1086-WEEKDAY($C1086,2)+1)</f>
        <v/>
      </c>
      <c r="E1086">
        <f>IF($C1086="","",DATE(YEAR($C1086),MONTH($C1086),1))</f>
        <v/>
      </c>
      <c r="F1086">
        <f>IF($C1086="","",YEAR($C1086)&amp;"-Q"&amp;ROUNDUP(MONTH($C1086)/3,0))</f>
        <v/>
      </c>
      <c r="L1086">
        <f>IF($G1086&lt;&gt;"ALCOHOL","",IF($K1086="","",$H1086*IFERROR(VLOOKUP($K1086,Drink_Templates!$A:$G,7,FALSE),0)))</f>
        <v/>
      </c>
    </row>
    <row r="1087" ht="15" customHeight="1">
      <c r="C1087">
        <f>IF($B1087="","",INT($B1087))</f>
        <v/>
      </c>
      <c r="D1087">
        <f>IF($C1087="","",$C1087-WEEKDAY($C1087,2)+1)</f>
        <v/>
      </c>
      <c r="E1087">
        <f>IF($C1087="","",DATE(YEAR($C1087),MONTH($C1087),1))</f>
        <v/>
      </c>
      <c r="F1087">
        <f>IF($C1087="","",YEAR($C1087)&amp;"-Q"&amp;ROUNDUP(MONTH($C1087)/3,0))</f>
        <v/>
      </c>
      <c r="L1087">
        <f>IF($G1087&lt;&gt;"ALCOHOL","",IF($K1087="","",$H1087*IFERROR(VLOOKUP($K1087,Drink_Templates!$A:$G,7,FALSE),0)))</f>
        <v/>
      </c>
    </row>
    <row r="1088" ht="15" customHeight="1">
      <c r="C1088">
        <f>IF($B1088="","",INT($B1088))</f>
        <v/>
      </c>
      <c r="D1088">
        <f>IF($C1088="","",$C1088-WEEKDAY($C1088,2)+1)</f>
        <v/>
      </c>
      <c r="E1088">
        <f>IF($C1088="","",DATE(YEAR($C1088),MONTH($C1088),1))</f>
        <v/>
      </c>
      <c r="F1088">
        <f>IF($C1088="","",YEAR($C1088)&amp;"-Q"&amp;ROUNDUP(MONTH($C1088)/3,0))</f>
        <v/>
      </c>
      <c r="L1088">
        <f>IF($G1088&lt;&gt;"ALCOHOL","",IF($K1088="","",$H1088*IFERROR(VLOOKUP($K1088,Drink_Templates!$A:$G,7,FALSE),0)))</f>
        <v/>
      </c>
    </row>
    <row r="1089" ht="15" customHeight="1">
      <c r="C1089">
        <f>IF($B1089="","",INT($B1089))</f>
        <v/>
      </c>
      <c r="D1089">
        <f>IF($C1089="","",$C1089-WEEKDAY($C1089,2)+1)</f>
        <v/>
      </c>
      <c r="E1089">
        <f>IF($C1089="","",DATE(YEAR($C1089),MONTH($C1089),1))</f>
        <v/>
      </c>
      <c r="F1089">
        <f>IF($C1089="","",YEAR($C1089)&amp;"-Q"&amp;ROUNDUP(MONTH($C1089)/3,0))</f>
        <v/>
      </c>
      <c r="L1089">
        <f>IF($G1089&lt;&gt;"ALCOHOL","",IF($K1089="","",$H1089*IFERROR(VLOOKUP($K1089,Drink_Templates!$A:$G,7,FALSE),0)))</f>
        <v/>
      </c>
    </row>
    <row r="1090" ht="15" customHeight="1">
      <c r="C1090">
        <f>IF($B1090="","",INT($B1090))</f>
        <v/>
      </c>
      <c r="D1090">
        <f>IF($C1090="","",$C1090-WEEKDAY($C1090,2)+1)</f>
        <v/>
      </c>
      <c r="E1090">
        <f>IF($C1090="","",DATE(YEAR($C1090),MONTH($C1090),1))</f>
        <v/>
      </c>
      <c r="F1090">
        <f>IF($C1090="","",YEAR($C1090)&amp;"-Q"&amp;ROUNDUP(MONTH($C1090)/3,0))</f>
        <v/>
      </c>
      <c r="L1090">
        <f>IF($G1090&lt;&gt;"ALCOHOL","",IF($K1090="","",$H1090*IFERROR(VLOOKUP($K1090,Drink_Templates!$A:$G,7,FALSE),0)))</f>
        <v/>
      </c>
    </row>
    <row r="1091" ht="15" customHeight="1">
      <c r="C1091">
        <f>IF($B1091="","",INT($B1091))</f>
        <v/>
      </c>
      <c r="D1091">
        <f>IF($C1091="","",$C1091-WEEKDAY($C1091,2)+1)</f>
        <v/>
      </c>
      <c r="E1091">
        <f>IF($C1091="","",DATE(YEAR($C1091),MONTH($C1091),1))</f>
        <v/>
      </c>
      <c r="F1091">
        <f>IF($C1091="","",YEAR($C1091)&amp;"-Q"&amp;ROUNDUP(MONTH($C1091)/3,0))</f>
        <v/>
      </c>
      <c r="L1091">
        <f>IF($G1091&lt;&gt;"ALCOHOL","",IF($K1091="","",$H1091*IFERROR(VLOOKUP($K1091,Drink_Templates!$A:$G,7,FALSE),0)))</f>
        <v/>
      </c>
    </row>
    <row r="1092" ht="15" customHeight="1">
      <c r="C1092">
        <f>IF($B1092="","",INT($B1092))</f>
        <v/>
      </c>
      <c r="D1092">
        <f>IF($C1092="","",$C1092-WEEKDAY($C1092,2)+1)</f>
        <v/>
      </c>
      <c r="E1092">
        <f>IF($C1092="","",DATE(YEAR($C1092),MONTH($C1092),1))</f>
        <v/>
      </c>
      <c r="F1092">
        <f>IF($C1092="","",YEAR($C1092)&amp;"-Q"&amp;ROUNDUP(MONTH($C1092)/3,0))</f>
        <v/>
      </c>
      <c r="L1092">
        <f>IF($G1092&lt;&gt;"ALCOHOL","",IF($K1092="","",$H1092*IFERROR(VLOOKUP($K1092,Drink_Templates!$A:$G,7,FALSE),0)))</f>
        <v/>
      </c>
    </row>
    <row r="1093" ht="15" customHeight="1">
      <c r="C1093">
        <f>IF($B1093="","",INT($B1093))</f>
        <v/>
      </c>
      <c r="D1093">
        <f>IF($C1093="","",$C1093-WEEKDAY($C1093,2)+1)</f>
        <v/>
      </c>
      <c r="E1093">
        <f>IF($C1093="","",DATE(YEAR($C1093),MONTH($C1093),1))</f>
        <v/>
      </c>
      <c r="F1093">
        <f>IF($C1093="","",YEAR($C1093)&amp;"-Q"&amp;ROUNDUP(MONTH($C1093)/3,0))</f>
        <v/>
      </c>
      <c r="L1093">
        <f>IF($G1093&lt;&gt;"ALCOHOL","",IF($K1093="","",$H1093*IFERROR(VLOOKUP($K1093,Drink_Templates!$A:$G,7,FALSE),0)))</f>
        <v/>
      </c>
    </row>
    <row r="1094" ht="15" customHeight="1">
      <c r="C1094">
        <f>IF($B1094="","",INT($B1094))</f>
        <v/>
      </c>
      <c r="D1094">
        <f>IF($C1094="","",$C1094-WEEKDAY($C1094,2)+1)</f>
        <v/>
      </c>
      <c r="E1094">
        <f>IF($C1094="","",DATE(YEAR($C1094),MONTH($C1094),1))</f>
        <v/>
      </c>
      <c r="F1094">
        <f>IF($C1094="","",YEAR($C1094)&amp;"-Q"&amp;ROUNDUP(MONTH($C1094)/3,0))</f>
        <v/>
      </c>
      <c r="L1094">
        <f>IF($G1094&lt;&gt;"ALCOHOL","",IF($K1094="","",$H1094*IFERROR(VLOOKUP($K1094,Drink_Templates!$A:$G,7,FALSE),0)))</f>
        <v/>
      </c>
    </row>
    <row r="1095" ht="15" customHeight="1">
      <c r="C1095">
        <f>IF($B1095="","",INT($B1095))</f>
        <v/>
      </c>
      <c r="D1095">
        <f>IF($C1095="","",$C1095-WEEKDAY($C1095,2)+1)</f>
        <v/>
      </c>
      <c r="E1095">
        <f>IF($C1095="","",DATE(YEAR($C1095),MONTH($C1095),1))</f>
        <v/>
      </c>
      <c r="F1095">
        <f>IF($C1095="","",YEAR($C1095)&amp;"-Q"&amp;ROUNDUP(MONTH($C1095)/3,0))</f>
        <v/>
      </c>
      <c r="L1095">
        <f>IF($G1095&lt;&gt;"ALCOHOL","",IF($K1095="","",$H1095*IFERROR(VLOOKUP($K1095,Drink_Templates!$A:$G,7,FALSE),0)))</f>
        <v/>
      </c>
    </row>
    <row r="1096" ht="15" customHeight="1">
      <c r="C1096">
        <f>IF($B1096="","",INT($B1096))</f>
        <v/>
      </c>
      <c r="D1096">
        <f>IF($C1096="","",$C1096-WEEKDAY($C1096,2)+1)</f>
        <v/>
      </c>
      <c r="E1096">
        <f>IF($C1096="","",DATE(YEAR($C1096),MONTH($C1096),1))</f>
        <v/>
      </c>
      <c r="F1096">
        <f>IF($C1096="","",YEAR($C1096)&amp;"-Q"&amp;ROUNDUP(MONTH($C1096)/3,0))</f>
        <v/>
      </c>
      <c r="L1096">
        <f>IF($G1096&lt;&gt;"ALCOHOL","",IF($K1096="","",$H1096*IFERROR(VLOOKUP($K1096,Drink_Templates!$A:$G,7,FALSE),0)))</f>
        <v/>
      </c>
    </row>
    <row r="1097" ht="15" customHeight="1">
      <c r="C1097">
        <f>IF($B1097="","",INT($B1097))</f>
        <v/>
      </c>
      <c r="D1097">
        <f>IF($C1097="","",$C1097-WEEKDAY($C1097,2)+1)</f>
        <v/>
      </c>
      <c r="E1097">
        <f>IF($C1097="","",DATE(YEAR($C1097),MONTH($C1097),1))</f>
        <v/>
      </c>
      <c r="F1097">
        <f>IF($C1097="","",YEAR($C1097)&amp;"-Q"&amp;ROUNDUP(MONTH($C1097)/3,0))</f>
        <v/>
      </c>
      <c r="L1097">
        <f>IF($G1097&lt;&gt;"ALCOHOL","",IF($K1097="","",$H1097*IFERROR(VLOOKUP($K1097,Drink_Templates!$A:$G,7,FALSE),0)))</f>
        <v/>
      </c>
    </row>
    <row r="1098" ht="15" customHeight="1">
      <c r="C1098">
        <f>IF($B1098="","",INT($B1098))</f>
        <v/>
      </c>
      <c r="D1098">
        <f>IF($C1098="","",$C1098-WEEKDAY($C1098,2)+1)</f>
        <v/>
      </c>
      <c r="E1098">
        <f>IF($C1098="","",DATE(YEAR($C1098),MONTH($C1098),1))</f>
        <v/>
      </c>
      <c r="F1098">
        <f>IF($C1098="","",YEAR($C1098)&amp;"-Q"&amp;ROUNDUP(MONTH($C1098)/3,0))</f>
        <v/>
      </c>
      <c r="L1098">
        <f>IF($G1098&lt;&gt;"ALCOHOL","",IF($K1098="","",$H1098*IFERROR(VLOOKUP($K1098,Drink_Templates!$A:$G,7,FALSE),0)))</f>
        <v/>
      </c>
    </row>
    <row r="1099" ht="15" customHeight="1">
      <c r="C1099">
        <f>IF($B1099="","",INT($B1099))</f>
        <v/>
      </c>
      <c r="D1099">
        <f>IF($C1099="","",$C1099-WEEKDAY($C1099,2)+1)</f>
        <v/>
      </c>
      <c r="E1099">
        <f>IF($C1099="","",DATE(YEAR($C1099),MONTH($C1099),1))</f>
        <v/>
      </c>
      <c r="F1099">
        <f>IF($C1099="","",YEAR($C1099)&amp;"-Q"&amp;ROUNDUP(MONTH($C1099)/3,0))</f>
        <v/>
      </c>
      <c r="L1099">
        <f>IF($G1099&lt;&gt;"ALCOHOL","",IF($K1099="","",$H1099*IFERROR(VLOOKUP($K1099,Drink_Templates!$A:$G,7,FALSE),0)))</f>
        <v/>
      </c>
    </row>
    <row r="1100" ht="15" customHeight="1">
      <c r="C1100">
        <f>IF($B1100="","",INT($B1100))</f>
        <v/>
      </c>
      <c r="D1100">
        <f>IF($C1100="","",$C1100-WEEKDAY($C1100,2)+1)</f>
        <v/>
      </c>
      <c r="E1100">
        <f>IF($C1100="","",DATE(YEAR($C1100),MONTH($C1100),1))</f>
        <v/>
      </c>
      <c r="F1100">
        <f>IF($C1100="","",YEAR($C1100)&amp;"-Q"&amp;ROUNDUP(MONTH($C1100)/3,0))</f>
        <v/>
      </c>
      <c r="L1100">
        <f>IF($G1100&lt;&gt;"ALCOHOL","",IF($K1100="","",$H1100*IFERROR(VLOOKUP($K1100,Drink_Templates!$A:$G,7,FALSE),0)))</f>
        <v/>
      </c>
    </row>
    <row r="1101" ht="15" customHeight="1">
      <c r="C1101">
        <f>IF($B1101="","",INT($B1101))</f>
        <v/>
      </c>
      <c r="D1101">
        <f>IF($C1101="","",$C1101-WEEKDAY($C1101,2)+1)</f>
        <v/>
      </c>
      <c r="E1101">
        <f>IF($C1101="","",DATE(YEAR($C1101),MONTH($C1101),1))</f>
        <v/>
      </c>
      <c r="F1101">
        <f>IF($C1101="","",YEAR($C1101)&amp;"-Q"&amp;ROUNDUP(MONTH($C1101)/3,0))</f>
        <v/>
      </c>
      <c r="L1101">
        <f>IF($G1101&lt;&gt;"ALCOHOL","",IF($K1101="","",$H1101*IFERROR(VLOOKUP($K1101,Drink_Templates!$A:$G,7,FALSE),0)))</f>
        <v/>
      </c>
    </row>
    <row r="1102" ht="15" customHeight="1">
      <c r="C1102">
        <f>IF($B1102="","",INT($B1102))</f>
        <v/>
      </c>
      <c r="D1102">
        <f>IF($C1102="","",$C1102-WEEKDAY($C1102,2)+1)</f>
        <v/>
      </c>
      <c r="E1102">
        <f>IF($C1102="","",DATE(YEAR($C1102),MONTH($C1102),1))</f>
        <v/>
      </c>
      <c r="F1102">
        <f>IF($C1102="","",YEAR($C1102)&amp;"-Q"&amp;ROUNDUP(MONTH($C1102)/3,0))</f>
        <v/>
      </c>
      <c r="L1102">
        <f>IF($G1102&lt;&gt;"ALCOHOL","",IF($K1102="","",$H1102*IFERROR(VLOOKUP($K1102,Drink_Templates!$A:$G,7,FALSE),0)))</f>
        <v/>
      </c>
    </row>
    <row r="1103" ht="15" customHeight="1">
      <c r="C1103">
        <f>IF($B1103="","",INT($B1103))</f>
        <v/>
      </c>
      <c r="D1103">
        <f>IF($C1103="","",$C1103-WEEKDAY($C1103,2)+1)</f>
        <v/>
      </c>
      <c r="E1103">
        <f>IF($C1103="","",DATE(YEAR($C1103),MONTH($C1103),1))</f>
        <v/>
      </c>
      <c r="F1103">
        <f>IF($C1103="","",YEAR($C1103)&amp;"-Q"&amp;ROUNDUP(MONTH($C1103)/3,0))</f>
        <v/>
      </c>
      <c r="L1103">
        <f>IF($G1103&lt;&gt;"ALCOHOL","",IF($K1103="","",$H1103*IFERROR(VLOOKUP($K1103,Drink_Templates!$A:$G,7,FALSE),0)))</f>
        <v/>
      </c>
    </row>
    <row r="1104" ht="15" customHeight="1">
      <c r="C1104">
        <f>IF($B1104="","",INT($B1104))</f>
        <v/>
      </c>
      <c r="D1104">
        <f>IF($C1104="","",$C1104-WEEKDAY($C1104,2)+1)</f>
        <v/>
      </c>
      <c r="E1104">
        <f>IF($C1104="","",DATE(YEAR($C1104),MONTH($C1104),1))</f>
        <v/>
      </c>
      <c r="F1104">
        <f>IF($C1104="","",YEAR($C1104)&amp;"-Q"&amp;ROUNDUP(MONTH($C1104)/3,0))</f>
        <v/>
      </c>
      <c r="L1104">
        <f>IF($G1104&lt;&gt;"ALCOHOL","",IF($K1104="","",$H1104*IFERROR(VLOOKUP($K1104,Drink_Templates!$A:$G,7,FALSE),0)))</f>
        <v/>
      </c>
    </row>
    <row r="1105" ht="15" customHeight="1">
      <c r="C1105">
        <f>IF($B1105="","",INT($B1105))</f>
        <v/>
      </c>
      <c r="D1105">
        <f>IF($C1105="","",$C1105-WEEKDAY($C1105,2)+1)</f>
        <v/>
      </c>
      <c r="E1105">
        <f>IF($C1105="","",DATE(YEAR($C1105),MONTH($C1105),1))</f>
        <v/>
      </c>
      <c r="F1105">
        <f>IF($C1105="","",YEAR($C1105)&amp;"-Q"&amp;ROUNDUP(MONTH($C1105)/3,0))</f>
        <v/>
      </c>
      <c r="L1105">
        <f>IF($G1105&lt;&gt;"ALCOHOL","",IF($K1105="","",$H1105*IFERROR(VLOOKUP($K1105,Drink_Templates!$A:$G,7,FALSE),0)))</f>
        <v/>
      </c>
    </row>
    <row r="1106" ht="15" customHeight="1">
      <c r="C1106">
        <f>IF($B1106="","",INT($B1106))</f>
        <v/>
      </c>
      <c r="D1106">
        <f>IF($C1106="","",$C1106-WEEKDAY($C1106,2)+1)</f>
        <v/>
      </c>
      <c r="E1106">
        <f>IF($C1106="","",DATE(YEAR($C1106),MONTH($C1106),1))</f>
        <v/>
      </c>
      <c r="F1106">
        <f>IF($C1106="","",YEAR($C1106)&amp;"-Q"&amp;ROUNDUP(MONTH($C1106)/3,0))</f>
        <v/>
      </c>
      <c r="L1106">
        <f>IF($G1106&lt;&gt;"ALCOHOL","",IF($K1106="","",$H1106*IFERROR(VLOOKUP($K1106,Drink_Templates!$A:$G,7,FALSE),0)))</f>
        <v/>
      </c>
    </row>
    <row r="1107" ht="15" customHeight="1">
      <c r="C1107">
        <f>IF($B1107="","",INT($B1107))</f>
        <v/>
      </c>
      <c r="D1107">
        <f>IF($C1107="","",$C1107-WEEKDAY($C1107,2)+1)</f>
        <v/>
      </c>
      <c r="E1107">
        <f>IF($C1107="","",DATE(YEAR($C1107),MONTH($C1107),1))</f>
        <v/>
      </c>
      <c r="F1107">
        <f>IF($C1107="","",YEAR($C1107)&amp;"-Q"&amp;ROUNDUP(MONTH($C1107)/3,0))</f>
        <v/>
      </c>
      <c r="L1107">
        <f>IF($G1107&lt;&gt;"ALCOHOL","",IF($K1107="","",$H1107*IFERROR(VLOOKUP($K1107,Drink_Templates!$A:$G,7,FALSE),0)))</f>
        <v/>
      </c>
    </row>
    <row r="1108" ht="15" customHeight="1">
      <c r="C1108">
        <f>IF($B1108="","",INT($B1108))</f>
        <v/>
      </c>
      <c r="D1108">
        <f>IF($C1108="","",$C1108-WEEKDAY($C1108,2)+1)</f>
        <v/>
      </c>
      <c r="E1108">
        <f>IF($C1108="","",DATE(YEAR($C1108),MONTH($C1108),1))</f>
        <v/>
      </c>
      <c r="F1108">
        <f>IF($C1108="","",YEAR($C1108)&amp;"-Q"&amp;ROUNDUP(MONTH($C1108)/3,0))</f>
        <v/>
      </c>
      <c r="L1108">
        <f>IF($G1108&lt;&gt;"ALCOHOL","",IF($K1108="","",$H1108*IFERROR(VLOOKUP($K1108,Drink_Templates!$A:$G,7,FALSE),0)))</f>
        <v/>
      </c>
    </row>
    <row r="1109" ht="15" customHeight="1">
      <c r="C1109">
        <f>IF($B1109="","",INT($B1109))</f>
        <v/>
      </c>
      <c r="D1109">
        <f>IF($C1109="","",$C1109-WEEKDAY($C1109,2)+1)</f>
        <v/>
      </c>
      <c r="E1109">
        <f>IF($C1109="","",DATE(YEAR($C1109),MONTH($C1109),1))</f>
        <v/>
      </c>
      <c r="F1109">
        <f>IF($C1109="","",YEAR($C1109)&amp;"-Q"&amp;ROUNDUP(MONTH($C1109)/3,0))</f>
        <v/>
      </c>
      <c r="L1109">
        <f>IF($G1109&lt;&gt;"ALCOHOL","",IF($K1109="","",$H1109*IFERROR(VLOOKUP($K1109,Drink_Templates!$A:$G,7,FALSE),0)))</f>
        <v/>
      </c>
    </row>
    <row r="1110" ht="15" customHeight="1">
      <c r="C1110">
        <f>IF($B1110="","",INT($B1110))</f>
        <v/>
      </c>
      <c r="D1110">
        <f>IF($C1110="","",$C1110-WEEKDAY($C1110,2)+1)</f>
        <v/>
      </c>
      <c r="E1110">
        <f>IF($C1110="","",DATE(YEAR($C1110),MONTH($C1110),1))</f>
        <v/>
      </c>
      <c r="F1110">
        <f>IF($C1110="","",YEAR($C1110)&amp;"-Q"&amp;ROUNDUP(MONTH($C1110)/3,0))</f>
        <v/>
      </c>
      <c r="L1110">
        <f>IF($G1110&lt;&gt;"ALCOHOL","",IF($K1110="","",$H1110*IFERROR(VLOOKUP($K1110,Drink_Templates!$A:$G,7,FALSE),0)))</f>
        <v/>
      </c>
    </row>
    <row r="1111" ht="15" customHeight="1">
      <c r="C1111">
        <f>IF($B1111="","",INT($B1111))</f>
        <v/>
      </c>
      <c r="D1111">
        <f>IF($C1111="","",$C1111-WEEKDAY($C1111,2)+1)</f>
        <v/>
      </c>
      <c r="E1111">
        <f>IF($C1111="","",DATE(YEAR($C1111),MONTH($C1111),1))</f>
        <v/>
      </c>
      <c r="F1111">
        <f>IF($C1111="","",YEAR($C1111)&amp;"-Q"&amp;ROUNDUP(MONTH($C1111)/3,0))</f>
        <v/>
      </c>
      <c r="L1111">
        <f>IF($G1111&lt;&gt;"ALCOHOL","",IF($K1111="","",$H1111*IFERROR(VLOOKUP($K1111,Drink_Templates!$A:$G,7,FALSE),0)))</f>
        <v/>
      </c>
    </row>
    <row r="1112" ht="15" customHeight="1">
      <c r="C1112">
        <f>IF($B1112="","",INT($B1112))</f>
        <v/>
      </c>
      <c r="D1112">
        <f>IF($C1112="","",$C1112-WEEKDAY($C1112,2)+1)</f>
        <v/>
      </c>
      <c r="E1112">
        <f>IF($C1112="","",DATE(YEAR($C1112),MONTH($C1112),1))</f>
        <v/>
      </c>
      <c r="F1112">
        <f>IF($C1112="","",YEAR($C1112)&amp;"-Q"&amp;ROUNDUP(MONTH($C1112)/3,0))</f>
        <v/>
      </c>
      <c r="L1112">
        <f>IF($G1112&lt;&gt;"ALCOHOL","",IF($K1112="","",$H1112*IFERROR(VLOOKUP($K1112,Drink_Templates!$A:$G,7,FALSE),0)))</f>
        <v/>
      </c>
    </row>
    <row r="1113" ht="15" customHeight="1">
      <c r="C1113">
        <f>IF($B1113="","",INT($B1113))</f>
        <v/>
      </c>
      <c r="D1113">
        <f>IF($C1113="","",$C1113-WEEKDAY($C1113,2)+1)</f>
        <v/>
      </c>
      <c r="E1113">
        <f>IF($C1113="","",DATE(YEAR($C1113),MONTH($C1113),1))</f>
        <v/>
      </c>
      <c r="F1113">
        <f>IF($C1113="","",YEAR($C1113)&amp;"-Q"&amp;ROUNDUP(MONTH($C1113)/3,0))</f>
        <v/>
      </c>
      <c r="L1113">
        <f>IF($G1113&lt;&gt;"ALCOHOL","",IF($K1113="","",$H1113*IFERROR(VLOOKUP($K1113,Drink_Templates!$A:$G,7,FALSE),0)))</f>
        <v/>
      </c>
    </row>
    <row r="1114" ht="15" customHeight="1">
      <c r="C1114">
        <f>IF($B1114="","",INT($B1114))</f>
        <v/>
      </c>
      <c r="D1114">
        <f>IF($C1114="","",$C1114-WEEKDAY($C1114,2)+1)</f>
        <v/>
      </c>
      <c r="E1114">
        <f>IF($C1114="","",DATE(YEAR($C1114),MONTH($C1114),1))</f>
        <v/>
      </c>
      <c r="F1114">
        <f>IF($C1114="","",YEAR($C1114)&amp;"-Q"&amp;ROUNDUP(MONTH($C1114)/3,0))</f>
        <v/>
      </c>
      <c r="L1114">
        <f>IF($G1114&lt;&gt;"ALCOHOL","",IF($K1114="","",$H1114*IFERROR(VLOOKUP($K1114,Drink_Templates!$A:$G,7,FALSE),0)))</f>
        <v/>
      </c>
    </row>
    <row r="1115" ht="15" customHeight="1">
      <c r="C1115">
        <f>IF($B1115="","",INT($B1115))</f>
        <v/>
      </c>
      <c r="D1115">
        <f>IF($C1115="","",$C1115-WEEKDAY($C1115,2)+1)</f>
        <v/>
      </c>
      <c r="E1115">
        <f>IF($C1115="","",DATE(YEAR($C1115),MONTH($C1115),1))</f>
        <v/>
      </c>
      <c r="F1115">
        <f>IF($C1115="","",YEAR($C1115)&amp;"-Q"&amp;ROUNDUP(MONTH($C1115)/3,0))</f>
        <v/>
      </c>
      <c r="L1115">
        <f>IF($G1115&lt;&gt;"ALCOHOL","",IF($K1115="","",$H1115*IFERROR(VLOOKUP($K1115,Drink_Templates!$A:$G,7,FALSE),0)))</f>
        <v/>
      </c>
    </row>
    <row r="1116" ht="15" customHeight="1">
      <c r="C1116">
        <f>IF($B1116="","",INT($B1116))</f>
        <v/>
      </c>
      <c r="D1116">
        <f>IF($C1116="","",$C1116-WEEKDAY($C1116,2)+1)</f>
        <v/>
      </c>
      <c r="E1116">
        <f>IF($C1116="","",DATE(YEAR($C1116),MONTH($C1116),1))</f>
        <v/>
      </c>
      <c r="F1116">
        <f>IF($C1116="","",YEAR($C1116)&amp;"-Q"&amp;ROUNDUP(MONTH($C1116)/3,0))</f>
        <v/>
      </c>
      <c r="L1116">
        <f>IF($G1116&lt;&gt;"ALCOHOL","",IF($K1116="","",$H1116*IFERROR(VLOOKUP($K1116,Drink_Templates!$A:$G,7,FALSE),0)))</f>
        <v/>
      </c>
    </row>
    <row r="1117" ht="15" customHeight="1">
      <c r="C1117">
        <f>IF($B1117="","",INT($B1117))</f>
        <v/>
      </c>
      <c r="D1117">
        <f>IF($C1117="","",$C1117-WEEKDAY($C1117,2)+1)</f>
        <v/>
      </c>
      <c r="E1117">
        <f>IF($C1117="","",DATE(YEAR($C1117),MONTH($C1117),1))</f>
        <v/>
      </c>
      <c r="F1117">
        <f>IF($C1117="","",YEAR($C1117)&amp;"-Q"&amp;ROUNDUP(MONTH($C1117)/3,0))</f>
        <v/>
      </c>
      <c r="L1117">
        <f>IF($G1117&lt;&gt;"ALCOHOL","",IF($K1117="","",$H1117*IFERROR(VLOOKUP($K1117,Drink_Templates!$A:$G,7,FALSE),0)))</f>
        <v/>
      </c>
    </row>
    <row r="1118" ht="15" customHeight="1">
      <c r="C1118">
        <f>IF($B1118="","",INT($B1118))</f>
        <v/>
      </c>
      <c r="D1118">
        <f>IF($C1118="","",$C1118-WEEKDAY($C1118,2)+1)</f>
        <v/>
      </c>
      <c r="E1118">
        <f>IF($C1118="","",DATE(YEAR($C1118),MONTH($C1118),1))</f>
        <v/>
      </c>
      <c r="F1118">
        <f>IF($C1118="","",YEAR($C1118)&amp;"-Q"&amp;ROUNDUP(MONTH($C1118)/3,0))</f>
        <v/>
      </c>
      <c r="L1118">
        <f>IF($G1118&lt;&gt;"ALCOHOL","",IF($K1118="","",$H1118*IFERROR(VLOOKUP($K1118,Drink_Templates!$A:$G,7,FALSE),0)))</f>
        <v/>
      </c>
    </row>
    <row r="1119" ht="15" customHeight="1">
      <c r="C1119">
        <f>IF($B1119="","",INT($B1119))</f>
        <v/>
      </c>
      <c r="D1119">
        <f>IF($C1119="","",$C1119-WEEKDAY($C1119,2)+1)</f>
        <v/>
      </c>
      <c r="E1119">
        <f>IF($C1119="","",DATE(YEAR($C1119),MONTH($C1119),1))</f>
        <v/>
      </c>
      <c r="F1119">
        <f>IF($C1119="","",YEAR($C1119)&amp;"-Q"&amp;ROUNDUP(MONTH($C1119)/3,0))</f>
        <v/>
      </c>
      <c r="L1119">
        <f>IF($G1119&lt;&gt;"ALCOHOL","",IF($K1119="","",$H1119*IFERROR(VLOOKUP($K1119,Drink_Templates!$A:$G,7,FALSE),0)))</f>
        <v/>
      </c>
    </row>
    <row r="1120" ht="15" customHeight="1">
      <c r="C1120">
        <f>IF($B1120="","",INT($B1120))</f>
        <v/>
      </c>
      <c r="D1120">
        <f>IF($C1120="","",$C1120-WEEKDAY($C1120,2)+1)</f>
        <v/>
      </c>
      <c r="E1120">
        <f>IF($C1120="","",DATE(YEAR($C1120),MONTH($C1120),1))</f>
        <v/>
      </c>
      <c r="F1120">
        <f>IF($C1120="","",YEAR($C1120)&amp;"-Q"&amp;ROUNDUP(MONTH($C1120)/3,0))</f>
        <v/>
      </c>
      <c r="L1120">
        <f>IF($G1120&lt;&gt;"ALCOHOL","",IF($K1120="","",$H1120*IFERROR(VLOOKUP($K1120,Drink_Templates!$A:$G,7,FALSE),0)))</f>
        <v/>
      </c>
    </row>
    <row r="1121" ht="15" customHeight="1">
      <c r="C1121">
        <f>IF($B1121="","",INT($B1121))</f>
        <v/>
      </c>
      <c r="D1121">
        <f>IF($C1121="","",$C1121-WEEKDAY($C1121,2)+1)</f>
        <v/>
      </c>
      <c r="E1121">
        <f>IF($C1121="","",DATE(YEAR($C1121),MONTH($C1121),1))</f>
        <v/>
      </c>
      <c r="F1121">
        <f>IF($C1121="","",YEAR($C1121)&amp;"-Q"&amp;ROUNDUP(MONTH($C1121)/3,0))</f>
        <v/>
      </c>
      <c r="L1121">
        <f>IF($G1121&lt;&gt;"ALCOHOL","",IF($K1121="","",$H1121*IFERROR(VLOOKUP($K1121,Drink_Templates!$A:$G,7,FALSE),0)))</f>
        <v/>
      </c>
    </row>
    <row r="1122" ht="15" customHeight="1">
      <c r="C1122">
        <f>IF($B1122="","",INT($B1122))</f>
        <v/>
      </c>
      <c r="D1122">
        <f>IF($C1122="","",$C1122-WEEKDAY($C1122,2)+1)</f>
        <v/>
      </c>
      <c r="E1122">
        <f>IF($C1122="","",DATE(YEAR($C1122),MONTH($C1122),1))</f>
        <v/>
      </c>
      <c r="F1122">
        <f>IF($C1122="","",YEAR($C1122)&amp;"-Q"&amp;ROUNDUP(MONTH($C1122)/3,0))</f>
        <v/>
      </c>
      <c r="L1122">
        <f>IF($G1122&lt;&gt;"ALCOHOL","",IF($K1122="","",$H1122*IFERROR(VLOOKUP($K1122,Drink_Templates!$A:$G,7,FALSE),0)))</f>
        <v/>
      </c>
    </row>
    <row r="1123" ht="15" customHeight="1">
      <c r="C1123">
        <f>IF($B1123="","",INT($B1123))</f>
        <v/>
      </c>
      <c r="D1123">
        <f>IF($C1123="","",$C1123-WEEKDAY($C1123,2)+1)</f>
        <v/>
      </c>
      <c r="E1123">
        <f>IF($C1123="","",DATE(YEAR($C1123),MONTH($C1123),1))</f>
        <v/>
      </c>
      <c r="F1123">
        <f>IF($C1123="","",YEAR($C1123)&amp;"-Q"&amp;ROUNDUP(MONTH($C1123)/3,0))</f>
        <v/>
      </c>
      <c r="L1123">
        <f>IF($G1123&lt;&gt;"ALCOHOL","",IF($K1123="","",$H1123*IFERROR(VLOOKUP($K1123,Drink_Templates!$A:$G,7,FALSE),0)))</f>
        <v/>
      </c>
    </row>
    <row r="1124" ht="15" customHeight="1">
      <c r="C1124">
        <f>IF($B1124="","",INT($B1124))</f>
        <v/>
      </c>
      <c r="D1124">
        <f>IF($C1124="","",$C1124-WEEKDAY($C1124,2)+1)</f>
        <v/>
      </c>
      <c r="E1124">
        <f>IF($C1124="","",DATE(YEAR($C1124),MONTH($C1124),1))</f>
        <v/>
      </c>
      <c r="F1124">
        <f>IF($C1124="","",YEAR($C1124)&amp;"-Q"&amp;ROUNDUP(MONTH($C1124)/3,0))</f>
        <v/>
      </c>
      <c r="L1124">
        <f>IF($G1124&lt;&gt;"ALCOHOL","",IF($K1124="","",$H1124*IFERROR(VLOOKUP($K1124,Drink_Templates!$A:$G,7,FALSE),0)))</f>
        <v/>
      </c>
    </row>
    <row r="1125" ht="15" customHeight="1">
      <c r="C1125">
        <f>IF($B1125="","",INT($B1125))</f>
        <v/>
      </c>
      <c r="D1125">
        <f>IF($C1125="","",$C1125-WEEKDAY($C1125,2)+1)</f>
        <v/>
      </c>
      <c r="E1125">
        <f>IF($C1125="","",DATE(YEAR($C1125),MONTH($C1125),1))</f>
        <v/>
      </c>
      <c r="F1125">
        <f>IF($C1125="","",YEAR($C1125)&amp;"-Q"&amp;ROUNDUP(MONTH($C1125)/3,0))</f>
        <v/>
      </c>
      <c r="L1125">
        <f>IF($G1125&lt;&gt;"ALCOHOL","",IF($K1125="","",$H1125*IFERROR(VLOOKUP($K1125,Drink_Templates!$A:$G,7,FALSE),0)))</f>
        <v/>
      </c>
    </row>
    <row r="1126" ht="15" customHeight="1">
      <c r="C1126">
        <f>IF($B1126="","",INT($B1126))</f>
        <v/>
      </c>
      <c r="D1126">
        <f>IF($C1126="","",$C1126-WEEKDAY($C1126,2)+1)</f>
        <v/>
      </c>
      <c r="E1126">
        <f>IF($C1126="","",DATE(YEAR($C1126),MONTH($C1126),1))</f>
        <v/>
      </c>
      <c r="F1126">
        <f>IF($C1126="","",YEAR($C1126)&amp;"-Q"&amp;ROUNDUP(MONTH($C1126)/3,0))</f>
        <v/>
      </c>
      <c r="L1126">
        <f>IF($G1126&lt;&gt;"ALCOHOL","",IF($K1126="","",$H1126*IFERROR(VLOOKUP($K1126,Drink_Templates!$A:$G,7,FALSE),0)))</f>
        <v/>
      </c>
    </row>
    <row r="1127" ht="15" customHeight="1">
      <c r="C1127">
        <f>IF($B1127="","",INT($B1127))</f>
        <v/>
      </c>
      <c r="D1127">
        <f>IF($C1127="","",$C1127-WEEKDAY($C1127,2)+1)</f>
        <v/>
      </c>
      <c r="E1127">
        <f>IF($C1127="","",DATE(YEAR($C1127),MONTH($C1127),1))</f>
        <v/>
      </c>
      <c r="F1127">
        <f>IF($C1127="","",YEAR($C1127)&amp;"-Q"&amp;ROUNDUP(MONTH($C1127)/3,0))</f>
        <v/>
      </c>
      <c r="L1127">
        <f>IF($G1127&lt;&gt;"ALCOHOL","",IF($K1127="","",$H1127*IFERROR(VLOOKUP($K1127,Drink_Templates!$A:$G,7,FALSE),0)))</f>
        <v/>
      </c>
    </row>
    <row r="1128" ht="15" customHeight="1">
      <c r="C1128">
        <f>IF($B1128="","",INT($B1128))</f>
        <v/>
      </c>
      <c r="D1128">
        <f>IF($C1128="","",$C1128-WEEKDAY($C1128,2)+1)</f>
        <v/>
      </c>
      <c r="E1128">
        <f>IF($C1128="","",DATE(YEAR($C1128),MONTH($C1128),1))</f>
        <v/>
      </c>
      <c r="F1128">
        <f>IF($C1128="","",YEAR($C1128)&amp;"-Q"&amp;ROUNDUP(MONTH($C1128)/3,0))</f>
        <v/>
      </c>
      <c r="L1128">
        <f>IF($G1128&lt;&gt;"ALCOHOL","",IF($K1128="","",$H1128*IFERROR(VLOOKUP($K1128,Drink_Templates!$A:$G,7,FALSE),0)))</f>
        <v/>
      </c>
    </row>
    <row r="1129" ht="15" customHeight="1">
      <c r="C1129">
        <f>IF($B1129="","",INT($B1129))</f>
        <v/>
      </c>
      <c r="D1129">
        <f>IF($C1129="","",$C1129-WEEKDAY($C1129,2)+1)</f>
        <v/>
      </c>
      <c r="E1129">
        <f>IF($C1129="","",DATE(YEAR($C1129),MONTH($C1129),1))</f>
        <v/>
      </c>
      <c r="F1129">
        <f>IF($C1129="","",YEAR($C1129)&amp;"-Q"&amp;ROUNDUP(MONTH($C1129)/3,0))</f>
        <v/>
      </c>
      <c r="L1129">
        <f>IF($G1129&lt;&gt;"ALCOHOL","",IF($K1129="","",$H1129*IFERROR(VLOOKUP($K1129,Drink_Templates!$A:$G,7,FALSE),0)))</f>
        <v/>
      </c>
    </row>
    <row r="1130" ht="15" customHeight="1">
      <c r="C1130">
        <f>IF($B1130="","",INT($B1130))</f>
        <v/>
      </c>
      <c r="D1130">
        <f>IF($C1130="","",$C1130-WEEKDAY($C1130,2)+1)</f>
        <v/>
      </c>
      <c r="E1130">
        <f>IF($C1130="","",DATE(YEAR($C1130),MONTH($C1130),1))</f>
        <v/>
      </c>
      <c r="F1130">
        <f>IF($C1130="","",YEAR($C1130)&amp;"-Q"&amp;ROUNDUP(MONTH($C1130)/3,0))</f>
        <v/>
      </c>
      <c r="L1130">
        <f>IF($G1130&lt;&gt;"ALCOHOL","",IF($K1130="","",$H1130*IFERROR(VLOOKUP($K1130,Drink_Templates!$A:$G,7,FALSE),0)))</f>
        <v/>
      </c>
    </row>
    <row r="1131" ht="15" customHeight="1">
      <c r="C1131">
        <f>IF($B1131="","",INT($B1131))</f>
        <v/>
      </c>
      <c r="D1131">
        <f>IF($C1131="","",$C1131-WEEKDAY($C1131,2)+1)</f>
        <v/>
      </c>
      <c r="E1131">
        <f>IF($C1131="","",DATE(YEAR($C1131),MONTH($C1131),1))</f>
        <v/>
      </c>
      <c r="F1131">
        <f>IF($C1131="","",YEAR($C1131)&amp;"-Q"&amp;ROUNDUP(MONTH($C1131)/3,0))</f>
        <v/>
      </c>
      <c r="L1131">
        <f>IF($G1131&lt;&gt;"ALCOHOL","",IF($K1131="","",$H1131*IFERROR(VLOOKUP($K1131,Drink_Templates!$A:$G,7,FALSE),0)))</f>
        <v/>
      </c>
    </row>
    <row r="1132" ht="15" customHeight="1">
      <c r="C1132">
        <f>IF($B1132="","",INT($B1132))</f>
        <v/>
      </c>
      <c r="D1132">
        <f>IF($C1132="","",$C1132-WEEKDAY($C1132,2)+1)</f>
        <v/>
      </c>
      <c r="E1132">
        <f>IF($C1132="","",DATE(YEAR($C1132),MONTH($C1132),1))</f>
        <v/>
      </c>
      <c r="F1132">
        <f>IF($C1132="","",YEAR($C1132)&amp;"-Q"&amp;ROUNDUP(MONTH($C1132)/3,0))</f>
        <v/>
      </c>
      <c r="L1132">
        <f>IF($G1132&lt;&gt;"ALCOHOL","",IF($K1132="","",$H1132*IFERROR(VLOOKUP($K1132,Drink_Templates!$A:$G,7,FALSE),0)))</f>
        <v/>
      </c>
    </row>
    <row r="1133" ht="15" customHeight="1">
      <c r="C1133">
        <f>IF($B1133="","",INT($B1133))</f>
        <v/>
      </c>
      <c r="D1133">
        <f>IF($C1133="","",$C1133-WEEKDAY($C1133,2)+1)</f>
        <v/>
      </c>
      <c r="E1133">
        <f>IF($C1133="","",DATE(YEAR($C1133),MONTH($C1133),1))</f>
        <v/>
      </c>
      <c r="F1133">
        <f>IF($C1133="","",YEAR($C1133)&amp;"-Q"&amp;ROUNDUP(MONTH($C1133)/3,0))</f>
        <v/>
      </c>
      <c r="L1133">
        <f>IF($G1133&lt;&gt;"ALCOHOL","",IF($K1133="","",$H1133*IFERROR(VLOOKUP($K1133,Drink_Templates!$A:$G,7,FALSE),0)))</f>
        <v/>
      </c>
    </row>
    <row r="1134" ht="15" customHeight="1">
      <c r="C1134">
        <f>IF($B1134="","",INT($B1134))</f>
        <v/>
      </c>
      <c r="D1134">
        <f>IF($C1134="","",$C1134-WEEKDAY($C1134,2)+1)</f>
        <v/>
      </c>
      <c r="E1134">
        <f>IF($C1134="","",DATE(YEAR($C1134),MONTH($C1134),1))</f>
        <v/>
      </c>
      <c r="F1134">
        <f>IF($C1134="","",YEAR($C1134)&amp;"-Q"&amp;ROUNDUP(MONTH($C1134)/3,0))</f>
        <v/>
      </c>
      <c r="L1134">
        <f>IF($G1134&lt;&gt;"ALCOHOL","",IF($K1134="","",$H1134*IFERROR(VLOOKUP($K1134,Drink_Templates!$A:$G,7,FALSE),0)))</f>
        <v/>
      </c>
    </row>
    <row r="1135" ht="15" customHeight="1">
      <c r="C1135">
        <f>IF($B1135="","",INT($B1135))</f>
        <v/>
      </c>
      <c r="D1135">
        <f>IF($C1135="","",$C1135-WEEKDAY($C1135,2)+1)</f>
        <v/>
      </c>
      <c r="E1135">
        <f>IF($C1135="","",DATE(YEAR($C1135),MONTH($C1135),1))</f>
        <v/>
      </c>
      <c r="F1135">
        <f>IF($C1135="","",YEAR($C1135)&amp;"-Q"&amp;ROUNDUP(MONTH($C1135)/3,0))</f>
        <v/>
      </c>
      <c r="L1135">
        <f>IF($G1135&lt;&gt;"ALCOHOL","",IF($K1135="","",$H1135*IFERROR(VLOOKUP($K1135,Drink_Templates!$A:$G,7,FALSE),0)))</f>
        <v/>
      </c>
    </row>
    <row r="1136" ht="15" customHeight="1">
      <c r="C1136">
        <f>IF($B1136="","",INT($B1136))</f>
        <v/>
      </c>
      <c r="D1136">
        <f>IF($C1136="","",$C1136-WEEKDAY($C1136,2)+1)</f>
        <v/>
      </c>
      <c r="E1136">
        <f>IF($C1136="","",DATE(YEAR($C1136),MONTH($C1136),1))</f>
        <v/>
      </c>
      <c r="F1136">
        <f>IF($C1136="","",YEAR($C1136)&amp;"-Q"&amp;ROUNDUP(MONTH($C1136)/3,0))</f>
        <v/>
      </c>
      <c r="L1136">
        <f>IF($G1136&lt;&gt;"ALCOHOL","",IF($K1136="","",$H1136*IFERROR(VLOOKUP($K1136,Drink_Templates!$A:$G,7,FALSE),0)))</f>
        <v/>
      </c>
    </row>
    <row r="1137" ht="15" customHeight="1">
      <c r="C1137">
        <f>IF($B1137="","",INT($B1137))</f>
        <v/>
      </c>
      <c r="D1137">
        <f>IF($C1137="","",$C1137-WEEKDAY($C1137,2)+1)</f>
        <v/>
      </c>
      <c r="E1137">
        <f>IF($C1137="","",DATE(YEAR($C1137),MONTH($C1137),1))</f>
        <v/>
      </c>
      <c r="F1137">
        <f>IF($C1137="","",YEAR($C1137)&amp;"-Q"&amp;ROUNDUP(MONTH($C1137)/3,0))</f>
        <v/>
      </c>
      <c r="L1137">
        <f>IF($G1137&lt;&gt;"ALCOHOL","",IF($K1137="","",$H1137*IFERROR(VLOOKUP($K1137,Drink_Templates!$A:$G,7,FALSE),0)))</f>
        <v/>
      </c>
    </row>
    <row r="1138" ht="15" customHeight="1">
      <c r="C1138">
        <f>IF($B1138="","",INT($B1138))</f>
        <v/>
      </c>
      <c r="D1138">
        <f>IF($C1138="","",$C1138-WEEKDAY($C1138,2)+1)</f>
        <v/>
      </c>
      <c r="E1138">
        <f>IF($C1138="","",DATE(YEAR($C1138),MONTH($C1138),1))</f>
        <v/>
      </c>
      <c r="F1138">
        <f>IF($C1138="","",YEAR($C1138)&amp;"-Q"&amp;ROUNDUP(MONTH($C1138)/3,0))</f>
        <v/>
      </c>
      <c r="L1138">
        <f>IF($G1138&lt;&gt;"ALCOHOL","",IF($K1138="","",$H1138*IFERROR(VLOOKUP($K1138,Drink_Templates!$A:$G,7,FALSE),0)))</f>
        <v/>
      </c>
    </row>
    <row r="1139" ht="15" customHeight="1">
      <c r="C1139">
        <f>IF($B1139="","",INT($B1139))</f>
        <v/>
      </c>
      <c r="D1139">
        <f>IF($C1139="","",$C1139-WEEKDAY($C1139,2)+1)</f>
        <v/>
      </c>
      <c r="E1139">
        <f>IF($C1139="","",DATE(YEAR($C1139),MONTH($C1139),1))</f>
        <v/>
      </c>
      <c r="F1139">
        <f>IF($C1139="","",YEAR($C1139)&amp;"-Q"&amp;ROUNDUP(MONTH($C1139)/3,0))</f>
        <v/>
      </c>
      <c r="L1139">
        <f>IF($G1139&lt;&gt;"ALCOHOL","",IF($K1139="","",$H1139*IFERROR(VLOOKUP($K1139,Drink_Templates!$A:$G,7,FALSE),0)))</f>
        <v/>
      </c>
    </row>
    <row r="1140" ht="15" customHeight="1">
      <c r="C1140">
        <f>IF($B1140="","",INT($B1140))</f>
        <v/>
      </c>
      <c r="D1140">
        <f>IF($C1140="","",$C1140-WEEKDAY($C1140,2)+1)</f>
        <v/>
      </c>
      <c r="E1140">
        <f>IF($C1140="","",DATE(YEAR($C1140),MONTH($C1140),1))</f>
        <v/>
      </c>
      <c r="F1140">
        <f>IF($C1140="","",YEAR($C1140)&amp;"-Q"&amp;ROUNDUP(MONTH($C1140)/3,0))</f>
        <v/>
      </c>
      <c r="L1140">
        <f>IF($G1140&lt;&gt;"ALCOHOL","",IF($K1140="","",$H1140*IFERROR(VLOOKUP($K1140,Drink_Templates!$A:$G,7,FALSE),0)))</f>
        <v/>
      </c>
    </row>
    <row r="1141" ht="15" customHeight="1">
      <c r="C1141">
        <f>IF($B1141="","",INT($B1141))</f>
        <v/>
      </c>
      <c r="D1141">
        <f>IF($C1141="","",$C1141-WEEKDAY($C1141,2)+1)</f>
        <v/>
      </c>
      <c r="E1141">
        <f>IF($C1141="","",DATE(YEAR($C1141),MONTH($C1141),1))</f>
        <v/>
      </c>
      <c r="F1141">
        <f>IF($C1141="","",YEAR($C1141)&amp;"-Q"&amp;ROUNDUP(MONTH($C1141)/3,0))</f>
        <v/>
      </c>
      <c r="L1141">
        <f>IF($G1141&lt;&gt;"ALCOHOL","",IF($K1141="","",$H1141*IFERROR(VLOOKUP($K1141,Drink_Templates!$A:$G,7,FALSE),0)))</f>
        <v/>
      </c>
    </row>
    <row r="1142" ht="15" customHeight="1">
      <c r="C1142">
        <f>IF($B1142="","",INT($B1142))</f>
        <v/>
      </c>
      <c r="D1142">
        <f>IF($C1142="","",$C1142-WEEKDAY($C1142,2)+1)</f>
        <v/>
      </c>
      <c r="E1142">
        <f>IF($C1142="","",DATE(YEAR($C1142),MONTH($C1142),1))</f>
        <v/>
      </c>
      <c r="F1142">
        <f>IF($C1142="","",YEAR($C1142)&amp;"-Q"&amp;ROUNDUP(MONTH($C1142)/3,0))</f>
        <v/>
      </c>
      <c r="L1142">
        <f>IF($G1142&lt;&gt;"ALCOHOL","",IF($K1142="","",$H1142*IFERROR(VLOOKUP($K1142,Drink_Templates!$A:$G,7,FALSE),0)))</f>
        <v/>
      </c>
    </row>
    <row r="1143" ht="15" customHeight="1">
      <c r="C1143">
        <f>IF($B1143="","",INT($B1143))</f>
        <v/>
      </c>
      <c r="D1143">
        <f>IF($C1143="","",$C1143-WEEKDAY($C1143,2)+1)</f>
        <v/>
      </c>
      <c r="E1143">
        <f>IF($C1143="","",DATE(YEAR($C1143),MONTH($C1143),1))</f>
        <v/>
      </c>
      <c r="F1143">
        <f>IF($C1143="","",YEAR($C1143)&amp;"-Q"&amp;ROUNDUP(MONTH($C1143)/3,0))</f>
        <v/>
      </c>
      <c r="L1143">
        <f>IF($G1143&lt;&gt;"ALCOHOL","",IF($K1143="","",$H1143*IFERROR(VLOOKUP($K1143,Drink_Templates!$A:$G,7,FALSE),0)))</f>
        <v/>
      </c>
    </row>
    <row r="1144" ht="15" customHeight="1">
      <c r="C1144">
        <f>IF($B1144="","",INT($B1144))</f>
        <v/>
      </c>
      <c r="D1144">
        <f>IF($C1144="","",$C1144-WEEKDAY($C1144,2)+1)</f>
        <v/>
      </c>
      <c r="E1144">
        <f>IF($C1144="","",DATE(YEAR($C1144),MONTH($C1144),1))</f>
        <v/>
      </c>
      <c r="F1144">
        <f>IF($C1144="","",YEAR($C1144)&amp;"-Q"&amp;ROUNDUP(MONTH($C1144)/3,0))</f>
        <v/>
      </c>
      <c r="L1144">
        <f>IF($G1144&lt;&gt;"ALCOHOL","",IF($K1144="","",$H1144*IFERROR(VLOOKUP($K1144,Drink_Templates!$A:$G,7,FALSE),0)))</f>
        <v/>
      </c>
    </row>
    <row r="1145" ht="15" customHeight="1">
      <c r="C1145">
        <f>IF($B1145="","",INT($B1145))</f>
        <v/>
      </c>
      <c r="D1145">
        <f>IF($C1145="","",$C1145-WEEKDAY($C1145,2)+1)</f>
        <v/>
      </c>
      <c r="E1145">
        <f>IF($C1145="","",DATE(YEAR($C1145),MONTH($C1145),1))</f>
        <v/>
      </c>
      <c r="F1145">
        <f>IF($C1145="","",YEAR($C1145)&amp;"-Q"&amp;ROUNDUP(MONTH($C1145)/3,0))</f>
        <v/>
      </c>
      <c r="L1145">
        <f>IF($G1145&lt;&gt;"ALCOHOL","",IF($K1145="","",$H1145*IFERROR(VLOOKUP($K1145,Drink_Templates!$A:$G,7,FALSE),0)))</f>
        <v/>
      </c>
    </row>
    <row r="1146" ht="15" customHeight="1">
      <c r="C1146">
        <f>IF($B1146="","",INT($B1146))</f>
        <v/>
      </c>
      <c r="D1146">
        <f>IF($C1146="","",$C1146-WEEKDAY($C1146,2)+1)</f>
        <v/>
      </c>
      <c r="E1146">
        <f>IF($C1146="","",DATE(YEAR($C1146),MONTH($C1146),1))</f>
        <v/>
      </c>
      <c r="F1146">
        <f>IF($C1146="","",YEAR($C1146)&amp;"-Q"&amp;ROUNDUP(MONTH($C1146)/3,0))</f>
        <v/>
      </c>
      <c r="L1146">
        <f>IF($G1146&lt;&gt;"ALCOHOL","",IF($K1146="","",$H1146*IFERROR(VLOOKUP($K1146,Drink_Templates!$A:$G,7,FALSE),0)))</f>
        <v/>
      </c>
    </row>
    <row r="1147" ht="15" customHeight="1">
      <c r="C1147">
        <f>IF($B1147="","",INT($B1147))</f>
        <v/>
      </c>
      <c r="D1147">
        <f>IF($C1147="","",$C1147-WEEKDAY($C1147,2)+1)</f>
        <v/>
      </c>
      <c r="E1147">
        <f>IF($C1147="","",DATE(YEAR($C1147),MONTH($C1147),1))</f>
        <v/>
      </c>
      <c r="F1147">
        <f>IF($C1147="","",YEAR($C1147)&amp;"-Q"&amp;ROUNDUP(MONTH($C1147)/3,0))</f>
        <v/>
      </c>
      <c r="L1147">
        <f>IF($G1147&lt;&gt;"ALCOHOL","",IF($K1147="","",$H1147*IFERROR(VLOOKUP($K1147,Drink_Templates!$A:$G,7,FALSE),0)))</f>
        <v/>
      </c>
    </row>
    <row r="1148" ht="15" customHeight="1">
      <c r="C1148">
        <f>IF($B1148="","",INT($B1148))</f>
        <v/>
      </c>
      <c r="D1148">
        <f>IF($C1148="","",$C1148-WEEKDAY($C1148,2)+1)</f>
        <v/>
      </c>
      <c r="E1148">
        <f>IF($C1148="","",DATE(YEAR($C1148),MONTH($C1148),1))</f>
        <v/>
      </c>
      <c r="F1148">
        <f>IF($C1148="","",YEAR($C1148)&amp;"-Q"&amp;ROUNDUP(MONTH($C1148)/3,0))</f>
        <v/>
      </c>
      <c r="L1148">
        <f>IF($G1148&lt;&gt;"ALCOHOL","",IF($K1148="","",$H1148*IFERROR(VLOOKUP($K1148,Drink_Templates!$A:$G,7,FALSE),0)))</f>
        <v/>
      </c>
    </row>
    <row r="1149" ht="15" customHeight="1">
      <c r="C1149">
        <f>IF($B1149="","",INT($B1149))</f>
        <v/>
      </c>
      <c r="D1149">
        <f>IF($C1149="","",$C1149-WEEKDAY($C1149,2)+1)</f>
        <v/>
      </c>
      <c r="E1149">
        <f>IF($C1149="","",DATE(YEAR($C1149),MONTH($C1149),1))</f>
        <v/>
      </c>
      <c r="F1149">
        <f>IF($C1149="","",YEAR($C1149)&amp;"-Q"&amp;ROUNDUP(MONTH($C1149)/3,0))</f>
        <v/>
      </c>
      <c r="L1149">
        <f>IF($G1149&lt;&gt;"ALCOHOL","",IF($K1149="","",$H1149*IFERROR(VLOOKUP($K1149,Drink_Templates!$A:$G,7,FALSE),0)))</f>
        <v/>
      </c>
    </row>
    <row r="1150" ht="15" customHeight="1">
      <c r="C1150">
        <f>IF($B1150="","",INT($B1150))</f>
        <v/>
      </c>
      <c r="D1150">
        <f>IF($C1150="","",$C1150-WEEKDAY($C1150,2)+1)</f>
        <v/>
      </c>
      <c r="E1150">
        <f>IF($C1150="","",DATE(YEAR($C1150),MONTH($C1150),1))</f>
        <v/>
      </c>
      <c r="F1150">
        <f>IF($C1150="","",YEAR($C1150)&amp;"-Q"&amp;ROUNDUP(MONTH($C1150)/3,0))</f>
        <v/>
      </c>
      <c r="L1150">
        <f>IF($G1150&lt;&gt;"ALCOHOL","",IF($K1150="","",$H1150*IFERROR(VLOOKUP($K1150,Drink_Templates!$A:$G,7,FALSE),0)))</f>
        <v/>
      </c>
    </row>
    <row r="1151" ht="15" customHeight="1">
      <c r="C1151">
        <f>IF($B1151="","",INT($B1151))</f>
        <v/>
      </c>
      <c r="D1151">
        <f>IF($C1151="","",$C1151-WEEKDAY($C1151,2)+1)</f>
        <v/>
      </c>
      <c r="E1151">
        <f>IF($C1151="","",DATE(YEAR($C1151),MONTH($C1151),1))</f>
        <v/>
      </c>
      <c r="F1151">
        <f>IF($C1151="","",YEAR($C1151)&amp;"-Q"&amp;ROUNDUP(MONTH($C1151)/3,0))</f>
        <v/>
      </c>
      <c r="L1151">
        <f>IF($G1151&lt;&gt;"ALCOHOL","",IF($K1151="","",$H1151*IFERROR(VLOOKUP($K1151,Drink_Templates!$A:$G,7,FALSE),0)))</f>
        <v/>
      </c>
    </row>
    <row r="1152" ht="15" customHeight="1">
      <c r="C1152">
        <f>IF($B1152="","",INT($B1152))</f>
        <v/>
      </c>
      <c r="D1152">
        <f>IF($C1152="","",$C1152-WEEKDAY($C1152,2)+1)</f>
        <v/>
      </c>
      <c r="E1152">
        <f>IF($C1152="","",DATE(YEAR($C1152),MONTH($C1152),1))</f>
        <v/>
      </c>
      <c r="F1152">
        <f>IF($C1152="","",YEAR($C1152)&amp;"-Q"&amp;ROUNDUP(MONTH($C1152)/3,0))</f>
        <v/>
      </c>
      <c r="L1152">
        <f>IF($G1152&lt;&gt;"ALCOHOL","",IF($K1152="","",$H1152*IFERROR(VLOOKUP($K1152,Drink_Templates!$A:$G,7,FALSE),0)))</f>
        <v/>
      </c>
    </row>
    <row r="1153" ht="15" customHeight="1">
      <c r="C1153">
        <f>IF($B1153="","",INT($B1153))</f>
        <v/>
      </c>
      <c r="D1153">
        <f>IF($C1153="","",$C1153-WEEKDAY($C1153,2)+1)</f>
        <v/>
      </c>
      <c r="E1153">
        <f>IF($C1153="","",DATE(YEAR($C1153),MONTH($C1153),1))</f>
        <v/>
      </c>
      <c r="F1153">
        <f>IF($C1153="","",YEAR($C1153)&amp;"-Q"&amp;ROUNDUP(MONTH($C1153)/3,0))</f>
        <v/>
      </c>
      <c r="L1153">
        <f>IF($G1153&lt;&gt;"ALCOHOL","",IF($K1153="","",$H1153*IFERROR(VLOOKUP($K1153,Drink_Templates!$A:$G,7,FALSE),0)))</f>
        <v/>
      </c>
    </row>
    <row r="1154" ht="15" customHeight="1">
      <c r="C1154">
        <f>IF($B1154="","",INT($B1154))</f>
        <v/>
      </c>
      <c r="D1154">
        <f>IF($C1154="","",$C1154-WEEKDAY($C1154,2)+1)</f>
        <v/>
      </c>
      <c r="E1154">
        <f>IF($C1154="","",DATE(YEAR($C1154),MONTH($C1154),1))</f>
        <v/>
      </c>
      <c r="F1154">
        <f>IF($C1154="","",YEAR($C1154)&amp;"-Q"&amp;ROUNDUP(MONTH($C1154)/3,0))</f>
        <v/>
      </c>
      <c r="L1154">
        <f>IF($G1154&lt;&gt;"ALCOHOL","",IF($K1154="","",$H1154*IFERROR(VLOOKUP($K1154,Drink_Templates!$A:$G,7,FALSE),0)))</f>
        <v/>
      </c>
    </row>
    <row r="1155" ht="15" customHeight="1">
      <c r="C1155">
        <f>IF($B1155="","",INT($B1155))</f>
        <v/>
      </c>
      <c r="D1155">
        <f>IF($C1155="","",$C1155-WEEKDAY($C1155,2)+1)</f>
        <v/>
      </c>
      <c r="E1155">
        <f>IF($C1155="","",DATE(YEAR($C1155),MONTH($C1155),1))</f>
        <v/>
      </c>
      <c r="F1155">
        <f>IF($C1155="","",YEAR($C1155)&amp;"-Q"&amp;ROUNDUP(MONTH($C1155)/3,0))</f>
        <v/>
      </c>
      <c r="L1155">
        <f>IF($G1155&lt;&gt;"ALCOHOL","",IF($K1155="","",$H1155*IFERROR(VLOOKUP($K1155,Drink_Templates!$A:$G,7,FALSE),0)))</f>
        <v/>
      </c>
    </row>
    <row r="1156" ht="15" customHeight="1">
      <c r="C1156">
        <f>IF($B1156="","",INT($B1156))</f>
        <v/>
      </c>
      <c r="D1156">
        <f>IF($C1156="","",$C1156-WEEKDAY($C1156,2)+1)</f>
        <v/>
      </c>
      <c r="E1156">
        <f>IF($C1156="","",DATE(YEAR($C1156),MONTH($C1156),1))</f>
        <v/>
      </c>
      <c r="F1156">
        <f>IF($C1156="","",YEAR($C1156)&amp;"-Q"&amp;ROUNDUP(MONTH($C1156)/3,0))</f>
        <v/>
      </c>
      <c r="L1156">
        <f>IF($G1156&lt;&gt;"ALCOHOL","",IF($K1156="","",$H1156*IFERROR(VLOOKUP($K1156,Drink_Templates!$A:$G,7,FALSE),0)))</f>
        <v/>
      </c>
    </row>
    <row r="1157" ht="15" customHeight="1">
      <c r="C1157">
        <f>IF($B1157="","",INT($B1157))</f>
        <v/>
      </c>
      <c r="D1157">
        <f>IF($C1157="","",$C1157-WEEKDAY($C1157,2)+1)</f>
        <v/>
      </c>
      <c r="E1157">
        <f>IF($C1157="","",DATE(YEAR($C1157),MONTH($C1157),1))</f>
        <v/>
      </c>
      <c r="F1157">
        <f>IF($C1157="","",YEAR($C1157)&amp;"-Q"&amp;ROUNDUP(MONTH($C1157)/3,0))</f>
        <v/>
      </c>
      <c r="L1157">
        <f>IF($G1157&lt;&gt;"ALCOHOL","",IF($K1157="","",$H1157*IFERROR(VLOOKUP($K1157,Drink_Templates!$A:$G,7,FALSE),0)))</f>
        <v/>
      </c>
    </row>
    <row r="1158" ht="15" customHeight="1">
      <c r="C1158">
        <f>IF($B1158="","",INT($B1158))</f>
        <v/>
      </c>
      <c r="D1158">
        <f>IF($C1158="","",$C1158-WEEKDAY($C1158,2)+1)</f>
        <v/>
      </c>
      <c r="E1158">
        <f>IF($C1158="","",DATE(YEAR($C1158),MONTH($C1158),1))</f>
        <v/>
      </c>
      <c r="F1158">
        <f>IF($C1158="","",YEAR($C1158)&amp;"-Q"&amp;ROUNDUP(MONTH($C1158)/3,0))</f>
        <v/>
      </c>
      <c r="L1158">
        <f>IF($G1158&lt;&gt;"ALCOHOL","",IF($K1158="","",$H1158*IFERROR(VLOOKUP($K1158,Drink_Templates!$A:$G,7,FALSE),0)))</f>
        <v/>
      </c>
    </row>
    <row r="1159" ht="15" customHeight="1">
      <c r="C1159">
        <f>IF($B1159="","",INT($B1159))</f>
        <v/>
      </c>
      <c r="D1159">
        <f>IF($C1159="","",$C1159-WEEKDAY($C1159,2)+1)</f>
        <v/>
      </c>
      <c r="E1159">
        <f>IF($C1159="","",DATE(YEAR($C1159),MONTH($C1159),1))</f>
        <v/>
      </c>
      <c r="F1159">
        <f>IF($C1159="","",YEAR($C1159)&amp;"-Q"&amp;ROUNDUP(MONTH($C1159)/3,0))</f>
        <v/>
      </c>
      <c r="L1159">
        <f>IF($G1159&lt;&gt;"ALCOHOL","",IF($K1159="","",$H1159*IFERROR(VLOOKUP($K1159,Drink_Templates!$A:$G,7,FALSE),0)))</f>
        <v/>
      </c>
    </row>
    <row r="1160" ht="15" customHeight="1">
      <c r="C1160">
        <f>IF($B1160="","",INT($B1160))</f>
        <v/>
      </c>
      <c r="D1160">
        <f>IF($C1160="","",$C1160-WEEKDAY($C1160,2)+1)</f>
        <v/>
      </c>
      <c r="E1160">
        <f>IF($C1160="","",DATE(YEAR($C1160),MONTH($C1160),1))</f>
        <v/>
      </c>
      <c r="F1160">
        <f>IF($C1160="","",YEAR($C1160)&amp;"-Q"&amp;ROUNDUP(MONTH($C1160)/3,0))</f>
        <v/>
      </c>
      <c r="L1160">
        <f>IF($G1160&lt;&gt;"ALCOHOL","",IF($K1160="","",$H1160*IFERROR(VLOOKUP($K1160,Drink_Templates!$A:$G,7,FALSE),0)))</f>
        <v/>
      </c>
    </row>
    <row r="1161" ht="15" customHeight="1">
      <c r="C1161">
        <f>IF($B1161="","",INT($B1161))</f>
        <v/>
      </c>
      <c r="D1161">
        <f>IF($C1161="","",$C1161-WEEKDAY($C1161,2)+1)</f>
        <v/>
      </c>
      <c r="E1161">
        <f>IF($C1161="","",DATE(YEAR($C1161),MONTH($C1161),1))</f>
        <v/>
      </c>
      <c r="F1161">
        <f>IF($C1161="","",YEAR($C1161)&amp;"-Q"&amp;ROUNDUP(MONTH($C1161)/3,0))</f>
        <v/>
      </c>
      <c r="L1161">
        <f>IF($G1161&lt;&gt;"ALCOHOL","",IF($K1161="","",$H1161*IFERROR(VLOOKUP($K1161,Drink_Templates!$A:$G,7,FALSE),0)))</f>
        <v/>
      </c>
    </row>
    <row r="1162" ht="15" customHeight="1">
      <c r="C1162">
        <f>IF($B1162="","",INT($B1162))</f>
        <v/>
      </c>
      <c r="D1162">
        <f>IF($C1162="","",$C1162-WEEKDAY($C1162,2)+1)</f>
        <v/>
      </c>
      <c r="E1162">
        <f>IF($C1162="","",DATE(YEAR($C1162),MONTH($C1162),1))</f>
        <v/>
      </c>
      <c r="F1162">
        <f>IF($C1162="","",YEAR($C1162)&amp;"-Q"&amp;ROUNDUP(MONTH($C1162)/3,0))</f>
        <v/>
      </c>
      <c r="L1162">
        <f>IF($G1162&lt;&gt;"ALCOHOL","",IF($K1162="","",$H1162*IFERROR(VLOOKUP($K1162,Drink_Templates!$A:$G,7,FALSE),0)))</f>
        <v/>
      </c>
    </row>
    <row r="1163" ht="15" customHeight="1">
      <c r="C1163">
        <f>IF($B1163="","",INT($B1163))</f>
        <v/>
      </c>
      <c r="D1163">
        <f>IF($C1163="","",$C1163-WEEKDAY($C1163,2)+1)</f>
        <v/>
      </c>
      <c r="E1163">
        <f>IF($C1163="","",DATE(YEAR($C1163),MONTH($C1163),1))</f>
        <v/>
      </c>
      <c r="F1163">
        <f>IF($C1163="","",YEAR($C1163)&amp;"-Q"&amp;ROUNDUP(MONTH($C1163)/3,0))</f>
        <v/>
      </c>
      <c r="L1163">
        <f>IF($G1163&lt;&gt;"ALCOHOL","",IF($K1163="","",$H1163*IFERROR(VLOOKUP($K1163,Drink_Templates!$A:$G,7,FALSE),0)))</f>
        <v/>
      </c>
    </row>
    <row r="1164" ht="15" customHeight="1">
      <c r="C1164">
        <f>IF($B1164="","",INT($B1164))</f>
        <v/>
      </c>
      <c r="D1164">
        <f>IF($C1164="","",$C1164-WEEKDAY($C1164,2)+1)</f>
        <v/>
      </c>
      <c r="E1164">
        <f>IF($C1164="","",DATE(YEAR($C1164),MONTH($C1164),1))</f>
        <v/>
      </c>
      <c r="F1164">
        <f>IF($C1164="","",YEAR($C1164)&amp;"-Q"&amp;ROUNDUP(MONTH($C1164)/3,0))</f>
        <v/>
      </c>
      <c r="L1164">
        <f>IF($G1164&lt;&gt;"ALCOHOL","",IF($K1164="","",$H1164*IFERROR(VLOOKUP($K1164,Drink_Templates!$A:$G,7,FALSE),0)))</f>
        <v/>
      </c>
    </row>
    <row r="1165" ht="15" customHeight="1">
      <c r="C1165">
        <f>IF($B1165="","",INT($B1165))</f>
        <v/>
      </c>
      <c r="D1165">
        <f>IF($C1165="","",$C1165-WEEKDAY($C1165,2)+1)</f>
        <v/>
      </c>
      <c r="E1165">
        <f>IF($C1165="","",DATE(YEAR($C1165),MONTH($C1165),1))</f>
        <v/>
      </c>
      <c r="F1165">
        <f>IF($C1165="","",YEAR($C1165)&amp;"-Q"&amp;ROUNDUP(MONTH($C1165)/3,0))</f>
        <v/>
      </c>
      <c r="L1165">
        <f>IF($G1165&lt;&gt;"ALCOHOL","",IF($K1165="","",$H1165*IFERROR(VLOOKUP($K1165,Drink_Templates!$A:$G,7,FALSE),0)))</f>
        <v/>
      </c>
    </row>
    <row r="1166" ht="15" customHeight="1">
      <c r="C1166">
        <f>IF($B1166="","",INT($B1166))</f>
        <v/>
      </c>
      <c r="D1166">
        <f>IF($C1166="","",$C1166-WEEKDAY($C1166,2)+1)</f>
        <v/>
      </c>
      <c r="E1166">
        <f>IF($C1166="","",DATE(YEAR($C1166),MONTH($C1166),1))</f>
        <v/>
      </c>
      <c r="F1166">
        <f>IF($C1166="","",YEAR($C1166)&amp;"-Q"&amp;ROUNDUP(MONTH($C1166)/3,0))</f>
        <v/>
      </c>
      <c r="L1166">
        <f>IF($G1166&lt;&gt;"ALCOHOL","",IF($K1166="","",$H1166*IFERROR(VLOOKUP($K1166,Drink_Templates!$A:$G,7,FALSE),0)))</f>
        <v/>
      </c>
    </row>
    <row r="1167" ht="15" customHeight="1">
      <c r="C1167">
        <f>IF($B1167="","",INT($B1167))</f>
        <v/>
      </c>
      <c r="D1167">
        <f>IF($C1167="","",$C1167-WEEKDAY($C1167,2)+1)</f>
        <v/>
      </c>
      <c r="E1167">
        <f>IF($C1167="","",DATE(YEAR($C1167),MONTH($C1167),1))</f>
        <v/>
      </c>
      <c r="F1167">
        <f>IF($C1167="","",YEAR($C1167)&amp;"-Q"&amp;ROUNDUP(MONTH($C1167)/3,0))</f>
        <v/>
      </c>
      <c r="L1167">
        <f>IF($G1167&lt;&gt;"ALCOHOL","",IF($K1167="","",$H1167*IFERROR(VLOOKUP($K1167,Drink_Templates!$A:$G,7,FALSE),0)))</f>
        <v/>
      </c>
    </row>
    <row r="1168" ht="15" customHeight="1">
      <c r="C1168">
        <f>IF($B1168="","",INT($B1168))</f>
        <v/>
      </c>
      <c r="D1168">
        <f>IF($C1168="","",$C1168-WEEKDAY($C1168,2)+1)</f>
        <v/>
      </c>
      <c r="E1168">
        <f>IF($C1168="","",DATE(YEAR($C1168),MONTH($C1168),1))</f>
        <v/>
      </c>
      <c r="F1168">
        <f>IF($C1168="","",YEAR($C1168)&amp;"-Q"&amp;ROUNDUP(MONTH($C1168)/3,0))</f>
        <v/>
      </c>
      <c r="L1168">
        <f>IF($G1168&lt;&gt;"ALCOHOL","",IF($K1168="","",$H1168*IFERROR(VLOOKUP($K1168,Drink_Templates!$A:$G,7,FALSE),0)))</f>
        <v/>
      </c>
    </row>
    <row r="1169" ht="15" customHeight="1">
      <c r="C1169">
        <f>IF($B1169="","",INT($B1169))</f>
        <v/>
      </c>
      <c r="D1169">
        <f>IF($C1169="","",$C1169-WEEKDAY($C1169,2)+1)</f>
        <v/>
      </c>
      <c r="E1169">
        <f>IF($C1169="","",DATE(YEAR($C1169),MONTH($C1169),1))</f>
        <v/>
      </c>
      <c r="F1169">
        <f>IF($C1169="","",YEAR($C1169)&amp;"-Q"&amp;ROUNDUP(MONTH($C1169)/3,0))</f>
        <v/>
      </c>
      <c r="L1169">
        <f>IF($G1169&lt;&gt;"ALCOHOL","",IF($K1169="","",$H1169*IFERROR(VLOOKUP($K1169,Drink_Templates!$A:$G,7,FALSE),0)))</f>
        <v/>
      </c>
    </row>
    <row r="1170" ht="15" customHeight="1">
      <c r="C1170">
        <f>IF($B1170="","",INT($B1170))</f>
        <v/>
      </c>
      <c r="D1170">
        <f>IF($C1170="","",$C1170-WEEKDAY($C1170,2)+1)</f>
        <v/>
      </c>
      <c r="E1170">
        <f>IF($C1170="","",DATE(YEAR($C1170),MONTH($C1170),1))</f>
        <v/>
      </c>
      <c r="F1170">
        <f>IF($C1170="","",YEAR($C1170)&amp;"-Q"&amp;ROUNDUP(MONTH($C1170)/3,0))</f>
        <v/>
      </c>
      <c r="L1170">
        <f>IF($G1170&lt;&gt;"ALCOHOL","",IF($K1170="","",$H1170*IFERROR(VLOOKUP($K1170,Drink_Templates!$A:$G,7,FALSE),0)))</f>
        <v/>
      </c>
    </row>
    <row r="1171" ht="15" customHeight="1">
      <c r="C1171">
        <f>IF($B1171="","",INT($B1171))</f>
        <v/>
      </c>
      <c r="D1171">
        <f>IF($C1171="","",$C1171-WEEKDAY($C1171,2)+1)</f>
        <v/>
      </c>
      <c r="E1171">
        <f>IF($C1171="","",DATE(YEAR($C1171),MONTH($C1171),1))</f>
        <v/>
      </c>
      <c r="F1171">
        <f>IF($C1171="","",YEAR($C1171)&amp;"-Q"&amp;ROUNDUP(MONTH($C1171)/3,0))</f>
        <v/>
      </c>
      <c r="L1171">
        <f>IF($G1171&lt;&gt;"ALCOHOL","",IF($K1171="","",$H1171*IFERROR(VLOOKUP($K1171,Drink_Templates!$A:$G,7,FALSE),0)))</f>
        <v/>
      </c>
    </row>
    <row r="1172" ht="15" customHeight="1">
      <c r="C1172">
        <f>IF($B1172="","",INT($B1172))</f>
        <v/>
      </c>
      <c r="D1172">
        <f>IF($C1172="","",$C1172-WEEKDAY($C1172,2)+1)</f>
        <v/>
      </c>
      <c r="E1172">
        <f>IF($C1172="","",DATE(YEAR($C1172),MONTH($C1172),1))</f>
        <v/>
      </c>
      <c r="F1172">
        <f>IF($C1172="","",YEAR($C1172)&amp;"-Q"&amp;ROUNDUP(MONTH($C1172)/3,0))</f>
        <v/>
      </c>
      <c r="L1172">
        <f>IF($G1172&lt;&gt;"ALCOHOL","",IF($K1172="","",$H1172*IFERROR(VLOOKUP($K1172,Drink_Templates!$A:$G,7,FALSE),0)))</f>
        <v/>
      </c>
    </row>
    <row r="1173" ht="15" customHeight="1">
      <c r="C1173">
        <f>IF($B1173="","",INT($B1173))</f>
        <v/>
      </c>
      <c r="D1173">
        <f>IF($C1173="","",$C1173-WEEKDAY($C1173,2)+1)</f>
        <v/>
      </c>
      <c r="E1173">
        <f>IF($C1173="","",DATE(YEAR($C1173),MONTH($C1173),1))</f>
        <v/>
      </c>
      <c r="F1173">
        <f>IF($C1173="","",YEAR($C1173)&amp;"-Q"&amp;ROUNDUP(MONTH($C1173)/3,0))</f>
        <v/>
      </c>
      <c r="L1173">
        <f>IF($G1173&lt;&gt;"ALCOHOL","",IF($K1173="","",$H1173*IFERROR(VLOOKUP($K1173,Drink_Templates!$A:$G,7,FALSE),0)))</f>
        <v/>
      </c>
    </row>
    <row r="1174" ht="15" customHeight="1">
      <c r="C1174">
        <f>IF($B1174="","",INT($B1174))</f>
        <v/>
      </c>
      <c r="D1174">
        <f>IF($C1174="","",$C1174-WEEKDAY($C1174,2)+1)</f>
        <v/>
      </c>
      <c r="E1174">
        <f>IF($C1174="","",DATE(YEAR($C1174),MONTH($C1174),1))</f>
        <v/>
      </c>
      <c r="F1174">
        <f>IF($C1174="","",YEAR($C1174)&amp;"-Q"&amp;ROUNDUP(MONTH($C1174)/3,0))</f>
        <v/>
      </c>
      <c r="L1174">
        <f>IF($G1174&lt;&gt;"ALCOHOL","",IF($K1174="","",$H1174*IFERROR(VLOOKUP($K1174,Drink_Templates!$A:$G,7,FALSE),0)))</f>
        <v/>
      </c>
    </row>
    <row r="1175" ht="15" customHeight="1">
      <c r="C1175">
        <f>IF($B1175="","",INT($B1175))</f>
        <v/>
      </c>
      <c r="D1175">
        <f>IF($C1175="","",$C1175-WEEKDAY($C1175,2)+1)</f>
        <v/>
      </c>
      <c r="E1175">
        <f>IF($C1175="","",DATE(YEAR($C1175),MONTH($C1175),1))</f>
        <v/>
      </c>
      <c r="F1175">
        <f>IF($C1175="","",YEAR($C1175)&amp;"-Q"&amp;ROUNDUP(MONTH($C1175)/3,0))</f>
        <v/>
      </c>
      <c r="L1175">
        <f>IF($G1175&lt;&gt;"ALCOHOL","",IF($K1175="","",$H1175*IFERROR(VLOOKUP($K1175,Drink_Templates!$A:$G,7,FALSE),0)))</f>
        <v/>
      </c>
    </row>
    <row r="1176" ht="15" customHeight="1">
      <c r="C1176">
        <f>IF($B1176="","",INT($B1176))</f>
        <v/>
      </c>
      <c r="D1176">
        <f>IF($C1176="","",$C1176-WEEKDAY($C1176,2)+1)</f>
        <v/>
      </c>
      <c r="E1176">
        <f>IF($C1176="","",DATE(YEAR($C1176),MONTH($C1176),1))</f>
        <v/>
      </c>
      <c r="F1176">
        <f>IF($C1176="","",YEAR($C1176)&amp;"-Q"&amp;ROUNDUP(MONTH($C1176)/3,0))</f>
        <v/>
      </c>
      <c r="L1176">
        <f>IF($G1176&lt;&gt;"ALCOHOL","",IF($K1176="","",$H1176*IFERROR(VLOOKUP($K1176,Drink_Templates!$A:$G,7,FALSE),0)))</f>
        <v/>
      </c>
    </row>
    <row r="1177" ht="15" customHeight="1">
      <c r="C1177">
        <f>IF($B1177="","",INT($B1177))</f>
        <v/>
      </c>
      <c r="D1177">
        <f>IF($C1177="","",$C1177-WEEKDAY($C1177,2)+1)</f>
        <v/>
      </c>
      <c r="E1177">
        <f>IF($C1177="","",DATE(YEAR($C1177),MONTH($C1177),1))</f>
        <v/>
      </c>
      <c r="F1177">
        <f>IF($C1177="","",YEAR($C1177)&amp;"-Q"&amp;ROUNDUP(MONTH($C1177)/3,0))</f>
        <v/>
      </c>
      <c r="L1177">
        <f>IF($G1177&lt;&gt;"ALCOHOL","",IF($K1177="","",$H1177*IFERROR(VLOOKUP($K1177,Drink_Templates!$A:$G,7,FALSE),0)))</f>
        <v/>
      </c>
    </row>
    <row r="1178" ht="15" customHeight="1">
      <c r="C1178">
        <f>IF($B1178="","",INT($B1178))</f>
        <v/>
      </c>
      <c r="D1178">
        <f>IF($C1178="","",$C1178-WEEKDAY($C1178,2)+1)</f>
        <v/>
      </c>
      <c r="E1178">
        <f>IF($C1178="","",DATE(YEAR($C1178),MONTH($C1178),1))</f>
        <v/>
      </c>
      <c r="F1178">
        <f>IF($C1178="","",YEAR($C1178)&amp;"-Q"&amp;ROUNDUP(MONTH($C1178)/3,0))</f>
        <v/>
      </c>
      <c r="L1178">
        <f>IF($G1178&lt;&gt;"ALCOHOL","",IF($K1178="","",$H1178*IFERROR(VLOOKUP($K1178,Drink_Templates!$A:$G,7,FALSE),0)))</f>
        <v/>
      </c>
    </row>
    <row r="1179" ht="15" customHeight="1">
      <c r="C1179">
        <f>IF($B1179="","",INT($B1179))</f>
        <v/>
      </c>
      <c r="D1179">
        <f>IF($C1179="","",$C1179-WEEKDAY($C1179,2)+1)</f>
        <v/>
      </c>
      <c r="E1179">
        <f>IF($C1179="","",DATE(YEAR($C1179),MONTH($C1179),1))</f>
        <v/>
      </c>
      <c r="F1179">
        <f>IF($C1179="","",YEAR($C1179)&amp;"-Q"&amp;ROUNDUP(MONTH($C1179)/3,0))</f>
        <v/>
      </c>
      <c r="L1179">
        <f>IF($G1179&lt;&gt;"ALCOHOL","",IF($K1179="","",$H1179*IFERROR(VLOOKUP($K1179,Drink_Templates!$A:$G,7,FALSE),0)))</f>
        <v/>
      </c>
    </row>
    <row r="1180" ht="15" customHeight="1">
      <c r="C1180">
        <f>IF($B1180="","",INT($B1180))</f>
        <v/>
      </c>
      <c r="D1180">
        <f>IF($C1180="","",$C1180-WEEKDAY($C1180,2)+1)</f>
        <v/>
      </c>
      <c r="E1180">
        <f>IF($C1180="","",DATE(YEAR($C1180),MONTH($C1180),1))</f>
        <v/>
      </c>
      <c r="F1180">
        <f>IF($C1180="","",YEAR($C1180)&amp;"-Q"&amp;ROUNDUP(MONTH($C1180)/3,0))</f>
        <v/>
      </c>
      <c r="L1180">
        <f>IF($G1180&lt;&gt;"ALCOHOL","",IF($K1180="","",$H1180*IFERROR(VLOOKUP($K1180,Drink_Templates!$A:$G,7,FALSE),0)))</f>
        <v/>
      </c>
    </row>
    <row r="1181" ht="15" customHeight="1">
      <c r="C1181">
        <f>IF($B1181="","",INT($B1181))</f>
        <v/>
      </c>
      <c r="D1181">
        <f>IF($C1181="","",$C1181-WEEKDAY($C1181,2)+1)</f>
        <v/>
      </c>
      <c r="E1181">
        <f>IF($C1181="","",DATE(YEAR($C1181),MONTH($C1181),1))</f>
        <v/>
      </c>
      <c r="F1181">
        <f>IF($C1181="","",YEAR($C1181)&amp;"-Q"&amp;ROUNDUP(MONTH($C1181)/3,0))</f>
        <v/>
      </c>
      <c r="L1181">
        <f>IF($G1181&lt;&gt;"ALCOHOL","",IF($K1181="","",$H1181*IFERROR(VLOOKUP($K1181,Drink_Templates!$A:$G,7,FALSE),0)))</f>
        <v/>
      </c>
    </row>
    <row r="1182" ht="15" customHeight="1">
      <c r="C1182">
        <f>IF($B1182="","",INT($B1182))</f>
        <v/>
      </c>
      <c r="D1182">
        <f>IF($C1182="","",$C1182-WEEKDAY($C1182,2)+1)</f>
        <v/>
      </c>
      <c r="E1182">
        <f>IF($C1182="","",DATE(YEAR($C1182),MONTH($C1182),1))</f>
        <v/>
      </c>
      <c r="F1182">
        <f>IF($C1182="","",YEAR($C1182)&amp;"-Q"&amp;ROUNDUP(MONTH($C1182)/3,0))</f>
        <v/>
      </c>
      <c r="L1182">
        <f>IF($G1182&lt;&gt;"ALCOHOL","",IF($K1182="","",$H1182*IFERROR(VLOOKUP($K1182,Drink_Templates!$A:$G,7,FALSE),0)))</f>
        <v/>
      </c>
    </row>
    <row r="1183" ht="15" customHeight="1">
      <c r="C1183">
        <f>IF($B1183="","",INT($B1183))</f>
        <v/>
      </c>
      <c r="D1183">
        <f>IF($C1183="","",$C1183-WEEKDAY($C1183,2)+1)</f>
        <v/>
      </c>
      <c r="E1183">
        <f>IF($C1183="","",DATE(YEAR($C1183),MONTH($C1183),1))</f>
        <v/>
      </c>
      <c r="F1183">
        <f>IF($C1183="","",YEAR($C1183)&amp;"-Q"&amp;ROUNDUP(MONTH($C1183)/3,0))</f>
        <v/>
      </c>
      <c r="L1183">
        <f>IF($G1183&lt;&gt;"ALCOHOL","",IF($K1183="","",$H1183*IFERROR(VLOOKUP($K1183,Drink_Templates!$A:$G,7,FALSE),0)))</f>
        <v/>
      </c>
    </row>
    <row r="1184" ht="15" customHeight="1">
      <c r="C1184">
        <f>IF($B1184="","",INT($B1184))</f>
        <v/>
      </c>
      <c r="D1184">
        <f>IF($C1184="","",$C1184-WEEKDAY($C1184,2)+1)</f>
        <v/>
      </c>
      <c r="E1184">
        <f>IF($C1184="","",DATE(YEAR($C1184),MONTH($C1184),1))</f>
        <v/>
      </c>
      <c r="F1184">
        <f>IF($C1184="","",YEAR($C1184)&amp;"-Q"&amp;ROUNDUP(MONTH($C1184)/3,0))</f>
        <v/>
      </c>
      <c r="L1184">
        <f>IF($G1184&lt;&gt;"ALCOHOL","",IF($K1184="","",$H1184*IFERROR(VLOOKUP($K1184,Drink_Templates!$A:$G,7,FALSE),0)))</f>
        <v/>
      </c>
    </row>
    <row r="1185" ht="15" customHeight="1">
      <c r="C1185">
        <f>IF($B1185="","",INT($B1185))</f>
        <v/>
      </c>
      <c r="D1185">
        <f>IF($C1185="","",$C1185-WEEKDAY($C1185,2)+1)</f>
        <v/>
      </c>
      <c r="E1185">
        <f>IF($C1185="","",DATE(YEAR($C1185),MONTH($C1185),1))</f>
        <v/>
      </c>
      <c r="F1185">
        <f>IF($C1185="","",YEAR($C1185)&amp;"-Q"&amp;ROUNDUP(MONTH($C1185)/3,0))</f>
        <v/>
      </c>
      <c r="L1185">
        <f>IF($G1185&lt;&gt;"ALCOHOL","",IF($K1185="","",$H1185*IFERROR(VLOOKUP($K1185,Drink_Templates!$A:$G,7,FALSE),0)))</f>
        <v/>
      </c>
    </row>
    <row r="1186" ht="15" customHeight="1">
      <c r="C1186">
        <f>IF($B1186="","",INT($B1186))</f>
        <v/>
      </c>
      <c r="D1186">
        <f>IF($C1186="","",$C1186-WEEKDAY($C1186,2)+1)</f>
        <v/>
      </c>
      <c r="E1186">
        <f>IF($C1186="","",DATE(YEAR($C1186),MONTH($C1186),1))</f>
        <v/>
      </c>
      <c r="F1186">
        <f>IF($C1186="","",YEAR($C1186)&amp;"-Q"&amp;ROUNDUP(MONTH($C1186)/3,0))</f>
        <v/>
      </c>
      <c r="L1186">
        <f>IF($G1186&lt;&gt;"ALCOHOL","",IF($K1186="","",$H1186*IFERROR(VLOOKUP($K1186,Drink_Templates!$A:$G,7,FALSE),0)))</f>
        <v/>
      </c>
    </row>
    <row r="1187" ht="15" customHeight="1">
      <c r="C1187">
        <f>IF($B1187="","",INT($B1187))</f>
        <v/>
      </c>
      <c r="D1187">
        <f>IF($C1187="","",$C1187-WEEKDAY($C1187,2)+1)</f>
        <v/>
      </c>
      <c r="E1187">
        <f>IF($C1187="","",DATE(YEAR($C1187),MONTH($C1187),1))</f>
        <v/>
      </c>
      <c r="F1187">
        <f>IF($C1187="","",YEAR($C1187)&amp;"-Q"&amp;ROUNDUP(MONTH($C1187)/3,0))</f>
        <v/>
      </c>
      <c r="L1187">
        <f>IF($G1187&lt;&gt;"ALCOHOL","",IF($K1187="","",$H1187*IFERROR(VLOOKUP($K1187,Drink_Templates!$A:$G,7,FALSE),0)))</f>
        <v/>
      </c>
    </row>
    <row r="1188" ht="15" customHeight="1">
      <c r="C1188">
        <f>IF($B1188="","",INT($B1188))</f>
        <v/>
      </c>
      <c r="D1188">
        <f>IF($C1188="","",$C1188-WEEKDAY($C1188,2)+1)</f>
        <v/>
      </c>
      <c r="E1188">
        <f>IF($C1188="","",DATE(YEAR($C1188),MONTH($C1188),1))</f>
        <v/>
      </c>
      <c r="F1188">
        <f>IF($C1188="","",YEAR($C1188)&amp;"-Q"&amp;ROUNDUP(MONTH($C1188)/3,0))</f>
        <v/>
      </c>
      <c r="L1188">
        <f>IF($G1188&lt;&gt;"ALCOHOL","",IF($K1188="","",$H1188*IFERROR(VLOOKUP($K1188,Drink_Templates!$A:$G,7,FALSE),0)))</f>
        <v/>
      </c>
    </row>
    <row r="1189" ht="15" customHeight="1">
      <c r="C1189">
        <f>IF($B1189="","",INT($B1189))</f>
        <v/>
      </c>
      <c r="D1189">
        <f>IF($C1189="","",$C1189-WEEKDAY($C1189,2)+1)</f>
        <v/>
      </c>
      <c r="E1189">
        <f>IF($C1189="","",DATE(YEAR($C1189),MONTH($C1189),1))</f>
        <v/>
      </c>
      <c r="F1189">
        <f>IF($C1189="","",YEAR($C1189)&amp;"-Q"&amp;ROUNDUP(MONTH($C1189)/3,0))</f>
        <v/>
      </c>
      <c r="L1189">
        <f>IF($G1189&lt;&gt;"ALCOHOL","",IF($K1189="","",$H1189*IFERROR(VLOOKUP($K1189,Drink_Templates!$A:$G,7,FALSE),0)))</f>
        <v/>
      </c>
    </row>
    <row r="1190" ht="15" customHeight="1">
      <c r="C1190">
        <f>IF($B1190="","",INT($B1190))</f>
        <v/>
      </c>
      <c r="D1190">
        <f>IF($C1190="","",$C1190-WEEKDAY($C1190,2)+1)</f>
        <v/>
      </c>
      <c r="E1190">
        <f>IF($C1190="","",DATE(YEAR($C1190),MONTH($C1190),1))</f>
        <v/>
      </c>
      <c r="F1190">
        <f>IF($C1190="","",YEAR($C1190)&amp;"-Q"&amp;ROUNDUP(MONTH($C1190)/3,0))</f>
        <v/>
      </c>
      <c r="L1190">
        <f>IF($G1190&lt;&gt;"ALCOHOL","",IF($K1190="","",$H1190*IFERROR(VLOOKUP($K1190,Drink_Templates!$A:$G,7,FALSE),0)))</f>
        <v/>
      </c>
    </row>
    <row r="1191" ht="15" customHeight="1">
      <c r="C1191">
        <f>IF($B1191="","",INT($B1191))</f>
        <v/>
      </c>
      <c r="D1191">
        <f>IF($C1191="","",$C1191-WEEKDAY($C1191,2)+1)</f>
        <v/>
      </c>
      <c r="E1191">
        <f>IF($C1191="","",DATE(YEAR($C1191),MONTH($C1191),1))</f>
        <v/>
      </c>
      <c r="F1191">
        <f>IF($C1191="","",YEAR($C1191)&amp;"-Q"&amp;ROUNDUP(MONTH($C1191)/3,0))</f>
        <v/>
      </c>
      <c r="L1191">
        <f>IF($G1191&lt;&gt;"ALCOHOL","",IF($K1191="","",$H1191*IFERROR(VLOOKUP($K1191,Drink_Templates!$A:$G,7,FALSE),0)))</f>
        <v/>
      </c>
    </row>
    <row r="1192" ht="15" customHeight="1">
      <c r="C1192">
        <f>IF($B1192="","",INT($B1192))</f>
        <v/>
      </c>
      <c r="D1192">
        <f>IF($C1192="","",$C1192-WEEKDAY($C1192,2)+1)</f>
        <v/>
      </c>
      <c r="E1192">
        <f>IF($C1192="","",DATE(YEAR($C1192),MONTH($C1192),1))</f>
        <v/>
      </c>
      <c r="F1192">
        <f>IF($C1192="","",YEAR($C1192)&amp;"-Q"&amp;ROUNDUP(MONTH($C1192)/3,0))</f>
        <v/>
      </c>
      <c r="L1192">
        <f>IF($G1192&lt;&gt;"ALCOHOL","",IF($K1192="","",$H1192*IFERROR(VLOOKUP($K1192,Drink_Templates!$A:$G,7,FALSE),0)))</f>
        <v/>
      </c>
    </row>
    <row r="1193" ht="15" customHeight="1">
      <c r="C1193">
        <f>IF($B1193="","",INT($B1193))</f>
        <v/>
      </c>
      <c r="D1193">
        <f>IF($C1193="","",$C1193-WEEKDAY($C1193,2)+1)</f>
        <v/>
      </c>
      <c r="E1193">
        <f>IF($C1193="","",DATE(YEAR($C1193),MONTH($C1193),1))</f>
        <v/>
      </c>
      <c r="F1193">
        <f>IF($C1193="","",YEAR($C1193)&amp;"-Q"&amp;ROUNDUP(MONTH($C1193)/3,0))</f>
        <v/>
      </c>
      <c r="L1193">
        <f>IF($G1193&lt;&gt;"ALCOHOL","",IF($K1193="","",$H1193*IFERROR(VLOOKUP($K1193,Drink_Templates!$A:$G,7,FALSE),0)))</f>
        <v/>
      </c>
    </row>
    <row r="1194" ht="15" customHeight="1">
      <c r="C1194">
        <f>IF($B1194="","",INT($B1194))</f>
        <v/>
      </c>
      <c r="D1194">
        <f>IF($C1194="","",$C1194-WEEKDAY($C1194,2)+1)</f>
        <v/>
      </c>
      <c r="E1194">
        <f>IF($C1194="","",DATE(YEAR($C1194),MONTH($C1194),1))</f>
        <v/>
      </c>
      <c r="F1194">
        <f>IF($C1194="","",YEAR($C1194)&amp;"-Q"&amp;ROUNDUP(MONTH($C1194)/3,0))</f>
        <v/>
      </c>
      <c r="L1194">
        <f>IF($G1194&lt;&gt;"ALCOHOL","",IF($K1194="","",$H1194*IFERROR(VLOOKUP($K1194,Drink_Templates!$A:$G,7,FALSE),0)))</f>
        <v/>
      </c>
    </row>
    <row r="1195" ht="15" customHeight="1">
      <c r="C1195">
        <f>IF($B1195="","",INT($B1195))</f>
        <v/>
      </c>
      <c r="D1195">
        <f>IF($C1195="","",$C1195-WEEKDAY($C1195,2)+1)</f>
        <v/>
      </c>
      <c r="E1195">
        <f>IF($C1195="","",DATE(YEAR($C1195),MONTH($C1195),1))</f>
        <v/>
      </c>
      <c r="F1195">
        <f>IF($C1195="","",YEAR($C1195)&amp;"-Q"&amp;ROUNDUP(MONTH($C1195)/3,0))</f>
        <v/>
      </c>
      <c r="L1195">
        <f>IF($G1195&lt;&gt;"ALCOHOL","",IF($K1195="","",$H1195*IFERROR(VLOOKUP($K1195,Drink_Templates!$A:$G,7,FALSE),0)))</f>
        <v/>
      </c>
    </row>
    <row r="1196" ht="15" customHeight="1">
      <c r="C1196">
        <f>IF($B1196="","",INT($B1196))</f>
        <v/>
      </c>
      <c r="D1196">
        <f>IF($C1196="","",$C1196-WEEKDAY($C1196,2)+1)</f>
        <v/>
      </c>
      <c r="E1196">
        <f>IF($C1196="","",DATE(YEAR($C1196),MONTH($C1196),1))</f>
        <v/>
      </c>
      <c r="F1196">
        <f>IF($C1196="","",YEAR($C1196)&amp;"-Q"&amp;ROUNDUP(MONTH($C1196)/3,0))</f>
        <v/>
      </c>
      <c r="L1196">
        <f>IF($G1196&lt;&gt;"ALCOHOL","",IF($K1196="","",$H1196*IFERROR(VLOOKUP($K1196,Drink_Templates!$A:$G,7,FALSE),0)))</f>
        <v/>
      </c>
    </row>
    <row r="1197" ht="15" customHeight="1">
      <c r="C1197">
        <f>IF($B1197="","",INT($B1197))</f>
        <v/>
      </c>
      <c r="D1197">
        <f>IF($C1197="","",$C1197-WEEKDAY($C1197,2)+1)</f>
        <v/>
      </c>
      <c r="E1197">
        <f>IF($C1197="","",DATE(YEAR($C1197),MONTH($C1197),1))</f>
        <v/>
      </c>
      <c r="F1197">
        <f>IF($C1197="","",YEAR($C1197)&amp;"-Q"&amp;ROUNDUP(MONTH($C1197)/3,0))</f>
        <v/>
      </c>
      <c r="L1197">
        <f>IF($G1197&lt;&gt;"ALCOHOL","",IF($K1197="","",$H1197*IFERROR(VLOOKUP($K1197,Drink_Templates!$A:$G,7,FALSE),0)))</f>
        <v/>
      </c>
    </row>
    <row r="1198" ht="15" customHeight="1">
      <c r="C1198">
        <f>IF($B1198="","",INT($B1198))</f>
        <v/>
      </c>
      <c r="D1198">
        <f>IF($C1198="","",$C1198-WEEKDAY($C1198,2)+1)</f>
        <v/>
      </c>
      <c r="E1198">
        <f>IF($C1198="","",DATE(YEAR($C1198),MONTH($C1198),1))</f>
        <v/>
      </c>
      <c r="F1198">
        <f>IF($C1198="","",YEAR($C1198)&amp;"-Q"&amp;ROUNDUP(MONTH($C1198)/3,0))</f>
        <v/>
      </c>
      <c r="L1198">
        <f>IF($G1198&lt;&gt;"ALCOHOL","",IF($K1198="","",$H1198*IFERROR(VLOOKUP($K1198,Drink_Templates!$A:$G,7,FALSE),0)))</f>
        <v/>
      </c>
    </row>
    <row r="1199" ht="15" customHeight="1">
      <c r="C1199">
        <f>IF($B1199="","",INT($B1199))</f>
        <v/>
      </c>
      <c r="D1199">
        <f>IF($C1199="","",$C1199-WEEKDAY($C1199,2)+1)</f>
        <v/>
      </c>
      <c r="E1199">
        <f>IF($C1199="","",DATE(YEAR($C1199),MONTH($C1199),1))</f>
        <v/>
      </c>
      <c r="F1199">
        <f>IF($C1199="","",YEAR($C1199)&amp;"-Q"&amp;ROUNDUP(MONTH($C1199)/3,0))</f>
        <v/>
      </c>
      <c r="L1199">
        <f>IF($G1199&lt;&gt;"ALCOHOL","",IF($K1199="","",$H1199*IFERROR(VLOOKUP($K1199,Drink_Templates!$A:$G,7,FALSE),0)))</f>
        <v/>
      </c>
    </row>
    <row r="1200" ht="15" customHeight="1">
      <c r="C1200">
        <f>IF($B1200="","",INT($B1200))</f>
        <v/>
      </c>
      <c r="D1200">
        <f>IF($C1200="","",$C1200-WEEKDAY($C1200,2)+1)</f>
        <v/>
      </c>
      <c r="E1200">
        <f>IF($C1200="","",DATE(YEAR($C1200),MONTH($C1200),1))</f>
        <v/>
      </c>
      <c r="F1200">
        <f>IF($C1200="","",YEAR($C1200)&amp;"-Q"&amp;ROUNDUP(MONTH($C1200)/3,0))</f>
        <v/>
      </c>
      <c r="L1200">
        <f>IF($G1200&lt;&gt;"ALCOHOL","",IF($K1200="","",$H1200*IFERROR(VLOOKUP($K1200,Drink_Templates!$A:$G,7,FALSE),0)))</f>
        <v/>
      </c>
    </row>
    <row r="1201" ht="15" customHeight="1">
      <c r="C1201">
        <f>IF($B1201="","",INT($B1201))</f>
        <v/>
      </c>
      <c r="D1201">
        <f>IF($C1201="","",$C1201-WEEKDAY($C1201,2)+1)</f>
        <v/>
      </c>
      <c r="E1201">
        <f>IF($C1201="","",DATE(YEAR($C1201),MONTH($C1201),1))</f>
        <v/>
      </c>
      <c r="F1201">
        <f>IF($C1201="","",YEAR($C1201)&amp;"-Q"&amp;ROUNDUP(MONTH($C1201)/3,0))</f>
        <v/>
      </c>
      <c r="L1201">
        <f>IF($G1201&lt;&gt;"ALCOHOL","",IF($K1201="","",$H1201*IFERROR(VLOOKUP($K1201,Drink_Templates!$A:$G,7,FALSE),0)))</f>
        <v/>
      </c>
    </row>
    <row r="1202" ht="15" customHeight="1">
      <c r="C1202">
        <f>IF($B1202="","",INT($B1202))</f>
        <v/>
      </c>
      <c r="D1202">
        <f>IF($C1202="","",$C1202-WEEKDAY($C1202,2)+1)</f>
        <v/>
      </c>
      <c r="E1202">
        <f>IF($C1202="","",DATE(YEAR($C1202),MONTH($C1202),1))</f>
        <v/>
      </c>
      <c r="F1202">
        <f>IF($C1202="","",YEAR($C1202)&amp;"-Q"&amp;ROUNDUP(MONTH($C1202)/3,0))</f>
        <v/>
      </c>
      <c r="L1202">
        <f>IF($G1202&lt;&gt;"ALCOHOL","",IF($K1202="","",$H1202*IFERROR(VLOOKUP($K1202,Drink_Templates!$A:$G,7,FALSE),0)))</f>
        <v/>
      </c>
    </row>
    <row r="1203" ht="15" customHeight="1">
      <c r="C1203">
        <f>IF($B1203="","",INT($B1203))</f>
        <v/>
      </c>
      <c r="D1203">
        <f>IF($C1203="","",$C1203-WEEKDAY($C1203,2)+1)</f>
        <v/>
      </c>
      <c r="E1203">
        <f>IF($C1203="","",DATE(YEAR($C1203),MONTH($C1203),1))</f>
        <v/>
      </c>
      <c r="F1203">
        <f>IF($C1203="","",YEAR($C1203)&amp;"-Q"&amp;ROUNDUP(MONTH($C1203)/3,0))</f>
        <v/>
      </c>
      <c r="L1203">
        <f>IF($G1203&lt;&gt;"ALCOHOL","",IF($K1203="","",$H1203*IFERROR(VLOOKUP($K1203,Drink_Templates!$A:$G,7,FALSE),0)))</f>
        <v/>
      </c>
    </row>
    <row r="1204" ht="15" customHeight="1">
      <c r="C1204">
        <f>IF($B1204="","",INT($B1204))</f>
        <v/>
      </c>
      <c r="D1204">
        <f>IF($C1204="","",$C1204-WEEKDAY($C1204,2)+1)</f>
        <v/>
      </c>
      <c r="E1204">
        <f>IF($C1204="","",DATE(YEAR($C1204),MONTH($C1204),1))</f>
        <v/>
      </c>
      <c r="F1204">
        <f>IF($C1204="","",YEAR($C1204)&amp;"-Q"&amp;ROUNDUP(MONTH($C1204)/3,0))</f>
        <v/>
      </c>
      <c r="L1204">
        <f>IF($G1204&lt;&gt;"ALCOHOL","",IF($K1204="","",$H1204*IFERROR(VLOOKUP($K1204,Drink_Templates!$A:$G,7,FALSE),0)))</f>
        <v/>
      </c>
    </row>
    <row r="1205" ht="15" customHeight="1">
      <c r="C1205">
        <f>IF($B1205="","",INT($B1205))</f>
        <v/>
      </c>
      <c r="D1205">
        <f>IF($C1205="","",$C1205-WEEKDAY($C1205,2)+1)</f>
        <v/>
      </c>
      <c r="E1205">
        <f>IF($C1205="","",DATE(YEAR($C1205),MONTH($C1205),1))</f>
        <v/>
      </c>
      <c r="F1205">
        <f>IF($C1205="","",YEAR($C1205)&amp;"-Q"&amp;ROUNDUP(MONTH($C1205)/3,0))</f>
        <v/>
      </c>
      <c r="L1205">
        <f>IF($G1205&lt;&gt;"ALCOHOL","",IF($K1205="","",$H1205*IFERROR(VLOOKUP($K1205,Drink_Templates!$A:$G,7,FALSE),0)))</f>
        <v/>
      </c>
    </row>
    <row r="1206" ht="15" customHeight="1">
      <c r="C1206">
        <f>IF($B1206="","",INT($B1206))</f>
        <v/>
      </c>
      <c r="D1206">
        <f>IF($C1206="","",$C1206-WEEKDAY($C1206,2)+1)</f>
        <v/>
      </c>
      <c r="E1206">
        <f>IF($C1206="","",DATE(YEAR($C1206),MONTH($C1206),1))</f>
        <v/>
      </c>
      <c r="F1206">
        <f>IF($C1206="","",YEAR($C1206)&amp;"-Q"&amp;ROUNDUP(MONTH($C1206)/3,0))</f>
        <v/>
      </c>
      <c r="L1206">
        <f>IF($G1206&lt;&gt;"ALCOHOL","",IF($K1206="","",$H1206*IFERROR(VLOOKUP($K1206,Drink_Templates!$A:$G,7,FALSE),0)))</f>
        <v/>
      </c>
    </row>
    <row r="1207" ht="15" customHeight="1">
      <c r="C1207">
        <f>IF($B1207="","",INT($B1207))</f>
        <v/>
      </c>
      <c r="D1207">
        <f>IF($C1207="","",$C1207-WEEKDAY($C1207,2)+1)</f>
        <v/>
      </c>
      <c r="E1207">
        <f>IF($C1207="","",DATE(YEAR($C1207),MONTH($C1207),1))</f>
        <v/>
      </c>
      <c r="F1207">
        <f>IF($C1207="","",YEAR($C1207)&amp;"-Q"&amp;ROUNDUP(MONTH($C1207)/3,0))</f>
        <v/>
      </c>
      <c r="L1207">
        <f>IF($G1207&lt;&gt;"ALCOHOL","",IF($K1207="","",$H1207*IFERROR(VLOOKUP($K1207,Drink_Templates!$A:$G,7,FALSE),0)))</f>
        <v/>
      </c>
    </row>
    <row r="1208" ht="15" customHeight="1">
      <c r="C1208">
        <f>IF($B1208="","",INT($B1208))</f>
        <v/>
      </c>
      <c r="D1208">
        <f>IF($C1208="","",$C1208-WEEKDAY($C1208,2)+1)</f>
        <v/>
      </c>
      <c r="E1208">
        <f>IF($C1208="","",DATE(YEAR($C1208),MONTH($C1208),1))</f>
        <v/>
      </c>
      <c r="F1208">
        <f>IF($C1208="","",YEAR($C1208)&amp;"-Q"&amp;ROUNDUP(MONTH($C1208)/3,0))</f>
        <v/>
      </c>
      <c r="L1208">
        <f>IF($G1208&lt;&gt;"ALCOHOL","",IF($K1208="","",$H1208*IFERROR(VLOOKUP($K1208,Drink_Templates!$A:$G,7,FALSE),0)))</f>
        <v/>
      </c>
    </row>
    <row r="1209" ht="15" customHeight="1">
      <c r="C1209">
        <f>IF($B1209="","",INT($B1209))</f>
        <v/>
      </c>
      <c r="D1209">
        <f>IF($C1209="","",$C1209-WEEKDAY($C1209,2)+1)</f>
        <v/>
      </c>
      <c r="E1209">
        <f>IF($C1209="","",DATE(YEAR($C1209),MONTH($C1209),1))</f>
        <v/>
      </c>
      <c r="F1209">
        <f>IF($C1209="","",YEAR($C1209)&amp;"-Q"&amp;ROUNDUP(MONTH($C1209)/3,0))</f>
        <v/>
      </c>
      <c r="L1209">
        <f>IF($G1209&lt;&gt;"ALCOHOL","",IF($K1209="","",$H1209*IFERROR(VLOOKUP($K1209,Drink_Templates!$A:$G,7,FALSE),0)))</f>
        <v/>
      </c>
    </row>
    <row r="1210" ht="15" customHeight="1">
      <c r="C1210">
        <f>IF($B1210="","",INT($B1210))</f>
        <v/>
      </c>
      <c r="D1210">
        <f>IF($C1210="","",$C1210-WEEKDAY($C1210,2)+1)</f>
        <v/>
      </c>
      <c r="E1210">
        <f>IF($C1210="","",DATE(YEAR($C1210),MONTH($C1210),1))</f>
        <v/>
      </c>
      <c r="F1210">
        <f>IF($C1210="","",YEAR($C1210)&amp;"-Q"&amp;ROUNDUP(MONTH($C1210)/3,0))</f>
        <v/>
      </c>
      <c r="L1210">
        <f>IF($G1210&lt;&gt;"ALCOHOL","",IF($K1210="","",$H1210*IFERROR(VLOOKUP($K1210,Drink_Templates!$A:$G,7,FALSE),0)))</f>
        <v/>
      </c>
    </row>
    <row r="1211" ht="15" customHeight="1">
      <c r="C1211">
        <f>IF($B1211="","",INT($B1211))</f>
        <v/>
      </c>
      <c r="D1211">
        <f>IF($C1211="","",$C1211-WEEKDAY($C1211,2)+1)</f>
        <v/>
      </c>
      <c r="E1211">
        <f>IF($C1211="","",DATE(YEAR($C1211),MONTH($C1211),1))</f>
        <v/>
      </c>
      <c r="F1211">
        <f>IF($C1211="","",YEAR($C1211)&amp;"-Q"&amp;ROUNDUP(MONTH($C1211)/3,0))</f>
        <v/>
      </c>
      <c r="L1211">
        <f>IF($G1211&lt;&gt;"ALCOHOL","",IF($K1211="","",$H1211*IFERROR(VLOOKUP($K1211,Drink_Templates!$A:$G,7,FALSE),0)))</f>
        <v/>
      </c>
    </row>
    <row r="1212" ht="15" customHeight="1">
      <c r="C1212">
        <f>IF($B1212="","",INT($B1212))</f>
        <v/>
      </c>
      <c r="D1212">
        <f>IF($C1212="","",$C1212-WEEKDAY($C1212,2)+1)</f>
        <v/>
      </c>
      <c r="E1212">
        <f>IF($C1212="","",DATE(YEAR($C1212),MONTH($C1212),1))</f>
        <v/>
      </c>
      <c r="F1212">
        <f>IF($C1212="","",YEAR($C1212)&amp;"-Q"&amp;ROUNDUP(MONTH($C1212)/3,0))</f>
        <v/>
      </c>
      <c r="L1212">
        <f>IF($G1212&lt;&gt;"ALCOHOL","",IF($K1212="","",$H1212*IFERROR(VLOOKUP($K1212,Drink_Templates!$A:$G,7,FALSE),0)))</f>
        <v/>
      </c>
    </row>
    <row r="1213" ht="15" customHeight="1">
      <c r="C1213">
        <f>IF($B1213="","",INT($B1213))</f>
        <v/>
      </c>
      <c r="D1213">
        <f>IF($C1213="","",$C1213-WEEKDAY($C1213,2)+1)</f>
        <v/>
      </c>
      <c r="E1213">
        <f>IF($C1213="","",DATE(YEAR($C1213),MONTH($C1213),1))</f>
        <v/>
      </c>
      <c r="F1213">
        <f>IF($C1213="","",YEAR($C1213)&amp;"-Q"&amp;ROUNDUP(MONTH($C1213)/3,0))</f>
        <v/>
      </c>
      <c r="L1213">
        <f>IF($G1213&lt;&gt;"ALCOHOL","",IF($K1213="","",$H1213*IFERROR(VLOOKUP($K1213,Drink_Templates!$A:$G,7,FALSE),0)))</f>
        <v/>
      </c>
    </row>
    <row r="1214" ht="15" customHeight="1">
      <c r="C1214">
        <f>IF($B1214="","",INT($B1214))</f>
        <v/>
      </c>
      <c r="D1214">
        <f>IF($C1214="","",$C1214-WEEKDAY($C1214,2)+1)</f>
        <v/>
      </c>
      <c r="E1214">
        <f>IF($C1214="","",DATE(YEAR($C1214),MONTH($C1214),1))</f>
        <v/>
      </c>
      <c r="F1214">
        <f>IF($C1214="","",YEAR($C1214)&amp;"-Q"&amp;ROUNDUP(MONTH($C1214)/3,0))</f>
        <v/>
      </c>
      <c r="L1214">
        <f>IF($G1214&lt;&gt;"ALCOHOL","",IF($K1214="","",$H1214*IFERROR(VLOOKUP($K1214,Drink_Templates!$A:$G,7,FALSE),0)))</f>
        <v/>
      </c>
    </row>
    <row r="1215" ht="15" customHeight="1">
      <c r="C1215">
        <f>IF($B1215="","",INT($B1215))</f>
        <v/>
      </c>
      <c r="D1215">
        <f>IF($C1215="","",$C1215-WEEKDAY($C1215,2)+1)</f>
        <v/>
      </c>
      <c r="E1215">
        <f>IF($C1215="","",DATE(YEAR($C1215),MONTH($C1215),1))</f>
        <v/>
      </c>
      <c r="F1215">
        <f>IF($C1215="","",YEAR($C1215)&amp;"-Q"&amp;ROUNDUP(MONTH($C1215)/3,0))</f>
        <v/>
      </c>
      <c r="L1215">
        <f>IF($G1215&lt;&gt;"ALCOHOL","",IF($K1215="","",$H1215*IFERROR(VLOOKUP($K1215,Drink_Templates!$A:$G,7,FALSE),0)))</f>
        <v/>
      </c>
    </row>
    <row r="1216" ht="15" customHeight="1">
      <c r="C1216">
        <f>IF($B1216="","",INT($B1216))</f>
        <v/>
      </c>
      <c r="D1216">
        <f>IF($C1216="","",$C1216-WEEKDAY($C1216,2)+1)</f>
        <v/>
      </c>
      <c r="E1216">
        <f>IF($C1216="","",DATE(YEAR($C1216),MONTH($C1216),1))</f>
        <v/>
      </c>
      <c r="F1216">
        <f>IF($C1216="","",YEAR($C1216)&amp;"-Q"&amp;ROUNDUP(MONTH($C1216)/3,0))</f>
        <v/>
      </c>
      <c r="L1216">
        <f>IF($G1216&lt;&gt;"ALCOHOL","",IF($K1216="","",$H1216*IFERROR(VLOOKUP($K1216,Drink_Templates!$A:$G,7,FALSE),0)))</f>
        <v/>
      </c>
    </row>
    <row r="1217" ht="15" customHeight="1">
      <c r="C1217">
        <f>IF($B1217="","",INT($B1217))</f>
        <v/>
      </c>
      <c r="D1217">
        <f>IF($C1217="","",$C1217-WEEKDAY($C1217,2)+1)</f>
        <v/>
      </c>
      <c r="E1217">
        <f>IF($C1217="","",DATE(YEAR($C1217),MONTH($C1217),1))</f>
        <v/>
      </c>
      <c r="F1217">
        <f>IF($C1217="","",YEAR($C1217)&amp;"-Q"&amp;ROUNDUP(MONTH($C1217)/3,0))</f>
        <v/>
      </c>
      <c r="L1217">
        <f>IF($G1217&lt;&gt;"ALCOHOL","",IF($K1217="","",$H1217*IFERROR(VLOOKUP($K1217,Drink_Templates!$A:$G,7,FALSE),0)))</f>
        <v/>
      </c>
    </row>
    <row r="1218" ht="15" customHeight="1">
      <c r="C1218">
        <f>IF($B1218="","",INT($B1218))</f>
        <v/>
      </c>
      <c r="D1218">
        <f>IF($C1218="","",$C1218-WEEKDAY($C1218,2)+1)</f>
        <v/>
      </c>
      <c r="E1218">
        <f>IF($C1218="","",DATE(YEAR($C1218),MONTH($C1218),1))</f>
        <v/>
      </c>
      <c r="F1218">
        <f>IF($C1218="","",YEAR($C1218)&amp;"-Q"&amp;ROUNDUP(MONTH($C1218)/3,0))</f>
        <v/>
      </c>
      <c r="L1218">
        <f>IF($G1218&lt;&gt;"ALCOHOL","",IF($K1218="","",$H1218*IFERROR(VLOOKUP($K1218,Drink_Templates!$A:$G,7,FALSE),0)))</f>
        <v/>
      </c>
    </row>
    <row r="1219" ht="15" customHeight="1">
      <c r="C1219">
        <f>IF($B1219="","",INT($B1219))</f>
        <v/>
      </c>
      <c r="D1219">
        <f>IF($C1219="","",$C1219-WEEKDAY($C1219,2)+1)</f>
        <v/>
      </c>
      <c r="E1219">
        <f>IF($C1219="","",DATE(YEAR($C1219),MONTH($C1219),1))</f>
        <v/>
      </c>
      <c r="F1219">
        <f>IF($C1219="","",YEAR($C1219)&amp;"-Q"&amp;ROUNDUP(MONTH($C1219)/3,0))</f>
        <v/>
      </c>
      <c r="L1219">
        <f>IF($G1219&lt;&gt;"ALCOHOL","",IF($K1219="","",$H1219*IFERROR(VLOOKUP($K1219,Drink_Templates!$A:$G,7,FALSE),0)))</f>
        <v/>
      </c>
    </row>
    <row r="1220" ht="15" customHeight="1">
      <c r="C1220">
        <f>IF($B1220="","",INT($B1220))</f>
        <v/>
      </c>
      <c r="D1220">
        <f>IF($C1220="","",$C1220-WEEKDAY($C1220,2)+1)</f>
        <v/>
      </c>
      <c r="E1220">
        <f>IF($C1220="","",DATE(YEAR($C1220),MONTH($C1220),1))</f>
        <v/>
      </c>
      <c r="F1220">
        <f>IF($C1220="","",YEAR($C1220)&amp;"-Q"&amp;ROUNDUP(MONTH($C1220)/3,0))</f>
        <v/>
      </c>
      <c r="L1220">
        <f>IF($G1220&lt;&gt;"ALCOHOL","",IF($K1220="","",$H1220*IFERROR(VLOOKUP($K1220,Drink_Templates!$A:$G,7,FALSE),0)))</f>
        <v/>
      </c>
    </row>
    <row r="1221" ht="15" customHeight="1">
      <c r="C1221">
        <f>IF($B1221="","",INT($B1221))</f>
        <v/>
      </c>
      <c r="D1221">
        <f>IF($C1221="","",$C1221-WEEKDAY($C1221,2)+1)</f>
        <v/>
      </c>
      <c r="E1221">
        <f>IF($C1221="","",DATE(YEAR($C1221),MONTH($C1221),1))</f>
        <v/>
      </c>
      <c r="F1221">
        <f>IF($C1221="","",YEAR($C1221)&amp;"-Q"&amp;ROUNDUP(MONTH($C1221)/3,0))</f>
        <v/>
      </c>
      <c r="L1221">
        <f>IF($G1221&lt;&gt;"ALCOHOL","",IF($K1221="","",$H1221*IFERROR(VLOOKUP($K1221,Drink_Templates!$A:$G,7,FALSE),0)))</f>
        <v/>
      </c>
    </row>
    <row r="1222" ht="15" customHeight="1">
      <c r="C1222">
        <f>IF($B1222="","",INT($B1222))</f>
        <v/>
      </c>
      <c r="D1222">
        <f>IF($C1222="","",$C1222-WEEKDAY($C1222,2)+1)</f>
        <v/>
      </c>
      <c r="E1222">
        <f>IF($C1222="","",DATE(YEAR($C1222),MONTH($C1222),1))</f>
        <v/>
      </c>
      <c r="F1222">
        <f>IF($C1222="","",YEAR($C1222)&amp;"-Q"&amp;ROUNDUP(MONTH($C1222)/3,0))</f>
        <v/>
      </c>
      <c r="L1222">
        <f>IF($G1222&lt;&gt;"ALCOHOL","",IF($K1222="","",$H1222*IFERROR(VLOOKUP($K1222,Drink_Templates!$A:$G,7,FALSE),0)))</f>
        <v/>
      </c>
    </row>
    <row r="1223" ht="15" customHeight="1">
      <c r="C1223">
        <f>IF($B1223="","",INT($B1223))</f>
        <v/>
      </c>
      <c r="D1223">
        <f>IF($C1223="","",$C1223-WEEKDAY($C1223,2)+1)</f>
        <v/>
      </c>
      <c r="E1223">
        <f>IF($C1223="","",DATE(YEAR($C1223),MONTH($C1223),1))</f>
        <v/>
      </c>
      <c r="F1223">
        <f>IF($C1223="","",YEAR($C1223)&amp;"-Q"&amp;ROUNDUP(MONTH($C1223)/3,0))</f>
        <v/>
      </c>
      <c r="L1223">
        <f>IF($G1223&lt;&gt;"ALCOHOL","",IF($K1223="","",$H1223*IFERROR(VLOOKUP($K1223,Drink_Templates!$A:$G,7,FALSE),0)))</f>
        <v/>
      </c>
    </row>
    <row r="1224" ht="15" customHeight="1">
      <c r="C1224">
        <f>IF($B1224="","",INT($B1224))</f>
        <v/>
      </c>
      <c r="D1224">
        <f>IF($C1224="","",$C1224-WEEKDAY($C1224,2)+1)</f>
        <v/>
      </c>
      <c r="E1224">
        <f>IF($C1224="","",DATE(YEAR($C1224),MONTH($C1224),1))</f>
        <v/>
      </c>
      <c r="F1224">
        <f>IF($C1224="","",YEAR($C1224)&amp;"-Q"&amp;ROUNDUP(MONTH($C1224)/3,0))</f>
        <v/>
      </c>
      <c r="L1224">
        <f>IF($G1224&lt;&gt;"ALCOHOL","",IF($K1224="","",$H1224*IFERROR(VLOOKUP($K1224,Drink_Templates!$A:$G,7,FALSE),0)))</f>
        <v/>
      </c>
    </row>
    <row r="1225" ht="15" customHeight="1">
      <c r="C1225">
        <f>IF($B1225="","",INT($B1225))</f>
        <v/>
      </c>
      <c r="D1225">
        <f>IF($C1225="","",$C1225-WEEKDAY($C1225,2)+1)</f>
        <v/>
      </c>
      <c r="E1225">
        <f>IF($C1225="","",DATE(YEAR($C1225),MONTH($C1225),1))</f>
        <v/>
      </c>
      <c r="F1225">
        <f>IF($C1225="","",YEAR($C1225)&amp;"-Q"&amp;ROUNDUP(MONTH($C1225)/3,0))</f>
        <v/>
      </c>
      <c r="L1225">
        <f>IF($G1225&lt;&gt;"ALCOHOL","",IF($K1225="","",$H1225*IFERROR(VLOOKUP($K1225,Drink_Templates!$A:$G,7,FALSE),0)))</f>
        <v/>
      </c>
    </row>
    <row r="1226" ht="15" customHeight="1">
      <c r="C1226">
        <f>IF($B1226="","",INT($B1226))</f>
        <v/>
      </c>
      <c r="D1226">
        <f>IF($C1226="","",$C1226-WEEKDAY($C1226,2)+1)</f>
        <v/>
      </c>
      <c r="E1226">
        <f>IF($C1226="","",DATE(YEAR($C1226),MONTH($C1226),1))</f>
        <v/>
      </c>
      <c r="F1226">
        <f>IF($C1226="","",YEAR($C1226)&amp;"-Q"&amp;ROUNDUP(MONTH($C1226)/3,0))</f>
        <v/>
      </c>
      <c r="L1226">
        <f>IF($G1226&lt;&gt;"ALCOHOL","",IF($K1226="","",$H1226*IFERROR(VLOOKUP($K1226,Drink_Templates!$A:$G,7,FALSE),0)))</f>
        <v/>
      </c>
    </row>
    <row r="1227" ht="15" customHeight="1">
      <c r="C1227">
        <f>IF($B1227="","",INT($B1227))</f>
        <v/>
      </c>
      <c r="D1227">
        <f>IF($C1227="","",$C1227-WEEKDAY($C1227,2)+1)</f>
        <v/>
      </c>
      <c r="E1227">
        <f>IF($C1227="","",DATE(YEAR($C1227),MONTH($C1227),1))</f>
        <v/>
      </c>
      <c r="F1227">
        <f>IF($C1227="","",YEAR($C1227)&amp;"-Q"&amp;ROUNDUP(MONTH($C1227)/3,0))</f>
        <v/>
      </c>
      <c r="L1227">
        <f>IF($G1227&lt;&gt;"ALCOHOL","",IF($K1227="","",$H1227*IFERROR(VLOOKUP($K1227,Drink_Templates!$A:$G,7,FALSE),0)))</f>
        <v/>
      </c>
    </row>
    <row r="1228" ht="15" customHeight="1">
      <c r="C1228">
        <f>IF($B1228="","",INT($B1228))</f>
        <v/>
      </c>
      <c r="D1228">
        <f>IF($C1228="","",$C1228-WEEKDAY($C1228,2)+1)</f>
        <v/>
      </c>
      <c r="E1228">
        <f>IF($C1228="","",DATE(YEAR($C1228),MONTH($C1228),1))</f>
        <v/>
      </c>
      <c r="F1228">
        <f>IF($C1228="","",YEAR($C1228)&amp;"-Q"&amp;ROUNDUP(MONTH($C1228)/3,0))</f>
        <v/>
      </c>
      <c r="L1228">
        <f>IF($G1228&lt;&gt;"ALCOHOL","",IF($K1228="","",$H1228*IFERROR(VLOOKUP($K1228,Drink_Templates!$A:$G,7,FALSE),0)))</f>
        <v/>
      </c>
    </row>
    <row r="1229" ht="15" customHeight="1">
      <c r="C1229">
        <f>IF($B1229="","",INT($B1229))</f>
        <v/>
      </c>
      <c r="D1229">
        <f>IF($C1229="","",$C1229-WEEKDAY($C1229,2)+1)</f>
        <v/>
      </c>
      <c r="E1229">
        <f>IF($C1229="","",DATE(YEAR($C1229),MONTH($C1229),1))</f>
        <v/>
      </c>
      <c r="F1229">
        <f>IF($C1229="","",YEAR($C1229)&amp;"-Q"&amp;ROUNDUP(MONTH($C1229)/3,0))</f>
        <v/>
      </c>
      <c r="L1229">
        <f>IF($G1229&lt;&gt;"ALCOHOL","",IF($K1229="","",$H1229*IFERROR(VLOOKUP($K1229,Drink_Templates!$A:$G,7,FALSE),0)))</f>
        <v/>
      </c>
    </row>
    <row r="1230" ht="15" customHeight="1">
      <c r="C1230">
        <f>IF($B1230="","",INT($B1230))</f>
        <v/>
      </c>
      <c r="D1230">
        <f>IF($C1230="","",$C1230-WEEKDAY($C1230,2)+1)</f>
        <v/>
      </c>
      <c r="E1230">
        <f>IF($C1230="","",DATE(YEAR($C1230),MONTH($C1230),1))</f>
        <v/>
      </c>
      <c r="F1230">
        <f>IF($C1230="","",YEAR($C1230)&amp;"-Q"&amp;ROUNDUP(MONTH($C1230)/3,0))</f>
        <v/>
      </c>
      <c r="L1230">
        <f>IF($G1230&lt;&gt;"ALCOHOL","",IF($K1230="","",$H1230*IFERROR(VLOOKUP($K1230,Drink_Templates!$A:$G,7,FALSE),0)))</f>
        <v/>
      </c>
    </row>
    <row r="1231" ht="15" customHeight="1">
      <c r="C1231">
        <f>IF($B1231="","",INT($B1231))</f>
        <v/>
      </c>
      <c r="D1231">
        <f>IF($C1231="","",$C1231-WEEKDAY($C1231,2)+1)</f>
        <v/>
      </c>
      <c r="E1231">
        <f>IF($C1231="","",DATE(YEAR($C1231),MONTH($C1231),1))</f>
        <v/>
      </c>
      <c r="F1231">
        <f>IF($C1231="","",YEAR($C1231)&amp;"-Q"&amp;ROUNDUP(MONTH($C1231)/3,0))</f>
        <v/>
      </c>
      <c r="L1231">
        <f>IF($G1231&lt;&gt;"ALCOHOL","",IF($K1231="","",$H1231*IFERROR(VLOOKUP($K1231,Drink_Templates!$A:$G,7,FALSE),0)))</f>
        <v/>
      </c>
    </row>
    <row r="1232" ht="15" customHeight="1">
      <c r="C1232">
        <f>IF($B1232="","",INT($B1232))</f>
        <v/>
      </c>
      <c r="D1232">
        <f>IF($C1232="","",$C1232-WEEKDAY($C1232,2)+1)</f>
        <v/>
      </c>
      <c r="E1232">
        <f>IF($C1232="","",DATE(YEAR($C1232),MONTH($C1232),1))</f>
        <v/>
      </c>
      <c r="F1232">
        <f>IF($C1232="","",YEAR($C1232)&amp;"-Q"&amp;ROUNDUP(MONTH($C1232)/3,0))</f>
        <v/>
      </c>
      <c r="L1232">
        <f>IF($G1232&lt;&gt;"ALCOHOL","",IF($K1232="","",$H1232*IFERROR(VLOOKUP($K1232,Drink_Templates!$A:$G,7,FALSE),0)))</f>
        <v/>
      </c>
    </row>
    <row r="1233" ht="15" customHeight="1">
      <c r="C1233">
        <f>IF($B1233="","",INT($B1233))</f>
        <v/>
      </c>
      <c r="D1233">
        <f>IF($C1233="","",$C1233-WEEKDAY($C1233,2)+1)</f>
        <v/>
      </c>
      <c r="E1233">
        <f>IF($C1233="","",DATE(YEAR($C1233),MONTH($C1233),1))</f>
        <v/>
      </c>
      <c r="F1233">
        <f>IF($C1233="","",YEAR($C1233)&amp;"-Q"&amp;ROUNDUP(MONTH($C1233)/3,0))</f>
        <v/>
      </c>
      <c r="L1233">
        <f>IF($G1233&lt;&gt;"ALCOHOL","",IF($K1233="","",$H1233*IFERROR(VLOOKUP($K1233,Drink_Templates!$A:$G,7,FALSE),0)))</f>
        <v/>
      </c>
    </row>
    <row r="1234" ht="15" customHeight="1">
      <c r="C1234">
        <f>IF($B1234="","",INT($B1234))</f>
        <v/>
      </c>
      <c r="D1234">
        <f>IF($C1234="","",$C1234-WEEKDAY($C1234,2)+1)</f>
        <v/>
      </c>
      <c r="E1234">
        <f>IF($C1234="","",DATE(YEAR($C1234),MONTH($C1234),1))</f>
        <v/>
      </c>
      <c r="F1234">
        <f>IF($C1234="","",YEAR($C1234)&amp;"-Q"&amp;ROUNDUP(MONTH($C1234)/3,0))</f>
        <v/>
      </c>
      <c r="L1234">
        <f>IF($G1234&lt;&gt;"ALCOHOL","",IF($K1234="","",$H1234*IFERROR(VLOOKUP($K1234,Drink_Templates!$A:$G,7,FALSE),0)))</f>
        <v/>
      </c>
    </row>
    <row r="1235" ht="15" customHeight="1">
      <c r="C1235">
        <f>IF($B1235="","",INT($B1235))</f>
        <v/>
      </c>
      <c r="D1235">
        <f>IF($C1235="","",$C1235-WEEKDAY($C1235,2)+1)</f>
        <v/>
      </c>
      <c r="E1235">
        <f>IF($C1235="","",DATE(YEAR($C1235),MONTH($C1235),1))</f>
        <v/>
      </c>
      <c r="F1235">
        <f>IF($C1235="","",YEAR($C1235)&amp;"-Q"&amp;ROUNDUP(MONTH($C1235)/3,0))</f>
        <v/>
      </c>
      <c r="L1235">
        <f>IF($G1235&lt;&gt;"ALCOHOL","",IF($K1235="","",$H1235*IFERROR(VLOOKUP($K1235,Drink_Templates!$A:$G,7,FALSE),0)))</f>
        <v/>
      </c>
    </row>
    <row r="1236" ht="15" customHeight="1">
      <c r="C1236">
        <f>IF($B1236="","",INT($B1236))</f>
        <v/>
      </c>
      <c r="D1236">
        <f>IF($C1236="","",$C1236-WEEKDAY($C1236,2)+1)</f>
        <v/>
      </c>
      <c r="E1236">
        <f>IF($C1236="","",DATE(YEAR($C1236),MONTH($C1236),1))</f>
        <v/>
      </c>
      <c r="F1236">
        <f>IF($C1236="","",YEAR($C1236)&amp;"-Q"&amp;ROUNDUP(MONTH($C1236)/3,0))</f>
        <v/>
      </c>
      <c r="L1236">
        <f>IF($G1236&lt;&gt;"ALCOHOL","",IF($K1236="","",$H1236*IFERROR(VLOOKUP($K1236,Drink_Templates!$A:$G,7,FALSE),0)))</f>
        <v/>
      </c>
    </row>
    <row r="1237" ht="15" customHeight="1">
      <c r="C1237">
        <f>IF($B1237="","",INT($B1237))</f>
        <v/>
      </c>
      <c r="D1237">
        <f>IF($C1237="","",$C1237-WEEKDAY($C1237,2)+1)</f>
        <v/>
      </c>
      <c r="E1237">
        <f>IF($C1237="","",DATE(YEAR($C1237),MONTH($C1237),1))</f>
        <v/>
      </c>
      <c r="F1237">
        <f>IF($C1237="","",YEAR($C1237)&amp;"-Q"&amp;ROUNDUP(MONTH($C1237)/3,0))</f>
        <v/>
      </c>
      <c r="L1237">
        <f>IF($G1237&lt;&gt;"ALCOHOL","",IF($K1237="","",$H1237*IFERROR(VLOOKUP($K1237,Drink_Templates!$A:$G,7,FALSE),0)))</f>
        <v/>
      </c>
    </row>
    <row r="1238" ht="15" customHeight="1">
      <c r="C1238">
        <f>IF($B1238="","",INT($B1238))</f>
        <v/>
      </c>
      <c r="D1238">
        <f>IF($C1238="","",$C1238-WEEKDAY($C1238,2)+1)</f>
        <v/>
      </c>
      <c r="E1238">
        <f>IF($C1238="","",DATE(YEAR($C1238),MONTH($C1238),1))</f>
        <v/>
      </c>
      <c r="F1238">
        <f>IF($C1238="","",YEAR($C1238)&amp;"-Q"&amp;ROUNDUP(MONTH($C1238)/3,0))</f>
        <v/>
      </c>
      <c r="L1238">
        <f>IF($G1238&lt;&gt;"ALCOHOL","",IF($K1238="","",$H1238*IFERROR(VLOOKUP($K1238,Drink_Templates!$A:$G,7,FALSE),0)))</f>
        <v/>
      </c>
    </row>
    <row r="1239" ht="15" customHeight="1">
      <c r="C1239">
        <f>IF($B1239="","",INT($B1239))</f>
        <v/>
      </c>
      <c r="D1239">
        <f>IF($C1239="","",$C1239-WEEKDAY($C1239,2)+1)</f>
        <v/>
      </c>
      <c r="E1239">
        <f>IF($C1239="","",DATE(YEAR($C1239),MONTH($C1239),1))</f>
        <v/>
      </c>
      <c r="F1239">
        <f>IF($C1239="","",YEAR($C1239)&amp;"-Q"&amp;ROUNDUP(MONTH($C1239)/3,0))</f>
        <v/>
      </c>
      <c r="L1239">
        <f>IF($G1239&lt;&gt;"ALCOHOL","",IF($K1239="","",$H1239*IFERROR(VLOOKUP($K1239,Drink_Templates!$A:$G,7,FALSE),0)))</f>
        <v/>
      </c>
    </row>
    <row r="1240" ht="15" customHeight="1">
      <c r="C1240">
        <f>IF($B1240="","",INT($B1240))</f>
        <v/>
      </c>
      <c r="D1240">
        <f>IF($C1240="","",$C1240-WEEKDAY($C1240,2)+1)</f>
        <v/>
      </c>
      <c r="E1240">
        <f>IF($C1240="","",DATE(YEAR($C1240),MONTH($C1240),1))</f>
        <v/>
      </c>
      <c r="F1240">
        <f>IF($C1240="","",YEAR($C1240)&amp;"-Q"&amp;ROUNDUP(MONTH($C1240)/3,0))</f>
        <v/>
      </c>
      <c r="L1240">
        <f>IF($G1240&lt;&gt;"ALCOHOL","",IF($K1240="","",$H1240*IFERROR(VLOOKUP($K1240,Drink_Templates!$A:$G,7,FALSE),0)))</f>
        <v/>
      </c>
    </row>
    <row r="1241" ht="15" customHeight="1">
      <c r="C1241">
        <f>IF($B1241="","",INT($B1241))</f>
        <v/>
      </c>
      <c r="D1241">
        <f>IF($C1241="","",$C1241-WEEKDAY($C1241,2)+1)</f>
        <v/>
      </c>
      <c r="E1241">
        <f>IF($C1241="","",DATE(YEAR($C1241),MONTH($C1241),1))</f>
        <v/>
      </c>
      <c r="F1241">
        <f>IF($C1241="","",YEAR($C1241)&amp;"-Q"&amp;ROUNDUP(MONTH($C1241)/3,0))</f>
        <v/>
      </c>
      <c r="L1241">
        <f>IF($G1241&lt;&gt;"ALCOHOL","",IF($K1241="","",$H1241*IFERROR(VLOOKUP($K1241,Drink_Templates!$A:$G,7,FALSE),0)))</f>
        <v/>
      </c>
    </row>
    <row r="1242" ht="15" customHeight="1">
      <c r="C1242">
        <f>IF($B1242="","",INT($B1242))</f>
        <v/>
      </c>
      <c r="D1242">
        <f>IF($C1242="","",$C1242-WEEKDAY($C1242,2)+1)</f>
        <v/>
      </c>
      <c r="E1242">
        <f>IF($C1242="","",DATE(YEAR($C1242),MONTH($C1242),1))</f>
        <v/>
      </c>
      <c r="F1242">
        <f>IF($C1242="","",YEAR($C1242)&amp;"-Q"&amp;ROUNDUP(MONTH($C1242)/3,0))</f>
        <v/>
      </c>
      <c r="L1242">
        <f>IF($G1242&lt;&gt;"ALCOHOL","",IF($K1242="","",$H1242*IFERROR(VLOOKUP($K1242,Drink_Templates!$A:$G,7,FALSE),0)))</f>
        <v/>
      </c>
    </row>
    <row r="1243" ht="15" customHeight="1">
      <c r="C1243">
        <f>IF($B1243="","",INT($B1243))</f>
        <v/>
      </c>
      <c r="D1243">
        <f>IF($C1243="","",$C1243-WEEKDAY($C1243,2)+1)</f>
        <v/>
      </c>
      <c r="E1243">
        <f>IF($C1243="","",DATE(YEAR($C1243),MONTH($C1243),1))</f>
        <v/>
      </c>
      <c r="F1243">
        <f>IF($C1243="","",YEAR($C1243)&amp;"-Q"&amp;ROUNDUP(MONTH($C1243)/3,0))</f>
        <v/>
      </c>
      <c r="L1243">
        <f>IF($G1243&lt;&gt;"ALCOHOL","",IF($K1243="","",$H1243*IFERROR(VLOOKUP($K1243,Drink_Templates!$A:$G,7,FALSE),0)))</f>
        <v/>
      </c>
    </row>
    <row r="1244" ht="15" customHeight="1">
      <c r="C1244">
        <f>IF($B1244="","",INT($B1244))</f>
        <v/>
      </c>
      <c r="D1244">
        <f>IF($C1244="","",$C1244-WEEKDAY($C1244,2)+1)</f>
        <v/>
      </c>
      <c r="E1244">
        <f>IF($C1244="","",DATE(YEAR($C1244),MONTH($C1244),1))</f>
        <v/>
      </c>
      <c r="F1244">
        <f>IF($C1244="","",YEAR($C1244)&amp;"-Q"&amp;ROUNDUP(MONTH($C1244)/3,0))</f>
        <v/>
      </c>
      <c r="L1244">
        <f>IF($G1244&lt;&gt;"ALCOHOL","",IF($K1244="","",$H1244*IFERROR(VLOOKUP($K1244,Drink_Templates!$A:$G,7,FALSE),0)))</f>
        <v/>
      </c>
    </row>
    <row r="1245" ht="15" customHeight="1">
      <c r="C1245">
        <f>IF($B1245="","",INT($B1245))</f>
        <v/>
      </c>
      <c r="D1245">
        <f>IF($C1245="","",$C1245-WEEKDAY($C1245,2)+1)</f>
        <v/>
      </c>
      <c r="E1245">
        <f>IF($C1245="","",DATE(YEAR($C1245),MONTH($C1245),1))</f>
        <v/>
      </c>
      <c r="F1245">
        <f>IF($C1245="","",YEAR($C1245)&amp;"-Q"&amp;ROUNDUP(MONTH($C1245)/3,0))</f>
        <v/>
      </c>
      <c r="L1245">
        <f>IF($G1245&lt;&gt;"ALCOHOL","",IF($K1245="","",$H1245*IFERROR(VLOOKUP($K1245,Drink_Templates!$A:$G,7,FALSE),0)))</f>
        <v/>
      </c>
    </row>
    <row r="1246" ht="15" customHeight="1">
      <c r="C1246">
        <f>IF($B1246="","",INT($B1246))</f>
        <v/>
      </c>
      <c r="D1246">
        <f>IF($C1246="","",$C1246-WEEKDAY($C1246,2)+1)</f>
        <v/>
      </c>
      <c r="E1246">
        <f>IF($C1246="","",DATE(YEAR($C1246),MONTH($C1246),1))</f>
        <v/>
      </c>
      <c r="F1246">
        <f>IF($C1246="","",YEAR($C1246)&amp;"-Q"&amp;ROUNDUP(MONTH($C1246)/3,0))</f>
        <v/>
      </c>
      <c r="L1246">
        <f>IF($G1246&lt;&gt;"ALCOHOL","",IF($K1246="","",$H1246*IFERROR(VLOOKUP($K1246,Drink_Templates!$A:$G,7,FALSE),0)))</f>
        <v/>
      </c>
    </row>
    <row r="1247" ht="15" customHeight="1">
      <c r="C1247">
        <f>IF($B1247="","",INT($B1247))</f>
        <v/>
      </c>
      <c r="D1247">
        <f>IF($C1247="","",$C1247-WEEKDAY($C1247,2)+1)</f>
        <v/>
      </c>
      <c r="E1247">
        <f>IF($C1247="","",DATE(YEAR($C1247),MONTH($C1247),1))</f>
        <v/>
      </c>
      <c r="F1247">
        <f>IF($C1247="","",YEAR($C1247)&amp;"-Q"&amp;ROUNDUP(MONTH($C1247)/3,0))</f>
        <v/>
      </c>
      <c r="L1247">
        <f>IF($G1247&lt;&gt;"ALCOHOL","",IF($K1247="","",$H1247*IFERROR(VLOOKUP($K1247,Drink_Templates!$A:$G,7,FALSE),0)))</f>
        <v/>
      </c>
    </row>
    <row r="1248" ht="15" customHeight="1">
      <c r="C1248">
        <f>IF($B1248="","",INT($B1248))</f>
        <v/>
      </c>
      <c r="D1248">
        <f>IF($C1248="","",$C1248-WEEKDAY($C1248,2)+1)</f>
        <v/>
      </c>
      <c r="E1248">
        <f>IF($C1248="","",DATE(YEAR($C1248),MONTH($C1248),1))</f>
        <v/>
      </c>
      <c r="F1248">
        <f>IF($C1248="","",YEAR($C1248)&amp;"-Q"&amp;ROUNDUP(MONTH($C1248)/3,0))</f>
        <v/>
      </c>
      <c r="L1248">
        <f>IF($G1248&lt;&gt;"ALCOHOL","",IF($K1248="","",$H1248*IFERROR(VLOOKUP($K1248,Drink_Templates!$A:$G,7,FALSE),0)))</f>
        <v/>
      </c>
    </row>
    <row r="1249" ht="15" customHeight="1">
      <c r="C1249">
        <f>IF($B1249="","",INT($B1249))</f>
        <v/>
      </c>
      <c r="D1249">
        <f>IF($C1249="","",$C1249-WEEKDAY($C1249,2)+1)</f>
        <v/>
      </c>
      <c r="E1249">
        <f>IF($C1249="","",DATE(YEAR($C1249),MONTH($C1249),1))</f>
        <v/>
      </c>
      <c r="F1249">
        <f>IF($C1249="","",YEAR($C1249)&amp;"-Q"&amp;ROUNDUP(MONTH($C1249)/3,0))</f>
        <v/>
      </c>
      <c r="L1249">
        <f>IF($G1249&lt;&gt;"ALCOHOL","",IF($K1249="","",$H1249*IFERROR(VLOOKUP($K1249,Drink_Templates!$A:$G,7,FALSE),0)))</f>
        <v/>
      </c>
    </row>
    <row r="1250" ht="15" customHeight="1">
      <c r="C1250">
        <f>IF($B1250="","",INT($B1250))</f>
        <v/>
      </c>
      <c r="D1250">
        <f>IF($C1250="","",$C1250-WEEKDAY($C1250,2)+1)</f>
        <v/>
      </c>
      <c r="E1250">
        <f>IF($C1250="","",DATE(YEAR($C1250),MONTH($C1250),1))</f>
        <v/>
      </c>
      <c r="F1250">
        <f>IF($C1250="","",YEAR($C1250)&amp;"-Q"&amp;ROUNDUP(MONTH($C1250)/3,0))</f>
        <v/>
      </c>
      <c r="L1250">
        <f>IF($G1250&lt;&gt;"ALCOHOL","",IF($K1250="","",$H1250*IFERROR(VLOOKUP($K1250,Drink_Templates!$A:$G,7,FALSE),0)))</f>
        <v/>
      </c>
    </row>
    <row r="1251" ht="15" customHeight="1">
      <c r="C1251">
        <f>IF($B1251="","",INT($B1251))</f>
        <v/>
      </c>
      <c r="D1251">
        <f>IF($C1251="","",$C1251-WEEKDAY($C1251,2)+1)</f>
        <v/>
      </c>
      <c r="E1251">
        <f>IF($C1251="","",DATE(YEAR($C1251),MONTH($C1251),1))</f>
        <v/>
      </c>
      <c r="F1251">
        <f>IF($C1251="","",YEAR($C1251)&amp;"-Q"&amp;ROUNDUP(MONTH($C1251)/3,0))</f>
        <v/>
      </c>
      <c r="L1251">
        <f>IF($G1251&lt;&gt;"ALCOHOL","",IF($K1251="","",$H1251*IFERROR(VLOOKUP($K1251,Drink_Templates!$A:$G,7,FALSE),0)))</f>
        <v/>
      </c>
    </row>
    <row r="1252" ht="15" customHeight="1">
      <c r="C1252">
        <f>IF($B1252="","",INT($B1252))</f>
        <v/>
      </c>
      <c r="D1252">
        <f>IF($C1252="","",$C1252-WEEKDAY($C1252,2)+1)</f>
        <v/>
      </c>
      <c r="E1252">
        <f>IF($C1252="","",DATE(YEAR($C1252),MONTH($C1252),1))</f>
        <v/>
      </c>
      <c r="F1252">
        <f>IF($C1252="","",YEAR($C1252)&amp;"-Q"&amp;ROUNDUP(MONTH($C1252)/3,0))</f>
        <v/>
      </c>
      <c r="L1252">
        <f>IF($G1252&lt;&gt;"ALCOHOL","",IF($K1252="","",$H1252*IFERROR(VLOOKUP($K1252,Drink_Templates!$A:$G,7,FALSE),0)))</f>
        <v/>
      </c>
    </row>
    <row r="1253" ht="15" customHeight="1">
      <c r="C1253">
        <f>IF($B1253="","",INT($B1253))</f>
        <v/>
      </c>
      <c r="D1253">
        <f>IF($C1253="","",$C1253-WEEKDAY($C1253,2)+1)</f>
        <v/>
      </c>
      <c r="E1253">
        <f>IF($C1253="","",DATE(YEAR($C1253),MONTH($C1253),1))</f>
        <v/>
      </c>
      <c r="F1253">
        <f>IF($C1253="","",YEAR($C1253)&amp;"-Q"&amp;ROUNDUP(MONTH($C1253)/3,0))</f>
        <v/>
      </c>
      <c r="L1253">
        <f>IF($G1253&lt;&gt;"ALCOHOL","",IF($K1253="","",$H1253*IFERROR(VLOOKUP($K1253,Drink_Templates!$A:$G,7,FALSE),0)))</f>
        <v/>
      </c>
    </row>
    <row r="1254" ht="15" customHeight="1">
      <c r="C1254">
        <f>IF($B1254="","",INT($B1254))</f>
        <v/>
      </c>
      <c r="D1254">
        <f>IF($C1254="","",$C1254-WEEKDAY($C1254,2)+1)</f>
        <v/>
      </c>
      <c r="E1254">
        <f>IF($C1254="","",DATE(YEAR($C1254),MONTH($C1254),1))</f>
        <v/>
      </c>
      <c r="F1254">
        <f>IF($C1254="","",YEAR($C1254)&amp;"-Q"&amp;ROUNDUP(MONTH($C1254)/3,0))</f>
        <v/>
      </c>
      <c r="L1254">
        <f>IF($G1254&lt;&gt;"ALCOHOL","",IF($K1254="","",$H1254*IFERROR(VLOOKUP($K1254,Drink_Templates!$A:$G,7,FALSE),0)))</f>
        <v/>
      </c>
    </row>
    <row r="1255" ht="15" customHeight="1">
      <c r="C1255">
        <f>IF($B1255="","",INT($B1255))</f>
        <v/>
      </c>
      <c r="D1255">
        <f>IF($C1255="","",$C1255-WEEKDAY($C1255,2)+1)</f>
        <v/>
      </c>
      <c r="E1255">
        <f>IF($C1255="","",DATE(YEAR($C1255),MONTH($C1255),1))</f>
        <v/>
      </c>
      <c r="F1255">
        <f>IF($C1255="","",YEAR($C1255)&amp;"-Q"&amp;ROUNDUP(MONTH($C1255)/3,0))</f>
        <v/>
      </c>
      <c r="L1255">
        <f>IF($G1255&lt;&gt;"ALCOHOL","",IF($K1255="","",$H1255*IFERROR(VLOOKUP($K1255,Drink_Templates!$A:$G,7,FALSE),0)))</f>
        <v/>
      </c>
    </row>
    <row r="1256" ht="15" customHeight="1">
      <c r="C1256">
        <f>IF($B1256="","",INT($B1256))</f>
        <v/>
      </c>
      <c r="D1256">
        <f>IF($C1256="","",$C1256-WEEKDAY($C1256,2)+1)</f>
        <v/>
      </c>
      <c r="E1256">
        <f>IF($C1256="","",DATE(YEAR($C1256),MONTH($C1256),1))</f>
        <v/>
      </c>
      <c r="F1256">
        <f>IF($C1256="","",YEAR($C1256)&amp;"-Q"&amp;ROUNDUP(MONTH($C1256)/3,0))</f>
        <v/>
      </c>
      <c r="L1256">
        <f>IF($G1256&lt;&gt;"ALCOHOL","",IF($K1256="","",$H1256*IFERROR(VLOOKUP($K1256,Drink_Templates!$A:$G,7,FALSE),0)))</f>
        <v/>
      </c>
    </row>
    <row r="1257" ht="15" customHeight="1">
      <c r="C1257">
        <f>IF($B1257="","",INT($B1257))</f>
        <v/>
      </c>
      <c r="D1257">
        <f>IF($C1257="","",$C1257-WEEKDAY($C1257,2)+1)</f>
        <v/>
      </c>
      <c r="E1257">
        <f>IF($C1257="","",DATE(YEAR($C1257),MONTH($C1257),1))</f>
        <v/>
      </c>
      <c r="F1257">
        <f>IF($C1257="","",YEAR($C1257)&amp;"-Q"&amp;ROUNDUP(MONTH($C1257)/3,0))</f>
        <v/>
      </c>
      <c r="L1257">
        <f>IF($G1257&lt;&gt;"ALCOHOL","",IF($K1257="","",$H1257*IFERROR(VLOOKUP($K1257,Drink_Templates!$A:$G,7,FALSE),0)))</f>
        <v/>
      </c>
    </row>
    <row r="1258" ht="15" customHeight="1">
      <c r="C1258">
        <f>IF($B1258="","",INT($B1258))</f>
        <v/>
      </c>
      <c r="D1258">
        <f>IF($C1258="","",$C1258-WEEKDAY($C1258,2)+1)</f>
        <v/>
      </c>
      <c r="E1258">
        <f>IF($C1258="","",DATE(YEAR($C1258),MONTH($C1258),1))</f>
        <v/>
      </c>
      <c r="F1258">
        <f>IF($C1258="","",YEAR($C1258)&amp;"-Q"&amp;ROUNDUP(MONTH($C1258)/3,0))</f>
        <v/>
      </c>
      <c r="L1258">
        <f>IF($G1258&lt;&gt;"ALCOHOL","",IF($K1258="","",$H1258*IFERROR(VLOOKUP($K1258,Drink_Templates!$A:$G,7,FALSE),0)))</f>
        <v/>
      </c>
    </row>
    <row r="1259" ht="15" customHeight="1">
      <c r="C1259">
        <f>IF($B1259="","",INT($B1259))</f>
        <v/>
      </c>
      <c r="D1259">
        <f>IF($C1259="","",$C1259-WEEKDAY($C1259,2)+1)</f>
        <v/>
      </c>
      <c r="E1259">
        <f>IF($C1259="","",DATE(YEAR($C1259),MONTH($C1259),1))</f>
        <v/>
      </c>
      <c r="F1259">
        <f>IF($C1259="","",YEAR($C1259)&amp;"-Q"&amp;ROUNDUP(MONTH($C1259)/3,0))</f>
        <v/>
      </c>
      <c r="L1259">
        <f>IF($G1259&lt;&gt;"ALCOHOL","",IF($K1259="","",$H1259*IFERROR(VLOOKUP($K1259,Drink_Templates!$A:$G,7,FALSE),0)))</f>
        <v/>
      </c>
    </row>
    <row r="1260" ht="15" customHeight="1">
      <c r="C1260">
        <f>IF($B1260="","",INT($B1260))</f>
        <v/>
      </c>
      <c r="D1260">
        <f>IF($C1260="","",$C1260-WEEKDAY($C1260,2)+1)</f>
        <v/>
      </c>
      <c r="E1260">
        <f>IF($C1260="","",DATE(YEAR($C1260),MONTH($C1260),1))</f>
        <v/>
      </c>
      <c r="F1260">
        <f>IF($C1260="","",YEAR($C1260)&amp;"-Q"&amp;ROUNDUP(MONTH($C1260)/3,0))</f>
        <v/>
      </c>
      <c r="L1260">
        <f>IF($G1260&lt;&gt;"ALCOHOL","",IF($K1260="","",$H1260*IFERROR(VLOOKUP($K1260,Drink_Templates!$A:$G,7,FALSE),0)))</f>
        <v/>
      </c>
    </row>
    <row r="1261" ht="15" customHeight="1">
      <c r="C1261">
        <f>IF($B1261="","",INT($B1261))</f>
        <v/>
      </c>
      <c r="D1261">
        <f>IF($C1261="","",$C1261-WEEKDAY($C1261,2)+1)</f>
        <v/>
      </c>
      <c r="E1261">
        <f>IF($C1261="","",DATE(YEAR($C1261),MONTH($C1261),1))</f>
        <v/>
      </c>
      <c r="F1261">
        <f>IF($C1261="","",YEAR($C1261)&amp;"-Q"&amp;ROUNDUP(MONTH($C1261)/3,0))</f>
        <v/>
      </c>
      <c r="L1261">
        <f>IF($G1261&lt;&gt;"ALCOHOL","",IF($K1261="","",$H1261*IFERROR(VLOOKUP($K1261,Drink_Templates!$A:$G,7,FALSE),0)))</f>
        <v/>
      </c>
    </row>
    <row r="1262" ht="15" customHeight="1">
      <c r="C1262">
        <f>IF($B1262="","",INT($B1262))</f>
        <v/>
      </c>
      <c r="D1262">
        <f>IF($C1262="","",$C1262-WEEKDAY($C1262,2)+1)</f>
        <v/>
      </c>
      <c r="E1262">
        <f>IF($C1262="","",DATE(YEAR($C1262),MONTH($C1262),1))</f>
        <v/>
      </c>
      <c r="F1262">
        <f>IF($C1262="","",YEAR($C1262)&amp;"-Q"&amp;ROUNDUP(MONTH($C1262)/3,0))</f>
        <v/>
      </c>
      <c r="L1262">
        <f>IF($G1262&lt;&gt;"ALCOHOL","",IF($K1262="","",$H1262*IFERROR(VLOOKUP($K1262,Drink_Templates!$A:$G,7,FALSE),0)))</f>
        <v/>
      </c>
    </row>
    <row r="1263" ht="15" customHeight="1">
      <c r="C1263">
        <f>IF($B1263="","",INT($B1263))</f>
        <v/>
      </c>
      <c r="D1263">
        <f>IF($C1263="","",$C1263-WEEKDAY($C1263,2)+1)</f>
        <v/>
      </c>
      <c r="E1263">
        <f>IF($C1263="","",DATE(YEAR($C1263),MONTH($C1263),1))</f>
        <v/>
      </c>
      <c r="F1263">
        <f>IF($C1263="","",YEAR($C1263)&amp;"-Q"&amp;ROUNDUP(MONTH($C1263)/3,0))</f>
        <v/>
      </c>
      <c r="L1263">
        <f>IF($G1263&lt;&gt;"ALCOHOL","",IF($K1263="","",$H1263*IFERROR(VLOOKUP($K1263,Drink_Templates!$A:$G,7,FALSE),0)))</f>
        <v/>
      </c>
    </row>
    <row r="1264" ht="15" customHeight="1">
      <c r="C1264">
        <f>IF($B1264="","",INT($B1264))</f>
        <v/>
      </c>
      <c r="D1264">
        <f>IF($C1264="","",$C1264-WEEKDAY($C1264,2)+1)</f>
        <v/>
      </c>
      <c r="E1264">
        <f>IF($C1264="","",DATE(YEAR($C1264),MONTH($C1264),1))</f>
        <v/>
      </c>
      <c r="F1264">
        <f>IF($C1264="","",YEAR($C1264)&amp;"-Q"&amp;ROUNDUP(MONTH($C1264)/3,0))</f>
        <v/>
      </c>
      <c r="L1264">
        <f>IF($G1264&lt;&gt;"ALCOHOL","",IF($K1264="","",$H1264*IFERROR(VLOOKUP($K1264,Drink_Templates!$A:$G,7,FALSE),0)))</f>
        <v/>
      </c>
    </row>
    <row r="1265" ht="15" customHeight="1">
      <c r="C1265">
        <f>IF($B1265="","",INT($B1265))</f>
        <v/>
      </c>
      <c r="D1265">
        <f>IF($C1265="","",$C1265-WEEKDAY($C1265,2)+1)</f>
        <v/>
      </c>
      <c r="E1265">
        <f>IF($C1265="","",DATE(YEAR($C1265),MONTH($C1265),1))</f>
        <v/>
      </c>
      <c r="F1265">
        <f>IF($C1265="","",YEAR($C1265)&amp;"-Q"&amp;ROUNDUP(MONTH($C1265)/3,0))</f>
        <v/>
      </c>
      <c r="L1265">
        <f>IF($G1265&lt;&gt;"ALCOHOL","",IF($K1265="","",$H1265*IFERROR(VLOOKUP($K1265,Drink_Templates!$A:$G,7,FALSE),0)))</f>
        <v/>
      </c>
    </row>
    <row r="1266" ht="15" customHeight="1">
      <c r="C1266">
        <f>IF($B1266="","",INT($B1266))</f>
        <v/>
      </c>
      <c r="D1266">
        <f>IF($C1266="","",$C1266-WEEKDAY($C1266,2)+1)</f>
        <v/>
      </c>
      <c r="E1266">
        <f>IF($C1266="","",DATE(YEAR($C1266),MONTH($C1266),1))</f>
        <v/>
      </c>
      <c r="F1266">
        <f>IF($C1266="","",YEAR($C1266)&amp;"-Q"&amp;ROUNDUP(MONTH($C1266)/3,0))</f>
        <v/>
      </c>
      <c r="L1266">
        <f>IF($G1266&lt;&gt;"ALCOHOL","",IF($K1266="","",$H1266*IFERROR(VLOOKUP($K1266,Drink_Templates!$A:$G,7,FALSE),0)))</f>
        <v/>
      </c>
    </row>
    <row r="1267" ht="15" customHeight="1">
      <c r="C1267">
        <f>IF($B1267="","",INT($B1267))</f>
        <v/>
      </c>
      <c r="D1267">
        <f>IF($C1267="","",$C1267-WEEKDAY($C1267,2)+1)</f>
        <v/>
      </c>
      <c r="E1267">
        <f>IF($C1267="","",DATE(YEAR($C1267),MONTH($C1267),1))</f>
        <v/>
      </c>
      <c r="F1267">
        <f>IF($C1267="","",YEAR($C1267)&amp;"-Q"&amp;ROUNDUP(MONTH($C1267)/3,0))</f>
        <v/>
      </c>
      <c r="L1267">
        <f>IF($G1267&lt;&gt;"ALCOHOL","",IF($K1267="","",$H1267*IFERROR(VLOOKUP($K1267,Drink_Templates!$A:$G,7,FALSE),0)))</f>
        <v/>
      </c>
    </row>
    <row r="1268" ht="15" customHeight="1">
      <c r="C1268">
        <f>IF($B1268="","",INT($B1268))</f>
        <v/>
      </c>
      <c r="D1268">
        <f>IF($C1268="","",$C1268-WEEKDAY($C1268,2)+1)</f>
        <v/>
      </c>
      <c r="E1268">
        <f>IF($C1268="","",DATE(YEAR($C1268),MONTH($C1268),1))</f>
        <v/>
      </c>
      <c r="F1268">
        <f>IF($C1268="","",YEAR($C1268)&amp;"-Q"&amp;ROUNDUP(MONTH($C1268)/3,0))</f>
        <v/>
      </c>
      <c r="L1268">
        <f>IF($G1268&lt;&gt;"ALCOHOL","",IF($K1268="","",$H1268*IFERROR(VLOOKUP($K1268,Drink_Templates!$A:$G,7,FALSE),0)))</f>
        <v/>
      </c>
    </row>
    <row r="1269" ht="15" customHeight="1">
      <c r="C1269">
        <f>IF($B1269="","",INT($B1269))</f>
        <v/>
      </c>
      <c r="D1269">
        <f>IF($C1269="","",$C1269-WEEKDAY($C1269,2)+1)</f>
        <v/>
      </c>
      <c r="E1269">
        <f>IF($C1269="","",DATE(YEAR($C1269),MONTH($C1269),1))</f>
        <v/>
      </c>
      <c r="F1269">
        <f>IF($C1269="","",YEAR($C1269)&amp;"-Q"&amp;ROUNDUP(MONTH($C1269)/3,0))</f>
        <v/>
      </c>
      <c r="L1269">
        <f>IF($G1269&lt;&gt;"ALCOHOL","",IF($K1269="","",$H1269*IFERROR(VLOOKUP($K1269,Drink_Templates!$A:$G,7,FALSE),0)))</f>
        <v/>
      </c>
    </row>
    <row r="1270" ht="15" customHeight="1">
      <c r="C1270">
        <f>IF($B1270="","",INT($B1270))</f>
        <v/>
      </c>
      <c r="D1270">
        <f>IF($C1270="","",$C1270-WEEKDAY($C1270,2)+1)</f>
        <v/>
      </c>
      <c r="E1270">
        <f>IF($C1270="","",DATE(YEAR($C1270),MONTH($C1270),1))</f>
        <v/>
      </c>
      <c r="F1270">
        <f>IF($C1270="","",YEAR($C1270)&amp;"-Q"&amp;ROUNDUP(MONTH($C1270)/3,0))</f>
        <v/>
      </c>
      <c r="L1270">
        <f>IF($G1270&lt;&gt;"ALCOHOL","",IF($K1270="","",$H1270*IFERROR(VLOOKUP($K1270,Drink_Templates!$A:$G,7,FALSE),0)))</f>
        <v/>
      </c>
    </row>
    <row r="1271" ht="15" customHeight="1">
      <c r="C1271">
        <f>IF($B1271="","",INT($B1271))</f>
        <v/>
      </c>
      <c r="D1271">
        <f>IF($C1271="","",$C1271-WEEKDAY($C1271,2)+1)</f>
        <v/>
      </c>
      <c r="E1271">
        <f>IF($C1271="","",DATE(YEAR($C1271),MONTH($C1271),1))</f>
        <v/>
      </c>
      <c r="F1271">
        <f>IF($C1271="","",YEAR($C1271)&amp;"-Q"&amp;ROUNDUP(MONTH($C1271)/3,0))</f>
        <v/>
      </c>
      <c r="L1271">
        <f>IF($G1271&lt;&gt;"ALCOHOL","",IF($K1271="","",$H1271*IFERROR(VLOOKUP($K1271,Drink_Templates!$A:$G,7,FALSE),0)))</f>
        <v/>
      </c>
    </row>
    <row r="1272" ht="15" customHeight="1">
      <c r="C1272">
        <f>IF($B1272="","",INT($B1272))</f>
        <v/>
      </c>
      <c r="D1272">
        <f>IF($C1272="","",$C1272-WEEKDAY($C1272,2)+1)</f>
        <v/>
      </c>
      <c r="E1272">
        <f>IF($C1272="","",DATE(YEAR($C1272),MONTH($C1272),1))</f>
        <v/>
      </c>
      <c r="F1272">
        <f>IF($C1272="","",YEAR($C1272)&amp;"-Q"&amp;ROUNDUP(MONTH($C1272)/3,0))</f>
        <v/>
      </c>
      <c r="L1272">
        <f>IF($G1272&lt;&gt;"ALCOHOL","",IF($K1272="","",$H1272*IFERROR(VLOOKUP($K1272,Drink_Templates!$A:$G,7,FALSE),0)))</f>
        <v/>
      </c>
    </row>
    <row r="1273" ht="15" customHeight="1">
      <c r="C1273">
        <f>IF($B1273="","",INT($B1273))</f>
        <v/>
      </c>
      <c r="D1273">
        <f>IF($C1273="","",$C1273-WEEKDAY($C1273,2)+1)</f>
        <v/>
      </c>
      <c r="E1273">
        <f>IF($C1273="","",DATE(YEAR($C1273),MONTH($C1273),1))</f>
        <v/>
      </c>
      <c r="F1273">
        <f>IF($C1273="","",YEAR($C1273)&amp;"-Q"&amp;ROUNDUP(MONTH($C1273)/3,0))</f>
        <v/>
      </c>
      <c r="L1273">
        <f>IF($G1273&lt;&gt;"ALCOHOL","",IF($K1273="","",$H1273*IFERROR(VLOOKUP($K1273,Drink_Templates!$A:$G,7,FALSE),0)))</f>
        <v/>
      </c>
    </row>
    <row r="1274" ht="15" customHeight="1">
      <c r="C1274">
        <f>IF($B1274="","",INT($B1274))</f>
        <v/>
      </c>
      <c r="D1274">
        <f>IF($C1274="","",$C1274-WEEKDAY($C1274,2)+1)</f>
        <v/>
      </c>
      <c r="E1274">
        <f>IF($C1274="","",DATE(YEAR($C1274),MONTH($C1274),1))</f>
        <v/>
      </c>
      <c r="F1274">
        <f>IF($C1274="","",YEAR($C1274)&amp;"-Q"&amp;ROUNDUP(MONTH($C1274)/3,0))</f>
        <v/>
      </c>
      <c r="L1274">
        <f>IF($G1274&lt;&gt;"ALCOHOL","",IF($K1274="","",$H1274*IFERROR(VLOOKUP($K1274,Drink_Templates!$A:$G,7,FALSE),0)))</f>
        <v/>
      </c>
    </row>
    <row r="1275" ht="15" customHeight="1">
      <c r="C1275">
        <f>IF($B1275="","",INT($B1275))</f>
        <v/>
      </c>
      <c r="D1275">
        <f>IF($C1275="","",$C1275-WEEKDAY($C1275,2)+1)</f>
        <v/>
      </c>
      <c r="E1275">
        <f>IF($C1275="","",DATE(YEAR($C1275),MONTH($C1275),1))</f>
        <v/>
      </c>
      <c r="F1275">
        <f>IF($C1275="","",YEAR($C1275)&amp;"-Q"&amp;ROUNDUP(MONTH($C1275)/3,0))</f>
        <v/>
      </c>
      <c r="L1275">
        <f>IF($G1275&lt;&gt;"ALCOHOL","",IF($K1275="","",$H1275*IFERROR(VLOOKUP($K1275,Drink_Templates!$A:$G,7,FALSE),0)))</f>
        <v/>
      </c>
    </row>
    <row r="1276" ht="15" customHeight="1">
      <c r="C1276">
        <f>IF($B1276="","",INT($B1276))</f>
        <v/>
      </c>
      <c r="D1276">
        <f>IF($C1276="","",$C1276-WEEKDAY($C1276,2)+1)</f>
        <v/>
      </c>
      <c r="E1276">
        <f>IF($C1276="","",DATE(YEAR($C1276),MONTH($C1276),1))</f>
        <v/>
      </c>
      <c r="F1276">
        <f>IF($C1276="","",YEAR($C1276)&amp;"-Q"&amp;ROUNDUP(MONTH($C1276)/3,0))</f>
        <v/>
      </c>
      <c r="L1276">
        <f>IF($G1276&lt;&gt;"ALCOHOL","",IF($K1276="","",$H1276*IFERROR(VLOOKUP($K1276,Drink_Templates!$A:$G,7,FALSE),0)))</f>
        <v/>
      </c>
    </row>
    <row r="1277" ht="15" customHeight="1">
      <c r="C1277">
        <f>IF($B1277="","",INT($B1277))</f>
        <v/>
      </c>
      <c r="D1277">
        <f>IF($C1277="","",$C1277-WEEKDAY($C1277,2)+1)</f>
        <v/>
      </c>
      <c r="E1277">
        <f>IF($C1277="","",DATE(YEAR($C1277),MONTH($C1277),1))</f>
        <v/>
      </c>
      <c r="F1277">
        <f>IF($C1277="","",YEAR($C1277)&amp;"-Q"&amp;ROUNDUP(MONTH($C1277)/3,0))</f>
        <v/>
      </c>
      <c r="L1277">
        <f>IF($G1277&lt;&gt;"ALCOHOL","",IF($K1277="","",$H1277*IFERROR(VLOOKUP($K1277,Drink_Templates!$A:$G,7,FALSE),0)))</f>
        <v/>
      </c>
    </row>
    <row r="1278" ht="15" customHeight="1">
      <c r="C1278">
        <f>IF($B1278="","",INT($B1278))</f>
        <v/>
      </c>
      <c r="D1278">
        <f>IF($C1278="","",$C1278-WEEKDAY($C1278,2)+1)</f>
        <v/>
      </c>
      <c r="E1278">
        <f>IF($C1278="","",DATE(YEAR($C1278),MONTH($C1278),1))</f>
        <v/>
      </c>
      <c r="F1278">
        <f>IF($C1278="","",YEAR($C1278)&amp;"-Q"&amp;ROUNDUP(MONTH($C1278)/3,0))</f>
        <v/>
      </c>
      <c r="L1278">
        <f>IF($G1278&lt;&gt;"ALCOHOL","",IF($K1278="","",$H1278*IFERROR(VLOOKUP($K1278,Drink_Templates!$A:$G,7,FALSE),0)))</f>
        <v/>
      </c>
    </row>
    <row r="1279" ht="15" customHeight="1">
      <c r="C1279">
        <f>IF($B1279="","",INT($B1279))</f>
        <v/>
      </c>
      <c r="D1279">
        <f>IF($C1279="","",$C1279-WEEKDAY($C1279,2)+1)</f>
        <v/>
      </c>
      <c r="E1279">
        <f>IF($C1279="","",DATE(YEAR($C1279),MONTH($C1279),1))</f>
        <v/>
      </c>
      <c r="F1279">
        <f>IF($C1279="","",YEAR($C1279)&amp;"-Q"&amp;ROUNDUP(MONTH($C1279)/3,0))</f>
        <v/>
      </c>
      <c r="L1279">
        <f>IF($G1279&lt;&gt;"ALCOHOL","",IF($K1279="","",$H1279*IFERROR(VLOOKUP($K1279,Drink_Templates!$A:$G,7,FALSE),0)))</f>
        <v/>
      </c>
    </row>
    <row r="1280" ht="15" customHeight="1">
      <c r="C1280">
        <f>IF($B1280="","",INT($B1280))</f>
        <v/>
      </c>
      <c r="D1280">
        <f>IF($C1280="","",$C1280-WEEKDAY($C1280,2)+1)</f>
        <v/>
      </c>
      <c r="E1280">
        <f>IF($C1280="","",DATE(YEAR($C1280),MONTH($C1280),1))</f>
        <v/>
      </c>
      <c r="F1280">
        <f>IF($C1280="","",YEAR($C1280)&amp;"-Q"&amp;ROUNDUP(MONTH($C1280)/3,0))</f>
        <v/>
      </c>
      <c r="L1280">
        <f>IF($G1280&lt;&gt;"ALCOHOL","",IF($K1280="","",$H1280*IFERROR(VLOOKUP($K1280,Drink_Templates!$A:$G,7,FALSE),0)))</f>
        <v/>
      </c>
    </row>
    <row r="1281" ht="15" customHeight="1">
      <c r="C1281">
        <f>IF($B1281="","",INT($B1281))</f>
        <v/>
      </c>
      <c r="D1281">
        <f>IF($C1281="","",$C1281-WEEKDAY($C1281,2)+1)</f>
        <v/>
      </c>
      <c r="E1281">
        <f>IF($C1281="","",DATE(YEAR($C1281),MONTH($C1281),1))</f>
        <v/>
      </c>
      <c r="F1281">
        <f>IF($C1281="","",YEAR($C1281)&amp;"-Q"&amp;ROUNDUP(MONTH($C1281)/3,0))</f>
        <v/>
      </c>
      <c r="L1281">
        <f>IF($G1281&lt;&gt;"ALCOHOL","",IF($K1281="","",$H1281*IFERROR(VLOOKUP($K1281,Drink_Templates!$A:$G,7,FALSE),0)))</f>
        <v/>
      </c>
    </row>
    <row r="1282" ht="15" customHeight="1">
      <c r="C1282">
        <f>IF($B1282="","",INT($B1282))</f>
        <v/>
      </c>
      <c r="D1282">
        <f>IF($C1282="","",$C1282-WEEKDAY($C1282,2)+1)</f>
        <v/>
      </c>
      <c r="E1282">
        <f>IF($C1282="","",DATE(YEAR($C1282),MONTH($C1282),1))</f>
        <v/>
      </c>
      <c r="F1282">
        <f>IF($C1282="","",YEAR($C1282)&amp;"-Q"&amp;ROUNDUP(MONTH($C1282)/3,0))</f>
        <v/>
      </c>
      <c r="L1282">
        <f>IF($G1282&lt;&gt;"ALCOHOL","",IF($K1282="","",$H1282*IFERROR(VLOOKUP($K1282,Drink_Templates!$A:$G,7,FALSE),0)))</f>
        <v/>
      </c>
    </row>
    <row r="1283" ht="15" customHeight="1">
      <c r="C1283">
        <f>IF($B1283="","",INT($B1283))</f>
        <v/>
      </c>
      <c r="D1283">
        <f>IF($C1283="","",$C1283-WEEKDAY($C1283,2)+1)</f>
        <v/>
      </c>
      <c r="E1283">
        <f>IF($C1283="","",DATE(YEAR($C1283),MONTH($C1283),1))</f>
        <v/>
      </c>
      <c r="F1283">
        <f>IF($C1283="","",YEAR($C1283)&amp;"-Q"&amp;ROUNDUP(MONTH($C1283)/3,0))</f>
        <v/>
      </c>
      <c r="L1283">
        <f>IF($G1283&lt;&gt;"ALCOHOL","",IF($K1283="","",$H1283*IFERROR(VLOOKUP($K1283,Drink_Templates!$A:$G,7,FALSE),0)))</f>
        <v/>
      </c>
    </row>
    <row r="1284" ht="15" customHeight="1">
      <c r="C1284">
        <f>IF($B1284="","",INT($B1284))</f>
        <v/>
      </c>
      <c r="D1284">
        <f>IF($C1284="","",$C1284-WEEKDAY($C1284,2)+1)</f>
        <v/>
      </c>
      <c r="E1284">
        <f>IF($C1284="","",DATE(YEAR($C1284),MONTH($C1284),1))</f>
        <v/>
      </c>
      <c r="F1284">
        <f>IF($C1284="","",YEAR($C1284)&amp;"-Q"&amp;ROUNDUP(MONTH($C1284)/3,0))</f>
        <v/>
      </c>
      <c r="L1284">
        <f>IF($G1284&lt;&gt;"ALCOHOL","",IF($K1284="","",$H1284*IFERROR(VLOOKUP($K1284,Drink_Templates!$A:$G,7,FALSE),0)))</f>
        <v/>
      </c>
    </row>
    <row r="1285" ht="15" customHeight="1">
      <c r="C1285">
        <f>IF($B1285="","",INT($B1285))</f>
        <v/>
      </c>
      <c r="D1285">
        <f>IF($C1285="","",$C1285-WEEKDAY($C1285,2)+1)</f>
        <v/>
      </c>
      <c r="E1285">
        <f>IF($C1285="","",DATE(YEAR($C1285),MONTH($C1285),1))</f>
        <v/>
      </c>
      <c r="F1285">
        <f>IF($C1285="","",YEAR($C1285)&amp;"-Q"&amp;ROUNDUP(MONTH($C1285)/3,0))</f>
        <v/>
      </c>
      <c r="L1285">
        <f>IF($G1285&lt;&gt;"ALCOHOL","",IF($K1285="","",$H1285*IFERROR(VLOOKUP($K1285,Drink_Templates!$A:$G,7,FALSE),0)))</f>
        <v/>
      </c>
    </row>
    <row r="1286" ht="15" customHeight="1">
      <c r="C1286">
        <f>IF($B1286="","",INT($B1286))</f>
        <v/>
      </c>
      <c r="D1286">
        <f>IF($C1286="","",$C1286-WEEKDAY($C1286,2)+1)</f>
        <v/>
      </c>
      <c r="E1286">
        <f>IF($C1286="","",DATE(YEAR($C1286),MONTH($C1286),1))</f>
        <v/>
      </c>
      <c r="F1286">
        <f>IF($C1286="","",YEAR($C1286)&amp;"-Q"&amp;ROUNDUP(MONTH($C1286)/3,0))</f>
        <v/>
      </c>
      <c r="L1286">
        <f>IF($G1286&lt;&gt;"ALCOHOL","",IF($K1286="","",$H1286*IFERROR(VLOOKUP($K1286,Drink_Templates!$A:$G,7,FALSE),0)))</f>
        <v/>
      </c>
    </row>
    <row r="1287" ht="15" customHeight="1">
      <c r="C1287">
        <f>IF($B1287="","",INT($B1287))</f>
        <v/>
      </c>
      <c r="D1287">
        <f>IF($C1287="","",$C1287-WEEKDAY($C1287,2)+1)</f>
        <v/>
      </c>
      <c r="E1287">
        <f>IF($C1287="","",DATE(YEAR($C1287),MONTH($C1287),1))</f>
        <v/>
      </c>
      <c r="F1287">
        <f>IF($C1287="","",YEAR($C1287)&amp;"-Q"&amp;ROUNDUP(MONTH($C1287)/3,0))</f>
        <v/>
      </c>
      <c r="L1287">
        <f>IF($G1287&lt;&gt;"ALCOHOL","",IF($K1287="","",$H1287*IFERROR(VLOOKUP($K1287,Drink_Templates!$A:$G,7,FALSE),0)))</f>
        <v/>
      </c>
    </row>
    <row r="1288" ht="15" customHeight="1">
      <c r="C1288">
        <f>IF($B1288="","",INT($B1288))</f>
        <v/>
      </c>
      <c r="D1288">
        <f>IF($C1288="","",$C1288-WEEKDAY($C1288,2)+1)</f>
        <v/>
      </c>
      <c r="E1288">
        <f>IF($C1288="","",DATE(YEAR($C1288),MONTH($C1288),1))</f>
        <v/>
      </c>
      <c r="F1288">
        <f>IF($C1288="","",YEAR($C1288)&amp;"-Q"&amp;ROUNDUP(MONTH($C1288)/3,0))</f>
        <v/>
      </c>
      <c r="L1288">
        <f>IF($G1288&lt;&gt;"ALCOHOL","",IF($K1288="","",$H1288*IFERROR(VLOOKUP($K1288,Drink_Templates!$A:$G,7,FALSE),0)))</f>
        <v/>
      </c>
    </row>
    <row r="1289" ht="15" customHeight="1">
      <c r="C1289">
        <f>IF($B1289="","",INT($B1289))</f>
        <v/>
      </c>
      <c r="D1289">
        <f>IF($C1289="","",$C1289-WEEKDAY($C1289,2)+1)</f>
        <v/>
      </c>
      <c r="E1289">
        <f>IF($C1289="","",DATE(YEAR($C1289),MONTH($C1289),1))</f>
        <v/>
      </c>
      <c r="F1289">
        <f>IF($C1289="","",YEAR($C1289)&amp;"-Q"&amp;ROUNDUP(MONTH($C1289)/3,0))</f>
        <v/>
      </c>
      <c r="L1289">
        <f>IF($G1289&lt;&gt;"ALCOHOL","",IF($K1289="","",$H1289*IFERROR(VLOOKUP($K1289,Drink_Templates!$A:$G,7,FALSE),0)))</f>
        <v/>
      </c>
    </row>
    <row r="1290" ht="15" customHeight="1">
      <c r="C1290">
        <f>IF($B1290="","",INT($B1290))</f>
        <v/>
      </c>
      <c r="D1290">
        <f>IF($C1290="","",$C1290-WEEKDAY($C1290,2)+1)</f>
        <v/>
      </c>
      <c r="E1290">
        <f>IF($C1290="","",DATE(YEAR($C1290),MONTH($C1290),1))</f>
        <v/>
      </c>
      <c r="F1290">
        <f>IF($C1290="","",YEAR($C1290)&amp;"-Q"&amp;ROUNDUP(MONTH($C1290)/3,0))</f>
        <v/>
      </c>
      <c r="L1290">
        <f>IF($G1290&lt;&gt;"ALCOHOL","",IF($K1290="","",$H1290*IFERROR(VLOOKUP($K1290,Drink_Templates!$A:$G,7,FALSE),0)))</f>
        <v/>
      </c>
    </row>
    <row r="1291" ht="15" customHeight="1">
      <c r="C1291">
        <f>IF($B1291="","",INT($B1291))</f>
        <v/>
      </c>
      <c r="D1291">
        <f>IF($C1291="","",$C1291-WEEKDAY($C1291,2)+1)</f>
        <v/>
      </c>
      <c r="E1291">
        <f>IF($C1291="","",DATE(YEAR($C1291),MONTH($C1291),1))</f>
        <v/>
      </c>
      <c r="F1291">
        <f>IF($C1291="","",YEAR($C1291)&amp;"-Q"&amp;ROUNDUP(MONTH($C1291)/3,0))</f>
        <v/>
      </c>
      <c r="L1291">
        <f>IF($G1291&lt;&gt;"ALCOHOL","",IF($K1291="","",$H1291*IFERROR(VLOOKUP($K1291,Drink_Templates!$A:$G,7,FALSE),0)))</f>
        <v/>
      </c>
    </row>
    <row r="1292" ht="15" customHeight="1">
      <c r="C1292">
        <f>IF($B1292="","",INT($B1292))</f>
        <v/>
      </c>
      <c r="D1292">
        <f>IF($C1292="","",$C1292-WEEKDAY($C1292,2)+1)</f>
        <v/>
      </c>
      <c r="E1292">
        <f>IF($C1292="","",DATE(YEAR($C1292),MONTH($C1292),1))</f>
        <v/>
      </c>
      <c r="F1292">
        <f>IF($C1292="","",YEAR($C1292)&amp;"-Q"&amp;ROUNDUP(MONTH($C1292)/3,0))</f>
        <v/>
      </c>
      <c r="L1292">
        <f>IF($G1292&lt;&gt;"ALCOHOL","",IF($K1292="","",$H1292*IFERROR(VLOOKUP($K1292,Drink_Templates!$A:$G,7,FALSE),0)))</f>
        <v/>
      </c>
    </row>
    <row r="1293" ht="15" customHeight="1">
      <c r="C1293">
        <f>IF($B1293="","",INT($B1293))</f>
        <v/>
      </c>
      <c r="D1293">
        <f>IF($C1293="","",$C1293-WEEKDAY($C1293,2)+1)</f>
        <v/>
      </c>
      <c r="E1293">
        <f>IF($C1293="","",DATE(YEAR($C1293),MONTH($C1293),1))</f>
        <v/>
      </c>
      <c r="F1293">
        <f>IF($C1293="","",YEAR($C1293)&amp;"-Q"&amp;ROUNDUP(MONTH($C1293)/3,0))</f>
        <v/>
      </c>
      <c r="L1293">
        <f>IF($G1293&lt;&gt;"ALCOHOL","",IF($K1293="","",$H1293*IFERROR(VLOOKUP($K1293,Drink_Templates!$A:$G,7,FALSE),0)))</f>
        <v/>
      </c>
    </row>
    <row r="1294" ht="15" customHeight="1">
      <c r="C1294">
        <f>IF($B1294="","",INT($B1294))</f>
        <v/>
      </c>
      <c r="D1294">
        <f>IF($C1294="","",$C1294-WEEKDAY($C1294,2)+1)</f>
        <v/>
      </c>
      <c r="E1294">
        <f>IF($C1294="","",DATE(YEAR($C1294),MONTH($C1294),1))</f>
        <v/>
      </c>
      <c r="F1294">
        <f>IF($C1294="","",YEAR($C1294)&amp;"-Q"&amp;ROUNDUP(MONTH($C1294)/3,0))</f>
        <v/>
      </c>
      <c r="L1294">
        <f>IF($G1294&lt;&gt;"ALCOHOL","",IF($K1294="","",$H1294*IFERROR(VLOOKUP($K1294,Drink_Templates!$A:$G,7,FALSE),0)))</f>
        <v/>
      </c>
    </row>
    <row r="1295" ht="15" customHeight="1">
      <c r="C1295">
        <f>IF($B1295="","",INT($B1295))</f>
        <v/>
      </c>
      <c r="D1295">
        <f>IF($C1295="","",$C1295-WEEKDAY($C1295,2)+1)</f>
        <v/>
      </c>
      <c r="E1295">
        <f>IF($C1295="","",DATE(YEAR($C1295),MONTH($C1295),1))</f>
        <v/>
      </c>
      <c r="F1295">
        <f>IF($C1295="","",YEAR($C1295)&amp;"-Q"&amp;ROUNDUP(MONTH($C1295)/3,0))</f>
        <v/>
      </c>
      <c r="L1295">
        <f>IF($G1295&lt;&gt;"ALCOHOL","",IF($K1295="","",$H1295*IFERROR(VLOOKUP($K1295,Drink_Templates!$A:$G,7,FALSE),0)))</f>
        <v/>
      </c>
    </row>
    <row r="1296" ht="15" customHeight="1">
      <c r="C1296">
        <f>IF($B1296="","",INT($B1296))</f>
        <v/>
      </c>
      <c r="D1296">
        <f>IF($C1296="","",$C1296-WEEKDAY($C1296,2)+1)</f>
        <v/>
      </c>
      <c r="E1296">
        <f>IF($C1296="","",DATE(YEAR($C1296),MONTH($C1296),1))</f>
        <v/>
      </c>
      <c r="F1296">
        <f>IF($C1296="","",YEAR($C1296)&amp;"-Q"&amp;ROUNDUP(MONTH($C1296)/3,0))</f>
        <v/>
      </c>
      <c r="L1296">
        <f>IF($G1296&lt;&gt;"ALCOHOL","",IF($K1296="","",$H1296*IFERROR(VLOOKUP($K1296,Drink_Templates!$A:$G,7,FALSE),0)))</f>
        <v/>
      </c>
    </row>
    <row r="1297" ht="15" customHeight="1">
      <c r="C1297">
        <f>IF($B1297="","",INT($B1297))</f>
        <v/>
      </c>
      <c r="D1297">
        <f>IF($C1297="","",$C1297-WEEKDAY($C1297,2)+1)</f>
        <v/>
      </c>
      <c r="E1297">
        <f>IF($C1297="","",DATE(YEAR($C1297),MONTH($C1297),1))</f>
        <v/>
      </c>
      <c r="F1297">
        <f>IF($C1297="","",YEAR($C1297)&amp;"-Q"&amp;ROUNDUP(MONTH($C1297)/3,0))</f>
        <v/>
      </c>
      <c r="L1297">
        <f>IF($G1297&lt;&gt;"ALCOHOL","",IF($K1297="","",$H1297*IFERROR(VLOOKUP($K1297,Drink_Templates!$A:$G,7,FALSE),0)))</f>
        <v/>
      </c>
    </row>
    <row r="1298" ht="15" customHeight="1">
      <c r="C1298">
        <f>IF($B1298="","",INT($B1298))</f>
        <v/>
      </c>
      <c r="D1298">
        <f>IF($C1298="","",$C1298-WEEKDAY($C1298,2)+1)</f>
        <v/>
      </c>
      <c r="E1298">
        <f>IF($C1298="","",DATE(YEAR($C1298),MONTH($C1298),1))</f>
        <v/>
      </c>
      <c r="F1298">
        <f>IF($C1298="","",YEAR($C1298)&amp;"-Q"&amp;ROUNDUP(MONTH($C1298)/3,0))</f>
        <v/>
      </c>
      <c r="L1298">
        <f>IF($G1298&lt;&gt;"ALCOHOL","",IF($K1298="","",$H1298*IFERROR(VLOOKUP($K1298,Drink_Templates!$A:$G,7,FALSE),0)))</f>
        <v/>
      </c>
    </row>
    <row r="1299" ht="15" customHeight="1">
      <c r="C1299">
        <f>IF($B1299="","",INT($B1299))</f>
        <v/>
      </c>
      <c r="D1299">
        <f>IF($C1299="","",$C1299-WEEKDAY($C1299,2)+1)</f>
        <v/>
      </c>
      <c r="E1299">
        <f>IF($C1299="","",DATE(YEAR($C1299),MONTH($C1299),1))</f>
        <v/>
      </c>
      <c r="F1299">
        <f>IF($C1299="","",YEAR($C1299)&amp;"-Q"&amp;ROUNDUP(MONTH($C1299)/3,0))</f>
        <v/>
      </c>
      <c r="L1299">
        <f>IF($G1299&lt;&gt;"ALCOHOL","",IF($K1299="","",$H1299*IFERROR(VLOOKUP($K1299,Drink_Templates!$A:$G,7,FALSE),0)))</f>
        <v/>
      </c>
    </row>
    <row r="1300" ht="15" customHeight="1">
      <c r="C1300">
        <f>IF($B1300="","",INT($B1300))</f>
        <v/>
      </c>
      <c r="D1300">
        <f>IF($C1300="","",$C1300-WEEKDAY($C1300,2)+1)</f>
        <v/>
      </c>
      <c r="E1300">
        <f>IF($C1300="","",DATE(YEAR($C1300),MONTH($C1300),1))</f>
        <v/>
      </c>
      <c r="F1300">
        <f>IF($C1300="","",YEAR($C1300)&amp;"-Q"&amp;ROUNDUP(MONTH($C1300)/3,0))</f>
        <v/>
      </c>
      <c r="L1300">
        <f>IF($G1300&lt;&gt;"ALCOHOL","",IF($K1300="","",$H1300*IFERROR(VLOOKUP($K1300,Drink_Templates!$A:$G,7,FALSE),0)))</f>
        <v/>
      </c>
    </row>
    <row r="1301" ht="15" customHeight="1">
      <c r="C1301">
        <f>IF($B1301="","",INT($B1301))</f>
        <v/>
      </c>
      <c r="D1301">
        <f>IF($C1301="","",$C1301-WEEKDAY($C1301,2)+1)</f>
        <v/>
      </c>
      <c r="E1301">
        <f>IF($C1301="","",DATE(YEAR($C1301),MONTH($C1301),1))</f>
        <v/>
      </c>
      <c r="F1301">
        <f>IF($C1301="","",YEAR($C1301)&amp;"-Q"&amp;ROUNDUP(MONTH($C1301)/3,0))</f>
        <v/>
      </c>
      <c r="L1301">
        <f>IF($G1301&lt;&gt;"ALCOHOL","",IF($K1301="","",$H1301*IFERROR(VLOOKUP($K1301,Drink_Templates!$A:$G,7,FALSE),0)))</f>
        <v/>
      </c>
    </row>
    <row r="1302" ht="15" customHeight="1">
      <c r="C1302">
        <f>IF($B1302="","",INT($B1302))</f>
        <v/>
      </c>
      <c r="D1302">
        <f>IF($C1302="","",$C1302-WEEKDAY($C1302,2)+1)</f>
        <v/>
      </c>
      <c r="E1302">
        <f>IF($C1302="","",DATE(YEAR($C1302),MONTH($C1302),1))</f>
        <v/>
      </c>
      <c r="F1302">
        <f>IF($C1302="","",YEAR($C1302)&amp;"-Q"&amp;ROUNDUP(MONTH($C1302)/3,0))</f>
        <v/>
      </c>
      <c r="L1302">
        <f>IF($G1302&lt;&gt;"ALCOHOL","",IF($K1302="","",$H1302*IFERROR(VLOOKUP($K1302,Drink_Templates!$A:$G,7,FALSE),0)))</f>
        <v/>
      </c>
    </row>
    <row r="1303" ht="15" customHeight="1">
      <c r="C1303">
        <f>IF($B1303="","",INT($B1303))</f>
        <v/>
      </c>
      <c r="D1303">
        <f>IF($C1303="","",$C1303-WEEKDAY($C1303,2)+1)</f>
        <v/>
      </c>
      <c r="E1303">
        <f>IF($C1303="","",DATE(YEAR($C1303),MONTH($C1303),1))</f>
        <v/>
      </c>
      <c r="F1303">
        <f>IF($C1303="","",YEAR($C1303)&amp;"-Q"&amp;ROUNDUP(MONTH($C1303)/3,0))</f>
        <v/>
      </c>
      <c r="L1303">
        <f>IF($G1303&lt;&gt;"ALCOHOL","",IF($K1303="","",$H1303*IFERROR(VLOOKUP($K1303,Drink_Templates!$A:$G,7,FALSE),0)))</f>
        <v/>
      </c>
    </row>
    <row r="1304" ht="15" customHeight="1">
      <c r="C1304">
        <f>IF($B1304="","",INT($B1304))</f>
        <v/>
      </c>
      <c r="D1304">
        <f>IF($C1304="","",$C1304-WEEKDAY($C1304,2)+1)</f>
        <v/>
      </c>
      <c r="E1304">
        <f>IF($C1304="","",DATE(YEAR($C1304),MONTH($C1304),1))</f>
        <v/>
      </c>
      <c r="F1304">
        <f>IF($C1304="","",YEAR($C1304)&amp;"-Q"&amp;ROUNDUP(MONTH($C1304)/3,0))</f>
        <v/>
      </c>
      <c r="L1304">
        <f>IF($G1304&lt;&gt;"ALCOHOL","",IF($K1304="","",$H1304*IFERROR(VLOOKUP($K1304,Drink_Templates!$A:$G,7,FALSE),0)))</f>
        <v/>
      </c>
    </row>
    <row r="1305" ht="15" customHeight="1">
      <c r="C1305">
        <f>IF($B1305="","",INT($B1305))</f>
        <v/>
      </c>
      <c r="D1305">
        <f>IF($C1305="","",$C1305-WEEKDAY($C1305,2)+1)</f>
        <v/>
      </c>
      <c r="E1305">
        <f>IF($C1305="","",DATE(YEAR($C1305),MONTH($C1305),1))</f>
        <v/>
      </c>
      <c r="F1305">
        <f>IF($C1305="","",YEAR($C1305)&amp;"-Q"&amp;ROUNDUP(MONTH($C1305)/3,0))</f>
        <v/>
      </c>
      <c r="L1305">
        <f>IF($G1305&lt;&gt;"ALCOHOL","",IF($K1305="","",$H1305*IFERROR(VLOOKUP($K1305,Drink_Templates!$A:$G,7,FALSE),0)))</f>
        <v/>
      </c>
    </row>
    <row r="1306" ht="15" customHeight="1">
      <c r="C1306">
        <f>IF($B1306="","",INT($B1306))</f>
        <v/>
      </c>
      <c r="D1306">
        <f>IF($C1306="","",$C1306-WEEKDAY($C1306,2)+1)</f>
        <v/>
      </c>
      <c r="E1306">
        <f>IF($C1306="","",DATE(YEAR($C1306),MONTH($C1306),1))</f>
        <v/>
      </c>
      <c r="F1306">
        <f>IF($C1306="","",YEAR($C1306)&amp;"-Q"&amp;ROUNDUP(MONTH($C1306)/3,0))</f>
        <v/>
      </c>
      <c r="L1306">
        <f>IF($G1306&lt;&gt;"ALCOHOL","",IF($K1306="","",$H1306*IFERROR(VLOOKUP($K1306,Drink_Templates!$A:$G,7,FALSE),0)))</f>
        <v/>
      </c>
    </row>
    <row r="1307" ht="15" customHeight="1">
      <c r="C1307">
        <f>IF($B1307="","",INT($B1307))</f>
        <v/>
      </c>
      <c r="D1307">
        <f>IF($C1307="","",$C1307-WEEKDAY($C1307,2)+1)</f>
        <v/>
      </c>
      <c r="E1307">
        <f>IF($C1307="","",DATE(YEAR($C1307),MONTH($C1307),1))</f>
        <v/>
      </c>
      <c r="F1307">
        <f>IF($C1307="","",YEAR($C1307)&amp;"-Q"&amp;ROUNDUP(MONTH($C1307)/3,0))</f>
        <v/>
      </c>
      <c r="L1307">
        <f>IF($G1307&lt;&gt;"ALCOHOL","",IF($K1307="","",$H1307*IFERROR(VLOOKUP($K1307,Drink_Templates!$A:$G,7,FALSE),0)))</f>
        <v/>
      </c>
    </row>
    <row r="1308" ht="15" customHeight="1">
      <c r="C1308">
        <f>IF($B1308="","",INT($B1308))</f>
        <v/>
      </c>
      <c r="D1308">
        <f>IF($C1308="","",$C1308-WEEKDAY($C1308,2)+1)</f>
        <v/>
      </c>
      <c r="E1308">
        <f>IF($C1308="","",DATE(YEAR($C1308),MONTH($C1308),1))</f>
        <v/>
      </c>
      <c r="F1308">
        <f>IF($C1308="","",YEAR($C1308)&amp;"-Q"&amp;ROUNDUP(MONTH($C1308)/3,0))</f>
        <v/>
      </c>
      <c r="L1308">
        <f>IF($G1308&lt;&gt;"ALCOHOL","",IF($K1308="","",$H1308*IFERROR(VLOOKUP($K1308,Drink_Templates!$A:$G,7,FALSE),0)))</f>
        <v/>
      </c>
    </row>
    <row r="1309" ht="15" customHeight="1">
      <c r="C1309">
        <f>IF($B1309="","",INT($B1309))</f>
        <v/>
      </c>
      <c r="D1309">
        <f>IF($C1309="","",$C1309-WEEKDAY($C1309,2)+1)</f>
        <v/>
      </c>
      <c r="E1309">
        <f>IF($C1309="","",DATE(YEAR($C1309),MONTH($C1309),1))</f>
        <v/>
      </c>
      <c r="F1309">
        <f>IF($C1309="","",YEAR($C1309)&amp;"-Q"&amp;ROUNDUP(MONTH($C1309)/3,0))</f>
        <v/>
      </c>
      <c r="L1309">
        <f>IF($G1309&lt;&gt;"ALCOHOL","",IF($K1309="","",$H1309*IFERROR(VLOOKUP($K1309,Drink_Templates!$A:$G,7,FALSE),0)))</f>
        <v/>
      </c>
    </row>
    <row r="1310" ht="15" customHeight="1">
      <c r="C1310">
        <f>IF($B1310="","",INT($B1310))</f>
        <v/>
      </c>
      <c r="D1310">
        <f>IF($C1310="","",$C1310-WEEKDAY($C1310,2)+1)</f>
        <v/>
      </c>
      <c r="E1310">
        <f>IF($C1310="","",DATE(YEAR($C1310),MONTH($C1310),1))</f>
        <v/>
      </c>
      <c r="F1310">
        <f>IF($C1310="","",YEAR($C1310)&amp;"-Q"&amp;ROUNDUP(MONTH($C1310)/3,0))</f>
        <v/>
      </c>
      <c r="L1310">
        <f>IF($G1310&lt;&gt;"ALCOHOL","",IF($K1310="","",$H1310*IFERROR(VLOOKUP($K1310,Drink_Templates!$A:$G,7,FALSE),0)))</f>
        <v/>
      </c>
    </row>
    <row r="1311" ht="15" customHeight="1">
      <c r="C1311">
        <f>IF($B1311="","",INT($B1311))</f>
        <v/>
      </c>
      <c r="D1311">
        <f>IF($C1311="","",$C1311-WEEKDAY($C1311,2)+1)</f>
        <v/>
      </c>
      <c r="E1311">
        <f>IF($C1311="","",DATE(YEAR($C1311),MONTH($C1311),1))</f>
        <v/>
      </c>
      <c r="F1311">
        <f>IF($C1311="","",YEAR($C1311)&amp;"-Q"&amp;ROUNDUP(MONTH($C1311)/3,0))</f>
        <v/>
      </c>
      <c r="L1311">
        <f>IF($G1311&lt;&gt;"ALCOHOL","",IF($K1311="","",$H1311*IFERROR(VLOOKUP($K1311,Drink_Templates!$A:$G,7,FALSE),0)))</f>
        <v/>
      </c>
    </row>
    <row r="1312" ht="15" customHeight="1">
      <c r="C1312">
        <f>IF($B1312="","",INT($B1312))</f>
        <v/>
      </c>
      <c r="D1312">
        <f>IF($C1312="","",$C1312-WEEKDAY($C1312,2)+1)</f>
        <v/>
      </c>
      <c r="E1312">
        <f>IF($C1312="","",DATE(YEAR($C1312),MONTH($C1312),1))</f>
        <v/>
      </c>
      <c r="F1312">
        <f>IF($C1312="","",YEAR($C1312)&amp;"-Q"&amp;ROUNDUP(MONTH($C1312)/3,0))</f>
        <v/>
      </c>
      <c r="L1312">
        <f>IF($G1312&lt;&gt;"ALCOHOL","",IF($K1312="","",$H1312*IFERROR(VLOOKUP($K1312,Drink_Templates!$A:$G,7,FALSE),0)))</f>
        <v/>
      </c>
    </row>
    <row r="1313" ht="15" customHeight="1">
      <c r="C1313">
        <f>IF($B1313="","",INT($B1313))</f>
        <v/>
      </c>
      <c r="D1313">
        <f>IF($C1313="","",$C1313-WEEKDAY($C1313,2)+1)</f>
        <v/>
      </c>
      <c r="E1313">
        <f>IF($C1313="","",DATE(YEAR($C1313),MONTH($C1313),1))</f>
        <v/>
      </c>
      <c r="F1313">
        <f>IF($C1313="","",YEAR($C1313)&amp;"-Q"&amp;ROUNDUP(MONTH($C1313)/3,0))</f>
        <v/>
      </c>
      <c r="L1313">
        <f>IF($G1313&lt;&gt;"ALCOHOL","",IF($K1313="","",$H1313*IFERROR(VLOOKUP($K1313,Drink_Templates!$A:$G,7,FALSE),0)))</f>
        <v/>
      </c>
    </row>
    <row r="1314" ht="15" customHeight="1">
      <c r="C1314">
        <f>IF($B1314="","",INT($B1314))</f>
        <v/>
      </c>
      <c r="D1314">
        <f>IF($C1314="","",$C1314-WEEKDAY($C1314,2)+1)</f>
        <v/>
      </c>
      <c r="E1314">
        <f>IF($C1314="","",DATE(YEAR($C1314),MONTH($C1314),1))</f>
        <v/>
      </c>
      <c r="F1314">
        <f>IF($C1314="","",YEAR($C1314)&amp;"-Q"&amp;ROUNDUP(MONTH($C1314)/3,0))</f>
        <v/>
      </c>
      <c r="L1314">
        <f>IF($G1314&lt;&gt;"ALCOHOL","",IF($K1314="","",$H1314*IFERROR(VLOOKUP($K1314,Drink_Templates!$A:$G,7,FALSE),0)))</f>
        <v/>
      </c>
    </row>
    <row r="1315" ht="15" customHeight="1">
      <c r="C1315">
        <f>IF($B1315="","",INT($B1315))</f>
        <v/>
      </c>
      <c r="D1315">
        <f>IF($C1315="","",$C1315-WEEKDAY($C1315,2)+1)</f>
        <v/>
      </c>
      <c r="E1315">
        <f>IF($C1315="","",DATE(YEAR($C1315),MONTH($C1315),1))</f>
        <v/>
      </c>
      <c r="F1315">
        <f>IF($C1315="","",YEAR($C1315)&amp;"-Q"&amp;ROUNDUP(MONTH($C1315)/3,0))</f>
        <v/>
      </c>
      <c r="L1315">
        <f>IF($G1315&lt;&gt;"ALCOHOL","",IF($K1315="","",$H1315*IFERROR(VLOOKUP($K1315,Drink_Templates!$A:$G,7,FALSE),0)))</f>
        <v/>
      </c>
    </row>
    <row r="1316" ht="15" customHeight="1">
      <c r="C1316">
        <f>IF($B1316="","",INT($B1316))</f>
        <v/>
      </c>
      <c r="D1316">
        <f>IF($C1316="","",$C1316-WEEKDAY($C1316,2)+1)</f>
        <v/>
      </c>
      <c r="E1316">
        <f>IF($C1316="","",DATE(YEAR($C1316),MONTH($C1316),1))</f>
        <v/>
      </c>
      <c r="F1316">
        <f>IF($C1316="","",YEAR($C1316)&amp;"-Q"&amp;ROUNDUP(MONTH($C1316)/3,0))</f>
        <v/>
      </c>
      <c r="L1316">
        <f>IF($G1316&lt;&gt;"ALCOHOL","",IF($K1316="","",$H1316*IFERROR(VLOOKUP($K1316,Drink_Templates!$A:$G,7,FALSE),0)))</f>
        <v/>
      </c>
    </row>
    <row r="1317" ht="15" customHeight="1">
      <c r="C1317">
        <f>IF($B1317="","",INT($B1317))</f>
        <v/>
      </c>
      <c r="D1317">
        <f>IF($C1317="","",$C1317-WEEKDAY($C1317,2)+1)</f>
        <v/>
      </c>
      <c r="E1317">
        <f>IF($C1317="","",DATE(YEAR($C1317),MONTH($C1317),1))</f>
        <v/>
      </c>
      <c r="F1317">
        <f>IF($C1317="","",YEAR($C1317)&amp;"-Q"&amp;ROUNDUP(MONTH($C1317)/3,0))</f>
        <v/>
      </c>
      <c r="L1317">
        <f>IF($G1317&lt;&gt;"ALCOHOL","",IF($K1317="","",$H1317*IFERROR(VLOOKUP($K1317,Drink_Templates!$A:$G,7,FALSE),0)))</f>
        <v/>
      </c>
    </row>
    <row r="1318" ht="15" customHeight="1">
      <c r="C1318">
        <f>IF($B1318="","",INT($B1318))</f>
        <v/>
      </c>
      <c r="D1318">
        <f>IF($C1318="","",$C1318-WEEKDAY($C1318,2)+1)</f>
        <v/>
      </c>
      <c r="E1318">
        <f>IF($C1318="","",DATE(YEAR($C1318),MONTH($C1318),1))</f>
        <v/>
      </c>
      <c r="F1318">
        <f>IF($C1318="","",YEAR($C1318)&amp;"-Q"&amp;ROUNDUP(MONTH($C1318)/3,0))</f>
        <v/>
      </c>
      <c r="L1318">
        <f>IF($G1318&lt;&gt;"ALCOHOL","",IF($K1318="","",$H1318*IFERROR(VLOOKUP($K1318,Drink_Templates!$A:$G,7,FALSE),0)))</f>
        <v/>
      </c>
    </row>
    <row r="1319" ht="15" customHeight="1">
      <c r="C1319">
        <f>IF($B1319="","",INT($B1319))</f>
        <v/>
      </c>
      <c r="D1319">
        <f>IF($C1319="","",$C1319-WEEKDAY($C1319,2)+1)</f>
        <v/>
      </c>
      <c r="E1319">
        <f>IF($C1319="","",DATE(YEAR($C1319),MONTH($C1319),1))</f>
        <v/>
      </c>
      <c r="F1319">
        <f>IF($C1319="","",YEAR($C1319)&amp;"-Q"&amp;ROUNDUP(MONTH($C1319)/3,0))</f>
        <v/>
      </c>
      <c r="L1319">
        <f>IF($G1319&lt;&gt;"ALCOHOL","",IF($K1319="","",$H1319*IFERROR(VLOOKUP($K1319,Drink_Templates!$A:$G,7,FALSE),0)))</f>
        <v/>
      </c>
    </row>
    <row r="1320" ht="15" customHeight="1">
      <c r="C1320">
        <f>IF($B1320="","",INT($B1320))</f>
        <v/>
      </c>
      <c r="D1320">
        <f>IF($C1320="","",$C1320-WEEKDAY($C1320,2)+1)</f>
        <v/>
      </c>
      <c r="E1320">
        <f>IF($C1320="","",DATE(YEAR($C1320),MONTH($C1320),1))</f>
        <v/>
      </c>
      <c r="F1320">
        <f>IF($C1320="","",YEAR($C1320)&amp;"-Q"&amp;ROUNDUP(MONTH($C1320)/3,0))</f>
        <v/>
      </c>
      <c r="L1320">
        <f>IF($G1320&lt;&gt;"ALCOHOL","",IF($K1320="","",$H1320*IFERROR(VLOOKUP($K1320,Drink_Templates!$A:$G,7,FALSE),0)))</f>
        <v/>
      </c>
    </row>
    <row r="1321" ht="15" customHeight="1">
      <c r="C1321">
        <f>IF($B1321="","",INT($B1321))</f>
        <v/>
      </c>
      <c r="D1321">
        <f>IF($C1321="","",$C1321-WEEKDAY($C1321,2)+1)</f>
        <v/>
      </c>
      <c r="E1321">
        <f>IF($C1321="","",DATE(YEAR($C1321),MONTH($C1321),1))</f>
        <v/>
      </c>
      <c r="F1321">
        <f>IF($C1321="","",YEAR($C1321)&amp;"-Q"&amp;ROUNDUP(MONTH($C1321)/3,0))</f>
        <v/>
      </c>
      <c r="L1321">
        <f>IF($G1321&lt;&gt;"ALCOHOL","",IF($K1321="","",$H1321*IFERROR(VLOOKUP($K1321,Drink_Templates!$A:$G,7,FALSE),0)))</f>
        <v/>
      </c>
    </row>
    <row r="1322" ht="15" customHeight="1">
      <c r="C1322">
        <f>IF($B1322="","",INT($B1322))</f>
        <v/>
      </c>
      <c r="D1322">
        <f>IF($C1322="","",$C1322-WEEKDAY($C1322,2)+1)</f>
        <v/>
      </c>
      <c r="E1322">
        <f>IF($C1322="","",DATE(YEAR($C1322),MONTH($C1322),1))</f>
        <v/>
      </c>
      <c r="F1322">
        <f>IF($C1322="","",YEAR($C1322)&amp;"-Q"&amp;ROUNDUP(MONTH($C1322)/3,0))</f>
        <v/>
      </c>
      <c r="L1322">
        <f>IF($G1322&lt;&gt;"ALCOHOL","",IF($K1322="","",$H1322*IFERROR(VLOOKUP($K1322,Drink_Templates!$A:$G,7,FALSE),0)))</f>
        <v/>
      </c>
    </row>
    <row r="1323" ht="15" customHeight="1">
      <c r="C1323">
        <f>IF($B1323="","",INT($B1323))</f>
        <v/>
      </c>
      <c r="D1323">
        <f>IF($C1323="","",$C1323-WEEKDAY($C1323,2)+1)</f>
        <v/>
      </c>
      <c r="E1323">
        <f>IF($C1323="","",DATE(YEAR($C1323),MONTH($C1323),1))</f>
        <v/>
      </c>
      <c r="F1323">
        <f>IF($C1323="","",YEAR($C1323)&amp;"-Q"&amp;ROUNDUP(MONTH($C1323)/3,0))</f>
        <v/>
      </c>
      <c r="L1323">
        <f>IF($G1323&lt;&gt;"ALCOHOL","",IF($K1323="","",$H1323*IFERROR(VLOOKUP($K1323,Drink_Templates!$A:$G,7,FALSE),0)))</f>
        <v/>
      </c>
    </row>
    <row r="1324" ht="15" customHeight="1">
      <c r="C1324">
        <f>IF($B1324="","",INT($B1324))</f>
        <v/>
      </c>
      <c r="D1324">
        <f>IF($C1324="","",$C1324-WEEKDAY($C1324,2)+1)</f>
        <v/>
      </c>
      <c r="E1324">
        <f>IF($C1324="","",DATE(YEAR($C1324),MONTH($C1324),1))</f>
        <v/>
      </c>
      <c r="F1324">
        <f>IF($C1324="","",YEAR($C1324)&amp;"-Q"&amp;ROUNDUP(MONTH($C1324)/3,0))</f>
        <v/>
      </c>
      <c r="L1324">
        <f>IF($G1324&lt;&gt;"ALCOHOL","",IF($K1324="","",$H1324*IFERROR(VLOOKUP($K1324,Drink_Templates!$A:$G,7,FALSE),0)))</f>
        <v/>
      </c>
    </row>
    <row r="1325" ht="15" customHeight="1">
      <c r="C1325">
        <f>IF($B1325="","",INT($B1325))</f>
        <v/>
      </c>
      <c r="D1325">
        <f>IF($C1325="","",$C1325-WEEKDAY($C1325,2)+1)</f>
        <v/>
      </c>
      <c r="E1325">
        <f>IF($C1325="","",DATE(YEAR($C1325),MONTH($C1325),1))</f>
        <v/>
      </c>
      <c r="F1325">
        <f>IF($C1325="","",YEAR($C1325)&amp;"-Q"&amp;ROUNDUP(MONTH($C1325)/3,0))</f>
        <v/>
      </c>
      <c r="L1325">
        <f>IF($G1325&lt;&gt;"ALCOHOL","",IF($K1325="","",$H1325*IFERROR(VLOOKUP($K1325,Drink_Templates!$A:$G,7,FALSE),0)))</f>
        <v/>
      </c>
    </row>
    <row r="1326" ht="15" customHeight="1">
      <c r="C1326">
        <f>IF($B1326="","",INT($B1326))</f>
        <v/>
      </c>
      <c r="D1326">
        <f>IF($C1326="","",$C1326-WEEKDAY($C1326,2)+1)</f>
        <v/>
      </c>
      <c r="E1326">
        <f>IF($C1326="","",DATE(YEAR($C1326),MONTH($C1326),1))</f>
        <v/>
      </c>
      <c r="F1326">
        <f>IF($C1326="","",YEAR($C1326)&amp;"-Q"&amp;ROUNDUP(MONTH($C1326)/3,0))</f>
        <v/>
      </c>
      <c r="L1326">
        <f>IF($G1326&lt;&gt;"ALCOHOL","",IF($K1326="","",$H1326*IFERROR(VLOOKUP($K1326,Drink_Templates!$A:$G,7,FALSE),0)))</f>
        <v/>
      </c>
    </row>
    <row r="1327" ht="15" customHeight="1">
      <c r="C1327">
        <f>IF($B1327="","",INT($B1327))</f>
        <v/>
      </c>
      <c r="D1327">
        <f>IF($C1327="","",$C1327-WEEKDAY($C1327,2)+1)</f>
        <v/>
      </c>
      <c r="E1327">
        <f>IF($C1327="","",DATE(YEAR($C1327),MONTH($C1327),1))</f>
        <v/>
      </c>
      <c r="F1327">
        <f>IF($C1327="","",YEAR($C1327)&amp;"-Q"&amp;ROUNDUP(MONTH($C1327)/3,0))</f>
        <v/>
      </c>
      <c r="L1327">
        <f>IF($G1327&lt;&gt;"ALCOHOL","",IF($K1327="","",$H1327*IFERROR(VLOOKUP($K1327,Drink_Templates!$A:$G,7,FALSE),0)))</f>
        <v/>
      </c>
    </row>
    <row r="1328" ht="15" customHeight="1">
      <c r="C1328">
        <f>IF($B1328="","",INT($B1328))</f>
        <v/>
      </c>
      <c r="D1328">
        <f>IF($C1328="","",$C1328-WEEKDAY($C1328,2)+1)</f>
        <v/>
      </c>
      <c r="E1328">
        <f>IF($C1328="","",DATE(YEAR($C1328),MONTH($C1328),1))</f>
        <v/>
      </c>
      <c r="F1328">
        <f>IF($C1328="","",YEAR($C1328)&amp;"-Q"&amp;ROUNDUP(MONTH($C1328)/3,0))</f>
        <v/>
      </c>
      <c r="L1328">
        <f>IF($G1328&lt;&gt;"ALCOHOL","",IF($K1328="","",$H1328*IFERROR(VLOOKUP($K1328,Drink_Templates!$A:$G,7,FALSE),0)))</f>
        <v/>
      </c>
    </row>
    <row r="1329" ht="15" customHeight="1">
      <c r="C1329">
        <f>IF($B1329="","",INT($B1329))</f>
        <v/>
      </c>
      <c r="D1329">
        <f>IF($C1329="","",$C1329-WEEKDAY($C1329,2)+1)</f>
        <v/>
      </c>
      <c r="E1329">
        <f>IF($C1329="","",DATE(YEAR($C1329),MONTH($C1329),1))</f>
        <v/>
      </c>
      <c r="F1329">
        <f>IF($C1329="","",YEAR($C1329)&amp;"-Q"&amp;ROUNDUP(MONTH($C1329)/3,0))</f>
        <v/>
      </c>
      <c r="L1329">
        <f>IF($G1329&lt;&gt;"ALCOHOL","",IF($K1329="","",$H1329*IFERROR(VLOOKUP($K1329,Drink_Templates!$A:$G,7,FALSE),0)))</f>
        <v/>
      </c>
    </row>
    <row r="1330" ht="15" customHeight="1">
      <c r="C1330">
        <f>IF($B1330="","",INT($B1330))</f>
        <v/>
      </c>
      <c r="D1330">
        <f>IF($C1330="","",$C1330-WEEKDAY($C1330,2)+1)</f>
        <v/>
      </c>
      <c r="E1330">
        <f>IF($C1330="","",DATE(YEAR($C1330),MONTH($C1330),1))</f>
        <v/>
      </c>
      <c r="F1330">
        <f>IF($C1330="","",YEAR($C1330)&amp;"-Q"&amp;ROUNDUP(MONTH($C1330)/3,0))</f>
        <v/>
      </c>
      <c r="L1330">
        <f>IF($G1330&lt;&gt;"ALCOHOL","",IF($K1330="","",$H1330*IFERROR(VLOOKUP($K1330,Drink_Templates!$A:$G,7,FALSE),0)))</f>
        <v/>
      </c>
    </row>
    <row r="1331" ht="15" customHeight="1">
      <c r="C1331">
        <f>IF($B1331="","",INT($B1331))</f>
        <v/>
      </c>
      <c r="D1331">
        <f>IF($C1331="","",$C1331-WEEKDAY($C1331,2)+1)</f>
        <v/>
      </c>
      <c r="E1331">
        <f>IF($C1331="","",DATE(YEAR($C1331),MONTH($C1331),1))</f>
        <v/>
      </c>
      <c r="F1331">
        <f>IF($C1331="","",YEAR($C1331)&amp;"-Q"&amp;ROUNDUP(MONTH($C1331)/3,0))</f>
        <v/>
      </c>
      <c r="L1331">
        <f>IF($G1331&lt;&gt;"ALCOHOL","",IF($K1331="","",$H1331*IFERROR(VLOOKUP($K1331,Drink_Templates!$A:$G,7,FALSE),0)))</f>
        <v/>
      </c>
    </row>
    <row r="1332" ht="15" customHeight="1">
      <c r="C1332">
        <f>IF($B1332="","",INT($B1332))</f>
        <v/>
      </c>
      <c r="D1332">
        <f>IF($C1332="","",$C1332-WEEKDAY($C1332,2)+1)</f>
        <v/>
      </c>
      <c r="E1332">
        <f>IF($C1332="","",DATE(YEAR($C1332),MONTH($C1332),1))</f>
        <v/>
      </c>
      <c r="F1332">
        <f>IF($C1332="","",YEAR($C1332)&amp;"-Q"&amp;ROUNDUP(MONTH($C1332)/3,0))</f>
        <v/>
      </c>
      <c r="L1332">
        <f>IF($G1332&lt;&gt;"ALCOHOL","",IF($K1332="","",$H1332*IFERROR(VLOOKUP($K1332,Drink_Templates!$A:$G,7,FALSE),0)))</f>
        <v/>
      </c>
    </row>
    <row r="1333" ht="15" customHeight="1">
      <c r="C1333">
        <f>IF($B1333="","",INT($B1333))</f>
        <v/>
      </c>
      <c r="D1333">
        <f>IF($C1333="","",$C1333-WEEKDAY($C1333,2)+1)</f>
        <v/>
      </c>
      <c r="E1333">
        <f>IF($C1333="","",DATE(YEAR($C1333),MONTH($C1333),1))</f>
        <v/>
      </c>
      <c r="F1333">
        <f>IF($C1333="","",YEAR($C1333)&amp;"-Q"&amp;ROUNDUP(MONTH($C1333)/3,0))</f>
        <v/>
      </c>
      <c r="L1333">
        <f>IF($G1333&lt;&gt;"ALCOHOL","",IF($K1333="","",$H1333*IFERROR(VLOOKUP($K1333,Drink_Templates!$A:$G,7,FALSE),0)))</f>
        <v/>
      </c>
    </row>
    <row r="1334" ht="15" customHeight="1">
      <c r="C1334">
        <f>IF($B1334="","",INT($B1334))</f>
        <v/>
      </c>
      <c r="D1334">
        <f>IF($C1334="","",$C1334-WEEKDAY($C1334,2)+1)</f>
        <v/>
      </c>
      <c r="E1334">
        <f>IF($C1334="","",DATE(YEAR($C1334),MONTH($C1334),1))</f>
        <v/>
      </c>
      <c r="F1334">
        <f>IF($C1334="","",YEAR($C1334)&amp;"-Q"&amp;ROUNDUP(MONTH($C1334)/3,0))</f>
        <v/>
      </c>
      <c r="L1334">
        <f>IF($G1334&lt;&gt;"ALCOHOL","",IF($K1334="","",$H1334*IFERROR(VLOOKUP($K1334,Drink_Templates!$A:$G,7,FALSE),0)))</f>
        <v/>
      </c>
    </row>
    <row r="1335" ht="15" customHeight="1">
      <c r="C1335">
        <f>IF($B1335="","",INT($B1335))</f>
        <v/>
      </c>
      <c r="D1335">
        <f>IF($C1335="","",$C1335-WEEKDAY($C1335,2)+1)</f>
        <v/>
      </c>
      <c r="E1335">
        <f>IF($C1335="","",DATE(YEAR($C1335),MONTH($C1335),1))</f>
        <v/>
      </c>
      <c r="F1335">
        <f>IF($C1335="","",YEAR($C1335)&amp;"-Q"&amp;ROUNDUP(MONTH($C1335)/3,0))</f>
        <v/>
      </c>
      <c r="L1335">
        <f>IF($G1335&lt;&gt;"ALCOHOL","",IF($K1335="","",$H1335*IFERROR(VLOOKUP($K1335,Drink_Templates!$A:$G,7,FALSE),0)))</f>
        <v/>
      </c>
    </row>
    <row r="1336" ht="15" customHeight="1">
      <c r="C1336">
        <f>IF($B1336="","",INT($B1336))</f>
        <v/>
      </c>
      <c r="D1336">
        <f>IF($C1336="","",$C1336-WEEKDAY($C1336,2)+1)</f>
        <v/>
      </c>
      <c r="E1336">
        <f>IF($C1336="","",DATE(YEAR($C1336),MONTH($C1336),1))</f>
        <v/>
      </c>
      <c r="F1336">
        <f>IF($C1336="","",YEAR($C1336)&amp;"-Q"&amp;ROUNDUP(MONTH($C1336)/3,0))</f>
        <v/>
      </c>
      <c r="L1336">
        <f>IF($G1336&lt;&gt;"ALCOHOL","",IF($K1336="","",$H1336*IFERROR(VLOOKUP($K1336,Drink_Templates!$A:$G,7,FALSE),0)))</f>
        <v/>
      </c>
    </row>
    <row r="1337" ht="15" customHeight="1">
      <c r="C1337">
        <f>IF($B1337="","",INT($B1337))</f>
        <v/>
      </c>
      <c r="D1337">
        <f>IF($C1337="","",$C1337-WEEKDAY($C1337,2)+1)</f>
        <v/>
      </c>
      <c r="E1337">
        <f>IF($C1337="","",DATE(YEAR($C1337),MONTH($C1337),1))</f>
        <v/>
      </c>
      <c r="F1337">
        <f>IF($C1337="","",YEAR($C1337)&amp;"-Q"&amp;ROUNDUP(MONTH($C1337)/3,0))</f>
        <v/>
      </c>
      <c r="L1337">
        <f>IF($G1337&lt;&gt;"ALCOHOL","",IF($K1337="","",$H1337*IFERROR(VLOOKUP($K1337,Drink_Templates!$A:$G,7,FALSE),0)))</f>
        <v/>
      </c>
    </row>
    <row r="1338" ht="15" customHeight="1">
      <c r="C1338">
        <f>IF($B1338="","",INT($B1338))</f>
        <v/>
      </c>
      <c r="D1338">
        <f>IF($C1338="","",$C1338-WEEKDAY($C1338,2)+1)</f>
        <v/>
      </c>
      <c r="E1338">
        <f>IF($C1338="","",DATE(YEAR($C1338),MONTH($C1338),1))</f>
        <v/>
      </c>
      <c r="F1338">
        <f>IF($C1338="","",YEAR($C1338)&amp;"-Q"&amp;ROUNDUP(MONTH($C1338)/3,0))</f>
        <v/>
      </c>
      <c r="L1338">
        <f>IF($G1338&lt;&gt;"ALCOHOL","",IF($K1338="","",$H1338*IFERROR(VLOOKUP($K1338,Drink_Templates!$A:$G,7,FALSE),0)))</f>
        <v/>
      </c>
    </row>
    <row r="1339" ht="15" customHeight="1">
      <c r="C1339">
        <f>IF($B1339="","",INT($B1339))</f>
        <v/>
      </c>
      <c r="D1339">
        <f>IF($C1339="","",$C1339-WEEKDAY($C1339,2)+1)</f>
        <v/>
      </c>
      <c r="E1339">
        <f>IF($C1339="","",DATE(YEAR($C1339),MONTH($C1339),1))</f>
        <v/>
      </c>
      <c r="F1339">
        <f>IF($C1339="","",YEAR($C1339)&amp;"-Q"&amp;ROUNDUP(MONTH($C1339)/3,0))</f>
        <v/>
      </c>
      <c r="L1339">
        <f>IF($G1339&lt;&gt;"ALCOHOL","",IF($K1339="","",$H1339*IFERROR(VLOOKUP($K1339,Drink_Templates!$A:$G,7,FALSE),0)))</f>
        <v/>
      </c>
    </row>
    <row r="1340" ht="15" customHeight="1">
      <c r="C1340">
        <f>IF($B1340="","",INT($B1340))</f>
        <v/>
      </c>
      <c r="D1340">
        <f>IF($C1340="","",$C1340-WEEKDAY($C1340,2)+1)</f>
        <v/>
      </c>
      <c r="E1340">
        <f>IF($C1340="","",DATE(YEAR($C1340),MONTH($C1340),1))</f>
        <v/>
      </c>
      <c r="F1340">
        <f>IF($C1340="","",YEAR($C1340)&amp;"-Q"&amp;ROUNDUP(MONTH($C1340)/3,0))</f>
        <v/>
      </c>
      <c r="L1340">
        <f>IF($G1340&lt;&gt;"ALCOHOL","",IF($K1340="","",$H1340*IFERROR(VLOOKUP($K1340,Drink_Templates!$A:$G,7,FALSE),0)))</f>
        <v/>
      </c>
    </row>
    <row r="1341" ht="15" customHeight="1">
      <c r="C1341">
        <f>IF($B1341="","",INT($B1341))</f>
        <v/>
      </c>
      <c r="D1341">
        <f>IF($C1341="","",$C1341-WEEKDAY($C1341,2)+1)</f>
        <v/>
      </c>
      <c r="E1341">
        <f>IF($C1341="","",DATE(YEAR($C1341),MONTH($C1341),1))</f>
        <v/>
      </c>
      <c r="F1341">
        <f>IF($C1341="","",YEAR($C1341)&amp;"-Q"&amp;ROUNDUP(MONTH($C1341)/3,0))</f>
        <v/>
      </c>
      <c r="L1341">
        <f>IF($G1341&lt;&gt;"ALCOHOL","",IF($K1341="","",$H1341*IFERROR(VLOOKUP($K1341,Drink_Templates!$A:$G,7,FALSE),0)))</f>
        <v/>
      </c>
    </row>
    <row r="1342" ht="15" customHeight="1">
      <c r="C1342">
        <f>IF($B1342="","",INT($B1342))</f>
        <v/>
      </c>
      <c r="D1342">
        <f>IF($C1342="","",$C1342-WEEKDAY($C1342,2)+1)</f>
        <v/>
      </c>
      <c r="E1342">
        <f>IF($C1342="","",DATE(YEAR($C1342),MONTH($C1342),1))</f>
        <v/>
      </c>
      <c r="F1342">
        <f>IF($C1342="","",YEAR($C1342)&amp;"-Q"&amp;ROUNDUP(MONTH($C1342)/3,0))</f>
        <v/>
      </c>
      <c r="L1342">
        <f>IF($G1342&lt;&gt;"ALCOHOL","",IF($K1342="","",$H1342*IFERROR(VLOOKUP($K1342,Drink_Templates!$A:$G,7,FALSE),0)))</f>
        <v/>
      </c>
    </row>
    <row r="1343" ht="15" customHeight="1">
      <c r="C1343">
        <f>IF($B1343="","",INT($B1343))</f>
        <v/>
      </c>
      <c r="D1343">
        <f>IF($C1343="","",$C1343-WEEKDAY($C1343,2)+1)</f>
        <v/>
      </c>
      <c r="E1343">
        <f>IF($C1343="","",DATE(YEAR($C1343),MONTH($C1343),1))</f>
        <v/>
      </c>
      <c r="F1343">
        <f>IF($C1343="","",YEAR($C1343)&amp;"-Q"&amp;ROUNDUP(MONTH($C1343)/3,0))</f>
        <v/>
      </c>
      <c r="L1343">
        <f>IF($G1343&lt;&gt;"ALCOHOL","",IF($K1343="","",$H1343*IFERROR(VLOOKUP($K1343,Drink_Templates!$A:$G,7,FALSE),0)))</f>
        <v/>
      </c>
    </row>
    <row r="1344" ht="15" customHeight="1">
      <c r="C1344">
        <f>IF($B1344="","",INT($B1344))</f>
        <v/>
      </c>
      <c r="D1344">
        <f>IF($C1344="","",$C1344-WEEKDAY($C1344,2)+1)</f>
        <v/>
      </c>
      <c r="E1344">
        <f>IF($C1344="","",DATE(YEAR($C1344),MONTH($C1344),1))</f>
        <v/>
      </c>
      <c r="F1344">
        <f>IF($C1344="","",YEAR($C1344)&amp;"-Q"&amp;ROUNDUP(MONTH($C1344)/3,0))</f>
        <v/>
      </c>
      <c r="L1344">
        <f>IF($G1344&lt;&gt;"ALCOHOL","",IF($K1344="","",$H1344*IFERROR(VLOOKUP($K1344,Drink_Templates!$A:$G,7,FALSE),0)))</f>
        <v/>
      </c>
    </row>
    <row r="1345" ht="15" customHeight="1">
      <c r="C1345">
        <f>IF($B1345="","",INT($B1345))</f>
        <v/>
      </c>
      <c r="D1345">
        <f>IF($C1345="","",$C1345-WEEKDAY($C1345,2)+1)</f>
        <v/>
      </c>
      <c r="E1345">
        <f>IF($C1345="","",DATE(YEAR($C1345),MONTH($C1345),1))</f>
        <v/>
      </c>
      <c r="F1345">
        <f>IF($C1345="","",YEAR($C1345)&amp;"-Q"&amp;ROUNDUP(MONTH($C1345)/3,0))</f>
        <v/>
      </c>
      <c r="L1345">
        <f>IF($G1345&lt;&gt;"ALCOHOL","",IF($K1345="","",$H1345*IFERROR(VLOOKUP($K1345,Drink_Templates!$A:$G,7,FALSE),0)))</f>
        <v/>
      </c>
    </row>
    <row r="1346" ht="15" customHeight="1">
      <c r="C1346">
        <f>IF($B1346="","",INT($B1346))</f>
        <v/>
      </c>
      <c r="D1346">
        <f>IF($C1346="","",$C1346-WEEKDAY($C1346,2)+1)</f>
        <v/>
      </c>
      <c r="E1346">
        <f>IF($C1346="","",DATE(YEAR($C1346),MONTH($C1346),1))</f>
        <v/>
      </c>
      <c r="F1346">
        <f>IF($C1346="","",YEAR($C1346)&amp;"-Q"&amp;ROUNDUP(MONTH($C1346)/3,0))</f>
        <v/>
      </c>
      <c r="L1346">
        <f>IF($G1346&lt;&gt;"ALCOHOL","",IF($K1346="","",$H1346*IFERROR(VLOOKUP($K1346,Drink_Templates!$A:$G,7,FALSE),0)))</f>
        <v/>
      </c>
    </row>
    <row r="1347" ht="15" customHeight="1">
      <c r="C1347">
        <f>IF($B1347="","",INT($B1347))</f>
        <v/>
      </c>
      <c r="D1347">
        <f>IF($C1347="","",$C1347-WEEKDAY($C1347,2)+1)</f>
        <v/>
      </c>
      <c r="E1347">
        <f>IF($C1347="","",DATE(YEAR($C1347),MONTH($C1347),1))</f>
        <v/>
      </c>
      <c r="F1347">
        <f>IF($C1347="","",YEAR($C1347)&amp;"-Q"&amp;ROUNDUP(MONTH($C1347)/3,0))</f>
        <v/>
      </c>
      <c r="L1347">
        <f>IF($G1347&lt;&gt;"ALCOHOL","",IF($K1347="","",$H1347*IFERROR(VLOOKUP($K1347,Drink_Templates!$A:$G,7,FALSE),0)))</f>
        <v/>
      </c>
    </row>
    <row r="1348" ht="15" customHeight="1">
      <c r="C1348">
        <f>IF($B1348="","",INT($B1348))</f>
        <v/>
      </c>
      <c r="D1348">
        <f>IF($C1348="","",$C1348-WEEKDAY($C1348,2)+1)</f>
        <v/>
      </c>
      <c r="E1348">
        <f>IF($C1348="","",DATE(YEAR($C1348),MONTH($C1348),1))</f>
        <v/>
      </c>
      <c r="F1348">
        <f>IF($C1348="","",YEAR($C1348)&amp;"-Q"&amp;ROUNDUP(MONTH($C1348)/3,0))</f>
        <v/>
      </c>
      <c r="L1348">
        <f>IF($G1348&lt;&gt;"ALCOHOL","",IF($K1348="","",$H1348*IFERROR(VLOOKUP($K1348,Drink_Templates!$A:$G,7,FALSE),0)))</f>
        <v/>
      </c>
    </row>
    <row r="1349" ht="15" customHeight="1">
      <c r="C1349">
        <f>IF($B1349="","",INT($B1349))</f>
        <v/>
      </c>
      <c r="D1349">
        <f>IF($C1349="","",$C1349-WEEKDAY($C1349,2)+1)</f>
        <v/>
      </c>
      <c r="E1349">
        <f>IF($C1349="","",DATE(YEAR($C1349),MONTH($C1349),1))</f>
        <v/>
      </c>
      <c r="F1349">
        <f>IF($C1349="","",YEAR($C1349)&amp;"-Q"&amp;ROUNDUP(MONTH($C1349)/3,0))</f>
        <v/>
      </c>
      <c r="L1349">
        <f>IF($G1349&lt;&gt;"ALCOHOL","",IF($K1349="","",$H1349*IFERROR(VLOOKUP($K1349,Drink_Templates!$A:$G,7,FALSE),0)))</f>
        <v/>
      </c>
    </row>
    <row r="1350" ht="15" customHeight="1">
      <c r="C1350">
        <f>IF($B1350="","",INT($B1350))</f>
        <v/>
      </c>
      <c r="D1350">
        <f>IF($C1350="","",$C1350-WEEKDAY($C1350,2)+1)</f>
        <v/>
      </c>
      <c r="E1350">
        <f>IF($C1350="","",DATE(YEAR($C1350),MONTH($C1350),1))</f>
        <v/>
      </c>
      <c r="F1350">
        <f>IF($C1350="","",YEAR($C1350)&amp;"-Q"&amp;ROUNDUP(MONTH($C1350)/3,0))</f>
        <v/>
      </c>
      <c r="L1350">
        <f>IF($G1350&lt;&gt;"ALCOHOL","",IF($K1350="","",$H1350*IFERROR(VLOOKUP($K1350,Drink_Templates!$A:$G,7,FALSE),0)))</f>
        <v/>
      </c>
    </row>
    <row r="1351" ht="15" customHeight="1">
      <c r="C1351">
        <f>IF($B1351="","",INT($B1351))</f>
        <v/>
      </c>
      <c r="D1351">
        <f>IF($C1351="","",$C1351-WEEKDAY($C1351,2)+1)</f>
        <v/>
      </c>
      <c r="E1351">
        <f>IF($C1351="","",DATE(YEAR($C1351),MONTH($C1351),1))</f>
        <v/>
      </c>
      <c r="F1351">
        <f>IF($C1351="","",YEAR($C1351)&amp;"-Q"&amp;ROUNDUP(MONTH($C1351)/3,0))</f>
        <v/>
      </c>
      <c r="L1351">
        <f>IF($G1351&lt;&gt;"ALCOHOL","",IF($K1351="","",$H1351*IFERROR(VLOOKUP($K1351,Drink_Templates!$A:$G,7,FALSE),0)))</f>
        <v/>
      </c>
    </row>
    <row r="1352" ht="15" customHeight="1">
      <c r="C1352">
        <f>IF($B1352="","",INT($B1352))</f>
        <v/>
      </c>
      <c r="D1352">
        <f>IF($C1352="","",$C1352-WEEKDAY($C1352,2)+1)</f>
        <v/>
      </c>
      <c r="E1352">
        <f>IF($C1352="","",DATE(YEAR($C1352),MONTH($C1352),1))</f>
        <v/>
      </c>
      <c r="F1352">
        <f>IF($C1352="","",YEAR($C1352)&amp;"-Q"&amp;ROUNDUP(MONTH($C1352)/3,0))</f>
        <v/>
      </c>
      <c r="L1352">
        <f>IF($G1352&lt;&gt;"ALCOHOL","",IF($K1352="","",$H1352*IFERROR(VLOOKUP($K1352,Drink_Templates!$A:$G,7,FALSE),0)))</f>
        <v/>
      </c>
    </row>
    <row r="1353" ht="15" customHeight="1">
      <c r="C1353">
        <f>IF($B1353="","",INT($B1353))</f>
        <v/>
      </c>
      <c r="D1353">
        <f>IF($C1353="","",$C1353-WEEKDAY($C1353,2)+1)</f>
        <v/>
      </c>
      <c r="E1353">
        <f>IF($C1353="","",DATE(YEAR($C1353),MONTH($C1353),1))</f>
        <v/>
      </c>
      <c r="F1353">
        <f>IF($C1353="","",YEAR($C1353)&amp;"-Q"&amp;ROUNDUP(MONTH($C1353)/3,0))</f>
        <v/>
      </c>
      <c r="L1353">
        <f>IF($G1353&lt;&gt;"ALCOHOL","",IF($K1353="","",$H1353*IFERROR(VLOOKUP($K1353,Drink_Templates!$A:$G,7,FALSE),0)))</f>
        <v/>
      </c>
    </row>
    <row r="1354" ht="15" customHeight="1">
      <c r="C1354">
        <f>IF($B1354="","",INT($B1354))</f>
        <v/>
      </c>
      <c r="D1354">
        <f>IF($C1354="","",$C1354-WEEKDAY($C1354,2)+1)</f>
        <v/>
      </c>
      <c r="E1354">
        <f>IF($C1354="","",DATE(YEAR($C1354),MONTH($C1354),1))</f>
        <v/>
      </c>
      <c r="F1354">
        <f>IF($C1354="","",YEAR($C1354)&amp;"-Q"&amp;ROUNDUP(MONTH($C1354)/3,0))</f>
        <v/>
      </c>
      <c r="L1354">
        <f>IF($G1354&lt;&gt;"ALCOHOL","",IF($K1354="","",$H1354*IFERROR(VLOOKUP($K1354,Drink_Templates!$A:$G,7,FALSE),0)))</f>
        <v/>
      </c>
    </row>
    <row r="1355" ht="15" customHeight="1">
      <c r="C1355">
        <f>IF($B1355="","",INT($B1355))</f>
        <v/>
      </c>
      <c r="D1355">
        <f>IF($C1355="","",$C1355-WEEKDAY($C1355,2)+1)</f>
        <v/>
      </c>
      <c r="E1355">
        <f>IF($C1355="","",DATE(YEAR($C1355),MONTH($C1355),1))</f>
        <v/>
      </c>
      <c r="F1355">
        <f>IF($C1355="","",YEAR($C1355)&amp;"-Q"&amp;ROUNDUP(MONTH($C1355)/3,0))</f>
        <v/>
      </c>
      <c r="L1355">
        <f>IF($G1355&lt;&gt;"ALCOHOL","",IF($K1355="","",$H1355*IFERROR(VLOOKUP($K1355,Drink_Templates!$A:$G,7,FALSE),0)))</f>
        <v/>
      </c>
    </row>
    <row r="1356" ht="15" customHeight="1">
      <c r="C1356">
        <f>IF($B1356="","",INT($B1356))</f>
        <v/>
      </c>
      <c r="D1356">
        <f>IF($C1356="","",$C1356-WEEKDAY($C1356,2)+1)</f>
        <v/>
      </c>
      <c r="E1356">
        <f>IF($C1356="","",DATE(YEAR($C1356),MONTH($C1356),1))</f>
        <v/>
      </c>
      <c r="F1356">
        <f>IF($C1356="","",YEAR($C1356)&amp;"-Q"&amp;ROUNDUP(MONTH($C1356)/3,0))</f>
        <v/>
      </c>
      <c r="L1356">
        <f>IF($G1356&lt;&gt;"ALCOHOL","",IF($K1356="","",$H1356*IFERROR(VLOOKUP($K1356,Drink_Templates!$A:$G,7,FALSE),0)))</f>
        <v/>
      </c>
    </row>
    <row r="1357" ht="15" customHeight="1">
      <c r="C1357">
        <f>IF($B1357="","",INT($B1357))</f>
        <v/>
      </c>
      <c r="D1357">
        <f>IF($C1357="","",$C1357-WEEKDAY($C1357,2)+1)</f>
        <v/>
      </c>
      <c r="E1357">
        <f>IF($C1357="","",DATE(YEAR($C1357),MONTH($C1357),1))</f>
        <v/>
      </c>
      <c r="F1357">
        <f>IF($C1357="","",YEAR($C1357)&amp;"-Q"&amp;ROUNDUP(MONTH($C1357)/3,0))</f>
        <v/>
      </c>
      <c r="L1357">
        <f>IF($G1357&lt;&gt;"ALCOHOL","",IF($K1357="","",$H1357*IFERROR(VLOOKUP($K1357,Drink_Templates!$A:$G,7,FALSE),0)))</f>
        <v/>
      </c>
    </row>
    <row r="1358" ht="15" customHeight="1">
      <c r="C1358">
        <f>IF($B1358="","",INT($B1358))</f>
        <v/>
      </c>
      <c r="D1358">
        <f>IF($C1358="","",$C1358-WEEKDAY($C1358,2)+1)</f>
        <v/>
      </c>
      <c r="E1358">
        <f>IF($C1358="","",DATE(YEAR($C1358),MONTH($C1358),1))</f>
        <v/>
      </c>
      <c r="F1358">
        <f>IF($C1358="","",YEAR($C1358)&amp;"-Q"&amp;ROUNDUP(MONTH($C1358)/3,0))</f>
        <v/>
      </c>
      <c r="L1358">
        <f>IF($G1358&lt;&gt;"ALCOHOL","",IF($K1358="","",$H1358*IFERROR(VLOOKUP($K1358,Drink_Templates!$A:$G,7,FALSE),0)))</f>
        <v/>
      </c>
    </row>
    <row r="1359" ht="15" customHeight="1">
      <c r="C1359">
        <f>IF($B1359="","",INT($B1359))</f>
        <v/>
      </c>
      <c r="D1359">
        <f>IF($C1359="","",$C1359-WEEKDAY($C1359,2)+1)</f>
        <v/>
      </c>
      <c r="E1359">
        <f>IF($C1359="","",DATE(YEAR($C1359),MONTH($C1359),1))</f>
        <v/>
      </c>
      <c r="F1359">
        <f>IF($C1359="","",YEAR($C1359)&amp;"-Q"&amp;ROUNDUP(MONTH($C1359)/3,0))</f>
        <v/>
      </c>
      <c r="L1359">
        <f>IF($G1359&lt;&gt;"ALCOHOL","",IF($K1359="","",$H1359*IFERROR(VLOOKUP($K1359,Drink_Templates!$A:$G,7,FALSE),0)))</f>
        <v/>
      </c>
    </row>
    <row r="1360" ht="15" customHeight="1">
      <c r="C1360">
        <f>IF($B1360="","",INT($B1360))</f>
        <v/>
      </c>
      <c r="D1360">
        <f>IF($C1360="","",$C1360-WEEKDAY($C1360,2)+1)</f>
        <v/>
      </c>
      <c r="E1360">
        <f>IF($C1360="","",DATE(YEAR($C1360),MONTH($C1360),1))</f>
        <v/>
      </c>
      <c r="F1360">
        <f>IF($C1360="","",YEAR($C1360)&amp;"-Q"&amp;ROUNDUP(MONTH($C1360)/3,0))</f>
        <v/>
      </c>
      <c r="L1360">
        <f>IF($G1360&lt;&gt;"ALCOHOL","",IF($K1360="","",$H1360*IFERROR(VLOOKUP($K1360,Drink_Templates!$A:$G,7,FALSE),0)))</f>
        <v/>
      </c>
    </row>
    <row r="1361" ht="15" customHeight="1">
      <c r="C1361">
        <f>IF($B1361="","",INT($B1361))</f>
        <v/>
      </c>
      <c r="D1361">
        <f>IF($C1361="","",$C1361-WEEKDAY($C1361,2)+1)</f>
        <v/>
      </c>
      <c r="E1361">
        <f>IF($C1361="","",DATE(YEAR($C1361),MONTH($C1361),1))</f>
        <v/>
      </c>
      <c r="F1361">
        <f>IF($C1361="","",YEAR($C1361)&amp;"-Q"&amp;ROUNDUP(MONTH($C1361)/3,0))</f>
        <v/>
      </c>
      <c r="L1361">
        <f>IF($G1361&lt;&gt;"ALCOHOL","",IF($K1361="","",$H1361*IFERROR(VLOOKUP($K1361,Drink_Templates!$A:$G,7,FALSE),0)))</f>
        <v/>
      </c>
    </row>
    <row r="1362" ht="15" customHeight="1">
      <c r="C1362">
        <f>IF($B1362="","",INT($B1362))</f>
        <v/>
      </c>
      <c r="D1362">
        <f>IF($C1362="","",$C1362-WEEKDAY($C1362,2)+1)</f>
        <v/>
      </c>
      <c r="E1362">
        <f>IF($C1362="","",DATE(YEAR($C1362),MONTH($C1362),1))</f>
        <v/>
      </c>
      <c r="F1362">
        <f>IF($C1362="","",YEAR($C1362)&amp;"-Q"&amp;ROUNDUP(MONTH($C1362)/3,0))</f>
        <v/>
      </c>
      <c r="L1362">
        <f>IF($G1362&lt;&gt;"ALCOHOL","",IF($K1362="","",$H1362*IFERROR(VLOOKUP($K1362,Drink_Templates!$A:$G,7,FALSE),0)))</f>
        <v/>
      </c>
    </row>
    <row r="1363" ht="15" customHeight="1">
      <c r="C1363">
        <f>IF($B1363="","",INT($B1363))</f>
        <v/>
      </c>
      <c r="D1363">
        <f>IF($C1363="","",$C1363-WEEKDAY($C1363,2)+1)</f>
        <v/>
      </c>
      <c r="E1363">
        <f>IF($C1363="","",DATE(YEAR($C1363),MONTH($C1363),1))</f>
        <v/>
      </c>
      <c r="F1363">
        <f>IF($C1363="","",YEAR($C1363)&amp;"-Q"&amp;ROUNDUP(MONTH($C1363)/3,0))</f>
        <v/>
      </c>
      <c r="L1363">
        <f>IF($G1363&lt;&gt;"ALCOHOL","",IF($K1363="","",$H1363*IFERROR(VLOOKUP($K1363,Drink_Templates!$A:$G,7,FALSE),0)))</f>
        <v/>
      </c>
    </row>
    <row r="1364" ht="15" customHeight="1">
      <c r="C1364">
        <f>IF($B1364="","",INT($B1364))</f>
        <v/>
      </c>
      <c r="D1364">
        <f>IF($C1364="","",$C1364-WEEKDAY($C1364,2)+1)</f>
        <v/>
      </c>
      <c r="E1364">
        <f>IF($C1364="","",DATE(YEAR($C1364),MONTH($C1364),1))</f>
        <v/>
      </c>
      <c r="F1364">
        <f>IF($C1364="","",YEAR($C1364)&amp;"-Q"&amp;ROUNDUP(MONTH($C1364)/3,0))</f>
        <v/>
      </c>
      <c r="L1364">
        <f>IF($G1364&lt;&gt;"ALCOHOL","",IF($K1364="","",$H1364*IFERROR(VLOOKUP($K1364,Drink_Templates!$A:$G,7,FALSE),0)))</f>
        <v/>
      </c>
    </row>
    <row r="1365" ht="15" customHeight="1">
      <c r="C1365">
        <f>IF($B1365="","",INT($B1365))</f>
        <v/>
      </c>
      <c r="D1365">
        <f>IF($C1365="","",$C1365-WEEKDAY($C1365,2)+1)</f>
        <v/>
      </c>
      <c r="E1365">
        <f>IF($C1365="","",DATE(YEAR($C1365),MONTH($C1365),1))</f>
        <v/>
      </c>
      <c r="F1365">
        <f>IF($C1365="","",YEAR($C1365)&amp;"-Q"&amp;ROUNDUP(MONTH($C1365)/3,0))</f>
        <v/>
      </c>
      <c r="L1365">
        <f>IF($G1365&lt;&gt;"ALCOHOL","",IF($K1365="","",$H1365*IFERROR(VLOOKUP($K1365,Drink_Templates!$A:$G,7,FALSE),0)))</f>
        <v/>
      </c>
    </row>
    <row r="1366" ht="15" customHeight="1">
      <c r="C1366">
        <f>IF($B1366="","",INT($B1366))</f>
        <v/>
      </c>
      <c r="D1366">
        <f>IF($C1366="","",$C1366-WEEKDAY($C1366,2)+1)</f>
        <v/>
      </c>
      <c r="E1366">
        <f>IF($C1366="","",DATE(YEAR($C1366),MONTH($C1366),1))</f>
        <v/>
      </c>
      <c r="F1366">
        <f>IF($C1366="","",YEAR($C1366)&amp;"-Q"&amp;ROUNDUP(MONTH($C1366)/3,0))</f>
        <v/>
      </c>
      <c r="L1366">
        <f>IF($G1366&lt;&gt;"ALCOHOL","",IF($K1366="","",$H1366*IFERROR(VLOOKUP($K1366,Drink_Templates!$A:$G,7,FALSE),0)))</f>
        <v/>
      </c>
    </row>
    <row r="1367" ht="15" customHeight="1">
      <c r="C1367">
        <f>IF($B1367="","",INT($B1367))</f>
        <v/>
      </c>
      <c r="D1367">
        <f>IF($C1367="","",$C1367-WEEKDAY($C1367,2)+1)</f>
        <v/>
      </c>
      <c r="E1367">
        <f>IF($C1367="","",DATE(YEAR($C1367),MONTH($C1367),1))</f>
        <v/>
      </c>
      <c r="F1367">
        <f>IF($C1367="","",YEAR($C1367)&amp;"-Q"&amp;ROUNDUP(MONTH($C1367)/3,0))</f>
        <v/>
      </c>
      <c r="L1367">
        <f>IF($G1367&lt;&gt;"ALCOHOL","",IF($K1367="","",$H1367*IFERROR(VLOOKUP($K1367,Drink_Templates!$A:$G,7,FALSE),0)))</f>
        <v/>
      </c>
    </row>
    <row r="1368" ht="15" customHeight="1">
      <c r="C1368">
        <f>IF($B1368="","",INT($B1368))</f>
        <v/>
      </c>
      <c r="D1368">
        <f>IF($C1368="","",$C1368-WEEKDAY($C1368,2)+1)</f>
        <v/>
      </c>
      <c r="E1368">
        <f>IF($C1368="","",DATE(YEAR($C1368),MONTH($C1368),1))</f>
        <v/>
      </c>
      <c r="F1368">
        <f>IF($C1368="","",YEAR($C1368)&amp;"-Q"&amp;ROUNDUP(MONTH($C1368)/3,0))</f>
        <v/>
      </c>
      <c r="L1368">
        <f>IF($G1368&lt;&gt;"ALCOHOL","",IF($K1368="","",$H1368*IFERROR(VLOOKUP($K1368,Drink_Templates!$A:$G,7,FALSE),0)))</f>
        <v/>
      </c>
    </row>
    <row r="1369" ht="15" customHeight="1">
      <c r="C1369">
        <f>IF($B1369="","",INT($B1369))</f>
        <v/>
      </c>
      <c r="D1369">
        <f>IF($C1369="","",$C1369-WEEKDAY($C1369,2)+1)</f>
        <v/>
      </c>
      <c r="E1369">
        <f>IF($C1369="","",DATE(YEAR($C1369),MONTH($C1369),1))</f>
        <v/>
      </c>
      <c r="F1369">
        <f>IF($C1369="","",YEAR($C1369)&amp;"-Q"&amp;ROUNDUP(MONTH($C1369)/3,0))</f>
        <v/>
      </c>
      <c r="L1369">
        <f>IF($G1369&lt;&gt;"ALCOHOL","",IF($K1369="","",$H1369*IFERROR(VLOOKUP($K1369,Drink_Templates!$A:$G,7,FALSE),0)))</f>
        <v/>
      </c>
    </row>
    <row r="1370" ht="15" customHeight="1">
      <c r="C1370">
        <f>IF($B1370="","",INT($B1370))</f>
        <v/>
      </c>
      <c r="D1370">
        <f>IF($C1370="","",$C1370-WEEKDAY($C1370,2)+1)</f>
        <v/>
      </c>
      <c r="E1370">
        <f>IF($C1370="","",DATE(YEAR($C1370),MONTH($C1370),1))</f>
        <v/>
      </c>
      <c r="F1370">
        <f>IF($C1370="","",YEAR($C1370)&amp;"-Q"&amp;ROUNDUP(MONTH($C1370)/3,0))</f>
        <v/>
      </c>
      <c r="L1370">
        <f>IF($G1370&lt;&gt;"ALCOHOL","",IF($K1370="","",$H1370*IFERROR(VLOOKUP($K1370,Drink_Templates!$A:$G,7,FALSE),0)))</f>
        <v/>
      </c>
    </row>
    <row r="1371" ht="15" customHeight="1">
      <c r="C1371">
        <f>IF($B1371="","",INT($B1371))</f>
        <v/>
      </c>
      <c r="D1371">
        <f>IF($C1371="","",$C1371-WEEKDAY($C1371,2)+1)</f>
        <v/>
      </c>
      <c r="E1371">
        <f>IF($C1371="","",DATE(YEAR($C1371),MONTH($C1371),1))</f>
        <v/>
      </c>
      <c r="F1371">
        <f>IF($C1371="","",YEAR($C1371)&amp;"-Q"&amp;ROUNDUP(MONTH($C1371)/3,0))</f>
        <v/>
      </c>
      <c r="L1371">
        <f>IF($G1371&lt;&gt;"ALCOHOL","",IF($K1371="","",$H1371*IFERROR(VLOOKUP($K1371,Drink_Templates!$A:$G,7,FALSE),0)))</f>
        <v/>
      </c>
    </row>
    <row r="1372" ht="15" customHeight="1">
      <c r="C1372">
        <f>IF($B1372="","",INT($B1372))</f>
        <v/>
      </c>
      <c r="D1372">
        <f>IF($C1372="","",$C1372-WEEKDAY($C1372,2)+1)</f>
        <v/>
      </c>
      <c r="E1372">
        <f>IF($C1372="","",DATE(YEAR($C1372),MONTH($C1372),1))</f>
        <v/>
      </c>
      <c r="F1372">
        <f>IF($C1372="","",YEAR($C1372)&amp;"-Q"&amp;ROUNDUP(MONTH($C1372)/3,0))</f>
        <v/>
      </c>
      <c r="L1372">
        <f>IF($G1372&lt;&gt;"ALCOHOL","",IF($K1372="","",$H1372*IFERROR(VLOOKUP($K1372,Drink_Templates!$A:$G,7,FALSE),0)))</f>
        <v/>
      </c>
    </row>
    <row r="1373" ht="15" customHeight="1">
      <c r="C1373">
        <f>IF($B1373="","",INT($B1373))</f>
        <v/>
      </c>
      <c r="D1373">
        <f>IF($C1373="","",$C1373-WEEKDAY($C1373,2)+1)</f>
        <v/>
      </c>
      <c r="E1373">
        <f>IF($C1373="","",DATE(YEAR($C1373),MONTH($C1373),1))</f>
        <v/>
      </c>
      <c r="F1373">
        <f>IF($C1373="","",YEAR($C1373)&amp;"-Q"&amp;ROUNDUP(MONTH($C1373)/3,0))</f>
        <v/>
      </c>
      <c r="L1373">
        <f>IF($G1373&lt;&gt;"ALCOHOL","",IF($K1373="","",$H1373*IFERROR(VLOOKUP($K1373,Drink_Templates!$A:$G,7,FALSE),0)))</f>
        <v/>
      </c>
    </row>
    <row r="1374" ht="15" customHeight="1">
      <c r="C1374">
        <f>IF($B1374="","",INT($B1374))</f>
        <v/>
      </c>
      <c r="D1374">
        <f>IF($C1374="","",$C1374-WEEKDAY($C1374,2)+1)</f>
        <v/>
      </c>
      <c r="E1374">
        <f>IF($C1374="","",DATE(YEAR($C1374),MONTH($C1374),1))</f>
        <v/>
      </c>
      <c r="F1374">
        <f>IF($C1374="","",YEAR($C1374)&amp;"-Q"&amp;ROUNDUP(MONTH($C1374)/3,0))</f>
        <v/>
      </c>
      <c r="L1374">
        <f>IF($G1374&lt;&gt;"ALCOHOL","",IF($K1374="","",$H1374*IFERROR(VLOOKUP($K1374,Drink_Templates!$A:$G,7,FALSE),0)))</f>
        <v/>
      </c>
    </row>
    <row r="1375" ht="15" customHeight="1">
      <c r="C1375">
        <f>IF($B1375="","",INT($B1375))</f>
        <v/>
      </c>
      <c r="D1375">
        <f>IF($C1375="","",$C1375-WEEKDAY($C1375,2)+1)</f>
        <v/>
      </c>
      <c r="E1375">
        <f>IF($C1375="","",DATE(YEAR($C1375),MONTH($C1375),1))</f>
        <v/>
      </c>
      <c r="F1375">
        <f>IF($C1375="","",YEAR($C1375)&amp;"-Q"&amp;ROUNDUP(MONTH($C1375)/3,0))</f>
        <v/>
      </c>
      <c r="L1375">
        <f>IF($G1375&lt;&gt;"ALCOHOL","",IF($K1375="","",$H1375*IFERROR(VLOOKUP($K1375,Drink_Templates!$A:$G,7,FALSE),0)))</f>
        <v/>
      </c>
    </row>
    <row r="1376" ht="15" customHeight="1">
      <c r="C1376">
        <f>IF($B1376="","",INT($B1376))</f>
        <v/>
      </c>
      <c r="D1376">
        <f>IF($C1376="","",$C1376-WEEKDAY($C1376,2)+1)</f>
        <v/>
      </c>
      <c r="E1376">
        <f>IF($C1376="","",DATE(YEAR($C1376),MONTH($C1376),1))</f>
        <v/>
      </c>
      <c r="F1376">
        <f>IF($C1376="","",YEAR($C1376)&amp;"-Q"&amp;ROUNDUP(MONTH($C1376)/3,0))</f>
        <v/>
      </c>
      <c r="L1376">
        <f>IF($G1376&lt;&gt;"ALCOHOL","",IF($K1376="","",$H1376*IFERROR(VLOOKUP($K1376,Drink_Templates!$A:$G,7,FALSE),0)))</f>
        <v/>
      </c>
    </row>
    <row r="1377" ht="15" customHeight="1">
      <c r="C1377">
        <f>IF($B1377="","",INT($B1377))</f>
        <v/>
      </c>
      <c r="D1377">
        <f>IF($C1377="","",$C1377-WEEKDAY($C1377,2)+1)</f>
        <v/>
      </c>
      <c r="E1377">
        <f>IF($C1377="","",DATE(YEAR($C1377),MONTH($C1377),1))</f>
        <v/>
      </c>
      <c r="F1377">
        <f>IF($C1377="","",YEAR($C1377)&amp;"-Q"&amp;ROUNDUP(MONTH($C1377)/3,0))</f>
        <v/>
      </c>
      <c r="L1377">
        <f>IF($G1377&lt;&gt;"ALCOHOL","",IF($K1377="","",$H1377*IFERROR(VLOOKUP($K1377,Drink_Templates!$A:$G,7,FALSE),0)))</f>
        <v/>
      </c>
    </row>
    <row r="1378" ht="15" customHeight="1">
      <c r="C1378">
        <f>IF($B1378="","",INT($B1378))</f>
        <v/>
      </c>
      <c r="D1378">
        <f>IF($C1378="","",$C1378-WEEKDAY($C1378,2)+1)</f>
        <v/>
      </c>
      <c r="E1378">
        <f>IF($C1378="","",DATE(YEAR($C1378),MONTH($C1378),1))</f>
        <v/>
      </c>
      <c r="F1378">
        <f>IF($C1378="","",YEAR($C1378)&amp;"-Q"&amp;ROUNDUP(MONTH($C1378)/3,0))</f>
        <v/>
      </c>
      <c r="L1378">
        <f>IF($G1378&lt;&gt;"ALCOHOL","",IF($K1378="","",$H1378*IFERROR(VLOOKUP($K1378,Drink_Templates!$A:$G,7,FALSE),0)))</f>
        <v/>
      </c>
    </row>
    <row r="1379" ht="15" customHeight="1">
      <c r="C1379">
        <f>IF($B1379="","",INT($B1379))</f>
        <v/>
      </c>
      <c r="D1379">
        <f>IF($C1379="","",$C1379-WEEKDAY($C1379,2)+1)</f>
        <v/>
      </c>
      <c r="E1379">
        <f>IF($C1379="","",DATE(YEAR($C1379),MONTH($C1379),1))</f>
        <v/>
      </c>
      <c r="F1379">
        <f>IF($C1379="","",YEAR($C1379)&amp;"-Q"&amp;ROUNDUP(MONTH($C1379)/3,0))</f>
        <v/>
      </c>
      <c r="L1379">
        <f>IF($G1379&lt;&gt;"ALCOHOL","",IF($K1379="","",$H1379*IFERROR(VLOOKUP($K1379,Drink_Templates!$A:$G,7,FALSE),0)))</f>
        <v/>
      </c>
    </row>
    <row r="1380" ht="15" customHeight="1">
      <c r="C1380">
        <f>IF($B1380="","",INT($B1380))</f>
        <v/>
      </c>
      <c r="D1380">
        <f>IF($C1380="","",$C1380-WEEKDAY($C1380,2)+1)</f>
        <v/>
      </c>
      <c r="E1380">
        <f>IF($C1380="","",DATE(YEAR($C1380),MONTH($C1380),1))</f>
        <v/>
      </c>
      <c r="F1380">
        <f>IF($C1380="","",YEAR($C1380)&amp;"-Q"&amp;ROUNDUP(MONTH($C1380)/3,0))</f>
        <v/>
      </c>
      <c r="L1380">
        <f>IF($G1380&lt;&gt;"ALCOHOL","",IF($K1380="","",$H1380*IFERROR(VLOOKUP($K1380,Drink_Templates!$A:$G,7,FALSE),0)))</f>
        <v/>
      </c>
    </row>
    <row r="1381" ht="15" customHeight="1">
      <c r="C1381">
        <f>IF($B1381="","",INT($B1381))</f>
        <v/>
      </c>
      <c r="D1381">
        <f>IF($C1381="","",$C1381-WEEKDAY($C1381,2)+1)</f>
        <v/>
      </c>
      <c r="E1381">
        <f>IF($C1381="","",DATE(YEAR($C1381),MONTH($C1381),1))</f>
        <v/>
      </c>
      <c r="F1381">
        <f>IF($C1381="","",YEAR($C1381)&amp;"-Q"&amp;ROUNDUP(MONTH($C1381)/3,0))</f>
        <v/>
      </c>
      <c r="L1381">
        <f>IF($G1381&lt;&gt;"ALCOHOL","",IF($K1381="","",$H1381*IFERROR(VLOOKUP($K1381,Drink_Templates!$A:$G,7,FALSE),0)))</f>
        <v/>
      </c>
    </row>
    <row r="1382" ht="15" customHeight="1">
      <c r="C1382">
        <f>IF($B1382="","",INT($B1382))</f>
        <v/>
      </c>
      <c r="D1382">
        <f>IF($C1382="","",$C1382-WEEKDAY($C1382,2)+1)</f>
        <v/>
      </c>
      <c r="E1382">
        <f>IF($C1382="","",DATE(YEAR($C1382),MONTH($C1382),1))</f>
        <v/>
      </c>
      <c r="F1382">
        <f>IF($C1382="","",YEAR($C1382)&amp;"-Q"&amp;ROUNDUP(MONTH($C1382)/3,0))</f>
        <v/>
      </c>
      <c r="L1382">
        <f>IF($G1382&lt;&gt;"ALCOHOL","",IF($K1382="","",$H1382*IFERROR(VLOOKUP($K1382,Drink_Templates!$A:$G,7,FALSE),0)))</f>
        <v/>
      </c>
    </row>
    <row r="1383" ht="15" customHeight="1">
      <c r="C1383">
        <f>IF($B1383="","",INT($B1383))</f>
        <v/>
      </c>
      <c r="D1383">
        <f>IF($C1383="","",$C1383-WEEKDAY($C1383,2)+1)</f>
        <v/>
      </c>
      <c r="E1383">
        <f>IF($C1383="","",DATE(YEAR($C1383),MONTH($C1383),1))</f>
        <v/>
      </c>
      <c r="F1383">
        <f>IF($C1383="","",YEAR($C1383)&amp;"-Q"&amp;ROUNDUP(MONTH($C1383)/3,0))</f>
        <v/>
      </c>
      <c r="L1383">
        <f>IF($G1383&lt;&gt;"ALCOHOL","",IF($K1383="","",$H1383*IFERROR(VLOOKUP($K1383,Drink_Templates!$A:$G,7,FALSE),0)))</f>
        <v/>
      </c>
    </row>
    <row r="1384" ht="15" customHeight="1">
      <c r="C1384">
        <f>IF($B1384="","",INT($B1384))</f>
        <v/>
      </c>
      <c r="D1384">
        <f>IF($C1384="","",$C1384-WEEKDAY($C1384,2)+1)</f>
        <v/>
      </c>
      <c r="E1384">
        <f>IF($C1384="","",DATE(YEAR($C1384),MONTH($C1384),1))</f>
        <v/>
      </c>
      <c r="F1384">
        <f>IF($C1384="","",YEAR($C1384)&amp;"-Q"&amp;ROUNDUP(MONTH($C1384)/3,0))</f>
        <v/>
      </c>
      <c r="L1384">
        <f>IF($G1384&lt;&gt;"ALCOHOL","",IF($K1384="","",$H1384*IFERROR(VLOOKUP($K1384,Drink_Templates!$A:$G,7,FALSE),0)))</f>
        <v/>
      </c>
    </row>
    <row r="1385" ht="15" customHeight="1">
      <c r="C1385">
        <f>IF($B1385="","",INT($B1385))</f>
        <v/>
      </c>
      <c r="D1385">
        <f>IF($C1385="","",$C1385-WEEKDAY($C1385,2)+1)</f>
        <v/>
      </c>
      <c r="E1385">
        <f>IF($C1385="","",DATE(YEAR($C1385),MONTH($C1385),1))</f>
        <v/>
      </c>
      <c r="F1385">
        <f>IF($C1385="","",YEAR($C1385)&amp;"-Q"&amp;ROUNDUP(MONTH($C1385)/3,0))</f>
        <v/>
      </c>
      <c r="L1385">
        <f>IF($G1385&lt;&gt;"ALCOHOL","",IF($K1385="","",$H1385*IFERROR(VLOOKUP($K1385,Drink_Templates!$A:$G,7,FALSE),0)))</f>
        <v/>
      </c>
    </row>
    <row r="1386" ht="15" customHeight="1">
      <c r="C1386">
        <f>IF($B1386="","",INT($B1386))</f>
        <v/>
      </c>
      <c r="D1386">
        <f>IF($C1386="","",$C1386-WEEKDAY($C1386,2)+1)</f>
        <v/>
      </c>
      <c r="E1386">
        <f>IF($C1386="","",DATE(YEAR($C1386),MONTH($C1386),1))</f>
        <v/>
      </c>
      <c r="F1386">
        <f>IF($C1386="","",YEAR($C1386)&amp;"-Q"&amp;ROUNDUP(MONTH($C1386)/3,0))</f>
        <v/>
      </c>
      <c r="L1386">
        <f>IF($G1386&lt;&gt;"ALCOHOL","",IF($K1386="","",$H1386*IFERROR(VLOOKUP($K1386,Drink_Templates!$A:$G,7,FALSE),0)))</f>
        <v/>
      </c>
    </row>
    <row r="1387" ht="15" customHeight="1">
      <c r="C1387">
        <f>IF($B1387="","",INT($B1387))</f>
        <v/>
      </c>
      <c r="D1387">
        <f>IF($C1387="","",$C1387-WEEKDAY($C1387,2)+1)</f>
        <v/>
      </c>
      <c r="E1387">
        <f>IF($C1387="","",DATE(YEAR($C1387),MONTH($C1387),1))</f>
        <v/>
      </c>
      <c r="F1387">
        <f>IF($C1387="","",YEAR($C1387)&amp;"-Q"&amp;ROUNDUP(MONTH($C1387)/3,0))</f>
        <v/>
      </c>
      <c r="L1387">
        <f>IF($G1387&lt;&gt;"ALCOHOL","",IF($K1387="","",$H1387*IFERROR(VLOOKUP($K1387,Drink_Templates!$A:$G,7,FALSE),0)))</f>
        <v/>
      </c>
    </row>
    <row r="1388" ht="15" customHeight="1">
      <c r="C1388">
        <f>IF($B1388="","",INT($B1388))</f>
        <v/>
      </c>
      <c r="D1388">
        <f>IF($C1388="","",$C1388-WEEKDAY($C1388,2)+1)</f>
        <v/>
      </c>
      <c r="E1388">
        <f>IF($C1388="","",DATE(YEAR($C1388),MONTH($C1388),1))</f>
        <v/>
      </c>
      <c r="F1388">
        <f>IF($C1388="","",YEAR($C1388)&amp;"-Q"&amp;ROUNDUP(MONTH($C1388)/3,0))</f>
        <v/>
      </c>
      <c r="L1388">
        <f>IF($G1388&lt;&gt;"ALCOHOL","",IF($K1388="","",$H1388*IFERROR(VLOOKUP($K1388,Drink_Templates!$A:$G,7,FALSE),0)))</f>
        <v/>
      </c>
    </row>
    <row r="1389" ht="15" customHeight="1">
      <c r="C1389">
        <f>IF($B1389="","",INT($B1389))</f>
        <v/>
      </c>
      <c r="D1389">
        <f>IF($C1389="","",$C1389-WEEKDAY($C1389,2)+1)</f>
        <v/>
      </c>
      <c r="E1389">
        <f>IF($C1389="","",DATE(YEAR($C1389),MONTH($C1389),1))</f>
        <v/>
      </c>
      <c r="F1389">
        <f>IF($C1389="","",YEAR($C1389)&amp;"-Q"&amp;ROUNDUP(MONTH($C1389)/3,0))</f>
        <v/>
      </c>
      <c r="L1389">
        <f>IF($G1389&lt;&gt;"ALCOHOL","",IF($K1389="","",$H1389*IFERROR(VLOOKUP($K1389,Drink_Templates!$A:$G,7,FALSE),0)))</f>
        <v/>
      </c>
    </row>
    <row r="1390" ht="15" customHeight="1">
      <c r="C1390">
        <f>IF($B1390="","",INT($B1390))</f>
        <v/>
      </c>
      <c r="D1390">
        <f>IF($C1390="","",$C1390-WEEKDAY($C1390,2)+1)</f>
        <v/>
      </c>
      <c r="E1390">
        <f>IF($C1390="","",DATE(YEAR($C1390),MONTH($C1390),1))</f>
        <v/>
      </c>
      <c r="F1390">
        <f>IF($C1390="","",YEAR($C1390)&amp;"-Q"&amp;ROUNDUP(MONTH($C1390)/3,0))</f>
        <v/>
      </c>
      <c r="L1390">
        <f>IF($G1390&lt;&gt;"ALCOHOL","",IF($K1390="","",$H1390*IFERROR(VLOOKUP($K1390,Drink_Templates!$A:$G,7,FALSE),0)))</f>
        <v/>
      </c>
    </row>
    <row r="1391" ht="15" customHeight="1">
      <c r="C1391">
        <f>IF($B1391="","",INT($B1391))</f>
        <v/>
      </c>
      <c r="D1391">
        <f>IF($C1391="","",$C1391-WEEKDAY($C1391,2)+1)</f>
        <v/>
      </c>
      <c r="E1391">
        <f>IF($C1391="","",DATE(YEAR($C1391),MONTH($C1391),1))</f>
        <v/>
      </c>
      <c r="F1391">
        <f>IF($C1391="","",YEAR($C1391)&amp;"-Q"&amp;ROUNDUP(MONTH($C1391)/3,0))</f>
        <v/>
      </c>
      <c r="L1391">
        <f>IF($G1391&lt;&gt;"ALCOHOL","",IF($K1391="","",$H1391*IFERROR(VLOOKUP($K1391,Drink_Templates!$A:$G,7,FALSE),0)))</f>
        <v/>
      </c>
    </row>
    <row r="1392" ht="15" customHeight="1">
      <c r="C1392">
        <f>IF($B1392="","",INT($B1392))</f>
        <v/>
      </c>
      <c r="D1392">
        <f>IF($C1392="","",$C1392-WEEKDAY($C1392,2)+1)</f>
        <v/>
      </c>
      <c r="E1392">
        <f>IF($C1392="","",DATE(YEAR($C1392),MONTH($C1392),1))</f>
        <v/>
      </c>
      <c r="F1392">
        <f>IF($C1392="","",YEAR($C1392)&amp;"-Q"&amp;ROUNDUP(MONTH($C1392)/3,0))</f>
        <v/>
      </c>
      <c r="L1392">
        <f>IF($G1392&lt;&gt;"ALCOHOL","",IF($K1392="","",$H1392*IFERROR(VLOOKUP($K1392,Drink_Templates!$A:$G,7,FALSE),0)))</f>
        <v/>
      </c>
    </row>
    <row r="1393" ht="15" customHeight="1">
      <c r="C1393">
        <f>IF($B1393="","",INT($B1393))</f>
        <v/>
      </c>
      <c r="D1393">
        <f>IF($C1393="","",$C1393-WEEKDAY($C1393,2)+1)</f>
        <v/>
      </c>
      <c r="E1393">
        <f>IF($C1393="","",DATE(YEAR($C1393),MONTH($C1393),1))</f>
        <v/>
      </c>
      <c r="F1393">
        <f>IF($C1393="","",YEAR($C1393)&amp;"-Q"&amp;ROUNDUP(MONTH($C1393)/3,0))</f>
        <v/>
      </c>
      <c r="L1393">
        <f>IF($G1393&lt;&gt;"ALCOHOL","",IF($K1393="","",$H1393*IFERROR(VLOOKUP($K1393,Drink_Templates!$A:$G,7,FALSE),0)))</f>
        <v/>
      </c>
    </row>
    <row r="1394" ht="15" customHeight="1">
      <c r="C1394">
        <f>IF($B1394="","",INT($B1394))</f>
        <v/>
      </c>
      <c r="D1394">
        <f>IF($C1394="","",$C1394-WEEKDAY($C1394,2)+1)</f>
        <v/>
      </c>
      <c r="E1394">
        <f>IF($C1394="","",DATE(YEAR($C1394),MONTH($C1394),1))</f>
        <v/>
      </c>
      <c r="F1394">
        <f>IF($C1394="","",YEAR($C1394)&amp;"-Q"&amp;ROUNDUP(MONTH($C1394)/3,0))</f>
        <v/>
      </c>
      <c r="L1394">
        <f>IF($G1394&lt;&gt;"ALCOHOL","",IF($K1394="","",$H1394*IFERROR(VLOOKUP($K1394,Drink_Templates!$A:$G,7,FALSE),0)))</f>
        <v/>
      </c>
    </row>
    <row r="1395" ht="15" customHeight="1">
      <c r="C1395">
        <f>IF($B1395="","",INT($B1395))</f>
        <v/>
      </c>
      <c r="D1395">
        <f>IF($C1395="","",$C1395-WEEKDAY($C1395,2)+1)</f>
        <v/>
      </c>
      <c r="E1395">
        <f>IF($C1395="","",DATE(YEAR($C1395),MONTH($C1395),1))</f>
        <v/>
      </c>
      <c r="F1395">
        <f>IF($C1395="","",YEAR($C1395)&amp;"-Q"&amp;ROUNDUP(MONTH($C1395)/3,0))</f>
        <v/>
      </c>
      <c r="L1395">
        <f>IF($G1395&lt;&gt;"ALCOHOL","",IF($K1395="","",$H1395*IFERROR(VLOOKUP($K1395,Drink_Templates!$A:$G,7,FALSE),0)))</f>
        <v/>
      </c>
    </row>
    <row r="1396" ht="15" customHeight="1">
      <c r="C1396">
        <f>IF($B1396="","",INT($B1396))</f>
        <v/>
      </c>
      <c r="D1396">
        <f>IF($C1396="","",$C1396-WEEKDAY($C1396,2)+1)</f>
        <v/>
      </c>
      <c r="E1396">
        <f>IF($C1396="","",DATE(YEAR($C1396),MONTH($C1396),1))</f>
        <v/>
      </c>
      <c r="F1396">
        <f>IF($C1396="","",YEAR($C1396)&amp;"-Q"&amp;ROUNDUP(MONTH($C1396)/3,0))</f>
        <v/>
      </c>
      <c r="L1396">
        <f>IF($G1396&lt;&gt;"ALCOHOL","",IF($K1396="","",$H1396*IFERROR(VLOOKUP($K1396,Drink_Templates!$A:$G,7,FALSE),0)))</f>
        <v/>
      </c>
    </row>
    <row r="1397" ht="15" customHeight="1">
      <c r="C1397">
        <f>IF($B1397="","",INT($B1397))</f>
        <v/>
      </c>
      <c r="D1397">
        <f>IF($C1397="","",$C1397-WEEKDAY($C1397,2)+1)</f>
        <v/>
      </c>
      <c r="E1397">
        <f>IF($C1397="","",DATE(YEAR($C1397),MONTH($C1397),1))</f>
        <v/>
      </c>
      <c r="F1397">
        <f>IF($C1397="","",YEAR($C1397)&amp;"-Q"&amp;ROUNDUP(MONTH($C1397)/3,0))</f>
        <v/>
      </c>
      <c r="L1397">
        <f>IF($G1397&lt;&gt;"ALCOHOL","",IF($K1397="","",$H1397*IFERROR(VLOOKUP($K1397,Drink_Templates!$A:$G,7,FALSE),0)))</f>
        <v/>
      </c>
    </row>
    <row r="1398" ht="15" customHeight="1">
      <c r="C1398">
        <f>IF($B1398="","",INT($B1398))</f>
        <v/>
      </c>
      <c r="D1398">
        <f>IF($C1398="","",$C1398-WEEKDAY($C1398,2)+1)</f>
        <v/>
      </c>
      <c r="E1398">
        <f>IF($C1398="","",DATE(YEAR($C1398),MONTH($C1398),1))</f>
        <v/>
      </c>
      <c r="F1398">
        <f>IF($C1398="","",YEAR($C1398)&amp;"-Q"&amp;ROUNDUP(MONTH($C1398)/3,0))</f>
        <v/>
      </c>
      <c r="L1398">
        <f>IF($G1398&lt;&gt;"ALCOHOL","",IF($K1398="","",$H1398*IFERROR(VLOOKUP($K1398,Drink_Templates!$A:$G,7,FALSE),0)))</f>
        <v/>
      </c>
    </row>
    <row r="1399" ht="15" customHeight="1">
      <c r="C1399">
        <f>IF($B1399="","",INT($B1399))</f>
        <v/>
      </c>
      <c r="D1399">
        <f>IF($C1399="","",$C1399-WEEKDAY($C1399,2)+1)</f>
        <v/>
      </c>
      <c r="E1399">
        <f>IF($C1399="","",DATE(YEAR($C1399),MONTH($C1399),1))</f>
        <v/>
      </c>
      <c r="F1399">
        <f>IF($C1399="","",YEAR($C1399)&amp;"-Q"&amp;ROUNDUP(MONTH($C1399)/3,0))</f>
        <v/>
      </c>
      <c r="L1399">
        <f>IF($G1399&lt;&gt;"ALCOHOL","",IF($K1399="","",$H1399*IFERROR(VLOOKUP($K1399,Drink_Templates!$A:$G,7,FALSE),0)))</f>
        <v/>
      </c>
    </row>
    <row r="1400" ht="15" customHeight="1">
      <c r="C1400">
        <f>IF($B1400="","",INT($B1400))</f>
        <v/>
      </c>
      <c r="D1400">
        <f>IF($C1400="","",$C1400-WEEKDAY($C1400,2)+1)</f>
        <v/>
      </c>
      <c r="E1400">
        <f>IF($C1400="","",DATE(YEAR($C1400),MONTH($C1400),1))</f>
        <v/>
      </c>
      <c r="F1400">
        <f>IF($C1400="","",YEAR($C1400)&amp;"-Q"&amp;ROUNDUP(MONTH($C1400)/3,0))</f>
        <v/>
      </c>
      <c r="L1400">
        <f>IF($G1400&lt;&gt;"ALCOHOL","",IF($K1400="","",$H1400*IFERROR(VLOOKUP($K1400,Drink_Templates!$A:$G,7,FALSE),0)))</f>
        <v/>
      </c>
    </row>
    <row r="1401" ht="15" customHeight="1">
      <c r="C1401">
        <f>IF($B1401="","",INT($B1401))</f>
        <v/>
      </c>
      <c r="D1401">
        <f>IF($C1401="","",$C1401-WEEKDAY($C1401,2)+1)</f>
        <v/>
      </c>
      <c r="E1401">
        <f>IF($C1401="","",DATE(YEAR($C1401),MONTH($C1401),1))</f>
        <v/>
      </c>
      <c r="F1401">
        <f>IF($C1401="","",YEAR($C1401)&amp;"-Q"&amp;ROUNDUP(MONTH($C1401)/3,0))</f>
        <v/>
      </c>
      <c r="L1401">
        <f>IF($G1401&lt;&gt;"ALCOHOL","",IF($K1401="","",$H1401*IFERROR(VLOOKUP($K1401,Drink_Templates!$A:$G,7,FALSE),0)))</f>
        <v/>
      </c>
    </row>
    <row r="1402" ht="15" customHeight="1">
      <c r="C1402">
        <f>IF($B1402="","",INT($B1402))</f>
        <v/>
      </c>
      <c r="D1402">
        <f>IF($C1402="","",$C1402-WEEKDAY($C1402,2)+1)</f>
        <v/>
      </c>
      <c r="E1402">
        <f>IF($C1402="","",DATE(YEAR($C1402),MONTH($C1402),1))</f>
        <v/>
      </c>
      <c r="F1402">
        <f>IF($C1402="","",YEAR($C1402)&amp;"-Q"&amp;ROUNDUP(MONTH($C1402)/3,0))</f>
        <v/>
      </c>
      <c r="L1402">
        <f>IF($G1402&lt;&gt;"ALCOHOL","",IF($K1402="","",$H1402*IFERROR(VLOOKUP($K1402,Drink_Templates!$A:$G,7,FALSE),0)))</f>
        <v/>
      </c>
    </row>
    <row r="1403" ht="15" customHeight="1">
      <c r="C1403">
        <f>IF($B1403="","",INT($B1403))</f>
        <v/>
      </c>
      <c r="D1403">
        <f>IF($C1403="","",$C1403-WEEKDAY($C1403,2)+1)</f>
        <v/>
      </c>
      <c r="E1403">
        <f>IF($C1403="","",DATE(YEAR($C1403),MONTH($C1403),1))</f>
        <v/>
      </c>
      <c r="F1403">
        <f>IF($C1403="","",YEAR($C1403)&amp;"-Q"&amp;ROUNDUP(MONTH($C1403)/3,0))</f>
        <v/>
      </c>
      <c r="L1403">
        <f>IF($G1403&lt;&gt;"ALCOHOL","",IF($K1403="","",$H1403*IFERROR(VLOOKUP($K1403,Drink_Templates!$A:$G,7,FALSE),0)))</f>
        <v/>
      </c>
    </row>
    <row r="1404" ht="15" customHeight="1">
      <c r="C1404">
        <f>IF($B1404="","",INT($B1404))</f>
        <v/>
      </c>
      <c r="D1404">
        <f>IF($C1404="","",$C1404-WEEKDAY($C1404,2)+1)</f>
        <v/>
      </c>
      <c r="E1404">
        <f>IF($C1404="","",DATE(YEAR($C1404),MONTH($C1404),1))</f>
        <v/>
      </c>
      <c r="F1404">
        <f>IF($C1404="","",YEAR($C1404)&amp;"-Q"&amp;ROUNDUP(MONTH($C1404)/3,0))</f>
        <v/>
      </c>
      <c r="L1404">
        <f>IF($G1404&lt;&gt;"ALCOHOL","",IF($K1404="","",$H1404*IFERROR(VLOOKUP($K1404,Drink_Templates!$A:$G,7,FALSE),0)))</f>
        <v/>
      </c>
    </row>
    <row r="1405" ht="15" customHeight="1">
      <c r="C1405">
        <f>IF($B1405="","",INT($B1405))</f>
        <v/>
      </c>
      <c r="D1405">
        <f>IF($C1405="","",$C1405-WEEKDAY($C1405,2)+1)</f>
        <v/>
      </c>
      <c r="E1405">
        <f>IF($C1405="","",DATE(YEAR($C1405),MONTH($C1405),1))</f>
        <v/>
      </c>
      <c r="F1405">
        <f>IF($C1405="","",YEAR($C1405)&amp;"-Q"&amp;ROUNDUP(MONTH($C1405)/3,0))</f>
        <v/>
      </c>
      <c r="L1405">
        <f>IF($G1405&lt;&gt;"ALCOHOL","",IF($K1405="","",$H1405*IFERROR(VLOOKUP($K1405,Drink_Templates!$A:$G,7,FALSE),0)))</f>
        <v/>
      </c>
    </row>
    <row r="1406" ht="15" customHeight="1">
      <c r="C1406">
        <f>IF($B1406="","",INT($B1406))</f>
        <v/>
      </c>
      <c r="D1406">
        <f>IF($C1406="","",$C1406-WEEKDAY($C1406,2)+1)</f>
        <v/>
      </c>
      <c r="E1406">
        <f>IF($C1406="","",DATE(YEAR($C1406),MONTH($C1406),1))</f>
        <v/>
      </c>
      <c r="F1406">
        <f>IF($C1406="","",YEAR($C1406)&amp;"-Q"&amp;ROUNDUP(MONTH($C1406)/3,0))</f>
        <v/>
      </c>
      <c r="L1406">
        <f>IF($G1406&lt;&gt;"ALCOHOL","",IF($K1406="","",$H1406*IFERROR(VLOOKUP($K1406,Drink_Templates!$A:$G,7,FALSE),0)))</f>
        <v/>
      </c>
    </row>
    <row r="1407" ht="15" customHeight="1">
      <c r="C1407">
        <f>IF($B1407="","",INT($B1407))</f>
        <v/>
      </c>
      <c r="D1407">
        <f>IF($C1407="","",$C1407-WEEKDAY($C1407,2)+1)</f>
        <v/>
      </c>
      <c r="E1407">
        <f>IF($C1407="","",DATE(YEAR($C1407),MONTH($C1407),1))</f>
        <v/>
      </c>
      <c r="F1407">
        <f>IF($C1407="","",YEAR($C1407)&amp;"-Q"&amp;ROUNDUP(MONTH($C1407)/3,0))</f>
        <v/>
      </c>
      <c r="L1407">
        <f>IF($G1407&lt;&gt;"ALCOHOL","",IF($K1407="","",$H1407*IFERROR(VLOOKUP($K1407,Drink_Templates!$A:$G,7,FALSE),0)))</f>
        <v/>
      </c>
    </row>
    <row r="1408" ht="15" customHeight="1">
      <c r="C1408">
        <f>IF($B1408="","",INT($B1408))</f>
        <v/>
      </c>
      <c r="D1408">
        <f>IF($C1408="","",$C1408-WEEKDAY($C1408,2)+1)</f>
        <v/>
      </c>
      <c r="E1408">
        <f>IF($C1408="","",DATE(YEAR($C1408),MONTH($C1408),1))</f>
        <v/>
      </c>
      <c r="F1408">
        <f>IF($C1408="","",YEAR($C1408)&amp;"-Q"&amp;ROUNDUP(MONTH($C1408)/3,0))</f>
        <v/>
      </c>
      <c r="L1408">
        <f>IF($G1408&lt;&gt;"ALCOHOL","",IF($K1408="","",$H1408*IFERROR(VLOOKUP($K1408,Drink_Templates!$A:$G,7,FALSE),0)))</f>
        <v/>
      </c>
    </row>
    <row r="1409" ht="15" customHeight="1">
      <c r="C1409">
        <f>IF($B1409="","",INT($B1409))</f>
        <v/>
      </c>
      <c r="D1409">
        <f>IF($C1409="","",$C1409-WEEKDAY($C1409,2)+1)</f>
        <v/>
      </c>
      <c r="E1409">
        <f>IF($C1409="","",DATE(YEAR($C1409),MONTH($C1409),1))</f>
        <v/>
      </c>
      <c r="F1409">
        <f>IF($C1409="","",YEAR($C1409)&amp;"-Q"&amp;ROUNDUP(MONTH($C1409)/3,0))</f>
        <v/>
      </c>
      <c r="L1409">
        <f>IF($G1409&lt;&gt;"ALCOHOL","",IF($K1409="","",$H1409*IFERROR(VLOOKUP($K1409,Drink_Templates!$A:$G,7,FALSE),0)))</f>
        <v/>
      </c>
    </row>
    <row r="1410" ht="15" customHeight="1">
      <c r="C1410">
        <f>IF($B1410="","",INT($B1410))</f>
        <v/>
      </c>
      <c r="D1410">
        <f>IF($C1410="","",$C1410-WEEKDAY($C1410,2)+1)</f>
        <v/>
      </c>
      <c r="E1410">
        <f>IF($C1410="","",DATE(YEAR($C1410),MONTH($C1410),1))</f>
        <v/>
      </c>
      <c r="F1410">
        <f>IF($C1410="","",YEAR($C1410)&amp;"-Q"&amp;ROUNDUP(MONTH($C1410)/3,0))</f>
        <v/>
      </c>
      <c r="L1410">
        <f>IF($G1410&lt;&gt;"ALCOHOL","",IF($K1410="","",$H1410*IFERROR(VLOOKUP($K1410,Drink_Templates!$A:$G,7,FALSE),0)))</f>
        <v/>
      </c>
    </row>
    <row r="1411" ht="15" customHeight="1">
      <c r="C1411">
        <f>IF($B1411="","",INT($B1411))</f>
        <v/>
      </c>
      <c r="D1411">
        <f>IF($C1411="","",$C1411-WEEKDAY($C1411,2)+1)</f>
        <v/>
      </c>
      <c r="E1411">
        <f>IF($C1411="","",DATE(YEAR($C1411),MONTH($C1411),1))</f>
        <v/>
      </c>
      <c r="F1411">
        <f>IF($C1411="","",YEAR($C1411)&amp;"-Q"&amp;ROUNDUP(MONTH($C1411)/3,0))</f>
        <v/>
      </c>
      <c r="L1411">
        <f>IF($G1411&lt;&gt;"ALCOHOL","",IF($K1411="","",$H1411*IFERROR(VLOOKUP($K1411,Drink_Templates!$A:$G,7,FALSE),0)))</f>
        <v/>
      </c>
    </row>
    <row r="1412" ht="15" customHeight="1">
      <c r="C1412">
        <f>IF($B1412="","",INT($B1412))</f>
        <v/>
      </c>
      <c r="D1412">
        <f>IF($C1412="","",$C1412-WEEKDAY($C1412,2)+1)</f>
        <v/>
      </c>
      <c r="E1412">
        <f>IF($C1412="","",DATE(YEAR($C1412),MONTH($C1412),1))</f>
        <v/>
      </c>
      <c r="F1412">
        <f>IF($C1412="","",YEAR($C1412)&amp;"-Q"&amp;ROUNDUP(MONTH($C1412)/3,0))</f>
        <v/>
      </c>
      <c r="L1412">
        <f>IF($G1412&lt;&gt;"ALCOHOL","",IF($K1412="","",$H1412*IFERROR(VLOOKUP($K1412,Drink_Templates!$A:$G,7,FALSE),0)))</f>
        <v/>
      </c>
    </row>
    <row r="1413" ht="15" customHeight="1">
      <c r="C1413">
        <f>IF($B1413="","",INT($B1413))</f>
        <v/>
      </c>
      <c r="D1413">
        <f>IF($C1413="","",$C1413-WEEKDAY($C1413,2)+1)</f>
        <v/>
      </c>
      <c r="E1413">
        <f>IF($C1413="","",DATE(YEAR($C1413),MONTH($C1413),1))</f>
        <v/>
      </c>
      <c r="F1413">
        <f>IF($C1413="","",YEAR($C1413)&amp;"-Q"&amp;ROUNDUP(MONTH($C1413)/3,0))</f>
        <v/>
      </c>
      <c r="L1413">
        <f>IF($G1413&lt;&gt;"ALCOHOL","",IF($K1413="","",$H1413*IFERROR(VLOOKUP($K1413,Drink_Templates!$A:$G,7,FALSE),0)))</f>
        <v/>
      </c>
    </row>
    <row r="1414" ht="15" customHeight="1">
      <c r="C1414">
        <f>IF($B1414="","",INT($B1414))</f>
        <v/>
      </c>
      <c r="D1414">
        <f>IF($C1414="","",$C1414-WEEKDAY($C1414,2)+1)</f>
        <v/>
      </c>
      <c r="E1414">
        <f>IF($C1414="","",DATE(YEAR($C1414),MONTH($C1414),1))</f>
        <v/>
      </c>
      <c r="F1414">
        <f>IF($C1414="","",YEAR($C1414)&amp;"-Q"&amp;ROUNDUP(MONTH($C1414)/3,0))</f>
        <v/>
      </c>
      <c r="L1414">
        <f>IF($G1414&lt;&gt;"ALCOHOL","",IF($K1414="","",$H1414*IFERROR(VLOOKUP($K1414,Drink_Templates!$A:$G,7,FALSE),0)))</f>
        <v/>
      </c>
    </row>
    <row r="1415" ht="15" customHeight="1">
      <c r="C1415">
        <f>IF($B1415="","",INT($B1415))</f>
        <v/>
      </c>
      <c r="D1415">
        <f>IF($C1415="","",$C1415-WEEKDAY($C1415,2)+1)</f>
        <v/>
      </c>
      <c r="E1415">
        <f>IF($C1415="","",DATE(YEAR($C1415),MONTH($C1415),1))</f>
        <v/>
      </c>
      <c r="F1415">
        <f>IF($C1415="","",YEAR($C1415)&amp;"-Q"&amp;ROUNDUP(MONTH($C1415)/3,0))</f>
        <v/>
      </c>
      <c r="L1415">
        <f>IF($G1415&lt;&gt;"ALCOHOL","",IF($K1415="","",$H1415*IFERROR(VLOOKUP($K1415,Drink_Templates!$A:$G,7,FALSE),0)))</f>
        <v/>
      </c>
    </row>
    <row r="1416" ht="15" customHeight="1">
      <c r="C1416">
        <f>IF($B1416="","",INT($B1416))</f>
        <v/>
      </c>
      <c r="D1416">
        <f>IF($C1416="","",$C1416-WEEKDAY($C1416,2)+1)</f>
        <v/>
      </c>
      <c r="E1416">
        <f>IF($C1416="","",DATE(YEAR($C1416),MONTH($C1416),1))</f>
        <v/>
      </c>
      <c r="F1416">
        <f>IF($C1416="","",YEAR($C1416)&amp;"-Q"&amp;ROUNDUP(MONTH($C1416)/3,0))</f>
        <v/>
      </c>
      <c r="L1416">
        <f>IF($G1416&lt;&gt;"ALCOHOL","",IF($K1416="","",$H1416*IFERROR(VLOOKUP($K1416,Drink_Templates!$A:$G,7,FALSE),0)))</f>
        <v/>
      </c>
    </row>
    <row r="1417" ht="15" customHeight="1">
      <c r="C1417">
        <f>IF($B1417="","",INT($B1417))</f>
        <v/>
      </c>
      <c r="D1417">
        <f>IF($C1417="","",$C1417-WEEKDAY($C1417,2)+1)</f>
        <v/>
      </c>
      <c r="E1417">
        <f>IF($C1417="","",DATE(YEAR($C1417),MONTH($C1417),1))</f>
        <v/>
      </c>
      <c r="F1417">
        <f>IF($C1417="","",YEAR($C1417)&amp;"-Q"&amp;ROUNDUP(MONTH($C1417)/3,0))</f>
        <v/>
      </c>
      <c r="L1417">
        <f>IF($G1417&lt;&gt;"ALCOHOL","",IF($K1417="","",$H1417*IFERROR(VLOOKUP($K1417,Drink_Templates!$A:$G,7,FALSE),0)))</f>
        <v/>
      </c>
    </row>
    <row r="1418" ht="15" customHeight="1">
      <c r="C1418">
        <f>IF($B1418="","",INT($B1418))</f>
        <v/>
      </c>
      <c r="D1418">
        <f>IF($C1418="","",$C1418-WEEKDAY($C1418,2)+1)</f>
        <v/>
      </c>
      <c r="E1418">
        <f>IF($C1418="","",DATE(YEAR($C1418),MONTH($C1418),1))</f>
        <v/>
      </c>
      <c r="F1418">
        <f>IF($C1418="","",YEAR($C1418)&amp;"-Q"&amp;ROUNDUP(MONTH($C1418)/3,0))</f>
        <v/>
      </c>
      <c r="L1418">
        <f>IF($G1418&lt;&gt;"ALCOHOL","",IF($K1418="","",$H1418*IFERROR(VLOOKUP($K1418,Drink_Templates!$A:$G,7,FALSE),0)))</f>
        <v/>
      </c>
    </row>
    <row r="1419" ht="15" customHeight="1">
      <c r="C1419">
        <f>IF($B1419="","",INT($B1419))</f>
        <v/>
      </c>
      <c r="D1419">
        <f>IF($C1419="","",$C1419-WEEKDAY($C1419,2)+1)</f>
        <v/>
      </c>
      <c r="E1419">
        <f>IF($C1419="","",DATE(YEAR($C1419),MONTH($C1419),1))</f>
        <v/>
      </c>
      <c r="F1419">
        <f>IF($C1419="","",YEAR($C1419)&amp;"-Q"&amp;ROUNDUP(MONTH($C1419)/3,0))</f>
        <v/>
      </c>
      <c r="L1419">
        <f>IF($G1419&lt;&gt;"ALCOHOL","",IF($K1419="","",$H1419*IFERROR(VLOOKUP($K1419,Drink_Templates!$A:$G,7,FALSE),0)))</f>
        <v/>
      </c>
    </row>
    <row r="1420" ht="15" customHeight="1">
      <c r="C1420">
        <f>IF($B1420="","",INT($B1420))</f>
        <v/>
      </c>
      <c r="D1420">
        <f>IF($C1420="","",$C1420-WEEKDAY($C1420,2)+1)</f>
        <v/>
      </c>
      <c r="E1420">
        <f>IF($C1420="","",DATE(YEAR($C1420),MONTH($C1420),1))</f>
        <v/>
      </c>
      <c r="F1420">
        <f>IF($C1420="","",YEAR($C1420)&amp;"-Q"&amp;ROUNDUP(MONTH($C1420)/3,0))</f>
        <v/>
      </c>
      <c r="L1420">
        <f>IF($G1420&lt;&gt;"ALCOHOL","",IF($K1420="","",$H1420*IFERROR(VLOOKUP($K1420,Drink_Templates!$A:$G,7,FALSE),0)))</f>
        <v/>
      </c>
    </row>
    <row r="1421" ht="15" customHeight="1">
      <c r="C1421">
        <f>IF($B1421="","",INT($B1421))</f>
        <v/>
      </c>
      <c r="D1421">
        <f>IF($C1421="","",$C1421-WEEKDAY($C1421,2)+1)</f>
        <v/>
      </c>
      <c r="E1421">
        <f>IF($C1421="","",DATE(YEAR($C1421),MONTH($C1421),1))</f>
        <v/>
      </c>
      <c r="F1421">
        <f>IF($C1421="","",YEAR($C1421)&amp;"-Q"&amp;ROUNDUP(MONTH($C1421)/3,0))</f>
        <v/>
      </c>
      <c r="L1421">
        <f>IF($G1421&lt;&gt;"ALCOHOL","",IF($K1421="","",$H1421*IFERROR(VLOOKUP($K1421,Drink_Templates!$A:$G,7,FALSE),0)))</f>
        <v/>
      </c>
    </row>
    <row r="1422" ht="15" customHeight="1">
      <c r="C1422">
        <f>IF($B1422="","",INT($B1422))</f>
        <v/>
      </c>
      <c r="D1422">
        <f>IF($C1422="","",$C1422-WEEKDAY($C1422,2)+1)</f>
        <v/>
      </c>
      <c r="E1422">
        <f>IF($C1422="","",DATE(YEAR($C1422),MONTH($C1422),1))</f>
        <v/>
      </c>
      <c r="F1422">
        <f>IF($C1422="","",YEAR($C1422)&amp;"-Q"&amp;ROUNDUP(MONTH($C1422)/3,0))</f>
        <v/>
      </c>
      <c r="L1422">
        <f>IF($G1422&lt;&gt;"ALCOHOL","",IF($K1422="","",$H1422*IFERROR(VLOOKUP($K1422,Drink_Templates!$A:$G,7,FALSE),0)))</f>
        <v/>
      </c>
    </row>
    <row r="1423" ht="15" customHeight="1">
      <c r="C1423">
        <f>IF($B1423="","",INT($B1423))</f>
        <v/>
      </c>
      <c r="D1423">
        <f>IF($C1423="","",$C1423-WEEKDAY($C1423,2)+1)</f>
        <v/>
      </c>
      <c r="E1423">
        <f>IF($C1423="","",DATE(YEAR($C1423),MONTH($C1423),1))</f>
        <v/>
      </c>
      <c r="F1423">
        <f>IF($C1423="","",YEAR($C1423)&amp;"-Q"&amp;ROUNDUP(MONTH($C1423)/3,0))</f>
        <v/>
      </c>
      <c r="L1423">
        <f>IF($G1423&lt;&gt;"ALCOHOL","",IF($K1423="","",$H1423*IFERROR(VLOOKUP($K1423,Drink_Templates!$A:$G,7,FALSE),0)))</f>
        <v/>
      </c>
    </row>
    <row r="1424" ht="15" customHeight="1">
      <c r="C1424">
        <f>IF($B1424="","",INT($B1424))</f>
        <v/>
      </c>
      <c r="D1424">
        <f>IF($C1424="","",$C1424-WEEKDAY($C1424,2)+1)</f>
        <v/>
      </c>
      <c r="E1424">
        <f>IF($C1424="","",DATE(YEAR($C1424),MONTH($C1424),1))</f>
        <v/>
      </c>
      <c r="F1424">
        <f>IF($C1424="","",YEAR($C1424)&amp;"-Q"&amp;ROUNDUP(MONTH($C1424)/3,0))</f>
        <v/>
      </c>
      <c r="L1424">
        <f>IF($G1424&lt;&gt;"ALCOHOL","",IF($K1424="","",$H1424*IFERROR(VLOOKUP($K1424,Drink_Templates!$A:$G,7,FALSE),0)))</f>
        <v/>
      </c>
    </row>
    <row r="1425" ht="15" customHeight="1">
      <c r="C1425">
        <f>IF($B1425="","",INT($B1425))</f>
        <v/>
      </c>
      <c r="D1425">
        <f>IF($C1425="","",$C1425-WEEKDAY($C1425,2)+1)</f>
        <v/>
      </c>
      <c r="E1425">
        <f>IF($C1425="","",DATE(YEAR($C1425),MONTH($C1425),1))</f>
        <v/>
      </c>
      <c r="F1425">
        <f>IF($C1425="","",YEAR($C1425)&amp;"-Q"&amp;ROUNDUP(MONTH($C1425)/3,0))</f>
        <v/>
      </c>
      <c r="L1425">
        <f>IF($G1425&lt;&gt;"ALCOHOL","",IF($K1425="","",$H1425*IFERROR(VLOOKUP($K1425,Drink_Templates!$A:$G,7,FALSE),0)))</f>
        <v/>
      </c>
    </row>
    <row r="1426" ht="15" customHeight="1">
      <c r="C1426">
        <f>IF($B1426="","",INT($B1426))</f>
        <v/>
      </c>
      <c r="D1426">
        <f>IF($C1426="","",$C1426-WEEKDAY($C1426,2)+1)</f>
        <v/>
      </c>
      <c r="E1426">
        <f>IF($C1426="","",DATE(YEAR($C1426),MONTH($C1426),1))</f>
        <v/>
      </c>
      <c r="F1426">
        <f>IF($C1426="","",YEAR($C1426)&amp;"-Q"&amp;ROUNDUP(MONTH($C1426)/3,0))</f>
        <v/>
      </c>
      <c r="L1426">
        <f>IF($G1426&lt;&gt;"ALCOHOL","",IF($K1426="","",$H1426*IFERROR(VLOOKUP($K1426,Drink_Templates!$A:$G,7,FALSE),0)))</f>
        <v/>
      </c>
    </row>
    <row r="1427" ht="15" customHeight="1">
      <c r="C1427">
        <f>IF($B1427="","",INT($B1427))</f>
        <v/>
      </c>
      <c r="D1427">
        <f>IF($C1427="","",$C1427-WEEKDAY($C1427,2)+1)</f>
        <v/>
      </c>
      <c r="E1427">
        <f>IF($C1427="","",DATE(YEAR($C1427),MONTH($C1427),1))</f>
        <v/>
      </c>
      <c r="F1427">
        <f>IF($C1427="","",YEAR($C1427)&amp;"-Q"&amp;ROUNDUP(MONTH($C1427)/3,0))</f>
        <v/>
      </c>
      <c r="L1427">
        <f>IF($G1427&lt;&gt;"ALCOHOL","",IF($K1427="","",$H1427*IFERROR(VLOOKUP($K1427,Drink_Templates!$A:$G,7,FALSE),0)))</f>
        <v/>
      </c>
    </row>
    <row r="1428" ht="15" customHeight="1">
      <c r="C1428">
        <f>IF($B1428="","",INT($B1428))</f>
        <v/>
      </c>
      <c r="D1428">
        <f>IF($C1428="","",$C1428-WEEKDAY($C1428,2)+1)</f>
        <v/>
      </c>
      <c r="E1428">
        <f>IF($C1428="","",DATE(YEAR($C1428),MONTH($C1428),1))</f>
        <v/>
      </c>
      <c r="F1428">
        <f>IF($C1428="","",YEAR($C1428)&amp;"-Q"&amp;ROUNDUP(MONTH($C1428)/3,0))</f>
        <v/>
      </c>
      <c r="L1428">
        <f>IF($G1428&lt;&gt;"ALCOHOL","",IF($K1428="","",$H1428*IFERROR(VLOOKUP($K1428,Drink_Templates!$A:$G,7,FALSE),0)))</f>
        <v/>
      </c>
    </row>
    <row r="1429" ht="15" customHeight="1">
      <c r="C1429">
        <f>IF($B1429="","",INT($B1429))</f>
        <v/>
      </c>
      <c r="D1429">
        <f>IF($C1429="","",$C1429-WEEKDAY($C1429,2)+1)</f>
        <v/>
      </c>
      <c r="E1429">
        <f>IF($C1429="","",DATE(YEAR($C1429),MONTH($C1429),1))</f>
        <v/>
      </c>
      <c r="F1429">
        <f>IF($C1429="","",YEAR($C1429)&amp;"-Q"&amp;ROUNDUP(MONTH($C1429)/3,0))</f>
        <v/>
      </c>
      <c r="L1429">
        <f>IF($G1429&lt;&gt;"ALCOHOL","",IF($K1429="","",$H1429*IFERROR(VLOOKUP($K1429,Drink_Templates!$A:$G,7,FALSE),0)))</f>
        <v/>
      </c>
    </row>
    <row r="1430" ht="15" customHeight="1">
      <c r="C1430">
        <f>IF($B1430="","",INT($B1430))</f>
        <v/>
      </c>
      <c r="D1430">
        <f>IF($C1430="","",$C1430-WEEKDAY($C1430,2)+1)</f>
        <v/>
      </c>
      <c r="E1430">
        <f>IF($C1430="","",DATE(YEAR($C1430),MONTH($C1430),1))</f>
        <v/>
      </c>
      <c r="F1430">
        <f>IF($C1430="","",YEAR($C1430)&amp;"-Q"&amp;ROUNDUP(MONTH($C1430)/3,0))</f>
        <v/>
      </c>
      <c r="L1430">
        <f>IF($G1430&lt;&gt;"ALCOHOL","",IF($K1430="","",$H1430*IFERROR(VLOOKUP($K1430,Drink_Templates!$A:$G,7,FALSE),0)))</f>
        <v/>
      </c>
    </row>
    <row r="1431" ht="15" customHeight="1">
      <c r="C1431">
        <f>IF($B1431="","",INT($B1431))</f>
        <v/>
      </c>
      <c r="D1431">
        <f>IF($C1431="","",$C1431-WEEKDAY($C1431,2)+1)</f>
        <v/>
      </c>
      <c r="E1431">
        <f>IF($C1431="","",DATE(YEAR($C1431),MONTH($C1431),1))</f>
        <v/>
      </c>
      <c r="F1431">
        <f>IF($C1431="","",YEAR($C1431)&amp;"-Q"&amp;ROUNDUP(MONTH($C1431)/3,0))</f>
        <v/>
      </c>
      <c r="L1431">
        <f>IF($G1431&lt;&gt;"ALCOHOL","",IF($K1431="","",$H1431*IFERROR(VLOOKUP($K1431,Drink_Templates!$A:$G,7,FALSE),0)))</f>
        <v/>
      </c>
    </row>
    <row r="1432" ht="15" customHeight="1">
      <c r="C1432">
        <f>IF($B1432="","",INT($B1432))</f>
        <v/>
      </c>
      <c r="D1432">
        <f>IF($C1432="","",$C1432-WEEKDAY($C1432,2)+1)</f>
        <v/>
      </c>
      <c r="E1432">
        <f>IF($C1432="","",DATE(YEAR($C1432),MONTH($C1432),1))</f>
        <v/>
      </c>
      <c r="F1432">
        <f>IF($C1432="","",YEAR($C1432)&amp;"-Q"&amp;ROUNDUP(MONTH($C1432)/3,0))</f>
        <v/>
      </c>
      <c r="L1432">
        <f>IF($G1432&lt;&gt;"ALCOHOL","",IF($K1432="","",$H1432*IFERROR(VLOOKUP($K1432,Drink_Templates!$A:$G,7,FALSE),0)))</f>
        <v/>
      </c>
    </row>
    <row r="1433" ht="15" customHeight="1">
      <c r="C1433">
        <f>IF($B1433="","",INT($B1433))</f>
        <v/>
      </c>
      <c r="D1433">
        <f>IF($C1433="","",$C1433-WEEKDAY($C1433,2)+1)</f>
        <v/>
      </c>
      <c r="E1433">
        <f>IF($C1433="","",DATE(YEAR($C1433),MONTH($C1433),1))</f>
        <v/>
      </c>
      <c r="F1433">
        <f>IF($C1433="","",YEAR($C1433)&amp;"-Q"&amp;ROUNDUP(MONTH($C1433)/3,0))</f>
        <v/>
      </c>
      <c r="L1433">
        <f>IF($G1433&lt;&gt;"ALCOHOL","",IF($K1433="","",$H1433*IFERROR(VLOOKUP($K1433,Drink_Templates!$A:$G,7,FALSE),0)))</f>
        <v/>
      </c>
    </row>
    <row r="1434" ht="15" customHeight="1">
      <c r="C1434">
        <f>IF($B1434="","",INT($B1434))</f>
        <v/>
      </c>
      <c r="D1434">
        <f>IF($C1434="","",$C1434-WEEKDAY($C1434,2)+1)</f>
        <v/>
      </c>
      <c r="E1434">
        <f>IF($C1434="","",DATE(YEAR($C1434),MONTH($C1434),1))</f>
        <v/>
      </c>
      <c r="F1434">
        <f>IF($C1434="","",YEAR($C1434)&amp;"-Q"&amp;ROUNDUP(MONTH($C1434)/3,0))</f>
        <v/>
      </c>
      <c r="L1434">
        <f>IF($G1434&lt;&gt;"ALCOHOL","",IF($K1434="","",$H1434*IFERROR(VLOOKUP($K1434,Drink_Templates!$A:$G,7,FALSE),0)))</f>
        <v/>
      </c>
    </row>
    <row r="1435" ht="15" customHeight="1">
      <c r="C1435">
        <f>IF($B1435="","",INT($B1435))</f>
        <v/>
      </c>
      <c r="D1435">
        <f>IF($C1435="","",$C1435-WEEKDAY($C1435,2)+1)</f>
        <v/>
      </c>
      <c r="E1435">
        <f>IF($C1435="","",DATE(YEAR($C1435),MONTH($C1435),1))</f>
        <v/>
      </c>
      <c r="F1435">
        <f>IF($C1435="","",YEAR($C1435)&amp;"-Q"&amp;ROUNDUP(MONTH($C1435)/3,0))</f>
        <v/>
      </c>
      <c r="L1435">
        <f>IF($G1435&lt;&gt;"ALCOHOL","",IF($K1435="","",$H1435*IFERROR(VLOOKUP($K1435,Drink_Templates!$A:$G,7,FALSE),0)))</f>
        <v/>
      </c>
    </row>
    <row r="1436" ht="15" customHeight="1">
      <c r="C1436">
        <f>IF($B1436="","",INT($B1436))</f>
        <v/>
      </c>
      <c r="D1436">
        <f>IF($C1436="","",$C1436-WEEKDAY($C1436,2)+1)</f>
        <v/>
      </c>
      <c r="E1436">
        <f>IF($C1436="","",DATE(YEAR($C1436),MONTH($C1436),1))</f>
        <v/>
      </c>
      <c r="F1436">
        <f>IF($C1436="","",YEAR($C1436)&amp;"-Q"&amp;ROUNDUP(MONTH($C1436)/3,0))</f>
        <v/>
      </c>
      <c r="L1436">
        <f>IF($G1436&lt;&gt;"ALCOHOL","",IF($K1436="","",$H1436*IFERROR(VLOOKUP($K1436,Drink_Templates!$A:$G,7,FALSE),0)))</f>
        <v/>
      </c>
    </row>
    <row r="1437" ht="15" customHeight="1">
      <c r="C1437">
        <f>IF($B1437="","",INT($B1437))</f>
        <v/>
      </c>
      <c r="D1437">
        <f>IF($C1437="","",$C1437-WEEKDAY($C1437,2)+1)</f>
        <v/>
      </c>
      <c r="E1437">
        <f>IF($C1437="","",DATE(YEAR($C1437),MONTH($C1437),1))</f>
        <v/>
      </c>
      <c r="F1437">
        <f>IF($C1437="","",YEAR($C1437)&amp;"-Q"&amp;ROUNDUP(MONTH($C1437)/3,0))</f>
        <v/>
      </c>
      <c r="L1437">
        <f>IF($G1437&lt;&gt;"ALCOHOL","",IF($K1437="","",$H1437*IFERROR(VLOOKUP($K1437,Drink_Templates!$A:$G,7,FALSE),0)))</f>
        <v/>
      </c>
    </row>
    <row r="1438" ht="15" customHeight="1">
      <c r="C1438">
        <f>IF($B1438="","",INT($B1438))</f>
        <v/>
      </c>
      <c r="D1438">
        <f>IF($C1438="","",$C1438-WEEKDAY($C1438,2)+1)</f>
        <v/>
      </c>
      <c r="E1438">
        <f>IF($C1438="","",DATE(YEAR($C1438),MONTH($C1438),1))</f>
        <v/>
      </c>
      <c r="F1438">
        <f>IF($C1438="","",YEAR($C1438)&amp;"-Q"&amp;ROUNDUP(MONTH($C1438)/3,0))</f>
        <v/>
      </c>
      <c r="L1438">
        <f>IF($G1438&lt;&gt;"ALCOHOL","",IF($K1438="","",$H1438*IFERROR(VLOOKUP($K1438,Drink_Templates!$A:$G,7,FALSE),0)))</f>
        <v/>
      </c>
    </row>
    <row r="1439" ht="15" customHeight="1">
      <c r="C1439">
        <f>IF($B1439="","",INT($B1439))</f>
        <v/>
      </c>
      <c r="D1439">
        <f>IF($C1439="","",$C1439-WEEKDAY($C1439,2)+1)</f>
        <v/>
      </c>
      <c r="E1439">
        <f>IF($C1439="","",DATE(YEAR($C1439),MONTH($C1439),1))</f>
        <v/>
      </c>
      <c r="F1439">
        <f>IF($C1439="","",YEAR($C1439)&amp;"-Q"&amp;ROUNDUP(MONTH($C1439)/3,0))</f>
        <v/>
      </c>
      <c r="L1439">
        <f>IF($G1439&lt;&gt;"ALCOHOL","",IF($K1439="","",$H1439*IFERROR(VLOOKUP($K1439,Drink_Templates!$A:$G,7,FALSE),0)))</f>
        <v/>
      </c>
    </row>
    <row r="1440" ht="15" customHeight="1">
      <c r="C1440">
        <f>IF($B1440="","",INT($B1440))</f>
        <v/>
      </c>
      <c r="D1440">
        <f>IF($C1440="","",$C1440-WEEKDAY($C1440,2)+1)</f>
        <v/>
      </c>
      <c r="E1440">
        <f>IF($C1440="","",DATE(YEAR($C1440),MONTH($C1440),1))</f>
        <v/>
      </c>
      <c r="F1440">
        <f>IF($C1440="","",YEAR($C1440)&amp;"-Q"&amp;ROUNDUP(MONTH($C1440)/3,0))</f>
        <v/>
      </c>
      <c r="L1440">
        <f>IF($G1440&lt;&gt;"ALCOHOL","",IF($K1440="","",$H1440*IFERROR(VLOOKUP($K1440,Drink_Templates!$A:$G,7,FALSE),0)))</f>
        <v/>
      </c>
    </row>
    <row r="1441" ht="15" customHeight="1">
      <c r="C1441">
        <f>IF($B1441="","",INT($B1441))</f>
        <v/>
      </c>
      <c r="D1441">
        <f>IF($C1441="","",$C1441-WEEKDAY($C1441,2)+1)</f>
        <v/>
      </c>
      <c r="E1441">
        <f>IF($C1441="","",DATE(YEAR($C1441),MONTH($C1441),1))</f>
        <v/>
      </c>
      <c r="F1441">
        <f>IF($C1441="","",YEAR($C1441)&amp;"-Q"&amp;ROUNDUP(MONTH($C1441)/3,0))</f>
        <v/>
      </c>
      <c r="L1441">
        <f>IF($G1441&lt;&gt;"ALCOHOL","",IF($K1441="","",$H1441*IFERROR(VLOOKUP($K1441,Drink_Templates!$A:$G,7,FALSE),0)))</f>
        <v/>
      </c>
    </row>
    <row r="1442" ht="15" customHeight="1">
      <c r="C1442">
        <f>IF($B1442="","",INT($B1442))</f>
        <v/>
      </c>
      <c r="D1442">
        <f>IF($C1442="","",$C1442-WEEKDAY($C1442,2)+1)</f>
        <v/>
      </c>
      <c r="E1442">
        <f>IF($C1442="","",DATE(YEAR($C1442),MONTH($C1442),1))</f>
        <v/>
      </c>
      <c r="F1442">
        <f>IF($C1442="","",YEAR($C1442)&amp;"-Q"&amp;ROUNDUP(MONTH($C1442)/3,0))</f>
        <v/>
      </c>
      <c r="L1442">
        <f>IF($G1442&lt;&gt;"ALCOHOL","",IF($K1442="","",$H1442*IFERROR(VLOOKUP($K1442,Drink_Templates!$A:$G,7,FALSE),0)))</f>
        <v/>
      </c>
    </row>
    <row r="1443" ht="15" customHeight="1">
      <c r="C1443">
        <f>IF($B1443="","",INT($B1443))</f>
        <v/>
      </c>
      <c r="D1443">
        <f>IF($C1443="","",$C1443-WEEKDAY($C1443,2)+1)</f>
        <v/>
      </c>
      <c r="E1443">
        <f>IF($C1443="","",DATE(YEAR($C1443),MONTH($C1443),1))</f>
        <v/>
      </c>
      <c r="F1443">
        <f>IF($C1443="","",YEAR($C1443)&amp;"-Q"&amp;ROUNDUP(MONTH($C1443)/3,0))</f>
        <v/>
      </c>
      <c r="L1443">
        <f>IF($G1443&lt;&gt;"ALCOHOL","",IF($K1443="","",$H1443*IFERROR(VLOOKUP($K1443,Drink_Templates!$A:$G,7,FALSE),0)))</f>
        <v/>
      </c>
    </row>
    <row r="1444" ht="15" customHeight="1">
      <c r="C1444">
        <f>IF($B1444="","",INT($B1444))</f>
        <v/>
      </c>
      <c r="D1444">
        <f>IF($C1444="","",$C1444-WEEKDAY($C1444,2)+1)</f>
        <v/>
      </c>
      <c r="E1444">
        <f>IF($C1444="","",DATE(YEAR($C1444),MONTH($C1444),1))</f>
        <v/>
      </c>
      <c r="F1444">
        <f>IF($C1444="","",YEAR($C1444)&amp;"-Q"&amp;ROUNDUP(MONTH($C1444)/3,0))</f>
        <v/>
      </c>
      <c r="L1444">
        <f>IF($G1444&lt;&gt;"ALCOHOL","",IF($K1444="","",$H1444*IFERROR(VLOOKUP($K1444,Drink_Templates!$A:$G,7,FALSE),0)))</f>
        <v/>
      </c>
    </row>
    <row r="1445" ht="15" customHeight="1">
      <c r="C1445">
        <f>IF($B1445="","",INT($B1445))</f>
        <v/>
      </c>
      <c r="D1445">
        <f>IF($C1445="","",$C1445-WEEKDAY($C1445,2)+1)</f>
        <v/>
      </c>
      <c r="E1445">
        <f>IF($C1445="","",DATE(YEAR($C1445),MONTH($C1445),1))</f>
        <v/>
      </c>
      <c r="F1445">
        <f>IF($C1445="","",YEAR($C1445)&amp;"-Q"&amp;ROUNDUP(MONTH($C1445)/3,0))</f>
        <v/>
      </c>
      <c r="L1445">
        <f>IF($G1445&lt;&gt;"ALCOHOL","",IF($K1445="","",$H1445*IFERROR(VLOOKUP($K1445,Drink_Templates!$A:$G,7,FALSE),0)))</f>
        <v/>
      </c>
    </row>
    <row r="1446" ht="15" customHeight="1">
      <c r="C1446">
        <f>IF($B1446="","",INT($B1446))</f>
        <v/>
      </c>
      <c r="D1446">
        <f>IF($C1446="","",$C1446-WEEKDAY($C1446,2)+1)</f>
        <v/>
      </c>
      <c r="E1446">
        <f>IF($C1446="","",DATE(YEAR($C1446),MONTH($C1446),1))</f>
        <v/>
      </c>
      <c r="F1446">
        <f>IF($C1446="","",YEAR($C1446)&amp;"-Q"&amp;ROUNDUP(MONTH($C1446)/3,0))</f>
        <v/>
      </c>
      <c r="L1446">
        <f>IF($G1446&lt;&gt;"ALCOHOL","",IF($K1446="","",$H1446*IFERROR(VLOOKUP($K1446,Drink_Templates!$A:$G,7,FALSE),0)))</f>
        <v/>
      </c>
    </row>
    <row r="1447" ht="15" customHeight="1">
      <c r="C1447">
        <f>IF($B1447="","",INT($B1447))</f>
        <v/>
      </c>
      <c r="D1447">
        <f>IF($C1447="","",$C1447-WEEKDAY($C1447,2)+1)</f>
        <v/>
      </c>
      <c r="E1447">
        <f>IF($C1447="","",DATE(YEAR($C1447),MONTH($C1447),1))</f>
        <v/>
      </c>
      <c r="F1447">
        <f>IF($C1447="","",YEAR($C1447)&amp;"-Q"&amp;ROUNDUP(MONTH($C1447)/3,0))</f>
        <v/>
      </c>
      <c r="L1447">
        <f>IF($G1447&lt;&gt;"ALCOHOL","",IF($K1447="","",$H1447*IFERROR(VLOOKUP($K1447,Drink_Templates!$A:$G,7,FALSE),0)))</f>
        <v/>
      </c>
    </row>
    <row r="1448" ht="15" customHeight="1">
      <c r="C1448">
        <f>IF($B1448="","",INT($B1448))</f>
        <v/>
      </c>
      <c r="D1448">
        <f>IF($C1448="","",$C1448-WEEKDAY($C1448,2)+1)</f>
        <v/>
      </c>
      <c r="E1448">
        <f>IF($C1448="","",DATE(YEAR($C1448),MONTH($C1448),1))</f>
        <v/>
      </c>
      <c r="F1448">
        <f>IF($C1448="","",YEAR($C1448)&amp;"-Q"&amp;ROUNDUP(MONTH($C1448)/3,0))</f>
        <v/>
      </c>
      <c r="L1448">
        <f>IF($G1448&lt;&gt;"ALCOHOL","",IF($K1448="","",$H1448*IFERROR(VLOOKUP($K1448,Drink_Templates!$A:$G,7,FALSE),0)))</f>
        <v/>
      </c>
    </row>
    <row r="1449" ht="15" customHeight="1">
      <c r="C1449">
        <f>IF($B1449="","",INT($B1449))</f>
        <v/>
      </c>
      <c r="D1449">
        <f>IF($C1449="","",$C1449-WEEKDAY($C1449,2)+1)</f>
        <v/>
      </c>
      <c r="E1449">
        <f>IF($C1449="","",DATE(YEAR($C1449),MONTH($C1449),1))</f>
        <v/>
      </c>
      <c r="F1449">
        <f>IF($C1449="","",YEAR($C1449)&amp;"-Q"&amp;ROUNDUP(MONTH($C1449)/3,0))</f>
        <v/>
      </c>
      <c r="L1449">
        <f>IF($G1449&lt;&gt;"ALCOHOL","",IF($K1449="","",$H1449*IFERROR(VLOOKUP($K1449,Drink_Templates!$A:$G,7,FALSE),0)))</f>
        <v/>
      </c>
    </row>
    <row r="1450" ht="15" customHeight="1">
      <c r="C1450">
        <f>IF($B1450="","",INT($B1450))</f>
        <v/>
      </c>
      <c r="D1450">
        <f>IF($C1450="","",$C1450-WEEKDAY($C1450,2)+1)</f>
        <v/>
      </c>
      <c r="E1450">
        <f>IF($C1450="","",DATE(YEAR($C1450),MONTH($C1450),1))</f>
        <v/>
      </c>
      <c r="F1450">
        <f>IF($C1450="","",YEAR($C1450)&amp;"-Q"&amp;ROUNDUP(MONTH($C1450)/3,0))</f>
        <v/>
      </c>
      <c r="L1450">
        <f>IF($G1450&lt;&gt;"ALCOHOL","",IF($K1450="","",$H1450*IFERROR(VLOOKUP($K1450,Drink_Templates!$A:$G,7,FALSE),0)))</f>
        <v/>
      </c>
    </row>
    <row r="1451" ht="15" customHeight="1">
      <c r="C1451">
        <f>IF($B1451="","",INT($B1451))</f>
        <v/>
      </c>
      <c r="D1451">
        <f>IF($C1451="","",$C1451-WEEKDAY($C1451,2)+1)</f>
        <v/>
      </c>
      <c r="E1451">
        <f>IF($C1451="","",DATE(YEAR($C1451),MONTH($C1451),1))</f>
        <v/>
      </c>
      <c r="F1451">
        <f>IF($C1451="","",YEAR($C1451)&amp;"-Q"&amp;ROUNDUP(MONTH($C1451)/3,0))</f>
        <v/>
      </c>
      <c r="L1451">
        <f>IF($G1451&lt;&gt;"ALCOHOL","",IF($K1451="","",$H1451*IFERROR(VLOOKUP($K1451,Drink_Templates!$A:$G,7,FALSE),0)))</f>
        <v/>
      </c>
    </row>
    <row r="1452" ht="15" customHeight="1">
      <c r="C1452">
        <f>IF($B1452="","",INT($B1452))</f>
        <v/>
      </c>
      <c r="D1452">
        <f>IF($C1452="","",$C1452-WEEKDAY($C1452,2)+1)</f>
        <v/>
      </c>
      <c r="E1452">
        <f>IF($C1452="","",DATE(YEAR($C1452),MONTH($C1452),1))</f>
        <v/>
      </c>
      <c r="F1452">
        <f>IF($C1452="","",YEAR($C1452)&amp;"-Q"&amp;ROUNDUP(MONTH($C1452)/3,0))</f>
        <v/>
      </c>
      <c r="L1452">
        <f>IF($G1452&lt;&gt;"ALCOHOL","",IF($K1452="","",$H1452*IFERROR(VLOOKUP($K1452,Drink_Templates!$A:$G,7,FALSE),0)))</f>
        <v/>
      </c>
    </row>
    <row r="1453" ht="15" customHeight="1">
      <c r="C1453">
        <f>IF($B1453="","",INT($B1453))</f>
        <v/>
      </c>
      <c r="D1453">
        <f>IF($C1453="","",$C1453-WEEKDAY($C1453,2)+1)</f>
        <v/>
      </c>
      <c r="E1453">
        <f>IF($C1453="","",DATE(YEAR($C1453),MONTH($C1453),1))</f>
        <v/>
      </c>
      <c r="F1453">
        <f>IF($C1453="","",YEAR($C1453)&amp;"-Q"&amp;ROUNDUP(MONTH($C1453)/3,0))</f>
        <v/>
      </c>
      <c r="L1453">
        <f>IF($G1453&lt;&gt;"ALCOHOL","",IF($K1453="","",$H1453*IFERROR(VLOOKUP($K1453,Drink_Templates!$A:$G,7,FALSE),0)))</f>
        <v/>
      </c>
    </row>
    <row r="1454" ht="15" customHeight="1">
      <c r="C1454">
        <f>IF($B1454="","",INT($B1454))</f>
        <v/>
      </c>
      <c r="D1454">
        <f>IF($C1454="","",$C1454-WEEKDAY($C1454,2)+1)</f>
        <v/>
      </c>
      <c r="E1454">
        <f>IF($C1454="","",DATE(YEAR($C1454),MONTH($C1454),1))</f>
        <v/>
      </c>
      <c r="F1454">
        <f>IF($C1454="","",YEAR($C1454)&amp;"-Q"&amp;ROUNDUP(MONTH($C1454)/3,0))</f>
        <v/>
      </c>
      <c r="L1454">
        <f>IF($G1454&lt;&gt;"ALCOHOL","",IF($K1454="","",$H1454*IFERROR(VLOOKUP($K1454,Drink_Templates!$A:$G,7,FALSE),0)))</f>
        <v/>
      </c>
    </row>
    <row r="1455" ht="15" customHeight="1">
      <c r="C1455">
        <f>IF($B1455="","",INT($B1455))</f>
        <v/>
      </c>
      <c r="D1455">
        <f>IF($C1455="","",$C1455-WEEKDAY($C1455,2)+1)</f>
        <v/>
      </c>
      <c r="E1455">
        <f>IF($C1455="","",DATE(YEAR($C1455),MONTH($C1455),1))</f>
        <v/>
      </c>
      <c r="F1455">
        <f>IF($C1455="","",YEAR($C1455)&amp;"-Q"&amp;ROUNDUP(MONTH($C1455)/3,0))</f>
        <v/>
      </c>
      <c r="L1455">
        <f>IF($G1455&lt;&gt;"ALCOHOL","",IF($K1455="","",$H1455*IFERROR(VLOOKUP($K1455,Drink_Templates!$A:$G,7,FALSE),0)))</f>
        <v/>
      </c>
    </row>
    <row r="1456" ht="15" customHeight="1">
      <c r="C1456">
        <f>IF($B1456="","",INT($B1456))</f>
        <v/>
      </c>
      <c r="D1456">
        <f>IF($C1456="","",$C1456-WEEKDAY($C1456,2)+1)</f>
        <v/>
      </c>
      <c r="E1456">
        <f>IF($C1456="","",DATE(YEAR($C1456),MONTH($C1456),1))</f>
        <v/>
      </c>
      <c r="F1456">
        <f>IF($C1456="","",YEAR($C1456)&amp;"-Q"&amp;ROUNDUP(MONTH($C1456)/3,0))</f>
        <v/>
      </c>
      <c r="L1456">
        <f>IF($G1456&lt;&gt;"ALCOHOL","",IF($K1456="","",$H1456*IFERROR(VLOOKUP($K1456,Drink_Templates!$A:$G,7,FALSE),0)))</f>
        <v/>
      </c>
    </row>
    <row r="1457" ht="15" customHeight="1">
      <c r="C1457">
        <f>IF($B1457="","",INT($B1457))</f>
        <v/>
      </c>
      <c r="D1457">
        <f>IF($C1457="","",$C1457-WEEKDAY($C1457,2)+1)</f>
        <v/>
      </c>
      <c r="E1457">
        <f>IF($C1457="","",DATE(YEAR($C1457),MONTH($C1457),1))</f>
        <v/>
      </c>
      <c r="F1457">
        <f>IF($C1457="","",YEAR($C1457)&amp;"-Q"&amp;ROUNDUP(MONTH($C1457)/3,0))</f>
        <v/>
      </c>
      <c r="L1457">
        <f>IF($G1457&lt;&gt;"ALCOHOL","",IF($K1457="","",$H1457*IFERROR(VLOOKUP($K1457,Drink_Templates!$A:$G,7,FALSE),0)))</f>
        <v/>
      </c>
    </row>
    <row r="1458" ht="15" customHeight="1">
      <c r="C1458">
        <f>IF($B1458="","",INT($B1458))</f>
        <v/>
      </c>
      <c r="D1458">
        <f>IF($C1458="","",$C1458-WEEKDAY($C1458,2)+1)</f>
        <v/>
      </c>
      <c r="E1458">
        <f>IF($C1458="","",DATE(YEAR($C1458),MONTH($C1458),1))</f>
        <v/>
      </c>
      <c r="F1458">
        <f>IF($C1458="","",YEAR($C1458)&amp;"-Q"&amp;ROUNDUP(MONTH($C1458)/3,0))</f>
        <v/>
      </c>
      <c r="L1458">
        <f>IF($G1458&lt;&gt;"ALCOHOL","",IF($K1458="","",$H1458*IFERROR(VLOOKUP($K1458,Drink_Templates!$A:$G,7,FALSE),0)))</f>
        <v/>
      </c>
    </row>
    <row r="1459" ht="15" customHeight="1">
      <c r="C1459">
        <f>IF($B1459="","",INT($B1459))</f>
        <v/>
      </c>
      <c r="D1459">
        <f>IF($C1459="","",$C1459-WEEKDAY($C1459,2)+1)</f>
        <v/>
      </c>
      <c r="E1459">
        <f>IF($C1459="","",DATE(YEAR($C1459),MONTH($C1459),1))</f>
        <v/>
      </c>
      <c r="F1459">
        <f>IF($C1459="","",YEAR($C1459)&amp;"-Q"&amp;ROUNDUP(MONTH($C1459)/3,0))</f>
        <v/>
      </c>
      <c r="L1459">
        <f>IF($G1459&lt;&gt;"ALCOHOL","",IF($K1459="","",$H1459*IFERROR(VLOOKUP($K1459,Drink_Templates!$A:$G,7,FALSE),0)))</f>
        <v/>
      </c>
    </row>
    <row r="1460" ht="15" customHeight="1">
      <c r="C1460">
        <f>IF($B1460="","",INT($B1460))</f>
        <v/>
      </c>
      <c r="D1460">
        <f>IF($C1460="","",$C1460-WEEKDAY($C1460,2)+1)</f>
        <v/>
      </c>
      <c r="E1460">
        <f>IF($C1460="","",DATE(YEAR($C1460),MONTH($C1460),1))</f>
        <v/>
      </c>
      <c r="F1460">
        <f>IF($C1460="","",YEAR($C1460)&amp;"-Q"&amp;ROUNDUP(MONTH($C1460)/3,0))</f>
        <v/>
      </c>
      <c r="L1460">
        <f>IF($G1460&lt;&gt;"ALCOHOL","",IF($K1460="","",$H1460*IFERROR(VLOOKUP($K1460,Drink_Templates!$A:$G,7,FALSE),0)))</f>
        <v/>
      </c>
    </row>
    <row r="1461" ht="15" customHeight="1">
      <c r="C1461">
        <f>IF($B1461="","",INT($B1461))</f>
        <v/>
      </c>
      <c r="D1461">
        <f>IF($C1461="","",$C1461-WEEKDAY($C1461,2)+1)</f>
        <v/>
      </c>
      <c r="E1461">
        <f>IF($C1461="","",DATE(YEAR($C1461),MONTH($C1461),1))</f>
        <v/>
      </c>
      <c r="F1461">
        <f>IF($C1461="","",YEAR($C1461)&amp;"-Q"&amp;ROUNDUP(MONTH($C1461)/3,0))</f>
        <v/>
      </c>
      <c r="L1461">
        <f>IF($G1461&lt;&gt;"ALCOHOL","",IF($K1461="","",$H1461*IFERROR(VLOOKUP($K1461,Drink_Templates!$A:$G,7,FALSE),0)))</f>
        <v/>
      </c>
    </row>
    <row r="1462" ht="15" customHeight="1">
      <c r="C1462">
        <f>IF($B1462="","",INT($B1462))</f>
        <v/>
      </c>
      <c r="D1462">
        <f>IF($C1462="","",$C1462-WEEKDAY($C1462,2)+1)</f>
        <v/>
      </c>
      <c r="E1462">
        <f>IF($C1462="","",DATE(YEAR($C1462),MONTH($C1462),1))</f>
        <v/>
      </c>
      <c r="F1462">
        <f>IF($C1462="","",YEAR($C1462)&amp;"-Q"&amp;ROUNDUP(MONTH($C1462)/3,0))</f>
        <v/>
      </c>
      <c r="L1462">
        <f>IF($G1462&lt;&gt;"ALCOHOL","",IF($K1462="","",$H1462*IFERROR(VLOOKUP($K1462,Drink_Templates!$A:$G,7,FALSE),0)))</f>
        <v/>
      </c>
    </row>
    <row r="1463" ht="15" customHeight="1">
      <c r="C1463">
        <f>IF($B1463="","",INT($B1463))</f>
        <v/>
      </c>
      <c r="D1463">
        <f>IF($C1463="","",$C1463-WEEKDAY($C1463,2)+1)</f>
        <v/>
      </c>
      <c r="E1463">
        <f>IF($C1463="","",DATE(YEAR($C1463),MONTH($C1463),1))</f>
        <v/>
      </c>
      <c r="F1463">
        <f>IF($C1463="","",YEAR($C1463)&amp;"-Q"&amp;ROUNDUP(MONTH($C1463)/3,0))</f>
        <v/>
      </c>
      <c r="L1463">
        <f>IF($G1463&lt;&gt;"ALCOHOL","",IF($K1463="","",$H1463*IFERROR(VLOOKUP($K1463,Drink_Templates!$A:$G,7,FALSE),0)))</f>
        <v/>
      </c>
    </row>
    <row r="1464" ht="15" customHeight="1">
      <c r="C1464">
        <f>IF($B1464="","",INT($B1464))</f>
        <v/>
      </c>
      <c r="D1464">
        <f>IF($C1464="","",$C1464-WEEKDAY($C1464,2)+1)</f>
        <v/>
      </c>
      <c r="E1464">
        <f>IF($C1464="","",DATE(YEAR($C1464),MONTH($C1464),1))</f>
        <v/>
      </c>
      <c r="F1464">
        <f>IF($C1464="","",YEAR($C1464)&amp;"-Q"&amp;ROUNDUP(MONTH($C1464)/3,0))</f>
        <v/>
      </c>
      <c r="L1464">
        <f>IF($G1464&lt;&gt;"ALCOHOL","",IF($K1464="","",$H1464*IFERROR(VLOOKUP($K1464,Drink_Templates!$A:$G,7,FALSE),0)))</f>
        <v/>
      </c>
    </row>
    <row r="1465" ht="15" customHeight="1">
      <c r="C1465">
        <f>IF($B1465="","",INT($B1465))</f>
        <v/>
      </c>
      <c r="D1465">
        <f>IF($C1465="","",$C1465-WEEKDAY($C1465,2)+1)</f>
        <v/>
      </c>
      <c r="E1465">
        <f>IF($C1465="","",DATE(YEAR($C1465),MONTH($C1465),1))</f>
        <v/>
      </c>
      <c r="F1465">
        <f>IF($C1465="","",YEAR($C1465)&amp;"-Q"&amp;ROUNDUP(MONTH($C1465)/3,0))</f>
        <v/>
      </c>
      <c r="L1465">
        <f>IF($G1465&lt;&gt;"ALCOHOL","",IF($K1465="","",$H1465*IFERROR(VLOOKUP($K1465,Drink_Templates!$A:$G,7,FALSE),0)))</f>
        <v/>
      </c>
    </row>
    <row r="1466" ht="15" customHeight="1">
      <c r="C1466">
        <f>IF($B1466="","",INT($B1466))</f>
        <v/>
      </c>
      <c r="D1466">
        <f>IF($C1466="","",$C1466-WEEKDAY($C1466,2)+1)</f>
        <v/>
      </c>
      <c r="E1466">
        <f>IF($C1466="","",DATE(YEAR($C1466),MONTH($C1466),1))</f>
        <v/>
      </c>
      <c r="F1466">
        <f>IF($C1466="","",YEAR($C1466)&amp;"-Q"&amp;ROUNDUP(MONTH($C1466)/3,0))</f>
        <v/>
      </c>
      <c r="L1466">
        <f>IF($G1466&lt;&gt;"ALCOHOL","",IF($K1466="","",$H1466*IFERROR(VLOOKUP($K1466,Drink_Templates!$A:$G,7,FALSE),0)))</f>
        <v/>
      </c>
    </row>
    <row r="1467" ht="15" customHeight="1">
      <c r="C1467">
        <f>IF($B1467="","",INT($B1467))</f>
        <v/>
      </c>
      <c r="D1467">
        <f>IF($C1467="","",$C1467-WEEKDAY($C1467,2)+1)</f>
        <v/>
      </c>
      <c r="E1467">
        <f>IF($C1467="","",DATE(YEAR($C1467),MONTH($C1467),1))</f>
        <v/>
      </c>
      <c r="F1467">
        <f>IF($C1467="","",YEAR($C1467)&amp;"-Q"&amp;ROUNDUP(MONTH($C1467)/3,0))</f>
        <v/>
      </c>
      <c r="L1467">
        <f>IF($G1467&lt;&gt;"ALCOHOL","",IF($K1467="","",$H1467*IFERROR(VLOOKUP($K1467,Drink_Templates!$A:$G,7,FALSE),0)))</f>
        <v/>
      </c>
    </row>
    <row r="1468" ht="15" customHeight="1">
      <c r="C1468">
        <f>IF($B1468="","",INT($B1468))</f>
        <v/>
      </c>
      <c r="D1468">
        <f>IF($C1468="","",$C1468-WEEKDAY($C1468,2)+1)</f>
        <v/>
      </c>
      <c r="E1468">
        <f>IF($C1468="","",DATE(YEAR($C1468),MONTH($C1468),1))</f>
        <v/>
      </c>
      <c r="F1468">
        <f>IF($C1468="","",YEAR($C1468)&amp;"-Q"&amp;ROUNDUP(MONTH($C1468)/3,0))</f>
        <v/>
      </c>
      <c r="L1468">
        <f>IF($G1468&lt;&gt;"ALCOHOL","",IF($K1468="","",$H1468*IFERROR(VLOOKUP($K1468,Drink_Templates!$A:$G,7,FALSE),0)))</f>
        <v/>
      </c>
    </row>
    <row r="1469" ht="15" customHeight="1">
      <c r="C1469">
        <f>IF($B1469="","",INT($B1469))</f>
        <v/>
      </c>
      <c r="D1469">
        <f>IF($C1469="","",$C1469-WEEKDAY($C1469,2)+1)</f>
        <v/>
      </c>
      <c r="E1469">
        <f>IF($C1469="","",DATE(YEAR($C1469),MONTH($C1469),1))</f>
        <v/>
      </c>
      <c r="F1469">
        <f>IF($C1469="","",YEAR($C1469)&amp;"-Q"&amp;ROUNDUP(MONTH($C1469)/3,0))</f>
        <v/>
      </c>
      <c r="L1469">
        <f>IF($G1469&lt;&gt;"ALCOHOL","",IF($K1469="","",$H1469*IFERROR(VLOOKUP($K1469,Drink_Templates!$A:$G,7,FALSE),0)))</f>
        <v/>
      </c>
    </row>
    <row r="1470" ht="15" customHeight="1">
      <c r="C1470">
        <f>IF($B1470="","",INT($B1470))</f>
        <v/>
      </c>
      <c r="D1470">
        <f>IF($C1470="","",$C1470-WEEKDAY($C1470,2)+1)</f>
        <v/>
      </c>
      <c r="E1470">
        <f>IF($C1470="","",DATE(YEAR($C1470),MONTH($C1470),1))</f>
        <v/>
      </c>
      <c r="F1470">
        <f>IF($C1470="","",YEAR($C1470)&amp;"-Q"&amp;ROUNDUP(MONTH($C1470)/3,0))</f>
        <v/>
      </c>
      <c r="L1470">
        <f>IF($G1470&lt;&gt;"ALCOHOL","",IF($K1470="","",$H1470*IFERROR(VLOOKUP($K1470,Drink_Templates!$A:$G,7,FALSE),0)))</f>
        <v/>
      </c>
    </row>
    <row r="1471" ht="15" customHeight="1">
      <c r="C1471">
        <f>IF($B1471="","",INT($B1471))</f>
        <v/>
      </c>
      <c r="D1471">
        <f>IF($C1471="","",$C1471-WEEKDAY($C1471,2)+1)</f>
        <v/>
      </c>
      <c r="E1471">
        <f>IF($C1471="","",DATE(YEAR($C1471),MONTH($C1471),1))</f>
        <v/>
      </c>
      <c r="F1471">
        <f>IF($C1471="","",YEAR($C1471)&amp;"-Q"&amp;ROUNDUP(MONTH($C1471)/3,0))</f>
        <v/>
      </c>
      <c r="L1471">
        <f>IF($G1471&lt;&gt;"ALCOHOL","",IF($K1471="","",$H1471*IFERROR(VLOOKUP($K1471,Drink_Templates!$A:$G,7,FALSE),0)))</f>
        <v/>
      </c>
    </row>
    <row r="1472" ht="15" customHeight="1">
      <c r="C1472">
        <f>IF($B1472="","",INT($B1472))</f>
        <v/>
      </c>
      <c r="D1472">
        <f>IF($C1472="","",$C1472-WEEKDAY($C1472,2)+1)</f>
        <v/>
      </c>
      <c r="E1472">
        <f>IF($C1472="","",DATE(YEAR($C1472),MONTH($C1472),1))</f>
        <v/>
      </c>
      <c r="F1472">
        <f>IF($C1472="","",YEAR($C1472)&amp;"-Q"&amp;ROUNDUP(MONTH($C1472)/3,0))</f>
        <v/>
      </c>
      <c r="L1472">
        <f>IF($G1472&lt;&gt;"ALCOHOL","",IF($K1472="","",$H1472*IFERROR(VLOOKUP($K1472,Drink_Templates!$A:$G,7,FALSE),0)))</f>
        <v/>
      </c>
    </row>
    <row r="1473" ht="15" customHeight="1">
      <c r="C1473">
        <f>IF($B1473="","",INT($B1473))</f>
        <v/>
      </c>
      <c r="D1473">
        <f>IF($C1473="","",$C1473-WEEKDAY($C1473,2)+1)</f>
        <v/>
      </c>
      <c r="E1473">
        <f>IF($C1473="","",DATE(YEAR($C1473),MONTH($C1473),1))</f>
        <v/>
      </c>
      <c r="F1473">
        <f>IF($C1473="","",YEAR($C1473)&amp;"-Q"&amp;ROUNDUP(MONTH($C1473)/3,0))</f>
        <v/>
      </c>
      <c r="L1473">
        <f>IF($G1473&lt;&gt;"ALCOHOL","",IF($K1473="","",$H1473*IFERROR(VLOOKUP($K1473,Drink_Templates!$A:$G,7,FALSE),0)))</f>
        <v/>
      </c>
    </row>
    <row r="1474" ht="15" customHeight="1">
      <c r="C1474">
        <f>IF($B1474="","",INT($B1474))</f>
        <v/>
      </c>
      <c r="D1474">
        <f>IF($C1474="","",$C1474-WEEKDAY($C1474,2)+1)</f>
        <v/>
      </c>
      <c r="E1474">
        <f>IF($C1474="","",DATE(YEAR($C1474),MONTH($C1474),1))</f>
        <v/>
      </c>
      <c r="F1474">
        <f>IF($C1474="","",YEAR($C1474)&amp;"-Q"&amp;ROUNDUP(MONTH($C1474)/3,0))</f>
        <v/>
      </c>
      <c r="L1474">
        <f>IF($G1474&lt;&gt;"ALCOHOL","",IF($K1474="","",$H1474*IFERROR(VLOOKUP($K1474,Drink_Templates!$A:$G,7,FALSE),0)))</f>
        <v/>
      </c>
    </row>
    <row r="1475" ht="15" customHeight="1">
      <c r="C1475">
        <f>IF($B1475="","",INT($B1475))</f>
        <v/>
      </c>
      <c r="D1475">
        <f>IF($C1475="","",$C1475-WEEKDAY($C1475,2)+1)</f>
        <v/>
      </c>
      <c r="E1475">
        <f>IF($C1475="","",DATE(YEAR($C1475),MONTH($C1475),1))</f>
        <v/>
      </c>
      <c r="F1475">
        <f>IF($C1475="","",YEAR($C1475)&amp;"-Q"&amp;ROUNDUP(MONTH($C1475)/3,0))</f>
        <v/>
      </c>
      <c r="L1475">
        <f>IF($G1475&lt;&gt;"ALCOHOL","",IF($K1475="","",$H1475*IFERROR(VLOOKUP($K1475,Drink_Templates!$A:$G,7,FALSE),0)))</f>
        <v/>
      </c>
    </row>
    <row r="1476" ht="15" customHeight="1">
      <c r="C1476">
        <f>IF($B1476="","",INT($B1476))</f>
        <v/>
      </c>
      <c r="D1476">
        <f>IF($C1476="","",$C1476-WEEKDAY($C1476,2)+1)</f>
        <v/>
      </c>
      <c r="E1476">
        <f>IF($C1476="","",DATE(YEAR($C1476),MONTH($C1476),1))</f>
        <v/>
      </c>
      <c r="F1476">
        <f>IF($C1476="","",YEAR($C1476)&amp;"-Q"&amp;ROUNDUP(MONTH($C1476)/3,0))</f>
        <v/>
      </c>
      <c r="L1476">
        <f>IF($G1476&lt;&gt;"ALCOHOL","",IF($K1476="","",$H1476*IFERROR(VLOOKUP($K1476,Drink_Templates!$A:$G,7,FALSE),0)))</f>
        <v/>
      </c>
    </row>
    <row r="1477" ht="15" customHeight="1">
      <c r="C1477">
        <f>IF($B1477="","",INT($B1477))</f>
        <v/>
      </c>
      <c r="D1477">
        <f>IF($C1477="","",$C1477-WEEKDAY($C1477,2)+1)</f>
        <v/>
      </c>
      <c r="E1477">
        <f>IF($C1477="","",DATE(YEAR($C1477),MONTH($C1477),1))</f>
        <v/>
      </c>
      <c r="F1477">
        <f>IF($C1477="","",YEAR($C1477)&amp;"-Q"&amp;ROUNDUP(MONTH($C1477)/3,0))</f>
        <v/>
      </c>
      <c r="L1477">
        <f>IF($G1477&lt;&gt;"ALCOHOL","",IF($K1477="","",$H1477*IFERROR(VLOOKUP($K1477,Drink_Templates!$A:$G,7,FALSE),0)))</f>
        <v/>
      </c>
    </row>
    <row r="1478" ht="15" customHeight="1">
      <c r="C1478">
        <f>IF($B1478="","",INT($B1478))</f>
        <v/>
      </c>
      <c r="D1478">
        <f>IF($C1478="","",$C1478-WEEKDAY($C1478,2)+1)</f>
        <v/>
      </c>
      <c r="E1478">
        <f>IF($C1478="","",DATE(YEAR($C1478),MONTH($C1478),1))</f>
        <v/>
      </c>
      <c r="F1478">
        <f>IF($C1478="","",YEAR($C1478)&amp;"-Q"&amp;ROUNDUP(MONTH($C1478)/3,0))</f>
        <v/>
      </c>
      <c r="L1478">
        <f>IF($G1478&lt;&gt;"ALCOHOL","",IF($K1478="","",$H1478*IFERROR(VLOOKUP($K1478,Drink_Templates!$A:$G,7,FALSE),0)))</f>
        <v/>
      </c>
    </row>
    <row r="1479" ht="15" customHeight="1">
      <c r="C1479">
        <f>IF($B1479="","",INT($B1479))</f>
        <v/>
      </c>
      <c r="D1479">
        <f>IF($C1479="","",$C1479-WEEKDAY($C1479,2)+1)</f>
        <v/>
      </c>
      <c r="E1479">
        <f>IF($C1479="","",DATE(YEAR($C1479),MONTH($C1479),1))</f>
        <v/>
      </c>
      <c r="F1479">
        <f>IF($C1479="","",YEAR($C1479)&amp;"-Q"&amp;ROUNDUP(MONTH($C1479)/3,0))</f>
        <v/>
      </c>
      <c r="L1479">
        <f>IF($G1479&lt;&gt;"ALCOHOL","",IF($K1479="","",$H1479*IFERROR(VLOOKUP($K1479,Drink_Templates!$A:$G,7,FALSE),0)))</f>
        <v/>
      </c>
    </row>
    <row r="1480" ht="15" customHeight="1">
      <c r="C1480">
        <f>IF($B1480="","",INT($B1480))</f>
        <v/>
      </c>
      <c r="D1480">
        <f>IF($C1480="","",$C1480-WEEKDAY($C1480,2)+1)</f>
        <v/>
      </c>
      <c r="E1480">
        <f>IF($C1480="","",DATE(YEAR($C1480),MONTH($C1480),1))</f>
        <v/>
      </c>
      <c r="F1480">
        <f>IF($C1480="","",YEAR($C1480)&amp;"-Q"&amp;ROUNDUP(MONTH($C1480)/3,0))</f>
        <v/>
      </c>
      <c r="L1480">
        <f>IF($G1480&lt;&gt;"ALCOHOL","",IF($K1480="","",$H1480*IFERROR(VLOOKUP($K1480,Drink_Templates!$A:$G,7,FALSE),0)))</f>
        <v/>
      </c>
    </row>
    <row r="1481" ht="15" customHeight="1">
      <c r="C1481">
        <f>IF($B1481="","",INT($B1481))</f>
        <v/>
      </c>
      <c r="D1481">
        <f>IF($C1481="","",$C1481-WEEKDAY($C1481,2)+1)</f>
        <v/>
      </c>
      <c r="E1481">
        <f>IF($C1481="","",DATE(YEAR($C1481),MONTH($C1481),1))</f>
        <v/>
      </c>
      <c r="F1481">
        <f>IF($C1481="","",YEAR($C1481)&amp;"-Q"&amp;ROUNDUP(MONTH($C1481)/3,0))</f>
        <v/>
      </c>
      <c r="L1481">
        <f>IF($G1481&lt;&gt;"ALCOHOL","",IF($K1481="","",$H1481*IFERROR(VLOOKUP($K1481,Drink_Templates!$A:$G,7,FALSE),0)))</f>
        <v/>
      </c>
    </row>
    <row r="1482" ht="15" customHeight="1">
      <c r="C1482">
        <f>IF($B1482="","",INT($B1482))</f>
        <v/>
      </c>
      <c r="D1482">
        <f>IF($C1482="","",$C1482-WEEKDAY($C1482,2)+1)</f>
        <v/>
      </c>
      <c r="E1482">
        <f>IF($C1482="","",DATE(YEAR($C1482),MONTH($C1482),1))</f>
        <v/>
      </c>
      <c r="F1482">
        <f>IF($C1482="","",YEAR($C1482)&amp;"-Q"&amp;ROUNDUP(MONTH($C1482)/3,0))</f>
        <v/>
      </c>
      <c r="L1482">
        <f>IF($G1482&lt;&gt;"ALCOHOL","",IF($K1482="","",$H1482*IFERROR(VLOOKUP($K1482,Drink_Templates!$A:$G,7,FALSE),0)))</f>
        <v/>
      </c>
    </row>
    <row r="1483" ht="15" customHeight="1">
      <c r="C1483">
        <f>IF($B1483="","",INT($B1483))</f>
        <v/>
      </c>
      <c r="D1483">
        <f>IF($C1483="","",$C1483-WEEKDAY($C1483,2)+1)</f>
        <v/>
      </c>
      <c r="E1483">
        <f>IF($C1483="","",DATE(YEAR($C1483),MONTH($C1483),1))</f>
        <v/>
      </c>
      <c r="F1483">
        <f>IF($C1483="","",YEAR($C1483)&amp;"-Q"&amp;ROUNDUP(MONTH($C1483)/3,0))</f>
        <v/>
      </c>
      <c r="L1483">
        <f>IF($G1483&lt;&gt;"ALCOHOL","",IF($K1483="","",$H1483*IFERROR(VLOOKUP($K1483,Drink_Templates!$A:$G,7,FALSE),0)))</f>
        <v/>
      </c>
    </row>
    <row r="1484" ht="15" customHeight="1">
      <c r="C1484">
        <f>IF($B1484="","",INT($B1484))</f>
        <v/>
      </c>
      <c r="D1484">
        <f>IF($C1484="","",$C1484-WEEKDAY($C1484,2)+1)</f>
        <v/>
      </c>
      <c r="E1484">
        <f>IF($C1484="","",DATE(YEAR($C1484),MONTH($C1484),1))</f>
        <v/>
      </c>
      <c r="F1484">
        <f>IF($C1484="","",YEAR($C1484)&amp;"-Q"&amp;ROUNDUP(MONTH($C1484)/3,0))</f>
        <v/>
      </c>
      <c r="L1484">
        <f>IF($G1484&lt;&gt;"ALCOHOL","",IF($K1484="","",$H1484*IFERROR(VLOOKUP($K1484,Drink_Templates!$A:$G,7,FALSE),0)))</f>
        <v/>
      </c>
    </row>
    <row r="1485" ht="15" customHeight="1">
      <c r="C1485">
        <f>IF($B1485="","",INT($B1485))</f>
        <v/>
      </c>
      <c r="D1485">
        <f>IF($C1485="","",$C1485-WEEKDAY($C1485,2)+1)</f>
        <v/>
      </c>
      <c r="E1485">
        <f>IF($C1485="","",DATE(YEAR($C1485),MONTH($C1485),1))</f>
        <v/>
      </c>
      <c r="F1485">
        <f>IF($C1485="","",YEAR($C1485)&amp;"-Q"&amp;ROUNDUP(MONTH($C1485)/3,0))</f>
        <v/>
      </c>
      <c r="L1485">
        <f>IF($G1485&lt;&gt;"ALCOHOL","",IF($K1485="","",$H1485*IFERROR(VLOOKUP($K1485,Drink_Templates!$A:$G,7,FALSE),0)))</f>
        <v/>
      </c>
    </row>
    <row r="1486" ht="15" customHeight="1">
      <c r="C1486">
        <f>IF($B1486="","",INT($B1486))</f>
        <v/>
      </c>
      <c r="D1486">
        <f>IF($C1486="","",$C1486-WEEKDAY($C1486,2)+1)</f>
        <v/>
      </c>
      <c r="E1486">
        <f>IF($C1486="","",DATE(YEAR($C1486),MONTH($C1486),1))</f>
        <v/>
      </c>
      <c r="F1486">
        <f>IF($C1486="","",YEAR($C1486)&amp;"-Q"&amp;ROUNDUP(MONTH($C1486)/3,0))</f>
        <v/>
      </c>
      <c r="L1486">
        <f>IF($G1486&lt;&gt;"ALCOHOL","",IF($K1486="","",$H1486*IFERROR(VLOOKUP($K1486,Drink_Templates!$A:$G,7,FALSE),0)))</f>
        <v/>
      </c>
    </row>
    <row r="1487" ht="15" customHeight="1">
      <c r="C1487">
        <f>IF($B1487="","",INT($B1487))</f>
        <v/>
      </c>
      <c r="D1487">
        <f>IF($C1487="","",$C1487-WEEKDAY($C1487,2)+1)</f>
        <v/>
      </c>
      <c r="E1487">
        <f>IF($C1487="","",DATE(YEAR($C1487),MONTH($C1487),1))</f>
        <v/>
      </c>
      <c r="F1487">
        <f>IF($C1487="","",YEAR($C1487)&amp;"-Q"&amp;ROUNDUP(MONTH($C1487)/3,0))</f>
        <v/>
      </c>
      <c r="L1487">
        <f>IF($G1487&lt;&gt;"ALCOHOL","",IF($K1487="","",$H1487*IFERROR(VLOOKUP($K1487,Drink_Templates!$A:$G,7,FALSE),0)))</f>
        <v/>
      </c>
    </row>
    <row r="1488" ht="15" customHeight="1">
      <c r="C1488">
        <f>IF($B1488="","",INT($B1488))</f>
        <v/>
      </c>
      <c r="D1488">
        <f>IF($C1488="","",$C1488-WEEKDAY($C1488,2)+1)</f>
        <v/>
      </c>
      <c r="E1488">
        <f>IF($C1488="","",DATE(YEAR($C1488),MONTH($C1488),1))</f>
        <v/>
      </c>
      <c r="F1488">
        <f>IF($C1488="","",YEAR($C1488)&amp;"-Q"&amp;ROUNDUP(MONTH($C1488)/3,0))</f>
        <v/>
      </c>
      <c r="L1488">
        <f>IF($G1488&lt;&gt;"ALCOHOL","",IF($K1488="","",$H1488*IFERROR(VLOOKUP($K1488,Drink_Templates!$A:$G,7,FALSE),0)))</f>
        <v/>
      </c>
    </row>
    <row r="1489" ht="15" customHeight="1">
      <c r="C1489">
        <f>IF($B1489="","",INT($B1489))</f>
        <v/>
      </c>
      <c r="D1489">
        <f>IF($C1489="","",$C1489-WEEKDAY($C1489,2)+1)</f>
        <v/>
      </c>
      <c r="E1489">
        <f>IF($C1489="","",DATE(YEAR($C1489),MONTH($C1489),1))</f>
        <v/>
      </c>
      <c r="F1489">
        <f>IF($C1489="","",YEAR($C1489)&amp;"-Q"&amp;ROUNDUP(MONTH($C1489)/3,0))</f>
        <v/>
      </c>
      <c r="L1489">
        <f>IF($G1489&lt;&gt;"ALCOHOL","",IF($K1489="","",$H1489*IFERROR(VLOOKUP($K1489,Drink_Templates!$A:$G,7,FALSE),0)))</f>
        <v/>
      </c>
    </row>
    <row r="1490" ht="15" customHeight="1">
      <c r="C1490">
        <f>IF($B1490="","",INT($B1490))</f>
        <v/>
      </c>
      <c r="D1490">
        <f>IF($C1490="","",$C1490-WEEKDAY($C1490,2)+1)</f>
        <v/>
      </c>
      <c r="E1490">
        <f>IF($C1490="","",DATE(YEAR($C1490),MONTH($C1490),1))</f>
        <v/>
      </c>
      <c r="F1490">
        <f>IF($C1490="","",YEAR($C1490)&amp;"-Q"&amp;ROUNDUP(MONTH($C1490)/3,0))</f>
        <v/>
      </c>
      <c r="L1490">
        <f>IF($G1490&lt;&gt;"ALCOHOL","",IF($K1490="","",$H1490*IFERROR(VLOOKUP($K1490,Drink_Templates!$A:$G,7,FALSE),0)))</f>
        <v/>
      </c>
    </row>
    <row r="1491" ht="15" customHeight="1">
      <c r="C1491">
        <f>IF($B1491="","",INT($B1491))</f>
        <v/>
      </c>
      <c r="D1491">
        <f>IF($C1491="","",$C1491-WEEKDAY($C1491,2)+1)</f>
        <v/>
      </c>
      <c r="E1491">
        <f>IF($C1491="","",DATE(YEAR($C1491),MONTH($C1491),1))</f>
        <v/>
      </c>
      <c r="F1491">
        <f>IF($C1491="","",YEAR($C1491)&amp;"-Q"&amp;ROUNDUP(MONTH($C1491)/3,0))</f>
        <v/>
      </c>
      <c r="L1491">
        <f>IF($G1491&lt;&gt;"ALCOHOL","",IF($K1491="","",$H1491*IFERROR(VLOOKUP($K1491,Drink_Templates!$A:$G,7,FALSE),0)))</f>
        <v/>
      </c>
    </row>
    <row r="1492" ht="15" customHeight="1">
      <c r="C1492">
        <f>IF($B1492="","",INT($B1492))</f>
        <v/>
      </c>
      <c r="D1492">
        <f>IF($C1492="","",$C1492-WEEKDAY($C1492,2)+1)</f>
        <v/>
      </c>
      <c r="E1492">
        <f>IF($C1492="","",DATE(YEAR($C1492),MONTH($C1492),1))</f>
        <v/>
      </c>
      <c r="F1492">
        <f>IF($C1492="","",YEAR($C1492)&amp;"-Q"&amp;ROUNDUP(MONTH($C1492)/3,0))</f>
        <v/>
      </c>
      <c r="L1492">
        <f>IF($G1492&lt;&gt;"ALCOHOL","",IF($K1492="","",$H1492*IFERROR(VLOOKUP($K1492,Drink_Templates!$A:$G,7,FALSE),0)))</f>
        <v/>
      </c>
    </row>
    <row r="1493" ht="15" customHeight="1">
      <c r="C1493">
        <f>IF($B1493="","",INT($B1493))</f>
        <v/>
      </c>
      <c r="D1493">
        <f>IF($C1493="","",$C1493-WEEKDAY($C1493,2)+1)</f>
        <v/>
      </c>
      <c r="E1493">
        <f>IF($C1493="","",DATE(YEAR($C1493),MONTH($C1493),1))</f>
        <v/>
      </c>
      <c r="F1493">
        <f>IF($C1493="","",YEAR($C1493)&amp;"-Q"&amp;ROUNDUP(MONTH($C1493)/3,0))</f>
        <v/>
      </c>
      <c r="L1493">
        <f>IF($G1493&lt;&gt;"ALCOHOL","",IF($K1493="","",$H1493*IFERROR(VLOOKUP($K1493,Drink_Templates!$A:$G,7,FALSE),0)))</f>
        <v/>
      </c>
    </row>
    <row r="1494" ht="15" customHeight="1">
      <c r="C1494">
        <f>IF($B1494="","",INT($B1494))</f>
        <v/>
      </c>
      <c r="D1494">
        <f>IF($C1494="","",$C1494-WEEKDAY($C1494,2)+1)</f>
        <v/>
      </c>
      <c r="E1494">
        <f>IF($C1494="","",DATE(YEAR($C1494),MONTH($C1494),1))</f>
        <v/>
      </c>
      <c r="F1494">
        <f>IF($C1494="","",YEAR($C1494)&amp;"-Q"&amp;ROUNDUP(MONTH($C1494)/3,0))</f>
        <v/>
      </c>
      <c r="L1494">
        <f>IF($G1494&lt;&gt;"ALCOHOL","",IF($K1494="","",$H1494*IFERROR(VLOOKUP($K1494,Drink_Templates!$A:$G,7,FALSE),0)))</f>
        <v/>
      </c>
    </row>
    <row r="1495" ht="15" customHeight="1">
      <c r="C1495">
        <f>IF($B1495="","",INT($B1495))</f>
        <v/>
      </c>
      <c r="D1495">
        <f>IF($C1495="","",$C1495-WEEKDAY($C1495,2)+1)</f>
        <v/>
      </c>
      <c r="E1495">
        <f>IF($C1495="","",DATE(YEAR($C1495),MONTH($C1495),1))</f>
        <v/>
      </c>
      <c r="F1495">
        <f>IF($C1495="","",YEAR($C1495)&amp;"-Q"&amp;ROUNDUP(MONTH($C1495)/3,0))</f>
        <v/>
      </c>
      <c r="L1495">
        <f>IF($G1495&lt;&gt;"ALCOHOL","",IF($K1495="","",$H1495*IFERROR(VLOOKUP($K1495,Drink_Templates!$A:$G,7,FALSE),0)))</f>
        <v/>
      </c>
    </row>
    <row r="1496" ht="15" customHeight="1">
      <c r="C1496">
        <f>IF($B1496="","",INT($B1496))</f>
        <v/>
      </c>
      <c r="D1496">
        <f>IF($C1496="","",$C1496-WEEKDAY($C1496,2)+1)</f>
        <v/>
      </c>
      <c r="E1496">
        <f>IF($C1496="","",DATE(YEAR($C1496),MONTH($C1496),1))</f>
        <v/>
      </c>
      <c r="F1496">
        <f>IF($C1496="","",YEAR($C1496)&amp;"-Q"&amp;ROUNDUP(MONTH($C1496)/3,0))</f>
        <v/>
      </c>
      <c r="L1496">
        <f>IF($G1496&lt;&gt;"ALCOHOL","",IF($K1496="","",$H1496*IFERROR(VLOOKUP($K1496,Drink_Templates!$A:$G,7,FALSE),0)))</f>
        <v/>
      </c>
    </row>
    <row r="1497" ht="15" customHeight="1">
      <c r="C1497">
        <f>IF($B1497="","",INT($B1497))</f>
        <v/>
      </c>
      <c r="D1497">
        <f>IF($C1497="","",$C1497-WEEKDAY($C1497,2)+1)</f>
        <v/>
      </c>
      <c r="E1497">
        <f>IF($C1497="","",DATE(YEAR($C1497),MONTH($C1497),1))</f>
        <v/>
      </c>
      <c r="F1497">
        <f>IF($C1497="","",YEAR($C1497)&amp;"-Q"&amp;ROUNDUP(MONTH($C1497)/3,0))</f>
        <v/>
      </c>
      <c r="L1497">
        <f>IF($G1497&lt;&gt;"ALCOHOL","",IF($K1497="","",$H1497*IFERROR(VLOOKUP($K1497,Drink_Templates!$A:$G,7,FALSE),0)))</f>
        <v/>
      </c>
    </row>
    <row r="1498" ht="15" customHeight="1">
      <c r="C1498">
        <f>IF($B1498="","",INT($B1498))</f>
        <v/>
      </c>
      <c r="D1498">
        <f>IF($C1498="","",$C1498-WEEKDAY($C1498,2)+1)</f>
        <v/>
      </c>
      <c r="E1498">
        <f>IF($C1498="","",DATE(YEAR($C1498),MONTH($C1498),1))</f>
        <v/>
      </c>
      <c r="F1498">
        <f>IF($C1498="","",YEAR($C1498)&amp;"-Q"&amp;ROUNDUP(MONTH($C1498)/3,0))</f>
        <v/>
      </c>
      <c r="L1498">
        <f>IF($G1498&lt;&gt;"ALCOHOL","",IF($K1498="","",$H1498*IFERROR(VLOOKUP($K1498,Drink_Templates!$A:$G,7,FALSE),0)))</f>
        <v/>
      </c>
    </row>
    <row r="1499" ht="15" customHeight="1">
      <c r="C1499">
        <f>IF($B1499="","",INT($B1499))</f>
        <v/>
      </c>
      <c r="D1499">
        <f>IF($C1499="","",$C1499-WEEKDAY($C1499,2)+1)</f>
        <v/>
      </c>
      <c r="E1499">
        <f>IF($C1499="","",DATE(YEAR($C1499),MONTH($C1499),1))</f>
        <v/>
      </c>
      <c r="F1499">
        <f>IF($C1499="","",YEAR($C1499)&amp;"-Q"&amp;ROUNDUP(MONTH($C1499)/3,0))</f>
        <v/>
      </c>
      <c r="L1499">
        <f>IF($G1499&lt;&gt;"ALCOHOL","",IF($K1499="","",$H1499*IFERROR(VLOOKUP($K1499,Drink_Templates!$A:$G,7,FALSE),0)))</f>
        <v/>
      </c>
    </row>
    <row r="1500" ht="15" customHeight="1">
      <c r="C1500">
        <f>IF($B1500="","",INT($B1500))</f>
        <v/>
      </c>
      <c r="D1500">
        <f>IF($C1500="","",$C1500-WEEKDAY($C1500,2)+1)</f>
        <v/>
      </c>
      <c r="E1500">
        <f>IF($C1500="","",DATE(YEAR($C1500),MONTH($C1500),1))</f>
        <v/>
      </c>
      <c r="F1500">
        <f>IF($C1500="","",YEAR($C1500)&amp;"-Q"&amp;ROUNDUP(MONTH($C1500)/3,0))</f>
        <v/>
      </c>
      <c r="L1500">
        <f>IF($G1500&lt;&gt;"ALCOHOL","",IF($K1500="","",$H1500*IFERROR(VLOOKUP($K1500,Drink_Templates!$A:$G,7,FALSE),0)))</f>
        <v/>
      </c>
    </row>
    <row r="1501" ht="15" customHeight="1">
      <c r="C1501">
        <f>IF($B1501="","",INT($B1501))</f>
        <v/>
      </c>
      <c r="D1501">
        <f>IF($C1501="","",$C1501-WEEKDAY($C1501,2)+1)</f>
        <v/>
      </c>
      <c r="E1501">
        <f>IF($C1501="","",DATE(YEAR($C1501),MONTH($C1501),1))</f>
        <v/>
      </c>
      <c r="F1501">
        <f>IF($C1501="","",YEAR($C1501)&amp;"-Q"&amp;ROUNDUP(MONTH($C1501)/3,0))</f>
        <v/>
      </c>
      <c r="L1501">
        <f>IF($G1501&lt;&gt;"ALCOHOL","",IF($K1501="","",$H1501*IFERROR(VLOOKUP($K1501,Drink_Templates!$A:$G,7,FALSE),0)))</f>
        <v/>
      </c>
    </row>
    <row r="1502" ht="15" customHeight="1">
      <c r="C1502">
        <f>IF($B1502="","",INT($B1502))</f>
        <v/>
      </c>
      <c r="D1502">
        <f>IF($C1502="","",$C1502-WEEKDAY($C1502,2)+1)</f>
        <v/>
      </c>
      <c r="E1502">
        <f>IF($C1502="","",DATE(YEAR($C1502),MONTH($C1502),1))</f>
        <v/>
      </c>
      <c r="F1502">
        <f>IF($C1502="","",YEAR($C1502)&amp;"-Q"&amp;ROUNDUP(MONTH($C1502)/3,0))</f>
        <v/>
      </c>
      <c r="L1502">
        <f>IF($G1502&lt;&gt;"ALCOHOL","",IF($K1502="","",$H1502*IFERROR(VLOOKUP($K1502,Drink_Templates!$A:$G,7,FALSE),0)))</f>
        <v/>
      </c>
    </row>
    <row r="1503" ht="15" customHeight="1">
      <c r="C1503">
        <f>IF($B1503="","",INT($B1503))</f>
        <v/>
      </c>
      <c r="D1503">
        <f>IF($C1503="","",$C1503-WEEKDAY($C1503,2)+1)</f>
        <v/>
      </c>
      <c r="E1503">
        <f>IF($C1503="","",DATE(YEAR($C1503),MONTH($C1503),1))</f>
        <v/>
      </c>
      <c r="F1503">
        <f>IF($C1503="","",YEAR($C1503)&amp;"-Q"&amp;ROUNDUP(MONTH($C1503)/3,0))</f>
        <v/>
      </c>
      <c r="L1503">
        <f>IF($G1503&lt;&gt;"ALCOHOL","",IF($K1503="","",$H1503*IFERROR(VLOOKUP($K1503,Drink_Templates!$A:$G,7,FALSE),0)))</f>
        <v/>
      </c>
    </row>
    <row r="1504" ht="15" customHeight="1">
      <c r="C1504">
        <f>IF($B1504="","",INT($B1504))</f>
        <v/>
      </c>
      <c r="D1504">
        <f>IF($C1504="","",$C1504-WEEKDAY($C1504,2)+1)</f>
        <v/>
      </c>
      <c r="E1504">
        <f>IF($C1504="","",DATE(YEAR($C1504),MONTH($C1504),1))</f>
        <v/>
      </c>
      <c r="F1504">
        <f>IF($C1504="","",YEAR($C1504)&amp;"-Q"&amp;ROUNDUP(MONTH($C1504)/3,0))</f>
        <v/>
      </c>
      <c r="L1504">
        <f>IF($G1504&lt;&gt;"ALCOHOL","",IF($K1504="","",$H1504*IFERROR(VLOOKUP($K1504,Drink_Templates!$A:$G,7,FALSE),0)))</f>
        <v/>
      </c>
    </row>
    <row r="1505" ht="15" customHeight="1">
      <c r="C1505">
        <f>IF($B1505="","",INT($B1505))</f>
        <v/>
      </c>
      <c r="D1505">
        <f>IF($C1505="","",$C1505-WEEKDAY($C1505,2)+1)</f>
        <v/>
      </c>
      <c r="E1505">
        <f>IF($C1505="","",DATE(YEAR($C1505),MONTH($C1505),1))</f>
        <v/>
      </c>
      <c r="F1505">
        <f>IF($C1505="","",YEAR($C1505)&amp;"-Q"&amp;ROUNDUP(MONTH($C1505)/3,0))</f>
        <v/>
      </c>
      <c r="L1505">
        <f>IF($G1505&lt;&gt;"ALCOHOL","",IF($K1505="","",$H1505*IFERROR(VLOOKUP($K1505,Drink_Templates!$A:$G,7,FALSE),0)))</f>
        <v/>
      </c>
    </row>
    <row r="1506" ht="15" customHeight="1">
      <c r="C1506">
        <f>IF($B1506="","",INT($B1506))</f>
        <v/>
      </c>
      <c r="D1506">
        <f>IF($C1506="","",$C1506-WEEKDAY($C1506,2)+1)</f>
        <v/>
      </c>
      <c r="E1506">
        <f>IF($C1506="","",DATE(YEAR($C1506),MONTH($C1506),1))</f>
        <v/>
      </c>
      <c r="F1506">
        <f>IF($C1506="","",YEAR($C1506)&amp;"-Q"&amp;ROUNDUP(MONTH($C1506)/3,0))</f>
        <v/>
      </c>
      <c r="L1506">
        <f>IF($G1506&lt;&gt;"ALCOHOL","",IF($K1506="","",$H1506*IFERROR(VLOOKUP($K1506,Drink_Templates!$A:$G,7,FALSE),0)))</f>
        <v/>
      </c>
    </row>
    <row r="1507" ht="15" customHeight="1">
      <c r="C1507">
        <f>IF($B1507="","",INT($B1507))</f>
        <v/>
      </c>
      <c r="D1507">
        <f>IF($C1507="","",$C1507-WEEKDAY($C1507,2)+1)</f>
        <v/>
      </c>
      <c r="E1507">
        <f>IF($C1507="","",DATE(YEAR($C1507),MONTH($C1507),1))</f>
        <v/>
      </c>
      <c r="F1507">
        <f>IF($C1507="","",YEAR($C1507)&amp;"-Q"&amp;ROUNDUP(MONTH($C1507)/3,0))</f>
        <v/>
      </c>
      <c r="L1507">
        <f>IF($G1507&lt;&gt;"ALCOHOL","",IF($K1507="","",$H1507*IFERROR(VLOOKUP($K1507,Drink_Templates!$A:$G,7,FALSE),0)))</f>
        <v/>
      </c>
    </row>
    <row r="1508" ht="15" customHeight="1">
      <c r="C1508">
        <f>IF($B1508="","",INT($B1508))</f>
        <v/>
      </c>
      <c r="D1508">
        <f>IF($C1508="","",$C1508-WEEKDAY($C1508,2)+1)</f>
        <v/>
      </c>
      <c r="E1508">
        <f>IF($C1508="","",DATE(YEAR($C1508),MONTH($C1508),1))</f>
        <v/>
      </c>
      <c r="F1508">
        <f>IF($C1508="","",YEAR($C1508)&amp;"-Q"&amp;ROUNDUP(MONTH($C1508)/3,0))</f>
        <v/>
      </c>
      <c r="L1508">
        <f>IF($G1508&lt;&gt;"ALCOHOL","",IF($K1508="","",$H1508*IFERROR(VLOOKUP($K1508,Drink_Templates!$A:$G,7,FALSE),0)))</f>
        <v/>
      </c>
    </row>
    <row r="1509" ht="15" customHeight="1">
      <c r="C1509">
        <f>IF($B1509="","",INT($B1509))</f>
        <v/>
      </c>
      <c r="D1509">
        <f>IF($C1509="","",$C1509-WEEKDAY($C1509,2)+1)</f>
        <v/>
      </c>
      <c r="E1509">
        <f>IF($C1509="","",DATE(YEAR($C1509),MONTH($C1509),1))</f>
        <v/>
      </c>
      <c r="F1509">
        <f>IF($C1509="","",YEAR($C1509)&amp;"-Q"&amp;ROUNDUP(MONTH($C1509)/3,0))</f>
        <v/>
      </c>
      <c r="L1509">
        <f>IF($G1509&lt;&gt;"ALCOHOL","",IF($K1509="","",$H1509*IFERROR(VLOOKUP($K1509,Drink_Templates!$A:$G,7,FALSE),0)))</f>
        <v/>
      </c>
    </row>
    <row r="1510" ht="15" customHeight="1">
      <c r="C1510">
        <f>IF($B1510="","",INT($B1510))</f>
        <v/>
      </c>
      <c r="D1510">
        <f>IF($C1510="","",$C1510-WEEKDAY($C1510,2)+1)</f>
        <v/>
      </c>
      <c r="E1510">
        <f>IF($C1510="","",DATE(YEAR($C1510),MONTH($C1510),1))</f>
        <v/>
      </c>
      <c r="F1510">
        <f>IF($C1510="","",YEAR($C1510)&amp;"-Q"&amp;ROUNDUP(MONTH($C1510)/3,0))</f>
        <v/>
      </c>
      <c r="L1510">
        <f>IF($G1510&lt;&gt;"ALCOHOL","",IF($K1510="","",$H1510*IFERROR(VLOOKUP($K1510,Drink_Templates!$A:$G,7,FALSE),0)))</f>
        <v/>
      </c>
    </row>
    <row r="1511" ht="15" customHeight="1">
      <c r="C1511">
        <f>IF($B1511="","",INT($B1511))</f>
        <v/>
      </c>
      <c r="D1511">
        <f>IF($C1511="","",$C1511-WEEKDAY($C1511,2)+1)</f>
        <v/>
      </c>
      <c r="E1511">
        <f>IF($C1511="","",DATE(YEAR($C1511),MONTH($C1511),1))</f>
        <v/>
      </c>
      <c r="F1511">
        <f>IF($C1511="","",YEAR($C1511)&amp;"-Q"&amp;ROUNDUP(MONTH($C1511)/3,0))</f>
        <v/>
      </c>
      <c r="L1511">
        <f>IF($G1511&lt;&gt;"ALCOHOL","",IF($K1511="","",$H1511*IFERROR(VLOOKUP($K1511,Drink_Templates!$A:$G,7,FALSE),0)))</f>
        <v/>
      </c>
    </row>
    <row r="1512" ht="15" customHeight="1">
      <c r="C1512">
        <f>IF($B1512="","",INT($B1512))</f>
        <v/>
      </c>
      <c r="D1512">
        <f>IF($C1512="","",$C1512-WEEKDAY($C1512,2)+1)</f>
        <v/>
      </c>
      <c r="E1512">
        <f>IF($C1512="","",DATE(YEAR($C1512),MONTH($C1512),1))</f>
        <v/>
      </c>
      <c r="F1512">
        <f>IF($C1512="","",YEAR($C1512)&amp;"-Q"&amp;ROUNDUP(MONTH($C1512)/3,0))</f>
        <v/>
      </c>
      <c r="L1512">
        <f>IF($G1512&lt;&gt;"ALCOHOL","",IF($K1512="","",$H1512*IFERROR(VLOOKUP($K1512,Drink_Templates!$A:$G,7,FALSE),0)))</f>
        <v/>
      </c>
    </row>
    <row r="1513" ht="15" customHeight="1">
      <c r="C1513">
        <f>IF($B1513="","",INT($B1513))</f>
        <v/>
      </c>
      <c r="D1513">
        <f>IF($C1513="","",$C1513-WEEKDAY($C1513,2)+1)</f>
        <v/>
      </c>
      <c r="E1513">
        <f>IF($C1513="","",DATE(YEAR($C1513),MONTH($C1513),1))</f>
        <v/>
      </c>
      <c r="F1513">
        <f>IF($C1513="","",YEAR($C1513)&amp;"-Q"&amp;ROUNDUP(MONTH($C1513)/3,0))</f>
        <v/>
      </c>
      <c r="L1513">
        <f>IF($G1513&lt;&gt;"ALCOHOL","",IF($K1513="","",$H1513*IFERROR(VLOOKUP($K1513,Drink_Templates!$A:$G,7,FALSE),0)))</f>
        <v/>
      </c>
    </row>
    <row r="1514" ht="15" customHeight="1">
      <c r="C1514">
        <f>IF($B1514="","",INT($B1514))</f>
        <v/>
      </c>
      <c r="D1514">
        <f>IF($C1514="","",$C1514-WEEKDAY($C1514,2)+1)</f>
        <v/>
      </c>
      <c r="E1514">
        <f>IF($C1514="","",DATE(YEAR($C1514),MONTH($C1514),1))</f>
        <v/>
      </c>
      <c r="F1514">
        <f>IF($C1514="","",YEAR($C1514)&amp;"-Q"&amp;ROUNDUP(MONTH($C1514)/3,0))</f>
        <v/>
      </c>
      <c r="L1514">
        <f>IF($G1514&lt;&gt;"ALCOHOL","",IF($K1514="","",$H1514*IFERROR(VLOOKUP($K1514,Drink_Templates!$A:$G,7,FALSE),0)))</f>
        <v/>
      </c>
    </row>
    <row r="1515" ht="15" customHeight="1">
      <c r="C1515">
        <f>IF($B1515="","",INT($B1515))</f>
        <v/>
      </c>
      <c r="D1515">
        <f>IF($C1515="","",$C1515-WEEKDAY($C1515,2)+1)</f>
        <v/>
      </c>
      <c r="E1515">
        <f>IF($C1515="","",DATE(YEAR($C1515),MONTH($C1515),1))</f>
        <v/>
      </c>
      <c r="F1515">
        <f>IF($C1515="","",YEAR($C1515)&amp;"-Q"&amp;ROUNDUP(MONTH($C1515)/3,0))</f>
        <v/>
      </c>
      <c r="L1515">
        <f>IF($G1515&lt;&gt;"ALCOHOL","",IF($K1515="","",$H1515*IFERROR(VLOOKUP($K1515,Drink_Templates!$A:$G,7,FALSE),0)))</f>
        <v/>
      </c>
    </row>
    <row r="1516" ht="15" customHeight="1">
      <c r="C1516">
        <f>IF($B1516="","",INT($B1516))</f>
        <v/>
      </c>
      <c r="D1516">
        <f>IF($C1516="","",$C1516-WEEKDAY($C1516,2)+1)</f>
        <v/>
      </c>
      <c r="E1516">
        <f>IF($C1516="","",DATE(YEAR($C1516),MONTH($C1516),1))</f>
        <v/>
      </c>
      <c r="F1516">
        <f>IF($C1516="","",YEAR($C1516)&amp;"-Q"&amp;ROUNDUP(MONTH($C1516)/3,0))</f>
        <v/>
      </c>
      <c r="L1516">
        <f>IF($G1516&lt;&gt;"ALCOHOL","",IF($K1516="","",$H1516*IFERROR(VLOOKUP($K1516,Drink_Templates!$A:$G,7,FALSE),0)))</f>
        <v/>
      </c>
    </row>
    <row r="1517" ht="15" customHeight="1">
      <c r="C1517">
        <f>IF($B1517="","",INT($B1517))</f>
        <v/>
      </c>
      <c r="D1517">
        <f>IF($C1517="","",$C1517-WEEKDAY($C1517,2)+1)</f>
        <v/>
      </c>
      <c r="E1517">
        <f>IF($C1517="","",DATE(YEAR($C1517),MONTH($C1517),1))</f>
        <v/>
      </c>
      <c r="F1517">
        <f>IF($C1517="","",YEAR($C1517)&amp;"-Q"&amp;ROUNDUP(MONTH($C1517)/3,0))</f>
        <v/>
      </c>
      <c r="L1517">
        <f>IF($G1517&lt;&gt;"ALCOHOL","",IF($K1517="","",$H1517*IFERROR(VLOOKUP($K1517,Drink_Templates!$A:$G,7,FALSE),0)))</f>
        <v/>
      </c>
    </row>
    <row r="1518" ht="15" customHeight="1">
      <c r="C1518">
        <f>IF($B1518="","",INT($B1518))</f>
        <v/>
      </c>
      <c r="D1518">
        <f>IF($C1518="","",$C1518-WEEKDAY($C1518,2)+1)</f>
        <v/>
      </c>
      <c r="E1518">
        <f>IF($C1518="","",DATE(YEAR($C1518),MONTH($C1518),1))</f>
        <v/>
      </c>
      <c r="F1518">
        <f>IF($C1518="","",YEAR($C1518)&amp;"-Q"&amp;ROUNDUP(MONTH($C1518)/3,0))</f>
        <v/>
      </c>
      <c r="L1518">
        <f>IF($G1518&lt;&gt;"ALCOHOL","",IF($K1518="","",$H1518*IFERROR(VLOOKUP($K1518,Drink_Templates!$A:$G,7,FALSE),0)))</f>
        <v/>
      </c>
    </row>
    <row r="1519" ht="15" customHeight="1">
      <c r="C1519">
        <f>IF($B1519="","",INT($B1519))</f>
        <v/>
      </c>
      <c r="D1519">
        <f>IF($C1519="","",$C1519-WEEKDAY($C1519,2)+1)</f>
        <v/>
      </c>
      <c r="E1519">
        <f>IF($C1519="","",DATE(YEAR($C1519),MONTH($C1519),1))</f>
        <v/>
      </c>
      <c r="F1519">
        <f>IF($C1519="","",YEAR($C1519)&amp;"-Q"&amp;ROUNDUP(MONTH($C1519)/3,0))</f>
        <v/>
      </c>
      <c r="L1519">
        <f>IF($G1519&lt;&gt;"ALCOHOL","",IF($K1519="","",$H1519*IFERROR(VLOOKUP($K1519,Drink_Templates!$A:$G,7,FALSE),0)))</f>
        <v/>
      </c>
    </row>
    <row r="1520" ht="15" customHeight="1">
      <c r="C1520">
        <f>IF($B1520="","",INT($B1520))</f>
        <v/>
      </c>
      <c r="D1520">
        <f>IF($C1520="","",$C1520-WEEKDAY($C1520,2)+1)</f>
        <v/>
      </c>
      <c r="E1520">
        <f>IF($C1520="","",DATE(YEAR($C1520),MONTH($C1520),1))</f>
        <v/>
      </c>
      <c r="F1520">
        <f>IF($C1520="","",YEAR($C1520)&amp;"-Q"&amp;ROUNDUP(MONTH($C1520)/3,0))</f>
        <v/>
      </c>
      <c r="L1520">
        <f>IF($G1520&lt;&gt;"ALCOHOL","",IF($K1520="","",$H1520*IFERROR(VLOOKUP($K1520,Drink_Templates!$A:$G,7,FALSE),0)))</f>
        <v/>
      </c>
    </row>
    <row r="1521" ht="15" customHeight="1">
      <c r="C1521">
        <f>IF($B1521="","",INT($B1521))</f>
        <v/>
      </c>
      <c r="D1521">
        <f>IF($C1521="","",$C1521-WEEKDAY($C1521,2)+1)</f>
        <v/>
      </c>
      <c r="E1521">
        <f>IF($C1521="","",DATE(YEAR($C1521),MONTH($C1521),1))</f>
        <v/>
      </c>
      <c r="F1521">
        <f>IF($C1521="","",YEAR($C1521)&amp;"-Q"&amp;ROUNDUP(MONTH($C1521)/3,0))</f>
        <v/>
      </c>
      <c r="L1521">
        <f>IF($G1521&lt;&gt;"ALCOHOL","",IF($K1521="","",$H1521*IFERROR(VLOOKUP($K1521,Drink_Templates!$A:$G,7,FALSE),0)))</f>
        <v/>
      </c>
    </row>
    <row r="1522" ht="15" customHeight="1">
      <c r="C1522">
        <f>IF($B1522="","",INT($B1522))</f>
        <v/>
      </c>
      <c r="D1522">
        <f>IF($C1522="","",$C1522-WEEKDAY($C1522,2)+1)</f>
        <v/>
      </c>
      <c r="E1522">
        <f>IF($C1522="","",DATE(YEAR($C1522),MONTH($C1522),1))</f>
        <v/>
      </c>
      <c r="F1522">
        <f>IF($C1522="","",YEAR($C1522)&amp;"-Q"&amp;ROUNDUP(MONTH($C1522)/3,0))</f>
        <v/>
      </c>
      <c r="L1522">
        <f>IF($G1522&lt;&gt;"ALCOHOL","",IF($K1522="","",$H1522*IFERROR(VLOOKUP($K1522,Drink_Templates!$A:$G,7,FALSE),0)))</f>
        <v/>
      </c>
    </row>
    <row r="1523" ht="15" customHeight="1">
      <c r="C1523">
        <f>IF($B1523="","",INT($B1523))</f>
        <v/>
      </c>
      <c r="D1523">
        <f>IF($C1523="","",$C1523-WEEKDAY($C1523,2)+1)</f>
        <v/>
      </c>
      <c r="E1523">
        <f>IF($C1523="","",DATE(YEAR($C1523),MONTH($C1523),1))</f>
        <v/>
      </c>
      <c r="F1523">
        <f>IF($C1523="","",YEAR($C1523)&amp;"-Q"&amp;ROUNDUP(MONTH($C1523)/3,0))</f>
        <v/>
      </c>
      <c r="L1523">
        <f>IF($G1523&lt;&gt;"ALCOHOL","",IF($K1523="","",$H1523*IFERROR(VLOOKUP($K1523,Drink_Templates!$A:$G,7,FALSE),0)))</f>
        <v/>
      </c>
    </row>
    <row r="1524" ht="15" customHeight="1">
      <c r="C1524">
        <f>IF($B1524="","",INT($B1524))</f>
        <v/>
      </c>
      <c r="D1524">
        <f>IF($C1524="","",$C1524-WEEKDAY($C1524,2)+1)</f>
        <v/>
      </c>
      <c r="E1524">
        <f>IF($C1524="","",DATE(YEAR($C1524),MONTH($C1524),1))</f>
        <v/>
      </c>
      <c r="F1524">
        <f>IF($C1524="","",YEAR($C1524)&amp;"-Q"&amp;ROUNDUP(MONTH($C1524)/3,0))</f>
        <v/>
      </c>
      <c r="L1524">
        <f>IF($G1524&lt;&gt;"ALCOHOL","",IF($K1524="","",$H1524*IFERROR(VLOOKUP($K1524,Drink_Templates!$A:$G,7,FALSE),0)))</f>
        <v/>
      </c>
    </row>
    <row r="1525" ht="15" customHeight="1">
      <c r="C1525">
        <f>IF($B1525="","",INT($B1525))</f>
        <v/>
      </c>
      <c r="D1525">
        <f>IF($C1525="","",$C1525-WEEKDAY($C1525,2)+1)</f>
        <v/>
      </c>
      <c r="E1525">
        <f>IF($C1525="","",DATE(YEAR($C1525),MONTH($C1525),1))</f>
        <v/>
      </c>
      <c r="F1525">
        <f>IF($C1525="","",YEAR($C1525)&amp;"-Q"&amp;ROUNDUP(MONTH($C1525)/3,0))</f>
        <v/>
      </c>
      <c r="L1525">
        <f>IF($G1525&lt;&gt;"ALCOHOL","",IF($K1525="","",$H1525*IFERROR(VLOOKUP($K1525,Drink_Templates!$A:$G,7,FALSE),0)))</f>
        <v/>
      </c>
    </row>
    <row r="1526" ht="15" customHeight="1">
      <c r="C1526">
        <f>IF($B1526="","",INT($B1526))</f>
        <v/>
      </c>
      <c r="D1526">
        <f>IF($C1526="","",$C1526-WEEKDAY($C1526,2)+1)</f>
        <v/>
      </c>
      <c r="E1526">
        <f>IF($C1526="","",DATE(YEAR($C1526),MONTH($C1526),1))</f>
        <v/>
      </c>
      <c r="F1526">
        <f>IF($C1526="","",YEAR($C1526)&amp;"-Q"&amp;ROUNDUP(MONTH($C1526)/3,0))</f>
        <v/>
      </c>
      <c r="L1526">
        <f>IF($G1526&lt;&gt;"ALCOHOL","",IF($K1526="","",$H1526*IFERROR(VLOOKUP($K1526,Drink_Templates!$A:$G,7,FALSE),0)))</f>
        <v/>
      </c>
    </row>
    <row r="1527" ht="15" customHeight="1">
      <c r="C1527">
        <f>IF($B1527="","",INT($B1527))</f>
        <v/>
      </c>
      <c r="D1527">
        <f>IF($C1527="","",$C1527-WEEKDAY($C1527,2)+1)</f>
        <v/>
      </c>
      <c r="E1527">
        <f>IF($C1527="","",DATE(YEAR($C1527),MONTH($C1527),1))</f>
        <v/>
      </c>
      <c r="F1527">
        <f>IF($C1527="","",YEAR($C1527)&amp;"-Q"&amp;ROUNDUP(MONTH($C1527)/3,0))</f>
        <v/>
      </c>
      <c r="L1527">
        <f>IF($G1527&lt;&gt;"ALCOHOL","",IF($K1527="","",$H1527*IFERROR(VLOOKUP($K1527,Drink_Templates!$A:$G,7,FALSE),0)))</f>
        <v/>
      </c>
    </row>
    <row r="1528" ht="15" customHeight="1">
      <c r="C1528">
        <f>IF($B1528="","",INT($B1528))</f>
        <v/>
      </c>
      <c r="D1528">
        <f>IF($C1528="","",$C1528-WEEKDAY($C1528,2)+1)</f>
        <v/>
      </c>
      <c r="E1528">
        <f>IF($C1528="","",DATE(YEAR($C1528),MONTH($C1528),1))</f>
        <v/>
      </c>
      <c r="F1528">
        <f>IF($C1528="","",YEAR($C1528)&amp;"-Q"&amp;ROUNDUP(MONTH($C1528)/3,0))</f>
        <v/>
      </c>
      <c r="L1528">
        <f>IF($G1528&lt;&gt;"ALCOHOL","",IF($K1528="","",$H1528*IFERROR(VLOOKUP($K1528,Drink_Templates!$A:$G,7,FALSE),0)))</f>
        <v/>
      </c>
    </row>
    <row r="1529" ht="15" customHeight="1">
      <c r="C1529">
        <f>IF($B1529="","",INT($B1529))</f>
        <v/>
      </c>
      <c r="D1529">
        <f>IF($C1529="","",$C1529-WEEKDAY($C1529,2)+1)</f>
        <v/>
      </c>
      <c r="E1529">
        <f>IF($C1529="","",DATE(YEAR($C1529),MONTH($C1529),1))</f>
        <v/>
      </c>
      <c r="F1529">
        <f>IF($C1529="","",YEAR($C1529)&amp;"-Q"&amp;ROUNDUP(MONTH($C1529)/3,0))</f>
        <v/>
      </c>
      <c r="L1529">
        <f>IF($G1529&lt;&gt;"ALCOHOL","",IF($K1529="","",$H1529*IFERROR(VLOOKUP($K1529,Drink_Templates!$A:$G,7,FALSE),0)))</f>
        <v/>
      </c>
    </row>
    <row r="1530" ht="15" customHeight="1">
      <c r="C1530">
        <f>IF($B1530="","",INT($B1530))</f>
        <v/>
      </c>
      <c r="D1530">
        <f>IF($C1530="","",$C1530-WEEKDAY($C1530,2)+1)</f>
        <v/>
      </c>
      <c r="E1530">
        <f>IF($C1530="","",DATE(YEAR($C1530),MONTH($C1530),1))</f>
        <v/>
      </c>
      <c r="F1530">
        <f>IF($C1530="","",YEAR($C1530)&amp;"-Q"&amp;ROUNDUP(MONTH($C1530)/3,0))</f>
        <v/>
      </c>
      <c r="L1530">
        <f>IF($G1530&lt;&gt;"ALCOHOL","",IF($K1530="","",$H1530*IFERROR(VLOOKUP($K1530,Drink_Templates!$A:$G,7,FALSE),0)))</f>
        <v/>
      </c>
    </row>
    <row r="1531" ht="15" customHeight="1">
      <c r="C1531">
        <f>IF($B1531="","",INT($B1531))</f>
        <v/>
      </c>
      <c r="D1531">
        <f>IF($C1531="","",$C1531-WEEKDAY($C1531,2)+1)</f>
        <v/>
      </c>
      <c r="E1531">
        <f>IF($C1531="","",DATE(YEAR($C1531),MONTH($C1531),1))</f>
        <v/>
      </c>
      <c r="F1531">
        <f>IF($C1531="","",YEAR($C1531)&amp;"-Q"&amp;ROUNDUP(MONTH($C1531)/3,0))</f>
        <v/>
      </c>
      <c r="L1531">
        <f>IF($G1531&lt;&gt;"ALCOHOL","",IF($K1531="","",$H1531*IFERROR(VLOOKUP($K1531,Drink_Templates!$A:$G,7,FALSE),0)))</f>
        <v/>
      </c>
    </row>
    <row r="1532" ht="15" customHeight="1">
      <c r="C1532">
        <f>IF($B1532="","",INT($B1532))</f>
        <v/>
      </c>
      <c r="D1532">
        <f>IF($C1532="","",$C1532-WEEKDAY($C1532,2)+1)</f>
        <v/>
      </c>
      <c r="E1532">
        <f>IF($C1532="","",DATE(YEAR($C1532),MONTH($C1532),1))</f>
        <v/>
      </c>
      <c r="F1532">
        <f>IF($C1532="","",YEAR($C1532)&amp;"-Q"&amp;ROUNDUP(MONTH($C1532)/3,0))</f>
        <v/>
      </c>
      <c r="L1532">
        <f>IF($G1532&lt;&gt;"ALCOHOL","",IF($K1532="","",$H1532*IFERROR(VLOOKUP($K1532,Drink_Templates!$A:$G,7,FALSE),0)))</f>
        <v/>
      </c>
    </row>
    <row r="1533" ht="15" customHeight="1">
      <c r="C1533">
        <f>IF($B1533="","",INT($B1533))</f>
        <v/>
      </c>
      <c r="D1533">
        <f>IF($C1533="","",$C1533-WEEKDAY($C1533,2)+1)</f>
        <v/>
      </c>
      <c r="E1533">
        <f>IF($C1533="","",DATE(YEAR($C1533),MONTH($C1533),1))</f>
        <v/>
      </c>
      <c r="F1533">
        <f>IF($C1533="","",YEAR($C1533)&amp;"-Q"&amp;ROUNDUP(MONTH($C1533)/3,0))</f>
        <v/>
      </c>
      <c r="L1533">
        <f>IF($G1533&lt;&gt;"ALCOHOL","",IF($K1533="","",$H1533*IFERROR(VLOOKUP($K1533,Drink_Templates!$A:$G,7,FALSE),0)))</f>
        <v/>
      </c>
    </row>
    <row r="1534" ht="15" customHeight="1">
      <c r="C1534">
        <f>IF($B1534="","",INT($B1534))</f>
        <v/>
      </c>
      <c r="D1534">
        <f>IF($C1534="","",$C1534-WEEKDAY($C1534,2)+1)</f>
        <v/>
      </c>
      <c r="E1534">
        <f>IF($C1534="","",DATE(YEAR($C1534),MONTH($C1534),1))</f>
        <v/>
      </c>
      <c r="F1534">
        <f>IF($C1534="","",YEAR($C1534)&amp;"-Q"&amp;ROUNDUP(MONTH($C1534)/3,0))</f>
        <v/>
      </c>
      <c r="L1534">
        <f>IF($G1534&lt;&gt;"ALCOHOL","",IF($K1534="","",$H1534*IFERROR(VLOOKUP($K1534,Drink_Templates!$A:$G,7,FALSE),0)))</f>
        <v/>
      </c>
    </row>
    <row r="1535" ht="15" customHeight="1">
      <c r="C1535">
        <f>IF($B1535="","",INT($B1535))</f>
        <v/>
      </c>
      <c r="D1535">
        <f>IF($C1535="","",$C1535-WEEKDAY($C1535,2)+1)</f>
        <v/>
      </c>
      <c r="E1535">
        <f>IF($C1535="","",DATE(YEAR($C1535),MONTH($C1535),1))</f>
        <v/>
      </c>
      <c r="F1535">
        <f>IF($C1535="","",YEAR($C1535)&amp;"-Q"&amp;ROUNDUP(MONTH($C1535)/3,0))</f>
        <v/>
      </c>
      <c r="L1535">
        <f>IF($G1535&lt;&gt;"ALCOHOL","",IF($K1535="","",$H1535*IFERROR(VLOOKUP($K1535,Drink_Templates!$A:$G,7,FALSE),0)))</f>
        <v/>
      </c>
    </row>
    <row r="1536" ht="15" customHeight="1">
      <c r="C1536">
        <f>IF($B1536="","",INT($B1536))</f>
        <v/>
      </c>
      <c r="D1536">
        <f>IF($C1536="","",$C1536-WEEKDAY($C1536,2)+1)</f>
        <v/>
      </c>
      <c r="E1536">
        <f>IF($C1536="","",DATE(YEAR($C1536),MONTH($C1536),1))</f>
        <v/>
      </c>
      <c r="F1536">
        <f>IF($C1536="","",YEAR($C1536)&amp;"-Q"&amp;ROUNDUP(MONTH($C1536)/3,0))</f>
        <v/>
      </c>
      <c r="L1536">
        <f>IF($G1536&lt;&gt;"ALCOHOL","",IF($K1536="","",$H1536*IFERROR(VLOOKUP($K1536,Drink_Templates!$A:$G,7,FALSE),0)))</f>
        <v/>
      </c>
    </row>
    <row r="1537" ht="15" customHeight="1">
      <c r="C1537">
        <f>IF($B1537="","",INT($B1537))</f>
        <v/>
      </c>
      <c r="D1537">
        <f>IF($C1537="","",$C1537-WEEKDAY($C1537,2)+1)</f>
        <v/>
      </c>
      <c r="E1537">
        <f>IF($C1537="","",DATE(YEAR($C1537),MONTH($C1537),1))</f>
        <v/>
      </c>
      <c r="F1537">
        <f>IF($C1537="","",YEAR($C1537)&amp;"-Q"&amp;ROUNDUP(MONTH($C1537)/3,0))</f>
        <v/>
      </c>
      <c r="L1537">
        <f>IF($G1537&lt;&gt;"ALCOHOL","",IF($K1537="","",$H1537*IFERROR(VLOOKUP($K1537,Drink_Templates!$A:$G,7,FALSE),0)))</f>
        <v/>
      </c>
    </row>
    <row r="1538" ht="15" customHeight="1">
      <c r="C1538">
        <f>IF($B1538="","",INT($B1538))</f>
        <v/>
      </c>
      <c r="D1538">
        <f>IF($C1538="","",$C1538-WEEKDAY($C1538,2)+1)</f>
        <v/>
      </c>
      <c r="E1538">
        <f>IF($C1538="","",DATE(YEAR($C1538),MONTH($C1538),1))</f>
        <v/>
      </c>
      <c r="F1538">
        <f>IF($C1538="","",YEAR($C1538)&amp;"-Q"&amp;ROUNDUP(MONTH($C1538)/3,0))</f>
        <v/>
      </c>
      <c r="L1538">
        <f>IF($G1538&lt;&gt;"ALCOHOL","",IF($K1538="","",$H1538*IFERROR(VLOOKUP($K1538,Drink_Templates!$A:$G,7,FALSE),0)))</f>
        <v/>
      </c>
    </row>
    <row r="1539" ht="15" customHeight="1">
      <c r="C1539">
        <f>IF($B1539="","",INT($B1539))</f>
        <v/>
      </c>
      <c r="D1539">
        <f>IF($C1539="","",$C1539-WEEKDAY($C1539,2)+1)</f>
        <v/>
      </c>
      <c r="E1539">
        <f>IF($C1539="","",DATE(YEAR($C1539),MONTH($C1539),1))</f>
        <v/>
      </c>
      <c r="F1539">
        <f>IF($C1539="","",YEAR($C1539)&amp;"-Q"&amp;ROUNDUP(MONTH($C1539)/3,0))</f>
        <v/>
      </c>
      <c r="L1539">
        <f>IF($G1539&lt;&gt;"ALCOHOL","",IF($K1539="","",$H1539*IFERROR(VLOOKUP($K1539,Drink_Templates!$A:$G,7,FALSE),0)))</f>
        <v/>
      </c>
    </row>
    <row r="1540" ht="15" customHeight="1">
      <c r="C1540">
        <f>IF($B1540="","",INT($B1540))</f>
        <v/>
      </c>
      <c r="D1540">
        <f>IF($C1540="","",$C1540-WEEKDAY($C1540,2)+1)</f>
        <v/>
      </c>
      <c r="E1540">
        <f>IF($C1540="","",DATE(YEAR($C1540),MONTH($C1540),1))</f>
        <v/>
      </c>
      <c r="F1540">
        <f>IF($C1540="","",YEAR($C1540)&amp;"-Q"&amp;ROUNDUP(MONTH($C1540)/3,0))</f>
        <v/>
      </c>
      <c r="L1540">
        <f>IF($G1540&lt;&gt;"ALCOHOL","",IF($K1540="","",$H1540*IFERROR(VLOOKUP($K1540,Drink_Templates!$A:$G,7,FALSE),0)))</f>
        <v/>
      </c>
    </row>
    <row r="1541" ht="15" customHeight="1">
      <c r="C1541">
        <f>IF($B1541="","",INT($B1541))</f>
        <v/>
      </c>
      <c r="D1541">
        <f>IF($C1541="","",$C1541-WEEKDAY($C1541,2)+1)</f>
        <v/>
      </c>
      <c r="E1541">
        <f>IF($C1541="","",DATE(YEAR($C1541),MONTH($C1541),1))</f>
        <v/>
      </c>
      <c r="F1541">
        <f>IF($C1541="","",YEAR($C1541)&amp;"-Q"&amp;ROUNDUP(MONTH($C1541)/3,0))</f>
        <v/>
      </c>
      <c r="L1541">
        <f>IF($G1541&lt;&gt;"ALCOHOL","",IF($K1541="","",$H1541*IFERROR(VLOOKUP($K1541,Drink_Templates!$A:$G,7,FALSE),0)))</f>
        <v/>
      </c>
    </row>
    <row r="1542" ht="15" customHeight="1">
      <c r="C1542">
        <f>IF($B1542="","",INT($B1542))</f>
        <v/>
      </c>
      <c r="D1542">
        <f>IF($C1542="","",$C1542-WEEKDAY($C1542,2)+1)</f>
        <v/>
      </c>
      <c r="E1542">
        <f>IF($C1542="","",DATE(YEAR($C1542),MONTH($C1542),1))</f>
        <v/>
      </c>
      <c r="F1542">
        <f>IF($C1542="","",YEAR($C1542)&amp;"-Q"&amp;ROUNDUP(MONTH($C1542)/3,0))</f>
        <v/>
      </c>
      <c r="L1542">
        <f>IF($G1542&lt;&gt;"ALCOHOL","",IF($K1542="","",$H1542*IFERROR(VLOOKUP($K1542,Drink_Templates!$A:$G,7,FALSE),0)))</f>
        <v/>
      </c>
    </row>
    <row r="1543" ht="15" customHeight="1">
      <c r="C1543">
        <f>IF($B1543="","",INT($B1543))</f>
        <v/>
      </c>
      <c r="D1543">
        <f>IF($C1543="","",$C1543-WEEKDAY($C1543,2)+1)</f>
        <v/>
      </c>
      <c r="E1543">
        <f>IF($C1543="","",DATE(YEAR($C1543),MONTH($C1543),1))</f>
        <v/>
      </c>
      <c r="F1543">
        <f>IF($C1543="","",YEAR($C1543)&amp;"-Q"&amp;ROUNDUP(MONTH($C1543)/3,0))</f>
        <v/>
      </c>
      <c r="L1543">
        <f>IF($G1543&lt;&gt;"ALCOHOL","",IF($K1543="","",$H1543*IFERROR(VLOOKUP($K1543,Drink_Templates!$A:$G,7,FALSE),0)))</f>
        <v/>
      </c>
    </row>
    <row r="1544" ht="15" customHeight="1">
      <c r="C1544">
        <f>IF($B1544="","",INT($B1544))</f>
        <v/>
      </c>
      <c r="D1544">
        <f>IF($C1544="","",$C1544-WEEKDAY($C1544,2)+1)</f>
        <v/>
      </c>
      <c r="E1544">
        <f>IF($C1544="","",DATE(YEAR($C1544),MONTH($C1544),1))</f>
        <v/>
      </c>
      <c r="F1544">
        <f>IF($C1544="","",YEAR($C1544)&amp;"-Q"&amp;ROUNDUP(MONTH($C1544)/3,0))</f>
        <v/>
      </c>
      <c r="L1544">
        <f>IF($G1544&lt;&gt;"ALCOHOL","",IF($K1544="","",$H1544*IFERROR(VLOOKUP($K1544,Drink_Templates!$A:$G,7,FALSE),0)))</f>
        <v/>
      </c>
    </row>
    <row r="1545" ht="15" customHeight="1">
      <c r="C1545">
        <f>IF($B1545="","",INT($B1545))</f>
        <v/>
      </c>
      <c r="D1545">
        <f>IF($C1545="","",$C1545-WEEKDAY($C1545,2)+1)</f>
        <v/>
      </c>
      <c r="E1545">
        <f>IF($C1545="","",DATE(YEAR($C1545),MONTH($C1545),1))</f>
        <v/>
      </c>
      <c r="F1545">
        <f>IF($C1545="","",YEAR($C1545)&amp;"-Q"&amp;ROUNDUP(MONTH($C1545)/3,0))</f>
        <v/>
      </c>
      <c r="L1545">
        <f>IF($G1545&lt;&gt;"ALCOHOL","",IF($K1545="","",$H1545*IFERROR(VLOOKUP($K1545,Drink_Templates!$A:$G,7,FALSE),0)))</f>
        <v/>
      </c>
    </row>
    <row r="1546" ht="15" customHeight="1">
      <c r="C1546">
        <f>IF($B1546="","",INT($B1546))</f>
        <v/>
      </c>
      <c r="D1546">
        <f>IF($C1546="","",$C1546-WEEKDAY($C1546,2)+1)</f>
        <v/>
      </c>
      <c r="E1546">
        <f>IF($C1546="","",DATE(YEAR($C1546),MONTH($C1546),1))</f>
        <v/>
      </c>
      <c r="F1546">
        <f>IF($C1546="","",YEAR($C1546)&amp;"-Q"&amp;ROUNDUP(MONTH($C1546)/3,0))</f>
        <v/>
      </c>
      <c r="L1546">
        <f>IF($G1546&lt;&gt;"ALCOHOL","",IF($K1546="","",$H1546*IFERROR(VLOOKUP($K1546,Drink_Templates!$A:$G,7,FALSE),0)))</f>
        <v/>
      </c>
    </row>
    <row r="1547" ht="15" customHeight="1">
      <c r="C1547">
        <f>IF($B1547="","",INT($B1547))</f>
        <v/>
      </c>
      <c r="D1547">
        <f>IF($C1547="","",$C1547-WEEKDAY($C1547,2)+1)</f>
        <v/>
      </c>
      <c r="E1547">
        <f>IF($C1547="","",DATE(YEAR($C1547),MONTH($C1547),1))</f>
        <v/>
      </c>
      <c r="F1547">
        <f>IF($C1547="","",YEAR($C1547)&amp;"-Q"&amp;ROUNDUP(MONTH($C1547)/3,0))</f>
        <v/>
      </c>
      <c r="L1547">
        <f>IF($G1547&lt;&gt;"ALCOHOL","",IF($K1547="","",$H1547*IFERROR(VLOOKUP($K1547,Drink_Templates!$A:$G,7,FALSE),0)))</f>
        <v/>
      </c>
    </row>
    <row r="1548" ht="15" customHeight="1">
      <c r="C1548">
        <f>IF($B1548="","",INT($B1548))</f>
        <v/>
      </c>
      <c r="D1548">
        <f>IF($C1548="","",$C1548-WEEKDAY($C1548,2)+1)</f>
        <v/>
      </c>
      <c r="E1548">
        <f>IF($C1548="","",DATE(YEAR($C1548),MONTH($C1548),1))</f>
        <v/>
      </c>
      <c r="F1548">
        <f>IF($C1548="","",YEAR($C1548)&amp;"-Q"&amp;ROUNDUP(MONTH($C1548)/3,0))</f>
        <v/>
      </c>
      <c r="L1548">
        <f>IF($G1548&lt;&gt;"ALCOHOL","",IF($K1548="","",$H1548*IFERROR(VLOOKUP($K1548,Drink_Templates!$A:$G,7,FALSE),0)))</f>
        <v/>
      </c>
    </row>
    <row r="1549" ht="15" customHeight="1">
      <c r="C1549">
        <f>IF($B1549="","",INT($B1549))</f>
        <v/>
      </c>
      <c r="D1549">
        <f>IF($C1549="","",$C1549-WEEKDAY($C1549,2)+1)</f>
        <v/>
      </c>
      <c r="E1549">
        <f>IF($C1549="","",DATE(YEAR($C1549),MONTH($C1549),1))</f>
        <v/>
      </c>
      <c r="F1549">
        <f>IF($C1549="","",YEAR($C1549)&amp;"-Q"&amp;ROUNDUP(MONTH($C1549)/3,0))</f>
        <v/>
      </c>
      <c r="L1549">
        <f>IF($G1549&lt;&gt;"ALCOHOL","",IF($K1549="","",$H1549*IFERROR(VLOOKUP($K1549,Drink_Templates!$A:$G,7,FALSE),0)))</f>
        <v/>
      </c>
    </row>
    <row r="1550" ht="15" customHeight="1">
      <c r="C1550">
        <f>IF($B1550="","",INT($B1550))</f>
        <v/>
      </c>
      <c r="D1550">
        <f>IF($C1550="","",$C1550-WEEKDAY($C1550,2)+1)</f>
        <v/>
      </c>
      <c r="E1550">
        <f>IF($C1550="","",DATE(YEAR($C1550),MONTH($C1550),1))</f>
        <v/>
      </c>
      <c r="F1550">
        <f>IF($C1550="","",YEAR($C1550)&amp;"-Q"&amp;ROUNDUP(MONTH($C1550)/3,0))</f>
        <v/>
      </c>
      <c r="L1550">
        <f>IF($G1550&lt;&gt;"ALCOHOL","",IF($K1550="","",$H1550*IFERROR(VLOOKUP($K1550,Drink_Templates!$A:$G,7,FALSE),0)))</f>
        <v/>
      </c>
    </row>
    <row r="1551" ht="15" customHeight="1">
      <c r="C1551">
        <f>IF($B1551="","",INT($B1551))</f>
        <v/>
      </c>
      <c r="D1551">
        <f>IF($C1551="","",$C1551-WEEKDAY($C1551,2)+1)</f>
        <v/>
      </c>
      <c r="E1551">
        <f>IF($C1551="","",DATE(YEAR($C1551),MONTH($C1551),1))</f>
        <v/>
      </c>
      <c r="F1551">
        <f>IF($C1551="","",YEAR($C1551)&amp;"-Q"&amp;ROUNDUP(MONTH($C1551)/3,0))</f>
        <v/>
      </c>
      <c r="L1551">
        <f>IF($G1551&lt;&gt;"ALCOHOL","",IF($K1551="","",$H1551*IFERROR(VLOOKUP($K1551,Drink_Templates!$A:$G,7,FALSE),0)))</f>
        <v/>
      </c>
    </row>
    <row r="1552" ht="15" customHeight="1">
      <c r="C1552">
        <f>IF($B1552="","",INT($B1552))</f>
        <v/>
      </c>
      <c r="D1552">
        <f>IF($C1552="","",$C1552-WEEKDAY($C1552,2)+1)</f>
        <v/>
      </c>
      <c r="E1552">
        <f>IF($C1552="","",DATE(YEAR($C1552),MONTH($C1552),1))</f>
        <v/>
      </c>
      <c r="F1552">
        <f>IF($C1552="","",YEAR($C1552)&amp;"-Q"&amp;ROUNDUP(MONTH($C1552)/3,0))</f>
        <v/>
      </c>
      <c r="L1552">
        <f>IF($G1552&lt;&gt;"ALCOHOL","",IF($K1552="","",$H1552*IFERROR(VLOOKUP($K1552,Drink_Templates!$A:$G,7,FALSE),0)))</f>
        <v/>
      </c>
    </row>
    <row r="1553" ht="15" customHeight="1">
      <c r="C1553">
        <f>IF($B1553="","",INT($B1553))</f>
        <v/>
      </c>
      <c r="D1553">
        <f>IF($C1553="","",$C1553-WEEKDAY($C1553,2)+1)</f>
        <v/>
      </c>
      <c r="E1553">
        <f>IF($C1553="","",DATE(YEAR($C1553),MONTH($C1553),1))</f>
        <v/>
      </c>
      <c r="F1553">
        <f>IF($C1553="","",YEAR($C1553)&amp;"-Q"&amp;ROUNDUP(MONTH($C1553)/3,0))</f>
        <v/>
      </c>
      <c r="L1553">
        <f>IF($G1553&lt;&gt;"ALCOHOL","",IF($K1553="","",$H1553*IFERROR(VLOOKUP($K1553,Drink_Templates!$A:$G,7,FALSE),0)))</f>
        <v/>
      </c>
    </row>
    <row r="1554" ht="15" customHeight="1">
      <c r="C1554">
        <f>IF($B1554="","",INT($B1554))</f>
        <v/>
      </c>
      <c r="D1554">
        <f>IF($C1554="","",$C1554-WEEKDAY($C1554,2)+1)</f>
        <v/>
      </c>
      <c r="E1554">
        <f>IF($C1554="","",DATE(YEAR($C1554),MONTH($C1554),1))</f>
        <v/>
      </c>
      <c r="F1554">
        <f>IF($C1554="","",YEAR($C1554)&amp;"-Q"&amp;ROUNDUP(MONTH($C1554)/3,0))</f>
        <v/>
      </c>
      <c r="L1554">
        <f>IF($G1554&lt;&gt;"ALCOHOL","",IF($K1554="","",$H1554*IFERROR(VLOOKUP($K1554,Drink_Templates!$A:$G,7,FALSE),0)))</f>
        <v/>
      </c>
    </row>
    <row r="1555" ht="15" customHeight="1">
      <c r="C1555">
        <f>IF($B1555="","",INT($B1555))</f>
        <v/>
      </c>
      <c r="D1555">
        <f>IF($C1555="","",$C1555-WEEKDAY($C1555,2)+1)</f>
        <v/>
      </c>
      <c r="E1555">
        <f>IF($C1555="","",DATE(YEAR($C1555),MONTH($C1555),1))</f>
        <v/>
      </c>
      <c r="F1555">
        <f>IF($C1555="","",YEAR($C1555)&amp;"-Q"&amp;ROUNDUP(MONTH($C1555)/3,0))</f>
        <v/>
      </c>
      <c r="L1555">
        <f>IF($G1555&lt;&gt;"ALCOHOL","",IF($K1555="","",$H1555*IFERROR(VLOOKUP($K1555,Drink_Templates!$A:$G,7,FALSE),0)))</f>
        <v/>
      </c>
    </row>
    <row r="1556" ht="15" customHeight="1">
      <c r="C1556">
        <f>IF($B1556="","",INT($B1556))</f>
        <v/>
      </c>
      <c r="D1556">
        <f>IF($C1556="","",$C1556-WEEKDAY($C1556,2)+1)</f>
        <v/>
      </c>
      <c r="E1556">
        <f>IF($C1556="","",DATE(YEAR($C1556),MONTH($C1556),1))</f>
        <v/>
      </c>
      <c r="F1556">
        <f>IF($C1556="","",YEAR($C1556)&amp;"-Q"&amp;ROUNDUP(MONTH($C1556)/3,0))</f>
        <v/>
      </c>
      <c r="L1556">
        <f>IF($G1556&lt;&gt;"ALCOHOL","",IF($K1556="","",$H1556*IFERROR(VLOOKUP($K1556,Drink_Templates!$A:$G,7,FALSE),0)))</f>
        <v/>
      </c>
    </row>
    <row r="1557" ht="15" customHeight="1">
      <c r="C1557">
        <f>IF($B1557="","",INT($B1557))</f>
        <v/>
      </c>
      <c r="D1557">
        <f>IF($C1557="","",$C1557-WEEKDAY($C1557,2)+1)</f>
        <v/>
      </c>
      <c r="E1557">
        <f>IF($C1557="","",DATE(YEAR($C1557),MONTH($C1557),1))</f>
        <v/>
      </c>
      <c r="F1557">
        <f>IF($C1557="","",YEAR($C1557)&amp;"-Q"&amp;ROUNDUP(MONTH($C1557)/3,0))</f>
        <v/>
      </c>
      <c r="L1557">
        <f>IF($G1557&lt;&gt;"ALCOHOL","",IF($K1557="","",$H1557*IFERROR(VLOOKUP($K1557,Drink_Templates!$A:$G,7,FALSE),0)))</f>
        <v/>
      </c>
    </row>
    <row r="1558" ht="15" customHeight="1">
      <c r="C1558">
        <f>IF($B1558="","",INT($B1558))</f>
        <v/>
      </c>
      <c r="D1558">
        <f>IF($C1558="","",$C1558-WEEKDAY($C1558,2)+1)</f>
        <v/>
      </c>
      <c r="E1558">
        <f>IF($C1558="","",DATE(YEAR($C1558),MONTH($C1558),1))</f>
        <v/>
      </c>
      <c r="F1558">
        <f>IF($C1558="","",YEAR($C1558)&amp;"-Q"&amp;ROUNDUP(MONTH($C1558)/3,0))</f>
        <v/>
      </c>
      <c r="L1558">
        <f>IF($G1558&lt;&gt;"ALCOHOL","",IF($K1558="","",$H1558*IFERROR(VLOOKUP($K1558,Drink_Templates!$A:$G,7,FALSE),0)))</f>
        <v/>
      </c>
    </row>
    <row r="1559" ht="15" customHeight="1">
      <c r="C1559">
        <f>IF($B1559="","",INT($B1559))</f>
        <v/>
      </c>
      <c r="D1559">
        <f>IF($C1559="","",$C1559-WEEKDAY($C1559,2)+1)</f>
        <v/>
      </c>
      <c r="E1559">
        <f>IF($C1559="","",DATE(YEAR($C1559),MONTH($C1559),1))</f>
        <v/>
      </c>
      <c r="F1559">
        <f>IF($C1559="","",YEAR($C1559)&amp;"-Q"&amp;ROUNDUP(MONTH($C1559)/3,0))</f>
        <v/>
      </c>
      <c r="L1559">
        <f>IF($G1559&lt;&gt;"ALCOHOL","",IF($K1559="","",$H1559*IFERROR(VLOOKUP($K1559,Drink_Templates!$A:$G,7,FALSE),0)))</f>
        <v/>
      </c>
    </row>
    <row r="1560" ht="15" customHeight="1">
      <c r="C1560">
        <f>IF($B1560="","",INT($B1560))</f>
        <v/>
      </c>
      <c r="D1560">
        <f>IF($C1560="","",$C1560-WEEKDAY($C1560,2)+1)</f>
        <v/>
      </c>
      <c r="E1560">
        <f>IF($C1560="","",DATE(YEAR($C1560),MONTH($C1560),1))</f>
        <v/>
      </c>
      <c r="F1560">
        <f>IF($C1560="","",YEAR($C1560)&amp;"-Q"&amp;ROUNDUP(MONTH($C1560)/3,0))</f>
        <v/>
      </c>
      <c r="L1560">
        <f>IF($G1560&lt;&gt;"ALCOHOL","",IF($K1560="","",$H1560*IFERROR(VLOOKUP($K1560,Drink_Templates!$A:$G,7,FALSE),0)))</f>
        <v/>
      </c>
    </row>
    <row r="1561" ht="15" customHeight="1">
      <c r="C1561">
        <f>IF($B1561="","",INT($B1561))</f>
        <v/>
      </c>
      <c r="D1561">
        <f>IF($C1561="","",$C1561-WEEKDAY($C1561,2)+1)</f>
        <v/>
      </c>
      <c r="E1561">
        <f>IF($C1561="","",DATE(YEAR($C1561),MONTH($C1561),1))</f>
        <v/>
      </c>
      <c r="F1561">
        <f>IF($C1561="","",YEAR($C1561)&amp;"-Q"&amp;ROUNDUP(MONTH($C1561)/3,0))</f>
        <v/>
      </c>
      <c r="L1561">
        <f>IF($G1561&lt;&gt;"ALCOHOL","",IF($K1561="","",$H1561*IFERROR(VLOOKUP($K1561,Drink_Templates!$A:$G,7,FALSE),0)))</f>
        <v/>
      </c>
    </row>
    <row r="1562" ht="15" customHeight="1">
      <c r="C1562">
        <f>IF($B1562="","",INT($B1562))</f>
        <v/>
      </c>
      <c r="D1562">
        <f>IF($C1562="","",$C1562-WEEKDAY($C1562,2)+1)</f>
        <v/>
      </c>
      <c r="E1562">
        <f>IF($C1562="","",DATE(YEAR($C1562),MONTH($C1562),1))</f>
        <v/>
      </c>
      <c r="F1562">
        <f>IF($C1562="","",YEAR($C1562)&amp;"-Q"&amp;ROUNDUP(MONTH($C1562)/3,0))</f>
        <v/>
      </c>
      <c r="L1562">
        <f>IF($G1562&lt;&gt;"ALCOHOL","",IF($K1562="","",$H1562*IFERROR(VLOOKUP($K1562,Drink_Templates!$A:$G,7,FALSE),0)))</f>
        <v/>
      </c>
    </row>
    <row r="1563" ht="15" customHeight="1">
      <c r="C1563">
        <f>IF($B1563="","",INT($B1563))</f>
        <v/>
      </c>
      <c r="D1563">
        <f>IF($C1563="","",$C1563-WEEKDAY($C1563,2)+1)</f>
        <v/>
      </c>
      <c r="E1563">
        <f>IF($C1563="","",DATE(YEAR($C1563),MONTH($C1563),1))</f>
        <v/>
      </c>
      <c r="F1563">
        <f>IF($C1563="","",YEAR($C1563)&amp;"-Q"&amp;ROUNDUP(MONTH($C1563)/3,0))</f>
        <v/>
      </c>
      <c r="L1563">
        <f>IF($G1563&lt;&gt;"ALCOHOL","",IF($K1563="","",$H1563*IFERROR(VLOOKUP($K1563,Drink_Templates!$A:$G,7,FALSE),0)))</f>
        <v/>
      </c>
    </row>
    <row r="1564" ht="15" customHeight="1">
      <c r="C1564">
        <f>IF($B1564="","",INT($B1564))</f>
        <v/>
      </c>
      <c r="D1564">
        <f>IF($C1564="","",$C1564-WEEKDAY($C1564,2)+1)</f>
        <v/>
      </c>
      <c r="E1564">
        <f>IF($C1564="","",DATE(YEAR($C1564),MONTH($C1564),1))</f>
        <v/>
      </c>
      <c r="F1564">
        <f>IF($C1564="","",YEAR($C1564)&amp;"-Q"&amp;ROUNDUP(MONTH($C1564)/3,0))</f>
        <v/>
      </c>
      <c r="L1564">
        <f>IF($G1564&lt;&gt;"ALCOHOL","",IF($K1564="","",$H1564*IFERROR(VLOOKUP($K1564,Drink_Templates!$A:$G,7,FALSE),0)))</f>
        <v/>
      </c>
    </row>
    <row r="1565" ht="15" customHeight="1">
      <c r="C1565">
        <f>IF($B1565="","",INT($B1565))</f>
        <v/>
      </c>
      <c r="D1565">
        <f>IF($C1565="","",$C1565-WEEKDAY($C1565,2)+1)</f>
        <v/>
      </c>
      <c r="E1565">
        <f>IF($C1565="","",DATE(YEAR($C1565),MONTH($C1565),1))</f>
        <v/>
      </c>
      <c r="F1565">
        <f>IF($C1565="","",YEAR($C1565)&amp;"-Q"&amp;ROUNDUP(MONTH($C1565)/3,0))</f>
        <v/>
      </c>
      <c r="L1565">
        <f>IF($G1565&lt;&gt;"ALCOHOL","",IF($K1565="","",$H1565*IFERROR(VLOOKUP($K1565,Drink_Templates!$A:$G,7,FALSE),0)))</f>
        <v/>
      </c>
    </row>
    <row r="1566" ht="15" customHeight="1">
      <c r="C1566">
        <f>IF($B1566="","",INT($B1566))</f>
        <v/>
      </c>
      <c r="D1566">
        <f>IF($C1566="","",$C1566-WEEKDAY($C1566,2)+1)</f>
        <v/>
      </c>
      <c r="E1566">
        <f>IF($C1566="","",DATE(YEAR($C1566),MONTH($C1566),1))</f>
        <v/>
      </c>
      <c r="F1566">
        <f>IF($C1566="","",YEAR($C1566)&amp;"-Q"&amp;ROUNDUP(MONTH($C1566)/3,0))</f>
        <v/>
      </c>
      <c r="L1566">
        <f>IF($G1566&lt;&gt;"ALCOHOL","",IF($K1566="","",$H1566*IFERROR(VLOOKUP($K1566,Drink_Templates!$A:$G,7,FALSE),0)))</f>
        <v/>
      </c>
    </row>
    <row r="1567" ht="15" customHeight="1">
      <c r="C1567">
        <f>IF($B1567="","",INT($B1567))</f>
        <v/>
      </c>
      <c r="D1567">
        <f>IF($C1567="","",$C1567-WEEKDAY($C1567,2)+1)</f>
        <v/>
      </c>
      <c r="E1567">
        <f>IF($C1567="","",DATE(YEAR($C1567),MONTH($C1567),1))</f>
        <v/>
      </c>
      <c r="F1567">
        <f>IF($C1567="","",YEAR($C1567)&amp;"-Q"&amp;ROUNDUP(MONTH($C1567)/3,0))</f>
        <v/>
      </c>
      <c r="L1567">
        <f>IF($G1567&lt;&gt;"ALCOHOL","",IF($K1567="","",$H1567*IFERROR(VLOOKUP($K1567,Drink_Templates!$A:$G,7,FALSE),0)))</f>
        <v/>
      </c>
    </row>
    <row r="1568" ht="15" customHeight="1">
      <c r="C1568">
        <f>IF($B1568="","",INT($B1568))</f>
        <v/>
      </c>
      <c r="D1568">
        <f>IF($C1568="","",$C1568-WEEKDAY($C1568,2)+1)</f>
        <v/>
      </c>
      <c r="E1568">
        <f>IF($C1568="","",DATE(YEAR($C1568),MONTH($C1568),1))</f>
        <v/>
      </c>
      <c r="F1568">
        <f>IF($C1568="","",YEAR($C1568)&amp;"-Q"&amp;ROUNDUP(MONTH($C1568)/3,0))</f>
        <v/>
      </c>
      <c r="L1568">
        <f>IF($G1568&lt;&gt;"ALCOHOL","",IF($K1568="","",$H1568*IFERROR(VLOOKUP($K1568,Drink_Templates!$A:$G,7,FALSE),0)))</f>
        <v/>
      </c>
    </row>
    <row r="1569" ht="15" customHeight="1">
      <c r="C1569">
        <f>IF($B1569="","",INT($B1569))</f>
        <v/>
      </c>
      <c r="D1569">
        <f>IF($C1569="","",$C1569-WEEKDAY($C1569,2)+1)</f>
        <v/>
      </c>
      <c r="E1569">
        <f>IF($C1569="","",DATE(YEAR($C1569),MONTH($C1569),1))</f>
        <v/>
      </c>
      <c r="F1569">
        <f>IF($C1569="","",YEAR($C1569)&amp;"-Q"&amp;ROUNDUP(MONTH($C1569)/3,0))</f>
        <v/>
      </c>
      <c r="L1569">
        <f>IF($G1569&lt;&gt;"ALCOHOL","",IF($K1569="","",$H1569*IFERROR(VLOOKUP($K1569,Drink_Templates!$A:$G,7,FALSE),0)))</f>
        <v/>
      </c>
    </row>
    <row r="1570" ht="15" customHeight="1">
      <c r="C1570">
        <f>IF($B1570="","",INT($B1570))</f>
        <v/>
      </c>
      <c r="D1570">
        <f>IF($C1570="","",$C1570-WEEKDAY($C1570,2)+1)</f>
        <v/>
      </c>
      <c r="E1570">
        <f>IF($C1570="","",DATE(YEAR($C1570),MONTH($C1570),1))</f>
        <v/>
      </c>
      <c r="F1570">
        <f>IF($C1570="","",YEAR($C1570)&amp;"-Q"&amp;ROUNDUP(MONTH($C1570)/3,0))</f>
        <v/>
      </c>
      <c r="L1570">
        <f>IF($G1570&lt;&gt;"ALCOHOL","",IF($K1570="","",$H1570*IFERROR(VLOOKUP($K1570,Drink_Templates!$A:$G,7,FALSE),0)))</f>
        <v/>
      </c>
    </row>
    <row r="1571" ht="15" customHeight="1">
      <c r="C1571">
        <f>IF($B1571="","",INT($B1571))</f>
        <v/>
      </c>
      <c r="D1571">
        <f>IF($C1571="","",$C1571-WEEKDAY($C1571,2)+1)</f>
        <v/>
      </c>
      <c r="E1571">
        <f>IF($C1571="","",DATE(YEAR($C1571),MONTH($C1571),1))</f>
        <v/>
      </c>
      <c r="F1571">
        <f>IF($C1571="","",YEAR($C1571)&amp;"-Q"&amp;ROUNDUP(MONTH($C1571)/3,0))</f>
        <v/>
      </c>
      <c r="L1571">
        <f>IF($G1571&lt;&gt;"ALCOHOL","",IF($K1571="","",$H1571*IFERROR(VLOOKUP($K1571,Drink_Templates!$A:$G,7,FALSE),0)))</f>
        <v/>
      </c>
    </row>
    <row r="1572" ht="15" customHeight="1">
      <c r="C1572">
        <f>IF($B1572="","",INT($B1572))</f>
        <v/>
      </c>
      <c r="D1572">
        <f>IF($C1572="","",$C1572-WEEKDAY($C1572,2)+1)</f>
        <v/>
      </c>
      <c r="E1572">
        <f>IF($C1572="","",DATE(YEAR($C1572),MONTH($C1572),1))</f>
        <v/>
      </c>
      <c r="F1572">
        <f>IF($C1572="","",YEAR($C1572)&amp;"-Q"&amp;ROUNDUP(MONTH($C1572)/3,0))</f>
        <v/>
      </c>
      <c r="L1572">
        <f>IF($G1572&lt;&gt;"ALCOHOL","",IF($K1572="","",$H1572*IFERROR(VLOOKUP($K1572,Drink_Templates!$A:$G,7,FALSE),0)))</f>
        <v/>
      </c>
    </row>
    <row r="1573" ht="15" customHeight="1">
      <c r="C1573">
        <f>IF($B1573="","",INT($B1573))</f>
        <v/>
      </c>
      <c r="D1573">
        <f>IF($C1573="","",$C1573-WEEKDAY($C1573,2)+1)</f>
        <v/>
      </c>
      <c r="E1573">
        <f>IF($C1573="","",DATE(YEAR($C1573),MONTH($C1573),1))</f>
        <v/>
      </c>
      <c r="F1573">
        <f>IF($C1573="","",YEAR($C1573)&amp;"-Q"&amp;ROUNDUP(MONTH($C1573)/3,0))</f>
        <v/>
      </c>
      <c r="L1573">
        <f>IF($G1573&lt;&gt;"ALCOHOL","",IF($K1573="","",$H1573*IFERROR(VLOOKUP($K1573,Drink_Templates!$A:$G,7,FALSE),0)))</f>
        <v/>
      </c>
    </row>
    <row r="1574" ht="15" customHeight="1">
      <c r="C1574">
        <f>IF($B1574="","",INT($B1574))</f>
        <v/>
      </c>
      <c r="D1574">
        <f>IF($C1574="","",$C1574-WEEKDAY($C1574,2)+1)</f>
        <v/>
      </c>
      <c r="E1574">
        <f>IF($C1574="","",DATE(YEAR($C1574),MONTH($C1574),1))</f>
        <v/>
      </c>
      <c r="F1574">
        <f>IF($C1574="","",YEAR($C1574)&amp;"-Q"&amp;ROUNDUP(MONTH($C1574)/3,0))</f>
        <v/>
      </c>
      <c r="L1574">
        <f>IF($G1574&lt;&gt;"ALCOHOL","",IF($K1574="","",$H1574*IFERROR(VLOOKUP($K1574,Drink_Templates!$A:$G,7,FALSE),0)))</f>
        <v/>
      </c>
    </row>
    <row r="1575" ht="15" customHeight="1">
      <c r="C1575">
        <f>IF($B1575="","",INT($B1575))</f>
        <v/>
      </c>
      <c r="D1575">
        <f>IF($C1575="","",$C1575-WEEKDAY($C1575,2)+1)</f>
        <v/>
      </c>
      <c r="E1575">
        <f>IF($C1575="","",DATE(YEAR($C1575),MONTH($C1575),1))</f>
        <v/>
      </c>
      <c r="F1575">
        <f>IF($C1575="","",YEAR($C1575)&amp;"-Q"&amp;ROUNDUP(MONTH($C1575)/3,0))</f>
        <v/>
      </c>
      <c r="L1575">
        <f>IF($G1575&lt;&gt;"ALCOHOL","",IF($K1575="","",$H1575*IFERROR(VLOOKUP($K1575,Drink_Templates!$A:$G,7,FALSE),0)))</f>
        <v/>
      </c>
    </row>
    <row r="1576" ht="15" customHeight="1">
      <c r="C1576">
        <f>IF($B1576="","",INT($B1576))</f>
        <v/>
      </c>
      <c r="D1576">
        <f>IF($C1576="","",$C1576-WEEKDAY($C1576,2)+1)</f>
        <v/>
      </c>
      <c r="E1576">
        <f>IF($C1576="","",DATE(YEAR($C1576),MONTH($C1576),1))</f>
        <v/>
      </c>
      <c r="F1576">
        <f>IF($C1576="","",YEAR($C1576)&amp;"-Q"&amp;ROUNDUP(MONTH($C1576)/3,0))</f>
        <v/>
      </c>
      <c r="L1576">
        <f>IF($G1576&lt;&gt;"ALCOHOL","",IF($K1576="","",$H1576*IFERROR(VLOOKUP($K1576,Drink_Templates!$A:$G,7,FALSE),0)))</f>
        <v/>
      </c>
    </row>
    <row r="1577" ht="15" customHeight="1">
      <c r="C1577">
        <f>IF($B1577="","",INT($B1577))</f>
        <v/>
      </c>
      <c r="D1577">
        <f>IF($C1577="","",$C1577-WEEKDAY($C1577,2)+1)</f>
        <v/>
      </c>
      <c r="E1577">
        <f>IF($C1577="","",DATE(YEAR($C1577),MONTH($C1577),1))</f>
        <v/>
      </c>
      <c r="F1577">
        <f>IF($C1577="","",YEAR($C1577)&amp;"-Q"&amp;ROUNDUP(MONTH($C1577)/3,0))</f>
        <v/>
      </c>
      <c r="L1577">
        <f>IF($G1577&lt;&gt;"ALCOHOL","",IF($K1577="","",$H1577*IFERROR(VLOOKUP($K1577,Drink_Templates!$A:$G,7,FALSE),0)))</f>
        <v/>
      </c>
    </row>
    <row r="1578" ht="15" customHeight="1">
      <c r="C1578">
        <f>IF($B1578="","",INT($B1578))</f>
        <v/>
      </c>
      <c r="D1578">
        <f>IF($C1578="","",$C1578-WEEKDAY($C1578,2)+1)</f>
        <v/>
      </c>
      <c r="E1578">
        <f>IF($C1578="","",DATE(YEAR($C1578),MONTH($C1578),1))</f>
        <v/>
      </c>
      <c r="F1578">
        <f>IF($C1578="","",YEAR($C1578)&amp;"-Q"&amp;ROUNDUP(MONTH($C1578)/3,0))</f>
        <v/>
      </c>
      <c r="L1578">
        <f>IF($G1578&lt;&gt;"ALCOHOL","",IF($K1578="","",$H1578*IFERROR(VLOOKUP($K1578,Drink_Templates!$A:$G,7,FALSE),0)))</f>
        <v/>
      </c>
    </row>
    <row r="1579" ht="15" customHeight="1">
      <c r="C1579">
        <f>IF($B1579="","",INT($B1579))</f>
        <v/>
      </c>
      <c r="D1579">
        <f>IF($C1579="","",$C1579-WEEKDAY($C1579,2)+1)</f>
        <v/>
      </c>
      <c r="E1579">
        <f>IF($C1579="","",DATE(YEAR($C1579),MONTH($C1579),1))</f>
        <v/>
      </c>
      <c r="F1579">
        <f>IF($C1579="","",YEAR($C1579)&amp;"-Q"&amp;ROUNDUP(MONTH($C1579)/3,0))</f>
        <v/>
      </c>
      <c r="L1579">
        <f>IF($G1579&lt;&gt;"ALCOHOL","",IF($K1579="","",$H1579*IFERROR(VLOOKUP($K1579,Drink_Templates!$A:$G,7,FALSE),0)))</f>
        <v/>
      </c>
    </row>
    <row r="1580" ht="15" customHeight="1">
      <c r="C1580">
        <f>IF($B1580="","",INT($B1580))</f>
        <v/>
      </c>
      <c r="D1580">
        <f>IF($C1580="","",$C1580-WEEKDAY($C1580,2)+1)</f>
        <v/>
      </c>
      <c r="E1580">
        <f>IF($C1580="","",DATE(YEAR($C1580),MONTH($C1580),1))</f>
        <v/>
      </c>
      <c r="F1580">
        <f>IF($C1580="","",YEAR($C1580)&amp;"-Q"&amp;ROUNDUP(MONTH($C1580)/3,0))</f>
        <v/>
      </c>
      <c r="L1580">
        <f>IF($G1580&lt;&gt;"ALCOHOL","",IF($K1580="","",$H1580*IFERROR(VLOOKUP($K1580,Drink_Templates!$A:$G,7,FALSE),0)))</f>
        <v/>
      </c>
    </row>
    <row r="1581" ht="15" customHeight="1">
      <c r="C1581">
        <f>IF($B1581="","",INT($B1581))</f>
        <v/>
      </c>
      <c r="D1581">
        <f>IF($C1581="","",$C1581-WEEKDAY($C1581,2)+1)</f>
        <v/>
      </c>
      <c r="E1581">
        <f>IF($C1581="","",DATE(YEAR($C1581),MONTH($C1581),1))</f>
        <v/>
      </c>
      <c r="F1581">
        <f>IF($C1581="","",YEAR($C1581)&amp;"-Q"&amp;ROUNDUP(MONTH($C1581)/3,0))</f>
        <v/>
      </c>
      <c r="L1581">
        <f>IF($G1581&lt;&gt;"ALCOHOL","",IF($K1581="","",$H1581*IFERROR(VLOOKUP($K1581,Drink_Templates!$A:$G,7,FALSE),0)))</f>
        <v/>
      </c>
    </row>
    <row r="1582" ht="15" customHeight="1">
      <c r="C1582">
        <f>IF($B1582="","",INT($B1582))</f>
        <v/>
      </c>
      <c r="D1582">
        <f>IF($C1582="","",$C1582-WEEKDAY($C1582,2)+1)</f>
        <v/>
      </c>
      <c r="E1582">
        <f>IF($C1582="","",DATE(YEAR($C1582),MONTH($C1582),1))</f>
        <v/>
      </c>
      <c r="F1582">
        <f>IF($C1582="","",YEAR($C1582)&amp;"-Q"&amp;ROUNDUP(MONTH($C1582)/3,0))</f>
        <v/>
      </c>
      <c r="L1582">
        <f>IF($G1582&lt;&gt;"ALCOHOL","",IF($K1582="","",$H1582*IFERROR(VLOOKUP($K1582,Drink_Templates!$A:$G,7,FALSE),0)))</f>
        <v/>
      </c>
    </row>
    <row r="1583" ht="15" customHeight="1">
      <c r="C1583">
        <f>IF($B1583="","",INT($B1583))</f>
        <v/>
      </c>
      <c r="D1583">
        <f>IF($C1583="","",$C1583-WEEKDAY($C1583,2)+1)</f>
        <v/>
      </c>
      <c r="E1583">
        <f>IF($C1583="","",DATE(YEAR($C1583),MONTH($C1583),1))</f>
        <v/>
      </c>
      <c r="F1583">
        <f>IF($C1583="","",YEAR($C1583)&amp;"-Q"&amp;ROUNDUP(MONTH($C1583)/3,0))</f>
        <v/>
      </c>
      <c r="L1583">
        <f>IF($G1583&lt;&gt;"ALCOHOL","",IF($K1583="","",$H1583*IFERROR(VLOOKUP($K1583,Drink_Templates!$A:$G,7,FALSE),0)))</f>
        <v/>
      </c>
    </row>
    <row r="1584" ht="15" customHeight="1">
      <c r="C1584">
        <f>IF($B1584="","",INT($B1584))</f>
        <v/>
      </c>
      <c r="D1584">
        <f>IF($C1584="","",$C1584-WEEKDAY($C1584,2)+1)</f>
        <v/>
      </c>
      <c r="E1584">
        <f>IF($C1584="","",DATE(YEAR($C1584),MONTH($C1584),1))</f>
        <v/>
      </c>
      <c r="F1584">
        <f>IF($C1584="","",YEAR($C1584)&amp;"-Q"&amp;ROUNDUP(MONTH($C1584)/3,0))</f>
        <v/>
      </c>
      <c r="L1584">
        <f>IF($G1584&lt;&gt;"ALCOHOL","",IF($K1584="","",$H1584*IFERROR(VLOOKUP($K1584,Drink_Templates!$A:$G,7,FALSE),0)))</f>
        <v/>
      </c>
    </row>
    <row r="1585" ht="15" customHeight="1">
      <c r="C1585">
        <f>IF($B1585="","",INT($B1585))</f>
        <v/>
      </c>
      <c r="D1585">
        <f>IF($C1585="","",$C1585-WEEKDAY($C1585,2)+1)</f>
        <v/>
      </c>
      <c r="E1585">
        <f>IF($C1585="","",DATE(YEAR($C1585),MONTH($C1585),1))</f>
        <v/>
      </c>
      <c r="F1585">
        <f>IF($C1585="","",YEAR($C1585)&amp;"-Q"&amp;ROUNDUP(MONTH($C1585)/3,0))</f>
        <v/>
      </c>
      <c r="L1585">
        <f>IF($G1585&lt;&gt;"ALCOHOL","",IF($K1585="","",$H1585*IFERROR(VLOOKUP($K1585,Drink_Templates!$A:$G,7,FALSE),0)))</f>
        <v/>
      </c>
    </row>
    <row r="1586" ht="15" customHeight="1">
      <c r="C1586">
        <f>IF($B1586="","",INT($B1586))</f>
        <v/>
      </c>
      <c r="D1586">
        <f>IF($C1586="","",$C1586-WEEKDAY($C1586,2)+1)</f>
        <v/>
      </c>
      <c r="E1586">
        <f>IF($C1586="","",DATE(YEAR($C1586),MONTH($C1586),1))</f>
        <v/>
      </c>
      <c r="F1586">
        <f>IF($C1586="","",YEAR($C1586)&amp;"-Q"&amp;ROUNDUP(MONTH($C1586)/3,0))</f>
        <v/>
      </c>
      <c r="L1586">
        <f>IF($G1586&lt;&gt;"ALCOHOL","",IF($K1586="","",$H1586*IFERROR(VLOOKUP($K1586,Drink_Templates!$A:$G,7,FALSE),0)))</f>
        <v/>
      </c>
    </row>
    <row r="1587" ht="15" customHeight="1">
      <c r="C1587">
        <f>IF($B1587="","",INT($B1587))</f>
        <v/>
      </c>
      <c r="D1587">
        <f>IF($C1587="","",$C1587-WEEKDAY($C1587,2)+1)</f>
        <v/>
      </c>
      <c r="E1587">
        <f>IF($C1587="","",DATE(YEAR($C1587),MONTH($C1587),1))</f>
        <v/>
      </c>
      <c r="F1587">
        <f>IF($C1587="","",YEAR($C1587)&amp;"-Q"&amp;ROUNDUP(MONTH($C1587)/3,0))</f>
        <v/>
      </c>
      <c r="L1587">
        <f>IF($G1587&lt;&gt;"ALCOHOL","",IF($K1587="","",$H1587*IFERROR(VLOOKUP($K1587,Drink_Templates!$A:$G,7,FALSE),0)))</f>
        <v/>
      </c>
    </row>
    <row r="1588" ht="15" customHeight="1">
      <c r="C1588">
        <f>IF($B1588="","",INT($B1588))</f>
        <v/>
      </c>
      <c r="D1588">
        <f>IF($C1588="","",$C1588-WEEKDAY($C1588,2)+1)</f>
        <v/>
      </c>
      <c r="E1588">
        <f>IF($C1588="","",DATE(YEAR($C1588),MONTH($C1588),1))</f>
        <v/>
      </c>
      <c r="F1588">
        <f>IF($C1588="","",YEAR($C1588)&amp;"-Q"&amp;ROUNDUP(MONTH($C1588)/3,0))</f>
        <v/>
      </c>
      <c r="L1588">
        <f>IF($G1588&lt;&gt;"ALCOHOL","",IF($K1588="","",$H1588*IFERROR(VLOOKUP($K1588,Drink_Templates!$A:$G,7,FALSE),0)))</f>
        <v/>
      </c>
    </row>
    <row r="1589" ht="15" customHeight="1">
      <c r="C1589">
        <f>IF($B1589="","",INT($B1589))</f>
        <v/>
      </c>
      <c r="D1589">
        <f>IF($C1589="","",$C1589-WEEKDAY($C1589,2)+1)</f>
        <v/>
      </c>
      <c r="E1589">
        <f>IF($C1589="","",DATE(YEAR($C1589),MONTH($C1589),1))</f>
        <v/>
      </c>
      <c r="F1589">
        <f>IF($C1589="","",YEAR($C1589)&amp;"-Q"&amp;ROUNDUP(MONTH($C1589)/3,0))</f>
        <v/>
      </c>
      <c r="L1589">
        <f>IF($G1589&lt;&gt;"ALCOHOL","",IF($K1589="","",$H1589*IFERROR(VLOOKUP($K1589,Drink_Templates!$A:$G,7,FALSE),0)))</f>
        <v/>
      </c>
    </row>
    <row r="1590" ht="15" customHeight="1">
      <c r="C1590">
        <f>IF($B1590="","",INT($B1590))</f>
        <v/>
      </c>
      <c r="D1590">
        <f>IF($C1590="","",$C1590-WEEKDAY($C1590,2)+1)</f>
        <v/>
      </c>
      <c r="E1590">
        <f>IF($C1590="","",DATE(YEAR($C1590),MONTH($C1590),1))</f>
        <v/>
      </c>
      <c r="F1590">
        <f>IF($C1590="","",YEAR($C1590)&amp;"-Q"&amp;ROUNDUP(MONTH($C1590)/3,0))</f>
        <v/>
      </c>
      <c r="L1590">
        <f>IF($G1590&lt;&gt;"ALCOHOL","",IF($K1590="","",$H1590*IFERROR(VLOOKUP($K1590,Drink_Templates!$A:$G,7,FALSE),0)))</f>
        <v/>
      </c>
    </row>
    <row r="1591" ht="15" customHeight="1">
      <c r="C1591">
        <f>IF($B1591="","",INT($B1591))</f>
        <v/>
      </c>
      <c r="D1591">
        <f>IF($C1591="","",$C1591-WEEKDAY($C1591,2)+1)</f>
        <v/>
      </c>
      <c r="E1591">
        <f>IF($C1591="","",DATE(YEAR($C1591),MONTH($C1591),1))</f>
        <v/>
      </c>
      <c r="F1591">
        <f>IF($C1591="","",YEAR($C1591)&amp;"-Q"&amp;ROUNDUP(MONTH($C1591)/3,0))</f>
        <v/>
      </c>
      <c r="L1591">
        <f>IF($G1591&lt;&gt;"ALCOHOL","",IF($K1591="","",$H1591*IFERROR(VLOOKUP($K1591,Drink_Templates!$A:$G,7,FALSE),0)))</f>
        <v/>
      </c>
    </row>
    <row r="1592" ht="15" customHeight="1">
      <c r="C1592">
        <f>IF($B1592="","",INT($B1592))</f>
        <v/>
      </c>
      <c r="D1592">
        <f>IF($C1592="","",$C1592-WEEKDAY($C1592,2)+1)</f>
        <v/>
      </c>
      <c r="E1592">
        <f>IF($C1592="","",DATE(YEAR($C1592),MONTH($C1592),1))</f>
        <v/>
      </c>
      <c r="F1592">
        <f>IF($C1592="","",YEAR($C1592)&amp;"-Q"&amp;ROUNDUP(MONTH($C1592)/3,0))</f>
        <v/>
      </c>
      <c r="L1592">
        <f>IF($G1592&lt;&gt;"ALCOHOL","",IF($K1592="","",$H1592*IFERROR(VLOOKUP($K1592,Drink_Templates!$A:$G,7,FALSE),0)))</f>
        <v/>
      </c>
    </row>
    <row r="1593" ht="15" customHeight="1">
      <c r="C1593">
        <f>IF($B1593="","",INT($B1593))</f>
        <v/>
      </c>
      <c r="D1593">
        <f>IF($C1593="","",$C1593-WEEKDAY($C1593,2)+1)</f>
        <v/>
      </c>
      <c r="E1593">
        <f>IF($C1593="","",DATE(YEAR($C1593),MONTH($C1593),1))</f>
        <v/>
      </c>
      <c r="F1593">
        <f>IF($C1593="","",YEAR($C1593)&amp;"-Q"&amp;ROUNDUP(MONTH($C1593)/3,0))</f>
        <v/>
      </c>
      <c r="L1593">
        <f>IF($G1593&lt;&gt;"ALCOHOL","",IF($K1593="","",$H1593*IFERROR(VLOOKUP($K1593,Drink_Templates!$A:$G,7,FALSE),0)))</f>
        <v/>
      </c>
    </row>
    <row r="1594" ht="15" customHeight="1">
      <c r="C1594">
        <f>IF($B1594="","",INT($B1594))</f>
        <v/>
      </c>
      <c r="D1594">
        <f>IF($C1594="","",$C1594-WEEKDAY($C1594,2)+1)</f>
        <v/>
      </c>
      <c r="E1594">
        <f>IF($C1594="","",DATE(YEAR($C1594),MONTH($C1594),1))</f>
        <v/>
      </c>
      <c r="F1594">
        <f>IF($C1594="","",YEAR($C1594)&amp;"-Q"&amp;ROUNDUP(MONTH($C1594)/3,0))</f>
        <v/>
      </c>
      <c r="L1594">
        <f>IF($G1594&lt;&gt;"ALCOHOL","",IF($K1594="","",$H1594*IFERROR(VLOOKUP($K1594,Drink_Templates!$A:$G,7,FALSE),0)))</f>
        <v/>
      </c>
    </row>
    <row r="1595" ht="15" customHeight="1">
      <c r="C1595">
        <f>IF($B1595="","",INT($B1595))</f>
        <v/>
      </c>
      <c r="D1595">
        <f>IF($C1595="","",$C1595-WEEKDAY($C1595,2)+1)</f>
        <v/>
      </c>
      <c r="E1595">
        <f>IF($C1595="","",DATE(YEAR($C1595),MONTH($C1595),1))</f>
        <v/>
      </c>
      <c r="F1595">
        <f>IF($C1595="","",YEAR($C1595)&amp;"-Q"&amp;ROUNDUP(MONTH($C1595)/3,0))</f>
        <v/>
      </c>
      <c r="L1595">
        <f>IF($G1595&lt;&gt;"ALCOHOL","",IF($K1595="","",$H1595*IFERROR(VLOOKUP($K1595,Drink_Templates!$A:$G,7,FALSE),0)))</f>
        <v/>
      </c>
    </row>
    <row r="1596" ht="15" customHeight="1">
      <c r="C1596">
        <f>IF($B1596="","",INT($B1596))</f>
        <v/>
      </c>
      <c r="D1596">
        <f>IF($C1596="","",$C1596-WEEKDAY($C1596,2)+1)</f>
        <v/>
      </c>
      <c r="E1596">
        <f>IF($C1596="","",DATE(YEAR($C1596),MONTH($C1596),1))</f>
        <v/>
      </c>
      <c r="F1596">
        <f>IF($C1596="","",YEAR($C1596)&amp;"-Q"&amp;ROUNDUP(MONTH($C1596)/3,0))</f>
        <v/>
      </c>
      <c r="L1596">
        <f>IF($G1596&lt;&gt;"ALCOHOL","",IF($K1596="","",$H1596*IFERROR(VLOOKUP($K1596,Drink_Templates!$A:$G,7,FALSE),0)))</f>
        <v/>
      </c>
    </row>
    <row r="1597" ht="15" customHeight="1">
      <c r="C1597">
        <f>IF($B1597="","",INT($B1597))</f>
        <v/>
      </c>
      <c r="D1597">
        <f>IF($C1597="","",$C1597-WEEKDAY($C1597,2)+1)</f>
        <v/>
      </c>
      <c r="E1597">
        <f>IF($C1597="","",DATE(YEAR($C1597),MONTH($C1597),1))</f>
        <v/>
      </c>
      <c r="F1597">
        <f>IF($C1597="","",YEAR($C1597)&amp;"-Q"&amp;ROUNDUP(MONTH($C1597)/3,0))</f>
        <v/>
      </c>
      <c r="L1597">
        <f>IF($G1597&lt;&gt;"ALCOHOL","",IF($K1597="","",$H1597*IFERROR(VLOOKUP($K1597,Drink_Templates!$A:$G,7,FALSE),0)))</f>
        <v/>
      </c>
    </row>
    <row r="1598" ht="15" customHeight="1">
      <c r="C1598">
        <f>IF($B1598="","",INT($B1598))</f>
        <v/>
      </c>
      <c r="D1598">
        <f>IF($C1598="","",$C1598-WEEKDAY($C1598,2)+1)</f>
        <v/>
      </c>
      <c r="E1598">
        <f>IF($C1598="","",DATE(YEAR($C1598),MONTH($C1598),1))</f>
        <v/>
      </c>
      <c r="F1598">
        <f>IF($C1598="","",YEAR($C1598)&amp;"-Q"&amp;ROUNDUP(MONTH($C1598)/3,0))</f>
        <v/>
      </c>
      <c r="L1598">
        <f>IF($G1598&lt;&gt;"ALCOHOL","",IF($K1598="","",$H1598*IFERROR(VLOOKUP($K1598,Drink_Templates!$A:$G,7,FALSE),0)))</f>
        <v/>
      </c>
    </row>
    <row r="1599" ht="15" customHeight="1">
      <c r="C1599">
        <f>IF($B1599="","",INT($B1599))</f>
        <v/>
      </c>
      <c r="D1599">
        <f>IF($C1599="","",$C1599-WEEKDAY($C1599,2)+1)</f>
        <v/>
      </c>
      <c r="E1599">
        <f>IF($C1599="","",DATE(YEAR($C1599),MONTH($C1599),1))</f>
        <v/>
      </c>
      <c r="F1599">
        <f>IF($C1599="","",YEAR($C1599)&amp;"-Q"&amp;ROUNDUP(MONTH($C1599)/3,0))</f>
        <v/>
      </c>
      <c r="L1599">
        <f>IF($G1599&lt;&gt;"ALCOHOL","",IF($K1599="","",$H1599*IFERROR(VLOOKUP($K1599,Drink_Templates!$A:$G,7,FALSE),0)))</f>
        <v/>
      </c>
    </row>
    <row r="1600" ht="15" customHeight="1">
      <c r="C1600">
        <f>IF($B1600="","",INT($B1600))</f>
        <v/>
      </c>
      <c r="D1600">
        <f>IF($C1600="","",$C1600-WEEKDAY($C1600,2)+1)</f>
        <v/>
      </c>
      <c r="E1600">
        <f>IF($C1600="","",DATE(YEAR($C1600),MONTH($C1600),1))</f>
        <v/>
      </c>
      <c r="F1600">
        <f>IF($C1600="","",YEAR($C1600)&amp;"-Q"&amp;ROUNDUP(MONTH($C1600)/3,0))</f>
        <v/>
      </c>
      <c r="L1600">
        <f>IF($G1600&lt;&gt;"ALCOHOL","",IF($K1600="","",$H1600*IFERROR(VLOOKUP($K1600,Drink_Templates!$A:$G,7,FALSE),0)))</f>
        <v/>
      </c>
    </row>
    <row r="1601" ht="15" customHeight="1">
      <c r="C1601">
        <f>IF($B1601="","",INT($B1601))</f>
        <v/>
      </c>
      <c r="D1601">
        <f>IF($C1601="","",$C1601-WEEKDAY($C1601,2)+1)</f>
        <v/>
      </c>
      <c r="E1601">
        <f>IF($C1601="","",DATE(YEAR($C1601),MONTH($C1601),1))</f>
        <v/>
      </c>
      <c r="F1601">
        <f>IF($C1601="","",YEAR($C1601)&amp;"-Q"&amp;ROUNDUP(MONTH($C1601)/3,0))</f>
        <v/>
      </c>
      <c r="L1601">
        <f>IF($G1601&lt;&gt;"ALCOHOL","",IF($K1601="","",$H1601*IFERROR(VLOOKUP($K1601,Drink_Templates!$A:$G,7,FALSE),0)))</f>
        <v/>
      </c>
    </row>
    <row r="1602" ht="15" customHeight="1">
      <c r="C1602">
        <f>IF($B1602="","",INT($B1602))</f>
        <v/>
      </c>
      <c r="D1602">
        <f>IF($C1602="","",$C1602-WEEKDAY($C1602,2)+1)</f>
        <v/>
      </c>
      <c r="E1602">
        <f>IF($C1602="","",DATE(YEAR($C1602),MONTH($C1602),1))</f>
        <v/>
      </c>
      <c r="F1602">
        <f>IF($C1602="","",YEAR($C1602)&amp;"-Q"&amp;ROUNDUP(MONTH($C1602)/3,0))</f>
        <v/>
      </c>
      <c r="L1602">
        <f>IF($G1602&lt;&gt;"ALCOHOL","",IF($K1602="","",$H1602*IFERROR(VLOOKUP($K1602,Drink_Templates!$A:$G,7,FALSE),0)))</f>
        <v/>
      </c>
    </row>
    <row r="1603" ht="15" customHeight="1">
      <c r="C1603">
        <f>IF($B1603="","",INT($B1603))</f>
        <v/>
      </c>
      <c r="D1603">
        <f>IF($C1603="","",$C1603-WEEKDAY($C1603,2)+1)</f>
        <v/>
      </c>
      <c r="E1603">
        <f>IF($C1603="","",DATE(YEAR($C1603),MONTH($C1603),1))</f>
        <v/>
      </c>
      <c r="F1603">
        <f>IF($C1603="","",YEAR($C1603)&amp;"-Q"&amp;ROUNDUP(MONTH($C1603)/3,0))</f>
        <v/>
      </c>
      <c r="L1603">
        <f>IF($G1603&lt;&gt;"ALCOHOL","",IF($K1603="","",$H1603*IFERROR(VLOOKUP($K1603,Drink_Templates!$A:$G,7,FALSE),0)))</f>
        <v/>
      </c>
    </row>
    <row r="1604" ht="15" customHeight="1">
      <c r="C1604">
        <f>IF($B1604="","",INT($B1604))</f>
        <v/>
      </c>
      <c r="D1604">
        <f>IF($C1604="","",$C1604-WEEKDAY($C1604,2)+1)</f>
        <v/>
      </c>
      <c r="E1604">
        <f>IF($C1604="","",DATE(YEAR($C1604),MONTH($C1604),1))</f>
        <v/>
      </c>
      <c r="F1604">
        <f>IF($C1604="","",YEAR($C1604)&amp;"-Q"&amp;ROUNDUP(MONTH($C1604)/3,0))</f>
        <v/>
      </c>
      <c r="L1604">
        <f>IF($G1604&lt;&gt;"ALCOHOL","",IF($K1604="","",$H1604*IFERROR(VLOOKUP($K1604,Drink_Templates!$A:$G,7,FALSE),0)))</f>
        <v/>
      </c>
    </row>
    <row r="1605" ht="15" customHeight="1">
      <c r="C1605">
        <f>IF($B1605="","",INT($B1605))</f>
        <v/>
      </c>
      <c r="D1605">
        <f>IF($C1605="","",$C1605-WEEKDAY($C1605,2)+1)</f>
        <v/>
      </c>
      <c r="E1605">
        <f>IF($C1605="","",DATE(YEAR($C1605),MONTH($C1605),1))</f>
        <v/>
      </c>
      <c r="F1605">
        <f>IF($C1605="","",YEAR($C1605)&amp;"-Q"&amp;ROUNDUP(MONTH($C1605)/3,0))</f>
        <v/>
      </c>
      <c r="L1605">
        <f>IF($G1605&lt;&gt;"ALCOHOL","",IF($K1605="","",$H1605*IFERROR(VLOOKUP($K1605,Drink_Templates!$A:$G,7,FALSE),0)))</f>
        <v/>
      </c>
    </row>
    <row r="1606" ht="15" customHeight="1">
      <c r="C1606">
        <f>IF($B1606="","",INT($B1606))</f>
        <v/>
      </c>
      <c r="D1606">
        <f>IF($C1606="","",$C1606-WEEKDAY($C1606,2)+1)</f>
        <v/>
      </c>
      <c r="E1606">
        <f>IF($C1606="","",DATE(YEAR($C1606),MONTH($C1606),1))</f>
        <v/>
      </c>
      <c r="F1606">
        <f>IF($C1606="","",YEAR($C1606)&amp;"-Q"&amp;ROUNDUP(MONTH($C1606)/3,0))</f>
        <v/>
      </c>
      <c r="L1606">
        <f>IF($G1606&lt;&gt;"ALCOHOL","",IF($K1606="","",$H1606*IFERROR(VLOOKUP($K1606,Drink_Templates!$A:$G,7,FALSE),0)))</f>
        <v/>
      </c>
    </row>
    <row r="1607" ht="15" customHeight="1">
      <c r="C1607">
        <f>IF($B1607="","",INT($B1607))</f>
        <v/>
      </c>
      <c r="D1607">
        <f>IF($C1607="","",$C1607-WEEKDAY($C1607,2)+1)</f>
        <v/>
      </c>
      <c r="E1607">
        <f>IF($C1607="","",DATE(YEAR($C1607),MONTH($C1607),1))</f>
        <v/>
      </c>
      <c r="F1607">
        <f>IF($C1607="","",YEAR($C1607)&amp;"-Q"&amp;ROUNDUP(MONTH($C1607)/3,0))</f>
        <v/>
      </c>
      <c r="L1607">
        <f>IF($G1607&lt;&gt;"ALCOHOL","",IF($K1607="","",$H1607*IFERROR(VLOOKUP($K1607,Drink_Templates!$A:$G,7,FALSE),0)))</f>
        <v/>
      </c>
    </row>
    <row r="1608" ht="15" customHeight="1">
      <c r="C1608">
        <f>IF($B1608="","",INT($B1608))</f>
        <v/>
      </c>
      <c r="D1608">
        <f>IF($C1608="","",$C1608-WEEKDAY($C1608,2)+1)</f>
        <v/>
      </c>
      <c r="E1608">
        <f>IF($C1608="","",DATE(YEAR($C1608),MONTH($C1608),1))</f>
        <v/>
      </c>
      <c r="F1608">
        <f>IF($C1608="","",YEAR($C1608)&amp;"-Q"&amp;ROUNDUP(MONTH($C1608)/3,0))</f>
        <v/>
      </c>
      <c r="L1608">
        <f>IF($G1608&lt;&gt;"ALCOHOL","",IF($K1608="","",$H1608*IFERROR(VLOOKUP($K1608,Drink_Templates!$A:$G,7,FALSE),0)))</f>
        <v/>
      </c>
    </row>
    <row r="1609" ht="15" customHeight="1">
      <c r="C1609">
        <f>IF($B1609="","",INT($B1609))</f>
        <v/>
      </c>
      <c r="D1609">
        <f>IF($C1609="","",$C1609-WEEKDAY($C1609,2)+1)</f>
        <v/>
      </c>
      <c r="E1609">
        <f>IF($C1609="","",DATE(YEAR($C1609),MONTH($C1609),1))</f>
        <v/>
      </c>
      <c r="F1609">
        <f>IF($C1609="","",YEAR($C1609)&amp;"-Q"&amp;ROUNDUP(MONTH($C1609)/3,0))</f>
        <v/>
      </c>
      <c r="L1609">
        <f>IF($G1609&lt;&gt;"ALCOHOL","",IF($K1609="","",$H1609*IFERROR(VLOOKUP($K1609,Drink_Templates!$A:$G,7,FALSE),0)))</f>
        <v/>
      </c>
    </row>
    <row r="1610" ht="15" customHeight="1">
      <c r="C1610">
        <f>IF($B1610="","",INT($B1610))</f>
        <v/>
      </c>
      <c r="D1610">
        <f>IF($C1610="","",$C1610-WEEKDAY($C1610,2)+1)</f>
        <v/>
      </c>
      <c r="E1610">
        <f>IF($C1610="","",DATE(YEAR($C1610),MONTH($C1610),1))</f>
        <v/>
      </c>
      <c r="F1610">
        <f>IF($C1610="","",YEAR($C1610)&amp;"-Q"&amp;ROUNDUP(MONTH($C1610)/3,0))</f>
        <v/>
      </c>
      <c r="L1610">
        <f>IF($G1610&lt;&gt;"ALCOHOL","",IF($K1610="","",$H1610*IFERROR(VLOOKUP($K1610,Drink_Templates!$A:$G,7,FALSE),0)))</f>
        <v/>
      </c>
    </row>
    <row r="1611" ht="15" customHeight="1">
      <c r="C1611">
        <f>IF($B1611="","",INT($B1611))</f>
        <v/>
      </c>
      <c r="D1611">
        <f>IF($C1611="","",$C1611-WEEKDAY($C1611,2)+1)</f>
        <v/>
      </c>
      <c r="E1611">
        <f>IF($C1611="","",DATE(YEAR($C1611),MONTH($C1611),1))</f>
        <v/>
      </c>
      <c r="F1611">
        <f>IF($C1611="","",YEAR($C1611)&amp;"-Q"&amp;ROUNDUP(MONTH($C1611)/3,0))</f>
        <v/>
      </c>
      <c r="L1611">
        <f>IF($G1611&lt;&gt;"ALCOHOL","",IF($K1611="","",$H1611*IFERROR(VLOOKUP($K1611,Drink_Templates!$A:$G,7,FALSE),0)))</f>
        <v/>
      </c>
    </row>
    <row r="1612" ht="15" customHeight="1">
      <c r="C1612">
        <f>IF($B1612="","",INT($B1612))</f>
        <v/>
      </c>
      <c r="D1612">
        <f>IF($C1612="","",$C1612-WEEKDAY($C1612,2)+1)</f>
        <v/>
      </c>
      <c r="E1612">
        <f>IF($C1612="","",DATE(YEAR($C1612),MONTH($C1612),1))</f>
        <v/>
      </c>
      <c r="F1612">
        <f>IF($C1612="","",YEAR($C1612)&amp;"-Q"&amp;ROUNDUP(MONTH($C1612)/3,0))</f>
        <v/>
      </c>
      <c r="L1612">
        <f>IF($G1612&lt;&gt;"ALCOHOL","",IF($K1612="","",$H1612*IFERROR(VLOOKUP($K1612,Drink_Templates!$A:$G,7,FALSE),0)))</f>
        <v/>
      </c>
    </row>
    <row r="1613" ht="15" customHeight="1">
      <c r="C1613">
        <f>IF($B1613="","",INT($B1613))</f>
        <v/>
      </c>
      <c r="D1613">
        <f>IF($C1613="","",$C1613-WEEKDAY($C1613,2)+1)</f>
        <v/>
      </c>
      <c r="E1613">
        <f>IF($C1613="","",DATE(YEAR($C1613),MONTH($C1613),1))</f>
        <v/>
      </c>
      <c r="F1613">
        <f>IF($C1613="","",YEAR($C1613)&amp;"-Q"&amp;ROUNDUP(MONTH($C1613)/3,0))</f>
        <v/>
      </c>
      <c r="L1613">
        <f>IF($G1613&lt;&gt;"ALCOHOL","",IF($K1613="","",$H1613*IFERROR(VLOOKUP($K1613,Drink_Templates!$A:$G,7,FALSE),0)))</f>
        <v/>
      </c>
    </row>
    <row r="1614" ht="15" customHeight="1">
      <c r="C1614">
        <f>IF($B1614="","",INT($B1614))</f>
        <v/>
      </c>
      <c r="D1614">
        <f>IF($C1614="","",$C1614-WEEKDAY($C1614,2)+1)</f>
        <v/>
      </c>
      <c r="E1614">
        <f>IF($C1614="","",DATE(YEAR($C1614),MONTH($C1614),1))</f>
        <v/>
      </c>
      <c r="F1614">
        <f>IF($C1614="","",YEAR($C1614)&amp;"-Q"&amp;ROUNDUP(MONTH($C1614)/3,0))</f>
        <v/>
      </c>
      <c r="L1614">
        <f>IF($G1614&lt;&gt;"ALCOHOL","",IF($K1614="","",$H1614*IFERROR(VLOOKUP($K1614,Drink_Templates!$A:$G,7,FALSE),0)))</f>
        <v/>
      </c>
    </row>
    <row r="1615" ht="15" customHeight="1">
      <c r="C1615">
        <f>IF($B1615="","",INT($B1615))</f>
        <v/>
      </c>
      <c r="D1615">
        <f>IF($C1615="","",$C1615-WEEKDAY($C1615,2)+1)</f>
        <v/>
      </c>
      <c r="E1615">
        <f>IF($C1615="","",DATE(YEAR($C1615),MONTH($C1615),1))</f>
        <v/>
      </c>
      <c r="F1615">
        <f>IF($C1615="","",YEAR($C1615)&amp;"-Q"&amp;ROUNDUP(MONTH($C1615)/3,0))</f>
        <v/>
      </c>
      <c r="L1615">
        <f>IF($G1615&lt;&gt;"ALCOHOL","",IF($K1615="","",$H1615*IFERROR(VLOOKUP($K1615,Drink_Templates!$A:$G,7,FALSE),0)))</f>
        <v/>
      </c>
    </row>
    <row r="1616" ht="15" customHeight="1">
      <c r="C1616">
        <f>IF($B1616="","",INT($B1616))</f>
        <v/>
      </c>
      <c r="D1616">
        <f>IF($C1616="","",$C1616-WEEKDAY($C1616,2)+1)</f>
        <v/>
      </c>
      <c r="E1616">
        <f>IF($C1616="","",DATE(YEAR($C1616),MONTH($C1616),1))</f>
        <v/>
      </c>
      <c r="F1616">
        <f>IF($C1616="","",YEAR($C1616)&amp;"-Q"&amp;ROUNDUP(MONTH($C1616)/3,0))</f>
        <v/>
      </c>
      <c r="L1616">
        <f>IF($G1616&lt;&gt;"ALCOHOL","",IF($K1616="","",$H1616*IFERROR(VLOOKUP($K1616,Drink_Templates!$A:$G,7,FALSE),0)))</f>
        <v/>
      </c>
    </row>
    <row r="1617" ht="15" customHeight="1">
      <c r="C1617">
        <f>IF($B1617="","",INT($B1617))</f>
        <v/>
      </c>
      <c r="D1617">
        <f>IF($C1617="","",$C1617-WEEKDAY($C1617,2)+1)</f>
        <v/>
      </c>
      <c r="E1617">
        <f>IF($C1617="","",DATE(YEAR($C1617),MONTH($C1617),1))</f>
        <v/>
      </c>
      <c r="F1617">
        <f>IF($C1617="","",YEAR($C1617)&amp;"-Q"&amp;ROUNDUP(MONTH($C1617)/3,0))</f>
        <v/>
      </c>
      <c r="L1617">
        <f>IF($G1617&lt;&gt;"ALCOHOL","",IF($K1617="","",$H1617*IFERROR(VLOOKUP($K1617,Drink_Templates!$A:$G,7,FALSE),0)))</f>
        <v/>
      </c>
    </row>
    <row r="1618" ht="15" customHeight="1">
      <c r="C1618">
        <f>IF($B1618="","",INT($B1618))</f>
        <v/>
      </c>
      <c r="D1618">
        <f>IF($C1618="","",$C1618-WEEKDAY($C1618,2)+1)</f>
        <v/>
      </c>
      <c r="E1618">
        <f>IF($C1618="","",DATE(YEAR($C1618),MONTH($C1618),1))</f>
        <v/>
      </c>
      <c r="F1618">
        <f>IF($C1618="","",YEAR($C1618)&amp;"-Q"&amp;ROUNDUP(MONTH($C1618)/3,0))</f>
        <v/>
      </c>
      <c r="L1618">
        <f>IF($G1618&lt;&gt;"ALCOHOL","",IF($K1618="","",$H1618*IFERROR(VLOOKUP($K1618,Drink_Templates!$A:$G,7,FALSE),0)))</f>
        <v/>
      </c>
    </row>
    <row r="1619" ht="15" customHeight="1">
      <c r="C1619">
        <f>IF($B1619="","",INT($B1619))</f>
        <v/>
      </c>
      <c r="D1619">
        <f>IF($C1619="","",$C1619-WEEKDAY($C1619,2)+1)</f>
        <v/>
      </c>
      <c r="E1619">
        <f>IF($C1619="","",DATE(YEAR($C1619),MONTH($C1619),1))</f>
        <v/>
      </c>
      <c r="F1619">
        <f>IF($C1619="","",YEAR($C1619)&amp;"-Q"&amp;ROUNDUP(MONTH($C1619)/3,0))</f>
        <v/>
      </c>
      <c r="L1619">
        <f>IF($G1619&lt;&gt;"ALCOHOL","",IF($K1619="","",$H1619*IFERROR(VLOOKUP($K1619,Drink_Templates!$A:$G,7,FALSE),0)))</f>
        <v/>
      </c>
    </row>
    <row r="1620" ht="15" customHeight="1">
      <c r="C1620">
        <f>IF($B1620="","",INT($B1620))</f>
        <v/>
      </c>
      <c r="D1620">
        <f>IF($C1620="","",$C1620-WEEKDAY($C1620,2)+1)</f>
        <v/>
      </c>
      <c r="E1620">
        <f>IF($C1620="","",DATE(YEAR($C1620),MONTH($C1620),1))</f>
        <v/>
      </c>
      <c r="F1620">
        <f>IF($C1620="","",YEAR($C1620)&amp;"-Q"&amp;ROUNDUP(MONTH($C1620)/3,0))</f>
        <v/>
      </c>
      <c r="L1620">
        <f>IF($G1620&lt;&gt;"ALCOHOL","",IF($K1620="","",$H1620*IFERROR(VLOOKUP($K1620,Drink_Templates!$A:$G,7,FALSE),0)))</f>
        <v/>
      </c>
    </row>
    <row r="1621" ht="15" customHeight="1">
      <c r="C1621">
        <f>IF($B1621="","",INT($B1621))</f>
        <v/>
      </c>
      <c r="D1621">
        <f>IF($C1621="","",$C1621-WEEKDAY($C1621,2)+1)</f>
        <v/>
      </c>
      <c r="E1621">
        <f>IF($C1621="","",DATE(YEAR($C1621),MONTH($C1621),1))</f>
        <v/>
      </c>
      <c r="F1621">
        <f>IF($C1621="","",YEAR($C1621)&amp;"-Q"&amp;ROUNDUP(MONTH($C1621)/3,0))</f>
        <v/>
      </c>
      <c r="L1621">
        <f>IF($G1621&lt;&gt;"ALCOHOL","",IF($K1621="","",$H1621*IFERROR(VLOOKUP($K1621,Drink_Templates!$A:$G,7,FALSE),0)))</f>
        <v/>
      </c>
    </row>
    <row r="1622" ht="15" customHeight="1">
      <c r="C1622">
        <f>IF($B1622="","",INT($B1622))</f>
        <v/>
      </c>
      <c r="D1622">
        <f>IF($C1622="","",$C1622-WEEKDAY($C1622,2)+1)</f>
        <v/>
      </c>
      <c r="E1622">
        <f>IF($C1622="","",DATE(YEAR($C1622),MONTH($C1622),1))</f>
        <v/>
      </c>
      <c r="F1622">
        <f>IF($C1622="","",YEAR($C1622)&amp;"-Q"&amp;ROUNDUP(MONTH($C1622)/3,0))</f>
        <v/>
      </c>
      <c r="L1622">
        <f>IF($G1622&lt;&gt;"ALCOHOL","",IF($K1622="","",$H1622*IFERROR(VLOOKUP($K1622,Drink_Templates!$A:$G,7,FALSE),0)))</f>
        <v/>
      </c>
    </row>
    <row r="1623" ht="15" customHeight="1">
      <c r="C1623">
        <f>IF($B1623="","",INT($B1623))</f>
        <v/>
      </c>
      <c r="D1623">
        <f>IF($C1623="","",$C1623-WEEKDAY($C1623,2)+1)</f>
        <v/>
      </c>
      <c r="E1623">
        <f>IF($C1623="","",DATE(YEAR($C1623),MONTH($C1623),1))</f>
        <v/>
      </c>
      <c r="F1623">
        <f>IF($C1623="","",YEAR($C1623)&amp;"-Q"&amp;ROUNDUP(MONTH($C1623)/3,0))</f>
        <v/>
      </c>
      <c r="L1623">
        <f>IF($G1623&lt;&gt;"ALCOHOL","",IF($K1623="","",$H1623*IFERROR(VLOOKUP($K1623,Drink_Templates!$A:$G,7,FALSE),0)))</f>
        <v/>
      </c>
    </row>
    <row r="1624" ht="15" customHeight="1">
      <c r="C1624">
        <f>IF($B1624="","",INT($B1624))</f>
        <v/>
      </c>
      <c r="D1624">
        <f>IF($C1624="","",$C1624-WEEKDAY($C1624,2)+1)</f>
        <v/>
      </c>
      <c r="E1624">
        <f>IF($C1624="","",DATE(YEAR($C1624),MONTH($C1624),1))</f>
        <v/>
      </c>
      <c r="F1624">
        <f>IF($C1624="","",YEAR($C1624)&amp;"-Q"&amp;ROUNDUP(MONTH($C1624)/3,0))</f>
        <v/>
      </c>
      <c r="L1624">
        <f>IF($G1624&lt;&gt;"ALCOHOL","",IF($K1624="","",$H1624*IFERROR(VLOOKUP($K1624,Drink_Templates!$A:$G,7,FALSE),0)))</f>
        <v/>
      </c>
    </row>
    <row r="1625" ht="15" customHeight="1">
      <c r="C1625">
        <f>IF($B1625="","",INT($B1625))</f>
        <v/>
      </c>
      <c r="D1625">
        <f>IF($C1625="","",$C1625-WEEKDAY($C1625,2)+1)</f>
        <v/>
      </c>
      <c r="E1625">
        <f>IF($C1625="","",DATE(YEAR($C1625),MONTH($C1625),1))</f>
        <v/>
      </c>
      <c r="F1625">
        <f>IF($C1625="","",YEAR($C1625)&amp;"-Q"&amp;ROUNDUP(MONTH($C1625)/3,0))</f>
        <v/>
      </c>
      <c r="L1625">
        <f>IF($G1625&lt;&gt;"ALCOHOL","",IF($K1625="","",$H1625*IFERROR(VLOOKUP($K1625,Drink_Templates!$A:$G,7,FALSE),0)))</f>
        <v/>
      </c>
    </row>
    <row r="1626" ht="15" customHeight="1">
      <c r="C1626">
        <f>IF($B1626="","",INT($B1626))</f>
        <v/>
      </c>
      <c r="D1626">
        <f>IF($C1626="","",$C1626-WEEKDAY($C1626,2)+1)</f>
        <v/>
      </c>
      <c r="E1626">
        <f>IF($C1626="","",DATE(YEAR($C1626),MONTH($C1626),1))</f>
        <v/>
      </c>
      <c r="F1626">
        <f>IF($C1626="","",YEAR($C1626)&amp;"-Q"&amp;ROUNDUP(MONTH($C1626)/3,0))</f>
        <v/>
      </c>
      <c r="L1626">
        <f>IF($G1626&lt;&gt;"ALCOHOL","",IF($K1626="","",$H1626*IFERROR(VLOOKUP($K1626,Drink_Templates!$A:$G,7,FALSE),0)))</f>
        <v/>
      </c>
    </row>
    <row r="1627" ht="15" customHeight="1">
      <c r="C1627">
        <f>IF($B1627="","",INT($B1627))</f>
        <v/>
      </c>
      <c r="D1627">
        <f>IF($C1627="","",$C1627-WEEKDAY($C1627,2)+1)</f>
        <v/>
      </c>
      <c r="E1627">
        <f>IF($C1627="","",DATE(YEAR($C1627),MONTH($C1627),1))</f>
        <v/>
      </c>
      <c r="F1627">
        <f>IF($C1627="","",YEAR($C1627)&amp;"-Q"&amp;ROUNDUP(MONTH($C1627)/3,0))</f>
        <v/>
      </c>
      <c r="L1627">
        <f>IF($G1627&lt;&gt;"ALCOHOL","",IF($K1627="","",$H1627*IFERROR(VLOOKUP($K1627,Drink_Templates!$A:$G,7,FALSE),0)))</f>
        <v/>
      </c>
    </row>
    <row r="1628" ht="15" customHeight="1">
      <c r="C1628">
        <f>IF($B1628="","",INT($B1628))</f>
        <v/>
      </c>
      <c r="D1628">
        <f>IF($C1628="","",$C1628-WEEKDAY($C1628,2)+1)</f>
        <v/>
      </c>
      <c r="E1628">
        <f>IF($C1628="","",DATE(YEAR($C1628),MONTH($C1628),1))</f>
        <v/>
      </c>
      <c r="F1628">
        <f>IF($C1628="","",YEAR($C1628)&amp;"-Q"&amp;ROUNDUP(MONTH($C1628)/3,0))</f>
        <v/>
      </c>
      <c r="L1628">
        <f>IF($G1628&lt;&gt;"ALCOHOL","",IF($K1628="","",$H1628*IFERROR(VLOOKUP($K1628,Drink_Templates!$A:$G,7,FALSE),0)))</f>
        <v/>
      </c>
    </row>
    <row r="1629" ht="15" customHeight="1">
      <c r="C1629">
        <f>IF($B1629="","",INT($B1629))</f>
        <v/>
      </c>
      <c r="D1629">
        <f>IF($C1629="","",$C1629-WEEKDAY($C1629,2)+1)</f>
        <v/>
      </c>
      <c r="E1629">
        <f>IF($C1629="","",DATE(YEAR($C1629),MONTH($C1629),1))</f>
        <v/>
      </c>
      <c r="F1629">
        <f>IF($C1629="","",YEAR($C1629)&amp;"-Q"&amp;ROUNDUP(MONTH($C1629)/3,0))</f>
        <v/>
      </c>
      <c r="L1629">
        <f>IF($G1629&lt;&gt;"ALCOHOL","",IF($K1629="","",$H1629*IFERROR(VLOOKUP($K1629,Drink_Templates!$A:$G,7,FALSE),0)))</f>
        <v/>
      </c>
    </row>
    <row r="1630" ht="15" customHeight="1">
      <c r="C1630">
        <f>IF($B1630="","",INT($B1630))</f>
        <v/>
      </c>
      <c r="D1630">
        <f>IF($C1630="","",$C1630-WEEKDAY($C1630,2)+1)</f>
        <v/>
      </c>
      <c r="E1630">
        <f>IF($C1630="","",DATE(YEAR($C1630),MONTH($C1630),1))</f>
        <v/>
      </c>
      <c r="F1630">
        <f>IF($C1630="","",YEAR($C1630)&amp;"-Q"&amp;ROUNDUP(MONTH($C1630)/3,0))</f>
        <v/>
      </c>
      <c r="L1630">
        <f>IF($G1630&lt;&gt;"ALCOHOL","",IF($K1630="","",$H1630*IFERROR(VLOOKUP($K1630,Drink_Templates!$A:$G,7,FALSE),0)))</f>
        <v/>
      </c>
    </row>
    <row r="1631" ht="15" customHeight="1">
      <c r="C1631">
        <f>IF($B1631="","",INT($B1631))</f>
        <v/>
      </c>
      <c r="D1631">
        <f>IF($C1631="","",$C1631-WEEKDAY($C1631,2)+1)</f>
        <v/>
      </c>
      <c r="E1631">
        <f>IF($C1631="","",DATE(YEAR($C1631),MONTH($C1631),1))</f>
        <v/>
      </c>
      <c r="F1631">
        <f>IF($C1631="","",YEAR($C1631)&amp;"-Q"&amp;ROUNDUP(MONTH($C1631)/3,0))</f>
        <v/>
      </c>
      <c r="L1631">
        <f>IF($G1631&lt;&gt;"ALCOHOL","",IF($K1631="","",$H1631*IFERROR(VLOOKUP($K1631,Drink_Templates!$A:$G,7,FALSE),0)))</f>
        <v/>
      </c>
    </row>
    <row r="1632" ht="15" customHeight="1">
      <c r="C1632">
        <f>IF($B1632="","",INT($B1632))</f>
        <v/>
      </c>
      <c r="D1632">
        <f>IF($C1632="","",$C1632-WEEKDAY($C1632,2)+1)</f>
        <v/>
      </c>
      <c r="E1632">
        <f>IF($C1632="","",DATE(YEAR($C1632),MONTH($C1632),1))</f>
        <v/>
      </c>
      <c r="F1632">
        <f>IF($C1632="","",YEAR($C1632)&amp;"-Q"&amp;ROUNDUP(MONTH($C1632)/3,0))</f>
        <v/>
      </c>
      <c r="L1632">
        <f>IF($G1632&lt;&gt;"ALCOHOL","",IF($K1632="","",$H1632*IFERROR(VLOOKUP($K1632,Drink_Templates!$A:$G,7,FALSE),0)))</f>
        <v/>
      </c>
    </row>
    <row r="1633" ht="15" customHeight="1">
      <c r="C1633">
        <f>IF($B1633="","",INT($B1633))</f>
        <v/>
      </c>
      <c r="D1633">
        <f>IF($C1633="","",$C1633-WEEKDAY($C1633,2)+1)</f>
        <v/>
      </c>
      <c r="E1633">
        <f>IF($C1633="","",DATE(YEAR($C1633),MONTH($C1633),1))</f>
        <v/>
      </c>
      <c r="F1633">
        <f>IF($C1633="","",YEAR($C1633)&amp;"-Q"&amp;ROUNDUP(MONTH($C1633)/3,0))</f>
        <v/>
      </c>
      <c r="L1633">
        <f>IF($G1633&lt;&gt;"ALCOHOL","",IF($K1633="","",$H1633*IFERROR(VLOOKUP($K1633,Drink_Templates!$A:$G,7,FALSE),0)))</f>
        <v/>
      </c>
    </row>
    <row r="1634" ht="15" customHeight="1">
      <c r="C1634">
        <f>IF($B1634="","",INT($B1634))</f>
        <v/>
      </c>
      <c r="D1634">
        <f>IF($C1634="","",$C1634-WEEKDAY($C1634,2)+1)</f>
        <v/>
      </c>
      <c r="E1634">
        <f>IF($C1634="","",DATE(YEAR($C1634),MONTH($C1634),1))</f>
        <v/>
      </c>
      <c r="F1634">
        <f>IF($C1634="","",YEAR($C1634)&amp;"-Q"&amp;ROUNDUP(MONTH($C1634)/3,0))</f>
        <v/>
      </c>
      <c r="L1634">
        <f>IF($G1634&lt;&gt;"ALCOHOL","",IF($K1634="","",$H1634*IFERROR(VLOOKUP($K1634,Drink_Templates!$A:$G,7,FALSE),0)))</f>
        <v/>
      </c>
    </row>
    <row r="1635" ht="15" customHeight="1">
      <c r="C1635">
        <f>IF($B1635="","",INT($B1635))</f>
        <v/>
      </c>
      <c r="D1635">
        <f>IF($C1635="","",$C1635-WEEKDAY($C1635,2)+1)</f>
        <v/>
      </c>
      <c r="E1635">
        <f>IF($C1635="","",DATE(YEAR($C1635),MONTH($C1635),1))</f>
        <v/>
      </c>
      <c r="F1635">
        <f>IF($C1635="","",YEAR($C1635)&amp;"-Q"&amp;ROUNDUP(MONTH($C1635)/3,0))</f>
        <v/>
      </c>
      <c r="L1635">
        <f>IF($G1635&lt;&gt;"ALCOHOL","",IF($K1635="","",$H1635*IFERROR(VLOOKUP($K1635,Drink_Templates!$A:$G,7,FALSE),0)))</f>
        <v/>
      </c>
    </row>
    <row r="1636" ht="15" customHeight="1">
      <c r="C1636">
        <f>IF($B1636="","",INT($B1636))</f>
        <v/>
      </c>
      <c r="D1636">
        <f>IF($C1636="","",$C1636-WEEKDAY($C1636,2)+1)</f>
        <v/>
      </c>
      <c r="E1636">
        <f>IF($C1636="","",DATE(YEAR($C1636),MONTH($C1636),1))</f>
        <v/>
      </c>
      <c r="F1636">
        <f>IF($C1636="","",YEAR($C1636)&amp;"-Q"&amp;ROUNDUP(MONTH($C1636)/3,0))</f>
        <v/>
      </c>
      <c r="L1636">
        <f>IF($G1636&lt;&gt;"ALCOHOL","",IF($K1636="","",$H1636*IFERROR(VLOOKUP($K1636,Drink_Templates!$A:$G,7,FALSE),0)))</f>
        <v/>
      </c>
    </row>
    <row r="1637" ht="15" customHeight="1">
      <c r="C1637">
        <f>IF($B1637="","",INT($B1637))</f>
        <v/>
      </c>
      <c r="D1637">
        <f>IF($C1637="","",$C1637-WEEKDAY($C1637,2)+1)</f>
        <v/>
      </c>
      <c r="E1637">
        <f>IF($C1637="","",DATE(YEAR($C1637),MONTH($C1637),1))</f>
        <v/>
      </c>
      <c r="F1637">
        <f>IF($C1637="","",YEAR($C1637)&amp;"-Q"&amp;ROUNDUP(MONTH($C1637)/3,0))</f>
        <v/>
      </c>
      <c r="L1637">
        <f>IF($G1637&lt;&gt;"ALCOHOL","",IF($K1637="","",$H1637*IFERROR(VLOOKUP($K1637,Drink_Templates!$A:$G,7,FALSE),0)))</f>
        <v/>
      </c>
    </row>
    <row r="1638" ht="15" customHeight="1">
      <c r="C1638">
        <f>IF($B1638="","",INT($B1638))</f>
        <v/>
      </c>
      <c r="D1638">
        <f>IF($C1638="","",$C1638-WEEKDAY($C1638,2)+1)</f>
        <v/>
      </c>
      <c r="E1638">
        <f>IF($C1638="","",DATE(YEAR($C1638),MONTH($C1638),1))</f>
        <v/>
      </c>
      <c r="F1638">
        <f>IF($C1638="","",YEAR($C1638)&amp;"-Q"&amp;ROUNDUP(MONTH($C1638)/3,0))</f>
        <v/>
      </c>
      <c r="L1638">
        <f>IF($G1638&lt;&gt;"ALCOHOL","",IF($K1638="","",$H1638*IFERROR(VLOOKUP($K1638,Drink_Templates!$A:$G,7,FALSE),0)))</f>
        <v/>
      </c>
    </row>
    <row r="1639" ht="15" customHeight="1">
      <c r="C1639">
        <f>IF($B1639="","",INT($B1639))</f>
        <v/>
      </c>
      <c r="D1639">
        <f>IF($C1639="","",$C1639-WEEKDAY($C1639,2)+1)</f>
        <v/>
      </c>
      <c r="E1639">
        <f>IF($C1639="","",DATE(YEAR($C1639),MONTH($C1639),1))</f>
        <v/>
      </c>
      <c r="F1639">
        <f>IF($C1639="","",YEAR($C1639)&amp;"-Q"&amp;ROUNDUP(MONTH($C1639)/3,0))</f>
        <v/>
      </c>
      <c r="L1639">
        <f>IF($G1639&lt;&gt;"ALCOHOL","",IF($K1639="","",$H1639*IFERROR(VLOOKUP($K1639,Drink_Templates!$A:$G,7,FALSE),0)))</f>
        <v/>
      </c>
    </row>
    <row r="1640" ht="15" customHeight="1">
      <c r="C1640">
        <f>IF($B1640="","",INT($B1640))</f>
        <v/>
      </c>
      <c r="D1640">
        <f>IF($C1640="","",$C1640-WEEKDAY($C1640,2)+1)</f>
        <v/>
      </c>
      <c r="E1640">
        <f>IF($C1640="","",DATE(YEAR($C1640),MONTH($C1640),1))</f>
        <v/>
      </c>
      <c r="F1640">
        <f>IF($C1640="","",YEAR($C1640)&amp;"-Q"&amp;ROUNDUP(MONTH($C1640)/3,0))</f>
        <v/>
      </c>
      <c r="L1640">
        <f>IF($G1640&lt;&gt;"ALCOHOL","",IF($K1640="","",$H1640*IFERROR(VLOOKUP($K1640,Drink_Templates!$A:$G,7,FALSE),0)))</f>
        <v/>
      </c>
    </row>
    <row r="1641" ht="15" customHeight="1">
      <c r="C1641">
        <f>IF($B1641="","",INT($B1641))</f>
        <v/>
      </c>
      <c r="D1641">
        <f>IF($C1641="","",$C1641-WEEKDAY($C1641,2)+1)</f>
        <v/>
      </c>
      <c r="E1641">
        <f>IF($C1641="","",DATE(YEAR($C1641),MONTH($C1641),1))</f>
        <v/>
      </c>
      <c r="F1641">
        <f>IF($C1641="","",YEAR($C1641)&amp;"-Q"&amp;ROUNDUP(MONTH($C1641)/3,0))</f>
        <v/>
      </c>
      <c r="L1641">
        <f>IF($G1641&lt;&gt;"ALCOHOL","",IF($K1641="","",$H1641*IFERROR(VLOOKUP($K1641,Drink_Templates!$A:$G,7,FALSE),0)))</f>
        <v/>
      </c>
    </row>
    <row r="1642" ht="15" customHeight="1">
      <c r="C1642">
        <f>IF($B1642="","",INT($B1642))</f>
        <v/>
      </c>
      <c r="D1642">
        <f>IF($C1642="","",$C1642-WEEKDAY($C1642,2)+1)</f>
        <v/>
      </c>
      <c r="E1642">
        <f>IF($C1642="","",DATE(YEAR($C1642),MONTH($C1642),1))</f>
        <v/>
      </c>
      <c r="F1642">
        <f>IF($C1642="","",YEAR($C1642)&amp;"-Q"&amp;ROUNDUP(MONTH($C1642)/3,0))</f>
        <v/>
      </c>
      <c r="L1642">
        <f>IF($G1642&lt;&gt;"ALCOHOL","",IF($K1642="","",$H1642*IFERROR(VLOOKUP($K1642,Drink_Templates!$A:$G,7,FALSE),0)))</f>
        <v/>
      </c>
    </row>
    <row r="1643" ht="15" customHeight="1">
      <c r="C1643">
        <f>IF($B1643="","",INT($B1643))</f>
        <v/>
      </c>
      <c r="D1643">
        <f>IF($C1643="","",$C1643-WEEKDAY($C1643,2)+1)</f>
        <v/>
      </c>
      <c r="E1643">
        <f>IF($C1643="","",DATE(YEAR($C1643),MONTH($C1643),1))</f>
        <v/>
      </c>
      <c r="F1643">
        <f>IF($C1643="","",YEAR($C1643)&amp;"-Q"&amp;ROUNDUP(MONTH($C1643)/3,0))</f>
        <v/>
      </c>
      <c r="L1643">
        <f>IF($G1643&lt;&gt;"ALCOHOL","",IF($K1643="","",$H1643*IFERROR(VLOOKUP($K1643,Drink_Templates!$A:$G,7,FALSE),0)))</f>
        <v/>
      </c>
    </row>
    <row r="1644" ht="15" customHeight="1">
      <c r="C1644">
        <f>IF($B1644="","",INT($B1644))</f>
        <v/>
      </c>
      <c r="D1644">
        <f>IF($C1644="","",$C1644-WEEKDAY($C1644,2)+1)</f>
        <v/>
      </c>
      <c r="E1644">
        <f>IF($C1644="","",DATE(YEAR($C1644),MONTH($C1644),1))</f>
        <v/>
      </c>
      <c r="F1644">
        <f>IF($C1644="","",YEAR($C1644)&amp;"-Q"&amp;ROUNDUP(MONTH($C1644)/3,0))</f>
        <v/>
      </c>
      <c r="L1644">
        <f>IF($G1644&lt;&gt;"ALCOHOL","",IF($K1644="","",$H1644*IFERROR(VLOOKUP($K1644,Drink_Templates!$A:$G,7,FALSE),0)))</f>
        <v/>
      </c>
    </row>
    <row r="1645" ht="15" customHeight="1">
      <c r="C1645">
        <f>IF($B1645="","",INT($B1645))</f>
        <v/>
      </c>
      <c r="D1645">
        <f>IF($C1645="","",$C1645-WEEKDAY($C1645,2)+1)</f>
        <v/>
      </c>
      <c r="E1645">
        <f>IF($C1645="","",DATE(YEAR($C1645),MONTH($C1645),1))</f>
        <v/>
      </c>
      <c r="F1645">
        <f>IF($C1645="","",YEAR($C1645)&amp;"-Q"&amp;ROUNDUP(MONTH($C1645)/3,0))</f>
        <v/>
      </c>
      <c r="L1645">
        <f>IF($G1645&lt;&gt;"ALCOHOL","",IF($K1645="","",$H1645*IFERROR(VLOOKUP($K1645,Drink_Templates!$A:$G,7,FALSE),0)))</f>
        <v/>
      </c>
    </row>
    <row r="1646" ht="15" customHeight="1">
      <c r="C1646">
        <f>IF($B1646="","",INT($B1646))</f>
        <v/>
      </c>
      <c r="D1646">
        <f>IF($C1646="","",$C1646-WEEKDAY($C1646,2)+1)</f>
        <v/>
      </c>
      <c r="E1646">
        <f>IF($C1646="","",DATE(YEAR($C1646),MONTH($C1646),1))</f>
        <v/>
      </c>
      <c r="F1646">
        <f>IF($C1646="","",YEAR($C1646)&amp;"-Q"&amp;ROUNDUP(MONTH($C1646)/3,0))</f>
        <v/>
      </c>
      <c r="L1646">
        <f>IF($G1646&lt;&gt;"ALCOHOL","",IF($K1646="","",$H1646*IFERROR(VLOOKUP($K1646,Drink_Templates!$A:$G,7,FALSE),0)))</f>
        <v/>
      </c>
    </row>
    <row r="1647" ht="15" customHeight="1">
      <c r="C1647">
        <f>IF($B1647="","",INT($B1647))</f>
        <v/>
      </c>
      <c r="D1647">
        <f>IF($C1647="","",$C1647-WEEKDAY($C1647,2)+1)</f>
        <v/>
      </c>
      <c r="E1647">
        <f>IF($C1647="","",DATE(YEAR($C1647),MONTH($C1647),1))</f>
        <v/>
      </c>
      <c r="F1647">
        <f>IF($C1647="","",YEAR($C1647)&amp;"-Q"&amp;ROUNDUP(MONTH($C1647)/3,0))</f>
        <v/>
      </c>
      <c r="L1647">
        <f>IF($G1647&lt;&gt;"ALCOHOL","",IF($K1647="","",$H1647*IFERROR(VLOOKUP($K1647,Drink_Templates!$A:$G,7,FALSE),0)))</f>
        <v/>
      </c>
    </row>
    <row r="1648" ht="15" customHeight="1">
      <c r="C1648">
        <f>IF($B1648="","",INT($B1648))</f>
        <v/>
      </c>
      <c r="D1648">
        <f>IF($C1648="","",$C1648-WEEKDAY($C1648,2)+1)</f>
        <v/>
      </c>
      <c r="E1648">
        <f>IF($C1648="","",DATE(YEAR($C1648),MONTH($C1648),1))</f>
        <v/>
      </c>
      <c r="F1648">
        <f>IF($C1648="","",YEAR($C1648)&amp;"-Q"&amp;ROUNDUP(MONTH($C1648)/3,0))</f>
        <v/>
      </c>
      <c r="L1648">
        <f>IF($G1648&lt;&gt;"ALCOHOL","",IF($K1648="","",$H1648*IFERROR(VLOOKUP($K1648,Drink_Templates!$A:$G,7,FALSE),0)))</f>
        <v/>
      </c>
    </row>
    <row r="1649" ht="15" customHeight="1">
      <c r="C1649">
        <f>IF($B1649="","",INT($B1649))</f>
        <v/>
      </c>
      <c r="D1649">
        <f>IF($C1649="","",$C1649-WEEKDAY($C1649,2)+1)</f>
        <v/>
      </c>
      <c r="E1649">
        <f>IF($C1649="","",DATE(YEAR($C1649),MONTH($C1649),1))</f>
        <v/>
      </c>
      <c r="F1649">
        <f>IF($C1649="","",YEAR($C1649)&amp;"-Q"&amp;ROUNDUP(MONTH($C1649)/3,0))</f>
        <v/>
      </c>
      <c r="L1649">
        <f>IF($G1649&lt;&gt;"ALCOHOL","",IF($K1649="","",$H1649*IFERROR(VLOOKUP($K1649,Drink_Templates!$A:$G,7,FALSE),0)))</f>
        <v/>
      </c>
    </row>
    <row r="1650" ht="15" customHeight="1">
      <c r="C1650">
        <f>IF($B1650="","",INT($B1650))</f>
        <v/>
      </c>
      <c r="D1650">
        <f>IF($C1650="","",$C1650-WEEKDAY($C1650,2)+1)</f>
        <v/>
      </c>
      <c r="E1650">
        <f>IF($C1650="","",DATE(YEAR($C1650),MONTH($C1650),1))</f>
        <v/>
      </c>
      <c r="F1650">
        <f>IF($C1650="","",YEAR($C1650)&amp;"-Q"&amp;ROUNDUP(MONTH($C1650)/3,0))</f>
        <v/>
      </c>
      <c r="L1650">
        <f>IF($G1650&lt;&gt;"ALCOHOL","",IF($K1650="","",$H1650*IFERROR(VLOOKUP($K1650,Drink_Templates!$A:$G,7,FALSE),0)))</f>
        <v/>
      </c>
    </row>
    <row r="1651" ht="15" customHeight="1">
      <c r="C1651">
        <f>IF($B1651="","",INT($B1651))</f>
        <v/>
      </c>
      <c r="D1651">
        <f>IF($C1651="","",$C1651-WEEKDAY($C1651,2)+1)</f>
        <v/>
      </c>
      <c r="E1651">
        <f>IF($C1651="","",DATE(YEAR($C1651),MONTH($C1651),1))</f>
        <v/>
      </c>
      <c r="F1651">
        <f>IF($C1651="","",YEAR($C1651)&amp;"-Q"&amp;ROUNDUP(MONTH($C1651)/3,0))</f>
        <v/>
      </c>
      <c r="L1651">
        <f>IF($G1651&lt;&gt;"ALCOHOL","",IF($K1651="","",$H1651*IFERROR(VLOOKUP($K1651,Drink_Templates!$A:$G,7,FALSE),0)))</f>
        <v/>
      </c>
    </row>
    <row r="1652" ht="15" customHeight="1">
      <c r="C1652">
        <f>IF($B1652="","",INT($B1652))</f>
        <v/>
      </c>
      <c r="D1652">
        <f>IF($C1652="","",$C1652-WEEKDAY($C1652,2)+1)</f>
        <v/>
      </c>
      <c r="E1652">
        <f>IF($C1652="","",DATE(YEAR($C1652),MONTH($C1652),1))</f>
        <v/>
      </c>
      <c r="F1652">
        <f>IF($C1652="","",YEAR($C1652)&amp;"-Q"&amp;ROUNDUP(MONTH($C1652)/3,0))</f>
        <v/>
      </c>
      <c r="L1652">
        <f>IF($G1652&lt;&gt;"ALCOHOL","",IF($K1652="","",$H1652*IFERROR(VLOOKUP($K1652,Drink_Templates!$A:$G,7,FALSE),0)))</f>
        <v/>
      </c>
    </row>
    <row r="1653" ht="15" customHeight="1">
      <c r="C1653">
        <f>IF($B1653="","",INT($B1653))</f>
        <v/>
      </c>
      <c r="D1653">
        <f>IF($C1653="","",$C1653-WEEKDAY($C1653,2)+1)</f>
        <v/>
      </c>
      <c r="E1653">
        <f>IF($C1653="","",DATE(YEAR($C1653),MONTH($C1653),1))</f>
        <v/>
      </c>
      <c r="F1653">
        <f>IF($C1653="","",YEAR($C1653)&amp;"-Q"&amp;ROUNDUP(MONTH($C1653)/3,0))</f>
        <v/>
      </c>
      <c r="L1653">
        <f>IF($G1653&lt;&gt;"ALCOHOL","",IF($K1653="","",$H1653*IFERROR(VLOOKUP($K1653,Drink_Templates!$A:$G,7,FALSE),0)))</f>
        <v/>
      </c>
    </row>
    <row r="1654" ht="15" customHeight="1">
      <c r="C1654">
        <f>IF($B1654="","",INT($B1654))</f>
        <v/>
      </c>
      <c r="D1654">
        <f>IF($C1654="","",$C1654-WEEKDAY($C1654,2)+1)</f>
        <v/>
      </c>
      <c r="E1654">
        <f>IF($C1654="","",DATE(YEAR($C1654),MONTH($C1654),1))</f>
        <v/>
      </c>
      <c r="F1654">
        <f>IF($C1654="","",YEAR($C1654)&amp;"-Q"&amp;ROUNDUP(MONTH($C1654)/3,0))</f>
        <v/>
      </c>
      <c r="L1654">
        <f>IF($G1654&lt;&gt;"ALCOHOL","",IF($K1654="","",$H1654*IFERROR(VLOOKUP($K1654,Drink_Templates!$A:$G,7,FALSE),0)))</f>
        <v/>
      </c>
    </row>
    <row r="1655" ht="15" customHeight="1">
      <c r="C1655">
        <f>IF($B1655="","",INT($B1655))</f>
        <v/>
      </c>
      <c r="D1655">
        <f>IF($C1655="","",$C1655-WEEKDAY($C1655,2)+1)</f>
        <v/>
      </c>
      <c r="E1655">
        <f>IF($C1655="","",DATE(YEAR($C1655),MONTH($C1655),1))</f>
        <v/>
      </c>
      <c r="F1655">
        <f>IF($C1655="","",YEAR($C1655)&amp;"-Q"&amp;ROUNDUP(MONTH($C1655)/3,0))</f>
        <v/>
      </c>
      <c r="L1655">
        <f>IF($G1655&lt;&gt;"ALCOHOL","",IF($K1655="","",$H1655*IFERROR(VLOOKUP($K1655,Drink_Templates!$A:$G,7,FALSE),0)))</f>
        <v/>
      </c>
    </row>
    <row r="1656" ht="15" customHeight="1">
      <c r="C1656">
        <f>IF($B1656="","",INT($B1656))</f>
        <v/>
      </c>
      <c r="D1656">
        <f>IF($C1656="","",$C1656-WEEKDAY($C1656,2)+1)</f>
        <v/>
      </c>
      <c r="E1656">
        <f>IF($C1656="","",DATE(YEAR($C1656),MONTH($C1656),1))</f>
        <v/>
      </c>
      <c r="F1656">
        <f>IF($C1656="","",YEAR($C1656)&amp;"-Q"&amp;ROUNDUP(MONTH($C1656)/3,0))</f>
        <v/>
      </c>
      <c r="L1656">
        <f>IF($G1656&lt;&gt;"ALCOHOL","",IF($K1656="","",$H1656*IFERROR(VLOOKUP($K1656,Drink_Templates!$A:$G,7,FALSE),0)))</f>
        <v/>
      </c>
    </row>
    <row r="1657" ht="15" customHeight="1">
      <c r="C1657">
        <f>IF($B1657="","",INT($B1657))</f>
        <v/>
      </c>
      <c r="D1657">
        <f>IF($C1657="","",$C1657-WEEKDAY($C1657,2)+1)</f>
        <v/>
      </c>
      <c r="E1657">
        <f>IF($C1657="","",DATE(YEAR($C1657),MONTH($C1657),1))</f>
        <v/>
      </c>
      <c r="F1657">
        <f>IF($C1657="","",YEAR($C1657)&amp;"-Q"&amp;ROUNDUP(MONTH($C1657)/3,0))</f>
        <v/>
      </c>
      <c r="L1657">
        <f>IF($G1657&lt;&gt;"ALCOHOL","",IF($K1657="","",$H1657*IFERROR(VLOOKUP($K1657,Drink_Templates!$A:$G,7,FALSE),0)))</f>
        <v/>
      </c>
    </row>
    <row r="1658" ht="15" customHeight="1">
      <c r="C1658">
        <f>IF($B1658="","",INT($B1658))</f>
        <v/>
      </c>
      <c r="D1658">
        <f>IF($C1658="","",$C1658-WEEKDAY($C1658,2)+1)</f>
        <v/>
      </c>
      <c r="E1658">
        <f>IF($C1658="","",DATE(YEAR($C1658),MONTH($C1658),1))</f>
        <v/>
      </c>
      <c r="F1658">
        <f>IF($C1658="","",YEAR($C1658)&amp;"-Q"&amp;ROUNDUP(MONTH($C1658)/3,0))</f>
        <v/>
      </c>
      <c r="L1658">
        <f>IF($G1658&lt;&gt;"ALCOHOL","",IF($K1658="","",$H1658*IFERROR(VLOOKUP($K1658,Drink_Templates!$A:$G,7,FALSE),0)))</f>
        <v/>
      </c>
    </row>
    <row r="1659" ht="15" customHeight="1">
      <c r="C1659">
        <f>IF($B1659="","",INT($B1659))</f>
        <v/>
      </c>
      <c r="D1659">
        <f>IF($C1659="","",$C1659-WEEKDAY($C1659,2)+1)</f>
        <v/>
      </c>
      <c r="E1659">
        <f>IF($C1659="","",DATE(YEAR($C1659),MONTH($C1659),1))</f>
        <v/>
      </c>
      <c r="F1659">
        <f>IF($C1659="","",YEAR($C1659)&amp;"-Q"&amp;ROUNDUP(MONTH($C1659)/3,0))</f>
        <v/>
      </c>
      <c r="L1659">
        <f>IF($G1659&lt;&gt;"ALCOHOL","",IF($K1659="","",$H1659*IFERROR(VLOOKUP($K1659,Drink_Templates!$A:$G,7,FALSE),0)))</f>
        <v/>
      </c>
    </row>
    <row r="1660" ht="15" customHeight="1">
      <c r="C1660">
        <f>IF($B1660="","",INT($B1660))</f>
        <v/>
      </c>
      <c r="D1660">
        <f>IF($C1660="","",$C1660-WEEKDAY($C1660,2)+1)</f>
        <v/>
      </c>
      <c r="E1660">
        <f>IF($C1660="","",DATE(YEAR($C1660),MONTH($C1660),1))</f>
        <v/>
      </c>
      <c r="F1660">
        <f>IF($C1660="","",YEAR($C1660)&amp;"-Q"&amp;ROUNDUP(MONTH($C1660)/3,0))</f>
        <v/>
      </c>
      <c r="L1660">
        <f>IF($G1660&lt;&gt;"ALCOHOL","",IF($K1660="","",$H1660*IFERROR(VLOOKUP($K1660,Drink_Templates!$A:$G,7,FALSE),0)))</f>
        <v/>
      </c>
    </row>
    <row r="1661" ht="15" customHeight="1">
      <c r="C1661">
        <f>IF($B1661="","",INT($B1661))</f>
        <v/>
      </c>
      <c r="D1661">
        <f>IF($C1661="","",$C1661-WEEKDAY($C1661,2)+1)</f>
        <v/>
      </c>
      <c r="E1661">
        <f>IF($C1661="","",DATE(YEAR($C1661),MONTH($C1661),1))</f>
        <v/>
      </c>
      <c r="F1661">
        <f>IF($C1661="","",YEAR($C1661)&amp;"-Q"&amp;ROUNDUP(MONTH($C1661)/3,0))</f>
        <v/>
      </c>
      <c r="L1661">
        <f>IF($G1661&lt;&gt;"ALCOHOL","",IF($K1661="","",$H1661*IFERROR(VLOOKUP($K1661,Drink_Templates!$A:$G,7,FALSE),0)))</f>
        <v/>
      </c>
    </row>
    <row r="1662" ht="15" customHeight="1">
      <c r="C1662">
        <f>IF($B1662="","",INT($B1662))</f>
        <v/>
      </c>
      <c r="D1662">
        <f>IF($C1662="","",$C1662-WEEKDAY($C1662,2)+1)</f>
        <v/>
      </c>
      <c r="E1662">
        <f>IF($C1662="","",DATE(YEAR($C1662),MONTH($C1662),1))</f>
        <v/>
      </c>
      <c r="F1662">
        <f>IF($C1662="","",YEAR($C1662)&amp;"-Q"&amp;ROUNDUP(MONTH($C1662)/3,0))</f>
        <v/>
      </c>
      <c r="L1662">
        <f>IF($G1662&lt;&gt;"ALCOHOL","",IF($K1662="","",$H1662*IFERROR(VLOOKUP($K1662,Drink_Templates!$A:$G,7,FALSE),0)))</f>
        <v/>
      </c>
    </row>
    <row r="1663" ht="15" customHeight="1">
      <c r="C1663">
        <f>IF($B1663="","",INT($B1663))</f>
        <v/>
      </c>
      <c r="D1663">
        <f>IF($C1663="","",$C1663-WEEKDAY($C1663,2)+1)</f>
        <v/>
      </c>
      <c r="E1663">
        <f>IF($C1663="","",DATE(YEAR($C1663),MONTH($C1663),1))</f>
        <v/>
      </c>
      <c r="F1663">
        <f>IF($C1663="","",YEAR($C1663)&amp;"-Q"&amp;ROUNDUP(MONTH($C1663)/3,0))</f>
        <v/>
      </c>
      <c r="L1663">
        <f>IF($G1663&lt;&gt;"ALCOHOL","",IF($K1663="","",$H1663*IFERROR(VLOOKUP($K1663,Drink_Templates!$A:$G,7,FALSE),0)))</f>
        <v/>
      </c>
    </row>
    <row r="1664" ht="15" customHeight="1">
      <c r="C1664">
        <f>IF($B1664="","",INT($B1664))</f>
        <v/>
      </c>
      <c r="D1664">
        <f>IF($C1664="","",$C1664-WEEKDAY($C1664,2)+1)</f>
        <v/>
      </c>
      <c r="E1664">
        <f>IF($C1664="","",DATE(YEAR($C1664),MONTH($C1664),1))</f>
        <v/>
      </c>
      <c r="F1664">
        <f>IF($C1664="","",YEAR($C1664)&amp;"-Q"&amp;ROUNDUP(MONTH($C1664)/3,0))</f>
        <v/>
      </c>
      <c r="L1664">
        <f>IF($G1664&lt;&gt;"ALCOHOL","",IF($K1664="","",$H1664*IFERROR(VLOOKUP($K1664,Drink_Templates!$A:$G,7,FALSE),0)))</f>
        <v/>
      </c>
    </row>
    <row r="1665" ht="15" customHeight="1">
      <c r="C1665">
        <f>IF($B1665="","",INT($B1665))</f>
        <v/>
      </c>
      <c r="D1665">
        <f>IF($C1665="","",$C1665-WEEKDAY($C1665,2)+1)</f>
        <v/>
      </c>
      <c r="E1665">
        <f>IF($C1665="","",DATE(YEAR($C1665),MONTH($C1665),1))</f>
        <v/>
      </c>
      <c r="F1665">
        <f>IF($C1665="","",YEAR($C1665)&amp;"-Q"&amp;ROUNDUP(MONTH($C1665)/3,0))</f>
        <v/>
      </c>
      <c r="L1665">
        <f>IF($G1665&lt;&gt;"ALCOHOL","",IF($K1665="","",$H1665*IFERROR(VLOOKUP($K1665,Drink_Templates!$A:$G,7,FALSE),0)))</f>
        <v/>
      </c>
    </row>
    <row r="1666" ht="15" customHeight="1">
      <c r="C1666">
        <f>IF($B1666="","",INT($B1666))</f>
        <v/>
      </c>
      <c r="D1666">
        <f>IF($C1666="","",$C1666-WEEKDAY($C1666,2)+1)</f>
        <v/>
      </c>
      <c r="E1666">
        <f>IF($C1666="","",DATE(YEAR($C1666),MONTH($C1666),1))</f>
        <v/>
      </c>
      <c r="F1666">
        <f>IF($C1666="","",YEAR($C1666)&amp;"-Q"&amp;ROUNDUP(MONTH($C1666)/3,0))</f>
        <v/>
      </c>
      <c r="L1666">
        <f>IF($G1666&lt;&gt;"ALCOHOL","",IF($K1666="","",$H1666*IFERROR(VLOOKUP($K1666,Drink_Templates!$A:$G,7,FALSE),0)))</f>
        <v/>
      </c>
    </row>
    <row r="1667" ht="15" customHeight="1">
      <c r="C1667">
        <f>IF($B1667="","",INT($B1667))</f>
        <v/>
      </c>
      <c r="D1667">
        <f>IF($C1667="","",$C1667-WEEKDAY($C1667,2)+1)</f>
        <v/>
      </c>
      <c r="E1667">
        <f>IF($C1667="","",DATE(YEAR($C1667),MONTH($C1667),1))</f>
        <v/>
      </c>
      <c r="F1667">
        <f>IF($C1667="","",YEAR($C1667)&amp;"-Q"&amp;ROUNDUP(MONTH($C1667)/3,0))</f>
        <v/>
      </c>
      <c r="L1667">
        <f>IF($G1667&lt;&gt;"ALCOHOL","",IF($K1667="","",$H1667*IFERROR(VLOOKUP($K1667,Drink_Templates!$A:$G,7,FALSE),0)))</f>
        <v/>
      </c>
    </row>
    <row r="1668" ht="15" customHeight="1">
      <c r="C1668">
        <f>IF($B1668="","",INT($B1668))</f>
        <v/>
      </c>
      <c r="D1668">
        <f>IF($C1668="","",$C1668-WEEKDAY($C1668,2)+1)</f>
        <v/>
      </c>
      <c r="E1668">
        <f>IF($C1668="","",DATE(YEAR($C1668),MONTH($C1668),1))</f>
        <v/>
      </c>
      <c r="F1668">
        <f>IF($C1668="","",YEAR($C1668)&amp;"-Q"&amp;ROUNDUP(MONTH($C1668)/3,0))</f>
        <v/>
      </c>
      <c r="L1668">
        <f>IF($G1668&lt;&gt;"ALCOHOL","",IF($K1668="","",$H1668*IFERROR(VLOOKUP($K1668,Drink_Templates!$A:$G,7,FALSE),0)))</f>
        <v/>
      </c>
    </row>
    <row r="1669" ht="15" customHeight="1">
      <c r="C1669">
        <f>IF($B1669="","",INT($B1669))</f>
        <v/>
      </c>
      <c r="D1669">
        <f>IF($C1669="","",$C1669-WEEKDAY($C1669,2)+1)</f>
        <v/>
      </c>
      <c r="E1669">
        <f>IF($C1669="","",DATE(YEAR($C1669),MONTH($C1669),1))</f>
        <v/>
      </c>
      <c r="F1669">
        <f>IF($C1669="","",YEAR($C1669)&amp;"-Q"&amp;ROUNDUP(MONTH($C1669)/3,0))</f>
        <v/>
      </c>
      <c r="L1669">
        <f>IF($G1669&lt;&gt;"ALCOHOL","",IF($K1669="","",$H1669*IFERROR(VLOOKUP($K1669,Drink_Templates!$A:$G,7,FALSE),0)))</f>
        <v/>
      </c>
    </row>
    <row r="1670" ht="15" customHeight="1">
      <c r="C1670">
        <f>IF($B1670="","",INT($B1670))</f>
        <v/>
      </c>
      <c r="D1670">
        <f>IF($C1670="","",$C1670-WEEKDAY($C1670,2)+1)</f>
        <v/>
      </c>
      <c r="E1670">
        <f>IF($C1670="","",DATE(YEAR($C1670),MONTH($C1670),1))</f>
        <v/>
      </c>
      <c r="F1670">
        <f>IF($C1670="","",YEAR($C1670)&amp;"-Q"&amp;ROUNDUP(MONTH($C1670)/3,0))</f>
        <v/>
      </c>
      <c r="L1670">
        <f>IF($G1670&lt;&gt;"ALCOHOL","",IF($K1670="","",$H1670*IFERROR(VLOOKUP($K1670,Drink_Templates!$A:$G,7,FALSE),0)))</f>
        <v/>
      </c>
    </row>
    <row r="1671" ht="15" customHeight="1">
      <c r="C1671">
        <f>IF($B1671="","",INT($B1671))</f>
        <v/>
      </c>
      <c r="D1671">
        <f>IF($C1671="","",$C1671-WEEKDAY($C1671,2)+1)</f>
        <v/>
      </c>
      <c r="E1671">
        <f>IF($C1671="","",DATE(YEAR($C1671),MONTH($C1671),1))</f>
        <v/>
      </c>
      <c r="F1671">
        <f>IF($C1671="","",YEAR($C1671)&amp;"-Q"&amp;ROUNDUP(MONTH($C1671)/3,0))</f>
        <v/>
      </c>
      <c r="L1671">
        <f>IF($G1671&lt;&gt;"ALCOHOL","",IF($K1671="","",$H1671*IFERROR(VLOOKUP($K1671,Drink_Templates!$A:$G,7,FALSE),0)))</f>
        <v/>
      </c>
    </row>
    <row r="1672" ht="15" customHeight="1">
      <c r="C1672">
        <f>IF($B1672="","",INT($B1672))</f>
        <v/>
      </c>
      <c r="D1672">
        <f>IF($C1672="","",$C1672-WEEKDAY($C1672,2)+1)</f>
        <v/>
      </c>
      <c r="E1672">
        <f>IF($C1672="","",DATE(YEAR($C1672),MONTH($C1672),1))</f>
        <v/>
      </c>
      <c r="F1672">
        <f>IF($C1672="","",YEAR($C1672)&amp;"-Q"&amp;ROUNDUP(MONTH($C1672)/3,0))</f>
        <v/>
      </c>
      <c r="L1672">
        <f>IF($G1672&lt;&gt;"ALCOHOL","",IF($K1672="","",$H1672*IFERROR(VLOOKUP($K1672,Drink_Templates!$A:$G,7,FALSE),0)))</f>
        <v/>
      </c>
    </row>
    <row r="1673" ht="15" customHeight="1">
      <c r="C1673">
        <f>IF($B1673="","",INT($B1673))</f>
        <v/>
      </c>
      <c r="D1673">
        <f>IF($C1673="","",$C1673-WEEKDAY($C1673,2)+1)</f>
        <v/>
      </c>
      <c r="E1673">
        <f>IF($C1673="","",DATE(YEAR($C1673),MONTH($C1673),1))</f>
        <v/>
      </c>
      <c r="F1673">
        <f>IF($C1673="","",YEAR($C1673)&amp;"-Q"&amp;ROUNDUP(MONTH($C1673)/3,0))</f>
        <v/>
      </c>
      <c r="L1673">
        <f>IF($G1673&lt;&gt;"ALCOHOL","",IF($K1673="","",$H1673*IFERROR(VLOOKUP($K1673,Drink_Templates!$A:$G,7,FALSE),0)))</f>
        <v/>
      </c>
    </row>
    <row r="1674" ht="15" customHeight="1">
      <c r="C1674">
        <f>IF($B1674="","",INT($B1674))</f>
        <v/>
      </c>
      <c r="D1674">
        <f>IF($C1674="","",$C1674-WEEKDAY($C1674,2)+1)</f>
        <v/>
      </c>
      <c r="E1674">
        <f>IF($C1674="","",DATE(YEAR($C1674),MONTH($C1674),1))</f>
        <v/>
      </c>
      <c r="F1674">
        <f>IF($C1674="","",YEAR($C1674)&amp;"-Q"&amp;ROUNDUP(MONTH($C1674)/3,0))</f>
        <v/>
      </c>
      <c r="L1674">
        <f>IF($G1674&lt;&gt;"ALCOHOL","",IF($K1674="","",$H1674*IFERROR(VLOOKUP($K1674,Drink_Templates!$A:$G,7,FALSE),0)))</f>
        <v/>
      </c>
    </row>
    <row r="1675" ht="15" customHeight="1">
      <c r="C1675">
        <f>IF($B1675="","",INT($B1675))</f>
        <v/>
      </c>
      <c r="D1675">
        <f>IF($C1675="","",$C1675-WEEKDAY($C1675,2)+1)</f>
        <v/>
      </c>
      <c r="E1675">
        <f>IF($C1675="","",DATE(YEAR($C1675),MONTH($C1675),1))</f>
        <v/>
      </c>
      <c r="F1675">
        <f>IF($C1675="","",YEAR($C1675)&amp;"-Q"&amp;ROUNDUP(MONTH($C1675)/3,0))</f>
        <v/>
      </c>
      <c r="L1675">
        <f>IF($G1675&lt;&gt;"ALCOHOL","",IF($K1675="","",$H1675*IFERROR(VLOOKUP($K1675,Drink_Templates!$A:$G,7,FALSE),0)))</f>
        <v/>
      </c>
    </row>
    <row r="1676" ht="15" customHeight="1">
      <c r="C1676">
        <f>IF($B1676="","",INT($B1676))</f>
        <v/>
      </c>
      <c r="D1676">
        <f>IF($C1676="","",$C1676-WEEKDAY($C1676,2)+1)</f>
        <v/>
      </c>
      <c r="E1676">
        <f>IF($C1676="","",DATE(YEAR($C1676),MONTH($C1676),1))</f>
        <v/>
      </c>
      <c r="F1676">
        <f>IF($C1676="","",YEAR($C1676)&amp;"-Q"&amp;ROUNDUP(MONTH($C1676)/3,0))</f>
        <v/>
      </c>
      <c r="L1676">
        <f>IF($G1676&lt;&gt;"ALCOHOL","",IF($K1676="","",$H1676*IFERROR(VLOOKUP($K1676,Drink_Templates!$A:$G,7,FALSE),0)))</f>
        <v/>
      </c>
    </row>
    <row r="1677" ht="15" customHeight="1">
      <c r="C1677">
        <f>IF($B1677="","",INT($B1677))</f>
        <v/>
      </c>
      <c r="D1677">
        <f>IF($C1677="","",$C1677-WEEKDAY($C1677,2)+1)</f>
        <v/>
      </c>
      <c r="E1677">
        <f>IF($C1677="","",DATE(YEAR($C1677),MONTH($C1677),1))</f>
        <v/>
      </c>
      <c r="F1677">
        <f>IF($C1677="","",YEAR($C1677)&amp;"-Q"&amp;ROUNDUP(MONTH($C1677)/3,0))</f>
        <v/>
      </c>
      <c r="L1677">
        <f>IF($G1677&lt;&gt;"ALCOHOL","",IF($K1677="","",$H1677*IFERROR(VLOOKUP($K1677,Drink_Templates!$A:$G,7,FALSE),0)))</f>
        <v/>
      </c>
    </row>
    <row r="1678" ht="15" customHeight="1">
      <c r="C1678">
        <f>IF($B1678="","",INT($B1678))</f>
        <v/>
      </c>
      <c r="D1678">
        <f>IF($C1678="","",$C1678-WEEKDAY($C1678,2)+1)</f>
        <v/>
      </c>
      <c r="E1678">
        <f>IF($C1678="","",DATE(YEAR($C1678),MONTH($C1678),1))</f>
        <v/>
      </c>
      <c r="F1678">
        <f>IF($C1678="","",YEAR($C1678)&amp;"-Q"&amp;ROUNDUP(MONTH($C1678)/3,0))</f>
        <v/>
      </c>
      <c r="L1678">
        <f>IF($G1678&lt;&gt;"ALCOHOL","",IF($K1678="","",$H1678*IFERROR(VLOOKUP($K1678,Drink_Templates!$A:$G,7,FALSE),0)))</f>
        <v/>
      </c>
    </row>
    <row r="1679" ht="15" customHeight="1">
      <c r="C1679">
        <f>IF($B1679="","",INT($B1679))</f>
        <v/>
      </c>
      <c r="D1679">
        <f>IF($C1679="","",$C1679-WEEKDAY($C1679,2)+1)</f>
        <v/>
      </c>
      <c r="E1679">
        <f>IF($C1679="","",DATE(YEAR($C1679),MONTH($C1679),1))</f>
        <v/>
      </c>
      <c r="F1679">
        <f>IF($C1679="","",YEAR($C1679)&amp;"-Q"&amp;ROUNDUP(MONTH($C1679)/3,0))</f>
        <v/>
      </c>
      <c r="L1679">
        <f>IF($G1679&lt;&gt;"ALCOHOL","",IF($K1679="","",$H1679*IFERROR(VLOOKUP($K1679,Drink_Templates!$A:$G,7,FALSE),0)))</f>
        <v/>
      </c>
    </row>
    <row r="1680" ht="15" customHeight="1">
      <c r="C1680">
        <f>IF($B1680="","",INT($B1680))</f>
        <v/>
      </c>
      <c r="D1680">
        <f>IF($C1680="","",$C1680-WEEKDAY($C1680,2)+1)</f>
        <v/>
      </c>
      <c r="E1680">
        <f>IF($C1680="","",DATE(YEAR($C1680),MONTH($C1680),1))</f>
        <v/>
      </c>
      <c r="F1680">
        <f>IF($C1680="","",YEAR($C1680)&amp;"-Q"&amp;ROUNDUP(MONTH($C1680)/3,0))</f>
        <v/>
      </c>
      <c r="L1680">
        <f>IF($G1680&lt;&gt;"ALCOHOL","",IF($K1680="","",$H1680*IFERROR(VLOOKUP($K1680,Drink_Templates!$A:$G,7,FALSE),0)))</f>
        <v/>
      </c>
    </row>
    <row r="1681" ht="15" customHeight="1">
      <c r="C1681">
        <f>IF($B1681="","",INT($B1681))</f>
        <v/>
      </c>
      <c r="D1681">
        <f>IF($C1681="","",$C1681-WEEKDAY($C1681,2)+1)</f>
        <v/>
      </c>
      <c r="E1681">
        <f>IF($C1681="","",DATE(YEAR($C1681),MONTH($C1681),1))</f>
        <v/>
      </c>
      <c r="F1681">
        <f>IF($C1681="","",YEAR($C1681)&amp;"-Q"&amp;ROUNDUP(MONTH($C1681)/3,0))</f>
        <v/>
      </c>
      <c r="L1681">
        <f>IF($G1681&lt;&gt;"ALCOHOL","",IF($K1681="","",$H1681*IFERROR(VLOOKUP($K1681,Drink_Templates!$A:$G,7,FALSE),0)))</f>
        <v/>
      </c>
    </row>
    <row r="1682" ht="15" customHeight="1">
      <c r="C1682">
        <f>IF($B1682="","",INT($B1682))</f>
        <v/>
      </c>
      <c r="D1682">
        <f>IF($C1682="","",$C1682-WEEKDAY($C1682,2)+1)</f>
        <v/>
      </c>
      <c r="E1682">
        <f>IF($C1682="","",DATE(YEAR($C1682),MONTH($C1682),1))</f>
        <v/>
      </c>
      <c r="F1682">
        <f>IF($C1682="","",YEAR($C1682)&amp;"-Q"&amp;ROUNDUP(MONTH($C1682)/3,0))</f>
        <v/>
      </c>
      <c r="L1682">
        <f>IF($G1682&lt;&gt;"ALCOHOL","",IF($K1682="","",$H1682*IFERROR(VLOOKUP($K1682,Drink_Templates!$A:$G,7,FALSE),0)))</f>
        <v/>
      </c>
    </row>
    <row r="1683" ht="15" customHeight="1">
      <c r="C1683">
        <f>IF($B1683="","",INT($B1683))</f>
        <v/>
      </c>
      <c r="D1683">
        <f>IF($C1683="","",$C1683-WEEKDAY($C1683,2)+1)</f>
        <v/>
      </c>
      <c r="E1683">
        <f>IF($C1683="","",DATE(YEAR($C1683),MONTH($C1683),1))</f>
        <v/>
      </c>
      <c r="F1683">
        <f>IF($C1683="","",YEAR($C1683)&amp;"-Q"&amp;ROUNDUP(MONTH($C1683)/3,0))</f>
        <v/>
      </c>
      <c r="L1683">
        <f>IF($G1683&lt;&gt;"ALCOHOL","",IF($K1683="","",$H1683*IFERROR(VLOOKUP($K1683,Drink_Templates!$A:$G,7,FALSE),0)))</f>
        <v/>
      </c>
    </row>
    <row r="1684" ht="15" customHeight="1">
      <c r="C1684">
        <f>IF($B1684="","",INT($B1684))</f>
        <v/>
      </c>
      <c r="D1684">
        <f>IF($C1684="","",$C1684-WEEKDAY($C1684,2)+1)</f>
        <v/>
      </c>
      <c r="E1684">
        <f>IF($C1684="","",DATE(YEAR($C1684),MONTH($C1684),1))</f>
        <v/>
      </c>
      <c r="F1684">
        <f>IF($C1684="","",YEAR($C1684)&amp;"-Q"&amp;ROUNDUP(MONTH($C1684)/3,0))</f>
        <v/>
      </c>
      <c r="L1684">
        <f>IF($G1684&lt;&gt;"ALCOHOL","",IF($K1684="","",$H1684*IFERROR(VLOOKUP($K1684,Drink_Templates!$A:$G,7,FALSE),0)))</f>
        <v/>
      </c>
    </row>
    <row r="1685" ht="15" customHeight="1">
      <c r="C1685">
        <f>IF($B1685="","",INT($B1685))</f>
        <v/>
      </c>
      <c r="D1685">
        <f>IF($C1685="","",$C1685-WEEKDAY($C1685,2)+1)</f>
        <v/>
      </c>
      <c r="E1685">
        <f>IF($C1685="","",DATE(YEAR($C1685),MONTH($C1685),1))</f>
        <v/>
      </c>
      <c r="F1685">
        <f>IF($C1685="","",YEAR($C1685)&amp;"-Q"&amp;ROUNDUP(MONTH($C1685)/3,0))</f>
        <v/>
      </c>
      <c r="L1685">
        <f>IF($G1685&lt;&gt;"ALCOHOL","",IF($K1685="","",$H1685*IFERROR(VLOOKUP($K1685,Drink_Templates!$A:$G,7,FALSE),0)))</f>
        <v/>
      </c>
    </row>
    <row r="1686" ht="15" customHeight="1">
      <c r="C1686">
        <f>IF($B1686="","",INT($B1686))</f>
        <v/>
      </c>
      <c r="D1686">
        <f>IF($C1686="","",$C1686-WEEKDAY($C1686,2)+1)</f>
        <v/>
      </c>
      <c r="E1686">
        <f>IF($C1686="","",DATE(YEAR($C1686),MONTH($C1686),1))</f>
        <v/>
      </c>
      <c r="F1686">
        <f>IF($C1686="","",YEAR($C1686)&amp;"-Q"&amp;ROUNDUP(MONTH($C1686)/3,0))</f>
        <v/>
      </c>
      <c r="L1686">
        <f>IF($G1686&lt;&gt;"ALCOHOL","",IF($K1686="","",$H1686*IFERROR(VLOOKUP($K1686,Drink_Templates!$A:$G,7,FALSE),0)))</f>
        <v/>
      </c>
    </row>
    <row r="1687" ht="15" customHeight="1">
      <c r="C1687">
        <f>IF($B1687="","",INT($B1687))</f>
        <v/>
      </c>
      <c r="D1687">
        <f>IF($C1687="","",$C1687-WEEKDAY($C1687,2)+1)</f>
        <v/>
      </c>
      <c r="E1687">
        <f>IF($C1687="","",DATE(YEAR($C1687),MONTH($C1687),1))</f>
        <v/>
      </c>
      <c r="F1687">
        <f>IF($C1687="","",YEAR($C1687)&amp;"-Q"&amp;ROUNDUP(MONTH($C1687)/3,0))</f>
        <v/>
      </c>
      <c r="L1687">
        <f>IF($G1687&lt;&gt;"ALCOHOL","",IF($K1687="","",$H1687*IFERROR(VLOOKUP($K1687,Drink_Templates!$A:$G,7,FALSE),0)))</f>
        <v/>
      </c>
    </row>
    <row r="1688" ht="15" customHeight="1">
      <c r="C1688">
        <f>IF($B1688="","",INT($B1688))</f>
        <v/>
      </c>
      <c r="D1688">
        <f>IF($C1688="","",$C1688-WEEKDAY($C1688,2)+1)</f>
        <v/>
      </c>
      <c r="E1688">
        <f>IF($C1688="","",DATE(YEAR($C1688),MONTH($C1688),1))</f>
        <v/>
      </c>
      <c r="F1688">
        <f>IF($C1688="","",YEAR($C1688)&amp;"-Q"&amp;ROUNDUP(MONTH($C1688)/3,0))</f>
        <v/>
      </c>
      <c r="L1688">
        <f>IF($G1688&lt;&gt;"ALCOHOL","",IF($K1688="","",$H1688*IFERROR(VLOOKUP($K1688,Drink_Templates!$A:$G,7,FALSE),0)))</f>
        <v/>
      </c>
    </row>
    <row r="1689" ht="15" customHeight="1">
      <c r="C1689">
        <f>IF($B1689="","",INT($B1689))</f>
        <v/>
      </c>
      <c r="D1689">
        <f>IF($C1689="","",$C1689-WEEKDAY($C1689,2)+1)</f>
        <v/>
      </c>
      <c r="E1689">
        <f>IF($C1689="","",DATE(YEAR($C1689),MONTH($C1689),1))</f>
        <v/>
      </c>
      <c r="F1689">
        <f>IF($C1689="","",YEAR($C1689)&amp;"-Q"&amp;ROUNDUP(MONTH($C1689)/3,0))</f>
        <v/>
      </c>
      <c r="L1689">
        <f>IF($G1689&lt;&gt;"ALCOHOL","",IF($K1689="","",$H1689*IFERROR(VLOOKUP($K1689,Drink_Templates!$A:$G,7,FALSE),0)))</f>
        <v/>
      </c>
    </row>
    <row r="1690" ht="15" customHeight="1">
      <c r="C1690">
        <f>IF($B1690="","",INT($B1690))</f>
        <v/>
      </c>
      <c r="D1690">
        <f>IF($C1690="","",$C1690-WEEKDAY($C1690,2)+1)</f>
        <v/>
      </c>
      <c r="E1690">
        <f>IF($C1690="","",DATE(YEAR($C1690),MONTH($C1690),1))</f>
        <v/>
      </c>
      <c r="F1690">
        <f>IF($C1690="","",YEAR($C1690)&amp;"-Q"&amp;ROUNDUP(MONTH($C1690)/3,0))</f>
        <v/>
      </c>
      <c r="L1690">
        <f>IF($G1690&lt;&gt;"ALCOHOL","",IF($K1690="","",$H1690*IFERROR(VLOOKUP($K1690,Drink_Templates!$A:$G,7,FALSE),0)))</f>
        <v/>
      </c>
    </row>
    <row r="1691" ht="15" customHeight="1">
      <c r="C1691">
        <f>IF($B1691="","",INT($B1691))</f>
        <v/>
      </c>
      <c r="D1691">
        <f>IF($C1691="","",$C1691-WEEKDAY($C1691,2)+1)</f>
        <v/>
      </c>
      <c r="E1691">
        <f>IF($C1691="","",DATE(YEAR($C1691),MONTH($C1691),1))</f>
        <v/>
      </c>
      <c r="F1691">
        <f>IF($C1691="","",YEAR($C1691)&amp;"-Q"&amp;ROUNDUP(MONTH($C1691)/3,0))</f>
        <v/>
      </c>
      <c r="L1691">
        <f>IF($G1691&lt;&gt;"ALCOHOL","",IF($K1691="","",$H1691*IFERROR(VLOOKUP($K1691,Drink_Templates!$A:$G,7,FALSE),0)))</f>
        <v/>
      </c>
    </row>
    <row r="1692" ht="15" customHeight="1">
      <c r="C1692">
        <f>IF($B1692="","",INT($B1692))</f>
        <v/>
      </c>
      <c r="D1692">
        <f>IF($C1692="","",$C1692-WEEKDAY($C1692,2)+1)</f>
        <v/>
      </c>
      <c r="E1692">
        <f>IF($C1692="","",DATE(YEAR($C1692),MONTH($C1692),1))</f>
        <v/>
      </c>
      <c r="F1692">
        <f>IF($C1692="","",YEAR($C1692)&amp;"-Q"&amp;ROUNDUP(MONTH($C1692)/3,0))</f>
        <v/>
      </c>
      <c r="L1692">
        <f>IF($G1692&lt;&gt;"ALCOHOL","",IF($K1692="","",$H1692*IFERROR(VLOOKUP($K1692,Drink_Templates!$A:$G,7,FALSE),0)))</f>
        <v/>
      </c>
    </row>
    <row r="1693" ht="15" customHeight="1">
      <c r="C1693">
        <f>IF($B1693="","",INT($B1693))</f>
        <v/>
      </c>
      <c r="D1693">
        <f>IF($C1693="","",$C1693-WEEKDAY($C1693,2)+1)</f>
        <v/>
      </c>
      <c r="E1693">
        <f>IF($C1693="","",DATE(YEAR($C1693),MONTH($C1693),1))</f>
        <v/>
      </c>
      <c r="F1693">
        <f>IF($C1693="","",YEAR($C1693)&amp;"-Q"&amp;ROUNDUP(MONTH($C1693)/3,0))</f>
        <v/>
      </c>
      <c r="L1693">
        <f>IF($G1693&lt;&gt;"ALCOHOL","",IF($K1693="","",$H1693*IFERROR(VLOOKUP($K1693,Drink_Templates!$A:$G,7,FALSE),0)))</f>
        <v/>
      </c>
    </row>
    <row r="1694" ht="15" customHeight="1">
      <c r="C1694">
        <f>IF($B1694="","",INT($B1694))</f>
        <v/>
      </c>
      <c r="D1694">
        <f>IF($C1694="","",$C1694-WEEKDAY($C1694,2)+1)</f>
        <v/>
      </c>
      <c r="E1694">
        <f>IF($C1694="","",DATE(YEAR($C1694),MONTH($C1694),1))</f>
        <v/>
      </c>
      <c r="F1694">
        <f>IF($C1694="","",YEAR($C1694)&amp;"-Q"&amp;ROUNDUP(MONTH($C1694)/3,0))</f>
        <v/>
      </c>
      <c r="L1694">
        <f>IF($G1694&lt;&gt;"ALCOHOL","",IF($K1694="","",$H1694*IFERROR(VLOOKUP($K1694,Drink_Templates!$A:$G,7,FALSE),0)))</f>
        <v/>
      </c>
    </row>
    <row r="1695" ht="15" customHeight="1">
      <c r="C1695">
        <f>IF($B1695="","",INT($B1695))</f>
        <v/>
      </c>
      <c r="D1695">
        <f>IF($C1695="","",$C1695-WEEKDAY($C1695,2)+1)</f>
        <v/>
      </c>
      <c r="E1695">
        <f>IF($C1695="","",DATE(YEAR($C1695),MONTH($C1695),1))</f>
        <v/>
      </c>
      <c r="F1695">
        <f>IF($C1695="","",YEAR($C1695)&amp;"-Q"&amp;ROUNDUP(MONTH($C1695)/3,0))</f>
        <v/>
      </c>
      <c r="L1695">
        <f>IF($G1695&lt;&gt;"ALCOHOL","",IF($K1695="","",$H1695*IFERROR(VLOOKUP($K1695,Drink_Templates!$A:$G,7,FALSE),0)))</f>
        <v/>
      </c>
    </row>
    <row r="1696" ht="15" customHeight="1">
      <c r="C1696">
        <f>IF($B1696="","",INT($B1696))</f>
        <v/>
      </c>
      <c r="D1696">
        <f>IF($C1696="","",$C1696-WEEKDAY($C1696,2)+1)</f>
        <v/>
      </c>
      <c r="E1696">
        <f>IF($C1696="","",DATE(YEAR($C1696),MONTH($C1696),1))</f>
        <v/>
      </c>
      <c r="F1696">
        <f>IF($C1696="","",YEAR($C1696)&amp;"-Q"&amp;ROUNDUP(MONTH($C1696)/3,0))</f>
        <v/>
      </c>
      <c r="L1696">
        <f>IF($G1696&lt;&gt;"ALCOHOL","",IF($K1696="","",$H1696*IFERROR(VLOOKUP($K1696,Drink_Templates!$A:$G,7,FALSE),0)))</f>
        <v/>
      </c>
    </row>
    <row r="1697" ht="15" customHeight="1">
      <c r="C1697">
        <f>IF($B1697="","",INT($B1697))</f>
        <v/>
      </c>
      <c r="D1697">
        <f>IF($C1697="","",$C1697-WEEKDAY($C1697,2)+1)</f>
        <v/>
      </c>
      <c r="E1697">
        <f>IF($C1697="","",DATE(YEAR($C1697),MONTH($C1697),1))</f>
        <v/>
      </c>
      <c r="F1697">
        <f>IF($C1697="","",YEAR($C1697)&amp;"-Q"&amp;ROUNDUP(MONTH($C1697)/3,0))</f>
        <v/>
      </c>
      <c r="L1697">
        <f>IF($G1697&lt;&gt;"ALCOHOL","",IF($K1697="","",$H1697*IFERROR(VLOOKUP($K1697,Drink_Templates!$A:$G,7,FALSE),0)))</f>
        <v/>
      </c>
    </row>
    <row r="1698" ht="15" customHeight="1">
      <c r="C1698">
        <f>IF($B1698="","",INT($B1698))</f>
        <v/>
      </c>
      <c r="D1698">
        <f>IF($C1698="","",$C1698-WEEKDAY($C1698,2)+1)</f>
        <v/>
      </c>
      <c r="E1698">
        <f>IF($C1698="","",DATE(YEAR($C1698),MONTH($C1698),1))</f>
        <v/>
      </c>
      <c r="F1698">
        <f>IF($C1698="","",YEAR($C1698)&amp;"-Q"&amp;ROUNDUP(MONTH($C1698)/3,0))</f>
        <v/>
      </c>
      <c r="L1698">
        <f>IF($G1698&lt;&gt;"ALCOHOL","",IF($K1698="","",$H1698*IFERROR(VLOOKUP($K1698,Drink_Templates!$A:$G,7,FALSE),0)))</f>
        <v/>
      </c>
    </row>
    <row r="1699" ht="15" customHeight="1">
      <c r="C1699">
        <f>IF($B1699="","",INT($B1699))</f>
        <v/>
      </c>
      <c r="D1699">
        <f>IF($C1699="","",$C1699-WEEKDAY($C1699,2)+1)</f>
        <v/>
      </c>
      <c r="E1699">
        <f>IF($C1699="","",DATE(YEAR($C1699),MONTH($C1699),1))</f>
        <v/>
      </c>
      <c r="F1699">
        <f>IF($C1699="","",YEAR($C1699)&amp;"-Q"&amp;ROUNDUP(MONTH($C1699)/3,0))</f>
        <v/>
      </c>
      <c r="L1699">
        <f>IF($G1699&lt;&gt;"ALCOHOL","",IF($K1699="","",$H1699*IFERROR(VLOOKUP($K1699,Drink_Templates!$A:$G,7,FALSE),0)))</f>
        <v/>
      </c>
    </row>
    <row r="1700" ht="15" customHeight="1">
      <c r="C1700">
        <f>IF($B1700="","",INT($B1700))</f>
        <v/>
      </c>
      <c r="D1700">
        <f>IF($C1700="","",$C1700-WEEKDAY($C1700,2)+1)</f>
        <v/>
      </c>
      <c r="E1700">
        <f>IF($C1700="","",DATE(YEAR($C1700),MONTH($C1700),1))</f>
        <v/>
      </c>
      <c r="F1700">
        <f>IF($C1700="","",YEAR($C1700)&amp;"-Q"&amp;ROUNDUP(MONTH($C1700)/3,0))</f>
        <v/>
      </c>
      <c r="L1700">
        <f>IF($G1700&lt;&gt;"ALCOHOL","",IF($K1700="","",$H1700*IFERROR(VLOOKUP($K1700,Drink_Templates!$A:$G,7,FALSE),0)))</f>
        <v/>
      </c>
    </row>
    <row r="1701" ht="15" customHeight="1">
      <c r="C1701">
        <f>IF($B1701="","",INT($B1701))</f>
        <v/>
      </c>
      <c r="D1701">
        <f>IF($C1701="","",$C1701-WEEKDAY($C1701,2)+1)</f>
        <v/>
      </c>
      <c r="E1701">
        <f>IF($C1701="","",DATE(YEAR($C1701),MONTH($C1701),1))</f>
        <v/>
      </c>
      <c r="F1701">
        <f>IF($C1701="","",YEAR($C1701)&amp;"-Q"&amp;ROUNDUP(MONTH($C1701)/3,0))</f>
        <v/>
      </c>
      <c r="L1701">
        <f>IF($G1701&lt;&gt;"ALCOHOL","",IF($K1701="","",$H1701*IFERROR(VLOOKUP($K1701,Drink_Templates!$A:$G,7,FALSE),0)))</f>
        <v/>
      </c>
    </row>
    <row r="1702" ht="15" customHeight="1">
      <c r="C1702">
        <f>IF($B1702="","",INT($B1702))</f>
        <v/>
      </c>
      <c r="D1702">
        <f>IF($C1702="","",$C1702-WEEKDAY($C1702,2)+1)</f>
        <v/>
      </c>
      <c r="E1702">
        <f>IF($C1702="","",DATE(YEAR($C1702),MONTH($C1702),1))</f>
        <v/>
      </c>
      <c r="F1702">
        <f>IF($C1702="","",YEAR($C1702)&amp;"-Q"&amp;ROUNDUP(MONTH($C1702)/3,0))</f>
        <v/>
      </c>
      <c r="L1702">
        <f>IF($G1702&lt;&gt;"ALCOHOL","",IF($K1702="","",$H1702*IFERROR(VLOOKUP($K1702,Drink_Templates!$A:$G,7,FALSE),0)))</f>
        <v/>
      </c>
    </row>
    <row r="1703" ht="15" customHeight="1">
      <c r="C1703">
        <f>IF($B1703="","",INT($B1703))</f>
        <v/>
      </c>
      <c r="D1703">
        <f>IF($C1703="","",$C1703-WEEKDAY($C1703,2)+1)</f>
        <v/>
      </c>
      <c r="E1703">
        <f>IF($C1703="","",DATE(YEAR($C1703),MONTH($C1703),1))</f>
        <v/>
      </c>
      <c r="F1703">
        <f>IF($C1703="","",YEAR($C1703)&amp;"-Q"&amp;ROUNDUP(MONTH($C1703)/3,0))</f>
        <v/>
      </c>
      <c r="L1703">
        <f>IF($G1703&lt;&gt;"ALCOHOL","",IF($K1703="","",$H1703*IFERROR(VLOOKUP($K1703,Drink_Templates!$A:$G,7,FALSE),0)))</f>
        <v/>
      </c>
    </row>
    <row r="1704" ht="15" customHeight="1">
      <c r="C1704">
        <f>IF($B1704="","",INT($B1704))</f>
        <v/>
      </c>
      <c r="D1704">
        <f>IF($C1704="","",$C1704-WEEKDAY($C1704,2)+1)</f>
        <v/>
      </c>
      <c r="E1704">
        <f>IF($C1704="","",DATE(YEAR($C1704),MONTH($C1704),1))</f>
        <v/>
      </c>
      <c r="F1704">
        <f>IF($C1704="","",YEAR($C1704)&amp;"-Q"&amp;ROUNDUP(MONTH($C1704)/3,0))</f>
        <v/>
      </c>
      <c r="L1704">
        <f>IF($G1704&lt;&gt;"ALCOHOL","",IF($K1704="","",$H1704*IFERROR(VLOOKUP($K1704,Drink_Templates!$A:$G,7,FALSE),0)))</f>
        <v/>
      </c>
    </row>
    <row r="1705" ht="15" customHeight="1">
      <c r="C1705">
        <f>IF($B1705="","",INT($B1705))</f>
        <v/>
      </c>
      <c r="D1705">
        <f>IF($C1705="","",$C1705-WEEKDAY($C1705,2)+1)</f>
        <v/>
      </c>
      <c r="E1705">
        <f>IF($C1705="","",DATE(YEAR($C1705),MONTH($C1705),1))</f>
        <v/>
      </c>
      <c r="F1705">
        <f>IF($C1705="","",YEAR($C1705)&amp;"-Q"&amp;ROUNDUP(MONTH($C1705)/3,0))</f>
        <v/>
      </c>
      <c r="L1705">
        <f>IF($G1705&lt;&gt;"ALCOHOL","",IF($K1705="","",$H1705*IFERROR(VLOOKUP($K1705,Drink_Templates!$A:$G,7,FALSE),0)))</f>
        <v/>
      </c>
    </row>
    <row r="1706" ht="15" customHeight="1">
      <c r="C1706">
        <f>IF($B1706="","",INT($B1706))</f>
        <v/>
      </c>
      <c r="D1706">
        <f>IF($C1706="","",$C1706-WEEKDAY($C1706,2)+1)</f>
        <v/>
      </c>
      <c r="E1706">
        <f>IF($C1706="","",DATE(YEAR($C1706),MONTH($C1706),1))</f>
        <v/>
      </c>
      <c r="F1706">
        <f>IF($C1706="","",YEAR($C1706)&amp;"-Q"&amp;ROUNDUP(MONTH($C1706)/3,0))</f>
        <v/>
      </c>
      <c r="L1706">
        <f>IF($G1706&lt;&gt;"ALCOHOL","",IF($K1706="","",$H1706*IFERROR(VLOOKUP($K1706,Drink_Templates!$A:$G,7,FALSE),0)))</f>
        <v/>
      </c>
    </row>
    <row r="1707" ht="15" customHeight="1">
      <c r="C1707">
        <f>IF($B1707="","",INT($B1707))</f>
        <v/>
      </c>
      <c r="D1707">
        <f>IF($C1707="","",$C1707-WEEKDAY($C1707,2)+1)</f>
        <v/>
      </c>
      <c r="E1707">
        <f>IF($C1707="","",DATE(YEAR($C1707),MONTH($C1707),1))</f>
        <v/>
      </c>
      <c r="F1707">
        <f>IF($C1707="","",YEAR($C1707)&amp;"-Q"&amp;ROUNDUP(MONTH($C1707)/3,0))</f>
        <v/>
      </c>
      <c r="L1707">
        <f>IF($G1707&lt;&gt;"ALCOHOL","",IF($K1707="","",$H1707*IFERROR(VLOOKUP($K1707,Drink_Templates!$A:$G,7,FALSE),0)))</f>
        <v/>
      </c>
    </row>
    <row r="1708" ht="15" customHeight="1">
      <c r="C1708">
        <f>IF($B1708="","",INT($B1708))</f>
        <v/>
      </c>
      <c r="D1708">
        <f>IF($C1708="","",$C1708-WEEKDAY($C1708,2)+1)</f>
        <v/>
      </c>
      <c r="E1708">
        <f>IF($C1708="","",DATE(YEAR($C1708),MONTH($C1708),1))</f>
        <v/>
      </c>
      <c r="F1708">
        <f>IF($C1708="","",YEAR($C1708)&amp;"-Q"&amp;ROUNDUP(MONTH($C1708)/3,0))</f>
        <v/>
      </c>
      <c r="L1708">
        <f>IF($G1708&lt;&gt;"ALCOHOL","",IF($K1708="","",$H1708*IFERROR(VLOOKUP($K1708,Drink_Templates!$A:$G,7,FALSE),0)))</f>
        <v/>
      </c>
    </row>
    <row r="1709" ht="15" customHeight="1">
      <c r="C1709">
        <f>IF($B1709="","",INT($B1709))</f>
        <v/>
      </c>
      <c r="D1709">
        <f>IF($C1709="","",$C1709-WEEKDAY($C1709,2)+1)</f>
        <v/>
      </c>
      <c r="E1709">
        <f>IF($C1709="","",DATE(YEAR($C1709),MONTH($C1709),1))</f>
        <v/>
      </c>
      <c r="F1709">
        <f>IF($C1709="","",YEAR($C1709)&amp;"-Q"&amp;ROUNDUP(MONTH($C1709)/3,0))</f>
        <v/>
      </c>
      <c r="L1709">
        <f>IF($G1709&lt;&gt;"ALCOHOL","",IF($K1709="","",$H1709*IFERROR(VLOOKUP($K1709,Drink_Templates!$A:$G,7,FALSE),0)))</f>
        <v/>
      </c>
    </row>
    <row r="1710" ht="15" customHeight="1">
      <c r="C1710">
        <f>IF($B1710="","",INT($B1710))</f>
        <v/>
      </c>
      <c r="D1710">
        <f>IF($C1710="","",$C1710-WEEKDAY($C1710,2)+1)</f>
        <v/>
      </c>
      <c r="E1710">
        <f>IF($C1710="","",DATE(YEAR($C1710),MONTH($C1710),1))</f>
        <v/>
      </c>
      <c r="F1710">
        <f>IF($C1710="","",YEAR($C1710)&amp;"-Q"&amp;ROUNDUP(MONTH($C1710)/3,0))</f>
        <v/>
      </c>
      <c r="L1710">
        <f>IF($G1710&lt;&gt;"ALCOHOL","",IF($K1710="","",$H1710*IFERROR(VLOOKUP($K1710,Drink_Templates!$A:$G,7,FALSE),0)))</f>
        <v/>
      </c>
    </row>
    <row r="1711" ht="15" customHeight="1">
      <c r="C1711">
        <f>IF($B1711="","",INT($B1711))</f>
        <v/>
      </c>
      <c r="D1711">
        <f>IF($C1711="","",$C1711-WEEKDAY($C1711,2)+1)</f>
        <v/>
      </c>
      <c r="E1711">
        <f>IF($C1711="","",DATE(YEAR($C1711),MONTH($C1711),1))</f>
        <v/>
      </c>
      <c r="F1711">
        <f>IF($C1711="","",YEAR($C1711)&amp;"-Q"&amp;ROUNDUP(MONTH($C1711)/3,0))</f>
        <v/>
      </c>
      <c r="L1711">
        <f>IF($G1711&lt;&gt;"ALCOHOL","",IF($K1711="","",$H1711*IFERROR(VLOOKUP($K1711,Drink_Templates!$A:$G,7,FALSE),0)))</f>
        <v/>
      </c>
    </row>
    <row r="1712" ht="15" customHeight="1">
      <c r="C1712">
        <f>IF($B1712="","",INT($B1712))</f>
        <v/>
      </c>
      <c r="D1712">
        <f>IF($C1712="","",$C1712-WEEKDAY($C1712,2)+1)</f>
        <v/>
      </c>
      <c r="E1712">
        <f>IF($C1712="","",DATE(YEAR($C1712),MONTH($C1712),1))</f>
        <v/>
      </c>
      <c r="F1712">
        <f>IF($C1712="","",YEAR($C1712)&amp;"-Q"&amp;ROUNDUP(MONTH($C1712)/3,0))</f>
        <v/>
      </c>
      <c r="L1712">
        <f>IF($G1712&lt;&gt;"ALCOHOL","",IF($K1712="","",$H1712*IFERROR(VLOOKUP($K1712,Drink_Templates!$A:$G,7,FALSE),0)))</f>
        <v/>
      </c>
    </row>
    <row r="1713" ht="15" customHeight="1">
      <c r="C1713">
        <f>IF($B1713="","",INT($B1713))</f>
        <v/>
      </c>
      <c r="D1713">
        <f>IF($C1713="","",$C1713-WEEKDAY($C1713,2)+1)</f>
        <v/>
      </c>
      <c r="E1713">
        <f>IF($C1713="","",DATE(YEAR($C1713),MONTH($C1713),1))</f>
        <v/>
      </c>
      <c r="F1713">
        <f>IF($C1713="","",YEAR($C1713)&amp;"-Q"&amp;ROUNDUP(MONTH($C1713)/3,0))</f>
        <v/>
      </c>
      <c r="L1713">
        <f>IF($G1713&lt;&gt;"ALCOHOL","",IF($K1713="","",$H1713*IFERROR(VLOOKUP($K1713,Drink_Templates!$A:$G,7,FALSE),0)))</f>
        <v/>
      </c>
    </row>
    <row r="1714" ht="15" customHeight="1">
      <c r="C1714">
        <f>IF($B1714="","",INT($B1714))</f>
        <v/>
      </c>
      <c r="D1714">
        <f>IF($C1714="","",$C1714-WEEKDAY($C1714,2)+1)</f>
        <v/>
      </c>
      <c r="E1714">
        <f>IF($C1714="","",DATE(YEAR($C1714),MONTH($C1714),1))</f>
        <v/>
      </c>
      <c r="F1714">
        <f>IF($C1714="","",YEAR($C1714)&amp;"-Q"&amp;ROUNDUP(MONTH($C1714)/3,0))</f>
        <v/>
      </c>
      <c r="L1714">
        <f>IF($G1714&lt;&gt;"ALCOHOL","",IF($K1714="","",$H1714*IFERROR(VLOOKUP($K1714,Drink_Templates!$A:$G,7,FALSE),0)))</f>
        <v/>
      </c>
    </row>
    <row r="1715" ht="15" customHeight="1">
      <c r="C1715">
        <f>IF($B1715="","",INT($B1715))</f>
        <v/>
      </c>
      <c r="D1715">
        <f>IF($C1715="","",$C1715-WEEKDAY($C1715,2)+1)</f>
        <v/>
      </c>
      <c r="E1715">
        <f>IF($C1715="","",DATE(YEAR($C1715),MONTH($C1715),1))</f>
        <v/>
      </c>
      <c r="F1715">
        <f>IF($C1715="","",YEAR($C1715)&amp;"-Q"&amp;ROUNDUP(MONTH($C1715)/3,0))</f>
        <v/>
      </c>
      <c r="L1715">
        <f>IF($G1715&lt;&gt;"ALCOHOL","",IF($K1715="","",$H1715*IFERROR(VLOOKUP($K1715,Drink_Templates!$A:$G,7,FALSE),0)))</f>
        <v/>
      </c>
    </row>
    <row r="1716" ht="15" customHeight="1">
      <c r="C1716">
        <f>IF($B1716="","",INT($B1716))</f>
        <v/>
      </c>
      <c r="D1716">
        <f>IF($C1716="","",$C1716-WEEKDAY($C1716,2)+1)</f>
        <v/>
      </c>
      <c r="E1716">
        <f>IF($C1716="","",DATE(YEAR($C1716),MONTH($C1716),1))</f>
        <v/>
      </c>
      <c r="F1716">
        <f>IF($C1716="","",YEAR($C1716)&amp;"-Q"&amp;ROUNDUP(MONTH($C1716)/3,0))</f>
        <v/>
      </c>
      <c r="L1716">
        <f>IF($G1716&lt;&gt;"ALCOHOL","",IF($K1716="","",$H1716*IFERROR(VLOOKUP($K1716,Drink_Templates!$A:$G,7,FALSE),0)))</f>
        <v/>
      </c>
    </row>
    <row r="1717" ht="15" customHeight="1">
      <c r="C1717">
        <f>IF($B1717="","",INT($B1717))</f>
        <v/>
      </c>
      <c r="D1717">
        <f>IF($C1717="","",$C1717-WEEKDAY($C1717,2)+1)</f>
        <v/>
      </c>
      <c r="E1717">
        <f>IF($C1717="","",DATE(YEAR($C1717),MONTH($C1717),1))</f>
        <v/>
      </c>
      <c r="F1717">
        <f>IF($C1717="","",YEAR($C1717)&amp;"-Q"&amp;ROUNDUP(MONTH($C1717)/3,0))</f>
        <v/>
      </c>
      <c r="L1717">
        <f>IF($G1717&lt;&gt;"ALCOHOL","",IF($K1717="","",$H1717*IFERROR(VLOOKUP($K1717,Drink_Templates!$A:$G,7,FALSE),0)))</f>
        <v/>
      </c>
    </row>
    <row r="1718" ht="15" customHeight="1">
      <c r="C1718">
        <f>IF($B1718="","",INT($B1718))</f>
        <v/>
      </c>
      <c r="D1718">
        <f>IF($C1718="","",$C1718-WEEKDAY($C1718,2)+1)</f>
        <v/>
      </c>
      <c r="E1718">
        <f>IF($C1718="","",DATE(YEAR($C1718),MONTH($C1718),1))</f>
        <v/>
      </c>
      <c r="F1718">
        <f>IF($C1718="","",YEAR($C1718)&amp;"-Q"&amp;ROUNDUP(MONTH($C1718)/3,0))</f>
        <v/>
      </c>
      <c r="L1718">
        <f>IF($G1718&lt;&gt;"ALCOHOL","",IF($K1718="","",$H1718*IFERROR(VLOOKUP($K1718,Drink_Templates!$A:$G,7,FALSE),0)))</f>
        <v/>
      </c>
    </row>
    <row r="1719" ht="15" customHeight="1">
      <c r="C1719">
        <f>IF($B1719="","",INT($B1719))</f>
        <v/>
      </c>
      <c r="D1719">
        <f>IF($C1719="","",$C1719-WEEKDAY($C1719,2)+1)</f>
        <v/>
      </c>
      <c r="E1719">
        <f>IF($C1719="","",DATE(YEAR($C1719),MONTH($C1719),1))</f>
        <v/>
      </c>
      <c r="F1719">
        <f>IF($C1719="","",YEAR($C1719)&amp;"-Q"&amp;ROUNDUP(MONTH($C1719)/3,0))</f>
        <v/>
      </c>
      <c r="L1719">
        <f>IF($G1719&lt;&gt;"ALCOHOL","",IF($K1719="","",$H1719*IFERROR(VLOOKUP($K1719,Drink_Templates!$A:$G,7,FALSE),0)))</f>
        <v/>
      </c>
    </row>
    <row r="1720" ht="15" customHeight="1">
      <c r="C1720">
        <f>IF($B1720="","",INT($B1720))</f>
        <v/>
      </c>
      <c r="D1720">
        <f>IF($C1720="","",$C1720-WEEKDAY($C1720,2)+1)</f>
        <v/>
      </c>
      <c r="E1720">
        <f>IF($C1720="","",DATE(YEAR($C1720),MONTH($C1720),1))</f>
        <v/>
      </c>
      <c r="F1720">
        <f>IF($C1720="","",YEAR($C1720)&amp;"-Q"&amp;ROUNDUP(MONTH($C1720)/3,0))</f>
        <v/>
      </c>
      <c r="L1720">
        <f>IF($G1720&lt;&gt;"ALCOHOL","",IF($K1720="","",$H1720*IFERROR(VLOOKUP($K1720,Drink_Templates!$A:$G,7,FALSE),0)))</f>
        <v/>
      </c>
    </row>
    <row r="1721" ht="15" customHeight="1">
      <c r="C1721">
        <f>IF($B1721="","",INT($B1721))</f>
        <v/>
      </c>
      <c r="D1721">
        <f>IF($C1721="","",$C1721-WEEKDAY($C1721,2)+1)</f>
        <v/>
      </c>
      <c r="E1721">
        <f>IF($C1721="","",DATE(YEAR($C1721),MONTH($C1721),1))</f>
        <v/>
      </c>
      <c r="F1721">
        <f>IF($C1721="","",YEAR($C1721)&amp;"-Q"&amp;ROUNDUP(MONTH($C1721)/3,0))</f>
        <v/>
      </c>
      <c r="L1721">
        <f>IF($G1721&lt;&gt;"ALCOHOL","",IF($K1721="","",$H1721*IFERROR(VLOOKUP($K1721,Drink_Templates!$A:$G,7,FALSE),0)))</f>
        <v/>
      </c>
    </row>
    <row r="1722" ht="15" customHeight="1">
      <c r="C1722">
        <f>IF($B1722="","",INT($B1722))</f>
        <v/>
      </c>
      <c r="D1722">
        <f>IF($C1722="","",$C1722-WEEKDAY($C1722,2)+1)</f>
        <v/>
      </c>
      <c r="E1722">
        <f>IF($C1722="","",DATE(YEAR($C1722),MONTH($C1722),1))</f>
        <v/>
      </c>
      <c r="F1722">
        <f>IF($C1722="","",YEAR($C1722)&amp;"-Q"&amp;ROUNDUP(MONTH($C1722)/3,0))</f>
        <v/>
      </c>
      <c r="L1722">
        <f>IF($G1722&lt;&gt;"ALCOHOL","",IF($K1722="","",$H1722*IFERROR(VLOOKUP($K1722,Drink_Templates!$A:$G,7,FALSE),0)))</f>
        <v/>
      </c>
    </row>
    <row r="1723" ht="15" customHeight="1">
      <c r="C1723">
        <f>IF($B1723="","",INT($B1723))</f>
        <v/>
      </c>
      <c r="D1723">
        <f>IF($C1723="","",$C1723-WEEKDAY($C1723,2)+1)</f>
        <v/>
      </c>
      <c r="E1723">
        <f>IF($C1723="","",DATE(YEAR($C1723),MONTH($C1723),1))</f>
        <v/>
      </c>
      <c r="F1723">
        <f>IF($C1723="","",YEAR($C1723)&amp;"-Q"&amp;ROUNDUP(MONTH($C1723)/3,0))</f>
        <v/>
      </c>
      <c r="L1723">
        <f>IF($G1723&lt;&gt;"ALCOHOL","",IF($K1723="","",$H1723*IFERROR(VLOOKUP($K1723,Drink_Templates!$A:$G,7,FALSE),0)))</f>
        <v/>
      </c>
    </row>
    <row r="1724" ht="15" customHeight="1">
      <c r="C1724">
        <f>IF($B1724="","",INT($B1724))</f>
        <v/>
      </c>
      <c r="D1724">
        <f>IF($C1724="","",$C1724-WEEKDAY($C1724,2)+1)</f>
        <v/>
      </c>
      <c r="E1724">
        <f>IF($C1724="","",DATE(YEAR($C1724),MONTH($C1724),1))</f>
        <v/>
      </c>
      <c r="F1724">
        <f>IF($C1724="","",YEAR($C1724)&amp;"-Q"&amp;ROUNDUP(MONTH($C1724)/3,0))</f>
        <v/>
      </c>
      <c r="L1724">
        <f>IF($G1724&lt;&gt;"ALCOHOL","",IF($K1724="","",$H1724*IFERROR(VLOOKUP($K1724,Drink_Templates!$A:$G,7,FALSE),0)))</f>
        <v/>
      </c>
    </row>
    <row r="1725" ht="15" customHeight="1">
      <c r="C1725">
        <f>IF($B1725="","",INT($B1725))</f>
        <v/>
      </c>
      <c r="D1725">
        <f>IF($C1725="","",$C1725-WEEKDAY($C1725,2)+1)</f>
        <v/>
      </c>
      <c r="E1725">
        <f>IF($C1725="","",DATE(YEAR($C1725),MONTH($C1725),1))</f>
        <v/>
      </c>
      <c r="F1725">
        <f>IF($C1725="","",YEAR($C1725)&amp;"-Q"&amp;ROUNDUP(MONTH($C1725)/3,0))</f>
        <v/>
      </c>
      <c r="L1725">
        <f>IF($G1725&lt;&gt;"ALCOHOL","",IF($K1725="","",$H1725*IFERROR(VLOOKUP($K1725,Drink_Templates!$A:$G,7,FALSE),0)))</f>
        <v/>
      </c>
    </row>
    <row r="1726" ht="15" customHeight="1">
      <c r="C1726">
        <f>IF($B1726="","",INT($B1726))</f>
        <v/>
      </c>
      <c r="D1726">
        <f>IF($C1726="","",$C1726-WEEKDAY($C1726,2)+1)</f>
        <v/>
      </c>
      <c r="E1726">
        <f>IF($C1726="","",DATE(YEAR($C1726),MONTH($C1726),1))</f>
        <v/>
      </c>
      <c r="F1726">
        <f>IF($C1726="","",YEAR($C1726)&amp;"-Q"&amp;ROUNDUP(MONTH($C1726)/3,0))</f>
        <v/>
      </c>
      <c r="L1726">
        <f>IF($G1726&lt;&gt;"ALCOHOL","",IF($K1726="","",$H1726*IFERROR(VLOOKUP($K1726,Drink_Templates!$A:$G,7,FALSE),0)))</f>
        <v/>
      </c>
    </row>
    <row r="1727" ht="15" customHeight="1">
      <c r="C1727">
        <f>IF($B1727="","",INT($B1727))</f>
        <v/>
      </c>
      <c r="D1727">
        <f>IF($C1727="","",$C1727-WEEKDAY($C1727,2)+1)</f>
        <v/>
      </c>
      <c r="E1727">
        <f>IF($C1727="","",DATE(YEAR($C1727),MONTH($C1727),1))</f>
        <v/>
      </c>
      <c r="F1727">
        <f>IF($C1727="","",YEAR($C1727)&amp;"-Q"&amp;ROUNDUP(MONTH($C1727)/3,0))</f>
        <v/>
      </c>
      <c r="L1727">
        <f>IF($G1727&lt;&gt;"ALCOHOL","",IF($K1727="","",$H1727*IFERROR(VLOOKUP($K1727,Drink_Templates!$A:$G,7,FALSE),0)))</f>
        <v/>
      </c>
    </row>
    <row r="1728" ht="15" customHeight="1">
      <c r="C1728">
        <f>IF($B1728="","",INT($B1728))</f>
        <v/>
      </c>
      <c r="D1728">
        <f>IF($C1728="","",$C1728-WEEKDAY($C1728,2)+1)</f>
        <v/>
      </c>
      <c r="E1728">
        <f>IF($C1728="","",DATE(YEAR($C1728),MONTH($C1728),1))</f>
        <v/>
      </c>
      <c r="F1728">
        <f>IF($C1728="","",YEAR($C1728)&amp;"-Q"&amp;ROUNDUP(MONTH($C1728)/3,0))</f>
        <v/>
      </c>
      <c r="L1728">
        <f>IF($G1728&lt;&gt;"ALCOHOL","",IF($K1728="","",$H1728*IFERROR(VLOOKUP($K1728,Drink_Templates!$A:$G,7,FALSE),0)))</f>
        <v/>
      </c>
    </row>
    <row r="1729" ht="15" customHeight="1">
      <c r="C1729">
        <f>IF($B1729="","",INT($B1729))</f>
        <v/>
      </c>
      <c r="D1729">
        <f>IF($C1729="","",$C1729-WEEKDAY($C1729,2)+1)</f>
        <v/>
      </c>
      <c r="E1729">
        <f>IF($C1729="","",DATE(YEAR($C1729),MONTH($C1729),1))</f>
        <v/>
      </c>
      <c r="F1729">
        <f>IF($C1729="","",YEAR($C1729)&amp;"-Q"&amp;ROUNDUP(MONTH($C1729)/3,0))</f>
        <v/>
      </c>
      <c r="L1729">
        <f>IF($G1729&lt;&gt;"ALCOHOL","",IF($K1729="","",$H1729*IFERROR(VLOOKUP($K1729,Drink_Templates!$A:$G,7,FALSE),0)))</f>
        <v/>
      </c>
    </row>
    <row r="1730" ht="15" customHeight="1">
      <c r="C1730">
        <f>IF($B1730="","",INT($B1730))</f>
        <v/>
      </c>
      <c r="D1730">
        <f>IF($C1730="","",$C1730-WEEKDAY($C1730,2)+1)</f>
        <v/>
      </c>
      <c r="E1730">
        <f>IF($C1730="","",DATE(YEAR($C1730),MONTH($C1730),1))</f>
        <v/>
      </c>
      <c r="F1730">
        <f>IF($C1730="","",YEAR($C1730)&amp;"-Q"&amp;ROUNDUP(MONTH($C1730)/3,0))</f>
        <v/>
      </c>
      <c r="L1730">
        <f>IF($G1730&lt;&gt;"ALCOHOL","",IF($K1730="","",$H1730*IFERROR(VLOOKUP($K1730,Drink_Templates!$A:$G,7,FALSE),0)))</f>
        <v/>
      </c>
    </row>
    <row r="1731" ht="15" customHeight="1">
      <c r="C1731">
        <f>IF($B1731="","",INT($B1731))</f>
        <v/>
      </c>
      <c r="D1731">
        <f>IF($C1731="","",$C1731-WEEKDAY($C1731,2)+1)</f>
        <v/>
      </c>
      <c r="E1731">
        <f>IF($C1731="","",DATE(YEAR($C1731),MONTH($C1731),1))</f>
        <v/>
      </c>
      <c r="F1731">
        <f>IF($C1731="","",YEAR($C1731)&amp;"-Q"&amp;ROUNDUP(MONTH($C1731)/3,0))</f>
        <v/>
      </c>
      <c r="L1731">
        <f>IF($G1731&lt;&gt;"ALCOHOL","",IF($K1731="","",$H1731*IFERROR(VLOOKUP($K1731,Drink_Templates!$A:$G,7,FALSE),0)))</f>
        <v/>
      </c>
    </row>
    <row r="1732" ht="15" customHeight="1">
      <c r="C1732">
        <f>IF($B1732="","",INT($B1732))</f>
        <v/>
      </c>
      <c r="D1732">
        <f>IF($C1732="","",$C1732-WEEKDAY($C1732,2)+1)</f>
        <v/>
      </c>
      <c r="E1732">
        <f>IF($C1732="","",DATE(YEAR($C1732),MONTH($C1732),1))</f>
        <v/>
      </c>
      <c r="F1732">
        <f>IF($C1732="","",YEAR($C1732)&amp;"-Q"&amp;ROUNDUP(MONTH($C1732)/3,0))</f>
        <v/>
      </c>
      <c r="L1732">
        <f>IF($G1732&lt;&gt;"ALCOHOL","",IF($K1732="","",$H1732*IFERROR(VLOOKUP($K1732,Drink_Templates!$A:$G,7,FALSE),0)))</f>
        <v/>
      </c>
    </row>
    <row r="1733" ht="15" customHeight="1">
      <c r="C1733">
        <f>IF($B1733="","",INT($B1733))</f>
        <v/>
      </c>
      <c r="D1733">
        <f>IF($C1733="","",$C1733-WEEKDAY($C1733,2)+1)</f>
        <v/>
      </c>
      <c r="E1733">
        <f>IF($C1733="","",DATE(YEAR($C1733),MONTH($C1733),1))</f>
        <v/>
      </c>
      <c r="F1733">
        <f>IF($C1733="","",YEAR($C1733)&amp;"-Q"&amp;ROUNDUP(MONTH($C1733)/3,0))</f>
        <v/>
      </c>
      <c r="L1733">
        <f>IF($G1733&lt;&gt;"ALCOHOL","",IF($K1733="","",$H1733*IFERROR(VLOOKUP($K1733,Drink_Templates!$A:$G,7,FALSE),0)))</f>
        <v/>
      </c>
    </row>
    <row r="1734" ht="15" customHeight="1">
      <c r="C1734">
        <f>IF($B1734="","",INT($B1734))</f>
        <v/>
      </c>
      <c r="D1734">
        <f>IF($C1734="","",$C1734-WEEKDAY($C1734,2)+1)</f>
        <v/>
      </c>
      <c r="E1734">
        <f>IF($C1734="","",DATE(YEAR($C1734),MONTH($C1734),1))</f>
        <v/>
      </c>
      <c r="F1734">
        <f>IF($C1734="","",YEAR($C1734)&amp;"-Q"&amp;ROUNDUP(MONTH($C1734)/3,0))</f>
        <v/>
      </c>
      <c r="L1734">
        <f>IF($G1734&lt;&gt;"ALCOHOL","",IF($K1734="","",$H1734*IFERROR(VLOOKUP($K1734,Drink_Templates!$A:$G,7,FALSE),0)))</f>
        <v/>
      </c>
    </row>
    <row r="1735" ht="15" customHeight="1">
      <c r="C1735">
        <f>IF($B1735="","",INT($B1735))</f>
        <v/>
      </c>
      <c r="D1735">
        <f>IF($C1735="","",$C1735-WEEKDAY($C1735,2)+1)</f>
        <v/>
      </c>
      <c r="E1735">
        <f>IF($C1735="","",DATE(YEAR($C1735),MONTH($C1735),1))</f>
        <v/>
      </c>
      <c r="F1735">
        <f>IF($C1735="","",YEAR($C1735)&amp;"-Q"&amp;ROUNDUP(MONTH($C1735)/3,0))</f>
        <v/>
      </c>
      <c r="L1735">
        <f>IF($G1735&lt;&gt;"ALCOHOL","",IF($K1735="","",$H1735*IFERROR(VLOOKUP($K1735,Drink_Templates!$A:$G,7,FALSE),0)))</f>
        <v/>
      </c>
    </row>
    <row r="1736" ht="15" customHeight="1">
      <c r="C1736">
        <f>IF($B1736="","",INT($B1736))</f>
        <v/>
      </c>
      <c r="D1736">
        <f>IF($C1736="","",$C1736-WEEKDAY($C1736,2)+1)</f>
        <v/>
      </c>
      <c r="E1736">
        <f>IF($C1736="","",DATE(YEAR($C1736),MONTH($C1736),1))</f>
        <v/>
      </c>
      <c r="F1736">
        <f>IF($C1736="","",YEAR($C1736)&amp;"-Q"&amp;ROUNDUP(MONTH($C1736)/3,0))</f>
        <v/>
      </c>
      <c r="L1736">
        <f>IF($G1736&lt;&gt;"ALCOHOL","",IF($K1736="","",$H1736*IFERROR(VLOOKUP($K1736,Drink_Templates!$A:$G,7,FALSE),0)))</f>
        <v/>
      </c>
    </row>
    <row r="1737" ht="15" customHeight="1">
      <c r="C1737">
        <f>IF($B1737="","",INT($B1737))</f>
        <v/>
      </c>
      <c r="D1737">
        <f>IF($C1737="","",$C1737-WEEKDAY($C1737,2)+1)</f>
        <v/>
      </c>
      <c r="E1737">
        <f>IF($C1737="","",DATE(YEAR($C1737),MONTH($C1737),1))</f>
        <v/>
      </c>
      <c r="F1737">
        <f>IF($C1737="","",YEAR($C1737)&amp;"-Q"&amp;ROUNDUP(MONTH($C1737)/3,0))</f>
        <v/>
      </c>
      <c r="L1737">
        <f>IF($G1737&lt;&gt;"ALCOHOL","",IF($K1737="","",$H1737*IFERROR(VLOOKUP($K1737,Drink_Templates!$A:$G,7,FALSE),0)))</f>
        <v/>
      </c>
    </row>
    <row r="1738" ht="15" customHeight="1">
      <c r="C1738">
        <f>IF($B1738="","",INT($B1738))</f>
        <v/>
      </c>
      <c r="D1738">
        <f>IF($C1738="","",$C1738-WEEKDAY($C1738,2)+1)</f>
        <v/>
      </c>
      <c r="E1738">
        <f>IF($C1738="","",DATE(YEAR($C1738),MONTH($C1738),1))</f>
        <v/>
      </c>
      <c r="F1738">
        <f>IF($C1738="","",YEAR($C1738)&amp;"-Q"&amp;ROUNDUP(MONTH($C1738)/3,0))</f>
        <v/>
      </c>
      <c r="L1738">
        <f>IF($G1738&lt;&gt;"ALCOHOL","",IF($K1738="","",$H1738*IFERROR(VLOOKUP($K1738,Drink_Templates!$A:$G,7,FALSE),0)))</f>
        <v/>
      </c>
    </row>
    <row r="1739" ht="15" customHeight="1">
      <c r="C1739">
        <f>IF($B1739="","",INT($B1739))</f>
        <v/>
      </c>
      <c r="D1739">
        <f>IF($C1739="","",$C1739-WEEKDAY($C1739,2)+1)</f>
        <v/>
      </c>
      <c r="E1739">
        <f>IF($C1739="","",DATE(YEAR($C1739),MONTH($C1739),1))</f>
        <v/>
      </c>
      <c r="F1739">
        <f>IF($C1739="","",YEAR($C1739)&amp;"-Q"&amp;ROUNDUP(MONTH($C1739)/3,0))</f>
        <v/>
      </c>
      <c r="L1739">
        <f>IF($G1739&lt;&gt;"ALCOHOL","",IF($K1739="","",$H1739*IFERROR(VLOOKUP($K1739,Drink_Templates!$A:$G,7,FALSE),0)))</f>
        <v/>
      </c>
    </row>
    <row r="1740" ht="15" customHeight="1">
      <c r="C1740">
        <f>IF($B1740="","",INT($B1740))</f>
        <v/>
      </c>
      <c r="D1740">
        <f>IF($C1740="","",$C1740-WEEKDAY($C1740,2)+1)</f>
        <v/>
      </c>
      <c r="E1740">
        <f>IF($C1740="","",DATE(YEAR($C1740),MONTH($C1740),1))</f>
        <v/>
      </c>
      <c r="F1740">
        <f>IF($C1740="","",YEAR($C1740)&amp;"-Q"&amp;ROUNDUP(MONTH($C1740)/3,0))</f>
        <v/>
      </c>
      <c r="L1740">
        <f>IF($G1740&lt;&gt;"ALCOHOL","",IF($K1740="","",$H1740*IFERROR(VLOOKUP($K1740,Drink_Templates!$A:$G,7,FALSE),0)))</f>
        <v/>
      </c>
    </row>
    <row r="1741" ht="15" customHeight="1">
      <c r="C1741">
        <f>IF($B1741="","",INT($B1741))</f>
        <v/>
      </c>
      <c r="D1741">
        <f>IF($C1741="","",$C1741-WEEKDAY($C1741,2)+1)</f>
        <v/>
      </c>
      <c r="E1741">
        <f>IF($C1741="","",DATE(YEAR($C1741),MONTH($C1741),1))</f>
        <v/>
      </c>
      <c r="F1741">
        <f>IF($C1741="","",YEAR($C1741)&amp;"-Q"&amp;ROUNDUP(MONTH($C1741)/3,0))</f>
        <v/>
      </c>
      <c r="L1741">
        <f>IF($G1741&lt;&gt;"ALCOHOL","",IF($K1741="","",$H1741*IFERROR(VLOOKUP($K1741,Drink_Templates!$A:$G,7,FALSE),0)))</f>
        <v/>
      </c>
    </row>
    <row r="1742" ht="15" customHeight="1">
      <c r="C1742">
        <f>IF($B1742="","",INT($B1742))</f>
        <v/>
      </c>
      <c r="D1742">
        <f>IF($C1742="","",$C1742-WEEKDAY($C1742,2)+1)</f>
        <v/>
      </c>
      <c r="E1742">
        <f>IF($C1742="","",DATE(YEAR($C1742),MONTH($C1742),1))</f>
        <v/>
      </c>
      <c r="F1742">
        <f>IF($C1742="","",YEAR($C1742)&amp;"-Q"&amp;ROUNDUP(MONTH($C1742)/3,0))</f>
        <v/>
      </c>
      <c r="L1742">
        <f>IF($G1742&lt;&gt;"ALCOHOL","",IF($K1742="","",$H1742*IFERROR(VLOOKUP($K1742,Drink_Templates!$A:$G,7,FALSE),0)))</f>
        <v/>
      </c>
    </row>
    <row r="1743" ht="15" customHeight="1">
      <c r="C1743">
        <f>IF($B1743="","",INT($B1743))</f>
        <v/>
      </c>
      <c r="D1743">
        <f>IF($C1743="","",$C1743-WEEKDAY($C1743,2)+1)</f>
        <v/>
      </c>
      <c r="E1743">
        <f>IF($C1743="","",DATE(YEAR($C1743),MONTH($C1743),1))</f>
        <v/>
      </c>
      <c r="F1743">
        <f>IF($C1743="","",YEAR($C1743)&amp;"-Q"&amp;ROUNDUP(MONTH($C1743)/3,0))</f>
        <v/>
      </c>
      <c r="L1743">
        <f>IF($G1743&lt;&gt;"ALCOHOL","",IF($K1743="","",$H1743*IFERROR(VLOOKUP($K1743,Drink_Templates!$A:$G,7,FALSE),0)))</f>
        <v/>
      </c>
    </row>
    <row r="1744" ht="15" customHeight="1">
      <c r="C1744">
        <f>IF($B1744="","",INT($B1744))</f>
        <v/>
      </c>
      <c r="D1744">
        <f>IF($C1744="","",$C1744-WEEKDAY($C1744,2)+1)</f>
        <v/>
      </c>
      <c r="E1744">
        <f>IF($C1744="","",DATE(YEAR($C1744),MONTH($C1744),1))</f>
        <v/>
      </c>
      <c r="F1744">
        <f>IF($C1744="","",YEAR($C1744)&amp;"-Q"&amp;ROUNDUP(MONTH($C1744)/3,0))</f>
        <v/>
      </c>
      <c r="L1744">
        <f>IF($G1744&lt;&gt;"ALCOHOL","",IF($K1744="","",$H1744*IFERROR(VLOOKUP($K1744,Drink_Templates!$A:$G,7,FALSE),0)))</f>
        <v/>
      </c>
    </row>
    <row r="1745" ht="15" customHeight="1">
      <c r="C1745">
        <f>IF($B1745="","",INT($B1745))</f>
        <v/>
      </c>
      <c r="D1745">
        <f>IF($C1745="","",$C1745-WEEKDAY($C1745,2)+1)</f>
        <v/>
      </c>
      <c r="E1745">
        <f>IF($C1745="","",DATE(YEAR($C1745),MONTH($C1745),1))</f>
        <v/>
      </c>
      <c r="F1745">
        <f>IF($C1745="","",YEAR($C1745)&amp;"-Q"&amp;ROUNDUP(MONTH($C1745)/3,0))</f>
        <v/>
      </c>
      <c r="L1745">
        <f>IF($G1745&lt;&gt;"ALCOHOL","",IF($K1745="","",$H1745*IFERROR(VLOOKUP($K1745,Drink_Templates!$A:$G,7,FALSE),0)))</f>
        <v/>
      </c>
    </row>
    <row r="1746" ht="15" customHeight="1">
      <c r="C1746">
        <f>IF($B1746="","",INT($B1746))</f>
        <v/>
      </c>
      <c r="D1746">
        <f>IF($C1746="","",$C1746-WEEKDAY($C1746,2)+1)</f>
        <v/>
      </c>
      <c r="E1746">
        <f>IF($C1746="","",DATE(YEAR($C1746),MONTH($C1746),1))</f>
        <v/>
      </c>
      <c r="F1746">
        <f>IF($C1746="","",YEAR($C1746)&amp;"-Q"&amp;ROUNDUP(MONTH($C1746)/3,0))</f>
        <v/>
      </c>
      <c r="L1746">
        <f>IF($G1746&lt;&gt;"ALCOHOL","",IF($K1746="","",$H1746*IFERROR(VLOOKUP($K1746,Drink_Templates!$A:$G,7,FALSE),0)))</f>
        <v/>
      </c>
    </row>
    <row r="1747" ht="15" customHeight="1">
      <c r="C1747">
        <f>IF($B1747="","",INT($B1747))</f>
        <v/>
      </c>
      <c r="D1747">
        <f>IF($C1747="","",$C1747-WEEKDAY($C1747,2)+1)</f>
        <v/>
      </c>
      <c r="E1747">
        <f>IF($C1747="","",DATE(YEAR($C1747),MONTH($C1747),1))</f>
        <v/>
      </c>
      <c r="F1747">
        <f>IF($C1747="","",YEAR($C1747)&amp;"-Q"&amp;ROUNDUP(MONTH($C1747)/3,0))</f>
        <v/>
      </c>
      <c r="L1747">
        <f>IF($G1747&lt;&gt;"ALCOHOL","",IF($K1747="","",$H1747*IFERROR(VLOOKUP($K1747,Drink_Templates!$A:$G,7,FALSE),0)))</f>
        <v/>
      </c>
    </row>
    <row r="1748" ht="15" customHeight="1">
      <c r="C1748">
        <f>IF($B1748="","",INT($B1748))</f>
        <v/>
      </c>
      <c r="D1748">
        <f>IF($C1748="","",$C1748-WEEKDAY($C1748,2)+1)</f>
        <v/>
      </c>
      <c r="E1748">
        <f>IF($C1748="","",DATE(YEAR($C1748),MONTH($C1748),1))</f>
        <v/>
      </c>
      <c r="F1748">
        <f>IF($C1748="","",YEAR($C1748)&amp;"-Q"&amp;ROUNDUP(MONTH($C1748)/3,0))</f>
        <v/>
      </c>
      <c r="L1748">
        <f>IF($G1748&lt;&gt;"ALCOHOL","",IF($K1748="","",$H1748*IFERROR(VLOOKUP($K1748,Drink_Templates!$A:$G,7,FALSE),0)))</f>
        <v/>
      </c>
    </row>
    <row r="1749" ht="15" customHeight="1">
      <c r="C1749">
        <f>IF($B1749="","",INT($B1749))</f>
        <v/>
      </c>
      <c r="D1749">
        <f>IF($C1749="","",$C1749-WEEKDAY($C1749,2)+1)</f>
        <v/>
      </c>
      <c r="E1749">
        <f>IF($C1749="","",DATE(YEAR($C1749),MONTH($C1749),1))</f>
        <v/>
      </c>
      <c r="F1749">
        <f>IF($C1749="","",YEAR($C1749)&amp;"-Q"&amp;ROUNDUP(MONTH($C1749)/3,0))</f>
        <v/>
      </c>
      <c r="L1749">
        <f>IF($G1749&lt;&gt;"ALCOHOL","",IF($K1749="","",$H1749*IFERROR(VLOOKUP($K1749,Drink_Templates!$A:$G,7,FALSE),0)))</f>
        <v/>
      </c>
    </row>
    <row r="1750" ht="15" customHeight="1">
      <c r="C1750">
        <f>IF($B1750="","",INT($B1750))</f>
        <v/>
      </c>
      <c r="D1750">
        <f>IF($C1750="","",$C1750-WEEKDAY($C1750,2)+1)</f>
        <v/>
      </c>
      <c r="E1750">
        <f>IF($C1750="","",DATE(YEAR($C1750),MONTH($C1750),1))</f>
        <v/>
      </c>
      <c r="F1750">
        <f>IF($C1750="","",YEAR($C1750)&amp;"-Q"&amp;ROUNDUP(MONTH($C1750)/3,0))</f>
        <v/>
      </c>
      <c r="L1750">
        <f>IF($G1750&lt;&gt;"ALCOHOL","",IF($K1750="","",$H1750*IFERROR(VLOOKUP($K1750,Drink_Templates!$A:$G,7,FALSE),0)))</f>
        <v/>
      </c>
    </row>
    <row r="1751" ht="15" customHeight="1">
      <c r="C1751">
        <f>IF($B1751="","",INT($B1751))</f>
        <v/>
      </c>
      <c r="D1751">
        <f>IF($C1751="","",$C1751-WEEKDAY($C1751,2)+1)</f>
        <v/>
      </c>
      <c r="E1751">
        <f>IF($C1751="","",DATE(YEAR($C1751),MONTH($C1751),1))</f>
        <v/>
      </c>
      <c r="F1751">
        <f>IF($C1751="","",YEAR($C1751)&amp;"-Q"&amp;ROUNDUP(MONTH($C1751)/3,0))</f>
        <v/>
      </c>
      <c r="L1751">
        <f>IF($G1751&lt;&gt;"ALCOHOL","",IF($K1751="","",$H1751*IFERROR(VLOOKUP($K1751,Drink_Templates!$A:$G,7,FALSE),0)))</f>
        <v/>
      </c>
    </row>
    <row r="1752" ht="15" customHeight="1">
      <c r="C1752">
        <f>IF($B1752="","",INT($B1752))</f>
        <v/>
      </c>
      <c r="D1752">
        <f>IF($C1752="","",$C1752-WEEKDAY($C1752,2)+1)</f>
        <v/>
      </c>
      <c r="E1752">
        <f>IF($C1752="","",DATE(YEAR($C1752),MONTH($C1752),1))</f>
        <v/>
      </c>
      <c r="F1752">
        <f>IF($C1752="","",YEAR($C1752)&amp;"-Q"&amp;ROUNDUP(MONTH($C1752)/3,0))</f>
        <v/>
      </c>
      <c r="L1752">
        <f>IF($G1752&lt;&gt;"ALCOHOL","",IF($K1752="","",$H1752*IFERROR(VLOOKUP($K1752,Drink_Templates!$A:$G,7,FALSE),0)))</f>
        <v/>
      </c>
    </row>
    <row r="1753" ht="15" customHeight="1">
      <c r="C1753">
        <f>IF($B1753="","",INT($B1753))</f>
        <v/>
      </c>
      <c r="D1753">
        <f>IF($C1753="","",$C1753-WEEKDAY($C1753,2)+1)</f>
        <v/>
      </c>
      <c r="E1753">
        <f>IF($C1753="","",DATE(YEAR($C1753),MONTH($C1753),1))</f>
        <v/>
      </c>
      <c r="F1753">
        <f>IF($C1753="","",YEAR($C1753)&amp;"-Q"&amp;ROUNDUP(MONTH($C1753)/3,0))</f>
        <v/>
      </c>
      <c r="L1753">
        <f>IF($G1753&lt;&gt;"ALCOHOL","",IF($K1753="","",$H1753*IFERROR(VLOOKUP($K1753,Drink_Templates!$A:$G,7,FALSE),0)))</f>
        <v/>
      </c>
    </row>
    <row r="1754" ht="15" customHeight="1">
      <c r="C1754">
        <f>IF($B1754="","",INT($B1754))</f>
        <v/>
      </c>
      <c r="D1754">
        <f>IF($C1754="","",$C1754-WEEKDAY($C1754,2)+1)</f>
        <v/>
      </c>
      <c r="E1754">
        <f>IF($C1754="","",DATE(YEAR($C1754),MONTH($C1754),1))</f>
        <v/>
      </c>
      <c r="F1754">
        <f>IF($C1754="","",YEAR($C1754)&amp;"-Q"&amp;ROUNDUP(MONTH($C1754)/3,0))</f>
        <v/>
      </c>
      <c r="L1754">
        <f>IF($G1754&lt;&gt;"ALCOHOL","",IF($K1754="","",$H1754*IFERROR(VLOOKUP($K1754,Drink_Templates!$A:$G,7,FALSE),0)))</f>
        <v/>
      </c>
    </row>
    <row r="1755" ht="15" customHeight="1">
      <c r="C1755">
        <f>IF($B1755="","",INT($B1755))</f>
        <v/>
      </c>
      <c r="D1755">
        <f>IF($C1755="","",$C1755-WEEKDAY($C1755,2)+1)</f>
        <v/>
      </c>
      <c r="E1755">
        <f>IF($C1755="","",DATE(YEAR($C1755),MONTH($C1755),1))</f>
        <v/>
      </c>
      <c r="F1755">
        <f>IF($C1755="","",YEAR($C1755)&amp;"-Q"&amp;ROUNDUP(MONTH($C1755)/3,0))</f>
        <v/>
      </c>
      <c r="L1755">
        <f>IF($G1755&lt;&gt;"ALCOHOL","",IF($K1755="","",$H1755*IFERROR(VLOOKUP($K1755,Drink_Templates!$A:$G,7,FALSE),0)))</f>
        <v/>
      </c>
    </row>
    <row r="1756" ht="15" customHeight="1">
      <c r="C1756">
        <f>IF($B1756="","",INT($B1756))</f>
        <v/>
      </c>
      <c r="D1756">
        <f>IF($C1756="","",$C1756-WEEKDAY($C1756,2)+1)</f>
        <v/>
      </c>
      <c r="E1756">
        <f>IF($C1756="","",DATE(YEAR($C1756),MONTH($C1756),1))</f>
        <v/>
      </c>
      <c r="F1756">
        <f>IF($C1756="","",YEAR($C1756)&amp;"-Q"&amp;ROUNDUP(MONTH($C1756)/3,0))</f>
        <v/>
      </c>
      <c r="L1756">
        <f>IF($G1756&lt;&gt;"ALCOHOL","",IF($K1756="","",$H1756*IFERROR(VLOOKUP($K1756,Drink_Templates!$A:$G,7,FALSE),0)))</f>
        <v/>
      </c>
    </row>
    <row r="1757" ht="15" customHeight="1">
      <c r="C1757">
        <f>IF($B1757="","",INT($B1757))</f>
        <v/>
      </c>
      <c r="D1757">
        <f>IF($C1757="","",$C1757-WEEKDAY($C1757,2)+1)</f>
        <v/>
      </c>
      <c r="E1757">
        <f>IF($C1757="","",DATE(YEAR($C1757),MONTH($C1757),1))</f>
        <v/>
      </c>
      <c r="F1757">
        <f>IF($C1757="","",YEAR($C1757)&amp;"-Q"&amp;ROUNDUP(MONTH($C1757)/3,0))</f>
        <v/>
      </c>
      <c r="L1757">
        <f>IF($G1757&lt;&gt;"ALCOHOL","",IF($K1757="","",$H1757*IFERROR(VLOOKUP($K1757,Drink_Templates!$A:$G,7,FALSE),0)))</f>
        <v/>
      </c>
    </row>
    <row r="1758" ht="15" customHeight="1">
      <c r="C1758">
        <f>IF($B1758="","",INT($B1758))</f>
        <v/>
      </c>
      <c r="D1758">
        <f>IF($C1758="","",$C1758-WEEKDAY($C1758,2)+1)</f>
        <v/>
      </c>
      <c r="E1758">
        <f>IF($C1758="","",DATE(YEAR($C1758),MONTH($C1758),1))</f>
        <v/>
      </c>
      <c r="F1758">
        <f>IF($C1758="","",YEAR($C1758)&amp;"-Q"&amp;ROUNDUP(MONTH($C1758)/3,0))</f>
        <v/>
      </c>
      <c r="L1758">
        <f>IF($G1758&lt;&gt;"ALCOHOL","",IF($K1758="","",$H1758*IFERROR(VLOOKUP($K1758,Drink_Templates!$A:$G,7,FALSE),0)))</f>
        <v/>
      </c>
    </row>
    <row r="1759" ht="15" customHeight="1">
      <c r="C1759">
        <f>IF($B1759="","",INT($B1759))</f>
        <v/>
      </c>
      <c r="D1759">
        <f>IF($C1759="","",$C1759-WEEKDAY($C1759,2)+1)</f>
        <v/>
      </c>
      <c r="E1759">
        <f>IF($C1759="","",DATE(YEAR($C1759),MONTH($C1759),1))</f>
        <v/>
      </c>
      <c r="F1759">
        <f>IF($C1759="","",YEAR($C1759)&amp;"-Q"&amp;ROUNDUP(MONTH($C1759)/3,0))</f>
        <v/>
      </c>
      <c r="L1759">
        <f>IF($G1759&lt;&gt;"ALCOHOL","",IF($K1759="","",$H1759*IFERROR(VLOOKUP($K1759,Drink_Templates!$A:$G,7,FALSE),0)))</f>
        <v/>
      </c>
    </row>
    <row r="1760" ht="15" customHeight="1">
      <c r="C1760">
        <f>IF($B1760="","",INT($B1760))</f>
        <v/>
      </c>
      <c r="D1760">
        <f>IF($C1760="","",$C1760-WEEKDAY($C1760,2)+1)</f>
        <v/>
      </c>
      <c r="E1760">
        <f>IF($C1760="","",DATE(YEAR($C1760),MONTH($C1760),1))</f>
        <v/>
      </c>
      <c r="F1760">
        <f>IF($C1760="","",YEAR($C1760)&amp;"-Q"&amp;ROUNDUP(MONTH($C1760)/3,0))</f>
        <v/>
      </c>
      <c r="L1760">
        <f>IF($G1760&lt;&gt;"ALCOHOL","",IF($K1760="","",$H1760*IFERROR(VLOOKUP($K1760,Drink_Templates!$A:$G,7,FALSE),0)))</f>
        <v/>
      </c>
    </row>
    <row r="1761" ht="15" customHeight="1">
      <c r="C1761">
        <f>IF($B1761="","",INT($B1761))</f>
        <v/>
      </c>
      <c r="D1761">
        <f>IF($C1761="","",$C1761-WEEKDAY($C1761,2)+1)</f>
        <v/>
      </c>
      <c r="E1761">
        <f>IF($C1761="","",DATE(YEAR($C1761),MONTH($C1761),1))</f>
        <v/>
      </c>
      <c r="F1761">
        <f>IF($C1761="","",YEAR($C1761)&amp;"-Q"&amp;ROUNDUP(MONTH($C1761)/3,0))</f>
        <v/>
      </c>
      <c r="L1761">
        <f>IF($G1761&lt;&gt;"ALCOHOL","",IF($K1761="","",$H1761*IFERROR(VLOOKUP($K1761,Drink_Templates!$A:$G,7,FALSE),0)))</f>
        <v/>
      </c>
    </row>
    <row r="1762" ht="15" customHeight="1">
      <c r="C1762">
        <f>IF($B1762="","",INT($B1762))</f>
        <v/>
      </c>
      <c r="D1762">
        <f>IF($C1762="","",$C1762-WEEKDAY($C1762,2)+1)</f>
        <v/>
      </c>
      <c r="E1762">
        <f>IF($C1762="","",DATE(YEAR($C1762),MONTH($C1762),1))</f>
        <v/>
      </c>
      <c r="F1762">
        <f>IF($C1762="","",YEAR($C1762)&amp;"-Q"&amp;ROUNDUP(MONTH($C1762)/3,0))</f>
        <v/>
      </c>
      <c r="L1762">
        <f>IF($G1762&lt;&gt;"ALCOHOL","",IF($K1762="","",$H1762*IFERROR(VLOOKUP($K1762,Drink_Templates!$A:$G,7,FALSE),0)))</f>
        <v/>
      </c>
    </row>
    <row r="1763" ht="15" customHeight="1">
      <c r="C1763">
        <f>IF($B1763="","",INT($B1763))</f>
        <v/>
      </c>
      <c r="D1763">
        <f>IF($C1763="","",$C1763-WEEKDAY($C1763,2)+1)</f>
        <v/>
      </c>
      <c r="E1763">
        <f>IF($C1763="","",DATE(YEAR($C1763),MONTH($C1763),1))</f>
        <v/>
      </c>
      <c r="F1763">
        <f>IF($C1763="","",YEAR($C1763)&amp;"-Q"&amp;ROUNDUP(MONTH($C1763)/3,0))</f>
        <v/>
      </c>
      <c r="L1763">
        <f>IF($G1763&lt;&gt;"ALCOHOL","",IF($K1763="","",$H1763*IFERROR(VLOOKUP($K1763,Drink_Templates!$A:$G,7,FALSE),0)))</f>
        <v/>
      </c>
    </row>
    <row r="1764" ht="15" customHeight="1">
      <c r="C1764">
        <f>IF($B1764="","",INT($B1764))</f>
        <v/>
      </c>
      <c r="D1764">
        <f>IF($C1764="","",$C1764-WEEKDAY($C1764,2)+1)</f>
        <v/>
      </c>
      <c r="E1764">
        <f>IF($C1764="","",DATE(YEAR($C1764),MONTH($C1764),1))</f>
        <v/>
      </c>
      <c r="F1764">
        <f>IF($C1764="","",YEAR($C1764)&amp;"-Q"&amp;ROUNDUP(MONTH($C1764)/3,0))</f>
        <v/>
      </c>
      <c r="L1764">
        <f>IF($G1764&lt;&gt;"ALCOHOL","",IF($K1764="","",$H1764*IFERROR(VLOOKUP($K1764,Drink_Templates!$A:$G,7,FALSE),0)))</f>
        <v/>
      </c>
    </row>
    <row r="1765" ht="15" customHeight="1">
      <c r="C1765">
        <f>IF($B1765="","",INT($B1765))</f>
        <v/>
      </c>
      <c r="D1765">
        <f>IF($C1765="","",$C1765-WEEKDAY($C1765,2)+1)</f>
        <v/>
      </c>
      <c r="E1765">
        <f>IF($C1765="","",DATE(YEAR($C1765),MONTH($C1765),1))</f>
        <v/>
      </c>
      <c r="F1765">
        <f>IF($C1765="","",YEAR($C1765)&amp;"-Q"&amp;ROUNDUP(MONTH($C1765)/3,0))</f>
        <v/>
      </c>
      <c r="L1765">
        <f>IF($G1765&lt;&gt;"ALCOHOL","",IF($K1765="","",$H1765*IFERROR(VLOOKUP($K1765,Drink_Templates!$A:$G,7,FALSE),0)))</f>
        <v/>
      </c>
    </row>
    <row r="1766" ht="15" customHeight="1">
      <c r="C1766">
        <f>IF($B1766="","",INT($B1766))</f>
        <v/>
      </c>
      <c r="D1766">
        <f>IF($C1766="","",$C1766-WEEKDAY($C1766,2)+1)</f>
        <v/>
      </c>
      <c r="E1766">
        <f>IF($C1766="","",DATE(YEAR($C1766),MONTH($C1766),1))</f>
        <v/>
      </c>
      <c r="F1766">
        <f>IF($C1766="","",YEAR($C1766)&amp;"-Q"&amp;ROUNDUP(MONTH($C1766)/3,0))</f>
        <v/>
      </c>
      <c r="L1766">
        <f>IF($G1766&lt;&gt;"ALCOHOL","",IF($K1766="","",$H1766*IFERROR(VLOOKUP($K1766,Drink_Templates!$A:$G,7,FALSE),0)))</f>
        <v/>
      </c>
    </row>
    <row r="1767" ht="15" customHeight="1">
      <c r="C1767">
        <f>IF($B1767="","",INT($B1767))</f>
        <v/>
      </c>
      <c r="D1767">
        <f>IF($C1767="","",$C1767-WEEKDAY($C1767,2)+1)</f>
        <v/>
      </c>
      <c r="E1767">
        <f>IF($C1767="","",DATE(YEAR($C1767),MONTH($C1767),1))</f>
        <v/>
      </c>
      <c r="F1767">
        <f>IF($C1767="","",YEAR($C1767)&amp;"-Q"&amp;ROUNDUP(MONTH($C1767)/3,0))</f>
        <v/>
      </c>
      <c r="L1767">
        <f>IF($G1767&lt;&gt;"ALCOHOL","",IF($K1767="","",$H1767*IFERROR(VLOOKUP($K1767,Drink_Templates!$A:$G,7,FALSE),0)))</f>
        <v/>
      </c>
    </row>
    <row r="1768" ht="15" customHeight="1">
      <c r="C1768">
        <f>IF($B1768="","",INT($B1768))</f>
        <v/>
      </c>
      <c r="D1768">
        <f>IF($C1768="","",$C1768-WEEKDAY($C1768,2)+1)</f>
        <v/>
      </c>
      <c r="E1768">
        <f>IF($C1768="","",DATE(YEAR($C1768),MONTH($C1768),1))</f>
        <v/>
      </c>
      <c r="F1768">
        <f>IF($C1768="","",YEAR($C1768)&amp;"-Q"&amp;ROUNDUP(MONTH($C1768)/3,0))</f>
        <v/>
      </c>
      <c r="L1768">
        <f>IF($G1768&lt;&gt;"ALCOHOL","",IF($K1768="","",$H1768*IFERROR(VLOOKUP($K1768,Drink_Templates!$A:$G,7,FALSE),0)))</f>
        <v/>
      </c>
    </row>
    <row r="1769" ht="15" customHeight="1">
      <c r="C1769">
        <f>IF($B1769="","",INT($B1769))</f>
        <v/>
      </c>
      <c r="D1769">
        <f>IF($C1769="","",$C1769-WEEKDAY($C1769,2)+1)</f>
        <v/>
      </c>
      <c r="E1769">
        <f>IF($C1769="","",DATE(YEAR($C1769),MONTH($C1769),1))</f>
        <v/>
      </c>
      <c r="F1769">
        <f>IF($C1769="","",YEAR($C1769)&amp;"-Q"&amp;ROUNDUP(MONTH($C1769)/3,0))</f>
        <v/>
      </c>
      <c r="L1769">
        <f>IF($G1769&lt;&gt;"ALCOHOL","",IF($K1769="","",$H1769*IFERROR(VLOOKUP($K1769,Drink_Templates!$A:$G,7,FALSE),0)))</f>
        <v/>
      </c>
    </row>
    <row r="1770" ht="15" customHeight="1">
      <c r="C1770">
        <f>IF($B1770="","",INT($B1770))</f>
        <v/>
      </c>
      <c r="D1770">
        <f>IF($C1770="","",$C1770-WEEKDAY($C1770,2)+1)</f>
        <v/>
      </c>
      <c r="E1770">
        <f>IF($C1770="","",DATE(YEAR($C1770),MONTH($C1770),1))</f>
        <v/>
      </c>
      <c r="F1770">
        <f>IF($C1770="","",YEAR($C1770)&amp;"-Q"&amp;ROUNDUP(MONTH($C1770)/3,0))</f>
        <v/>
      </c>
      <c r="L1770">
        <f>IF($G1770&lt;&gt;"ALCOHOL","",IF($K1770="","",$H1770*IFERROR(VLOOKUP($K1770,Drink_Templates!$A:$G,7,FALSE),0)))</f>
        <v/>
      </c>
    </row>
    <row r="1771" ht="15" customHeight="1">
      <c r="C1771">
        <f>IF($B1771="","",INT($B1771))</f>
        <v/>
      </c>
      <c r="D1771">
        <f>IF($C1771="","",$C1771-WEEKDAY($C1771,2)+1)</f>
        <v/>
      </c>
      <c r="E1771">
        <f>IF($C1771="","",DATE(YEAR($C1771),MONTH($C1771),1))</f>
        <v/>
      </c>
      <c r="F1771">
        <f>IF($C1771="","",YEAR($C1771)&amp;"-Q"&amp;ROUNDUP(MONTH($C1771)/3,0))</f>
        <v/>
      </c>
      <c r="L1771">
        <f>IF($G1771&lt;&gt;"ALCOHOL","",IF($K1771="","",$H1771*IFERROR(VLOOKUP($K1771,Drink_Templates!$A:$G,7,FALSE),0)))</f>
        <v/>
      </c>
    </row>
    <row r="1772" ht="15" customHeight="1">
      <c r="C1772">
        <f>IF($B1772="","",INT($B1772))</f>
        <v/>
      </c>
      <c r="D1772">
        <f>IF($C1772="","",$C1772-WEEKDAY($C1772,2)+1)</f>
        <v/>
      </c>
      <c r="E1772">
        <f>IF($C1772="","",DATE(YEAR($C1772),MONTH($C1772),1))</f>
        <v/>
      </c>
      <c r="F1772">
        <f>IF($C1772="","",YEAR($C1772)&amp;"-Q"&amp;ROUNDUP(MONTH($C1772)/3,0))</f>
        <v/>
      </c>
      <c r="L1772">
        <f>IF($G1772&lt;&gt;"ALCOHOL","",IF($K1772="","",$H1772*IFERROR(VLOOKUP($K1772,Drink_Templates!$A:$G,7,FALSE),0)))</f>
        <v/>
      </c>
    </row>
    <row r="1773" ht="15" customHeight="1">
      <c r="C1773">
        <f>IF($B1773="","",INT($B1773))</f>
        <v/>
      </c>
      <c r="D1773">
        <f>IF($C1773="","",$C1773-WEEKDAY($C1773,2)+1)</f>
        <v/>
      </c>
      <c r="E1773">
        <f>IF($C1773="","",DATE(YEAR($C1773),MONTH($C1773),1))</f>
        <v/>
      </c>
      <c r="F1773">
        <f>IF($C1773="","",YEAR($C1773)&amp;"-Q"&amp;ROUNDUP(MONTH($C1773)/3,0))</f>
        <v/>
      </c>
      <c r="L1773">
        <f>IF($G1773&lt;&gt;"ALCOHOL","",IF($K1773="","",$H1773*IFERROR(VLOOKUP($K1773,Drink_Templates!$A:$G,7,FALSE),0)))</f>
        <v/>
      </c>
    </row>
    <row r="1774" ht="15" customHeight="1">
      <c r="C1774">
        <f>IF($B1774="","",INT($B1774))</f>
        <v/>
      </c>
      <c r="D1774">
        <f>IF($C1774="","",$C1774-WEEKDAY($C1774,2)+1)</f>
        <v/>
      </c>
      <c r="E1774">
        <f>IF($C1774="","",DATE(YEAR($C1774),MONTH($C1774),1))</f>
        <v/>
      </c>
      <c r="F1774">
        <f>IF($C1774="","",YEAR($C1774)&amp;"-Q"&amp;ROUNDUP(MONTH($C1774)/3,0))</f>
        <v/>
      </c>
      <c r="L1774">
        <f>IF($G1774&lt;&gt;"ALCOHOL","",IF($K1774="","",$H1774*IFERROR(VLOOKUP($K1774,Drink_Templates!$A:$G,7,FALSE),0)))</f>
        <v/>
      </c>
    </row>
    <row r="1775" ht="15" customHeight="1">
      <c r="C1775">
        <f>IF($B1775="","",INT($B1775))</f>
        <v/>
      </c>
      <c r="D1775">
        <f>IF($C1775="","",$C1775-WEEKDAY($C1775,2)+1)</f>
        <v/>
      </c>
      <c r="E1775">
        <f>IF($C1775="","",DATE(YEAR($C1775),MONTH($C1775),1))</f>
        <v/>
      </c>
      <c r="F1775">
        <f>IF($C1775="","",YEAR($C1775)&amp;"-Q"&amp;ROUNDUP(MONTH($C1775)/3,0))</f>
        <v/>
      </c>
      <c r="L1775">
        <f>IF($G1775&lt;&gt;"ALCOHOL","",IF($K1775="","",$H1775*IFERROR(VLOOKUP($K1775,Drink_Templates!$A:$G,7,FALSE),0)))</f>
        <v/>
      </c>
    </row>
    <row r="1776" ht="15" customHeight="1">
      <c r="C1776">
        <f>IF($B1776="","",INT($B1776))</f>
        <v/>
      </c>
      <c r="D1776">
        <f>IF($C1776="","",$C1776-WEEKDAY($C1776,2)+1)</f>
        <v/>
      </c>
      <c r="E1776">
        <f>IF($C1776="","",DATE(YEAR($C1776),MONTH($C1776),1))</f>
        <v/>
      </c>
      <c r="F1776">
        <f>IF($C1776="","",YEAR($C1776)&amp;"-Q"&amp;ROUNDUP(MONTH($C1776)/3,0))</f>
        <v/>
      </c>
      <c r="L1776">
        <f>IF($G1776&lt;&gt;"ALCOHOL","",IF($K1776="","",$H1776*IFERROR(VLOOKUP($K1776,Drink_Templates!$A:$G,7,FALSE),0)))</f>
        <v/>
      </c>
    </row>
    <row r="1777" ht="15" customHeight="1">
      <c r="C1777">
        <f>IF($B1777="","",INT($B1777))</f>
        <v/>
      </c>
      <c r="D1777">
        <f>IF($C1777="","",$C1777-WEEKDAY($C1777,2)+1)</f>
        <v/>
      </c>
      <c r="E1777">
        <f>IF($C1777="","",DATE(YEAR($C1777),MONTH($C1777),1))</f>
        <v/>
      </c>
      <c r="F1777">
        <f>IF($C1777="","",YEAR($C1777)&amp;"-Q"&amp;ROUNDUP(MONTH($C1777)/3,0))</f>
        <v/>
      </c>
      <c r="L1777">
        <f>IF($G1777&lt;&gt;"ALCOHOL","",IF($K1777="","",$H1777*IFERROR(VLOOKUP($K1777,Drink_Templates!$A:$G,7,FALSE),0)))</f>
        <v/>
      </c>
    </row>
    <row r="1778" ht="15" customHeight="1">
      <c r="C1778">
        <f>IF($B1778="","",INT($B1778))</f>
        <v/>
      </c>
      <c r="D1778">
        <f>IF($C1778="","",$C1778-WEEKDAY($C1778,2)+1)</f>
        <v/>
      </c>
      <c r="E1778">
        <f>IF($C1778="","",DATE(YEAR($C1778),MONTH($C1778),1))</f>
        <v/>
      </c>
      <c r="F1778">
        <f>IF($C1778="","",YEAR($C1778)&amp;"-Q"&amp;ROUNDUP(MONTH($C1778)/3,0))</f>
        <v/>
      </c>
      <c r="L1778">
        <f>IF($G1778&lt;&gt;"ALCOHOL","",IF($K1778="","",$H1778*IFERROR(VLOOKUP($K1778,Drink_Templates!$A:$G,7,FALSE),0)))</f>
        <v/>
      </c>
    </row>
    <row r="1779" ht="15" customHeight="1">
      <c r="C1779">
        <f>IF($B1779="","",INT($B1779))</f>
        <v/>
      </c>
      <c r="D1779">
        <f>IF($C1779="","",$C1779-WEEKDAY($C1779,2)+1)</f>
        <v/>
      </c>
      <c r="E1779">
        <f>IF($C1779="","",DATE(YEAR($C1779),MONTH($C1779),1))</f>
        <v/>
      </c>
      <c r="F1779">
        <f>IF($C1779="","",YEAR($C1779)&amp;"-Q"&amp;ROUNDUP(MONTH($C1779)/3,0))</f>
        <v/>
      </c>
      <c r="L1779">
        <f>IF($G1779&lt;&gt;"ALCOHOL","",IF($K1779="","",$H1779*IFERROR(VLOOKUP($K1779,Drink_Templates!$A:$G,7,FALSE),0)))</f>
        <v/>
      </c>
    </row>
    <row r="1780" ht="15" customHeight="1">
      <c r="C1780">
        <f>IF($B1780="","",INT($B1780))</f>
        <v/>
      </c>
      <c r="D1780">
        <f>IF($C1780="","",$C1780-WEEKDAY($C1780,2)+1)</f>
        <v/>
      </c>
      <c r="E1780">
        <f>IF($C1780="","",DATE(YEAR($C1780),MONTH($C1780),1))</f>
        <v/>
      </c>
      <c r="F1780">
        <f>IF($C1780="","",YEAR($C1780)&amp;"-Q"&amp;ROUNDUP(MONTH($C1780)/3,0))</f>
        <v/>
      </c>
      <c r="L1780">
        <f>IF($G1780&lt;&gt;"ALCOHOL","",IF($K1780="","",$H1780*IFERROR(VLOOKUP($K1780,Drink_Templates!$A:$G,7,FALSE),0)))</f>
        <v/>
      </c>
    </row>
    <row r="1781" ht="15" customHeight="1">
      <c r="C1781">
        <f>IF($B1781="","",INT($B1781))</f>
        <v/>
      </c>
      <c r="D1781">
        <f>IF($C1781="","",$C1781-WEEKDAY($C1781,2)+1)</f>
        <v/>
      </c>
      <c r="E1781">
        <f>IF($C1781="","",DATE(YEAR($C1781),MONTH($C1781),1))</f>
        <v/>
      </c>
      <c r="F1781">
        <f>IF($C1781="","",YEAR($C1781)&amp;"-Q"&amp;ROUNDUP(MONTH($C1781)/3,0))</f>
        <v/>
      </c>
      <c r="L1781">
        <f>IF($G1781&lt;&gt;"ALCOHOL","",IF($K1781="","",$H1781*IFERROR(VLOOKUP($K1781,Drink_Templates!$A:$G,7,FALSE),0)))</f>
        <v/>
      </c>
    </row>
    <row r="1782" ht="15" customHeight="1">
      <c r="C1782">
        <f>IF($B1782="","",INT($B1782))</f>
        <v/>
      </c>
      <c r="D1782">
        <f>IF($C1782="","",$C1782-WEEKDAY($C1782,2)+1)</f>
        <v/>
      </c>
      <c r="E1782">
        <f>IF($C1782="","",DATE(YEAR($C1782),MONTH($C1782),1))</f>
        <v/>
      </c>
      <c r="F1782">
        <f>IF($C1782="","",YEAR($C1782)&amp;"-Q"&amp;ROUNDUP(MONTH($C1782)/3,0))</f>
        <v/>
      </c>
      <c r="L1782">
        <f>IF($G1782&lt;&gt;"ALCOHOL","",IF($K1782="","",$H1782*IFERROR(VLOOKUP($K1782,Drink_Templates!$A:$G,7,FALSE),0)))</f>
        <v/>
      </c>
    </row>
    <row r="1783" ht="15" customHeight="1">
      <c r="C1783">
        <f>IF($B1783="","",INT($B1783))</f>
        <v/>
      </c>
      <c r="D1783">
        <f>IF($C1783="","",$C1783-WEEKDAY($C1783,2)+1)</f>
        <v/>
      </c>
      <c r="E1783">
        <f>IF($C1783="","",DATE(YEAR($C1783),MONTH($C1783),1))</f>
        <v/>
      </c>
      <c r="F1783">
        <f>IF($C1783="","",YEAR($C1783)&amp;"-Q"&amp;ROUNDUP(MONTH($C1783)/3,0))</f>
        <v/>
      </c>
      <c r="L1783">
        <f>IF($G1783&lt;&gt;"ALCOHOL","",IF($K1783="","",$H1783*IFERROR(VLOOKUP($K1783,Drink_Templates!$A:$G,7,FALSE),0)))</f>
        <v/>
      </c>
    </row>
    <row r="1784" ht="15" customHeight="1">
      <c r="C1784">
        <f>IF($B1784="","",INT($B1784))</f>
        <v/>
      </c>
      <c r="D1784">
        <f>IF($C1784="","",$C1784-WEEKDAY($C1784,2)+1)</f>
        <v/>
      </c>
      <c r="E1784">
        <f>IF($C1784="","",DATE(YEAR($C1784),MONTH($C1784),1))</f>
        <v/>
      </c>
      <c r="F1784">
        <f>IF($C1784="","",YEAR($C1784)&amp;"-Q"&amp;ROUNDUP(MONTH($C1784)/3,0))</f>
        <v/>
      </c>
      <c r="L1784">
        <f>IF($G1784&lt;&gt;"ALCOHOL","",IF($K1784="","",$H1784*IFERROR(VLOOKUP($K1784,Drink_Templates!$A:$G,7,FALSE),0)))</f>
        <v/>
      </c>
    </row>
    <row r="1785" ht="15" customHeight="1">
      <c r="C1785">
        <f>IF($B1785="","",INT($B1785))</f>
        <v/>
      </c>
      <c r="D1785">
        <f>IF($C1785="","",$C1785-WEEKDAY($C1785,2)+1)</f>
        <v/>
      </c>
      <c r="E1785">
        <f>IF($C1785="","",DATE(YEAR($C1785),MONTH($C1785),1))</f>
        <v/>
      </c>
      <c r="F1785">
        <f>IF($C1785="","",YEAR($C1785)&amp;"-Q"&amp;ROUNDUP(MONTH($C1785)/3,0))</f>
        <v/>
      </c>
      <c r="L1785">
        <f>IF($G1785&lt;&gt;"ALCOHOL","",IF($K1785="","",$H1785*IFERROR(VLOOKUP($K1785,Drink_Templates!$A:$G,7,FALSE),0)))</f>
        <v/>
      </c>
    </row>
    <row r="1786" ht="15" customHeight="1">
      <c r="C1786">
        <f>IF($B1786="","",INT($B1786))</f>
        <v/>
      </c>
      <c r="D1786">
        <f>IF($C1786="","",$C1786-WEEKDAY($C1786,2)+1)</f>
        <v/>
      </c>
      <c r="E1786">
        <f>IF($C1786="","",DATE(YEAR($C1786),MONTH($C1786),1))</f>
        <v/>
      </c>
      <c r="F1786">
        <f>IF($C1786="","",YEAR($C1786)&amp;"-Q"&amp;ROUNDUP(MONTH($C1786)/3,0))</f>
        <v/>
      </c>
      <c r="L1786">
        <f>IF($G1786&lt;&gt;"ALCOHOL","",IF($K1786="","",$H1786*IFERROR(VLOOKUP($K1786,Drink_Templates!$A:$G,7,FALSE),0)))</f>
        <v/>
      </c>
    </row>
    <row r="1787" ht="15" customHeight="1">
      <c r="C1787">
        <f>IF($B1787="","",INT($B1787))</f>
        <v/>
      </c>
      <c r="D1787">
        <f>IF($C1787="","",$C1787-WEEKDAY($C1787,2)+1)</f>
        <v/>
      </c>
      <c r="E1787">
        <f>IF($C1787="","",DATE(YEAR($C1787),MONTH($C1787),1))</f>
        <v/>
      </c>
      <c r="F1787">
        <f>IF($C1787="","",YEAR($C1787)&amp;"-Q"&amp;ROUNDUP(MONTH($C1787)/3,0))</f>
        <v/>
      </c>
      <c r="L1787">
        <f>IF($G1787&lt;&gt;"ALCOHOL","",IF($K1787="","",$H1787*IFERROR(VLOOKUP($K1787,Drink_Templates!$A:$G,7,FALSE),0)))</f>
        <v/>
      </c>
    </row>
    <row r="1788" ht="15" customHeight="1">
      <c r="C1788">
        <f>IF($B1788="","",INT($B1788))</f>
        <v/>
      </c>
      <c r="D1788">
        <f>IF($C1788="","",$C1788-WEEKDAY($C1788,2)+1)</f>
        <v/>
      </c>
      <c r="E1788">
        <f>IF($C1788="","",DATE(YEAR($C1788),MONTH($C1788),1))</f>
        <v/>
      </c>
      <c r="F1788">
        <f>IF($C1788="","",YEAR($C1788)&amp;"-Q"&amp;ROUNDUP(MONTH($C1788)/3,0))</f>
        <v/>
      </c>
      <c r="L1788">
        <f>IF($G1788&lt;&gt;"ALCOHOL","",IF($K1788="","",$H1788*IFERROR(VLOOKUP($K1788,Drink_Templates!$A:$G,7,FALSE),0)))</f>
        <v/>
      </c>
    </row>
    <row r="1789" ht="15" customHeight="1">
      <c r="C1789">
        <f>IF($B1789="","",INT($B1789))</f>
        <v/>
      </c>
      <c r="D1789">
        <f>IF($C1789="","",$C1789-WEEKDAY($C1789,2)+1)</f>
        <v/>
      </c>
      <c r="E1789">
        <f>IF($C1789="","",DATE(YEAR($C1789),MONTH($C1789),1))</f>
        <v/>
      </c>
      <c r="F1789">
        <f>IF($C1789="","",YEAR($C1789)&amp;"-Q"&amp;ROUNDUP(MONTH($C1789)/3,0))</f>
        <v/>
      </c>
      <c r="L1789">
        <f>IF($G1789&lt;&gt;"ALCOHOL","",IF($K1789="","",$H1789*IFERROR(VLOOKUP($K1789,Drink_Templates!$A:$G,7,FALSE),0)))</f>
        <v/>
      </c>
    </row>
    <row r="1790" ht="15" customHeight="1">
      <c r="C1790">
        <f>IF($B1790="","",INT($B1790))</f>
        <v/>
      </c>
      <c r="D1790">
        <f>IF($C1790="","",$C1790-WEEKDAY($C1790,2)+1)</f>
        <v/>
      </c>
      <c r="E1790">
        <f>IF($C1790="","",DATE(YEAR($C1790),MONTH($C1790),1))</f>
        <v/>
      </c>
      <c r="F1790">
        <f>IF($C1790="","",YEAR($C1790)&amp;"-Q"&amp;ROUNDUP(MONTH($C1790)/3,0))</f>
        <v/>
      </c>
      <c r="L1790">
        <f>IF($G1790&lt;&gt;"ALCOHOL","",IF($K1790="","",$H1790*IFERROR(VLOOKUP($K1790,Drink_Templates!$A:$G,7,FALSE),0)))</f>
        <v/>
      </c>
    </row>
    <row r="1791" ht="15" customHeight="1">
      <c r="C1791">
        <f>IF($B1791="","",INT($B1791))</f>
        <v/>
      </c>
      <c r="D1791">
        <f>IF($C1791="","",$C1791-WEEKDAY($C1791,2)+1)</f>
        <v/>
      </c>
      <c r="E1791">
        <f>IF($C1791="","",DATE(YEAR($C1791),MONTH($C1791),1))</f>
        <v/>
      </c>
      <c r="F1791">
        <f>IF($C1791="","",YEAR($C1791)&amp;"-Q"&amp;ROUNDUP(MONTH($C1791)/3,0))</f>
        <v/>
      </c>
      <c r="L1791">
        <f>IF($G1791&lt;&gt;"ALCOHOL","",IF($K1791="","",$H1791*IFERROR(VLOOKUP($K1791,Drink_Templates!$A:$G,7,FALSE),0)))</f>
        <v/>
      </c>
    </row>
    <row r="1792" ht="15" customHeight="1">
      <c r="C1792">
        <f>IF($B1792="","",INT($B1792))</f>
        <v/>
      </c>
      <c r="D1792">
        <f>IF($C1792="","",$C1792-WEEKDAY($C1792,2)+1)</f>
        <v/>
      </c>
      <c r="E1792">
        <f>IF($C1792="","",DATE(YEAR($C1792),MONTH($C1792),1))</f>
        <v/>
      </c>
      <c r="F1792">
        <f>IF($C1792="","",YEAR($C1792)&amp;"-Q"&amp;ROUNDUP(MONTH($C1792)/3,0))</f>
        <v/>
      </c>
      <c r="L1792">
        <f>IF($G1792&lt;&gt;"ALCOHOL","",IF($K1792="","",$H1792*IFERROR(VLOOKUP($K1792,Drink_Templates!$A:$G,7,FALSE),0)))</f>
        <v/>
      </c>
    </row>
    <row r="1793" ht="15" customHeight="1">
      <c r="C1793">
        <f>IF($B1793="","",INT($B1793))</f>
        <v/>
      </c>
      <c r="D1793">
        <f>IF($C1793="","",$C1793-WEEKDAY($C1793,2)+1)</f>
        <v/>
      </c>
      <c r="E1793">
        <f>IF($C1793="","",DATE(YEAR($C1793),MONTH($C1793),1))</f>
        <v/>
      </c>
      <c r="F1793">
        <f>IF($C1793="","",YEAR($C1793)&amp;"-Q"&amp;ROUNDUP(MONTH($C1793)/3,0))</f>
        <v/>
      </c>
      <c r="L1793">
        <f>IF($G1793&lt;&gt;"ALCOHOL","",IF($K1793="","",$H1793*IFERROR(VLOOKUP($K1793,Drink_Templates!$A:$G,7,FALSE),0)))</f>
        <v/>
      </c>
    </row>
    <row r="1794" ht="15" customHeight="1">
      <c r="C1794">
        <f>IF($B1794="","",INT($B1794))</f>
        <v/>
      </c>
      <c r="D1794">
        <f>IF($C1794="","",$C1794-WEEKDAY($C1794,2)+1)</f>
        <v/>
      </c>
      <c r="E1794">
        <f>IF($C1794="","",DATE(YEAR($C1794),MONTH($C1794),1))</f>
        <v/>
      </c>
      <c r="F1794">
        <f>IF($C1794="","",YEAR($C1794)&amp;"-Q"&amp;ROUNDUP(MONTH($C1794)/3,0))</f>
        <v/>
      </c>
      <c r="L1794">
        <f>IF($G1794&lt;&gt;"ALCOHOL","",IF($K1794="","",$H1794*IFERROR(VLOOKUP($K1794,Drink_Templates!$A:$G,7,FALSE),0)))</f>
        <v/>
      </c>
    </row>
    <row r="1795" ht="15" customHeight="1">
      <c r="C1795">
        <f>IF($B1795="","",INT($B1795))</f>
        <v/>
      </c>
      <c r="D1795">
        <f>IF($C1795="","",$C1795-WEEKDAY($C1795,2)+1)</f>
        <v/>
      </c>
      <c r="E1795">
        <f>IF($C1795="","",DATE(YEAR($C1795),MONTH($C1795),1))</f>
        <v/>
      </c>
      <c r="F1795">
        <f>IF($C1795="","",YEAR($C1795)&amp;"-Q"&amp;ROUNDUP(MONTH($C1795)/3,0))</f>
        <v/>
      </c>
      <c r="L1795">
        <f>IF($G1795&lt;&gt;"ALCOHOL","",IF($K1795="","",$H1795*IFERROR(VLOOKUP($K1795,Drink_Templates!$A:$G,7,FALSE),0)))</f>
        <v/>
      </c>
    </row>
    <row r="1796" ht="15" customHeight="1">
      <c r="C1796">
        <f>IF($B1796="","",INT($B1796))</f>
        <v/>
      </c>
      <c r="D1796">
        <f>IF($C1796="","",$C1796-WEEKDAY($C1796,2)+1)</f>
        <v/>
      </c>
      <c r="E1796">
        <f>IF($C1796="","",DATE(YEAR($C1796),MONTH($C1796),1))</f>
        <v/>
      </c>
      <c r="F1796">
        <f>IF($C1796="","",YEAR($C1796)&amp;"-Q"&amp;ROUNDUP(MONTH($C1796)/3,0))</f>
        <v/>
      </c>
      <c r="L1796">
        <f>IF($G1796&lt;&gt;"ALCOHOL","",IF($K1796="","",$H1796*IFERROR(VLOOKUP($K1796,Drink_Templates!$A:$G,7,FALSE),0)))</f>
        <v/>
      </c>
    </row>
    <row r="1797" ht="15" customHeight="1">
      <c r="C1797">
        <f>IF($B1797="","",INT($B1797))</f>
        <v/>
      </c>
      <c r="D1797">
        <f>IF($C1797="","",$C1797-WEEKDAY($C1797,2)+1)</f>
        <v/>
      </c>
      <c r="E1797">
        <f>IF($C1797="","",DATE(YEAR($C1797),MONTH($C1797),1))</f>
        <v/>
      </c>
      <c r="F1797">
        <f>IF($C1797="","",YEAR($C1797)&amp;"-Q"&amp;ROUNDUP(MONTH($C1797)/3,0))</f>
        <v/>
      </c>
      <c r="L1797">
        <f>IF($G1797&lt;&gt;"ALCOHOL","",IF($K1797="","",$H1797*IFERROR(VLOOKUP($K1797,Drink_Templates!$A:$G,7,FALSE),0)))</f>
        <v/>
      </c>
    </row>
    <row r="1798" ht="15" customHeight="1">
      <c r="C1798">
        <f>IF($B1798="","",INT($B1798))</f>
        <v/>
      </c>
      <c r="D1798">
        <f>IF($C1798="","",$C1798-WEEKDAY($C1798,2)+1)</f>
        <v/>
      </c>
      <c r="E1798">
        <f>IF($C1798="","",DATE(YEAR($C1798),MONTH($C1798),1))</f>
        <v/>
      </c>
      <c r="F1798">
        <f>IF($C1798="","",YEAR($C1798)&amp;"-Q"&amp;ROUNDUP(MONTH($C1798)/3,0))</f>
        <v/>
      </c>
      <c r="L1798">
        <f>IF($G1798&lt;&gt;"ALCOHOL","",IF($K1798="","",$H1798*IFERROR(VLOOKUP($K1798,Drink_Templates!$A:$G,7,FALSE),0)))</f>
        <v/>
      </c>
    </row>
    <row r="1799" ht="15" customHeight="1">
      <c r="C1799">
        <f>IF($B1799="","",INT($B1799))</f>
        <v/>
      </c>
      <c r="D1799">
        <f>IF($C1799="","",$C1799-WEEKDAY($C1799,2)+1)</f>
        <v/>
      </c>
      <c r="E1799">
        <f>IF($C1799="","",DATE(YEAR($C1799),MONTH($C1799),1))</f>
        <v/>
      </c>
      <c r="F1799">
        <f>IF($C1799="","",YEAR($C1799)&amp;"-Q"&amp;ROUNDUP(MONTH($C1799)/3,0))</f>
        <v/>
      </c>
      <c r="L1799">
        <f>IF($G1799&lt;&gt;"ALCOHOL","",IF($K1799="","",$H1799*IFERROR(VLOOKUP($K1799,Drink_Templates!$A:$G,7,FALSE),0)))</f>
        <v/>
      </c>
    </row>
    <row r="1800" ht="15" customHeight="1">
      <c r="C1800">
        <f>IF($B1800="","",INT($B1800))</f>
        <v/>
      </c>
      <c r="D1800">
        <f>IF($C1800="","",$C1800-WEEKDAY($C1800,2)+1)</f>
        <v/>
      </c>
      <c r="E1800">
        <f>IF($C1800="","",DATE(YEAR($C1800),MONTH($C1800),1))</f>
        <v/>
      </c>
      <c r="F1800">
        <f>IF($C1800="","",YEAR($C1800)&amp;"-Q"&amp;ROUNDUP(MONTH($C1800)/3,0))</f>
        <v/>
      </c>
      <c r="L1800">
        <f>IF($G1800&lt;&gt;"ALCOHOL","",IF($K1800="","",$H1800*IFERROR(VLOOKUP($K1800,Drink_Templates!$A:$G,7,FALSE),0)))</f>
        <v/>
      </c>
    </row>
    <row r="1801" ht="15" customHeight="1">
      <c r="C1801">
        <f>IF($B1801="","",INT($B1801))</f>
        <v/>
      </c>
      <c r="D1801">
        <f>IF($C1801="","",$C1801-WEEKDAY($C1801,2)+1)</f>
        <v/>
      </c>
      <c r="E1801">
        <f>IF($C1801="","",DATE(YEAR($C1801),MONTH($C1801),1))</f>
        <v/>
      </c>
      <c r="F1801">
        <f>IF($C1801="","",YEAR($C1801)&amp;"-Q"&amp;ROUNDUP(MONTH($C1801)/3,0))</f>
        <v/>
      </c>
      <c r="L1801">
        <f>IF($G1801&lt;&gt;"ALCOHOL","",IF($K1801="","",$H1801*IFERROR(VLOOKUP($K1801,Drink_Templates!$A:$G,7,FALSE),0)))</f>
        <v/>
      </c>
    </row>
    <row r="1802" ht="15" customHeight="1">
      <c r="C1802">
        <f>IF($B1802="","",INT($B1802))</f>
        <v/>
      </c>
      <c r="D1802">
        <f>IF($C1802="","",$C1802-WEEKDAY($C1802,2)+1)</f>
        <v/>
      </c>
      <c r="E1802">
        <f>IF($C1802="","",DATE(YEAR($C1802),MONTH($C1802),1))</f>
        <v/>
      </c>
      <c r="F1802">
        <f>IF($C1802="","",YEAR($C1802)&amp;"-Q"&amp;ROUNDUP(MONTH($C1802)/3,0))</f>
        <v/>
      </c>
      <c r="L1802">
        <f>IF($G1802&lt;&gt;"ALCOHOL","",IF($K1802="","",$H1802*IFERROR(VLOOKUP($K1802,Drink_Templates!$A:$G,7,FALSE),0)))</f>
        <v/>
      </c>
    </row>
    <row r="1803" ht="15" customHeight="1">
      <c r="C1803">
        <f>IF($B1803="","",INT($B1803))</f>
        <v/>
      </c>
      <c r="D1803">
        <f>IF($C1803="","",$C1803-WEEKDAY($C1803,2)+1)</f>
        <v/>
      </c>
      <c r="E1803">
        <f>IF($C1803="","",DATE(YEAR($C1803),MONTH($C1803),1))</f>
        <v/>
      </c>
      <c r="F1803">
        <f>IF($C1803="","",YEAR($C1803)&amp;"-Q"&amp;ROUNDUP(MONTH($C1803)/3,0))</f>
        <v/>
      </c>
      <c r="L1803">
        <f>IF($G1803&lt;&gt;"ALCOHOL","",IF($K1803="","",$H1803*IFERROR(VLOOKUP($K1803,Drink_Templates!$A:$G,7,FALSE),0)))</f>
        <v/>
      </c>
    </row>
    <row r="1804" ht="15" customHeight="1">
      <c r="C1804">
        <f>IF($B1804="","",INT($B1804))</f>
        <v/>
      </c>
      <c r="D1804">
        <f>IF($C1804="","",$C1804-WEEKDAY($C1804,2)+1)</f>
        <v/>
      </c>
      <c r="E1804">
        <f>IF($C1804="","",DATE(YEAR($C1804),MONTH($C1804),1))</f>
        <v/>
      </c>
      <c r="F1804">
        <f>IF($C1804="","",YEAR($C1804)&amp;"-Q"&amp;ROUNDUP(MONTH($C1804)/3,0))</f>
        <v/>
      </c>
      <c r="L1804">
        <f>IF($G1804&lt;&gt;"ALCOHOL","",IF($K1804="","",$H1804*IFERROR(VLOOKUP($K1804,Drink_Templates!$A:$G,7,FALSE),0)))</f>
        <v/>
      </c>
    </row>
    <row r="1805" ht="15" customHeight="1">
      <c r="C1805">
        <f>IF($B1805="","",INT($B1805))</f>
        <v/>
      </c>
      <c r="D1805">
        <f>IF($C1805="","",$C1805-WEEKDAY($C1805,2)+1)</f>
        <v/>
      </c>
      <c r="E1805">
        <f>IF($C1805="","",DATE(YEAR($C1805),MONTH($C1805),1))</f>
        <v/>
      </c>
      <c r="F1805">
        <f>IF($C1805="","",YEAR($C1805)&amp;"-Q"&amp;ROUNDUP(MONTH($C1805)/3,0))</f>
        <v/>
      </c>
      <c r="L1805">
        <f>IF($G1805&lt;&gt;"ALCOHOL","",IF($K1805="","",$H1805*IFERROR(VLOOKUP($K1805,Drink_Templates!$A:$G,7,FALSE),0)))</f>
        <v/>
      </c>
    </row>
    <row r="1806" ht="15" customHeight="1">
      <c r="C1806">
        <f>IF($B1806="","",INT($B1806))</f>
        <v/>
      </c>
      <c r="D1806">
        <f>IF($C1806="","",$C1806-WEEKDAY($C1806,2)+1)</f>
        <v/>
      </c>
      <c r="E1806">
        <f>IF($C1806="","",DATE(YEAR($C1806),MONTH($C1806),1))</f>
        <v/>
      </c>
      <c r="F1806">
        <f>IF($C1806="","",YEAR($C1806)&amp;"-Q"&amp;ROUNDUP(MONTH($C1806)/3,0))</f>
        <v/>
      </c>
      <c r="L1806">
        <f>IF($G1806&lt;&gt;"ALCOHOL","",IF($K1806="","",$H1806*IFERROR(VLOOKUP($K1806,Drink_Templates!$A:$G,7,FALSE),0)))</f>
        <v/>
      </c>
    </row>
    <row r="1807" ht="15" customHeight="1">
      <c r="C1807">
        <f>IF($B1807="","",INT($B1807))</f>
        <v/>
      </c>
      <c r="D1807">
        <f>IF($C1807="","",$C1807-WEEKDAY($C1807,2)+1)</f>
        <v/>
      </c>
      <c r="E1807">
        <f>IF($C1807="","",DATE(YEAR($C1807),MONTH($C1807),1))</f>
        <v/>
      </c>
      <c r="F1807">
        <f>IF($C1807="","",YEAR($C1807)&amp;"-Q"&amp;ROUNDUP(MONTH($C1807)/3,0))</f>
        <v/>
      </c>
      <c r="L1807">
        <f>IF($G1807&lt;&gt;"ALCOHOL","",IF($K1807="","",$H1807*IFERROR(VLOOKUP($K1807,Drink_Templates!$A:$G,7,FALSE),0)))</f>
        <v/>
      </c>
    </row>
    <row r="1808" ht="15" customHeight="1">
      <c r="C1808">
        <f>IF($B1808="","",INT($B1808))</f>
        <v/>
      </c>
      <c r="D1808">
        <f>IF($C1808="","",$C1808-WEEKDAY($C1808,2)+1)</f>
        <v/>
      </c>
      <c r="E1808">
        <f>IF($C1808="","",DATE(YEAR($C1808),MONTH($C1808),1))</f>
        <v/>
      </c>
      <c r="F1808">
        <f>IF($C1808="","",YEAR($C1808)&amp;"-Q"&amp;ROUNDUP(MONTH($C1808)/3,0))</f>
        <v/>
      </c>
      <c r="L1808">
        <f>IF($G1808&lt;&gt;"ALCOHOL","",IF($K1808="","",$H1808*IFERROR(VLOOKUP($K1808,Drink_Templates!$A:$G,7,FALSE),0)))</f>
        <v/>
      </c>
    </row>
    <row r="1809" ht="15" customHeight="1">
      <c r="C1809">
        <f>IF($B1809="","",INT($B1809))</f>
        <v/>
      </c>
      <c r="D1809">
        <f>IF($C1809="","",$C1809-WEEKDAY($C1809,2)+1)</f>
        <v/>
      </c>
      <c r="E1809">
        <f>IF($C1809="","",DATE(YEAR($C1809),MONTH($C1809),1))</f>
        <v/>
      </c>
      <c r="F1809">
        <f>IF($C1809="","",YEAR($C1809)&amp;"-Q"&amp;ROUNDUP(MONTH($C1809)/3,0))</f>
        <v/>
      </c>
      <c r="L1809">
        <f>IF($G1809&lt;&gt;"ALCOHOL","",IF($K1809="","",$H1809*IFERROR(VLOOKUP($K1809,Drink_Templates!$A:$G,7,FALSE),0)))</f>
        <v/>
      </c>
    </row>
    <row r="1810" ht="15" customHeight="1">
      <c r="C1810">
        <f>IF($B1810="","",INT($B1810))</f>
        <v/>
      </c>
      <c r="D1810">
        <f>IF($C1810="","",$C1810-WEEKDAY($C1810,2)+1)</f>
        <v/>
      </c>
      <c r="E1810">
        <f>IF($C1810="","",DATE(YEAR($C1810),MONTH($C1810),1))</f>
        <v/>
      </c>
      <c r="F1810">
        <f>IF($C1810="","",YEAR($C1810)&amp;"-Q"&amp;ROUNDUP(MONTH($C1810)/3,0))</f>
        <v/>
      </c>
      <c r="L1810">
        <f>IF($G1810&lt;&gt;"ALCOHOL","",IF($K1810="","",$H1810*IFERROR(VLOOKUP($K1810,Drink_Templates!$A:$G,7,FALSE),0)))</f>
        <v/>
      </c>
    </row>
    <row r="1811" ht="15" customHeight="1">
      <c r="C1811">
        <f>IF($B1811="","",INT($B1811))</f>
        <v/>
      </c>
      <c r="D1811">
        <f>IF($C1811="","",$C1811-WEEKDAY($C1811,2)+1)</f>
        <v/>
      </c>
      <c r="E1811">
        <f>IF($C1811="","",DATE(YEAR($C1811),MONTH($C1811),1))</f>
        <v/>
      </c>
      <c r="F1811">
        <f>IF($C1811="","",YEAR($C1811)&amp;"-Q"&amp;ROUNDUP(MONTH($C1811)/3,0))</f>
        <v/>
      </c>
      <c r="L1811">
        <f>IF($G1811&lt;&gt;"ALCOHOL","",IF($K1811="","",$H1811*IFERROR(VLOOKUP($K1811,Drink_Templates!$A:$G,7,FALSE),0)))</f>
        <v/>
      </c>
    </row>
    <row r="1812" ht="15" customHeight="1">
      <c r="C1812">
        <f>IF($B1812="","",INT($B1812))</f>
        <v/>
      </c>
      <c r="D1812">
        <f>IF($C1812="","",$C1812-WEEKDAY($C1812,2)+1)</f>
        <v/>
      </c>
      <c r="E1812">
        <f>IF($C1812="","",DATE(YEAR($C1812),MONTH($C1812),1))</f>
        <v/>
      </c>
      <c r="F1812">
        <f>IF($C1812="","",YEAR($C1812)&amp;"-Q"&amp;ROUNDUP(MONTH($C1812)/3,0))</f>
        <v/>
      </c>
      <c r="L1812">
        <f>IF($G1812&lt;&gt;"ALCOHOL","",IF($K1812="","",$H1812*IFERROR(VLOOKUP($K1812,Drink_Templates!$A:$G,7,FALSE),0)))</f>
        <v/>
      </c>
    </row>
    <row r="1813" ht="15" customHeight="1">
      <c r="C1813">
        <f>IF($B1813="","",INT($B1813))</f>
        <v/>
      </c>
      <c r="D1813">
        <f>IF($C1813="","",$C1813-WEEKDAY($C1813,2)+1)</f>
        <v/>
      </c>
      <c r="E1813">
        <f>IF($C1813="","",DATE(YEAR($C1813),MONTH($C1813),1))</f>
        <v/>
      </c>
      <c r="F1813">
        <f>IF($C1813="","",YEAR($C1813)&amp;"-Q"&amp;ROUNDUP(MONTH($C1813)/3,0))</f>
        <v/>
      </c>
      <c r="L1813">
        <f>IF($G1813&lt;&gt;"ALCOHOL","",IF($K1813="","",$H1813*IFERROR(VLOOKUP($K1813,Drink_Templates!$A:$G,7,FALSE),0)))</f>
        <v/>
      </c>
    </row>
    <row r="1814" ht="15" customHeight="1">
      <c r="C1814">
        <f>IF($B1814="","",INT($B1814))</f>
        <v/>
      </c>
      <c r="D1814">
        <f>IF($C1814="","",$C1814-WEEKDAY($C1814,2)+1)</f>
        <v/>
      </c>
      <c r="E1814">
        <f>IF($C1814="","",DATE(YEAR($C1814),MONTH($C1814),1))</f>
        <v/>
      </c>
      <c r="F1814">
        <f>IF($C1814="","",YEAR($C1814)&amp;"-Q"&amp;ROUNDUP(MONTH($C1814)/3,0))</f>
        <v/>
      </c>
      <c r="L1814">
        <f>IF($G1814&lt;&gt;"ALCOHOL","",IF($K1814="","",$H1814*IFERROR(VLOOKUP($K1814,Drink_Templates!$A:$G,7,FALSE),0)))</f>
        <v/>
      </c>
    </row>
    <row r="1815" ht="15" customHeight="1">
      <c r="C1815">
        <f>IF($B1815="","",INT($B1815))</f>
        <v/>
      </c>
      <c r="D1815">
        <f>IF($C1815="","",$C1815-WEEKDAY($C1815,2)+1)</f>
        <v/>
      </c>
      <c r="E1815">
        <f>IF($C1815="","",DATE(YEAR($C1815),MONTH($C1815),1))</f>
        <v/>
      </c>
      <c r="F1815">
        <f>IF($C1815="","",YEAR($C1815)&amp;"-Q"&amp;ROUNDUP(MONTH($C1815)/3,0))</f>
        <v/>
      </c>
      <c r="L1815">
        <f>IF($G1815&lt;&gt;"ALCOHOL","",IF($K1815="","",$H1815*IFERROR(VLOOKUP($K1815,Drink_Templates!$A:$G,7,FALSE),0)))</f>
        <v/>
      </c>
    </row>
    <row r="1816" ht="15" customHeight="1">
      <c r="C1816">
        <f>IF($B1816="","",INT($B1816))</f>
        <v/>
      </c>
      <c r="D1816">
        <f>IF($C1816="","",$C1816-WEEKDAY($C1816,2)+1)</f>
        <v/>
      </c>
      <c r="E1816">
        <f>IF($C1816="","",DATE(YEAR($C1816),MONTH($C1816),1))</f>
        <v/>
      </c>
      <c r="F1816">
        <f>IF($C1816="","",YEAR($C1816)&amp;"-Q"&amp;ROUNDUP(MONTH($C1816)/3,0))</f>
        <v/>
      </c>
      <c r="L1816">
        <f>IF($G1816&lt;&gt;"ALCOHOL","",IF($K1816="","",$H1816*IFERROR(VLOOKUP($K1816,Drink_Templates!$A:$G,7,FALSE),0)))</f>
        <v/>
      </c>
    </row>
    <row r="1817" ht="15" customHeight="1">
      <c r="C1817">
        <f>IF($B1817="","",INT($B1817))</f>
        <v/>
      </c>
      <c r="D1817">
        <f>IF($C1817="","",$C1817-WEEKDAY($C1817,2)+1)</f>
        <v/>
      </c>
      <c r="E1817">
        <f>IF($C1817="","",DATE(YEAR($C1817),MONTH($C1817),1))</f>
        <v/>
      </c>
      <c r="F1817">
        <f>IF($C1817="","",YEAR($C1817)&amp;"-Q"&amp;ROUNDUP(MONTH($C1817)/3,0))</f>
        <v/>
      </c>
      <c r="L1817">
        <f>IF($G1817&lt;&gt;"ALCOHOL","",IF($K1817="","",$H1817*IFERROR(VLOOKUP($K1817,Drink_Templates!$A:$G,7,FALSE),0)))</f>
        <v/>
      </c>
    </row>
    <row r="1818" ht="15" customHeight="1">
      <c r="C1818">
        <f>IF($B1818="","",INT($B1818))</f>
        <v/>
      </c>
      <c r="D1818">
        <f>IF($C1818="","",$C1818-WEEKDAY($C1818,2)+1)</f>
        <v/>
      </c>
      <c r="E1818">
        <f>IF($C1818="","",DATE(YEAR($C1818),MONTH($C1818),1))</f>
        <v/>
      </c>
      <c r="F1818">
        <f>IF($C1818="","",YEAR($C1818)&amp;"-Q"&amp;ROUNDUP(MONTH($C1818)/3,0))</f>
        <v/>
      </c>
      <c r="L1818">
        <f>IF($G1818&lt;&gt;"ALCOHOL","",IF($K1818="","",$H1818*IFERROR(VLOOKUP($K1818,Drink_Templates!$A:$G,7,FALSE),0)))</f>
        <v/>
      </c>
    </row>
    <row r="1819" ht="15" customHeight="1">
      <c r="C1819">
        <f>IF($B1819="","",INT($B1819))</f>
        <v/>
      </c>
      <c r="D1819">
        <f>IF($C1819="","",$C1819-WEEKDAY($C1819,2)+1)</f>
        <v/>
      </c>
      <c r="E1819">
        <f>IF($C1819="","",DATE(YEAR($C1819),MONTH($C1819),1))</f>
        <v/>
      </c>
      <c r="F1819">
        <f>IF($C1819="","",YEAR($C1819)&amp;"-Q"&amp;ROUNDUP(MONTH($C1819)/3,0))</f>
        <v/>
      </c>
      <c r="L1819">
        <f>IF($G1819&lt;&gt;"ALCOHOL","",IF($K1819="","",$H1819*IFERROR(VLOOKUP($K1819,Drink_Templates!$A:$G,7,FALSE),0)))</f>
        <v/>
      </c>
    </row>
    <row r="1820" ht="15" customHeight="1">
      <c r="C1820">
        <f>IF($B1820="","",INT($B1820))</f>
        <v/>
      </c>
      <c r="D1820">
        <f>IF($C1820="","",$C1820-WEEKDAY($C1820,2)+1)</f>
        <v/>
      </c>
      <c r="E1820">
        <f>IF($C1820="","",DATE(YEAR($C1820),MONTH($C1820),1))</f>
        <v/>
      </c>
      <c r="F1820">
        <f>IF($C1820="","",YEAR($C1820)&amp;"-Q"&amp;ROUNDUP(MONTH($C1820)/3,0))</f>
        <v/>
      </c>
      <c r="L1820">
        <f>IF($G1820&lt;&gt;"ALCOHOL","",IF($K1820="","",$H1820*IFERROR(VLOOKUP($K1820,Drink_Templates!$A:$G,7,FALSE),0)))</f>
        <v/>
      </c>
    </row>
    <row r="1821" ht="15" customHeight="1">
      <c r="C1821">
        <f>IF($B1821="","",INT($B1821))</f>
        <v/>
      </c>
      <c r="D1821">
        <f>IF($C1821="","",$C1821-WEEKDAY($C1821,2)+1)</f>
        <v/>
      </c>
      <c r="E1821">
        <f>IF($C1821="","",DATE(YEAR($C1821),MONTH($C1821),1))</f>
        <v/>
      </c>
      <c r="F1821">
        <f>IF($C1821="","",YEAR($C1821)&amp;"-Q"&amp;ROUNDUP(MONTH($C1821)/3,0))</f>
        <v/>
      </c>
      <c r="L1821">
        <f>IF($G1821&lt;&gt;"ALCOHOL","",IF($K1821="","",$H1821*IFERROR(VLOOKUP($K1821,Drink_Templates!$A:$G,7,FALSE),0)))</f>
        <v/>
      </c>
    </row>
    <row r="1822" ht="15" customHeight="1">
      <c r="C1822">
        <f>IF($B1822="","",INT($B1822))</f>
        <v/>
      </c>
      <c r="D1822">
        <f>IF($C1822="","",$C1822-WEEKDAY($C1822,2)+1)</f>
        <v/>
      </c>
      <c r="E1822">
        <f>IF($C1822="","",DATE(YEAR($C1822),MONTH($C1822),1))</f>
        <v/>
      </c>
      <c r="F1822">
        <f>IF($C1822="","",YEAR($C1822)&amp;"-Q"&amp;ROUNDUP(MONTH($C1822)/3,0))</f>
        <v/>
      </c>
      <c r="L1822">
        <f>IF($G1822&lt;&gt;"ALCOHOL","",IF($K1822="","",$H1822*IFERROR(VLOOKUP($K1822,Drink_Templates!$A:$G,7,FALSE),0)))</f>
        <v/>
      </c>
    </row>
    <row r="1823" ht="15" customHeight="1">
      <c r="C1823">
        <f>IF($B1823="","",INT($B1823))</f>
        <v/>
      </c>
      <c r="D1823">
        <f>IF($C1823="","",$C1823-WEEKDAY($C1823,2)+1)</f>
        <v/>
      </c>
      <c r="E1823">
        <f>IF($C1823="","",DATE(YEAR($C1823),MONTH($C1823),1))</f>
        <v/>
      </c>
      <c r="F1823">
        <f>IF($C1823="","",YEAR($C1823)&amp;"-Q"&amp;ROUNDUP(MONTH($C1823)/3,0))</f>
        <v/>
      </c>
      <c r="L1823">
        <f>IF($G1823&lt;&gt;"ALCOHOL","",IF($K1823="","",$H1823*IFERROR(VLOOKUP($K1823,Drink_Templates!$A:$G,7,FALSE),0)))</f>
        <v/>
      </c>
    </row>
    <row r="1824" ht="15" customHeight="1">
      <c r="C1824">
        <f>IF($B1824="","",INT($B1824))</f>
        <v/>
      </c>
      <c r="D1824">
        <f>IF($C1824="","",$C1824-WEEKDAY($C1824,2)+1)</f>
        <v/>
      </c>
      <c r="E1824">
        <f>IF($C1824="","",DATE(YEAR($C1824),MONTH($C1824),1))</f>
        <v/>
      </c>
      <c r="F1824">
        <f>IF($C1824="","",YEAR($C1824)&amp;"-Q"&amp;ROUNDUP(MONTH($C1824)/3,0))</f>
        <v/>
      </c>
      <c r="L1824">
        <f>IF($G1824&lt;&gt;"ALCOHOL","",IF($K1824="","",$H1824*IFERROR(VLOOKUP($K1824,Drink_Templates!$A:$G,7,FALSE),0)))</f>
        <v/>
      </c>
    </row>
    <row r="1825" ht="15" customHeight="1">
      <c r="C1825">
        <f>IF($B1825="","",INT($B1825))</f>
        <v/>
      </c>
      <c r="D1825">
        <f>IF($C1825="","",$C1825-WEEKDAY($C1825,2)+1)</f>
        <v/>
      </c>
      <c r="E1825">
        <f>IF($C1825="","",DATE(YEAR($C1825),MONTH($C1825),1))</f>
        <v/>
      </c>
      <c r="F1825">
        <f>IF($C1825="","",YEAR($C1825)&amp;"-Q"&amp;ROUNDUP(MONTH($C1825)/3,0))</f>
        <v/>
      </c>
      <c r="L1825">
        <f>IF($G1825&lt;&gt;"ALCOHOL","",IF($K1825="","",$H1825*IFERROR(VLOOKUP($K1825,Drink_Templates!$A:$G,7,FALSE),0)))</f>
        <v/>
      </c>
    </row>
    <row r="1826" ht="15" customHeight="1">
      <c r="C1826">
        <f>IF($B1826="","",INT($B1826))</f>
        <v/>
      </c>
      <c r="D1826">
        <f>IF($C1826="","",$C1826-WEEKDAY($C1826,2)+1)</f>
        <v/>
      </c>
      <c r="E1826">
        <f>IF($C1826="","",DATE(YEAR($C1826),MONTH($C1826),1))</f>
        <v/>
      </c>
      <c r="F1826">
        <f>IF($C1826="","",YEAR($C1826)&amp;"-Q"&amp;ROUNDUP(MONTH($C1826)/3,0))</f>
        <v/>
      </c>
      <c r="L1826">
        <f>IF($G1826&lt;&gt;"ALCOHOL","",IF($K1826="","",$H1826*IFERROR(VLOOKUP($K1826,Drink_Templates!$A:$G,7,FALSE),0)))</f>
        <v/>
      </c>
    </row>
    <row r="1827" ht="15" customHeight="1">
      <c r="C1827">
        <f>IF($B1827="","",INT($B1827))</f>
        <v/>
      </c>
      <c r="D1827">
        <f>IF($C1827="","",$C1827-WEEKDAY($C1827,2)+1)</f>
        <v/>
      </c>
      <c r="E1827">
        <f>IF($C1827="","",DATE(YEAR($C1827),MONTH($C1827),1))</f>
        <v/>
      </c>
      <c r="F1827">
        <f>IF($C1827="","",YEAR($C1827)&amp;"-Q"&amp;ROUNDUP(MONTH($C1827)/3,0))</f>
        <v/>
      </c>
      <c r="L1827">
        <f>IF($G1827&lt;&gt;"ALCOHOL","",IF($K1827="","",$H1827*IFERROR(VLOOKUP($K1827,Drink_Templates!$A:$G,7,FALSE),0)))</f>
        <v/>
      </c>
    </row>
    <row r="1828" ht="15" customHeight="1">
      <c r="C1828">
        <f>IF($B1828="","",INT($B1828))</f>
        <v/>
      </c>
      <c r="D1828">
        <f>IF($C1828="","",$C1828-WEEKDAY($C1828,2)+1)</f>
        <v/>
      </c>
      <c r="E1828">
        <f>IF($C1828="","",DATE(YEAR($C1828),MONTH($C1828),1))</f>
        <v/>
      </c>
      <c r="F1828">
        <f>IF($C1828="","",YEAR($C1828)&amp;"-Q"&amp;ROUNDUP(MONTH($C1828)/3,0))</f>
        <v/>
      </c>
      <c r="L1828">
        <f>IF($G1828&lt;&gt;"ALCOHOL","",IF($K1828="","",$H1828*IFERROR(VLOOKUP($K1828,Drink_Templates!$A:$G,7,FALSE),0)))</f>
        <v/>
      </c>
    </row>
    <row r="1829" ht="15" customHeight="1">
      <c r="C1829">
        <f>IF($B1829="","",INT($B1829))</f>
        <v/>
      </c>
      <c r="D1829">
        <f>IF($C1829="","",$C1829-WEEKDAY($C1829,2)+1)</f>
        <v/>
      </c>
      <c r="E1829">
        <f>IF($C1829="","",DATE(YEAR($C1829),MONTH($C1829),1))</f>
        <v/>
      </c>
      <c r="F1829">
        <f>IF($C1829="","",YEAR($C1829)&amp;"-Q"&amp;ROUNDUP(MONTH($C1829)/3,0))</f>
        <v/>
      </c>
      <c r="L1829">
        <f>IF($G1829&lt;&gt;"ALCOHOL","",IF($K1829="","",$H1829*IFERROR(VLOOKUP($K1829,Drink_Templates!$A:$G,7,FALSE),0)))</f>
        <v/>
      </c>
    </row>
    <row r="1830" ht="15" customHeight="1">
      <c r="C1830">
        <f>IF($B1830="","",INT($B1830))</f>
        <v/>
      </c>
      <c r="D1830">
        <f>IF($C1830="","",$C1830-WEEKDAY($C1830,2)+1)</f>
        <v/>
      </c>
      <c r="E1830">
        <f>IF($C1830="","",DATE(YEAR($C1830),MONTH($C1830),1))</f>
        <v/>
      </c>
      <c r="F1830">
        <f>IF($C1830="","",YEAR($C1830)&amp;"-Q"&amp;ROUNDUP(MONTH($C1830)/3,0))</f>
        <v/>
      </c>
      <c r="L1830">
        <f>IF($G1830&lt;&gt;"ALCOHOL","",IF($K1830="","",$H1830*IFERROR(VLOOKUP($K1830,Drink_Templates!$A:$G,7,FALSE),0)))</f>
        <v/>
      </c>
    </row>
    <row r="1831" ht="15" customHeight="1">
      <c r="C1831">
        <f>IF($B1831="","",INT($B1831))</f>
        <v/>
      </c>
      <c r="D1831">
        <f>IF($C1831="","",$C1831-WEEKDAY($C1831,2)+1)</f>
        <v/>
      </c>
      <c r="E1831">
        <f>IF($C1831="","",DATE(YEAR($C1831),MONTH($C1831),1))</f>
        <v/>
      </c>
      <c r="F1831">
        <f>IF($C1831="","",YEAR($C1831)&amp;"-Q"&amp;ROUNDUP(MONTH($C1831)/3,0))</f>
        <v/>
      </c>
      <c r="L1831">
        <f>IF($G1831&lt;&gt;"ALCOHOL","",IF($K1831="","",$H1831*IFERROR(VLOOKUP($K1831,Drink_Templates!$A:$G,7,FALSE),0)))</f>
        <v/>
      </c>
    </row>
    <row r="1832" ht="15" customHeight="1">
      <c r="C1832">
        <f>IF($B1832="","",INT($B1832))</f>
        <v/>
      </c>
      <c r="D1832">
        <f>IF($C1832="","",$C1832-WEEKDAY($C1832,2)+1)</f>
        <v/>
      </c>
      <c r="E1832">
        <f>IF($C1832="","",DATE(YEAR($C1832),MONTH($C1832),1))</f>
        <v/>
      </c>
      <c r="F1832">
        <f>IF($C1832="","",YEAR($C1832)&amp;"-Q"&amp;ROUNDUP(MONTH($C1832)/3,0))</f>
        <v/>
      </c>
      <c r="L1832">
        <f>IF($G1832&lt;&gt;"ALCOHOL","",IF($K1832="","",$H1832*IFERROR(VLOOKUP($K1832,Drink_Templates!$A:$G,7,FALSE),0)))</f>
        <v/>
      </c>
    </row>
    <row r="1833" ht="15" customHeight="1">
      <c r="C1833">
        <f>IF($B1833="","",INT($B1833))</f>
        <v/>
      </c>
      <c r="D1833">
        <f>IF($C1833="","",$C1833-WEEKDAY($C1833,2)+1)</f>
        <v/>
      </c>
      <c r="E1833">
        <f>IF($C1833="","",DATE(YEAR($C1833),MONTH($C1833),1))</f>
        <v/>
      </c>
      <c r="F1833">
        <f>IF($C1833="","",YEAR($C1833)&amp;"-Q"&amp;ROUNDUP(MONTH($C1833)/3,0))</f>
        <v/>
      </c>
      <c r="L1833">
        <f>IF($G1833&lt;&gt;"ALCOHOL","",IF($K1833="","",$H1833*IFERROR(VLOOKUP($K1833,Drink_Templates!$A:$G,7,FALSE),0)))</f>
        <v/>
      </c>
    </row>
    <row r="1834" ht="15" customHeight="1">
      <c r="C1834">
        <f>IF($B1834="","",INT($B1834))</f>
        <v/>
      </c>
      <c r="D1834">
        <f>IF($C1834="","",$C1834-WEEKDAY($C1834,2)+1)</f>
        <v/>
      </c>
      <c r="E1834">
        <f>IF($C1834="","",DATE(YEAR($C1834),MONTH($C1834),1))</f>
        <v/>
      </c>
      <c r="F1834">
        <f>IF($C1834="","",YEAR($C1834)&amp;"-Q"&amp;ROUNDUP(MONTH($C1834)/3,0))</f>
        <v/>
      </c>
      <c r="L1834">
        <f>IF($G1834&lt;&gt;"ALCOHOL","",IF($K1834="","",$H1834*IFERROR(VLOOKUP($K1834,Drink_Templates!$A:$G,7,FALSE),0)))</f>
        <v/>
      </c>
    </row>
    <row r="1835" ht="15" customHeight="1">
      <c r="C1835">
        <f>IF($B1835="","",INT($B1835))</f>
        <v/>
      </c>
      <c r="D1835">
        <f>IF($C1835="","",$C1835-WEEKDAY($C1835,2)+1)</f>
        <v/>
      </c>
      <c r="E1835">
        <f>IF($C1835="","",DATE(YEAR($C1835),MONTH($C1835),1))</f>
        <v/>
      </c>
      <c r="F1835">
        <f>IF($C1835="","",YEAR($C1835)&amp;"-Q"&amp;ROUNDUP(MONTH($C1835)/3,0))</f>
        <v/>
      </c>
      <c r="L1835">
        <f>IF($G1835&lt;&gt;"ALCOHOL","",IF($K1835="","",$H1835*IFERROR(VLOOKUP($K1835,Drink_Templates!$A:$G,7,FALSE),0)))</f>
        <v/>
      </c>
    </row>
    <row r="1836" ht="15" customHeight="1">
      <c r="C1836">
        <f>IF($B1836="","",INT($B1836))</f>
        <v/>
      </c>
      <c r="D1836">
        <f>IF($C1836="","",$C1836-WEEKDAY($C1836,2)+1)</f>
        <v/>
      </c>
      <c r="E1836">
        <f>IF($C1836="","",DATE(YEAR($C1836),MONTH($C1836),1))</f>
        <v/>
      </c>
      <c r="F1836">
        <f>IF($C1836="","",YEAR($C1836)&amp;"-Q"&amp;ROUNDUP(MONTH($C1836)/3,0))</f>
        <v/>
      </c>
      <c r="L1836">
        <f>IF($G1836&lt;&gt;"ALCOHOL","",IF($K1836="","",$H1836*IFERROR(VLOOKUP($K1836,Drink_Templates!$A:$G,7,FALSE),0)))</f>
        <v/>
      </c>
    </row>
    <row r="1837" ht="15" customHeight="1">
      <c r="C1837">
        <f>IF($B1837="","",INT($B1837))</f>
        <v/>
      </c>
      <c r="D1837">
        <f>IF($C1837="","",$C1837-WEEKDAY($C1837,2)+1)</f>
        <v/>
      </c>
      <c r="E1837">
        <f>IF($C1837="","",DATE(YEAR($C1837),MONTH($C1837),1))</f>
        <v/>
      </c>
      <c r="F1837">
        <f>IF($C1837="","",YEAR($C1837)&amp;"-Q"&amp;ROUNDUP(MONTH($C1837)/3,0))</f>
        <v/>
      </c>
      <c r="L1837">
        <f>IF($G1837&lt;&gt;"ALCOHOL","",IF($K1837="","",$H1837*IFERROR(VLOOKUP($K1837,Drink_Templates!$A:$G,7,FALSE),0)))</f>
        <v/>
      </c>
    </row>
    <row r="1838" ht="15" customHeight="1">
      <c r="C1838">
        <f>IF($B1838="","",INT($B1838))</f>
        <v/>
      </c>
      <c r="D1838">
        <f>IF($C1838="","",$C1838-WEEKDAY($C1838,2)+1)</f>
        <v/>
      </c>
      <c r="E1838">
        <f>IF($C1838="","",DATE(YEAR($C1838),MONTH($C1838),1))</f>
        <v/>
      </c>
      <c r="F1838">
        <f>IF($C1838="","",YEAR($C1838)&amp;"-Q"&amp;ROUNDUP(MONTH($C1838)/3,0))</f>
        <v/>
      </c>
      <c r="L1838">
        <f>IF($G1838&lt;&gt;"ALCOHOL","",IF($K1838="","",$H1838*IFERROR(VLOOKUP($K1838,Drink_Templates!$A:$G,7,FALSE),0)))</f>
        <v/>
      </c>
    </row>
    <row r="1839" ht="15" customHeight="1">
      <c r="C1839">
        <f>IF($B1839="","",INT($B1839))</f>
        <v/>
      </c>
      <c r="D1839">
        <f>IF($C1839="","",$C1839-WEEKDAY($C1839,2)+1)</f>
        <v/>
      </c>
      <c r="E1839">
        <f>IF($C1839="","",DATE(YEAR($C1839),MONTH($C1839),1))</f>
        <v/>
      </c>
      <c r="F1839">
        <f>IF($C1839="","",YEAR($C1839)&amp;"-Q"&amp;ROUNDUP(MONTH($C1839)/3,0))</f>
        <v/>
      </c>
      <c r="L1839">
        <f>IF($G1839&lt;&gt;"ALCOHOL","",IF($K1839="","",$H1839*IFERROR(VLOOKUP($K1839,Drink_Templates!$A:$G,7,FALSE),0)))</f>
        <v/>
      </c>
    </row>
    <row r="1840" ht="15" customHeight="1">
      <c r="C1840">
        <f>IF($B1840="","",INT($B1840))</f>
        <v/>
      </c>
      <c r="D1840">
        <f>IF($C1840="","",$C1840-WEEKDAY($C1840,2)+1)</f>
        <v/>
      </c>
      <c r="E1840">
        <f>IF($C1840="","",DATE(YEAR($C1840),MONTH($C1840),1))</f>
        <v/>
      </c>
      <c r="F1840">
        <f>IF($C1840="","",YEAR($C1840)&amp;"-Q"&amp;ROUNDUP(MONTH($C1840)/3,0))</f>
        <v/>
      </c>
      <c r="L1840">
        <f>IF($G1840&lt;&gt;"ALCOHOL","",IF($K1840="","",$H1840*IFERROR(VLOOKUP($K1840,Drink_Templates!$A:$G,7,FALSE),0)))</f>
        <v/>
      </c>
    </row>
    <row r="1841" ht="15" customHeight="1">
      <c r="C1841">
        <f>IF($B1841="","",INT($B1841))</f>
        <v/>
      </c>
      <c r="D1841">
        <f>IF($C1841="","",$C1841-WEEKDAY($C1841,2)+1)</f>
        <v/>
      </c>
      <c r="E1841">
        <f>IF($C1841="","",DATE(YEAR($C1841),MONTH($C1841),1))</f>
        <v/>
      </c>
      <c r="F1841">
        <f>IF($C1841="","",YEAR($C1841)&amp;"-Q"&amp;ROUNDUP(MONTH($C1841)/3,0))</f>
        <v/>
      </c>
      <c r="L1841">
        <f>IF($G1841&lt;&gt;"ALCOHOL","",IF($K1841="","",$H1841*IFERROR(VLOOKUP($K1841,Drink_Templates!$A:$G,7,FALSE),0)))</f>
        <v/>
      </c>
    </row>
    <row r="1842" ht="15" customHeight="1">
      <c r="C1842">
        <f>IF($B1842="","",INT($B1842))</f>
        <v/>
      </c>
      <c r="D1842">
        <f>IF($C1842="","",$C1842-WEEKDAY($C1842,2)+1)</f>
        <v/>
      </c>
      <c r="E1842">
        <f>IF($C1842="","",DATE(YEAR($C1842),MONTH($C1842),1))</f>
        <v/>
      </c>
      <c r="F1842">
        <f>IF($C1842="","",YEAR($C1842)&amp;"-Q"&amp;ROUNDUP(MONTH($C1842)/3,0))</f>
        <v/>
      </c>
      <c r="L1842">
        <f>IF($G1842&lt;&gt;"ALCOHOL","",IF($K1842="","",$H1842*IFERROR(VLOOKUP($K1842,Drink_Templates!$A:$G,7,FALSE),0)))</f>
        <v/>
      </c>
    </row>
    <row r="1843" ht="15" customHeight="1">
      <c r="C1843">
        <f>IF($B1843="","",INT($B1843))</f>
        <v/>
      </c>
      <c r="D1843">
        <f>IF($C1843="","",$C1843-WEEKDAY($C1843,2)+1)</f>
        <v/>
      </c>
      <c r="E1843">
        <f>IF($C1843="","",DATE(YEAR($C1843),MONTH($C1843),1))</f>
        <v/>
      </c>
      <c r="F1843">
        <f>IF($C1843="","",YEAR($C1843)&amp;"-Q"&amp;ROUNDUP(MONTH($C1843)/3,0))</f>
        <v/>
      </c>
      <c r="L1843">
        <f>IF($G1843&lt;&gt;"ALCOHOL","",IF($K1843="","",$H1843*IFERROR(VLOOKUP($K1843,Drink_Templates!$A:$G,7,FALSE),0)))</f>
        <v/>
      </c>
    </row>
    <row r="1844" ht="15" customHeight="1">
      <c r="C1844">
        <f>IF($B1844="","",INT($B1844))</f>
        <v/>
      </c>
      <c r="D1844">
        <f>IF($C1844="","",$C1844-WEEKDAY($C1844,2)+1)</f>
        <v/>
      </c>
      <c r="E1844">
        <f>IF($C1844="","",DATE(YEAR($C1844),MONTH($C1844),1))</f>
        <v/>
      </c>
      <c r="F1844">
        <f>IF($C1844="","",YEAR($C1844)&amp;"-Q"&amp;ROUNDUP(MONTH($C1844)/3,0))</f>
        <v/>
      </c>
      <c r="L1844">
        <f>IF($G1844&lt;&gt;"ALCOHOL","",IF($K1844="","",$H1844*IFERROR(VLOOKUP($K1844,Drink_Templates!$A:$G,7,FALSE),0)))</f>
        <v/>
      </c>
    </row>
    <row r="1845" ht="15" customHeight="1">
      <c r="C1845">
        <f>IF($B1845="","",INT($B1845))</f>
        <v/>
      </c>
      <c r="D1845">
        <f>IF($C1845="","",$C1845-WEEKDAY($C1845,2)+1)</f>
        <v/>
      </c>
      <c r="E1845">
        <f>IF($C1845="","",DATE(YEAR($C1845),MONTH($C1845),1))</f>
        <v/>
      </c>
      <c r="F1845">
        <f>IF($C1845="","",YEAR($C1845)&amp;"-Q"&amp;ROUNDUP(MONTH($C1845)/3,0))</f>
        <v/>
      </c>
      <c r="L1845">
        <f>IF($G1845&lt;&gt;"ALCOHOL","",IF($K1845="","",$H1845*IFERROR(VLOOKUP($K1845,Drink_Templates!$A:$G,7,FALSE),0)))</f>
        <v/>
      </c>
    </row>
    <row r="1846" ht="15" customHeight="1">
      <c r="C1846">
        <f>IF($B1846="","",INT($B1846))</f>
        <v/>
      </c>
      <c r="D1846">
        <f>IF($C1846="","",$C1846-WEEKDAY($C1846,2)+1)</f>
        <v/>
      </c>
      <c r="E1846">
        <f>IF($C1846="","",DATE(YEAR($C1846),MONTH($C1846),1))</f>
        <v/>
      </c>
      <c r="F1846">
        <f>IF($C1846="","",YEAR($C1846)&amp;"-Q"&amp;ROUNDUP(MONTH($C1846)/3,0))</f>
        <v/>
      </c>
      <c r="L1846">
        <f>IF($G1846&lt;&gt;"ALCOHOL","",IF($K1846="","",$H1846*IFERROR(VLOOKUP($K1846,Drink_Templates!$A:$G,7,FALSE),0)))</f>
        <v/>
      </c>
    </row>
    <row r="1847" ht="15" customHeight="1">
      <c r="C1847">
        <f>IF($B1847="","",INT($B1847))</f>
        <v/>
      </c>
      <c r="D1847">
        <f>IF($C1847="","",$C1847-WEEKDAY($C1847,2)+1)</f>
        <v/>
      </c>
      <c r="E1847">
        <f>IF($C1847="","",DATE(YEAR($C1847),MONTH($C1847),1))</f>
        <v/>
      </c>
      <c r="F1847">
        <f>IF($C1847="","",YEAR($C1847)&amp;"-Q"&amp;ROUNDUP(MONTH($C1847)/3,0))</f>
        <v/>
      </c>
      <c r="L1847">
        <f>IF($G1847&lt;&gt;"ALCOHOL","",IF($K1847="","",$H1847*IFERROR(VLOOKUP($K1847,Drink_Templates!$A:$G,7,FALSE),0)))</f>
        <v/>
      </c>
    </row>
    <row r="1848" ht="15" customHeight="1">
      <c r="C1848">
        <f>IF($B1848="","",INT($B1848))</f>
        <v/>
      </c>
      <c r="D1848">
        <f>IF($C1848="","",$C1848-WEEKDAY($C1848,2)+1)</f>
        <v/>
      </c>
      <c r="E1848">
        <f>IF($C1848="","",DATE(YEAR($C1848),MONTH($C1848),1))</f>
        <v/>
      </c>
      <c r="F1848">
        <f>IF($C1848="","",YEAR($C1848)&amp;"-Q"&amp;ROUNDUP(MONTH($C1848)/3,0))</f>
        <v/>
      </c>
      <c r="L1848">
        <f>IF($G1848&lt;&gt;"ALCOHOL","",IF($K1848="","",$H1848*IFERROR(VLOOKUP($K1848,Drink_Templates!$A:$G,7,FALSE),0)))</f>
        <v/>
      </c>
    </row>
    <row r="1849" ht="15" customHeight="1">
      <c r="C1849">
        <f>IF($B1849="","",INT($B1849))</f>
        <v/>
      </c>
      <c r="D1849">
        <f>IF($C1849="","",$C1849-WEEKDAY($C1849,2)+1)</f>
        <v/>
      </c>
      <c r="E1849">
        <f>IF($C1849="","",DATE(YEAR($C1849),MONTH($C1849),1))</f>
        <v/>
      </c>
      <c r="F1849">
        <f>IF($C1849="","",YEAR($C1849)&amp;"-Q"&amp;ROUNDUP(MONTH($C1849)/3,0))</f>
        <v/>
      </c>
      <c r="L1849">
        <f>IF($G1849&lt;&gt;"ALCOHOL","",IF($K1849="","",$H1849*IFERROR(VLOOKUP($K1849,Drink_Templates!$A:$G,7,FALSE),0)))</f>
        <v/>
      </c>
    </row>
    <row r="1850" ht="15" customHeight="1">
      <c r="C1850">
        <f>IF($B1850="","",INT($B1850))</f>
        <v/>
      </c>
      <c r="D1850">
        <f>IF($C1850="","",$C1850-WEEKDAY($C1850,2)+1)</f>
        <v/>
      </c>
      <c r="E1850">
        <f>IF($C1850="","",DATE(YEAR($C1850),MONTH($C1850),1))</f>
        <v/>
      </c>
      <c r="F1850">
        <f>IF($C1850="","",YEAR($C1850)&amp;"-Q"&amp;ROUNDUP(MONTH($C1850)/3,0))</f>
        <v/>
      </c>
      <c r="L1850">
        <f>IF($G1850&lt;&gt;"ALCOHOL","",IF($K1850="","",$H1850*IFERROR(VLOOKUP($K1850,Drink_Templates!$A:$G,7,FALSE),0)))</f>
        <v/>
      </c>
    </row>
    <row r="1851" ht="15" customHeight="1">
      <c r="C1851">
        <f>IF($B1851="","",INT($B1851))</f>
        <v/>
      </c>
      <c r="D1851">
        <f>IF($C1851="","",$C1851-WEEKDAY($C1851,2)+1)</f>
        <v/>
      </c>
      <c r="E1851">
        <f>IF($C1851="","",DATE(YEAR($C1851),MONTH($C1851),1))</f>
        <v/>
      </c>
      <c r="F1851">
        <f>IF($C1851="","",YEAR($C1851)&amp;"-Q"&amp;ROUNDUP(MONTH($C1851)/3,0))</f>
        <v/>
      </c>
      <c r="L1851">
        <f>IF($G1851&lt;&gt;"ALCOHOL","",IF($K1851="","",$H1851*IFERROR(VLOOKUP($K1851,Drink_Templates!$A:$G,7,FALSE),0)))</f>
        <v/>
      </c>
    </row>
    <row r="1852" ht="15" customHeight="1">
      <c r="C1852">
        <f>IF($B1852="","",INT($B1852))</f>
        <v/>
      </c>
      <c r="D1852">
        <f>IF($C1852="","",$C1852-WEEKDAY($C1852,2)+1)</f>
        <v/>
      </c>
      <c r="E1852">
        <f>IF($C1852="","",DATE(YEAR($C1852),MONTH($C1852),1))</f>
        <v/>
      </c>
      <c r="F1852">
        <f>IF($C1852="","",YEAR($C1852)&amp;"-Q"&amp;ROUNDUP(MONTH($C1852)/3,0))</f>
        <v/>
      </c>
      <c r="L1852">
        <f>IF($G1852&lt;&gt;"ALCOHOL","",IF($K1852="","",$H1852*IFERROR(VLOOKUP($K1852,Drink_Templates!$A:$G,7,FALSE),0)))</f>
        <v/>
      </c>
    </row>
    <row r="1853" ht="15" customHeight="1">
      <c r="C1853">
        <f>IF($B1853="","",INT($B1853))</f>
        <v/>
      </c>
      <c r="D1853">
        <f>IF($C1853="","",$C1853-WEEKDAY($C1853,2)+1)</f>
        <v/>
      </c>
      <c r="E1853">
        <f>IF($C1853="","",DATE(YEAR($C1853),MONTH($C1853),1))</f>
        <v/>
      </c>
      <c r="F1853">
        <f>IF($C1853="","",YEAR($C1853)&amp;"-Q"&amp;ROUNDUP(MONTH($C1853)/3,0))</f>
        <v/>
      </c>
      <c r="L1853">
        <f>IF($G1853&lt;&gt;"ALCOHOL","",IF($K1853="","",$H1853*IFERROR(VLOOKUP($K1853,Drink_Templates!$A:$G,7,FALSE),0)))</f>
        <v/>
      </c>
    </row>
    <row r="1854" ht="15" customHeight="1">
      <c r="C1854">
        <f>IF($B1854="","",INT($B1854))</f>
        <v/>
      </c>
      <c r="D1854">
        <f>IF($C1854="","",$C1854-WEEKDAY($C1854,2)+1)</f>
        <v/>
      </c>
      <c r="E1854">
        <f>IF($C1854="","",DATE(YEAR($C1854),MONTH($C1854),1))</f>
        <v/>
      </c>
      <c r="F1854">
        <f>IF($C1854="","",YEAR($C1854)&amp;"-Q"&amp;ROUNDUP(MONTH($C1854)/3,0))</f>
        <v/>
      </c>
      <c r="L1854">
        <f>IF($G1854&lt;&gt;"ALCOHOL","",IF($K1854="","",$H1854*IFERROR(VLOOKUP($K1854,Drink_Templates!$A:$G,7,FALSE),0)))</f>
        <v/>
      </c>
    </row>
    <row r="1855" ht="15" customHeight="1">
      <c r="C1855">
        <f>IF($B1855="","",INT($B1855))</f>
        <v/>
      </c>
      <c r="D1855">
        <f>IF($C1855="","",$C1855-WEEKDAY($C1855,2)+1)</f>
        <v/>
      </c>
      <c r="E1855">
        <f>IF($C1855="","",DATE(YEAR($C1855),MONTH($C1855),1))</f>
        <v/>
      </c>
      <c r="F1855">
        <f>IF($C1855="","",YEAR($C1855)&amp;"-Q"&amp;ROUNDUP(MONTH($C1855)/3,0))</f>
        <v/>
      </c>
      <c r="L1855">
        <f>IF($G1855&lt;&gt;"ALCOHOL","",IF($K1855="","",$H1855*IFERROR(VLOOKUP($K1855,Drink_Templates!$A:$G,7,FALSE),0)))</f>
        <v/>
      </c>
    </row>
    <row r="1856" ht="15" customHeight="1">
      <c r="C1856">
        <f>IF($B1856="","",INT($B1856))</f>
        <v/>
      </c>
      <c r="D1856">
        <f>IF($C1856="","",$C1856-WEEKDAY($C1856,2)+1)</f>
        <v/>
      </c>
      <c r="E1856">
        <f>IF($C1856="","",DATE(YEAR($C1856),MONTH($C1856),1))</f>
        <v/>
      </c>
      <c r="F1856">
        <f>IF($C1856="","",YEAR($C1856)&amp;"-Q"&amp;ROUNDUP(MONTH($C1856)/3,0))</f>
        <v/>
      </c>
      <c r="L1856">
        <f>IF($G1856&lt;&gt;"ALCOHOL","",IF($K1856="","",$H1856*IFERROR(VLOOKUP($K1856,Drink_Templates!$A:$G,7,FALSE),0)))</f>
        <v/>
      </c>
    </row>
    <row r="1857" ht="15" customHeight="1">
      <c r="C1857">
        <f>IF($B1857="","",INT($B1857))</f>
        <v/>
      </c>
      <c r="D1857">
        <f>IF($C1857="","",$C1857-WEEKDAY($C1857,2)+1)</f>
        <v/>
      </c>
      <c r="E1857">
        <f>IF($C1857="","",DATE(YEAR($C1857),MONTH($C1857),1))</f>
        <v/>
      </c>
      <c r="F1857">
        <f>IF($C1857="","",YEAR($C1857)&amp;"-Q"&amp;ROUNDUP(MONTH($C1857)/3,0))</f>
        <v/>
      </c>
      <c r="L1857">
        <f>IF($G1857&lt;&gt;"ALCOHOL","",IF($K1857="","",$H1857*IFERROR(VLOOKUP($K1857,Drink_Templates!$A:$G,7,FALSE),0)))</f>
        <v/>
      </c>
    </row>
    <row r="1858" ht="15" customHeight="1">
      <c r="C1858">
        <f>IF($B1858="","",INT($B1858))</f>
        <v/>
      </c>
      <c r="D1858">
        <f>IF($C1858="","",$C1858-WEEKDAY($C1858,2)+1)</f>
        <v/>
      </c>
      <c r="E1858">
        <f>IF($C1858="","",DATE(YEAR($C1858),MONTH($C1858),1))</f>
        <v/>
      </c>
      <c r="F1858">
        <f>IF($C1858="","",YEAR($C1858)&amp;"-Q"&amp;ROUNDUP(MONTH($C1858)/3,0))</f>
        <v/>
      </c>
      <c r="L1858">
        <f>IF($G1858&lt;&gt;"ALCOHOL","",IF($K1858="","",$H1858*IFERROR(VLOOKUP($K1858,Drink_Templates!$A:$G,7,FALSE),0)))</f>
        <v/>
      </c>
    </row>
    <row r="1859" ht="15" customHeight="1">
      <c r="C1859">
        <f>IF($B1859="","",INT($B1859))</f>
        <v/>
      </c>
      <c r="D1859">
        <f>IF($C1859="","",$C1859-WEEKDAY($C1859,2)+1)</f>
        <v/>
      </c>
      <c r="E1859">
        <f>IF($C1859="","",DATE(YEAR($C1859),MONTH($C1859),1))</f>
        <v/>
      </c>
      <c r="F1859">
        <f>IF($C1859="","",YEAR($C1859)&amp;"-Q"&amp;ROUNDUP(MONTH($C1859)/3,0))</f>
        <v/>
      </c>
      <c r="L1859">
        <f>IF($G1859&lt;&gt;"ALCOHOL","",IF($K1859="","",$H1859*IFERROR(VLOOKUP($K1859,Drink_Templates!$A:$G,7,FALSE),0)))</f>
        <v/>
      </c>
    </row>
    <row r="1860" ht="15" customHeight="1">
      <c r="C1860">
        <f>IF($B1860="","",INT($B1860))</f>
        <v/>
      </c>
      <c r="D1860">
        <f>IF($C1860="","",$C1860-WEEKDAY($C1860,2)+1)</f>
        <v/>
      </c>
      <c r="E1860">
        <f>IF($C1860="","",DATE(YEAR($C1860),MONTH($C1860),1))</f>
        <v/>
      </c>
      <c r="F1860">
        <f>IF($C1860="","",YEAR($C1860)&amp;"-Q"&amp;ROUNDUP(MONTH($C1860)/3,0))</f>
        <v/>
      </c>
      <c r="L1860">
        <f>IF($G1860&lt;&gt;"ALCOHOL","",IF($K1860="","",$H1860*IFERROR(VLOOKUP($K1860,Drink_Templates!$A:$G,7,FALSE),0)))</f>
        <v/>
      </c>
    </row>
    <row r="1861" ht="15" customHeight="1">
      <c r="C1861">
        <f>IF($B1861="","",INT($B1861))</f>
        <v/>
      </c>
      <c r="D1861">
        <f>IF($C1861="","",$C1861-WEEKDAY($C1861,2)+1)</f>
        <v/>
      </c>
      <c r="E1861">
        <f>IF($C1861="","",DATE(YEAR($C1861),MONTH($C1861),1))</f>
        <v/>
      </c>
      <c r="F1861">
        <f>IF($C1861="","",YEAR($C1861)&amp;"-Q"&amp;ROUNDUP(MONTH($C1861)/3,0))</f>
        <v/>
      </c>
      <c r="L1861">
        <f>IF($G1861&lt;&gt;"ALCOHOL","",IF($K1861="","",$H1861*IFERROR(VLOOKUP($K1861,Drink_Templates!$A:$G,7,FALSE),0)))</f>
        <v/>
      </c>
    </row>
    <row r="1862" ht="15" customHeight="1">
      <c r="C1862">
        <f>IF($B1862="","",INT($B1862))</f>
        <v/>
      </c>
      <c r="D1862">
        <f>IF($C1862="","",$C1862-WEEKDAY($C1862,2)+1)</f>
        <v/>
      </c>
      <c r="E1862">
        <f>IF($C1862="","",DATE(YEAR($C1862),MONTH($C1862),1))</f>
        <v/>
      </c>
      <c r="F1862">
        <f>IF($C1862="","",YEAR($C1862)&amp;"-Q"&amp;ROUNDUP(MONTH($C1862)/3,0))</f>
        <v/>
      </c>
      <c r="L1862">
        <f>IF($G1862&lt;&gt;"ALCOHOL","",IF($K1862="","",$H1862*IFERROR(VLOOKUP($K1862,Drink_Templates!$A:$G,7,FALSE),0)))</f>
        <v/>
      </c>
    </row>
    <row r="1863" ht="15" customHeight="1">
      <c r="C1863">
        <f>IF($B1863="","",INT($B1863))</f>
        <v/>
      </c>
      <c r="D1863">
        <f>IF($C1863="","",$C1863-WEEKDAY($C1863,2)+1)</f>
        <v/>
      </c>
      <c r="E1863">
        <f>IF($C1863="","",DATE(YEAR($C1863),MONTH($C1863),1))</f>
        <v/>
      </c>
      <c r="F1863">
        <f>IF($C1863="","",YEAR($C1863)&amp;"-Q"&amp;ROUNDUP(MONTH($C1863)/3,0))</f>
        <v/>
      </c>
      <c r="L1863">
        <f>IF($G1863&lt;&gt;"ALCOHOL","",IF($K1863="","",$H1863*IFERROR(VLOOKUP($K1863,Drink_Templates!$A:$G,7,FALSE),0)))</f>
        <v/>
      </c>
    </row>
    <row r="1864" ht="15" customHeight="1">
      <c r="C1864">
        <f>IF($B1864="","",INT($B1864))</f>
        <v/>
      </c>
      <c r="D1864">
        <f>IF($C1864="","",$C1864-WEEKDAY($C1864,2)+1)</f>
        <v/>
      </c>
      <c r="E1864">
        <f>IF($C1864="","",DATE(YEAR($C1864),MONTH($C1864),1))</f>
        <v/>
      </c>
      <c r="F1864">
        <f>IF($C1864="","",YEAR($C1864)&amp;"-Q"&amp;ROUNDUP(MONTH($C1864)/3,0))</f>
        <v/>
      </c>
      <c r="L1864">
        <f>IF($G1864&lt;&gt;"ALCOHOL","",IF($K1864="","",$H1864*IFERROR(VLOOKUP($K1864,Drink_Templates!$A:$G,7,FALSE),0)))</f>
        <v/>
      </c>
    </row>
    <row r="1865" ht="15" customHeight="1">
      <c r="C1865">
        <f>IF($B1865="","",INT($B1865))</f>
        <v/>
      </c>
      <c r="D1865">
        <f>IF($C1865="","",$C1865-WEEKDAY($C1865,2)+1)</f>
        <v/>
      </c>
      <c r="E1865">
        <f>IF($C1865="","",DATE(YEAR($C1865),MONTH($C1865),1))</f>
        <v/>
      </c>
      <c r="F1865">
        <f>IF($C1865="","",YEAR($C1865)&amp;"-Q"&amp;ROUNDUP(MONTH($C1865)/3,0))</f>
        <v/>
      </c>
      <c r="L1865">
        <f>IF($G1865&lt;&gt;"ALCOHOL","",IF($K1865="","",$H1865*IFERROR(VLOOKUP($K1865,Drink_Templates!$A:$G,7,FALSE),0)))</f>
        <v/>
      </c>
    </row>
    <row r="1866" ht="15" customHeight="1">
      <c r="C1866">
        <f>IF($B1866="","",INT($B1866))</f>
        <v/>
      </c>
      <c r="D1866">
        <f>IF($C1866="","",$C1866-WEEKDAY($C1866,2)+1)</f>
        <v/>
      </c>
      <c r="E1866">
        <f>IF($C1866="","",DATE(YEAR($C1866),MONTH($C1866),1))</f>
        <v/>
      </c>
      <c r="F1866">
        <f>IF($C1866="","",YEAR($C1866)&amp;"-Q"&amp;ROUNDUP(MONTH($C1866)/3,0))</f>
        <v/>
      </c>
      <c r="L1866">
        <f>IF($G1866&lt;&gt;"ALCOHOL","",IF($K1866="","",$H1866*IFERROR(VLOOKUP($K1866,Drink_Templates!$A:$G,7,FALSE),0)))</f>
        <v/>
      </c>
    </row>
    <row r="1867" ht="15" customHeight="1">
      <c r="C1867">
        <f>IF($B1867="","",INT($B1867))</f>
        <v/>
      </c>
      <c r="D1867">
        <f>IF($C1867="","",$C1867-WEEKDAY($C1867,2)+1)</f>
        <v/>
      </c>
      <c r="E1867">
        <f>IF($C1867="","",DATE(YEAR($C1867),MONTH($C1867),1))</f>
        <v/>
      </c>
      <c r="F1867">
        <f>IF($C1867="","",YEAR($C1867)&amp;"-Q"&amp;ROUNDUP(MONTH($C1867)/3,0))</f>
        <v/>
      </c>
      <c r="L1867">
        <f>IF($G1867&lt;&gt;"ALCOHOL","",IF($K1867="","",$H1867*IFERROR(VLOOKUP($K1867,Drink_Templates!$A:$G,7,FALSE),0)))</f>
        <v/>
      </c>
    </row>
    <row r="1868" ht="15" customHeight="1">
      <c r="C1868">
        <f>IF($B1868="","",INT($B1868))</f>
        <v/>
      </c>
      <c r="D1868">
        <f>IF($C1868="","",$C1868-WEEKDAY($C1868,2)+1)</f>
        <v/>
      </c>
      <c r="E1868">
        <f>IF($C1868="","",DATE(YEAR($C1868),MONTH($C1868),1))</f>
        <v/>
      </c>
      <c r="F1868">
        <f>IF($C1868="","",YEAR($C1868)&amp;"-Q"&amp;ROUNDUP(MONTH($C1868)/3,0))</f>
        <v/>
      </c>
      <c r="L1868">
        <f>IF($G1868&lt;&gt;"ALCOHOL","",IF($K1868="","",$H1868*IFERROR(VLOOKUP($K1868,Drink_Templates!$A:$G,7,FALSE),0)))</f>
        <v/>
      </c>
    </row>
    <row r="1869" ht="15" customHeight="1">
      <c r="C1869">
        <f>IF($B1869="","",INT($B1869))</f>
        <v/>
      </c>
      <c r="D1869">
        <f>IF($C1869="","",$C1869-WEEKDAY($C1869,2)+1)</f>
        <v/>
      </c>
      <c r="E1869">
        <f>IF($C1869="","",DATE(YEAR($C1869),MONTH($C1869),1))</f>
        <v/>
      </c>
      <c r="F1869">
        <f>IF($C1869="","",YEAR($C1869)&amp;"-Q"&amp;ROUNDUP(MONTH($C1869)/3,0))</f>
        <v/>
      </c>
      <c r="L1869">
        <f>IF($G1869&lt;&gt;"ALCOHOL","",IF($K1869="","",$H1869*IFERROR(VLOOKUP($K1869,Drink_Templates!$A:$G,7,FALSE),0)))</f>
        <v/>
      </c>
    </row>
    <row r="1870" ht="15" customHeight="1">
      <c r="C1870">
        <f>IF($B1870="","",INT($B1870))</f>
        <v/>
      </c>
      <c r="D1870">
        <f>IF($C1870="","",$C1870-WEEKDAY($C1870,2)+1)</f>
        <v/>
      </c>
      <c r="E1870">
        <f>IF($C1870="","",DATE(YEAR($C1870),MONTH($C1870),1))</f>
        <v/>
      </c>
      <c r="F1870">
        <f>IF($C1870="","",YEAR($C1870)&amp;"-Q"&amp;ROUNDUP(MONTH($C1870)/3,0))</f>
        <v/>
      </c>
      <c r="L1870">
        <f>IF($G1870&lt;&gt;"ALCOHOL","",IF($K1870="","",$H1870*IFERROR(VLOOKUP($K1870,Drink_Templates!$A:$G,7,FALSE),0)))</f>
        <v/>
      </c>
    </row>
    <row r="1871" ht="15" customHeight="1">
      <c r="C1871">
        <f>IF($B1871="","",INT($B1871))</f>
        <v/>
      </c>
      <c r="D1871">
        <f>IF($C1871="","",$C1871-WEEKDAY($C1871,2)+1)</f>
        <v/>
      </c>
      <c r="E1871">
        <f>IF($C1871="","",DATE(YEAR($C1871),MONTH($C1871),1))</f>
        <v/>
      </c>
      <c r="F1871">
        <f>IF($C1871="","",YEAR($C1871)&amp;"-Q"&amp;ROUNDUP(MONTH($C1871)/3,0))</f>
        <v/>
      </c>
      <c r="L1871">
        <f>IF($G1871&lt;&gt;"ALCOHOL","",IF($K1871="","",$H1871*IFERROR(VLOOKUP($K1871,Drink_Templates!$A:$G,7,FALSE),0)))</f>
        <v/>
      </c>
    </row>
    <row r="1872" ht="15" customHeight="1">
      <c r="C1872">
        <f>IF($B1872="","",INT($B1872))</f>
        <v/>
      </c>
      <c r="D1872">
        <f>IF($C1872="","",$C1872-WEEKDAY($C1872,2)+1)</f>
        <v/>
      </c>
      <c r="E1872">
        <f>IF($C1872="","",DATE(YEAR($C1872),MONTH($C1872),1))</f>
        <v/>
      </c>
      <c r="F1872">
        <f>IF($C1872="","",YEAR($C1872)&amp;"-Q"&amp;ROUNDUP(MONTH($C1872)/3,0))</f>
        <v/>
      </c>
      <c r="L1872">
        <f>IF($G1872&lt;&gt;"ALCOHOL","",IF($K1872="","",$H1872*IFERROR(VLOOKUP($K1872,Drink_Templates!$A:$G,7,FALSE),0)))</f>
        <v/>
      </c>
    </row>
    <row r="1873" ht="15" customHeight="1">
      <c r="C1873">
        <f>IF($B1873="","",INT($B1873))</f>
        <v/>
      </c>
      <c r="D1873">
        <f>IF($C1873="","",$C1873-WEEKDAY($C1873,2)+1)</f>
        <v/>
      </c>
      <c r="E1873">
        <f>IF($C1873="","",DATE(YEAR($C1873),MONTH($C1873),1))</f>
        <v/>
      </c>
      <c r="F1873">
        <f>IF($C1873="","",YEAR($C1873)&amp;"-Q"&amp;ROUNDUP(MONTH($C1873)/3,0))</f>
        <v/>
      </c>
      <c r="L1873">
        <f>IF($G1873&lt;&gt;"ALCOHOL","",IF($K1873="","",$H1873*IFERROR(VLOOKUP($K1873,Drink_Templates!$A:$G,7,FALSE),0)))</f>
        <v/>
      </c>
    </row>
    <row r="1874" ht="15" customHeight="1">
      <c r="C1874">
        <f>IF($B1874="","",INT($B1874))</f>
        <v/>
      </c>
      <c r="D1874">
        <f>IF($C1874="","",$C1874-WEEKDAY($C1874,2)+1)</f>
        <v/>
      </c>
      <c r="E1874">
        <f>IF($C1874="","",DATE(YEAR($C1874),MONTH($C1874),1))</f>
        <v/>
      </c>
      <c r="F1874">
        <f>IF($C1874="","",YEAR($C1874)&amp;"-Q"&amp;ROUNDUP(MONTH($C1874)/3,0))</f>
        <v/>
      </c>
      <c r="L1874">
        <f>IF($G1874&lt;&gt;"ALCOHOL","",IF($K1874="","",$H1874*IFERROR(VLOOKUP($K1874,Drink_Templates!$A:$G,7,FALSE),0)))</f>
        <v/>
      </c>
    </row>
    <row r="1875" ht="15" customHeight="1">
      <c r="C1875">
        <f>IF($B1875="","",INT($B1875))</f>
        <v/>
      </c>
      <c r="D1875">
        <f>IF($C1875="","",$C1875-WEEKDAY($C1875,2)+1)</f>
        <v/>
      </c>
      <c r="E1875">
        <f>IF($C1875="","",DATE(YEAR($C1875),MONTH($C1875),1))</f>
        <v/>
      </c>
      <c r="F1875">
        <f>IF($C1875="","",YEAR($C1875)&amp;"-Q"&amp;ROUNDUP(MONTH($C1875)/3,0))</f>
        <v/>
      </c>
      <c r="L1875">
        <f>IF($G1875&lt;&gt;"ALCOHOL","",IF($K1875="","",$H1875*IFERROR(VLOOKUP($K1875,Drink_Templates!$A:$G,7,FALSE),0)))</f>
        <v/>
      </c>
    </row>
    <row r="1876" ht="15" customHeight="1">
      <c r="C1876">
        <f>IF($B1876="","",INT($B1876))</f>
        <v/>
      </c>
      <c r="D1876">
        <f>IF($C1876="","",$C1876-WEEKDAY($C1876,2)+1)</f>
        <v/>
      </c>
      <c r="E1876">
        <f>IF($C1876="","",DATE(YEAR($C1876),MONTH($C1876),1))</f>
        <v/>
      </c>
      <c r="F1876">
        <f>IF($C1876="","",YEAR($C1876)&amp;"-Q"&amp;ROUNDUP(MONTH($C1876)/3,0))</f>
        <v/>
      </c>
      <c r="L1876">
        <f>IF($G1876&lt;&gt;"ALCOHOL","",IF($K1876="","",$H1876*IFERROR(VLOOKUP($K1876,Drink_Templates!$A:$G,7,FALSE),0)))</f>
        <v/>
      </c>
    </row>
    <row r="1877" ht="15" customHeight="1">
      <c r="C1877">
        <f>IF($B1877="","",INT($B1877))</f>
        <v/>
      </c>
      <c r="D1877">
        <f>IF($C1877="","",$C1877-WEEKDAY($C1877,2)+1)</f>
        <v/>
      </c>
      <c r="E1877">
        <f>IF($C1877="","",DATE(YEAR($C1877),MONTH($C1877),1))</f>
        <v/>
      </c>
      <c r="F1877">
        <f>IF($C1877="","",YEAR($C1877)&amp;"-Q"&amp;ROUNDUP(MONTH($C1877)/3,0))</f>
        <v/>
      </c>
      <c r="L1877">
        <f>IF($G1877&lt;&gt;"ALCOHOL","",IF($K1877="","",$H1877*IFERROR(VLOOKUP($K1877,Drink_Templates!$A:$G,7,FALSE),0)))</f>
        <v/>
      </c>
    </row>
    <row r="1878" ht="15" customHeight="1">
      <c r="C1878">
        <f>IF($B1878="","",INT($B1878))</f>
        <v/>
      </c>
      <c r="D1878">
        <f>IF($C1878="","",$C1878-WEEKDAY($C1878,2)+1)</f>
        <v/>
      </c>
      <c r="E1878">
        <f>IF($C1878="","",DATE(YEAR($C1878),MONTH($C1878),1))</f>
        <v/>
      </c>
      <c r="F1878">
        <f>IF($C1878="","",YEAR($C1878)&amp;"-Q"&amp;ROUNDUP(MONTH($C1878)/3,0))</f>
        <v/>
      </c>
      <c r="L1878">
        <f>IF($G1878&lt;&gt;"ALCOHOL","",IF($K1878="","",$H1878*IFERROR(VLOOKUP($K1878,Drink_Templates!$A:$G,7,FALSE),0)))</f>
        <v/>
      </c>
    </row>
    <row r="1879" ht="15" customHeight="1">
      <c r="C1879">
        <f>IF($B1879="","",INT($B1879))</f>
        <v/>
      </c>
      <c r="D1879">
        <f>IF($C1879="","",$C1879-WEEKDAY($C1879,2)+1)</f>
        <v/>
      </c>
      <c r="E1879">
        <f>IF($C1879="","",DATE(YEAR($C1879),MONTH($C1879),1))</f>
        <v/>
      </c>
      <c r="F1879">
        <f>IF($C1879="","",YEAR($C1879)&amp;"-Q"&amp;ROUNDUP(MONTH($C1879)/3,0))</f>
        <v/>
      </c>
      <c r="L1879">
        <f>IF($G1879&lt;&gt;"ALCOHOL","",IF($K1879="","",$H1879*IFERROR(VLOOKUP($K1879,Drink_Templates!$A:$G,7,FALSE),0)))</f>
        <v/>
      </c>
    </row>
    <row r="1880" ht="15" customHeight="1">
      <c r="C1880">
        <f>IF($B1880="","",INT($B1880))</f>
        <v/>
      </c>
      <c r="D1880">
        <f>IF($C1880="","",$C1880-WEEKDAY($C1880,2)+1)</f>
        <v/>
      </c>
      <c r="E1880">
        <f>IF($C1880="","",DATE(YEAR($C1880),MONTH($C1880),1))</f>
        <v/>
      </c>
      <c r="F1880">
        <f>IF($C1880="","",YEAR($C1880)&amp;"-Q"&amp;ROUNDUP(MONTH($C1880)/3,0))</f>
        <v/>
      </c>
      <c r="L1880">
        <f>IF($G1880&lt;&gt;"ALCOHOL","",IF($K1880="","",$H1880*IFERROR(VLOOKUP($K1880,Drink_Templates!$A:$G,7,FALSE),0)))</f>
        <v/>
      </c>
    </row>
    <row r="1881" ht="15" customHeight="1">
      <c r="C1881">
        <f>IF($B1881="","",INT($B1881))</f>
        <v/>
      </c>
      <c r="D1881">
        <f>IF($C1881="","",$C1881-WEEKDAY($C1881,2)+1)</f>
        <v/>
      </c>
      <c r="E1881">
        <f>IF($C1881="","",DATE(YEAR($C1881),MONTH($C1881),1))</f>
        <v/>
      </c>
      <c r="F1881">
        <f>IF($C1881="","",YEAR($C1881)&amp;"-Q"&amp;ROUNDUP(MONTH($C1881)/3,0))</f>
        <v/>
      </c>
      <c r="L1881">
        <f>IF($G1881&lt;&gt;"ALCOHOL","",IF($K1881="","",$H1881*IFERROR(VLOOKUP($K1881,Drink_Templates!$A:$G,7,FALSE),0)))</f>
        <v/>
      </c>
    </row>
    <row r="1882" ht="15" customHeight="1">
      <c r="C1882">
        <f>IF($B1882="","",INT($B1882))</f>
        <v/>
      </c>
      <c r="D1882">
        <f>IF($C1882="","",$C1882-WEEKDAY($C1882,2)+1)</f>
        <v/>
      </c>
      <c r="E1882">
        <f>IF($C1882="","",DATE(YEAR($C1882),MONTH($C1882),1))</f>
        <v/>
      </c>
      <c r="F1882">
        <f>IF($C1882="","",YEAR($C1882)&amp;"-Q"&amp;ROUNDUP(MONTH($C1882)/3,0))</f>
        <v/>
      </c>
      <c r="L1882">
        <f>IF($G1882&lt;&gt;"ALCOHOL","",IF($K1882="","",$H1882*IFERROR(VLOOKUP($K1882,Drink_Templates!$A:$G,7,FALSE),0)))</f>
        <v/>
      </c>
    </row>
    <row r="1883" ht="15" customHeight="1">
      <c r="C1883">
        <f>IF($B1883="","",INT($B1883))</f>
        <v/>
      </c>
      <c r="D1883">
        <f>IF($C1883="","",$C1883-WEEKDAY($C1883,2)+1)</f>
        <v/>
      </c>
      <c r="E1883">
        <f>IF($C1883="","",DATE(YEAR($C1883),MONTH($C1883),1))</f>
        <v/>
      </c>
      <c r="F1883">
        <f>IF($C1883="","",YEAR($C1883)&amp;"-Q"&amp;ROUNDUP(MONTH($C1883)/3,0))</f>
        <v/>
      </c>
      <c r="L1883">
        <f>IF($G1883&lt;&gt;"ALCOHOL","",IF($K1883="","",$H1883*IFERROR(VLOOKUP($K1883,Drink_Templates!$A:$G,7,FALSE),0)))</f>
        <v/>
      </c>
    </row>
    <row r="1884" ht="15" customHeight="1">
      <c r="C1884">
        <f>IF($B1884="","",INT($B1884))</f>
        <v/>
      </c>
      <c r="D1884">
        <f>IF($C1884="","",$C1884-WEEKDAY($C1884,2)+1)</f>
        <v/>
      </c>
      <c r="E1884">
        <f>IF($C1884="","",DATE(YEAR($C1884),MONTH($C1884),1))</f>
        <v/>
      </c>
      <c r="F1884">
        <f>IF($C1884="","",YEAR($C1884)&amp;"-Q"&amp;ROUNDUP(MONTH($C1884)/3,0))</f>
        <v/>
      </c>
      <c r="L1884">
        <f>IF($G1884&lt;&gt;"ALCOHOL","",IF($K1884="","",$H1884*IFERROR(VLOOKUP($K1884,Drink_Templates!$A:$G,7,FALSE),0)))</f>
        <v/>
      </c>
    </row>
    <row r="1885" ht="15" customHeight="1">
      <c r="C1885">
        <f>IF($B1885="","",INT($B1885))</f>
        <v/>
      </c>
      <c r="D1885">
        <f>IF($C1885="","",$C1885-WEEKDAY($C1885,2)+1)</f>
        <v/>
      </c>
      <c r="E1885">
        <f>IF($C1885="","",DATE(YEAR($C1885),MONTH($C1885),1))</f>
        <v/>
      </c>
      <c r="F1885">
        <f>IF($C1885="","",YEAR($C1885)&amp;"-Q"&amp;ROUNDUP(MONTH($C1885)/3,0))</f>
        <v/>
      </c>
      <c r="L1885">
        <f>IF($G1885&lt;&gt;"ALCOHOL","",IF($K1885="","",$H1885*IFERROR(VLOOKUP($K1885,Drink_Templates!$A:$G,7,FALSE),0)))</f>
        <v/>
      </c>
    </row>
    <row r="1886" ht="15" customHeight="1">
      <c r="C1886">
        <f>IF($B1886="","",INT($B1886))</f>
        <v/>
      </c>
      <c r="D1886">
        <f>IF($C1886="","",$C1886-WEEKDAY($C1886,2)+1)</f>
        <v/>
      </c>
      <c r="E1886">
        <f>IF($C1886="","",DATE(YEAR($C1886),MONTH($C1886),1))</f>
        <v/>
      </c>
      <c r="F1886">
        <f>IF($C1886="","",YEAR($C1886)&amp;"-Q"&amp;ROUNDUP(MONTH($C1886)/3,0))</f>
        <v/>
      </c>
      <c r="L1886">
        <f>IF($G1886&lt;&gt;"ALCOHOL","",IF($K1886="","",$H1886*IFERROR(VLOOKUP($K1886,Drink_Templates!$A:$G,7,FALSE),0)))</f>
        <v/>
      </c>
    </row>
    <row r="1887" ht="15" customHeight="1">
      <c r="C1887">
        <f>IF($B1887="","",INT($B1887))</f>
        <v/>
      </c>
      <c r="D1887">
        <f>IF($C1887="","",$C1887-WEEKDAY($C1887,2)+1)</f>
        <v/>
      </c>
      <c r="E1887">
        <f>IF($C1887="","",DATE(YEAR($C1887),MONTH($C1887),1))</f>
        <v/>
      </c>
      <c r="F1887">
        <f>IF($C1887="","",YEAR($C1887)&amp;"-Q"&amp;ROUNDUP(MONTH($C1887)/3,0))</f>
        <v/>
      </c>
      <c r="L1887">
        <f>IF($G1887&lt;&gt;"ALCOHOL","",IF($K1887="","",$H1887*IFERROR(VLOOKUP($K1887,Drink_Templates!$A:$G,7,FALSE),0)))</f>
        <v/>
      </c>
    </row>
    <row r="1888" ht="15" customHeight="1">
      <c r="C1888">
        <f>IF($B1888="","",INT($B1888))</f>
        <v/>
      </c>
      <c r="D1888">
        <f>IF($C1888="","",$C1888-WEEKDAY($C1888,2)+1)</f>
        <v/>
      </c>
      <c r="E1888">
        <f>IF($C1888="","",DATE(YEAR($C1888),MONTH($C1888),1))</f>
        <v/>
      </c>
      <c r="F1888">
        <f>IF($C1888="","",YEAR($C1888)&amp;"-Q"&amp;ROUNDUP(MONTH($C1888)/3,0))</f>
        <v/>
      </c>
      <c r="L1888">
        <f>IF($G1888&lt;&gt;"ALCOHOL","",IF($K1888="","",$H1888*IFERROR(VLOOKUP($K1888,Drink_Templates!$A:$G,7,FALSE),0)))</f>
        <v/>
      </c>
    </row>
    <row r="1889" ht="15" customHeight="1">
      <c r="C1889">
        <f>IF($B1889="","",INT($B1889))</f>
        <v/>
      </c>
      <c r="D1889">
        <f>IF($C1889="","",$C1889-WEEKDAY($C1889,2)+1)</f>
        <v/>
      </c>
      <c r="E1889">
        <f>IF($C1889="","",DATE(YEAR($C1889),MONTH($C1889),1))</f>
        <v/>
      </c>
      <c r="F1889">
        <f>IF($C1889="","",YEAR($C1889)&amp;"-Q"&amp;ROUNDUP(MONTH($C1889)/3,0))</f>
        <v/>
      </c>
      <c r="L1889">
        <f>IF($G1889&lt;&gt;"ALCOHOL","",IF($K1889="","",$H1889*IFERROR(VLOOKUP($K1889,Drink_Templates!$A:$G,7,FALSE),0)))</f>
        <v/>
      </c>
    </row>
    <row r="1890" ht="15" customHeight="1">
      <c r="C1890">
        <f>IF($B1890="","",INT($B1890))</f>
        <v/>
      </c>
      <c r="D1890">
        <f>IF($C1890="","",$C1890-WEEKDAY($C1890,2)+1)</f>
        <v/>
      </c>
      <c r="E1890">
        <f>IF($C1890="","",DATE(YEAR($C1890),MONTH($C1890),1))</f>
        <v/>
      </c>
      <c r="F1890">
        <f>IF($C1890="","",YEAR($C1890)&amp;"-Q"&amp;ROUNDUP(MONTH($C1890)/3,0))</f>
        <v/>
      </c>
      <c r="L1890">
        <f>IF($G1890&lt;&gt;"ALCOHOL","",IF($K1890="","",$H1890*IFERROR(VLOOKUP($K1890,Drink_Templates!$A:$G,7,FALSE),0)))</f>
        <v/>
      </c>
    </row>
    <row r="1891" ht="15" customHeight="1">
      <c r="C1891">
        <f>IF($B1891="","",INT($B1891))</f>
        <v/>
      </c>
      <c r="D1891">
        <f>IF($C1891="","",$C1891-WEEKDAY($C1891,2)+1)</f>
        <v/>
      </c>
      <c r="E1891">
        <f>IF($C1891="","",DATE(YEAR($C1891),MONTH($C1891),1))</f>
        <v/>
      </c>
      <c r="F1891">
        <f>IF($C1891="","",YEAR($C1891)&amp;"-Q"&amp;ROUNDUP(MONTH($C1891)/3,0))</f>
        <v/>
      </c>
      <c r="L1891">
        <f>IF($G1891&lt;&gt;"ALCOHOL","",IF($K1891="","",$H1891*IFERROR(VLOOKUP($K1891,Drink_Templates!$A:$G,7,FALSE),0)))</f>
        <v/>
      </c>
    </row>
    <row r="1892" ht="15" customHeight="1">
      <c r="C1892">
        <f>IF($B1892="","",INT($B1892))</f>
        <v/>
      </c>
      <c r="D1892">
        <f>IF($C1892="","",$C1892-WEEKDAY($C1892,2)+1)</f>
        <v/>
      </c>
      <c r="E1892">
        <f>IF($C1892="","",DATE(YEAR($C1892),MONTH($C1892),1))</f>
        <v/>
      </c>
      <c r="F1892">
        <f>IF($C1892="","",YEAR($C1892)&amp;"-Q"&amp;ROUNDUP(MONTH($C1892)/3,0))</f>
        <v/>
      </c>
      <c r="L1892">
        <f>IF($G1892&lt;&gt;"ALCOHOL","",IF($K1892="","",$H1892*IFERROR(VLOOKUP($K1892,Drink_Templates!$A:$G,7,FALSE),0)))</f>
        <v/>
      </c>
    </row>
    <row r="1893" ht="15" customHeight="1">
      <c r="C1893">
        <f>IF($B1893="","",INT($B1893))</f>
        <v/>
      </c>
      <c r="D1893">
        <f>IF($C1893="","",$C1893-WEEKDAY($C1893,2)+1)</f>
        <v/>
      </c>
      <c r="E1893">
        <f>IF($C1893="","",DATE(YEAR($C1893),MONTH($C1893),1))</f>
        <v/>
      </c>
      <c r="F1893">
        <f>IF($C1893="","",YEAR($C1893)&amp;"-Q"&amp;ROUNDUP(MONTH($C1893)/3,0))</f>
        <v/>
      </c>
      <c r="L1893">
        <f>IF($G1893&lt;&gt;"ALCOHOL","",IF($K1893="","",$H1893*IFERROR(VLOOKUP($K1893,Drink_Templates!$A:$G,7,FALSE),0)))</f>
        <v/>
      </c>
    </row>
    <row r="1894" ht="15" customHeight="1">
      <c r="C1894">
        <f>IF($B1894="","",INT($B1894))</f>
        <v/>
      </c>
      <c r="D1894">
        <f>IF($C1894="","",$C1894-WEEKDAY($C1894,2)+1)</f>
        <v/>
      </c>
      <c r="E1894">
        <f>IF($C1894="","",DATE(YEAR($C1894),MONTH($C1894),1))</f>
        <v/>
      </c>
      <c r="F1894">
        <f>IF($C1894="","",YEAR($C1894)&amp;"-Q"&amp;ROUNDUP(MONTH($C1894)/3,0))</f>
        <v/>
      </c>
      <c r="L1894">
        <f>IF($G1894&lt;&gt;"ALCOHOL","",IF($K1894="","",$H1894*IFERROR(VLOOKUP($K1894,Drink_Templates!$A:$G,7,FALSE),0)))</f>
        <v/>
      </c>
    </row>
    <row r="1895" ht="15" customHeight="1">
      <c r="C1895">
        <f>IF($B1895="","",INT($B1895))</f>
        <v/>
      </c>
      <c r="D1895">
        <f>IF($C1895="","",$C1895-WEEKDAY($C1895,2)+1)</f>
        <v/>
      </c>
      <c r="E1895">
        <f>IF($C1895="","",DATE(YEAR($C1895),MONTH($C1895),1))</f>
        <v/>
      </c>
      <c r="F1895">
        <f>IF($C1895="","",YEAR($C1895)&amp;"-Q"&amp;ROUNDUP(MONTH($C1895)/3,0))</f>
        <v/>
      </c>
      <c r="L1895">
        <f>IF($G1895&lt;&gt;"ALCOHOL","",IF($K1895="","",$H1895*IFERROR(VLOOKUP($K1895,Drink_Templates!$A:$G,7,FALSE),0)))</f>
        <v/>
      </c>
    </row>
    <row r="1896" ht="15" customHeight="1">
      <c r="C1896">
        <f>IF($B1896="","",INT($B1896))</f>
        <v/>
      </c>
      <c r="D1896">
        <f>IF($C1896="","",$C1896-WEEKDAY($C1896,2)+1)</f>
        <v/>
      </c>
      <c r="E1896">
        <f>IF($C1896="","",DATE(YEAR($C1896),MONTH($C1896),1))</f>
        <v/>
      </c>
      <c r="F1896">
        <f>IF($C1896="","",YEAR($C1896)&amp;"-Q"&amp;ROUNDUP(MONTH($C1896)/3,0))</f>
        <v/>
      </c>
      <c r="L1896">
        <f>IF($G1896&lt;&gt;"ALCOHOL","",IF($K1896="","",$H1896*IFERROR(VLOOKUP($K1896,Drink_Templates!$A:$G,7,FALSE),0)))</f>
        <v/>
      </c>
    </row>
    <row r="1897" ht="15" customHeight="1">
      <c r="C1897">
        <f>IF($B1897="","",INT($B1897))</f>
        <v/>
      </c>
      <c r="D1897">
        <f>IF($C1897="","",$C1897-WEEKDAY($C1897,2)+1)</f>
        <v/>
      </c>
      <c r="E1897">
        <f>IF($C1897="","",DATE(YEAR($C1897),MONTH($C1897),1))</f>
        <v/>
      </c>
      <c r="F1897">
        <f>IF($C1897="","",YEAR($C1897)&amp;"-Q"&amp;ROUNDUP(MONTH($C1897)/3,0))</f>
        <v/>
      </c>
      <c r="L1897">
        <f>IF($G1897&lt;&gt;"ALCOHOL","",IF($K1897="","",$H1897*IFERROR(VLOOKUP($K1897,Drink_Templates!$A:$G,7,FALSE),0)))</f>
        <v/>
      </c>
    </row>
    <row r="1898" ht="15" customHeight="1">
      <c r="C1898">
        <f>IF($B1898="","",INT($B1898))</f>
        <v/>
      </c>
      <c r="D1898">
        <f>IF($C1898="","",$C1898-WEEKDAY($C1898,2)+1)</f>
        <v/>
      </c>
      <c r="E1898">
        <f>IF($C1898="","",DATE(YEAR($C1898),MONTH($C1898),1))</f>
        <v/>
      </c>
      <c r="F1898">
        <f>IF($C1898="","",YEAR($C1898)&amp;"-Q"&amp;ROUNDUP(MONTH($C1898)/3,0))</f>
        <v/>
      </c>
      <c r="L1898">
        <f>IF($G1898&lt;&gt;"ALCOHOL","",IF($K1898="","",$H1898*IFERROR(VLOOKUP($K1898,Drink_Templates!$A:$G,7,FALSE),0)))</f>
        <v/>
      </c>
    </row>
    <row r="1899" ht="15" customHeight="1">
      <c r="C1899">
        <f>IF($B1899="","",INT($B1899))</f>
        <v/>
      </c>
      <c r="D1899">
        <f>IF($C1899="","",$C1899-WEEKDAY($C1899,2)+1)</f>
        <v/>
      </c>
      <c r="E1899">
        <f>IF($C1899="","",DATE(YEAR($C1899),MONTH($C1899),1))</f>
        <v/>
      </c>
      <c r="F1899">
        <f>IF($C1899="","",YEAR($C1899)&amp;"-Q"&amp;ROUNDUP(MONTH($C1899)/3,0))</f>
        <v/>
      </c>
      <c r="L1899">
        <f>IF($G1899&lt;&gt;"ALCOHOL","",IF($K1899="","",$H1899*IFERROR(VLOOKUP($K1899,Drink_Templates!$A:$G,7,FALSE),0)))</f>
        <v/>
      </c>
    </row>
    <row r="1900" ht="15" customHeight="1">
      <c r="C1900">
        <f>IF($B1900="","",INT($B1900))</f>
        <v/>
      </c>
      <c r="D1900">
        <f>IF($C1900="","",$C1900-WEEKDAY($C1900,2)+1)</f>
        <v/>
      </c>
      <c r="E1900">
        <f>IF($C1900="","",DATE(YEAR($C1900),MONTH($C1900),1))</f>
        <v/>
      </c>
      <c r="F1900">
        <f>IF($C1900="","",YEAR($C1900)&amp;"-Q"&amp;ROUNDUP(MONTH($C1900)/3,0))</f>
        <v/>
      </c>
      <c r="L1900">
        <f>IF($G1900&lt;&gt;"ALCOHOL","",IF($K1900="","",$H1900*IFERROR(VLOOKUP($K1900,Drink_Templates!$A:$G,7,FALSE),0)))</f>
        <v/>
      </c>
    </row>
    <row r="1901" ht="15" customHeight="1">
      <c r="C1901">
        <f>IF($B1901="","",INT($B1901))</f>
        <v/>
      </c>
      <c r="D1901">
        <f>IF($C1901="","",$C1901-WEEKDAY($C1901,2)+1)</f>
        <v/>
      </c>
      <c r="E1901">
        <f>IF($C1901="","",DATE(YEAR($C1901),MONTH($C1901),1))</f>
        <v/>
      </c>
      <c r="F1901">
        <f>IF($C1901="","",YEAR($C1901)&amp;"-Q"&amp;ROUNDUP(MONTH($C1901)/3,0))</f>
        <v/>
      </c>
      <c r="L1901">
        <f>IF($G1901&lt;&gt;"ALCOHOL","",IF($K1901="","",$H1901*IFERROR(VLOOKUP($K1901,Drink_Templates!$A:$G,7,FALSE),0)))</f>
        <v/>
      </c>
    </row>
    <row r="1902" ht="15" customHeight="1">
      <c r="C1902">
        <f>IF($B1902="","",INT($B1902))</f>
        <v/>
      </c>
      <c r="D1902">
        <f>IF($C1902="","",$C1902-WEEKDAY($C1902,2)+1)</f>
        <v/>
      </c>
      <c r="E1902">
        <f>IF($C1902="","",DATE(YEAR($C1902),MONTH($C1902),1))</f>
        <v/>
      </c>
      <c r="F1902">
        <f>IF($C1902="","",YEAR($C1902)&amp;"-Q"&amp;ROUNDUP(MONTH($C1902)/3,0))</f>
        <v/>
      </c>
      <c r="L1902">
        <f>IF($G1902&lt;&gt;"ALCOHOL","",IF($K1902="","",$H1902*IFERROR(VLOOKUP($K1902,Drink_Templates!$A:$G,7,FALSE),0)))</f>
        <v/>
      </c>
    </row>
    <row r="1903" ht="15" customHeight="1">
      <c r="C1903">
        <f>IF($B1903="","",INT($B1903))</f>
        <v/>
      </c>
      <c r="D1903">
        <f>IF($C1903="","",$C1903-WEEKDAY($C1903,2)+1)</f>
        <v/>
      </c>
      <c r="E1903">
        <f>IF($C1903="","",DATE(YEAR($C1903),MONTH($C1903),1))</f>
        <v/>
      </c>
      <c r="F1903">
        <f>IF($C1903="","",YEAR($C1903)&amp;"-Q"&amp;ROUNDUP(MONTH($C1903)/3,0))</f>
        <v/>
      </c>
      <c r="L1903">
        <f>IF($G1903&lt;&gt;"ALCOHOL","",IF($K1903="","",$H1903*IFERROR(VLOOKUP($K1903,Drink_Templates!$A:$G,7,FALSE),0)))</f>
        <v/>
      </c>
    </row>
    <row r="1904" ht="15" customHeight="1">
      <c r="C1904">
        <f>IF($B1904="","",INT($B1904))</f>
        <v/>
      </c>
      <c r="D1904">
        <f>IF($C1904="","",$C1904-WEEKDAY($C1904,2)+1)</f>
        <v/>
      </c>
      <c r="E1904">
        <f>IF($C1904="","",DATE(YEAR($C1904),MONTH($C1904),1))</f>
        <v/>
      </c>
      <c r="F1904">
        <f>IF($C1904="","",YEAR($C1904)&amp;"-Q"&amp;ROUNDUP(MONTH($C1904)/3,0))</f>
        <v/>
      </c>
      <c r="L1904">
        <f>IF($G1904&lt;&gt;"ALCOHOL","",IF($K1904="","",$H1904*IFERROR(VLOOKUP($K1904,Drink_Templates!$A:$G,7,FALSE),0)))</f>
        <v/>
      </c>
    </row>
    <row r="1905" ht="15" customHeight="1">
      <c r="C1905">
        <f>IF($B1905="","",INT($B1905))</f>
        <v/>
      </c>
      <c r="D1905">
        <f>IF($C1905="","",$C1905-WEEKDAY($C1905,2)+1)</f>
        <v/>
      </c>
      <c r="E1905">
        <f>IF($C1905="","",DATE(YEAR($C1905),MONTH($C1905),1))</f>
        <v/>
      </c>
      <c r="F1905">
        <f>IF($C1905="","",YEAR($C1905)&amp;"-Q"&amp;ROUNDUP(MONTH($C1905)/3,0))</f>
        <v/>
      </c>
      <c r="L1905">
        <f>IF($G1905&lt;&gt;"ALCOHOL","",IF($K1905="","",$H1905*IFERROR(VLOOKUP($K1905,Drink_Templates!$A:$G,7,FALSE),0)))</f>
        <v/>
      </c>
    </row>
    <row r="1906" ht="15" customHeight="1">
      <c r="C1906">
        <f>IF($B1906="","",INT($B1906))</f>
        <v/>
      </c>
      <c r="D1906">
        <f>IF($C1906="","",$C1906-WEEKDAY($C1906,2)+1)</f>
        <v/>
      </c>
      <c r="E1906">
        <f>IF($C1906="","",DATE(YEAR($C1906),MONTH($C1906),1))</f>
        <v/>
      </c>
      <c r="F1906">
        <f>IF($C1906="","",YEAR($C1906)&amp;"-Q"&amp;ROUNDUP(MONTH($C1906)/3,0))</f>
        <v/>
      </c>
      <c r="L1906">
        <f>IF($G1906&lt;&gt;"ALCOHOL","",IF($K1906="","",$H1906*IFERROR(VLOOKUP($K1906,Drink_Templates!$A:$G,7,FALSE),0)))</f>
        <v/>
      </c>
    </row>
    <row r="1907" ht="15" customHeight="1">
      <c r="C1907">
        <f>IF($B1907="","",INT($B1907))</f>
        <v/>
      </c>
      <c r="D1907">
        <f>IF($C1907="","",$C1907-WEEKDAY($C1907,2)+1)</f>
        <v/>
      </c>
      <c r="E1907">
        <f>IF($C1907="","",DATE(YEAR($C1907),MONTH($C1907),1))</f>
        <v/>
      </c>
      <c r="F1907">
        <f>IF($C1907="","",YEAR($C1907)&amp;"-Q"&amp;ROUNDUP(MONTH($C1907)/3,0))</f>
        <v/>
      </c>
      <c r="L1907">
        <f>IF($G1907&lt;&gt;"ALCOHOL","",IF($K1907="","",$H1907*IFERROR(VLOOKUP($K1907,Drink_Templates!$A:$G,7,FALSE),0)))</f>
        <v/>
      </c>
    </row>
    <row r="1908" ht="15" customHeight="1">
      <c r="C1908">
        <f>IF($B1908="","",INT($B1908))</f>
        <v/>
      </c>
      <c r="D1908">
        <f>IF($C1908="","",$C1908-WEEKDAY($C1908,2)+1)</f>
        <v/>
      </c>
      <c r="E1908">
        <f>IF($C1908="","",DATE(YEAR($C1908),MONTH($C1908),1))</f>
        <v/>
      </c>
      <c r="F1908">
        <f>IF($C1908="","",YEAR($C1908)&amp;"-Q"&amp;ROUNDUP(MONTH($C1908)/3,0))</f>
        <v/>
      </c>
      <c r="L1908">
        <f>IF($G1908&lt;&gt;"ALCOHOL","",IF($K1908="","",$H1908*IFERROR(VLOOKUP($K1908,Drink_Templates!$A:$G,7,FALSE),0)))</f>
        <v/>
      </c>
    </row>
    <row r="1909" ht="15" customHeight="1">
      <c r="C1909">
        <f>IF($B1909="","",INT($B1909))</f>
        <v/>
      </c>
      <c r="D1909">
        <f>IF($C1909="","",$C1909-WEEKDAY($C1909,2)+1)</f>
        <v/>
      </c>
      <c r="E1909">
        <f>IF($C1909="","",DATE(YEAR($C1909),MONTH($C1909),1))</f>
        <v/>
      </c>
      <c r="F1909">
        <f>IF($C1909="","",YEAR($C1909)&amp;"-Q"&amp;ROUNDUP(MONTH($C1909)/3,0))</f>
        <v/>
      </c>
      <c r="L1909">
        <f>IF($G1909&lt;&gt;"ALCOHOL","",IF($K1909="","",$H1909*IFERROR(VLOOKUP($K1909,Drink_Templates!$A:$G,7,FALSE),0)))</f>
        <v/>
      </c>
    </row>
    <row r="1910" ht="15" customHeight="1">
      <c r="C1910">
        <f>IF($B1910="","",INT($B1910))</f>
        <v/>
      </c>
      <c r="D1910">
        <f>IF($C1910="","",$C1910-WEEKDAY($C1910,2)+1)</f>
        <v/>
      </c>
      <c r="E1910">
        <f>IF($C1910="","",DATE(YEAR($C1910),MONTH($C1910),1))</f>
        <v/>
      </c>
      <c r="F1910">
        <f>IF($C1910="","",YEAR($C1910)&amp;"-Q"&amp;ROUNDUP(MONTH($C1910)/3,0))</f>
        <v/>
      </c>
      <c r="L1910">
        <f>IF($G1910&lt;&gt;"ALCOHOL","",IF($K1910="","",$H1910*IFERROR(VLOOKUP($K1910,Drink_Templates!$A:$G,7,FALSE),0)))</f>
        <v/>
      </c>
    </row>
    <row r="1911" ht="15" customHeight="1">
      <c r="C1911">
        <f>IF($B1911="","",INT($B1911))</f>
        <v/>
      </c>
      <c r="D1911">
        <f>IF($C1911="","",$C1911-WEEKDAY($C1911,2)+1)</f>
        <v/>
      </c>
      <c r="E1911">
        <f>IF($C1911="","",DATE(YEAR($C1911),MONTH($C1911),1))</f>
        <v/>
      </c>
      <c r="F1911">
        <f>IF($C1911="","",YEAR($C1911)&amp;"-Q"&amp;ROUNDUP(MONTH($C1911)/3,0))</f>
        <v/>
      </c>
      <c r="L1911">
        <f>IF($G1911&lt;&gt;"ALCOHOL","",IF($K1911="","",$H1911*IFERROR(VLOOKUP($K1911,Drink_Templates!$A:$G,7,FALSE),0)))</f>
        <v/>
      </c>
    </row>
    <row r="1912" ht="15" customHeight="1">
      <c r="C1912">
        <f>IF($B1912="","",INT($B1912))</f>
        <v/>
      </c>
      <c r="D1912">
        <f>IF($C1912="","",$C1912-WEEKDAY($C1912,2)+1)</f>
        <v/>
      </c>
      <c r="E1912">
        <f>IF($C1912="","",DATE(YEAR($C1912),MONTH($C1912),1))</f>
        <v/>
      </c>
      <c r="F1912">
        <f>IF($C1912="","",YEAR($C1912)&amp;"-Q"&amp;ROUNDUP(MONTH($C1912)/3,0))</f>
        <v/>
      </c>
      <c r="L1912">
        <f>IF($G1912&lt;&gt;"ALCOHOL","",IF($K1912="","",$H1912*IFERROR(VLOOKUP($K1912,Drink_Templates!$A:$G,7,FALSE),0)))</f>
        <v/>
      </c>
    </row>
    <row r="1913" ht="15" customHeight="1">
      <c r="C1913">
        <f>IF($B1913="","",INT($B1913))</f>
        <v/>
      </c>
      <c r="D1913">
        <f>IF($C1913="","",$C1913-WEEKDAY($C1913,2)+1)</f>
        <v/>
      </c>
      <c r="E1913">
        <f>IF($C1913="","",DATE(YEAR($C1913),MONTH($C1913),1))</f>
        <v/>
      </c>
      <c r="F1913">
        <f>IF($C1913="","",YEAR($C1913)&amp;"-Q"&amp;ROUNDUP(MONTH($C1913)/3,0))</f>
        <v/>
      </c>
      <c r="L1913">
        <f>IF($G1913&lt;&gt;"ALCOHOL","",IF($K1913="","",$H1913*IFERROR(VLOOKUP($K1913,Drink_Templates!$A:$G,7,FALSE),0)))</f>
        <v/>
      </c>
    </row>
    <row r="1914" ht="15" customHeight="1">
      <c r="C1914">
        <f>IF($B1914="","",INT($B1914))</f>
        <v/>
      </c>
      <c r="D1914">
        <f>IF($C1914="","",$C1914-WEEKDAY($C1914,2)+1)</f>
        <v/>
      </c>
      <c r="E1914">
        <f>IF($C1914="","",DATE(YEAR($C1914),MONTH($C1914),1))</f>
        <v/>
      </c>
      <c r="F1914">
        <f>IF($C1914="","",YEAR($C1914)&amp;"-Q"&amp;ROUNDUP(MONTH($C1914)/3,0))</f>
        <v/>
      </c>
      <c r="L1914">
        <f>IF($G1914&lt;&gt;"ALCOHOL","",IF($K1914="","",$H1914*IFERROR(VLOOKUP($K1914,Drink_Templates!$A:$G,7,FALSE),0)))</f>
        <v/>
      </c>
    </row>
    <row r="1915" ht="15" customHeight="1">
      <c r="C1915">
        <f>IF($B1915="","",INT($B1915))</f>
        <v/>
      </c>
      <c r="D1915">
        <f>IF($C1915="","",$C1915-WEEKDAY($C1915,2)+1)</f>
        <v/>
      </c>
      <c r="E1915">
        <f>IF($C1915="","",DATE(YEAR($C1915),MONTH($C1915),1))</f>
        <v/>
      </c>
      <c r="F1915">
        <f>IF($C1915="","",YEAR($C1915)&amp;"-Q"&amp;ROUNDUP(MONTH($C1915)/3,0))</f>
        <v/>
      </c>
      <c r="L1915">
        <f>IF($G1915&lt;&gt;"ALCOHOL","",IF($K1915="","",$H1915*IFERROR(VLOOKUP($K1915,Drink_Templates!$A:$G,7,FALSE),0)))</f>
        <v/>
      </c>
    </row>
    <row r="1916" ht="15" customHeight="1">
      <c r="C1916">
        <f>IF($B1916="","",INT($B1916))</f>
        <v/>
      </c>
      <c r="D1916">
        <f>IF($C1916="","",$C1916-WEEKDAY($C1916,2)+1)</f>
        <v/>
      </c>
      <c r="E1916">
        <f>IF($C1916="","",DATE(YEAR($C1916),MONTH($C1916),1))</f>
        <v/>
      </c>
      <c r="F1916">
        <f>IF($C1916="","",YEAR($C1916)&amp;"-Q"&amp;ROUNDUP(MONTH($C1916)/3,0))</f>
        <v/>
      </c>
      <c r="L1916">
        <f>IF($G1916&lt;&gt;"ALCOHOL","",IF($K1916="","",$H1916*IFERROR(VLOOKUP($K1916,Drink_Templates!$A:$G,7,FALSE),0)))</f>
        <v/>
      </c>
    </row>
    <row r="1917" ht="15" customHeight="1">
      <c r="C1917">
        <f>IF($B1917="","",INT($B1917))</f>
        <v/>
      </c>
      <c r="D1917">
        <f>IF($C1917="","",$C1917-WEEKDAY($C1917,2)+1)</f>
        <v/>
      </c>
      <c r="E1917">
        <f>IF($C1917="","",DATE(YEAR($C1917),MONTH($C1917),1))</f>
        <v/>
      </c>
      <c r="F1917">
        <f>IF($C1917="","",YEAR($C1917)&amp;"-Q"&amp;ROUNDUP(MONTH($C1917)/3,0))</f>
        <v/>
      </c>
      <c r="L1917">
        <f>IF($G1917&lt;&gt;"ALCOHOL","",IF($K1917="","",$H1917*IFERROR(VLOOKUP($K1917,Drink_Templates!$A:$G,7,FALSE),0)))</f>
        <v/>
      </c>
    </row>
    <row r="1918" ht="15" customHeight="1">
      <c r="C1918">
        <f>IF($B1918="","",INT($B1918))</f>
        <v/>
      </c>
      <c r="D1918">
        <f>IF($C1918="","",$C1918-WEEKDAY($C1918,2)+1)</f>
        <v/>
      </c>
      <c r="E1918">
        <f>IF($C1918="","",DATE(YEAR($C1918),MONTH($C1918),1))</f>
        <v/>
      </c>
      <c r="F1918">
        <f>IF($C1918="","",YEAR($C1918)&amp;"-Q"&amp;ROUNDUP(MONTH($C1918)/3,0))</f>
        <v/>
      </c>
      <c r="L1918">
        <f>IF($G1918&lt;&gt;"ALCOHOL","",IF($K1918="","",$H1918*IFERROR(VLOOKUP($K1918,Drink_Templates!$A:$G,7,FALSE),0)))</f>
        <v/>
      </c>
    </row>
    <row r="1919" ht="15" customHeight="1">
      <c r="C1919">
        <f>IF($B1919="","",INT($B1919))</f>
        <v/>
      </c>
      <c r="D1919">
        <f>IF($C1919="","",$C1919-WEEKDAY($C1919,2)+1)</f>
        <v/>
      </c>
      <c r="E1919">
        <f>IF($C1919="","",DATE(YEAR($C1919),MONTH($C1919),1))</f>
        <v/>
      </c>
      <c r="F1919">
        <f>IF($C1919="","",YEAR($C1919)&amp;"-Q"&amp;ROUNDUP(MONTH($C1919)/3,0))</f>
        <v/>
      </c>
      <c r="L1919">
        <f>IF($G1919&lt;&gt;"ALCOHOL","",IF($K1919="","",$H1919*IFERROR(VLOOKUP($K1919,Drink_Templates!$A:$G,7,FALSE),0)))</f>
        <v/>
      </c>
    </row>
    <row r="1920" ht="15" customHeight="1">
      <c r="C1920">
        <f>IF($B1920="","",INT($B1920))</f>
        <v/>
      </c>
      <c r="D1920">
        <f>IF($C1920="","",$C1920-WEEKDAY($C1920,2)+1)</f>
        <v/>
      </c>
      <c r="E1920">
        <f>IF($C1920="","",DATE(YEAR($C1920),MONTH($C1920),1))</f>
        <v/>
      </c>
      <c r="F1920">
        <f>IF($C1920="","",YEAR($C1920)&amp;"-Q"&amp;ROUNDUP(MONTH($C1920)/3,0))</f>
        <v/>
      </c>
      <c r="L1920">
        <f>IF($G1920&lt;&gt;"ALCOHOL","",IF($K1920="","",$H1920*IFERROR(VLOOKUP($K1920,Drink_Templates!$A:$G,7,FALSE),0)))</f>
        <v/>
      </c>
    </row>
    <row r="1921" ht="15" customHeight="1">
      <c r="C1921">
        <f>IF($B1921="","",INT($B1921))</f>
        <v/>
      </c>
      <c r="D1921">
        <f>IF($C1921="","",$C1921-WEEKDAY($C1921,2)+1)</f>
        <v/>
      </c>
      <c r="E1921">
        <f>IF($C1921="","",DATE(YEAR($C1921),MONTH($C1921),1))</f>
        <v/>
      </c>
      <c r="F1921">
        <f>IF($C1921="","",YEAR($C1921)&amp;"-Q"&amp;ROUNDUP(MONTH($C1921)/3,0))</f>
        <v/>
      </c>
      <c r="L1921">
        <f>IF($G1921&lt;&gt;"ALCOHOL","",IF($K1921="","",$H1921*IFERROR(VLOOKUP($K1921,Drink_Templates!$A:$G,7,FALSE),0)))</f>
        <v/>
      </c>
    </row>
    <row r="1922" ht="15" customHeight="1">
      <c r="C1922">
        <f>IF($B1922="","",INT($B1922))</f>
        <v/>
      </c>
      <c r="D1922">
        <f>IF($C1922="","",$C1922-WEEKDAY($C1922,2)+1)</f>
        <v/>
      </c>
      <c r="E1922">
        <f>IF($C1922="","",DATE(YEAR($C1922),MONTH($C1922),1))</f>
        <v/>
      </c>
      <c r="F1922">
        <f>IF($C1922="","",YEAR($C1922)&amp;"-Q"&amp;ROUNDUP(MONTH($C1922)/3,0))</f>
        <v/>
      </c>
      <c r="L1922">
        <f>IF($G1922&lt;&gt;"ALCOHOL","",IF($K1922="","",$H1922*IFERROR(VLOOKUP($K1922,Drink_Templates!$A:$G,7,FALSE),0)))</f>
        <v/>
      </c>
    </row>
    <row r="1923" ht="15" customHeight="1">
      <c r="C1923">
        <f>IF($B1923="","",INT($B1923))</f>
        <v/>
      </c>
      <c r="D1923">
        <f>IF($C1923="","",$C1923-WEEKDAY($C1923,2)+1)</f>
        <v/>
      </c>
      <c r="E1923">
        <f>IF($C1923="","",DATE(YEAR($C1923),MONTH($C1923),1))</f>
        <v/>
      </c>
      <c r="F1923">
        <f>IF($C1923="","",YEAR($C1923)&amp;"-Q"&amp;ROUNDUP(MONTH($C1923)/3,0))</f>
        <v/>
      </c>
      <c r="L1923">
        <f>IF($G1923&lt;&gt;"ALCOHOL","",IF($K1923="","",$H1923*IFERROR(VLOOKUP($K1923,Drink_Templates!$A:$G,7,FALSE),0)))</f>
        <v/>
      </c>
    </row>
    <row r="1924" ht="15" customHeight="1">
      <c r="C1924">
        <f>IF($B1924="","",INT($B1924))</f>
        <v/>
      </c>
      <c r="D1924">
        <f>IF($C1924="","",$C1924-WEEKDAY($C1924,2)+1)</f>
        <v/>
      </c>
      <c r="E1924">
        <f>IF($C1924="","",DATE(YEAR($C1924),MONTH($C1924),1))</f>
        <v/>
      </c>
      <c r="F1924">
        <f>IF($C1924="","",YEAR($C1924)&amp;"-Q"&amp;ROUNDUP(MONTH($C1924)/3,0))</f>
        <v/>
      </c>
      <c r="L1924">
        <f>IF($G1924&lt;&gt;"ALCOHOL","",IF($K1924="","",$H1924*IFERROR(VLOOKUP($K1924,Drink_Templates!$A:$G,7,FALSE),0)))</f>
        <v/>
      </c>
    </row>
    <row r="1925" ht="15" customHeight="1">
      <c r="C1925">
        <f>IF($B1925="","",INT($B1925))</f>
        <v/>
      </c>
      <c r="D1925">
        <f>IF($C1925="","",$C1925-WEEKDAY($C1925,2)+1)</f>
        <v/>
      </c>
      <c r="E1925">
        <f>IF($C1925="","",DATE(YEAR($C1925),MONTH($C1925),1))</f>
        <v/>
      </c>
      <c r="F1925">
        <f>IF($C1925="","",YEAR($C1925)&amp;"-Q"&amp;ROUNDUP(MONTH($C1925)/3,0))</f>
        <v/>
      </c>
      <c r="L1925">
        <f>IF($G1925&lt;&gt;"ALCOHOL","",IF($K1925="","",$H1925*IFERROR(VLOOKUP($K1925,Drink_Templates!$A:$G,7,FALSE),0)))</f>
        <v/>
      </c>
    </row>
    <row r="1926" ht="15" customHeight="1">
      <c r="C1926">
        <f>IF($B1926="","",INT($B1926))</f>
        <v/>
      </c>
      <c r="D1926">
        <f>IF($C1926="","",$C1926-WEEKDAY($C1926,2)+1)</f>
        <v/>
      </c>
      <c r="E1926">
        <f>IF($C1926="","",DATE(YEAR($C1926),MONTH($C1926),1))</f>
        <v/>
      </c>
      <c r="F1926">
        <f>IF($C1926="","",YEAR($C1926)&amp;"-Q"&amp;ROUNDUP(MONTH($C1926)/3,0))</f>
        <v/>
      </c>
      <c r="L1926">
        <f>IF($G1926&lt;&gt;"ALCOHOL","",IF($K1926="","",$H1926*IFERROR(VLOOKUP($K1926,Drink_Templates!$A:$G,7,FALSE),0)))</f>
        <v/>
      </c>
    </row>
    <row r="1927" ht="15" customHeight="1">
      <c r="C1927">
        <f>IF($B1927="","",INT($B1927))</f>
        <v/>
      </c>
      <c r="D1927">
        <f>IF($C1927="","",$C1927-WEEKDAY($C1927,2)+1)</f>
        <v/>
      </c>
      <c r="E1927">
        <f>IF($C1927="","",DATE(YEAR($C1927),MONTH($C1927),1))</f>
        <v/>
      </c>
      <c r="F1927">
        <f>IF($C1927="","",YEAR($C1927)&amp;"-Q"&amp;ROUNDUP(MONTH($C1927)/3,0))</f>
        <v/>
      </c>
      <c r="L1927">
        <f>IF($G1927&lt;&gt;"ALCOHOL","",IF($K1927="","",$H1927*IFERROR(VLOOKUP($K1927,Drink_Templates!$A:$G,7,FALSE),0)))</f>
        <v/>
      </c>
    </row>
    <row r="1928" ht="15" customHeight="1">
      <c r="C1928">
        <f>IF($B1928="","",INT($B1928))</f>
        <v/>
      </c>
      <c r="D1928">
        <f>IF($C1928="","",$C1928-WEEKDAY($C1928,2)+1)</f>
        <v/>
      </c>
      <c r="E1928">
        <f>IF($C1928="","",DATE(YEAR($C1928),MONTH($C1928),1))</f>
        <v/>
      </c>
      <c r="F1928">
        <f>IF($C1928="","",YEAR($C1928)&amp;"-Q"&amp;ROUNDUP(MONTH($C1928)/3,0))</f>
        <v/>
      </c>
      <c r="L1928">
        <f>IF($G1928&lt;&gt;"ALCOHOL","",IF($K1928="","",$H1928*IFERROR(VLOOKUP($K1928,Drink_Templates!$A:$G,7,FALSE),0)))</f>
        <v/>
      </c>
    </row>
    <row r="1929" ht="15" customHeight="1">
      <c r="C1929">
        <f>IF($B1929="","",INT($B1929))</f>
        <v/>
      </c>
      <c r="D1929">
        <f>IF($C1929="","",$C1929-WEEKDAY($C1929,2)+1)</f>
        <v/>
      </c>
      <c r="E1929">
        <f>IF($C1929="","",DATE(YEAR($C1929),MONTH($C1929),1))</f>
        <v/>
      </c>
      <c r="F1929">
        <f>IF($C1929="","",YEAR($C1929)&amp;"-Q"&amp;ROUNDUP(MONTH($C1929)/3,0))</f>
        <v/>
      </c>
      <c r="L1929">
        <f>IF($G1929&lt;&gt;"ALCOHOL","",IF($K1929="","",$H1929*IFERROR(VLOOKUP($K1929,Drink_Templates!$A:$G,7,FALSE),0)))</f>
        <v/>
      </c>
    </row>
    <row r="1930" ht="15" customHeight="1">
      <c r="C1930">
        <f>IF($B1930="","",INT($B1930))</f>
        <v/>
      </c>
      <c r="D1930">
        <f>IF($C1930="","",$C1930-WEEKDAY($C1930,2)+1)</f>
        <v/>
      </c>
      <c r="E1930">
        <f>IF($C1930="","",DATE(YEAR($C1930),MONTH($C1930),1))</f>
        <v/>
      </c>
      <c r="F1930">
        <f>IF($C1930="","",YEAR($C1930)&amp;"-Q"&amp;ROUNDUP(MONTH($C1930)/3,0))</f>
        <v/>
      </c>
      <c r="L1930">
        <f>IF($G1930&lt;&gt;"ALCOHOL","",IF($K1930="","",$H1930*IFERROR(VLOOKUP($K1930,Drink_Templates!$A:$G,7,FALSE),0)))</f>
        <v/>
      </c>
    </row>
    <row r="1931" ht="15" customHeight="1">
      <c r="C1931">
        <f>IF($B1931="","",INT($B1931))</f>
        <v/>
      </c>
      <c r="D1931">
        <f>IF($C1931="","",$C1931-WEEKDAY($C1931,2)+1)</f>
        <v/>
      </c>
      <c r="E1931">
        <f>IF($C1931="","",DATE(YEAR($C1931),MONTH($C1931),1))</f>
        <v/>
      </c>
      <c r="F1931">
        <f>IF($C1931="","",YEAR($C1931)&amp;"-Q"&amp;ROUNDUP(MONTH($C1931)/3,0))</f>
        <v/>
      </c>
      <c r="L1931">
        <f>IF($G1931&lt;&gt;"ALCOHOL","",IF($K1931="","",$H1931*IFERROR(VLOOKUP($K1931,Drink_Templates!$A:$G,7,FALSE),0)))</f>
        <v/>
      </c>
    </row>
    <row r="1932" ht="15" customHeight="1">
      <c r="C1932">
        <f>IF($B1932="","",INT($B1932))</f>
        <v/>
      </c>
      <c r="D1932">
        <f>IF($C1932="","",$C1932-WEEKDAY($C1932,2)+1)</f>
        <v/>
      </c>
      <c r="E1932">
        <f>IF($C1932="","",DATE(YEAR($C1932),MONTH($C1932),1))</f>
        <v/>
      </c>
      <c r="F1932">
        <f>IF($C1932="","",YEAR($C1932)&amp;"-Q"&amp;ROUNDUP(MONTH($C1932)/3,0))</f>
        <v/>
      </c>
      <c r="L1932">
        <f>IF($G1932&lt;&gt;"ALCOHOL","",IF($K1932="","",$H1932*IFERROR(VLOOKUP($K1932,Drink_Templates!$A:$G,7,FALSE),0)))</f>
        <v/>
      </c>
    </row>
    <row r="1933" ht="15" customHeight="1">
      <c r="C1933">
        <f>IF($B1933="","",INT($B1933))</f>
        <v/>
      </c>
      <c r="D1933">
        <f>IF($C1933="","",$C1933-WEEKDAY($C1933,2)+1)</f>
        <v/>
      </c>
      <c r="E1933">
        <f>IF($C1933="","",DATE(YEAR($C1933),MONTH($C1933),1))</f>
        <v/>
      </c>
      <c r="F1933">
        <f>IF($C1933="","",YEAR($C1933)&amp;"-Q"&amp;ROUNDUP(MONTH($C1933)/3,0))</f>
        <v/>
      </c>
      <c r="L1933">
        <f>IF($G1933&lt;&gt;"ALCOHOL","",IF($K1933="","",$H1933*IFERROR(VLOOKUP($K1933,Drink_Templates!$A:$G,7,FALSE),0)))</f>
        <v/>
      </c>
    </row>
    <row r="1934" ht="15" customHeight="1">
      <c r="C1934">
        <f>IF($B1934="","",INT($B1934))</f>
        <v/>
      </c>
      <c r="D1934">
        <f>IF($C1934="","",$C1934-WEEKDAY($C1934,2)+1)</f>
        <v/>
      </c>
      <c r="E1934">
        <f>IF($C1934="","",DATE(YEAR($C1934),MONTH($C1934),1))</f>
        <v/>
      </c>
      <c r="F1934">
        <f>IF($C1934="","",YEAR($C1934)&amp;"-Q"&amp;ROUNDUP(MONTH($C1934)/3,0))</f>
        <v/>
      </c>
      <c r="L1934">
        <f>IF($G1934&lt;&gt;"ALCOHOL","",IF($K1934="","",$H1934*IFERROR(VLOOKUP($K1934,Drink_Templates!$A:$G,7,FALSE),0)))</f>
        <v/>
      </c>
    </row>
    <row r="1935" ht="15" customHeight="1">
      <c r="C1935">
        <f>IF($B1935="","",INT($B1935))</f>
        <v/>
      </c>
      <c r="D1935">
        <f>IF($C1935="","",$C1935-WEEKDAY($C1935,2)+1)</f>
        <v/>
      </c>
      <c r="E1935">
        <f>IF($C1935="","",DATE(YEAR($C1935),MONTH($C1935),1))</f>
        <v/>
      </c>
      <c r="F1935">
        <f>IF($C1935="","",YEAR($C1935)&amp;"-Q"&amp;ROUNDUP(MONTH($C1935)/3,0))</f>
        <v/>
      </c>
      <c r="L1935">
        <f>IF($G1935&lt;&gt;"ALCOHOL","",IF($K1935="","",$H1935*IFERROR(VLOOKUP($K1935,Drink_Templates!$A:$G,7,FALSE),0)))</f>
        <v/>
      </c>
    </row>
    <row r="1936" ht="15" customHeight="1">
      <c r="C1936">
        <f>IF($B1936="","",INT($B1936))</f>
        <v/>
      </c>
      <c r="D1936">
        <f>IF($C1936="","",$C1936-WEEKDAY($C1936,2)+1)</f>
        <v/>
      </c>
      <c r="E1936">
        <f>IF($C1936="","",DATE(YEAR($C1936),MONTH($C1936),1))</f>
        <v/>
      </c>
      <c r="F1936">
        <f>IF($C1936="","",YEAR($C1936)&amp;"-Q"&amp;ROUNDUP(MONTH($C1936)/3,0))</f>
        <v/>
      </c>
      <c r="L1936">
        <f>IF($G1936&lt;&gt;"ALCOHOL","",IF($K1936="","",$H1936*IFERROR(VLOOKUP($K1936,Drink_Templates!$A:$G,7,FALSE),0)))</f>
        <v/>
      </c>
    </row>
    <row r="1937" ht="15" customHeight="1">
      <c r="C1937">
        <f>IF($B1937="","",INT($B1937))</f>
        <v/>
      </c>
      <c r="D1937">
        <f>IF($C1937="","",$C1937-WEEKDAY($C1937,2)+1)</f>
        <v/>
      </c>
      <c r="E1937">
        <f>IF($C1937="","",DATE(YEAR($C1937),MONTH($C1937),1))</f>
        <v/>
      </c>
      <c r="F1937">
        <f>IF($C1937="","",YEAR($C1937)&amp;"-Q"&amp;ROUNDUP(MONTH($C1937)/3,0))</f>
        <v/>
      </c>
      <c r="L1937">
        <f>IF($G1937&lt;&gt;"ALCOHOL","",IF($K1937="","",$H1937*IFERROR(VLOOKUP($K1937,Drink_Templates!$A:$G,7,FALSE),0)))</f>
        <v/>
      </c>
    </row>
    <row r="1938" ht="15" customHeight="1">
      <c r="C1938">
        <f>IF($B1938="","",INT($B1938))</f>
        <v/>
      </c>
      <c r="D1938">
        <f>IF($C1938="","",$C1938-WEEKDAY($C1938,2)+1)</f>
        <v/>
      </c>
      <c r="E1938">
        <f>IF($C1938="","",DATE(YEAR($C1938),MONTH($C1938),1))</f>
        <v/>
      </c>
      <c r="F1938">
        <f>IF($C1938="","",YEAR($C1938)&amp;"-Q"&amp;ROUNDUP(MONTH($C1938)/3,0))</f>
        <v/>
      </c>
      <c r="L1938">
        <f>IF($G1938&lt;&gt;"ALCOHOL","",IF($K1938="","",$H1938*IFERROR(VLOOKUP($K1938,Drink_Templates!$A:$G,7,FALSE),0)))</f>
        <v/>
      </c>
    </row>
    <row r="1939" ht="15" customHeight="1">
      <c r="C1939">
        <f>IF($B1939="","",INT($B1939))</f>
        <v/>
      </c>
      <c r="D1939">
        <f>IF($C1939="","",$C1939-WEEKDAY($C1939,2)+1)</f>
        <v/>
      </c>
      <c r="E1939">
        <f>IF($C1939="","",DATE(YEAR($C1939),MONTH($C1939),1))</f>
        <v/>
      </c>
      <c r="F1939">
        <f>IF($C1939="","",YEAR($C1939)&amp;"-Q"&amp;ROUNDUP(MONTH($C1939)/3,0))</f>
        <v/>
      </c>
      <c r="L1939">
        <f>IF($G1939&lt;&gt;"ALCOHOL","",IF($K1939="","",$H1939*IFERROR(VLOOKUP($K1939,Drink_Templates!$A:$G,7,FALSE),0)))</f>
        <v/>
      </c>
    </row>
    <row r="1940" ht="15" customHeight="1">
      <c r="C1940">
        <f>IF($B1940="","",INT($B1940))</f>
        <v/>
      </c>
      <c r="D1940">
        <f>IF($C1940="","",$C1940-WEEKDAY($C1940,2)+1)</f>
        <v/>
      </c>
      <c r="E1940">
        <f>IF($C1940="","",DATE(YEAR($C1940),MONTH($C1940),1))</f>
        <v/>
      </c>
      <c r="F1940">
        <f>IF($C1940="","",YEAR($C1940)&amp;"-Q"&amp;ROUNDUP(MONTH($C1940)/3,0))</f>
        <v/>
      </c>
      <c r="L1940">
        <f>IF($G1940&lt;&gt;"ALCOHOL","",IF($K1940="","",$H1940*IFERROR(VLOOKUP($K1940,Drink_Templates!$A:$G,7,FALSE),0)))</f>
        <v/>
      </c>
    </row>
    <row r="1941" ht="15" customHeight="1">
      <c r="C1941">
        <f>IF($B1941="","",INT($B1941))</f>
        <v/>
      </c>
      <c r="D1941">
        <f>IF($C1941="","",$C1941-WEEKDAY($C1941,2)+1)</f>
        <v/>
      </c>
      <c r="E1941">
        <f>IF($C1941="","",DATE(YEAR($C1941),MONTH($C1941),1))</f>
        <v/>
      </c>
      <c r="F1941">
        <f>IF($C1941="","",YEAR($C1941)&amp;"-Q"&amp;ROUNDUP(MONTH($C1941)/3,0))</f>
        <v/>
      </c>
      <c r="L1941">
        <f>IF($G1941&lt;&gt;"ALCOHOL","",IF($K1941="","",$H1941*IFERROR(VLOOKUP($K1941,Drink_Templates!$A:$G,7,FALSE),0)))</f>
        <v/>
      </c>
    </row>
    <row r="1942" ht="15" customHeight="1">
      <c r="C1942">
        <f>IF($B1942="","",INT($B1942))</f>
        <v/>
      </c>
      <c r="D1942">
        <f>IF($C1942="","",$C1942-WEEKDAY($C1942,2)+1)</f>
        <v/>
      </c>
      <c r="E1942">
        <f>IF($C1942="","",DATE(YEAR($C1942),MONTH($C1942),1))</f>
        <v/>
      </c>
      <c r="F1942">
        <f>IF($C1942="","",YEAR($C1942)&amp;"-Q"&amp;ROUNDUP(MONTH($C1942)/3,0))</f>
        <v/>
      </c>
      <c r="L1942">
        <f>IF($G1942&lt;&gt;"ALCOHOL","",IF($K1942="","",$H1942*IFERROR(VLOOKUP($K1942,Drink_Templates!$A:$G,7,FALSE),0)))</f>
        <v/>
      </c>
    </row>
    <row r="1943" ht="15" customHeight="1">
      <c r="C1943">
        <f>IF($B1943="","",INT($B1943))</f>
        <v/>
      </c>
      <c r="D1943">
        <f>IF($C1943="","",$C1943-WEEKDAY($C1943,2)+1)</f>
        <v/>
      </c>
      <c r="E1943">
        <f>IF($C1943="","",DATE(YEAR($C1943),MONTH($C1943),1))</f>
        <v/>
      </c>
      <c r="F1943">
        <f>IF($C1943="","",YEAR($C1943)&amp;"-Q"&amp;ROUNDUP(MONTH($C1943)/3,0))</f>
        <v/>
      </c>
      <c r="L1943">
        <f>IF($G1943&lt;&gt;"ALCOHOL","",IF($K1943="","",$H1943*IFERROR(VLOOKUP($K1943,Drink_Templates!$A:$G,7,FALSE),0)))</f>
        <v/>
      </c>
    </row>
    <row r="1944" ht="15" customHeight="1">
      <c r="C1944">
        <f>IF($B1944="","",INT($B1944))</f>
        <v/>
      </c>
      <c r="D1944">
        <f>IF($C1944="","",$C1944-WEEKDAY($C1944,2)+1)</f>
        <v/>
      </c>
      <c r="E1944">
        <f>IF($C1944="","",DATE(YEAR($C1944),MONTH($C1944),1))</f>
        <v/>
      </c>
      <c r="F1944">
        <f>IF($C1944="","",YEAR($C1944)&amp;"-Q"&amp;ROUNDUP(MONTH($C1944)/3,0))</f>
        <v/>
      </c>
      <c r="L1944">
        <f>IF($G1944&lt;&gt;"ALCOHOL","",IF($K1944="","",$H1944*IFERROR(VLOOKUP($K1944,Drink_Templates!$A:$G,7,FALSE),0)))</f>
        <v/>
      </c>
    </row>
    <row r="1945" ht="15" customHeight="1">
      <c r="C1945">
        <f>IF($B1945="","",INT($B1945))</f>
        <v/>
      </c>
      <c r="D1945">
        <f>IF($C1945="","",$C1945-WEEKDAY($C1945,2)+1)</f>
        <v/>
      </c>
      <c r="E1945">
        <f>IF($C1945="","",DATE(YEAR($C1945),MONTH($C1945),1))</f>
        <v/>
      </c>
      <c r="F1945">
        <f>IF($C1945="","",YEAR($C1945)&amp;"-Q"&amp;ROUNDUP(MONTH($C1945)/3,0))</f>
        <v/>
      </c>
      <c r="L1945">
        <f>IF($G1945&lt;&gt;"ALCOHOL","",IF($K1945="","",$H1945*IFERROR(VLOOKUP($K1945,Drink_Templates!$A:$G,7,FALSE),0)))</f>
        <v/>
      </c>
    </row>
    <row r="1946" ht="15" customHeight="1">
      <c r="C1946">
        <f>IF($B1946="","",INT($B1946))</f>
        <v/>
      </c>
      <c r="D1946">
        <f>IF($C1946="","",$C1946-WEEKDAY($C1946,2)+1)</f>
        <v/>
      </c>
      <c r="E1946">
        <f>IF($C1946="","",DATE(YEAR($C1946),MONTH($C1946),1))</f>
        <v/>
      </c>
      <c r="F1946">
        <f>IF($C1946="","",YEAR($C1946)&amp;"-Q"&amp;ROUNDUP(MONTH($C1946)/3,0))</f>
        <v/>
      </c>
      <c r="L1946">
        <f>IF($G1946&lt;&gt;"ALCOHOL","",IF($K1946="","",$H1946*IFERROR(VLOOKUP($K1946,Drink_Templates!$A:$G,7,FALSE),0)))</f>
        <v/>
      </c>
    </row>
    <row r="1947" ht="15" customHeight="1">
      <c r="C1947">
        <f>IF($B1947="","",INT($B1947))</f>
        <v/>
      </c>
      <c r="D1947">
        <f>IF($C1947="","",$C1947-WEEKDAY($C1947,2)+1)</f>
        <v/>
      </c>
      <c r="E1947">
        <f>IF($C1947="","",DATE(YEAR($C1947),MONTH($C1947),1))</f>
        <v/>
      </c>
      <c r="F1947">
        <f>IF($C1947="","",YEAR($C1947)&amp;"-Q"&amp;ROUNDUP(MONTH($C1947)/3,0))</f>
        <v/>
      </c>
      <c r="L1947">
        <f>IF($G1947&lt;&gt;"ALCOHOL","",IF($K1947="","",$H1947*IFERROR(VLOOKUP($K1947,Drink_Templates!$A:$G,7,FALSE),0)))</f>
        <v/>
      </c>
    </row>
    <row r="1948" ht="15" customHeight="1">
      <c r="C1948">
        <f>IF($B1948="","",INT($B1948))</f>
        <v/>
      </c>
      <c r="D1948">
        <f>IF($C1948="","",$C1948-WEEKDAY($C1948,2)+1)</f>
        <v/>
      </c>
      <c r="E1948">
        <f>IF($C1948="","",DATE(YEAR($C1948),MONTH($C1948),1))</f>
        <v/>
      </c>
      <c r="F1948">
        <f>IF($C1948="","",YEAR($C1948)&amp;"-Q"&amp;ROUNDUP(MONTH($C1948)/3,0))</f>
        <v/>
      </c>
      <c r="L1948">
        <f>IF($G1948&lt;&gt;"ALCOHOL","",IF($K1948="","",$H1948*IFERROR(VLOOKUP($K1948,Drink_Templates!$A:$G,7,FALSE),0)))</f>
        <v/>
      </c>
    </row>
    <row r="1949" ht="15" customHeight="1">
      <c r="C1949">
        <f>IF($B1949="","",INT($B1949))</f>
        <v/>
      </c>
      <c r="D1949">
        <f>IF($C1949="","",$C1949-WEEKDAY($C1949,2)+1)</f>
        <v/>
      </c>
      <c r="E1949">
        <f>IF($C1949="","",DATE(YEAR($C1949),MONTH($C1949),1))</f>
        <v/>
      </c>
      <c r="F1949">
        <f>IF($C1949="","",YEAR($C1949)&amp;"-Q"&amp;ROUNDUP(MONTH($C1949)/3,0))</f>
        <v/>
      </c>
      <c r="L1949">
        <f>IF($G1949&lt;&gt;"ALCOHOL","",IF($K1949="","",$H1949*IFERROR(VLOOKUP($K1949,Drink_Templates!$A:$G,7,FALSE),0)))</f>
        <v/>
      </c>
    </row>
    <row r="1950" ht="15" customHeight="1">
      <c r="C1950">
        <f>IF($B1950="","",INT($B1950))</f>
        <v/>
      </c>
      <c r="D1950">
        <f>IF($C1950="","",$C1950-WEEKDAY($C1950,2)+1)</f>
        <v/>
      </c>
      <c r="E1950">
        <f>IF($C1950="","",DATE(YEAR($C1950),MONTH($C1950),1))</f>
        <v/>
      </c>
      <c r="F1950">
        <f>IF($C1950="","",YEAR($C1950)&amp;"-Q"&amp;ROUNDUP(MONTH($C1950)/3,0))</f>
        <v/>
      </c>
      <c r="L1950">
        <f>IF($G1950&lt;&gt;"ALCOHOL","",IF($K1950="","",$H1950*IFERROR(VLOOKUP($K1950,Drink_Templates!$A:$G,7,FALSE),0)))</f>
        <v/>
      </c>
    </row>
    <row r="1951" ht="15" customHeight="1">
      <c r="C1951">
        <f>IF($B1951="","",INT($B1951))</f>
        <v/>
      </c>
      <c r="D1951">
        <f>IF($C1951="","",$C1951-WEEKDAY($C1951,2)+1)</f>
        <v/>
      </c>
      <c r="E1951">
        <f>IF($C1951="","",DATE(YEAR($C1951),MONTH($C1951),1))</f>
        <v/>
      </c>
      <c r="F1951">
        <f>IF($C1951="","",YEAR($C1951)&amp;"-Q"&amp;ROUNDUP(MONTH($C1951)/3,0))</f>
        <v/>
      </c>
      <c r="L1951">
        <f>IF($G1951&lt;&gt;"ALCOHOL","",IF($K1951="","",$H1951*IFERROR(VLOOKUP($K1951,Drink_Templates!$A:$G,7,FALSE),0)))</f>
        <v/>
      </c>
    </row>
    <row r="1952" ht="15" customHeight="1">
      <c r="C1952">
        <f>IF($B1952="","",INT($B1952))</f>
        <v/>
      </c>
      <c r="D1952">
        <f>IF($C1952="","",$C1952-WEEKDAY($C1952,2)+1)</f>
        <v/>
      </c>
      <c r="E1952">
        <f>IF($C1952="","",DATE(YEAR($C1952),MONTH($C1952),1))</f>
        <v/>
      </c>
      <c r="F1952">
        <f>IF($C1952="","",YEAR($C1952)&amp;"-Q"&amp;ROUNDUP(MONTH($C1952)/3,0))</f>
        <v/>
      </c>
      <c r="L1952">
        <f>IF($G1952&lt;&gt;"ALCOHOL","",IF($K1952="","",$H1952*IFERROR(VLOOKUP($K1952,Drink_Templates!$A:$G,7,FALSE),0)))</f>
        <v/>
      </c>
    </row>
    <row r="1953" ht="15" customHeight="1">
      <c r="C1953">
        <f>IF($B1953="","",INT($B1953))</f>
        <v/>
      </c>
      <c r="D1953">
        <f>IF($C1953="","",$C1953-WEEKDAY($C1953,2)+1)</f>
        <v/>
      </c>
      <c r="E1953">
        <f>IF($C1953="","",DATE(YEAR($C1953),MONTH($C1953),1))</f>
        <v/>
      </c>
      <c r="F1953">
        <f>IF($C1953="","",YEAR($C1953)&amp;"-Q"&amp;ROUNDUP(MONTH($C1953)/3,0))</f>
        <v/>
      </c>
      <c r="L1953">
        <f>IF($G1953&lt;&gt;"ALCOHOL","",IF($K1953="","",$H1953*IFERROR(VLOOKUP($K1953,Drink_Templates!$A:$G,7,FALSE),0)))</f>
        <v/>
      </c>
    </row>
    <row r="1954" ht="15" customHeight="1">
      <c r="C1954">
        <f>IF($B1954="","",INT($B1954))</f>
        <v/>
      </c>
      <c r="D1954">
        <f>IF($C1954="","",$C1954-WEEKDAY($C1954,2)+1)</f>
        <v/>
      </c>
      <c r="E1954">
        <f>IF($C1954="","",DATE(YEAR($C1954),MONTH($C1954),1))</f>
        <v/>
      </c>
      <c r="F1954">
        <f>IF($C1954="","",YEAR($C1954)&amp;"-Q"&amp;ROUNDUP(MONTH($C1954)/3,0))</f>
        <v/>
      </c>
      <c r="L1954">
        <f>IF($G1954&lt;&gt;"ALCOHOL","",IF($K1954="","",$H1954*IFERROR(VLOOKUP($K1954,Drink_Templates!$A:$G,7,FALSE),0)))</f>
        <v/>
      </c>
    </row>
    <row r="1955" ht="15" customHeight="1">
      <c r="C1955">
        <f>IF($B1955="","",INT($B1955))</f>
        <v/>
      </c>
      <c r="D1955">
        <f>IF($C1955="","",$C1955-WEEKDAY($C1955,2)+1)</f>
        <v/>
      </c>
      <c r="E1955">
        <f>IF($C1955="","",DATE(YEAR($C1955),MONTH($C1955),1))</f>
        <v/>
      </c>
      <c r="F1955">
        <f>IF($C1955="","",YEAR($C1955)&amp;"-Q"&amp;ROUNDUP(MONTH($C1955)/3,0))</f>
        <v/>
      </c>
      <c r="L1955">
        <f>IF($G1955&lt;&gt;"ALCOHOL","",IF($K1955="","",$H1955*IFERROR(VLOOKUP($K1955,Drink_Templates!$A:$G,7,FALSE),0)))</f>
        <v/>
      </c>
    </row>
    <row r="1956" ht="15" customHeight="1">
      <c r="C1956">
        <f>IF($B1956="","",INT($B1956))</f>
        <v/>
      </c>
      <c r="D1956">
        <f>IF($C1956="","",$C1956-WEEKDAY($C1956,2)+1)</f>
        <v/>
      </c>
      <c r="E1956">
        <f>IF($C1956="","",DATE(YEAR($C1956),MONTH($C1956),1))</f>
        <v/>
      </c>
      <c r="F1956">
        <f>IF($C1956="","",YEAR($C1956)&amp;"-Q"&amp;ROUNDUP(MONTH($C1956)/3,0))</f>
        <v/>
      </c>
      <c r="L1956">
        <f>IF($G1956&lt;&gt;"ALCOHOL","",IF($K1956="","",$H1956*IFERROR(VLOOKUP($K1956,Drink_Templates!$A:$G,7,FALSE),0)))</f>
        <v/>
      </c>
    </row>
    <row r="1957" ht="15" customHeight="1">
      <c r="C1957">
        <f>IF($B1957="","",INT($B1957))</f>
        <v/>
      </c>
      <c r="D1957">
        <f>IF($C1957="","",$C1957-WEEKDAY($C1957,2)+1)</f>
        <v/>
      </c>
      <c r="E1957">
        <f>IF($C1957="","",DATE(YEAR($C1957),MONTH($C1957),1))</f>
        <v/>
      </c>
      <c r="F1957">
        <f>IF($C1957="","",YEAR($C1957)&amp;"-Q"&amp;ROUNDUP(MONTH($C1957)/3,0))</f>
        <v/>
      </c>
      <c r="L1957">
        <f>IF($G1957&lt;&gt;"ALCOHOL","",IF($K1957="","",$H1957*IFERROR(VLOOKUP($K1957,Drink_Templates!$A:$G,7,FALSE),0)))</f>
        <v/>
      </c>
    </row>
    <row r="1958" ht="15" customHeight="1">
      <c r="C1958">
        <f>IF($B1958="","",INT($B1958))</f>
        <v/>
      </c>
      <c r="D1958">
        <f>IF($C1958="","",$C1958-WEEKDAY($C1958,2)+1)</f>
        <v/>
      </c>
      <c r="E1958">
        <f>IF($C1958="","",DATE(YEAR($C1958),MONTH($C1958),1))</f>
        <v/>
      </c>
      <c r="F1958">
        <f>IF($C1958="","",YEAR($C1958)&amp;"-Q"&amp;ROUNDUP(MONTH($C1958)/3,0))</f>
        <v/>
      </c>
      <c r="L1958">
        <f>IF($G1958&lt;&gt;"ALCOHOL","",IF($K1958="","",$H1958*IFERROR(VLOOKUP($K1958,Drink_Templates!$A:$G,7,FALSE),0)))</f>
        <v/>
      </c>
    </row>
    <row r="1959" ht="15" customHeight="1">
      <c r="C1959">
        <f>IF($B1959="","",INT($B1959))</f>
        <v/>
      </c>
      <c r="D1959">
        <f>IF($C1959="","",$C1959-WEEKDAY($C1959,2)+1)</f>
        <v/>
      </c>
      <c r="E1959">
        <f>IF($C1959="","",DATE(YEAR($C1959),MONTH($C1959),1))</f>
        <v/>
      </c>
      <c r="F1959">
        <f>IF($C1959="","",YEAR($C1959)&amp;"-Q"&amp;ROUNDUP(MONTH($C1959)/3,0))</f>
        <v/>
      </c>
      <c r="L1959">
        <f>IF($G1959&lt;&gt;"ALCOHOL","",IF($K1959="","",$H1959*IFERROR(VLOOKUP($K1959,Drink_Templates!$A:$G,7,FALSE),0)))</f>
        <v/>
      </c>
    </row>
    <row r="1960" ht="15" customHeight="1">
      <c r="C1960">
        <f>IF($B1960="","",INT($B1960))</f>
        <v/>
      </c>
      <c r="D1960">
        <f>IF($C1960="","",$C1960-WEEKDAY($C1960,2)+1)</f>
        <v/>
      </c>
      <c r="E1960">
        <f>IF($C1960="","",DATE(YEAR($C1960),MONTH($C1960),1))</f>
        <v/>
      </c>
      <c r="F1960">
        <f>IF($C1960="","",YEAR($C1960)&amp;"-Q"&amp;ROUNDUP(MONTH($C1960)/3,0))</f>
        <v/>
      </c>
      <c r="L1960">
        <f>IF($G1960&lt;&gt;"ALCOHOL","",IF($K1960="","",$H1960*IFERROR(VLOOKUP($K1960,Drink_Templates!$A:$G,7,FALSE),0)))</f>
        <v/>
      </c>
    </row>
    <row r="1961" ht="15" customHeight="1">
      <c r="C1961">
        <f>IF($B1961="","",INT($B1961))</f>
        <v/>
      </c>
      <c r="D1961">
        <f>IF($C1961="","",$C1961-WEEKDAY($C1961,2)+1)</f>
        <v/>
      </c>
      <c r="E1961">
        <f>IF($C1961="","",DATE(YEAR($C1961),MONTH($C1961),1))</f>
        <v/>
      </c>
      <c r="F1961">
        <f>IF($C1961="","",YEAR($C1961)&amp;"-Q"&amp;ROUNDUP(MONTH($C1961)/3,0))</f>
        <v/>
      </c>
      <c r="L1961">
        <f>IF($G1961&lt;&gt;"ALCOHOL","",IF($K1961="","",$H1961*IFERROR(VLOOKUP($K1961,Drink_Templates!$A:$G,7,FALSE),0)))</f>
        <v/>
      </c>
    </row>
    <row r="1962" ht="15" customHeight="1">
      <c r="C1962">
        <f>IF($B1962="","",INT($B1962))</f>
        <v/>
      </c>
      <c r="D1962">
        <f>IF($C1962="","",$C1962-WEEKDAY($C1962,2)+1)</f>
        <v/>
      </c>
      <c r="E1962">
        <f>IF($C1962="","",DATE(YEAR($C1962),MONTH($C1962),1))</f>
        <v/>
      </c>
      <c r="F1962">
        <f>IF($C1962="","",YEAR($C1962)&amp;"-Q"&amp;ROUNDUP(MONTH($C1962)/3,0))</f>
        <v/>
      </c>
      <c r="L1962">
        <f>IF($G1962&lt;&gt;"ALCOHOL","",IF($K1962="","",$H1962*IFERROR(VLOOKUP($K1962,Drink_Templates!$A:$G,7,FALSE),0)))</f>
        <v/>
      </c>
    </row>
    <row r="1963" ht="15" customHeight="1">
      <c r="C1963">
        <f>IF($B1963="","",INT($B1963))</f>
        <v/>
      </c>
      <c r="D1963">
        <f>IF($C1963="","",$C1963-WEEKDAY($C1963,2)+1)</f>
        <v/>
      </c>
      <c r="E1963">
        <f>IF($C1963="","",DATE(YEAR($C1963),MONTH($C1963),1))</f>
        <v/>
      </c>
      <c r="F1963">
        <f>IF($C1963="","",YEAR($C1963)&amp;"-Q"&amp;ROUNDUP(MONTH($C1963)/3,0))</f>
        <v/>
      </c>
      <c r="L1963">
        <f>IF($G1963&lt;&gt;"ALCOHOL","",IF($K1963="","",$H1963*IFERROR(VLOOKUP($K1963,Drink_Templates!$A:$G,7,FALSE),0)))</f>
        <v/>
      </c>
    </row>
    <row r="1964" ht="15" customHeight="1">
      <c r="C1964">
        <f>IF($B1964="","",INT($B1964))</f>
        <v/>
      </c>
      <c r="D1964">
        <f>IF($C1964="","",$C1964-WEEKDAY($C1964,2)+1)</f>
        <v/>
      </c>
      <c r="E1964">
        <f>IF($C1964="","",DATE(YEAR($C1964),MONTH($C1964),1))</f>
        <v/>
      </c>
      <c r="F1964">
        <f>IF($C1964="","",YEAR($C1964)&amp;"-Q"&amp;ROUNDUP(MONTH($C1964)/3,0))</f>
        <v/>
      </c>
      <c r="L1964">
        <f>IF($G1964&lt;&gt;"ALCOHOL","",IF($K1964="","",$H1964*IFERROR(VLOOKUP($K1964,Drink_Templates!$A:$G,7,FALSE),0)))</f>
        <v/>
      </c>
    </row>
    <row r="1965" ht="15" customHeight="1">
      <c r="C1965">
        <f>IF($B1965="","",INT($B1965))</f>
        <v/>
      </c>
      <c r="D1965">
        <f>IF($C1965="","",$C1965-WEEKDAY($C1965,2)+1)</f>
        <v/>
      </c>
      <c r="E1965">
        <f>IF($C1965="","",DATE(YEAR($C1965),MONTH($C1965),1))</f>
        <v/>
      </c>
      <c r="F1965">
        <f>IF($C1965="","",YEAR($C1965)&amp;"-Q"&amp;ROUNDUP(MONTH($C1965)/3,0))</f>
        <v/>
      </c>
      <c r="L1965">
        <f>IF($G1965&lt;&gt;"ALCOHOL","",IF($K1965="","",$H1965*IFERROR(VLOOKUP($K1965,Drink_Templates!$A:$G,7,FALSE),0)))</f>
        <v/>
      </c>
    </row>
    <row r="1966" ht="15" customHeight="1">
      <c r="C1966">
        <f>IF($B1966="","",INT($B1966))</f>
        <v/>
      </c>
      <c r="D1966">
        <f>IF($C1966="","",$C1966-WEEKDAY($C1966,2)+1)</f>
        <v/>
      </c>
      <c r="E1966">
        <f>IF($C1966="","",DATE(YEAR($C1966),MONTH($C1966),1))</f>
        <v/>
      </c>
      <c r="F1966">
        <f>IF($C1966="","",YEAR($C1966)&amp;"-Q"&amp;ROUNDUP(MONTH($C1966)/3,0))</f>
        <v/>
      </c>
      <c r="L1966">
        <f>IF($G1966&lt;&gt;"ALCOHOL","",IF($K1966="","",$H1966*IFERROR(VLOOKUP($K1966,Drink_Templates!$A:$G,7,FALSE),0)))</f>
        <v/>
      </c>
    </row>
    <row r="1967" ht="15" customHeight="1">
      <c r="C1967">
        <f>IF($B1967="","",INT($B1967))</f>
        <v/>
      </c>
      <c r="D1967">
        <f>IF($C1967="","",$C1967-WEEKDAY($C1967,2)+1)</f>
        <v/>
      </c>
      <c r="E1967">
        <f>IF($C1967="","",DATE(YEAR($C1967),MONTH($C1967),1))</f>
        <v/>
      </c>
      <c r="F1967">
        <f>IF($C1967="","",YEAR($C1967)&amp;"-Q"&amp;ROUNDUP(MONTH($C1967)/3,0))</f>
        <v/>
      </c>
      <c r="L1967">
        <f>IF($G1967&lt;&gt;"ALCOHOL","",IF($K1967="","",$H1967*IFERROR(VLOOKUP($K1967,Drink_Templates!$A:$G,7,FALSE),0)))</f>
        <v/>
      </c>
    </row>
    <row r="1968" ht="15" customHeight="1">
      <c r="C1968">
        <f>IF($B1968="","",INT($B1968))</f>
        <v/>
      </c>
      <c r="D1968">
        <f>IF($C1968="","",$C1968-WEEKDAY($C1968,2)+1)</f>
        <v/>
      </c>
      <c r="E1968">
        <f>IF($C1968="","",DATE(YEAR($C1968),MONTH($C1968),1))</f>
        <v/>
      </c>
      <c r="F1968">
        <f>IF($C1968="","",YEAR($C1968)&amp;"-Q"&amp;ROUNDUP(MONTH($C1968)/3,0))</f>
        <v/>
      </c>
      <c r="L1968">
        <f>IF($G1968&lt;&gt;"ALCOHOL","",IF($K1968="","",$H1968*IFERROR(VLOOKUP($K1968,Drink_Templates!$A:$G,7,FALSE),0)))</f>
        <v/>
      </c>
    </row>
    <row r="1969" ht="15" customHeight="1">
      <c r="C1969">
        <f>IF($B1969="","",INT($B1969))</f>
        <v/>
      </c>
      <c r="D1969">
        <f>IF($C1969="","",$C1969-WEEKDAY($C1969,2)+1)</f>
        <v/>
      </c>
      <c r="E1969">
        <f>IF($C1969="","",DATE(YEAR($C1969),MONTH($C1969),1))</f>
        <v/>
      </c>
      <c r="F1969">
        <f>IF($C1969="","",YEAR($C1969)&amp;"-Q"&amp;ROUNDUP(MONTH($C1969)/3,0))</f>
        <v/>
      </c>
      <c r="L1969">
        <f>IF($G1969&lt;&gt;"ALCOHOL","",IF($K1969="","",$H1969*IFERROR(VLOOKUP($K1969,Drink_Templates!$A:$G,7,FALSE),0)))</f>
        <v/>
      </c>
    </row>
    <row r="1970" ht="15" customHeight="1">
      <c r="C1970">
        <f>IF($B1970="","",INT($B1970))</f>
        <v/>
      </c>
      <c r="D1970">
        <f>IF($C1970="","",$C1970-WEEKDAY($C1970,2)+1)</f>
        <v/>
      </c>
      <c r="E1970">
        <f>IF($C1970="","",DATE(YEAR($C1970),MONTH($C1970),1))</f>
        <v/>
      </c>
      <c r="F1970">
        <f>IF($C1970="","",YEAR($C1970)&amp;"-Q"&amp;ROUNDUP(MONTH($C1970)/3,0))</f>
        <v/>
      </c>
      <c r="L1970">
        <f>IF($G1970&lt;&gt;"ALCOHOL","",IF($K1970="","",$H1970*IFERROR(VLOOKUP($K1970,Drink_Templates!$A:$G,7,FALSE),0)))</f>
        <v/>
      </c>
    </row>
    <row r="1971" ht="15" customHeight="1">
      <c r="C1971">
        <f>IF($B1971="","",INT($B1971))</f>
        <v/>
      </c>
      <c r="D1971">
        <f>IF($C1971="","",$C1971-WEEKDAY($C1971,2)+1)</f>
        <v/>
      </c>
      <c r="E1971">
        <f>IF($C1971="","",DATE(YEAR($C1971),MONTH($C1971),1))</f>
        <v/>
      </c>
      <c r="F1971">
        <f>IF($C1971="","",YEAR($C1971)&amp;"-Q"&amp;ROUNDUP(MONTH($C1971)/3,0))</f>
        <v/>
      </c>
      <c r="L1971">
        <f>IF($G1971&lt;&gt;"ALCOHOL","",IF($K1971="","",$H1971*IFERROR(VLOOKUP($K1971,Drink_Templates!$A:$G,7,FALSE),0)))</f>
        <v/>
      </c>
    </row>
    <row r="1972" ht="15" customHeight="1">
      <c r="C1972">
        <f>IF($B1972="","",INT($B1972))</f>
        <v/>
      </c>
      <c r="D1972">
        <f>IF($C1972="","",$C1972-WEEKDAY($C1972,2)+1)</f>
        <v/>
      </c>
      <c r="E1972">
        <f>IF($C1972="","",DATE(YEAR($C1972),MONTH($C1972),1))</f>
        <v/>
      </c>
      <c r="F1972">
        <f>IF($C1972="","",YEAR($C1972)&amp;"-Q"&amp;ROUNDUP(MONTH($C1972)/3,0))</f>
        <v/>
      </c>
      <c r="L1972">
        <f>IF($G1972&lt;&gt;"ALCOHOL","",IF($K1972="","",$H1972*IFERROR(VLOOKUP($K1972,Drink_Templates!$A:$G,7,FALSE),0)))</f>
        <v/>
      </c>
    </row>
    <row r="1973" ht="15" customHeight="1">
      <c r="C1973">
        <f>IF($B1973="","",INT($B1973))</f>
        <v/>
      </c>
      <c r="D1973">
        <f>IF($C1973="","",$C1973-WEEKDAY($C1973,2)+1)</f>
        <v/>
      </c>
      <c r="E1973">
        <f>IF($C1973="","",DATE(YEAR($C1973),MONTH($C1973),1))</f>
        <v/>
      </c>
      <c r="F1973">
        <f>IF($C1973="","",YEAR($C1973)&amp;"-Q"&amp;ROUNDUP(MONTH($C1973)/3,0))</f>
        <v/>
      </c>
      <c r="L1973">
        <f>IF($G1973&lt;&gt;"ALCOHOL","",IF($K1973="","",$H1973*IFERROR(VLOOKUP($K1973,Drink_Templates!$A:$G,7,FALSE),0)))</f>
        <v/>
      </c>
    </row>
    <row r="1974" ht="15" customHeight="1">
      <c r="C1974">
        <f>IF($B1974="","",INT($B1974))</f>
        <v/>
      </c>
      <c r="D1974">
        <f>IF($C1974="","",$C1974-WEEKDAY($C1974,2)+1)</f>
        <v/>
      </c>
      <c r="E1974">
        <f>IF($C1974="","",DATE(YEAR($C1974),MONTH($C1974),1))</f>
        <v/>
      </c>
      <c r="F1974">
        <f>IF($C1974="","",YEAR($C1974)&amp;"-Q"&amp;ROUNDUP(MONTH($C1974)/3,0))</f>
        <v/>
      </c>
      <c r="L1974">
        <f>IF($G1974&lt;&gt;"ALCOHOL","",IF($K1974="","",$H1974*IFERROR(VLOOKUP($K1974,Drink_Templates!$A:$G,7,FALSE),0)))</f>
        <v/>
      </c>
    </row>
    <row r="1975" ht="15" customHeight="1">
      <c r="C1975">
        <f>IF($B1975="","",INT($B1975))</f>
        <v/>
      </c>
      <c r="D1975">
        <f>IF($C1975="","",$C1975-WEEKDAY($C1975,2)+1)</f>
        <v/>
      </c>
      <c r="E1975">
        <f>IF($C1975="","",DATE(YEAR($C1975),MONTH($C1975),1))</f>
        <v/>
      </c>
      <c r="F1975">
        <f>IF($C1975="","",YEAR($C1975)&amp;"-Q"&amp;ROUNDUP(MONTH($C1975)/3,0))</f>
        <v/>
      </c>
      <c r="L1975">
        <f>IF($G1975&lt;&gt;"ALCOHOL","",IF($K1975="","",$H1975*IFERROR(VLOOKUP($K1975,Drink_Templates!$A:$G,7,FALSE),0)))</f>
        <v/>
      </c>
    </row>
    <row r="1976" ht="15" customHeight="1">
      <c r="C1976">
        <f>IF($B1976="","",INT($B1976))</f>
        <v/>
      </c>
      <c r="D1976">
        <f>IF($C1976="","",$C1976-WEEKDAY($C1976,2)+1)</f>
        <v/>
      </c>
      <c r="E1976">
        <f>IF($C1976="","",DATE(YEAR($C1976),MONTH($C1976),1))</f>
        <v/>
      </c>
      <c r="F1976">
        <f>IF($C1976="","",YEAR($C1976)&amp;"-Q"&amp;ROUNDUP(MONTH($C1976)/3,0))</f>
        <v/>
      </c>
      <c r="L1976">
        <f>IF($G1976&lt;&gt;"ALCOHOL","",IF($K1976="","",$H1976*IFERROR(VLOOKUP($K1976,Drink_Templates!$A:$G,7,FALSE),0)))</f>
        <v/>
      </c>
    </row>
    <row r="1977" ht="15" customHeight="1">
      <c r="C1977">
        <f>IF($B1977="","",INT($B1977))</f>
        <v/>
      </c>
      <c r="D1977">
        <f>IF($C1977="","",$C1977-WEEKDAY($C1977,2)+1)</f>
        <v/>
      </c>
      <c r="E1977">
        <f>IF($C1977="","",DATE(YEAR($C1977),MONTH($C1977),1))</f>
        <v/>
      </c>
      <c r="F1977">
        <f>IF($C1977="","",YEAR($C1977)&amp;"-Q"&amp;ROUNDUP(MONTH($C1977)/3,0))</f>
        <v/>
      </c>
      <c r="L1977">
        <f>IF($G1977&lt;&gt;"ALCOHOL","",IF($K1977="","",$H1977*IFERROR(VLOOKUP($K1977,Drink_Templates!$A:$G,7,FALSE),0)))</f>
        <v/>
      </c>
    </row>
    <row r="1978" ht="15" customHeight="1">
      <c r="C1978">
        <f>IF($B1978="","",INT($B1978))</f>
        <v/>
      </c>
      <c r="D1978">
        <f>IF($C1978="","",$C1978-WEEKDAY($C1978,2)+1)</f>
        <v/>
      </c>
      <c r="E1978">
        <f>IF($C1978="","",DATE(YEAR($C1978),MONTH($C1978),1))</f>
        <v/>
      </c>
      <c r="F1978">
        <f>IF($C1978="","",YEAR($C1978)&amp;"-Q"&amp;ROUNDUP(MONTH($C1978)/3,0))</f>
        <v/>
      </c>
      <c r="L1978">
        <f>IF($G1978&lt;&gt;"ALCOHOL","",IF($K1978="","",$H1978*IFERROR(VLOOKUP($K1978,Drink_Templates!$A:$G,7,FALSE),0)))</f>
        <v/>
      </c>
    </row>
    <row r="1979" ht="15" customHeight="1">
      <c r="C1979">
        <f>IF($B1979="","",INT($B1979))</f>
        <v/>
      </c>
      <c r="D1979">
        <f>IF($C1979="","",$C1979-WEEKDAY($C1979,2)+1)</f>
        <v/>
      </c>
      <c r="E1979">
        <f>IF($C1979="","",DATE(YEAR($C1979),MONTH($C1979),1))</f>
        <v/>
      </c>
      <c r="F1979">
        <f>IF($C1979="","",YEAR($C1979)&amp;"-Q"&amp;ROUNDUP(MONTH($C1979)/3,0))</f>
        <v/>
      </c>
      <c r="L1979">
        <f>IF($G1979&lt;&gt;"ALCOHOL","",IF($K1979="","",$H1979*IFERROR(VLOOKUP($K1979,Drink_Templates!$A:$G,7,FALSE),0)))</f>
        <v/>
      </c>
    </row>
    <row r="1980" ht="15" customHeight="1">
      <c r="C1980">
        <f>IF($B1980="","",INT($B1980))</f>
        <v/>
      </c>
      <c r="D1980">
        <f>IF($C1980="","",$C1980-WEEKDAY($C1980,2)+1)</f>
        <v/>
      </c>
      <c r="E1980">
        <f>IF($C1980="","",DATE(YEAR($C1980),MONTH($C1980),1))</f>
        <v/>
      </c>
      <c r="F1980">
        <f>IF($C1980="","",YEAR($C1980)&amp;"-Q"&amp;ROUNDUP(MONTH($C1980)/3,0))</f>
        <v/>
      </c>
      <c r="L1980">
        <f>IF($G1980&lt;&gt;"ALCOHOL","",IF($K1980="","",$H1980*IFERROR(VLOOKUP($K1980,Drink_Templates!$A:$G,7,FALSE),0)))</f>
        <v/>
      </c>
    </row>
    <row r="1981" ht="15" customHeight="1">
      <c r="C1981">
        <f>IF($B1981="","",INT($B1981))</f>
        <v/>
      </c>
      <c r="D1981">
        <f>IF($C1981="","",$C1981-WEEKDAY($C1981,2)+1)</f>
        <v/>
      </c>
      <c r="E1981">
        <f>IF($C1981="","",DATE(YEAR($C1981),MONTH($C1981),1))</f>
        <v/>
      </c>
      <c r="F1981">
        <f>IF($C1981="","",YEAR($C1981)&amp;"-Q"&amp;ROUNDUP(MONTH($C1981)/3,0))</f>
        <v/>
      </c>
      <c r="L1981">
        <f>IF($G1981&lt;&gt;"ALCOHOL","",IF($K1981="","",$H1981*IFERROR(VLOOKUP($K1981,Drink_Templates!$A:$G,7,FALSE),0)))</f>
        <v/>
      </c>
    </row>
    <row r="1982" ht="15" customHeight="1">
      <c r="C1982">
        <f>IF($B1982="","",INT($B1982))</f>
        <v/>
      </c>
      <c r="D1982">
        <f>IF($C1982="","",$C1982-WEEKDAY($C1982,2)+1)</f>
        <v/>
      </c>
      <c r="E1982">
        <f>IF($C1982="","",DATE(YEAR($C1982),MONTH($C1982),1))</f>
        <v/>
      </c>
      <c r="F1982">
        <f>IF($C1982="","",YEAR($C1982)&amp;"-Q"&amp;ROUNDUP(MONTH($C1982)/3,0))</f>
        <v/>
      </c>
      <c r="L1982">
        <f>IF($G1982&lt;&gt;"ALCOHOL","",IF($K1982="","",$H1982*IFERROR(VLOOKUP($K1982,Drink_Templates!$A:$G,7,FALSE),0)))</f>
        <v/>
      </c>
    </row>
    <row r="1983" ht="15" customHeight="1">
      <c r="C1983">
        <f>IF($B1983="","",INT($B1983))</f>
        <v/>
      </c>
      <c r="D1983">
        <f>IF($C1983="","",$C1983-WEEKDAY($C1983,2)+1)</f>
        <v/>
      </c>
      <c r="E1983">
        <f>IF($C1983="","",DATE(YEAR($C1983),MONTH($C1983),1))</f>
        <v/>
      </c>
      <c r="F1983">
        <f>IF($C1983="","",YEAR($C1983)&amp;"-Q"&amp;ROUNDUP(MONTH($C1983)/3,0))</f>
        <v/>
      </c>
      <c r="L1983">
        <f>IF($G1983&lt;&gt;"ALCOHOL","",IF($K1983="","",$H1983*IFERROR(VLOOKUP($K1983,Drink_Templates!$A:$G,7,FALSE),0)))</f>
        <v/>
      </c>
    </row>
    <row r="1984" ht="15" customHeight="1">
      <c r="C1984">
        <f>IF($B1984="","",INT($B1984))</f>
        <v/>
      </c>
      <c r="D1984">
        <f>IF($C1984="","",$C1984-WEEKDAY($C1984,2)+1)</f>
        <v/>
      </c>
      <c r="E1984">
        <f>IF($C1984="","",DATE(YEAR($C1984),MONTH($C1984),1))</f>
        <v/>
      </c>
      <c r="F1984">
        <f>IF($C1984="","",YEAR($C1984)&amp;"-Q"&amp;ROUNDUP(MONTH($C1984)/3,0))</f>
        <v/>
      </c>
      <c r="L1984">
        <f>IF($G1984&lt;&gt;"ALCOHOL","",IF($K1984="","",$H1984*IFERROR(VLOOKUP($K1984,Drink_Templates!$A:$G,7,FALSE),0)))</f>
        <v/>
      </c>
    </row>
    <row r="1985" ht="15" customHeight="1">
      <c r="C1985">
        <f>IF($B1985="","",INT($B1985))</f>
        <v/>
      </c>
      <c r="D1985">
        <f>IF($C1985="","",$C1985-WEEKDAY($C1985,2)+1)</f>
        <v/>
      </c>
      <c r="E1985">
        <f>IF($C1985="","",DATE(YEAR($C1985),MONTH($C1985),1))</f>
        <v/>
      </c>
      <c r="F1985">
        <f>IF($C1985="","",YEAR($C1985)&amp;"-Q"&amp;ROUNDUP(MONTH($C1985)/3,0))</f>
        <v/>
      </c>
      <c r="L1985">
        <f>IF($G1985&lt;&gt;"ALCOHOL","",IF($K1985="","",$H1985*IFERROR(VLOOKUP($K1985,Drink_Templates!$A:$G,7,FALSE),0)))</f>
        <v/>
      </c>
    </row>
    <row r="1986" ht="15" customHeight="1">
      <c r="C1986">
        <f>IF($B1986="","",INT($B1986))</f>
        <v/>
      </c>
      <c r="D1986">
        <f>IF($C1986="","",$C1986-WEEKDAY($C1986,2)+1)</f>
        <v/>
      </c>
      <c r="E1986">
        <f>IF($C1986="","",DATE(YEAR($C1986),MONTH($C1986),1))</f>
        <v/>
      </c>
      <c r="F1986">
        <f>IF($C1986="","",YEAR($C1986)&amp;"-Q"&amp;ROUNDUP(MONTH($C1986)/3,0))</f>
        <v/>
      </c>
      <c r="L1986">
        <f>IF($G1986&lt;&gt;"ALCOHOL","",IF($K1986="","",$H1986*IFERROR(VLOOKUP($K1986,Drink_Templates!$A:$G,7,FALSE),0)))</f>
        <v/>
      </c>
    </row>
    <row r="1987" ht="15" customHeight="1">
      <c r="C1987">
        <f>IF($B1987="","",INT($B1987))</f>
        <v/>
      </c>
      <c r="D1987">
        <f>IF($C1987="","",$C1987-WEEKDAY($C1987,2)+1)</f>
        <v/>
      </c>
      <c r="E1987">
        <f>IF($C1987="","",DATE(YEAR($C1987),MONTH($C1987),1))</f>
        <v/>
      </c>
      <c r="F1987">
        <f>IF($C1987="","",YEAR($C1987)&amp;"-Q"&amp;ROUNDUP(MONTH($C1987)/3,0))</f>
        <v/>
      </c>
      <c r="L1987">
        <f>IF($G1987&lt;&gt;"ALCOHOL","",IF($K1987="","",$H1987*IFERROR(VLOOKUP($K1987,Drink_Templates!$A:$G,7,FALSE),0)))</f>
        <v/>
      </c>
    </row>
    <row r="1988" ht="15" customHeight="1">
      <c r="C1988">
        <f>IF($B1988="","",INT($B1988))</f>
        <v/>
      </c>
      <c r="D1988">
        <f>IF($C1988="","",$C1988-WEEKDAY($C1988,2)+1)</f>
        <v/>
      </c>
      <c r="E1988">
        <f>IF($C1988="","",DATE(YEAR($C1988),MONTH($C1988),1))</f>
        <v/>
      </c>
      <c r="F1988">
        <f>IF($C1988="","",YEAR($C1988)&amp;"-Q"&amp;ROUNDUP(MONTH($C1988)/3,0))</f>
        <v/>
      </c>
      <c r="L1988">
        <f>IF($G1988&lt;&gt;"ALCOHOL","",IF($K1988="","",$H1988*IFERROR(VLOOKUP($K1988,Drink_Templates!$A:$G,7,FALSE),0)))</f>
        <v/>
      </c>
    </row>
    <row r="1989" ht="15" customHeight="1">
      <c r="C1989">
        <f>IF($B1989="","",INT($B1989))</f>
        <v/>
      </c>
      <c r="D1989">
        <f>IF($C1989="","",$C1989-WEEKDAY($C1989,2)+1)</f>
        <v/>
      </c>
      <c r="E1989">
        <f>IF($C1989="","",DATE(YEAR($C1989),MONTH($C1989),1))</f>
        <v/>
      </c>
      <c r="F1989">
        <f>IF($C1989="","",YEAR($C1989)&amp;"-Q"&amp;ROUNDUP(MONTH($C1989)/3,0))</f>
        <v/>
      </c>
      <c r="L1989">
        <f>IF($G1989&lt;&gt;"ALCOHOL","",IF($K1989="","",$H1989*IFERROR(VLOOKUP($K1989,Drink_Templates!$A:$G,7,FALSE),0)))</f>
        <v/>
      </c>
    </row>
    <row r="1990" ht="15" customHeight="1">
      <c r="C1990">
        <f>IF($B1990="","",INT($B1990))</f>
        <v/>
      </c>
      <c r="D1990">
        <f>IF($C1990="","",$C1990-WEEKDAY($C1990,2)+1)</f>
        <v/>
      </c>
      <c r="E1990">
        <f>IF($C1990="","",DATE(YEAR($C1990),MONTH($C1990),1))</f>
        <v/>
      </c>
      <c r="F1990">
        <f>IF($C1990="","",YEAR($C1990)&amp;"-Q"&amp;ROUNDUP(MONTH($C1990)/3,0))</f>
        <v/>
      </c>
      <c r="L1990">
        <f>IF($G1990&lt;&gt;"ALCOHOL","",IF($K1990="","",$H1990*IFERROR(VLOOKUP($K1990,Drink_Templates!$A:$G,7,FALSE),0)))</f>
        <v/>
      </c>
    </row>
    <row r="1991" ht="15" customHeight="1">
      <c r="C1991">
        <f>IF($B1991="","",INT($B1991))</f>
        <v/>
      </c>
      <c r="D1991">
        <f>IF($C1991="","",$C1991-WEEKDAY($C1991,2)+1)</f>
        <v/>
      </c>
      <c r="E1991">
        <f>IF($C1991="","",DATE(YEAR($C1991),MONTH($C1991),1))</f>
        <v/>
      </c>
      <c r="F1991">
        <f>IF($C1991="","",YEAR($C1991)&amp;"-Q"&amp;ROUNDUP(MONTH($C1991)/3,0))</f>
        <v/>
      </c>
      <c r="L1991">
        <f>IF($G1991&lt;&gt;"ALCOHOL","",IF($K1991="","",$H1991*IFERROR(VLOOKUP($K1991,Drink_Templates!$A:$G,7,FALSE),0)))</f>
        <v/>
      </c>
    </row>
    <row r="1992" ht="15" customHeight="1">
      <c r="C1992">
        <f>IF($B1992="","",INT($B1992))</f>
        <v/>
      </c>
      <c r="D1992">
        <f>IF($C1992="","",$C1992-WEEKDAY($C1992,2)+1)</f>
        <v/>
      </c>
      <c r="E1992">
        <f>IF($C1992="","",DATE(YEAR($C1992),MONTH($C1992),1))</f>
        <v/>
      </c>
      <c r="F1992">
        <f>IF($C1992="","",YEAR($C1992)&amp;"-Q"&amp;ROUNDUP(MONTH($C1992)/3,0))</f>
        <v/>
      </c>
      <c r="L1992">
        <f>IF($G1992&lt;&gt;"ALCOHOL","",IF($K1992="","",$H1992*IFERROR(VLOOKUP($K1992,Drink_Templates!$A:$G,7,FALSE),0)))</f>
        <v/>
      </c>
    </row>
    <row r="1993" ht="15" customHeight="1">
      <c r="C1993">
        <f>IF($B1993="","",INT($B1993))</f>
        <v/>
      </c>
      <c r="D1993">
        <f>IF($C1993="","",$C1993-WEEKDAY($C1993,2)+1)</f>
        <v/>
      </c>
      <c r="E1993">
        <f>IF($C1993="","",DATE(YEAR($C1993),MONTH($C1993),1))</f>
        <v/>
      </c>
      <c r="F1993">
        <f>IF($C1993="","",YEAR($C1993)&amp;"-Q"&amp;ROUNDUP(MONTH($C1993)/3,0))</f>
        <v/>
      </c>
      <c r="L1993">
        <f>IF($G1993&lt;&gt;"ALCOHOL","",IF($K1993="","",$H1993*IFERROR(VLOOKUP($K1993,Drink_Templates!$A:$G,7,FALSE),0)))</f>
        <v/>
      </c>
    </row>
    <row r="1994" ht="15" customHeight="1">
      <c r="C1994">
        <f>IF($B1994="","",INT($B1994))</f>
        <v/>
      </c>
      <c r="D1994">
        <f>IF($C1994="","",$C1994-WEEKDAY($C1994,2)+1)</f>
        <v/>
      </c>
      <c r="E1994">
        <f>IF($C1994="","",DATE(YEAR($C1994),MONTH($C1994),1))</f>
        <v/>
      </c>
      <c r="F1994">
        <f>IF($C1994="","",YEAR($C1994)&amp;"-Q"&amp;ROUNDUP(MONTH($C1994)/3,0))</f>
        <v/>
      </c>
      <c r="L1994">
        <f>IF($G1994&lt;&gt;"ALCOHOL","",IF($K1994="","",$H1994*IFERROR(VLOOKUP($K1994,Drink_Templates!$A:$G,7,FALSE),0)))</f>
        <v/>
      </c>
    </row>
    <row r="1995" ht="15" customHeight="1">
      <c r="C1995">
        <f>IF($B1995="","",INT($B1995))</f>
        <v/>
      </c>
      <c r="D1995">
        <f>IF($C1995="","",$C1995-WEEKDAY($C1995,2)+1)</f>
        <v/>
      </c>
      <c r="E1995">
        <f>IF($C1995="","",DATE(YEAR($C1995),MONTH($C1995),1))</f>
        <v/>
      </c>
      <c r="F1995">
        <f>IF($C1995="","",YEAR($C1995)&amp;"-Q"&amp;ROUNDUP(MONTH($C1995)/3,0))</f>
        <v/>
      </c>
      <c r="L1995">
        <f>IF($G1995&lt;&gt;"ALCOHOL","",IF($K1995="","",$H1995*IFERROR(VLOOKUP($K1995,Drink_Templates!$A:$G,7,FALSE),0)))</f>
        <v/>
      </c>
    </row>
    <row r="1996" ht="15" customHeight="1">
      <c r="C1996">
        <f>IF($B1996="","",INT($B1996))</f>
        <v/>
      </c>
      <c r="D1996">
        <f>IF($C1996="","",$C1996-WEEKDAY($C1996,2)+1)</f>
        <v/>
      </c>
      <c r="E1996">
        <f>IF($C1996="","",DATE(YEAR($C1996),MONTH($C1996),1))</f>
        <v/>
      </c>
      <c r="F1996">
        <f>IF($C1996="","",YEAR($C1996)&amp;"-Q"&amp;ROUNDUP(MONTH($C1996)/3,0))</f>
        <v/>
      </c>
      <c r="L1996">
        <f>IF($G1996&lt;&gt;"ALCOHOL","",IF($K1996="","",$H1996*IFERROR(VLOOKUP($K1996,Drink_Templates!$A:$G,7,FALSE),0)))</f>
        <v/>
      </c>
    </row>
    <row r="1997" ht="15" customHeight="1">
      <c r="C1997">
        <f>IF($B1997="","",INT($B1997))</f>
        <v/>
      </c>
      <c r="D1997">
        <f>IF($C1997="","",$C1997-WEEKDAY($C1997,2)+1)</f>
        <v/>
      </c>
      <c r="E1997">
        <f>IF($C1997="","",DATE(YEAR($C1997),MONTH($C1997),1))</f>
        <v/>
      </c>
      <c r="F1997">
        <f>IF($C1997="","",YEAR($C1997)&amp;"-Q"&amp;ROUNDUP(MONTH($C1997)/3,0))</f>
        <v/>
      </c>
      <c r="L1997">
        <f>IF($G1997&lt;&gt;"ALCOHOL","",IF($K1997="","",$H1997*IFERROR(VLOOKUP($K1997,Drink_Templates!$A:$G,7,FALSE),0)))</f>
        <v/>
      </c>
    </row>
    <row r="1998" ht="15" customHeight="1">
      <c r="C1998">
        <f>IF($B1998="","",INT($B1998))</f>
        <v/>
      </c>
      <c r="D1998">
        <f>IF($C1998="","",$C1998-WEEKDAY($C1998,2)+1)</f>
        <v/>
      </c>
      <c r="E1998">
        <f>IF($C1998="","",DATE(YEAR($C1998),MONTH($C1998),1))</f>
        <v/>
      </c>
      <c r="F1998">
        <f>IF($C1998="","",YEAR($C1998)&amp;"-Q"&amp;ROUNDUP(MONTH($C1998)/3,0))</f>
        <v/>
      </c>
      <c r="L1998">
        <f>IF($G1998&lt;&gt;"ALCOHOL","",IF($K1998="","",$H1998*IFERROR(VLOOKUP($K1998,Drink_Templates!$A:$G,7,FALSE),0)))</f>
        <v/>
      </c>
    </row>
    <row r="1999" ht="15" customHeight="1">
      <c r="C1999">
        <f>IF($B1999="","",INT($B1999))</f>
        <v/>
      </c>
      <c r="D1999">
        <f>IF($C1999="","",$C1999-WEEKDAY($C1999,2)+1)</f>
        <v/>
      </c>
      <c r="E1999">
        <f>IF($C1999="","",DATE(YEAR($C1999),MONTH($C1999),1))</f>
        <v/>
      </c>
      <c r="F1999">
        <f>IF($C1999="","",YEAR($C1999)&amp;"-Q"&amp;ROUNDUP(MONTH($C1999)/3,0))</f>
        <v/>
      </c>
      <c r="L1999">
        <f>IF($G1999&lt;&gt;"ALCOHOL","",IF($K1999="","",$H1999*IFERROR(VLOOKUP($K1999,Drink_Templates!$A:$G,7,FALSE),0)))</f>
        <v/>
      </c>
    </row>
    <row r="2000" ht="15" customHeight="1">
      <c r="C2000">
        <f>IF($B2000="","",INT($B2000))</f>
        <v/>
      </c>
      <c r="D2000">
        <f>IF($C2000="","",$C2000-WEEKDAY($C2000,2)+1)</f>
        <v/>
      </c>
      <c r="E2000">
        <f>IF($C2000="","",DATE(YEAR($C2000),MONTH($C2000),1))</f>
        <v/>
      </c>
      <c r="F2000">
        <f>IF($C2000="","",YEAR($C2000)&amp;"-Q"&amp;ROUNDUP(MONTH($C2000)/3,0))</f>
        <v/>
      </c>
      <c r="L2000">
        <f>IF($G2000&lt;&gt;"ALCOHOL","",IF($K2000="","",$H2000*IFERROR(VLOOKUP($K2000,Drink_Templates!$A:$G,7,FALSE),0)))</f>
        <v/>
      </c>
    </row>
    <row r="2001" ht="15" customHeight="1">
      <c r="C2001">
        <f>IF($B2001="","",INT($B2001))</f>
        <v/>
      </c>
      <c r="D2001">
        <f>IF($C2001="","",$C2001-WEEKDAY($C2001,2)+1)</f>
        <v/>
      </c>
      <c r="E2001">
        <f>IF($C2001="","",DATE(YEAR($C2001),MONTH($C2001),1))</f>
        <v/>
      </c>
      <c r="F2001">
        <f>IF($C2001="","",YEAR($C2001)&amp;"-Q"&amp;ROUNDUP(MONTH($C2001)/3,0))</f>
        <v/>
      </c>
      <c r="L2001">
        <f>IF($G2001&lt;&gt;"ALCOHOL","",IF($K2001="","",$H2001*IFERROR(VLOOKUP($K2001,Drink_Templates!$A:$G,7,FALSE),0)))</f>
        <v/>
      </c>
    </row>
    <row r="2002" ht="15" customHeight="1">
      <c r="C2002">
        <f>IF($B2002="","",INT($B2002))</f>
        <v/>
      </c>
      <c r="D2002">
        <f>IF($C2002="","",$C2002-WEEKDAY($C2002,2)+1)</f>
        <v/>
      </c>
      <c r="E2002">
        <f>IF($C2002="","",DATE(YEAR($C2002),MONTH($C2002),1))</f>
        <v/>
      </c>
      <c r="F2002">
        <f>IF($C2002="","",YEAR($C2002)&amp;"-Q"&amp;ROUNDUP(MONTH($C2002)/3,0))</f>
        <v/>
      </c>
      <c r="L2002">
        <f>IF($G2002&lt;&gt;"ALCOHOL","",IF($K2002="","",$H2002*IFERROR(VLOOKUP($K2002,Drink_Templates!$A:$G,7,FALSE),0)))</f>
        <v/>
      </c>
    </row>
    <row r="2003" ht="15" customHeight="1">
      <c r="C2003">
        <f>IF($B2003="","",INT($B2003))</f>
        <v/>
      </c>
      <c r="D2003">
        <f>IF($C2003="","",$C2003-WEEKDAY($C2003,2)+1)</f>
        <v/>
      </c>
      <c r="E2003">
        <f>IF($C2003="","",DATE(YEAR($C2003),MONTH($C2003),1))</f>
        <v/>
      </c>
      <c r="F2003">
        <f>IF($C2003="","",YEAR($C2003)&amp;"-Q"&amp;ROUNDUP(MONTH($C2003)/3,0))</f>
        <v/>
      </c>
      <c r="L2003">
        <f>IF($G2003&lt;&gt;"ALCOHOL","",IF($K2003="","",$H2003*IFERROR(VLOOKUP($K2003,Drink_Templates!$A:$G,7,FALSE),0)))</f>
        <v/>
      </c>
    </row>
    <row r="2004" ht="15" customHeight="1">
      <c r="C2004">
        <f>IF($B2004="","",INT($B2004))</f>
        <v/>
      </c>
      <c r="D2004">
        <f>IF($C2004="","",$C2004-WEEKDAY($C2004,2)+1)</f>
        <v/>
      </c>
      <c r="E2004">
        <f>IF($C2004="","",DATE(YEAR($C2004),MONTH($C2004),1))</f>
        <v/>
      </c>
      <c r="F2004">
        <f>IF($C2004="","",YEAR($C2004)&amp;"-Q"&amp;ROUNDUP(MONTH($C2004)/3,0))</f>
        <v/>
      </c>
      <c r="L2004">
        <f>IF($G2004&lt;&gt;"ALCOHOL","",IF($K2004="","",$H2004*IFERROR(VLOOKUP($K2004,Drink_Templates!$A:$G,7,FALSE),0)))</f>
        <v/>
      </c>
    </row>
    <row r="2005" ht="15" customHeight="1">
      <c r="C2005">
        <f>IF($B2005="","",INT($B2005))</f>
        <v/>
      </c>
      <c r="D2005">
        <f>IF($C2005="","",$C2005-WEEKDAY($C2005,2)+1)</f>
        <v/>
      </c>
      <c r="E2005">
        <f>IF($C2005="","",DATE(YEAR($C2005),MONTH($C2005),1))</f>
        <v/>
      </c>
      <c r="F2005">
        <f>IF($C2005="","",YEAR($C2005)&amp;"-Q"&amp;ROUNDUP(MONTH($C2005)/3,0))</f>
        <v/>
      </c>
      <c r="L2005">
        <f>IF($G2005&lt;&gt;"ALCOHOL","",IF($K2005="","",$H2005*IFERROR(VLOOKUP($K2005,Drink_Templates!$A:$G,7,FALSE),0)))</f>
        <v/>
      </c>
    </row>
    <row r="2006" ht="15" customHeight="1">
      <c r="C2006">
        <f>IF($B2006="","",INT($B2006))</f>
        <v/>
      </c>
      <c r="D2006">
        <f>IF($C2006="","",$C2006-WEEKDAY($C2006,2)+1)</f>
        <v/>
      </c>
      <c r="E2006">
        <f>IF($C2006="","",DATE(YEAR($C2006),MONTH($C2006),1))</f>
        <v/>
      </c>
      <c r="F2006">
        <f>IF($C2006="","",YEAR($C2006)&amp;"-Q"&amp;ROUNDUP(MONTH($C2006)/3,0))</f>
        <v/>
      </c>
      <c r="L2006">
        <f>IF($G2006&lt;&gt;"ALCOHOL","",IF($K2006="","",$H2006*IFERROR(VLOOKUP($K2006,Drink_Templates!$A:$G,7,FALSE),0)))</f>
        <v/>
      </c>
    </row>
    <row r="2007" ht="15" customHeight="1">
      <c r="C2007">
        <f>IF($B2007="","",INT($B2007))</f>
        <v/>
      </c>
      <c r="D2007">
        <f>IF($C2007="","",$C2007-WEEKDAY($C2007,2)+1)</f>
        <v/>
      </c>
      <c r="E2007">
        <f>IF($C2007="","",DATE(YEAR($C2007),MONTH($C2007),1))</f>
        <v/>
      </c>
      <c r="F2007">
        <f>IF($C2007="","",YEAR($C2007)&amp;"-Q"&amp;ROUNDUP(MONTH($C2007)/3,0))</f>
        <v/>
      </c>
      <c r="L2007">
        <f>IF($G2007&lt;&gt;"ALCOHOL","",IF($K2007="","",$H2007*IFERROR(VLOOKUP($K2007,Drink_Templates!$A:$G,7,FALSE),0)))</f>
        <v/>
      </c>
    </row>
    <row r="2008" ht="15" customHeight="1">
      <c r="C2008">
        <f>IF($B2008="","",INT($B2008))</f>
        <v/>
      </c>
      <c r="D2008">
        <f>IF($C2008="","",$C2008-WEEKDAY($C2008,2)+1)</f>
        <v/>
      </c>
      <c r="E2008">
        <f>IF($C2008="","",DATE(YEAR($C2008),MONTH($C2008),1))</f>
        <v/>
      </c>
      <c r="F2008">
        <f>IF($C2008="","",YEAR($C2008)&amp;"-Q"&amp;ROUNDUP(MONTH($C2008)/3,0))</f>
        <v/>
      </c>
      <c r="L2008">
        <f>IF($G2008&lt;&gt;"ALCOHOL","",IF($K2008="","",$H2008*IFERROR(VLOOKUP($K2008,Drink_Templates!$A:$G,7,FALSE),0)))</f>
        <v/>
      </c>
    </row>
    <row r="2009" ht="15" customHeight="1">
      <c r="C2009">
        <f>IF($B2009="","",INT($B2009))</f>
        <v/>
      </c>
      <c r="D2009">
        <f>IF($C2009="","",$C2009-WEEKDAY($C2009,2)+1)</f>
        <v/>
      </c>
      <c r="E2009">
        <f>IF($C2009="","",DATE(YEAR($C2009),MONTH($C2009),1))</f>
        <v/>
      </c>
      <c r="F2009">
        <f>IF($C2009="","",YEAR($C2009)&amp;"-Q"&amp;ROUNDUP(MONTH($C2009)/3,0))</f>
        <v/>
      </c>
      <c r="L2009">
        <f>IF($G2009&lt;&gt;"ALCOHOL","",IF($K2009="","",$H2009*IFERROR(VLOOKUP($K2009,Drink_Templates!$A:$G,7,FALSE),0)))</f>
        <v/>
      </c>
    </row>
    <row r="2010" ht="15" customHeight="1">
      <c r="C2010">
        <f>IF($B2010="","",INT($B2010))</f>
        <v/>
      </c>
      <c r="D2010">
        <f>IF($C2010="","",$C2010-WEEKDAY($C2010,2)+1)</f>
        <v/>
      </c>
      <c r="E2010">
        <f>IF($C2010="","",DATE(YEAR($C2010),MONTH($C2010),1))</f>
        <v/>
      </c>
      <c r="F2010">
        <f>IF($C2010="","",YEAR($C2010)&amp;"-Q"&amp;ROUNDUP(MONTH($C2010)/3,0))</f>
        <v/>
      </c>
      <c r="L2010">
        <f>IF($G2010&lt;&gt;"ALCOHOL","",IF($K2010="","",$H2010*IFERROR(VLOOKUP($K2010,Drink_Templates!$A:$G,7,FALSE),0)))</f>
        <v/>
      </c>
    </row>
    <row r="2011" ht="15" customHeight="1">
      <c r="C2011">
        <f>IF($B2011="","",INT($B2011))</f>
        <v/>
      </c>
      <c r="D2011">
        <f>IF($C2011="","",$C2011-WEEKDAY($C2011,2)+1)</f>
        <v/>
      </c>
      <c r="E2011">
        <f>IF($C2011="","",DATE(YEAR($C2011),MONTH($C2011),1))</f>
        <v/>
      </c>
      <c r="F2011">
        <f>IF($C2011="","",YEAR($C2011)&amp;"-Q"&amp;ROUNDUP(MONTH($C2011)/3,0))</f>
        <v/>
      </c>
      <c r="L2011">
        <f>IF($G2011&lt;&gt;"ALCOHOL","",IF($K2011="","",$H2011*IFERROR(VLOOKUP($K2011,Drink_Templates!$A:$G,7,FALSE),0)))</f>
        <v/>
      </c>
    </row>
    <row r="2012" ht="15" customHeight="1">
      <c r="C2012">
        <f>IF($B2012="","",INT($B2012))</f>
        <v/>
      </c>
      <c r="D2012">
        <f>IF($C2012="","",$C2012-WEEKDAY($C2012,2)+1)</f>
        <v/>
      </c>
      <c r="E2012">
        <f>IF($C2012="","",DATE(YEAR($C2012),MONTH($C2012),1))</f>
        <v/>
      </c>
      <c r="F2012">
        <f>IF($C2012="","",YEAR($C2012)&amp;"-Q"&amp;ROUNDUP(MONTH($C2012)/3,0))</f>
        <v/>
      </c>
      <c r="L2012">
        <f>IF($G2012&lt;&gt;"ALCOHOL","",IF($K2012="","",$H2012*IFERROR(VLOOKUP($K2012,Drink_Templates!$A:$G,7,FALSE),0)))</f>
        <v/>
      </c>
    </row>
    <row r="2013" ht="15" customHeight="1">
      <c r="C2013">
        <f>IF($B2013="","",INT($B2013))</f>
        <v/>
      </c>
      <c r="D2013">
        <f>IF($C2013="","",$C2013-WEEKDAY($C2013,2)+1)</f>
        <v/>
      </c>
      <c r="E2013">
        <f>IF($C2013="","",DATE(YEAR($C2013),MONTH($C2013),1))</f>
        <v/>
      </c>
      <c r="F2013">
        <f>IF($C2013="","",YEAR($C2013)&amp;"-Q"&amp;ROUNDUP(MONTH($C2013)/3,0))</f>
        <v/>
      </c>
      <c r="L2013">
        <f>IF($G2013&lt;&gt;"ALCOHOL","",IF($K2013="","",$H2013*IFERROR(VLOOKUP($K2013,Drink_Templates!$A:$G,7,FALSE),0)))</f>
        <v/>
      </c>
    </row>
    <row r="2014" ht="15" customHeight="1">
      <c r="C2014">
        <f>IF($B2014="","",INT($B2014))</f>
        <v/>
      </c>
      <c r="D2014">
        <f>IF($C2014="","",$C2014-WEEKDAY($C2014,2)+1)</f>
        <v/>
      </c>
      <c r="E2014">
        <f>IF($C2014="","",DATE(YEAR($C2014),MONTH($C2014),1))</f>
        <v/>
      </c>
      <c r="F2014">
        <f>IF($C2014="","",YEAR($C2014)&amp;"-Q"&amp;ROUNDUP(MONTH($C2014)/3,0))</f>
        <v/>
      </c>
      <c r="L2014">
        <f>IF($G2014&lt;&gt;"ALCOHOL","",IF($K2014="","",$H2014*IFERROR(VLOOKUP($K2014,Drink_Templates!$A:$G,7,FALSE),0)))</f>
        <v/>
      </c>
    </row>
    <row r="2015" ht="15" customHeight="1">
      <c r="C2015">
        <f>IF($B2015="","",INT($B2015))</f>
        <v/>
      </c>
      <c r="D2015">
        <f>IF($C2015="","",$C2015-WEEKDAY($C2015,2)+1)</f>
        <v/>
      </c>
      <c r="E2015">
        <f>IF($C2015="","",DATE(YEAR($C2015),MONTH($C2015),1))</f>
        <v/>
      </c>
      <c r="F2015">
        <f>IF($C2015="","",YEAR($C2015)&amp;"-Q"&amp;ROUNDUP(MONTH($C2015)/3,0))</f>
        <v/>
      </c>
      <c r="L2015">
        <f>IF($G2015&lt;&gt;"ALCOHOL","",IF($K2015="","",$H2015*IFERROR(VLOOKUP($K2015,Drink_Templates!$A:$G,7,FALSE),0)))</f>
        <v/>
      </c>
    </row>
    <row r="2016" ht="15" customHeight="1">
      <c r="C2016">
        <f>IF($B2016="","",INT($B2016))</f>
        <v/>
      </c>
      <c r="D2016">
        <f>IF($C2016="","",$C2016-WEEKDAY($C2016,2)+1)</f>
        <v/>
      </c>
      <c r="E2016">
        <f>IF($C2016="","",DATE(YEAR($C2016),MONTH($C2016),1))</f>
        <v/>
      </c>
      <c r="F2016">
        <f>IF($C2016="","",YEAR($C2016)&amp;"-Q"&amp;ROUNDUP(MONTH($C2016)/3,0))</f>
        <v/>
      </c>
      <c r="L2016">
        <f>IF($G2016&lt;&gt;"ALCOHOL","",IF($K2016="","",$H2016*IFERROR(VLOOKUP($K2016,Drink_Templates!$A:$G,7,FALSE),0)))</f>
        <v/>
      </c>
    </row>
    <row r="2017" ht="15" customHeight="1">
      <c r="C2017">
        <f>IF($B2017="","",INT($B2017))</f>
        <v/>
      </c>
      <c r="D2017">
        <f>IF($C2017="","",$C2017-WEEKDAY($C2017,2)+1)</f>
        <v/>
      </c>
      <c r="E2017">
        <f>IF($C2017="","",DATE(YEAR($C2017),MONTH($C2017),1))</f>
        <v/>
      </c>
      <c r="F2017">
        <f>IF($C2017="","",YEAR($C2017)&amp;"-Q"&amp;ROUNDUP(MONTH($C2017)/3,0))</f>
        <v/>
      </c>
      <c r="L2017">
        <f>IF($G2017&lt;&gt;"ALCOHOL","",IF($K2017="","",$H2017*IFERROR(VLOOKUP($K2017,Drink_Templates!$A:$G,7,FALSE),0)))</f>
        <v/>
      </c>
    </row>
    <row r="2018" ht="15" customHeight="1">
      <c r="C2018">
        <f>IF($B2018="","",INT($B2018))</f>
        <v/>
      </c>
      <c r="D2018">
        <f>IF($C2018="","",$C2018-WEEKDAY($C2018,2)+1)</f>
        <v/>
      </c>
      <c r="E2018">
        <f>IF($C2018="","",DATE(YEAR($C2018),MONTH($C2018),1))</f>
        <v/>
      </c>
      <c r="F2018">
        <f>IF($C2018="","",YEAR($C2018)&amp;"-Q"&amp;ROUNDUP(MONTH($C2018)/3,0))</f>
        <v/>
      </c>
      <c r="L2018">
        <f>IF($G2018&lt;&gt;"ALCOHOL","",IF($K2018="","",$H2018*IFERROR(VLOOKUP($K2018,Drink_Templates!$A:$G,7,FALSE),0)))</f>
        <v/>
      </c>
    </row>
    <row r="2019" ht="15" customHeight="1">
      <c r="C2019">
        <f>IF($B2019="","",INT($B2019))</f>
        <v/>
      </c>
      <c r="D2019">
        <f>IF($C2019="","",$C2019-WEEKDAY($C2019,2)+1)</f>
        <v/>
      </c>
      <c r="E2019">
        <f>IF($C2019="","",DATE(YEAR($C2019),MONTH($C2019),1))</f>
        <v/>
      </c>
      <c r="F2019">
        <f>IF($C2019="","",YEAR($C2019)&amp;"-Q"&amp;ROUNDUP(MONTH($C2019)/3,0))</f>
        <v/>
      </c>
      <c r="L2019">
        <f>IF($G2019&lt;&gt;"ALCOHOL","",IF($K2019="","",$H2019*IFERROR(VLOOKUP($K2019,Drink_Templates!$A:$G,7,FALSE),0)))</f>
        <v/>
      </c>
    </row>
    <row r="2020" ht="15" customHeight="1">
      <c r="C2020">
        <f>IF($B2020="","",INT($B2020))</f>
        <v/>
      </c>
      <c r="D2020">
        <f>IF($C2020="","",$C2020-WEEKDAY($C2020,2)+1)</f>
        <v/>
      </c>
      <c r="E2020">
        <f>IF($C2020="","",DATE(YEAR($C2020),MONTH($C2020),1))</f>
        <v/>
      </c>
      <c r="F2020">
        <f>IF($C2020="","",YEAR($C2020)&amp;"-Q"&amp;ROUNDUP(MONTH($C2020)/3,0))</f>
        <v/>
      </c>
      <c r="L2020">
        <f>IF($G2020&lt;&gt;"ALCOHOL","",IF($K2020="","",$H2020*IFERROR(VLOOKUP($K2020,Drink_Templates!$A:$G,7,FALSE),0)))</f>
        <v/>
      </c>
    </row>
    <row r="2021" ht="15" customHeight="1">
      <c r="C2021">
        <f>IF($B2021="","",INT($B2021))</f>
        <v/>
      </c>
      <c r="D2021">
        <f>IF($C2021="","",$C2021-WEEKDAY($C2021,2)+1)</f>
        <v/>
      </c>
      <c r="E2021">
        <f>IF($C2021="","",DATE(YEAR($C2021),MONTH($C2021),1))</f>
        <v/>
      </c>
      <c r="F2021">
        <f>IF($C2021="","",YEAR($C2021)&amp;"-Q"&amp;ROUNDUP(MONTH($C2021)/3,0))</f>
        <v/>
      </c>
      <c r="L2021">
        <f>IF($G2021&lt;&gt;"ALCOHOL","",IF($K2021="","",$H2021*IFERROR(VLOOKUP($K2021,Drink_Templates!$A:$G,7,FALSE),0)))</f>
        <v/>
      </c>
    </row>
    <row r="2022" ht="15" customHeight="1">
      <c r="C2022">
        <f>IF($B2022="","",INT($B2022))</f>
        <v/>
      </c>
      <c r="D2022">
        <f>IF($C2022="","",$C2022-WEEKDAY($C2022,2)+1)</f>
        <v/>
      </c>
      <c r="E2022">
        <f>IF($C2022="","",DATE(YEAR($C2022),MONTH($C2022),1))</f>
        <v/>
      </c>
      <c r="F2022">
        <f>IF($C2022="","",YEAR($C2022)&amp;"-Q"&amp;ROUNDUP(MONTH($C2022)/3,0))</f>
        <v/>
      </c>
      <c r="L2022">
        <f>IF($G2022&lt;&gt;"ALCOHOL","",IF($K2022="","",$H2022*IFERROR(VLOOKUP($K2022,Drink_Templates!$A:$G,7,FALSE),0)))</f>
        <v/>
      </c>
    </row>
    <row r="2023" ht="15" customHeight="1">
      <c r="C2023">
        <f>IF($B2023="","",INT($B2023))</f>
        <v/>
      </c>
      <c r="D2023">
        <f>IF($C2023="","",$C2023-WEEKDAY($C2023,2)+1)</f>
        <v/>
      </c>
      <c r="E2023">
        <f>IF($C2023="","",DATE(YEAR($C2023),MONTH($C2023),1))</f>
        <v/>
      </c>
      <c r="F2023">
        <f>IF($C2023="","",YEAR($C2023)&amp;"-Q"&amp;ROUNDUP(MONTH($C2023)/3,0))</f>
        <v/>
      </c>
      <c r="L2023">
        <f>IF($G2023&lt;&gt;"ALCOHOL","",IF($K2023="","",$H2023*IFERROR(VLOOKUP($K2023,Drink_Templates!$A:$G,7,FALSE),0)))</f>
        <v/>
      </c>
    </row>
    <row r="2024" ht="15" customHeight="1">
      <c r="C2024">
        <f>IF($B2024="","",INT($B2024))</f>
        <v/>
      </c>
      <c r="D2024">
        <f>IF($C2024="","",$C2024-WEEKDAY($C2024,2)+1)</f>
        <v/>
      </c>
      <c r="E2024">
        <f>IF($C2024="","",DATE(YEAR($C2024),MONTH($C2024),1))</f>
        <v/>
      </c>
      <c r="F2024">
        <f>IF($C2024="","",YEAR($C2024)&amp;"-Q"&amp;ROUNDUP(MONTH($C2024)/3,0))</f>
        <v/>
      </c>
      <c r="L2024">
        <f>IF($G2024&lt;&gt;"ALCOHOL","",IF($K2024="","",$H2024*IFERROR(VLOOKUP($K2024,Drink_Templates!$A:$G,7,FALSE),0)))</f>
        <v/>
      </c>
    </row>
    <row r="2025" ht="15" customHeight="1">
      <c r="C2025">
        <f>IF($B2025="","",INT($B2025))</f>
        <v/>
      </c>
      <c r="D2025">
        <f>IF($C2025="","",$C2025-WEEKDAY($C2025,2)+1)</f>
        <v/>
      </c>
      <c r="E2025">
        <f>IF($C2025="","",DATE(YEAR($C2025),MONTH($C2025),1))</f>
        <v/>
      </c>
      <c r="F2025">
        <f>IF($C2025="","",YEAR($C2025)&amp;"-Q"&amp;ROUNDUP(MONTH($C2025)/3,0))</f>
        <v/>
      </c>
      <c r="L2025">
        <f>IF($G2025&lt;&gt;"ALCOHOL","",IF($K2025="","",$H2025*IFERROR(VLOOKUP($K2025,Drink_Templates!$A:$G,7,FALSE),0)))</f>
        <v/>
      </c>
    </row>
    <row r="2026" ht="15" customHeight="1">
      <c r="C2026">
        <f>IF($B2026="","",INT($B2026))</f>
        <v/>
      </c>
      <c r="D2026">
        <f>IF($C2026="","",$C2026-WEEKDAY($C2026,2)+1)</f>
        <v/>
      </c>
      <c r="E2026">
        <f>IF($C2026="","",DATE(YEAR($C2026),MONTH($C2026),1))</f>
        <v/>
      </c>
      <c r="F2026">
        <f>IF($C2026="","",YEAR($C2026)&amp;"-Q"&amp;ROUNDUP(MONTH($C2026)/3,0))</f>
        <v/>
      </c>
      <c r="L2026">
        <f>IF($G2026&lt;&gt;"ALCOHOL","",IF($K2026="","",$H2026*IFERROR(VLOOKUP($K2026,Drink_Templates!$A:$G,7,FALSE),0)))</f>
        <v/>
      </c>
    </row>
    <row r="2027" ht="15" customHeight="1">
      <c r="C2027">
        <f>IF($B2027="","",INT($B2027))</f>
        <v/>
      </c>
      <c r="D2027">
        <f>IF($C2027="","",$C2027-WEEKDAY($C2027,2)+1)</f>
        <v/>
      </c>
      <c r="E2027">
        <f>IF($C2027="","",DATE(YEAR($C2027),MONTH($C2027),1))</f>
        <v/>
      </c>
      <c r="F2027">
        <f>IF($C2027="","",YEAR($C2027)&amp;"-Q"&amp;ROUNDUP(MONTH($C2027)/3,0))</f>
        <v/>
      </c>
      <c r="L2027">
        <f>IF($G2027&lt;&gt;"ALCOHOL","",IF($K2027="","",$H2027*IFERROR(VLOOKUP($K2027,Drink_Templates!$A:$G,7,FALSE),0)))</f>
        <v/>
      </c>
    </row>
    <row r="2028" ht="15" customHeight="1">
      <c r="C2028">
        <f>IF($B2028="","",INT($B2028))</f>
        <v/>
      </c>
      <c r="D2028">
        <f>IF($C2028="","",$C2028-WEEKDAY($C2028,2)+1)</f>
        <v/>
      </c>
      <c r="E2028">
        <f>IF($C2028="","",DATE(YEAR($C2028),MONTH($C2028),1))</f>
        <v/>
      </c>
      <c r="F2028">
        <f>IF($C2028="","",YEAR($C2028)&amp;"-Q"&amp;ROUNDUP(MONTH($C2028)/3,0))</f>
        <v/>
      </c>
      <c r="L2028">
        <f>IF($G2028&lt;&gt;"ALCOHOL","",IF($K2028="","",$H2028*IFERROR(VLOOKUP($K2028,Drink_Templates!$A:$G,7,FALSE),0)))</f>
        <v/>
      </c>
    </row>
    <row r="2029" ht="15" customHeight="1">
      <c r="C2029">
        <f>IF($B2029="","",INT($B2029))</f>
        <v/>
      </c>
      <c r="D2029">
        <f>IF($C2029="","",$C2029-WEEKDAY($C2029,2)+1)</f>
        <v/>
      </c>
      <c r="E2029">
        <f>IF($C2029="","",DATE(YEAR($C2029),MONTH($C2029),1))</f>
        <v/>
      </c>
      <c r="F2029">
        <f>IF($C2029="","",YEAR($C2029)&amp;"-Q"&amp;ROUNDUP(MONTH($C2029)/3,0))</f>
        <v/>
      </c>
      <c r="L2029">
        <f>IF($G2029&lt;&gt;"ALCOHOL","",IF($K2029="","",$H2029*IFERROR(VLOOKUP($K2029,Drink_Templates!$A:$G,7,FALSE),0)))</f>
        <v/>
      </c>
    </row>
    <row r="2030" ht="15" customHeight="1">
      <c r="C2030">
        <f>IF($B2030="","",INT($B2030))</f>
        <v/>
      </c>
      <c r="D2030">
        <f>IF($C2030="","",$C2030-WEEKDAY($C2030,2)+1)</f>
        <v/>
      </c>
      <c r="E2030">
        <f>IF($C2030="","",DATE(YEAR($C2030),MONTH($C2030),1))</f>
        <v/>
      </c>
      <c r="F2030">
        <f>IF($C2030="","",YEAR($C2030)&amp;"-Q"&amp;ROUNDUP(MONTH($C2030)/3,0))</f>
        <v/>
      </c>
      <c r="L2030">
        <f>IF($G2030&lt;&gt;"ALCOHOL","",IF($K2030="","",$H2030*IFERROR(VLOOKUP($K2030,Drink_Templates!$A:$G,7,FALSE),0)))</f>
        <v/>
      </c>
    </row>
    <row r="2031" ht="15" customHeight="1">
      <c r="C2031">
        <f>IF($B2031="","",INT($B2031))</f>
        <v/>
      </c>
      <c r="D2031">
        <f>IF($C2031="","",$C2031-WEEKDAY($C2031,2)+1)</f>
        <v/>
      </c>
      <c r="E2031">
        <f>IF($C2031="","",DATE(YEAR($C2031),MONTH($C2031),1))</f>
        <v/>
      </c>
      <c r="F2031">
        <f>IF($C2031="","",YEAR($C2031)&amp;"-Q"&amp;ROUNDUP(MONTH($C2031)/3,0))</f>
        <v/>
      </c>
      <c r="L2031">
        <f>IF($G2031&lt;&gt;"ALCOHOL","",IF($K2031="","",$H2031*IFERROR(VLOOKUP($K2031,Drink_Templates!$A:$G,7,FALSE),0)))</f>
        <v/>
      </c>
    </row>
    <row r="2032" ht="15" customHeight="1">
      <c r="C2032">
        <f>IF($B2032="","",INT($B2032))</f>
        <v/>
      </c>
      <c r="D2032">
        <f>IF($C2032="","",$C2032-WEEKDAY($C2032,2)+1)</f>
        <v/>
      </c>
      <c r="E2032">
        <f>IF($C2032="","",DATE(YEAR($C2032),MONTH($C2032),1))</f>
        <v/>
      </c>
      <c r="F2032">
        <f>IF($C2032="","",YEAR($C2032)&amp;"-Q"&amp;ROUNDUP(MONTH($C2032)/3,0))</f>
        <v/>
      </c>
      <c r="L2032">
        <f>IF($G2032&lt;&gt;"ALCOHOL","",IF($K2032="","",$H2032*IFERROR(VLOOKUP($K2032,Drink_Templates!$A:$G,7,FALSE),0)))</f>
        <v/>
      </c>
    </row>
    <row r="2033" ht="15" customHeight="1">
      <c r="C2033">
        <f>IF($B2033="","",INT($B2033))</f>
        <v/>
      </c>
      <c r="D2033">
        <f>IF($C2033="","",$C2033-WEEKDAY($C2033,2)+1)</f>
        <v/>
      </c>
      <c r="E2033">
        <f>IF($C2033="","",DATE(YEAR($C2033),MONTH($C2033),1))</f>
        <v/>
      </c>
      <c r="F2033">
        <f>IF($C2033="","",YEAR($C2033)&amp;"-Q"&amp;ROUNDUP(MONTH($C2033)/3,0))</f>
        <v/>
      </c>
      <c r="L2033">
        <f>IF($G2033&lt;&gt;"ALCOHOL","",IF($K2033="","",$H2033*IFERROR(VLOOKUP($K2033,Drink_Templates!$A:$G,7,FALSE),0)))</f>
        <v/>
      </c>
    </row>
    <row r="2034" ht="15" customHeight="1">
      <c r="C2034">
        <f>IF($B2034="","",INT($B2034))</f>
        <v/>
      </c>
      <c r="D2034">
        <f>IF($C2034="","",$C2034-WEEKDAY($C2034,2)+1)</f>
        <v/>
      </c>
      <c r="E2034">
        <f>IF($C2034="","",DATE(YEAR($C2034),MONTH($C2034),1))</f>
        <v/>
      </c>
      <c r="F2034">
        <f>IF($C2034="","",YEAR($C2034)&amp;"-Q"&amp;ROUNDUP(MONTH($C2034)/3,0))</f>
        <v/>
      </c>
      <c r="L2034">
        <f>IF($G2034&lt;&gt;"ALCOHOL","",IF($K2034="","",$H2034*IFERROR(VLOOKUP($K2034,Drink_Templates!$A:$G,7,FALSE),0)))</f>
        <v/>
      </c>
    </row>
    <row r="2035" ht="15" customHeight="1">
      <c r="C2035">
        <f>IF($B2035="","",INT($B2035))</f>
        <v/>
      </c>
      <c r="D2035">
        <f>IF($C2035="","",$C2035-WEEKDAY($C2035,2)+1)</f>
        <v/>
      </c>
      <c r="E2035">
        <f>IF($C2035="","",DATE(YEAR($C2035),MONTH($C2035),1))</f>
        <v/>
      </c>
      <c r="F2035">
        <f>IF($C2035="","",YEAR($C2035)&amp;"-Q"&amp;ROUNDUP(MONTH($C2035)/3,0))</f>
        <v/>
      </c>
      <c r="L2035">
        <f>IF($G2035&lt;&gt;"ALCOHOL","",IF($K2035="","",$H2035*IFERROR(VLOOKUP($K2035,Drink_Templates!$A:$G,7,FALSE),0)))</f>
        <v/>
      </c>
    </row>
    <row r="2036" ht="15" customHeight="1">
      <c r="C2036">
        <f>IF($B2036="","",INT($B2036))</f>
        <v/>
      </c>
      <c r="D2036">
        <f>IF($C2036="","",$C2036-WEEKDAY($C2036,2)+1)</f>
        <v/>
      </c>
      <c r="E2036">
        <f>IF($C2036="","",DATE(YEAR($C2036),MONTH($C2036),1))</f>
        <v/>
      </c>
      <c r="F2036">
        <f>IF($C2036="","",YEAR($C2036)&amp;"-Q"&amp;ROUNDUP(MONTH($C2036)/3,0))</f>
        <v/>
      </c>
      <c r="L2036">
        <f>IF($G2036&lt;&gt;"ALCOHOL","",IF($K2036="","",$H2036*IFERROR(VLOOKUP($K2036,Drink_Templates!$A:$G,7,FALSE),0)))</f>
        <v/>
      </c>
    </row>
    <row r="2037" ht="15" customHeight="1">
      <c r="C2037">
        <f>IF($B2037="","",INT($B2037))</f>
        <v/>
      </c>
      <c r="D2037">
        <f>IF($C2037="","",$C2037-WEEKDAY($C2037,2)+1)</f>
        <v/>
      </c>
      <c r="E2037">
        <f>IF($C2037="","",DATE(YEAR($C2037),MONTH($C2037),1))</f>
        <v/>
      </c>
      <c r="F2037">
        <f>IF($C2037="","",YEAR($C2037)&amp;"-Q"&amp;ROUNDUP(MONTH($C2037)/3,0))</f>
        <v/>
      </c>
      <c r="L2037">
        <f>IF($G2037&lt;&gt;"ALCOHOL","",IF($K2037="","",$H2037*IFERROR(VLOOKUP($K2037,Drink_Templates!$A:$G,7,FALSE),0)))</f>
        <v/>
      </c>
    </row>
    <row r="2038" ht="15" customHeight="1">
      <c r="C2038">
        <f>IF($B2038="","",INT($B2038))</f>
        <v/>
      </c>
      <c r="D2038">
        <f>IF($C2038="","",$C2038-WEEKDAY($C2038,2)+1)</f>
        <v/>
      </c>
      <c r="E2038">
        <f>IF($C2038="","",DATE(YEAR($C2038),MONTH($C2038),1))</f>
        <v/>
      </c>
      <c r="F2038">
        <f>IF($C2038="","",YEAR($C2038)&amp;"-Q"&amp;ROUNDUP(MONTH($C2038)/3,0))</f>
        <v/>
      </c>
      <c r="L2038">
        <f>IF($G2038&lt;&gt;"ALCOHOL","",IF($K2038="","",$H2038*IFERROR(VLOOKUP($K2038,Drink_Templates!$A:$G,7,FALSE),0)))</f>
        <v/>
      </c>
    </row>
    <row r="2039" ht="15" customHeight="1">
      <c r="C2039">
        <f>IF($B2039="","",INT($B2039))</f>
        <v/>
      </c>
      <c r="D2039">
        <f>IF($C2039="","",$C2039-WEEKDAY($C2039,2)+1)</f>
        <v/>
      </c>
      <c r="E2039">
        <f>IF($C2039="","",DATE(YEAR($C2039),MONTH($C2039),1))</f>
        <v/>
      </c>
      <c r="F2039">
        <f>IF($C2039="","",YEAR($C2039)&amp;"-Q"&amp;ROUNDUP(MONTH($C2039)/3,0))</f>
        <v/>
      </c>
      <c r="L2039">
        <f>IF($G2039&lt;&gt;"ALCOHOL","",IF($K2039="","",$H2039*IFERROR(VLOOKUP($K2039,Drink_Templates!$A:$G,7,FALSE),0)))</f>
        <v/>
      </c>
    </row>
    <row r="2040" ht="15" customHeight="1">
      <c r="C2040">
        <f>IF($B2040="","",INT($B2040))</f>
        <v/>
      </c>
      <c r="D2040">
        <f>IF($C2040="","",$C2040-WEEKDAY($C2040,2)+1)</f>
        <v/>
      </c>
      <c r="E2040">
        <f>IF($C2040="","",DATE(YEAR($C2040),MONTH($C2040),1))</f>
        <v/>
      </c>
      <c r="F2040">
        <f>IF($C2040="","",YEAR($C2040)&amp;"-Q"&amp;ROUNDUP(MONTH($C2040)/3,0))</f>
        <v/>
      </c>
      <c r="L2040">
        <f>IF($G2040&lt;&gt;"ALCOHOL","",IF($K2040="","",$H2040*IFERROR(VLOOKUP($K2040,Drink_Templates!$A:$G,7,FALSE),0)))</f>
        <v/>
      </c>
    </row>
    <row r="2041" ht="15" customHeight="1">
      <c r="C2041">
        <f>IF($B2041="","",INT($B2041))</f>
        <v/>
      </c>
      <c r="D2041">
        <f>IF($C2041="","",$C2041-WEEKDAY($C2041,2)+1)</f>
        <v/>
      </c>
      <c r="E2041">
        <f>IF($C2041="","",DATE(YEAR($C2041),MONTH($C2041),1))</f>
        <v/>
      </c>
      <c r="F2041">
        <f>IF($C2041="","",YEAR($C2041)&amp;"-Q"&amp;ROUNDUP(MONTH($C2041)/3,0))</f>
        <v/>
      </c>
      <c r="L2041">
        <f>IF($G2041&lt;&gt;"ALCOHOL","",IF($K2041="","",$H2041*IFERROR(VLOOKUP($K2041,Drink_Templates!$A:$G,7,FALSE),0)))</f>
        <v/>
      </c>
    </row>
    <row r="2042" ht="15" customHeight="1">
      <c r="C2042">
        <f>IF($B2042="","",INT($B2042))</f>
        <v/>
      </c>
      <c r="D2042">
        <f>IF($C2042="","",$C2042-WEEKDAY($C2042,2)+1)</f>
        <v/>
      </c>
      <c r="E2042">
        <f>IF($C2042="","",DATE(YEAR($C2042),MONTH($C2042),1))</f>
        <v/>
      </c>
      <c r="F2042">
        <f>IF($C2042="","",YEAR($C2042)&amp;"-Q"&amp;ROUNDUP(MONTH($C2042)/3,0))</f>
        <v/>
      </c>
      <c r="L2042">
        <f>IF($G2042&lt;&gt;"ALCOHOL","",IF($K2042="","",$H2042*IFERROR(VLOOKUP($K2042,Drink_Templates!$A:$G,7,FALSE),0)))</f>
        <v/>
      </c>
    </row>
    <row r="2043" ht="15" customHeight="1">
      <c r="C2043">
        <f>IF($B2043="","",INT($B2043))</f>
        <v/>
      </c>
      <c r="D2043">
        <f>IF($C2043="","",$C2043-WEEKDAY($C2043,2)+1)</f>
        <v/>
      </c>
      <c r="E2043">
        <f>IF($C2043="","",DATE(YEAR($C2043),MONTH($C2043),1))</f>
        <v/>
      </c>
      <c r="F2043">
        <f>IF($C2043="","",YEAR($C2043)&amp;"-Q"&amp;ROUNDUP(MONTH($C2043)/3,0))</f>
        <v/>
      </c>
      <c r="L2043">
        <f>IF($G2043&lt;&gt;"ALCOHOL","",IF($K2043="","",$H2043*IFERROR(VLOOKUP($K2043,Drink_Templates!$A:$G,7,FALSE),0)))</f>
        <v/>
      </c>
    </row>
    <row r="2044" ht="15" customHeight="1">
      <c r="C2044">
        <f>IF($B2044="","",INT($B2044))</f>
        <v/>
      </c>
      <c r="D2044">
        <f>IF($C2044="","",$C2044-WEEKDAY($C2044,2)+1)</f>
        <v/>
      </c>
      <c r="E2044">
        <f>IF($C2044="","",DATE(YEAR($C2044),MONTH($C2044),1))</f>
        <v/>
      </c>
      <c r="F2044">
        <f>IF($C2044="","",YEAR($C2044)&amp;"-Q"&amp;ROUNDUP(MONTH($C2044)/3,0))</f>
        <v/>
      </c>
      <c r="L2044">
        <f>IF($G2044&lt;&gt;"ALCOHOL","",IF($K2044="","",$H2044*IFERROR(VLOOKUP($K2044,Drink_Templates!$A:$G,7,FALSE),0)))</f>
        <v/>
      </c>
    </row>
    <row r="2045" ht="15" customHeight="1">
      <c r="C2045">
        <f>IF($B2045="","",INT($B2045))</f>
        <v/>
      </c>
      <c r="D2045">
        <f>IF($C2045="","",$C2045-WEEKDAY($C2045,2)+1)</f>
        <v/>
      </c>
      <c r="E2045">
        <f>IF($C2045="","",DATE(YEAR($C2045),MONTH($C2045),1))</f>
        <v/>
      </c>
      <c r="F2045">
        <f>IF($C2045="","",YEAR($C2045)&amp;"-Q"&amp;ROUNDUP(MONTH($C2045)/3,0))</f>
        <v/>
      </c>
      <c r="L2045">
        <f>IF($G2045&lt;&gt;"ALCOHOL","",IF($K2045="","",$H2045*IFERROR(VLOOKUP($K2045,Drink_Templates!$A:$G,7,FALSE),0)))</f>
        <v/>
      </c>
    </row>
    <row r="2046" ht="15" customHeight="1">
      <c r="C2046">
        <f>IF($B2046="","",INT($B2046))</f>
        <v/>
      </c>
      <c r="D2046">
        <f>IF($C2046="","",$C2046-WEEKDAY($C2046,2)+1)</f>
        <v/>
      </c>
      <c r="E2046">
        <f>IF($C2046="","",DATE(YEAR($C2046),MONTH($C2046),1))</f>
        <v/>
      </c>
      <c r="F2046">
        <f>IF($C2046="","",YEAR($C2046)&amp;"-Q"&amp;ROUNDUP(MONTH($C2046)/3,0))</f>
        <v/>
      </c>
      <c r="L2046">
        <f>IF($G2046&lt;&gt;"ALCOHOL","",IF($K2046="","",$H2046*IFERROR(VLOOKUP($K2046,Drink_Templates!$A:$G,7,FALSE),0)))</f>
        <v/>
      </c>
    </row>
    <row r="2047" ht="15" customHeight="1">
      <c r="C2047">
        <f>IF($B2047="","",INT($B2047))</f>
        <v/>
      </c>
      <c r="D2047">
        <f>IF($C2047="","",$C2047-WEEKDAY($C2047,2)+1)</f>
        <v/>
      </c>
      <c r="E2047">
        <f>IF($C2047="","",DATE(YEAR($C2047),MONTH($C2047),1))</f>
        <v/>
      </c>
      <c r="F2047">
        <f>IF($C2047="","",YEAR($C2047)&amp;"-Q"&amp;ROUNDUP(MONTH($C2047)/3,0))</f>
        <v/>
      </c>
      <c r="L2047">
        <f>IF($G2047&lt;&gt;"ALCOHOL","",IF($K2047="","",$H2047*IFERROR(VLOOKUP($K2047,Drink_Templates!$A:$G,7,FALSE),0)))</f>
        <v/>
      </c>
    </row>
    <row r="2048" ht="15" customHeight="1">
      <c r="C2048">
        <f>IF($B2048="","",INT($B2048))</f>
        <v/>
      </c>
      <c r="D2048">
        <f>IF($C2048="","",$C2048-WEEKDAY($C2048,2)+1)</f>
        <v/>
      </c>
      <c r="E2048">
        <f>IF($C2048="","",DATE(YEAR($C2048),MONTH($C2048),1))</f>
        <v/>
      </c>
      <c r="F2048">
        <f>IF($C2048="","",YEAR($C2048)&amp;"-Q"&amp;ROUNDUP(MONTH($C2048)/3,0))</f>
        <v/>
      </c>
      <c r="L2048">
        <f>IF($G2048&lt;&gt;"ALCOHOL","",IF($K2048="","",$H2048*IFERROR(VLOOKUP($K2048,Drink_Templates!$A:$G,7,FALSE),0)))</f>
        <v/>
      </c>
    </row>
    <row r="2049" ht="15" customHeight="1">
      <c r="C2049">
        <f>IF($B2049="","",INT($B2049))</f>
        <v/>
      </c>
      <c r="D2049">
        <f>IF($C2049="","",$C2049-WEEKDAY($C2049,2)+1)</f>
        <v/>
      </c>
      <c r="E2049">
        <f>IF($C2049="","",DATE(YEAR($C2049),MONTH($C2049),1))</f>
        <v/>
      </c>
      <c r="F2049">
        <f>IF($C2049="","",YEAR($C2049)&amp;"-Q"&amp;ROUNDUP(MONTH($C2049)/3,0))</f>
        <v/>
      </c>
      <c r="L2049">
        <f>IF($G2049&lt;&gt;"ALCOHOL","",IF($K2049="","",$H2049*IFERROR(VLOOKUP($K2049,Drink_Templates!$A:$G,7,FALSE),0)))</f>
        <v/>
      </c>
    </row>
    <row r="2050" ht="15" customHeight="1">
      <c r="C2050">
        <f>IF($B2050="","",INT($B2050))</f>
        <v/>
      </c>
      <c r="D2050">
        <f>IF($C2050="","",$C2050-WEEKDAY($C2050,2)+1)</f>
        <v/>
      </c>
      <c r="E2050">
        <f>IF($C2050="","",DATE(YEAR($C2050),MONTH($C2050),1))</f>
        <v/>
      </c>
      <c r="F2050">
        <f>IF($C2050="","",YEAR($C2050)&amp;"-Q"&amp;ROUNDUP(MONTH($C2050)/3,0))</f>
        <v/>
      </c>
      <c r="L2050">
        <f>IF($G2050&lt;&gt;"ALCOHOL","",IF($K2050="","",$H2050*IFERROR(VLOOKUP($K2050,Drink_Templates!$A:$G,7,FALSE),0)))</f>
        <v/>
      </c>
    </row>
    <row r="2051" ht="15" customHeight="1">
      <c r="C2051">
        <f>IF($B2051="","",INT($B2051))</f>
        <v/>
      </c>
      <c r="D2051">
        <f>IF($C2051="","",$C2051-WEEKDAY($C2051,2)+1)</f>
        <v/>
      </c>
      <c r="E2051">
        <f>IF($C2051="","",DATE(YEAR($C2051),MONTH($C2051),1))</f>
        <v/>
      </c>
      <c r="F2051">
        <f>IF($C2051="","",YEAR($C2051)&amp;"-Q"&amp;ROUNDUP(MONTH($C2051)/3,0))</f>
        <v/>
      </c>
      <c r="L2051">
        <f>IF($G2051&lt;&gt;"ALCOHOL","",IF($K2051="","",$H2051*IFERROR(VLOOKUP($K2051,Drink_Templates!$A:$G,7,FALSE),0)))</f>
        <v/>
      </c>
    </row>
    <row r="2052" ht="15" customHeight="1">
      <c r="C2052">
        <f>IF($B2052="","",INT($B2052))</f>
        <v/>
      </c>
      <c r="D2052">
        <f>IF($C2052="","",$C2052-WEEKDAY($C2052,2)+1)</f>
        <v/>
      </c>
      <c r="E2052">
        <f>IF($C2052="","",DATE(YEAR($C2052),MONTH($C2052),1))</f>
        <v/>
      </c>
      <c r="F2052">
        <f>IF($C2052="","",YEAR($C2052)&amp;"-Q"&amp;ROUNDUP(MONTH($C2052)/3,0))</f>
        <v/>
      </c>
      <c r="L2052">
        <f>IF($G2052&lt;&gt;"ALCOHOL","",IF($K2052="","",$H2052*IFERROR(VLOOKUP($K2052,Drink_Templates!$A:$G,7,FALSE),0)))</f>
        <v/>
      </c>
    </row>
    <row r="2053" ht="15" customHeight="1">
      <c r="C2053">
        <f>IF($B2053="","",INT($B2053))</f>
        <v/>
      </c>
      <c r="D2053">
        <f>IF($C2053="","",$C2053-WEEKDAY($C2053,2)+1)</f>
        <v/>
      </c>
      <c r="E2053">
        <f>IF($C2053="","",DATE(YEAR($C2053),MONTH($C2053),1))</f>
        <v/>
      </c>
      <c r="F2053">
        <f>IF($C2053="","",YEAR($C2053)&amp;"-Q"&amp;ROUNDUP(MONTH($C2053)/3,0))</f>
        <v/>
      </c>
      <c r="L2053">
        <f>IF($G2053&lt;&gt;"ALCOHOL","",IF($K2053="","",$H2053*IFERROR(VLOOKUP($K2053,Drink_Templates!$A:$G,7,FALSE),0)))</f>
        <v/>
      </c>
    </row>
    <row r="2054" ht="15" customHeight="1">
      <c r="C2054">
        <f>IF($B2054="","",INT($B2054))</f>
        <v/>
      </c>
      <c r="D2054">
        <f>IF($C2054="","",$C2054-WEEKDAY($C2054,2)+1)</f>
        <v/>
      </c>
      <c r="E2054">
        <f>IF($C2054="","",DATE(YEAR($C2054),MONTH($C2054),1))</f>
        <v/>
      </c>
      <c r="F2054">
        <f>IF($C2054="","",YEAR($C2054)&amp;"-Q"&amp;ROUNDUP(MONTH($C2054)/3,0))</f>
        <v/>
      </c>
      <c r="L2054">
        <f>IF($G2054&lt;&gt;"ALCOHOL","",IF($K2054="","",$H2054*IFERROR(VLOOKUP($K2054,Drink_Templates!$A:$G,7,FALSE),0)))</f>
        <v/>
      </c>
    </row>
    <row r="2055" ht="15" customHeight="1">
      <c r="C2055">
        <f>IF($B2055="","",INT($B2055))</f>
        <v/>
      </c>
      <c r="D2055">
        <f>IF($C2055="","",$C2055-WEEKDAY($C2055,2)+1)</f>
        <v/>
      </c>
      <c r="E2055">
        <f>IF($C2055="","",DATE(YEAR($C2055),MONTH($C2055),1))</f>
        <v/>
      </c>
      <c r="F2055">
        <f>IF($C2055="","",YEAR($C2055)&amp;"-Q"&amp;ROUNDUP(MONTH($C2055)/3,0))</f>
        <v/>
      </c>
      <c r="L2055">
        <f>IF($G2055&lt;&gt;"ALCOHOL","",IF($K2055="","",$H2055*IFERROR(VLOOKUP($K2055,Drink_Templates!$A:$G,7,FALSE),0)))</f>
        <v/>
      </c>
    </row>
    <row r="2056" ht="15" customHeight="1">
      <c r="C2056">
        <f>IF($B2056="","",INT($B2056))</f>
        <v/>
      </c>
      <c r="D2056">
        <f>IF($C2056="","",$C2056-WEEKDAY($C2056,2)+1)</f>
        <v/>
      </c>
      <c r="E2056">
        <f>IF($C2056="","",DATE(YEAR($C2056),MONTH($C2056),1))</f>
        <v/>
      </c>
      <c r="F2056">
        <f>IF($C2056="","",YEAR($C2056)&amp;"-Q"&amp;ROUNDUP(MONTH($C2056)/3,0))</f>
        <v/>
      </c>
      <c r="L2056">
        <f>IF($G2056&lt;&gt;"ALCOHOL","",IF($K2056="","",$H2056*IFERROR(VLOOKUP($K2056,Drink_Templates!$A:$G,7,FALSE),0)))</f>
        <v/>
      </c>
    </row>
    <row r="2057" ht="15" customHeight="1">
      <c r="C2057">
        <f>IF($B2057="","",INT($B2057))</f>
        <v/>
      </c>
      <c r="D2057">
        <f>IF($C2057="","",$C2057-WEEKDAY($C2057,2)+1)</f>
        <v/>
      </c>
      <c r="E2057">
        <f>IF($C2057="","",DATE(YEAR($C2057),MONTH($C2057),1))</f>
        <v/>
      </c>
      <c r="F2057">
        <f>IF($C2057="","",YEAR($C2057)&amp;"-Q"&amp;ROUNDUP(MONTH($C2057)/3,0))</f>
        <v/>
      </c>
      <c r="L2057">
        <f>IF($G2057&lt;&gt;"ALCOHOL","",IF($K2057="","",$H2057*IFERROR(VLOOKUP($K2057,Drink_Templates!$A:$G,7,FALSE),0)))</f>
        <v/>
      </c>
    </row>
    <row r="2058" ht="15" customHeight="1">
      <c r="C2058">
        <f>IF($B2058="","",INT($B2058))</f>
        <v/>
      </c>
      <c r="D2058">
        <f>IF($C2058="","",$C2058-WEEKDAY($C2058,2)+1)</f>
        <v/>
      </c>
      <c r="E2058">
        <f>IF($C2058="","",DATE(YEAR($C2058),MONTH($C2058),1))</f>
        <v/>
      </c>
      <c r="F2058">
        <f>IF($C2058="","",YEAR($C2058)&amp;"-Q"&amp;ROUNDUP(MONTH($C2058)/3,0))</f>
        <v/>
      </c>
      <c r="L2058">
        <f>IF($G2058&lt;&gt;"ALCOHOL","",IF($K2058="","",$H2058*IFERROR(VLOOKUP($K2058,Drink_Templates!$A:$G,7,FALSE),0)))</f>
        <v/>
      </c>
    </row>
    <row r="2059" ht="15" customHeight="1">
      <c r="C2059">
        <f>IF($B2059="","",INT($B2059))</f>
        <v/>
      </c>
      <c r="D2059">
        <f>IF($C2059="","",$C2059-WEEKDAY($C2059,2)+1)</f>
        <v/>
      </c>
      <c r="E2059">
        <f>IF($C2059="","",DATE(YEAR($C2059),MONTH($C2059),1))</f>
        <v/>
      </c>
      <c r="F2059">
        <f>IF($C2059="","",YEAR($C2059)&amp;"-Q"&amp;ROUNDUP(MONTH($C2059)/3,0))</f>
        <v/>
      </c>
      <c r="L2059">
        <f>IF($G2059&lt;&gt;"ALCOHOL","",IF($K2059="","",$H2059*IFERROR(VLOOKUP($K2059,Drink_Templates!$A:$G,7,FALSE),0)))</f>
        <v/>
      </c>
    </row>
    <row r="2060" ht="15" customHeight="1">
      <c r="C2060">
        <f>IF($B2060="","",INT($B2060))</f>
        <v/>
      </c>
      <c r="D2060">
        <f>IF($C2060="","",$C2060-WEEKDAY($C2060,2)+1)</f>
        <v/>
      </c>
      <c r="E2060">
        <f>IF($C2060="","",DATE(YEAR($C2060),MONTH($C2060),1))</f>
        <v/>
      </c>
      <c r="F2060">
        <f>IF($C2060="","",YEAR($C2060)&amp;"-Q"&amp;ROUNDUP(MONTH($C2060)/3,0))</f>
        <v/>
      </c>
      <c r="L2060">
        <f>IF($G2060&lt;&gt;"ALCOHOL","",IF($K2060="","",$H2060*IFERROR(VLOOKUP($K2060,Drink_Templates!$A:$G,7,FALSE),0)))</f>
        <v/>
      </c>
    </row>
    <row r="2061" ht="15" customHeight="1">
      <c r="C2061">
        <f>IF($B2061="","",INT($B2061))</f>
        <v/>
      </c>
      <c r="D2061">
        <f>IF($C2061="","",$C2061-WEEKDAY($C2061,2)+1)</f>
        <v/>
      </c>
      <c r="E2061">
        <f>IF($C2061="","",DATE(YEAR($C2061),MONTH($C2061),1))</f>
        <v/>
      </c>
      <c r="F2061">
        <f>IF($C2061="","",YEAR($C2061)&amp;"-Q"&amp;ROUNDUP(MONTH($C2061)/3,0))</f>
        <v/>
      </c>
      <c r="L2061">
        <f>IF($G2061&lt;&gt;"ALCOHOL","",IF($K2061="","",$H2061*IFERROR(VLOOKUP($K2061,Drink_Templates!$A:$G,7,FALSE),0)))</f>
        <v/>
      </c>
    </row>
    <row r="2062" ht="15" customHeight="1">
      <c r="C2062">
        <f>IF($B2062="","",INT($B2062))</f>
        <v/>
      </c>
      <c r="D2062">
        <f>IF($C2062="","",$C2062-WEEKDAY($C2062,2)+1)</f>
        <v/>
      </c>
      <c r="E2062">
        <f>IF($C2062="","",DATE(YEAR($C2062),MONTH($C2062),1))</f>
        <v/>
      </c>
      <c r="F2062">
        <f>IF($C2062="","",YEAR($C2062)&amp;"-Q"&amp;ROUNDUP(MONTH($C2062)/3,0))</f>
        <v/>
      </c>
      <c r="L2062">
        <f>IF($G2062&lt;&gt;"ALCOHOL","",IF($K2062="","",$H2062*IFERROR(VLOOKUP($K2062,Drink_Templates!$A:$G,7,FALSE),0)))</f>
        <v/>
      </c>
    </row>
    <row r="2063" ht="15" customHeight="1">
      <c r="C2063">
        <f>IF($B2063="","",INT($B2063))</f>
        <v/>
      </c>
      <c r="D2063">
        <f>IF($C2063="","",$C2063-WEEKDAY($C2063,2)+1)</f>
        <v/>
      </c>
      <c r="E2063">
        <f>IF($C2063="","",DATE(YEAR($C2063),MONTH($C2063),1))</f>
        <v/>
      </c>
      <c r="F2063">
        <f>IF($C2063="","",YEAR($C2063)&amp;"-Q"&amp;ROUNDUP(MONTH($C2063)/3,0))</f>
        <v/>
      </c>
      <c r="L2063">
        <f>IF($G2063&lt;&gt;"ALCOHOL","",IF($K2063="","",$H2063*IFERROR(VLOOKUP($K2063,Drink_Templates!$A:$G,7,FALSE),0)))</f>
        <v/>
      </c>
    </row>
    <row r="2064" ht="15" customHeight="1">
      <c r="C2064">
        <f>IF($B2064="","",INT($B2064))</f>
        <v/>
      </c>
      <c r="D2064">
        <f>IF($C2064="","",$C2064-WEEKDAY($C2064,2)+1)</f>
        <v/>
      </c>
      <c r="E2064">
        <f>IF($C2064="","",DATE(YEAR($C2064),MONTH($C2064),1))</f>
        <v/>
      </c>
      <c r="F2064">
        <f>IF($C2064="","",YEAR($C2064)&amp;"-Q"&amp;ROUNDUP(MONTH($C2064)/3,0))</f>
        <v/>
      </c>
      <c r="L2064">
        <f>IF($G2064&lt;&gt;"ALCOHOL","",IF($K2064="","",$H2064*IFERROR(VLOOKUP($K2064,Drink_Templates!$A:$G,7,FALSE),0)))</f>
        <v/>
      </c>
    </row>
    <row r="2065" ht="15" customHeight="1">
      <c r="C2065">
        <f>IF($B2065="","",INT($B2065))</f>
        <v/>
      </c>
      <c r="D2065">
        <f>IF($C2065="","",$C2065-WEEKDAY($C2065,2)+1)</f>
        <v/>
      </c>
      <c r="E2065">
        <f>IF($C2065="","",DATE(YEAR($C2065),MONTH($C2065),1))</f>
        <v/>
      </c>
      <c r="F2065">
        <f>IF($C2065="","",YEAR($C2065)&amp;"-Q"&amp;ROUNDUP(MONTH($C2065)/3,0))</f>
        <v/>
      </c>
      <c r="L2065">
        <f>IF($G2065&lt;&gt;"ALCOHOL","",IF($K2065="","",$H2065*IFERROR(VLOOKUP($K2065,Drink_Templates!$A:$G,7,FALSE),0)))</f>
        <v/>
      </c>
    </row>
    <row r="2066" ht="15" customHeight="1">
      <c r="C2066">
        <f>IF($B2066="","",INT($B2066))</f>
        <v/>
      </c>
      <c r="D2066">
        <f>IF($C2066="","",$C2066-WEEKDAY($C2066,2)+1)</f>
        <v/>
      </c>
      <c r="E2066">
        <f>IF($C2066="","",DATE(YEAR($C2066),MONTH($C2066),1))</f>
        <v/>
      </c>
      <c r="F2066">
        <f>IF($C2066="","",YEAR($C2066)&amp;"-Q"&amp;ROUNDUP(MONTH($C2066)/3,0))</f>
        <v/>
      </c>
      <c r="L2066">
        <f>IF($G2066&lt;&gt;"ALCOHOL","",IF($K2066="","",$H2066*IFERROR(VLOOKUP($K2066,Drink_Templates!$A:$G,7,FALSE),0)))</f>
        <v/>
      </c>
    </row>
    <row r="2067" ht="15" customHeight="1">
      <c r="C2067">
        <f>IF($B2067="","",INT($B2067))</f>
        <v/>
      </c>
      <c r="D2067">
        <f>IF($C2067="","",$C2067-WEEKDAY($C2067,2)+1)</f>
        <v/>
      </c>
      <c r="E2067">
        <f>IF($C2067="","",DATE(YEAR($C2067),MONTH($C2067),1))</f>
        <v/>
      </c>
      <c r="F2067">
        <f>IF($C2067="","",YEAR($C2067)&amp;"-Q"&amp;ROUNDUP(MONTH($C2067)/3,0))</f>
        <v/>
      </c>
      <c r="L2067">
        <f>IF($G2067&lt;&gt;"ALCOHOL","",IF($K2067="","",$H2067*IFERROR(VLOOKUP($K2067,Drink_Templates!$A:$G,7,FALSE),0)))</f>
        <v/>
      </c>
    </row>
    <row r="2068" ht="15" customHeight="1">
      <c r="C2068">
        <f>IF($B2068="","",INT($B2068))</f>
        <v/>
      </c>
      <c r="D2068">
        <f>IF($C2068="","",$C2068-WEEKDAY($C2068,2)+1)</f>
        <v/>
      </c>
      <c r="E2068">
        <f>IF($C2068="","",DATE(YEAR($C2068),MONTH($C2068),1))</f>
        <v/>
      </c>
      <c r="F2068">
        <f>IF($C2068="","",YEAR($C2068)&amp;"-Q"&amp;ROUNDUP(MONTH($C2068)/3,0))</f>
        <v/>
      </c>
      <c r="L2068">
        <f>IF($G2068&lt;&gt;"ALCOHOL","",IF($K2068="","",$H2068*IFERROR(VLOOKUP($K2068,Drink_Templates!$A:$G,7,FALSE),0)))</f>
        <v/>
      </c>
    </row>
    <row r="2069" ht="15" customHeight="1">
      <c r="C2069">
        <f>IF($B2069="","",INT($B2069))</f>
        <v/>
      </c>
      <c r="D2069">
        <f>IF($C2069="","",$C2069-WEEKDAY($C2069,2)+1)</f>
        <v/>
      </c>
      <c r="E2069">
        <f>IF($C2069="","",DATE(YEAR($C2069),MONTH($C2069),1))</f>
        <v/>
      </c>
      <c r="F2069">
        <f>IF($C2069="","",YEAR($C2069)&amp;"-Q"&amp;ROUNDUP(MONTH($C2069)/3,0))</f>
        <v/>
      </c>
      <c r="L2069">
        <f>IF($G2069&lt;&gt;"ALCOHOL","",IF($K2069="","",$H2069*IFERROR(VLOOKUP($K2069,Drink_Templates!$A:$G,7,FALSE),0)))</f>
        <v/>
      </c>
    </row>
    <row r="2070" ht="15" customHeight="1">
      <c r="C2070">
        <f>IF($B2070="","",INT($B2070))</f>
        <v/>
      </c>
      <c r="D2070">
        <f>IF($C2070="","",$C2070-WEEKDAY($C2070,2)+1)</f>
        <v/>
      </c>
      <c r="E2070">
        <f>IF($C2070="","",DATE(YEAR($C2070),MONTH($C2070),1))</f>
        <v/>
      </c>
      <c r="F2070">
        <f>IF($C2070="","",YEAR($C2070)&amp;"-Q"&amp;ROUNDUP(MONTH($C2070)/3,0))</f>
        <v/>
      </c>
      <c r="L2070">
        <f>IF($G2070&lt;&gt;"ALCOHOL","",IF($K2070="","",$H2070*IFERROR(VLOOKUP($K2070,Drink_Templates!$A:$G,7,FALSE),0)))</f>
        <v/>
      </c>
    </row>
    <row r="2071" ht="15" customHeight="1">
      <c r="C2071">
        <f>IF($B2071="","",INT($B2071))</f>
        <v/>
      </c>
      <c r="D2071">
        <f>IF($C2071="","",$C2071-WEEKDAY($C2071,2)+1)</f>
        <v/>
      </c>
      <c r="E2071">
        <f>IF($C2071="","",DATE(YEAR($C2071),MONTH($C2071),1))</f>
        <v/>
      </c>
      <c r="F2071">
        <f>IF($C2071="","",YEAR($C2071)&amp;"-Q"&amp;ROUNDUP(MONTH($C2071)/3,0))</f>
        <v/>
      </c>
      <c r="L2071">
        <f>IF($G2071&lt;&gt;"ALCOHOL","",IF($K2071="","",$H2071*IFERROR(VLOOKUP($K2071,Drink_Templates!$A:$G,7,FALSE),0)))</f>
        <v/>
      </c>
    </row>
    <row r="2072" ht="15" customHeight="1">
      <c r="C2072">
        <f>IF($B2072="","",INT($B2072))</f>
        <v/>
      </c>
      <c r="D2072">
        <f>IF($C2072="","",$C2072-WEEKDAY($C2072,2)+1)</f>
        <v/>
      </c>
      <c r="E2072">
        <f>IF($C2072="","",DATE(YEAR($C2072),MONTH($C2072),1))</f>
        <v/>
      </c>
      <c r="F2072">
        <f>IF($C2072="","",YEAR($C2072)&amp;"-Q"&amp;ROUNDUP(MONTH($C2072)/3,0))</f>
        <v/>
      </c>
      <c r="L2072">
        <f>IF($G2072&lt;&gt;"ALCOHOL","",IF($K2072="","",$H2072*IFERROR(VLOOKUP($K2072,Drink_Templates!$A:$G,7,FALSE),0)))</f>
        <v/>
      </c>
    </row>
    <row r="2073" ht="15" customHeight="1">
      <c r="C2073">
        <f>IF($B2073="","",INT($B2073))</f>
        <v/>
      </c>
      <c r="D2073">
        <f>IF($C2073="","",$C2073-WEEKDAY($C2073,2)+1)</f>
        <v/>
      </c>
      <c r="E2073">
        <f>IF($C2073="","",DATE(YEAR($C2073),MONTH($C2073),1))</f>
        <v/>
      </c>
      <c r="F2073">
        <f>IF($C2073="","",YEAR($C2073)&amp;"-Q"&amp;ROUNDUP(MONTH($C2073)/3,0))</f>
        <v/>
      </c>
      <c r="L2073">
        <f>IF($G2073&lt;&gt;"ALCOHOL","",IF($K2073="","",$H2073*IFERROR(VLOOKUP($K2073,Drink_Templates!$A:$G,7,FALSE),0)))</f>
        <v/>
      </c>
    </row>
    <row r="2074" ht="15" customHeight="1">
      <c r="C2074">
        <f>IF($B2074="","",INT($B2074))</f>
        <v/>
      </c>
      <c r="D2074">
        <f>IF($C2074="","",$C2074-WEEKDAY($C2074,2)+1)</f>
        <v/>
      </c>
      <c r="E2074">
        <f>IF($C2074="","",DATE(YEAR($C2074),MONTH($C2074),1))</f>
        <v/>
      </c>
      <c r="F2074">
        <f>IF($C2074="","",YEAR($C2074)&amp;"-Q"&amp;ROUNDUP(MONTH($C2074)/3,0))</f>
        <v/>
      </c>
      <c r="L2074">
        <f>IF($G2074&lt;&gt;"ALCOHOL","",IF($K2074="","",$H2074*IFERROR(VLOOKUP($K2074,Drink_Templates!$A:$G,7,FALSE),0)))</f>
        <v/>
      </c>
    </row>
    <row r="2075" ht="15" customHeight="1">
      <c r="C2075">
        <f>IF($B2075="","",INT($B2075))</f>
        <v/>
      </c>
      <c r="D2075">
        <f>IF($C2075="","",$C2075-WEEKDAY($C2075,2)+1)</f>
        <v/>
      </c>
      <c r="E2075">
        <f>IF($C2075="","",DATE(YEAR($C2075),MONTH($C2075),1))</f>
        <v/>
      </c>
      <c r="F2075">
        <f>IF($C2075="","",YEAR($C2075)&amp;"-Q"&amp;ROUNDUP(MONTH($C2075)/3,0))</f>
        <v/>
      </c>
      <c r="L2075">
        <f>IF($G2075&lt;&gt;"ALCOHOL","",IF($K2075="","",$H2075*IFERROR(VLOOKUP($K2075,Drink_Templates!$A:$G,7,FALSE),0)))</f>
        <v/>
      </c>
    </row>
    <row r="2076" ht="15" customHeight="1">
      <c r="C2076">
        <f>IF($B2076="","",INT($B2076))</f>
        <v/>
      </c>
      <c r="D2076">
        <f>IF($C2076="","",$C2076-WEEKDAY($C2076,2)+1)</f>
        <v/>
      </c>
      <c r="E2076">
        <f>IF($C2076="","",DATE(YEAR($C2076),MONTH($C2076),1))</f>
        <v/>
      </c>
      <c r="F2076">
        <f>IF($C2076="","",YEAR($C2076)&amp;"-Q"&amp;ROUNDUP(MONTH($C2076)/3,0))</f>
        <v/>
      </c>
      <c r="L2076">
        <f>IF($G2076&lt;&gt;"ALCOHOL","",IF($K2076="","",$H2076*IFERROR(VLOOKUP($K2076,Drink_Templates!$A:$G,7,FALSE),0)))</f>
        <v/>
      </c>
    </row>
    <row r="2077" ht="15" customHeight="1">
      <c r="C2077">
        <f>IF($B2077="","",INT($B2077))</f>
        <v/>
      </c>
      <c r="D2077">
        <f>IF($C2077="","",$C2077-WEEKDAY($C2077,2)+1)</f>
        <v/>
      </c>
      <c r="E2077">
        <f>IF($C2077="","",DATE(YEAR($C2077),MONTH($C2077),1))</f>
        <v/>
      </c>
      <c r="F2077">
        <f>IF($C2077="","",YEAR($C2077)&amp;"-Q"&amp;ROUNDUP(MONTH($C2077)/3,0))</f>
        <v/>
      </c>
      <c r="L2077">
        <f>IF($G2077&lt;&gt;"ALCOHOL","",IF($K2077="","",$H2077*IFERROR(VLOOKUP($K2077,Drink_Templates!$A:$G,7,FALSE),0)))</f>
        <v/>
      </c>
    </row>
    <row r="2078" ht="15" customHeight="1">
      <c r="C2078">
        <f>IF($B2078="","",INT($B2078))</f>
        <v/>
      </c>
      <c r="D2078">
        <f>IF($C2078="","",$C2078-WEEKDAY($C2078,2)+1)</f>
        <v/>
      </c>
      <c r="E2078">
        <f>IF($C2078="","",DATE(YEAR($C2078),MONTH($C2078),1))</f>
        <v/>
      </c>
      <c r="F2078">
        <f>IF($C2078="","",YEAR($C2078)&amp;"-Q"&amp;ROUNDUP(MONTH($C2078)/3,0))</f>
        <v/>
      </c>
      <c r="L2078">
        <f>IF($G2078&lt;&gt;"ALCOHOL","",IF($K2078="","",$H2078*IFERROR(VLOOKUP($K2078,Drink_Templates!$A:$G,7,FALSE),0)))</f>
        <v/>
      </c>
    </row>
    <row r="2079" ht="15" customHeight="1">
      <c r="C2079">
        <f>IF($B2079="","",INT($B2079))</f>
        <v/>
      </c>
      <c r="D2079">
        <f>IF($C2079="","",$C2079-WEEKDAY($C2079,2)+1)</f>
        <v/>
      </c>
      <c r="E2079">
        <f>IF($C2079="","",DATE(YEAR($C2079),MONTH($C2079),1))</f>
        <v/>
      </c>
      <c r="F2079">
        <f>IF($C2079="","",YEAR($C2079)&amp;"-Q"&amp;ROUNDUP(MONTH($C2079)/3,0))</f>
        <v/>
      </c>
      <c r="L2079">
        <f>IF($G2079&lt;&gt;"ALCOHOL","",IF($K2079="","",$H2079*IFERROR(VLOOKUP($K2079,Drink_Templates!$A:$G,7,FALSE),0)))</f>
        <v/>
      </c>
    </row>
    <row r="2080" ht="15" customHeight="1">
      <c r="C2080">
        <f>IF($B2080="","",INT($B2080))</f>
        <v/>
      </c>
      <c r="D2080">
        <f>IF($C2080="","",$C2080-WEEKDAY($C2080,2)+1)</f>
        <v/>
      </c>
      <c r="E2080">
        <f>IF($C2080="","",DATE(YEAR($C2080),MONTH($C2080),1))</f>
        <v/>
      </c>
      <c r="F2080">
        <f>IF($C2080="","",YEAR($C2080)&amp;"-Q"&amp;ROUNDUP(MONTH($C2080)/3,0))</f>
        <v/>
      </c>
      <c r="L2080">
        <f>IF($G2080&lt;&gt;"ALCOHOL","",IF($K2080="","",$H2080*IFERROR(VLOOKUP($K2080,Drink_Templates!$A:$G,7,FALSE),0)))</f>
        <v/>
      </c>
    </row>
    <row r="2081" ht="15" customHeight="1">
      <c r="C2081">
        <f>IF($B2081="","",INT($B2081))</f>
        <v/>
      </c>
      <c r="D2081">
        <f>IF($C2081="","",$C2081-WEEKDAY($C2081,2)+1)</f>
        <v/>
      </c>
      <c r="E2081">
        <f>IF($C2081="","",DATE(YEAR($C2081),MONTH($C2081),1))</f>
        <v/>
      </c>
      <c r="F2081">
        <f>IF($C2081="","",YEAR($C2081)&amp;"-Q"&amp;ROUNDUP(MONTH($C2081)/3,0))</f>
        <v/>
      </c>
      <c r="L2081">
        <f>IF($G2081&lt;&gt;"ALCOHOL","",IF($K2081="","",$H2081*IFERROR(VLOOKUP($K2081,Drink_Templates!$A:$G,7,FALSE),0)))</f>
        <v/>
      </c>
    </row>
    <row r="2082" ht="15" customHeight="1">
      <c r="C2082">
        <f>IF($B2082="","",INT($B2082))</f>
        <v/>
      </c>
      <c r="D2082">
        <f>IF($C2082="","",$C2082-WEEKDAY($C2082,2)+1)</f>
        <v/>
      </c>
      <c r="E2082">
        <f>IF($C2082="","",DATE(YEAR($C2082),MONTH($C2082),1))</f>
        <v/>
      </c>
      <c r="F2082">
        <f>IF($C2082="","",YEAR($C2082)&amp;"-Q"&amp;ROUNDUP(MONTH($C2082)/3,0))</f>
        <v/>
      </c>
      <c r="L2082">
        <f>IF($G2082&lt;&gt;"ALCOHOL","",IF($K2082="","",$H2082*IFERROR(VLOOKUP($K2082,Drink_Templates!$A:$G,7,FALSE),0)))</f>
        <v/>
      </c>
    </row>
    <row r="2083" ht="15" customHeight="1">
      <c r="C2083">
        <f>IF($B2083="","",INT($B2083))</f>
        <v/>
      </c>
      <c r="D2083">
        <f>IF($C2083="","",$C2083-WEEKDAY($C2083,2)+1)</f>
        <v/>
      </c>
      <c r="E2083">
        <f>IF($C2083="","",DATE(YEAR($C2083),MONTH($C2083),1))</f>
        <v/>
      </c>
      <c r="F2083">
        <f>IF($C2083="","",YEAR($C2083)&amp;"-Q"&amp;ROUNDUP(MONTH($C2083)/3,0))</f>
        <v/>
      </c>
      <c r="L2083">
        <f>IF($G2083&lt;&gt;"ALCOHOL","",IF($K2083="","",$H2083*IFERROR(VLOOKUP($K2083,Drink_Templates!$A:$G,7,FALSE),0)))</f>
        <v/>
      </c>
    </row>
    <row r="2084" ht="15" customHeight="1">
      <c r="C2084">
        <f>IF($B2084="","",INT($B2084))</f>
        <v/>
      </c>
      <c r="D2084">
        <f>IF($C2084="","",$C2084-WEEKDAY($C2084,2)+1)</f>
        <v/>
      </c>
      <c r="E2084">
        <f>IF($C2084="","",DATE(YEAR($C2084),MONTH($C2084),1))</f>
        <v/>
      </c>
      <c r="F2084">
        <f>IF($C2084="","",YEAR($C2084)&amp;"-Q"&amp;ROUNDUP(MONTH($C2084)/3,0))</f>
        <v/>
      </c>
      <c r="L2084">
        <f>IF($G2084&lt;&gt;"ALCOHOL","",IF($K2084="","",$H2084*IFERROR(VLOOKUP($K2084,Drink_Templates!$A:$G,7,FALSE),0)))</f>
        <v/>
      </c>
    </row>
    <row r="2085" ht="15" customHeight="1">
      <c r="C2085">
        <f>IF($B2085="","",INT($B2085))</f>
        <v/>
      </c>
      <c r="D2085">
        <f>IF($C2085="","",$C2085-WEEKDAY($C2085,2)+1)</f>
        <v/>
      </c>
      <c r="E2085">
        <f>IF($C2085="","",DATE(YEAR($C2085),MONTH($C2085),1))</f>
        <v/>
      </c>
      <c r="F2085">
        <f>IF($C2085="","",YEAR($C2085)&amp;"-Q"&amp;ROUNDUP(MONTH($C2085)/3,0))</f>
        <v/>
      </c>
      <c r="L2085">
        <f>IF($G2085&lt;&gt;"ALCOHOL","",IF($K2085="","",$H2085*IFERROR(VLOOKUP($K2085,Drink_Templates!$A:$G,7,FALSE),0)))</f>
        <v/>
      </c>
    </row>
    <row r="2086" ht="15" customHeight="1">
      <c r="C2086">
        <f>IF($B2086="","",INT($B2086))</f>
        <v/>
      </c>
      <c r="D2086">
        <f>IF($C2086="","",$C2086-WEEKDAY($C2086,2)+1)</f>
        <v/>
      </c>
      <c r="E2086">
        <f>IF($C2086="","",DATE(YEAR($C2086),MONTH($C2086),1))</f>
        <v/>
      </c>
      <c r="F2086">
        <f>IF($C2086="","",YEAR($C2086)&amp;"-Q"&amp;ROUNDUP(MONTH($C2086)/3,0))</f>
        <v/>
      </c>
      <c r="L2086">
        <f>IF($G2086&lt;&gt;"ALCOHOL","",IF($K2086="","",$H2086*IFERROR(VLOOKUP($K2086,Drink_Templates!$A:$G,7,FALSE),0)))</f>
        <v/>
      </c>
    </row>
    <row r="2087" ht="15" customHeight="1">
      <c r="C2087">
        <f>IF($B2087="","",INT($B2087))</f>
        <v/>
      </c>
      <c r="D2087">
        <f>IF($C2087="","",$C2087-WEEKDAY($C2087,2)+1)</f>
        <v/>
      </c>
      <c r="E2087">
        <f>IF($C2087="","",DATE(YEAR($C2087),MONTH($C2087),1))</f>
        <v/>
      </c>
      <c r="F2087">
        <f>IF($C2087="","",YEAR($C2087)&amp;"-Q"&amp;ROUNDUP(MONTH($C2087)/3,0))</f>
        <v/>
      </c>
      <c r="L2087">
        <f>IF($G2087&lt;&gt;"ALCOHOL","",IF($K2087="","",$H2087*IFERROR(VLOOKUP($K2087,Drink_Templates!$A:$G,7,FALSE),0)))</f>
        <v/>
      </c>
    </row>
    <row r="2088" ht="15" customHeight="1">
      <c r="C2088">
        <f>IF($B2088="","",INT($B2088))</f>
        <v/>
      </c>
      <c r="D2088">
        <f>IF($C2088="","",$C2088-WEEKDAY($C2088,2)+1)</f>
        <v/>
      </c>
      <c r="E2088">
        <f>IF($C2088="","",DATE(YEAR($C2088),MONTH($C2088),1))</f>
        <v/>
      </c>
      <c r="F2088">
        <f>IF($C2088="","",YEAR($C2088)&amp;"-Q"&amp;ROUNDUP(MONTH($C2088)/3,0))</f>
        <v/>
      </c>
      <c r="L2088">
        <f>IF($G2088&lt;&gt;"ALCOHOL","",IF($K2088="","",$H2088*IFERROR(VLOOKUP($K2088,Drink_Templates!$A:$G,7,FALSE),0)))</f>
        <v/>
      </c>
    </row>
    <row r="2089" ht="15" customHeight="1">
      <c r="C2089">
        <f>IF($B2089="","",INT($B2089))</f>
        <v/>
      </c>
      <c r="D2089">
        <f>IF($C2089="","",$C2089-WEEKDAY($C2089,2)+1)</f>
        <v/>
      </c>
      <c r="E2089">
        <f>IF($C2089="","",DATE(YEAR($C2089),MONTH($C2089),1))</f>
        <v/>
      </c>
      <c r="F2089">
        <f>IF($C2089="","",YEAR($C2089)&amp;"-Q"&amp;ROUNDUP(MONTH($C2089)/3,0))</f>
        <v/>
      </c>
      <c r="L2089">
        <f>IF($G2089&lt;&gt;"ALCOHOL","",IF($K2089="","",$H2089*IFERROR(VLOOKUP($K2089,Drink_Templates!$A:$G,7,FALSE),0)))</f>
        <v/>
      </c>
    </row>
    <row r="2090" ht="15" customHeight="1">
      <c r="C2090">
        <f>IF($B2090="","",INT($B2090))</f>
        <v/>
      </c>
      <c r="D2090">
        <f>IF($C2090="","",$C2090-WEEKDAY($C2090,2)+1)</f>
        <v/>
      </c>
      <c r="E2090">
        <f>IF($C2090="","",DATE(YEAR($C2090),MONTH($C2090),1))</f>
        <v/>
      </c>
      <c r="F2090">
        <f>IF($C2090="","",YEAR($C2090)&amp;"-Q"&amp;ROUNDUP(MONTH($C2090)/3,0))</f>
        <v/>
      </c>
      <c r="L2090">
        <f>IF($G2090&lt;&gt;"ALCOHOL","",IF($K2090="","",$H2090*IFERROR(VLOOKUP($K2090,Drink_Templates!$A:$G,7,FALSE),0)))</f>
        <v/>
      </c>
    </row>
    <row r="2091" ht="15" customHeight="1">
      <c r="C2091">
        <f>IF($B2091="","",INT($B2091))</f>
        <v/>
      </c>
      <c r="D2091">
        <f>IF($C2091="","",$C2091-WEEKDAY($C2091,2)+1)</f>
        <v/>
      </c>
      <c r="E2091">
        <f>IF($C2091="","",DATE(YEAR($C2091),MONTH($C2091),1))</f>
        <v/>
      </c>
      <c r="F2091">
        <f>IF($C2091="","",YEAR($C2091)&amp;"-Q"&amp;ROUNDUP(MONTH($C2091)/3,0))</f>
        <v/>
      </c>
      <c r="L2091">
        <f>IF($G2091&lt;&gt;"ALCOHOL","",IF($K2091="","",$H2091*IFERROR(VLOOKUP($K2091,Drink_Templates!$A:$G,7,FALSE),0)))</f>
        <v/>
      </c>
    </row>
    <row r="2092" ht="15" customHeight="1">
      <c r="C2092">
        <f>IF($B2092="","",INT($B2092))</f>
        <v/>
      </c>
      <c r="D2092">
        <f>IF($C2092="","",$C2092-WEEKDAY($C2092,2)+1)</f>
        <v/>
      </c>
      <c r="E2092">
        <f>IF($C2092="","",DATE(YEAR($C2092),MONTH($C2092),1))</f>
        <v/>
      </c>
      <c r="F2092">
        <f>IF($C2092="","",YEAR($C2092)&amp;"-Q"&amp;ROUNDUP(MONTH($C2092)/3,0))</f>
        <v/>
      </c>
      <c r="L2092">
        <f>IF($G2092&lt;&gt;"ALCOHOL","",IF($K2092="","",$H2092*IFERROR(VLOOKUP($K2092,Drink_Templates!$A:$G,7,FALSE),0)))</f>
        <v/>
      </c>
    </row>
    <row r="2093" ht="15" customHeight="1">
      <c r="C2093">
        <f>IF($B2093="","",INT($B2093))</f>
        <v/>
      </c>
      <c r="D2093">
        <f>IF($C2093="","",$C2093-WEEKDAY($C2093,2)+1)</f>
        <v/>
      </c>
      <c r="E2093">
        <f>IF($C2093="","",DATE(YEAR($C2093),MONTH($C2093),1))</f>
        <v/>
      </c>
      <c r="F2093">
        <f>IF($C2093="","",YEAR($C2093)&amp;"-Q"&amp;ROUNDUP(MONTH($C2093)/3,0))</f>
        <v/>
      </c>
      <c r="L2093">
        <f>IF($G2093&lt;&gt;"ALCOHOL","",IF($K2093="","",$H2093*IFERROR(VLOOKUP($K2093,Drink_Templates!$A:$G,7,FALSE),0)))</f>
        <v/>
      </c>
    </row>
    <row r="2094" ht="15" customHeight="1">
      <c r="C2094">
        <f>IF($B2094="","",INT($B2094))</f>
        <v/>
      </c>
      <c r="D2094">
        <f>IF($C2094="","",$C2094-WEEKDAY($C2094,2)+1)</f>
        <v/>
      </c>
      <c r="E2094">
        <f>IF($C2094="","",DATE(YEAR($C2094),MONTH($C2094),1))</f>
        <v/>
      </c>
      <c r="F2094">
        <f>IF($C2094="","",YEAR($C2094)&amp;"-Q"&amp;ROUNDUP(MONTH($C2094)/3,0))</f>
        <v/>
      </c>
      <c r="L2094">
        <f>IF($G2094&lt;&gt;"ALCOHOL","",IF($K2094="","",$H2094*IFERROR(VLOOKUP($K2094,Drink_Templates!$A:$G,7,FALSE),0)))</f>
        <v/>
      </c>
    </row>
    <row r="2095" ht="15" customHeight="1">
      <c r="C2095">
        <f>IF($B2095="","",INT($B2095))</f>
        <v/>
      </c>
      <c r="D2095">
        <f>IF($C2095="","",$C2095-WEEKDAY($C2095,2)+1)</f>
        <v/>
      </c>
      <c r="E2095">
        <f>IF($C2095="","",DATE(YEAR($C2095),MONTH($C2095),1))</f>
        <v/>
      </c>
      <c r="F2095">
        <f>IF($C2095="","",YEAR($C2095)&amp;"-Q"&amp;ROUNDUP(MONTH($C2095)/3,0))</f>
        <v/>
      </c>
      <c r="L2095">
        <f>IF($G2095&lt;&gt;"ALCOHOL","",IF($K2095="","",$H2095*IFERROR(VLOOKUP($K2095,Drink_Templates!$A:$G,7,FALSE),0)))</f>
        <v/>
      </c>
    </row>
    <row r="2096" ht="15" customHeight="1">
      <c r="C2096">
        <f>IF($B2096="","",INT($B2096))</f>
        <v/>
      </c>
      <c r="D2096">
        <f>IF($C2096="","",$C2096-WEEKDAY($C2096,2)+1)</f>
        <v/>
      </c>
      <c r="E2096">
        <f>IF($C2096="","",DATE(YEAR($C2096),MONTH($C2096),1))</f>
        <v/>
      </c>
      <c r="F2096">
        <f>IF($C2096="","",YEAR($C2096)&amp;"-Q"&amp;ROUNDUP(MONTH($C2096)/3,0))</f>
        <v/>
      </c>
      <c r="L2096">
        <f>IF($G2096&lt;&gt;"ALCOHOL","",IF($K2096="","",$H2096*IFERROR(VLOOKUP($K2096,Drink_Templates!$A:$G,7,FALSE),0)))</f>
        <v/>
      </c>
    </row>
    <row r="2097" ht="15" customHeight="1">
      <c r="C2097">
        <f>IF($B2097="","",INT($B2097))</f>
        <v/>
      </c>
      <c r="D2097">
        <f>IF($C2097="","",$C2097-WEEKDAY($C2097,2)+1)</f>
        <v/>
      </c>
      <c r="E2097">
        <f>IF($C2097="","",DATE(YEAR($C2097),MONTH($C2097),1))</f>
        <v/>
      </c>
      <c r="F2097">
        <f>IF($C2097="","",YEAR($C2097)&amp;"-Q"&amp;ROUNDUP(MONTH($C2097)/3,0))</f>
        <v/>
      </c>
      <c r="L2097">
        <f>IF($G2097&lt;&gt;"ALCOHOL","",IF($K2097="","",$H2097*IFERROR(VLOOKUP($K2097,Drink_Templates!$A:$G,7,FALSE),0)))</f>
        <v/>
      </c>
    </row>
    <row r="2098" ht="15" customHeight="1">
      <c r="C2098">
        <f>IF($B2098="","",INT($B2098))</f>
        <v/>
      </c>
      <c r="D2098">
        <f>IF($C2098="","",$C2098-WEEKDAY($C2098,2)+1)</f>
        <v/>
      </c>
      <c r="E2098">
        <f>IF($C2098="","",DATE(YEAR($C2098),MONTH($C2098),1))</f>
        <v/>
      </c>
      <c r="F2098">
        <f>IF($C2098="","",YEAR($C2098)&amp;"-Q"&amp;ROUNDUP(MONTH($C2098)/3,0))</f>
        <v/>
      </c>
      <c r="L2098">
        <f>IF($G2098&lt;&gt;"ALCOHOL","",IF($K2098="","",$H2098*IFERROR(VLOOKUP($K2098,Drink_Templates!$A:$G,7,FALSE),0)))</f>
        <v/>
      </c>
    </row>
    <row r="2099" ht="15" customHeight="1">
      <c r="C2099">
        <f>IF($B2099="","",INT($B2099))</f>
        <v/>
      </c>
      <c r="D2099">
        <f>IF($C2099="","",$C2099-WEEKDAY($C2099,2)+1)</f>
        <v/>
      </c>
      <c r="E2099">
        <f>IF($C2099="","",DATE(YEAR($C2099),MONTH($C2099),1))</f>
        <v/>
      </c>
      <c r="F2099">
        <f>IF($C2099="","",YEAR($C2099)&amp;"-Q"&amp;ROUNDUP(MONTH($C2099)/3,0))</f>
        <v/>
      </c>
      <c r="L2099">
        <f>IF($G2099&lt;&gt;"ALCOHOL","",IF($K2099="","",$H2099*IFERROR(VLOOKUP($K2099,Drink_Templates!$A:$G,7,FALSE),0)))</f>
        <v/>
      </c>
    </row>
    <row r="2100" ht="15" customHeight="1">
      <c r="C2100">
        <f>IF($B2100="","",INT($B2100))</f>
        <v/>
      </c>
      <c r="D2100">
        <f>IF($C2100="","",$C2100-WEEKDAY($C2100,2)+1)</f>
        <v/>
      </c>
      <c r="E2100">
        <f>IF($C2100="","",DATE(YEAR($C2100),MONTH($C2100),1))</f>
        <v/>
      </c>
      <c r="F2100">
        <f>IF($C2100="","",YEAR($C2100)&amp;"-Q"&amp;ROUNDUP(MONTH($C2100)/3,0))</f>
        <v/>
      </c>
      <c r="L2100">
        <f>IF($G2100&lt;&gt;"ALCOHOL","",IF($K2100="","",$H2100*IFERROR(VLOOKUP($K2100,Drink_Templates!$A:$G,7,FALSE),0)))</f>
        <v/>
      </c>
    </row>
    <row r="2101" ht="15" customHeight="1">
      <c r="C2101">
        <f>IF($B2101="","",INT($B2101))</f>
        <v/>
      </c>
      <c r="D2101">
        <f>IF($C2101="","",$C2101-WEEKDAY($C2101,2)+1)</f>
        <v/>
      </c>
      <c r="E2101">
        <f>IF($C2101="","",DATE(YEAR($C2101),MONTH($C2101),1))</f>
        <v/>
      </c>
      <c r="F2101">
        <f>IF($C2101="","",YEAR($C2101)&amp;"-Q"&amp;ROUNDUP(MONTH($C2101)/3,0))</f>
        <v/>
      </c>
      <c r="L2101">
        <f>IF($G2101&lt;&gt;"ALCOHOL","",IF($K2101="","",$H2101*IFERROR(VLOOKUP($K2101,Drink_Templates!$A:$G,7,FALSE),0)))</f>
        <v/>
      </c>
    </row>
    <row r="2102" ht="15" customHeight="1">
      <c r="C2102">
        <f>IF($B2102="","",INT($B2102))</f>
        <v/>
      </c>
      <c r="D2102">
        <f>IF($C2102="","",$C2102-WEEKDAY($C2102,2)+1)</f>
        <v/>
      </c>
      <c r="E2102">
        <f>IF($C2102="","",DATE(YEAR($C2102),MONTH($C2102),1))</f>
        <v/>
      </c>
      <c r="F2102">
        <f>IF($C2102="","",YEAR($C2102)&amp;"-Q"&amp;ROUNDUP(MONTH($C2102)/3,0))</f>
        <v/>
      </c>
      <c r="L2102">
        <f>IF($G2102&lt;&gt;"ALCOHOL","",IF($K2102="","",$H2102*IFERROR(VLOOKUP($K2102,Drink_Templates!$A:$G,7,FALSE),0)))</f>
        <v/>
      </c>
    </row>
    <row r="2103" ht="15" customHeight="1">
      <c r="C2103">
        <f>IF($B2103="","",INT($B2103))</f>
        <v/>
      </c>
      <c r="D2103">
        <f>IF($C2103="","",$C2103-WEEKDAY($C2103,2)+1)</f>
        <v/>
      </c>
      <c r="E2103">
        <f>IF($C2103="","",DATE(YEAR($C2103),MONTH($C2103),1))</f>
        <v/>
      </c>
      <c r="F2103">
        <f>IF($C2103="","",YEAR($C2103)&amp;"-Q"&amp;ROUNDUP(MONTH($C2103)/3,0))</f>
        <v/>
      </c>
      <c r="L2103">
        <f>IF($G2103&lt;&gt;"ALCOHOL","",IF($K2103="","",$H2103*IFERROR(VLOOKUP($K2103,Drink_Templates!$A:$G,7,FALSE),0)))</f>
        <v/>
      </c>
    </row>
    <row r="2104" ht="15" customHeight="1">
      <c r="C2104">
        <f>IF($B2104="","",INT($B2104))</f>
        <v/>
      </c>
      <c r="D2104">
        <f>IF($C2104="","",$C2104-WEEKDAY($C2104,2)+1)</f>
        <v/>
      </c>
      <c r="E2104">
        <f>IF($C2104="","",DATE(YEAR($C2104),MONTH($C2104),1))</f>
        <v/>
      </c>
      <c r="F2104">
        <f>IF($C2104="","",YEAR($C2104)&amp;"-Q"&amp;ROUNDUP(MONTH($C2104)/3,0))</f>
        <v/>
      </c>
      <c r="L2104">
        <f>IF($G2104&lt;&gt;"ALCOHOL","",IF($K2104="","",$H2104*IFERROR(VLOOKUP($K2104,Drink_Templates!$A:$G,7,FALSE),0)))</f>
        <v/>
      </c>
    </row>
    <row r="2105" ht="15" customHeight="1">
      <c r="C2105">
        <f>IF($B2105="","",INT($B2105))</f>
        <v/>
      </c>
      <c r="D2105">
        <f>IF($C2105="","",$C2105-WEEKDAY($C2105,2)+1)</f>
        <v/>
      </c>
      <c r="E2105">
        <f>IF($C2105="","",DATE(YEAR($C2105),MONTH($C2105),1))</f>
        <v/>
      </c>
      <c r="F2105">
        <f>IF($C2105="","",YEAR($C2105)&amp;"-Q"&amp;ROUNDUP(MONTH($C2105)/3,0))</f>
        <v/>
      </c>
      <c r="L2105">
        <f>IF($G2105&lt;&gt;"ALCOHOL","",IF($K2105="","",$H2105*IFERROR(VLOOKUP($K2105,Drink_Templates!$A:$G,7,FALSE),0)))</f>
        <v/>
      </c>
    </row>
    <row r="2106" ht="15" customHeight="1">
      <c r="C2106">
        <f>IF($B2106="","",INT($B2106))</f>
        <v/>
      </c>
      <c r="D2106">
        <f>IF($C2106="","",$C2106-WEEKDAY($C2106,2)+1)</f>
        <v/>
      </c>
      <c r="E2106">
        <f>IF($C2106="","",DATE(YEAR($C2106),MONTH($C2106),1))</f>
        <v/>
      </c>
      <c r="F2106">
        <f>IF($C2106="","",YEAR($C2106)&amp;"-Q"&amp;ROUNDUP(MONTH($C2106)/3,0))</f>
        <v/>
      </c>
      <c r="L2106">
        <f>IF($G2106&lt;&gt;"ALCOHOL","",IF($K2106="","",$H2106*IFERROR(VLOOKUP($K2106,Drink_Templates!$A:$G,7,FALSE),0)))</f>
        <v/>
      </c>
    </row>
    <row r="2107" ht="15" customHeight="1">
      <c r="C2107">
        <f>IF($B2107="","",INT($B2107))</f>
        <v/>
      </c>
      <c r="D2107">
        <f>IF($C2107="","",$C2107-WEEKDAY($C2107,2)+1)</f>
        <v/>
      </c>
      <c r="E2107">
        <f>IF($C2107="","",DATE(YEAR($C2107),MONTH($C2107),1))</f>
        <v/>
      </c>
      <c r="F2107">
        <f>IF($C2107="","",YEAR($C2107)&amp;"-Q"&amp;ROUNDUP(MONTH($C2107)/3,0))</f>
        <v/>
      </c>
      <c r="L2107">
        <f>IF($G2107&lt;&gt;"ALCOHOL","",IF($K2107="","",$H2107*IFERROR(VLOOKUP($K2107,Drink_Templates!$A:$G,7,FALSE),0)))</f>
        <v/>
      </c>
    </row>
    <row r="2108" ht="15" customHeight="1">
      <c r="C2108">
        <f>IF($B2108="","",INT($B2108))</f>
        <v/>
      </c>
      <c r="D2108">
        <f>IF($C2108="","",$C2108-WEEKDAY($C2108,2)+1)</f>
        <v/>
      </c>
      <c r="E2108">
        <f>IF($C2108="","",DATE(YEAR($C2108),MONTH($C2108),1))</f>
        <v/>
      </c>
      <c r="F2108">
        <f>IF($C2108="","",YEAR($C2108)&amp;"-Q"&amp;ROUNDUP(MONTH($C2108)/3,0))</f>
        <v/>
      </c>
      <c r="L2108">
        <f>IF($G2108&lt;&gt;"ALCOHOL","",IF($K2108="","",$H2108*IFERROR(VLOOKUP($K2108,Drink_Templates!$A:$G,7,FALSE),0)))</f>
        <v/>
      </c>
    </row>
    <row r="2109" ht="15" customHeight="1">
      <c r="C2109">
        <f>IF($B2109="","",INT($B2109))</f>
        <v/>
      </c>
      <c r="D2109">
        <f>IF($C2109="","",$C2109-WEEKDAY($C2109,2)+1)</f>
        <v/>
      </c>
      <c r="E2109">
        <f>IF($C2109="","",DATE(YEAR($C2109),MONTH($C2109),1))</f>
        <v/>
      </c>
      <c r="F2109">
        <f>IF($C2109="","",YEAR($C2109)&amp;"-Q"&amp;ROUNDUP(MONTH($C2109)/3,0))</f>
        <v/>
      </c>
      <c r="L2109">
        <f>IF($G2109&lt;&gt;"ALCOHOL","",IF($K2109="","",$H2109*IFERROR(VLOOKUP($K2109,Drink_Templates!$A:$G,7,FALSE),0)))</f>
        <v/>
      </c>
    </row>
    <row r="2110" ht="15" customHeight="1">
      <c r="C2110">
        <f>IF($B2110="","",INT($B2110))</f>
        <v/>
      </c>
      <c r="D2110">
        <f>IF($C2110="","",$C2110-WEEKDAY($C2110,2)+1)</f>
        <v/>
      </c>
      <c r="E2110">
        <f>IF($C2110="","",DATE(YEAR($C2110),MONTH($C2110),1))</f>
        <v/>
      </c>
      <c r="F2110">
        <f>IF($C2110="","",YEAR($C2110)&amp;"-Q"&amp;ROUNDUP(MONTH($C2110)/3,0))</f>
        <v/>
      </c>
      <c r="L2110">
        <f>IF($G2110&lt;&gt;"ALCOHOL","",IF($K2110="","",$H2110*IFERROR(VLOOKUP($K2110,Drink_Templates!$A:$G,7,FALSE),0)))</f>
        <v/>
      </c>
    </row>
    <row r="2111" ht="15" customHeight="1">
      <c r="C2111">
        <f>IF($B2111="","",INT($B2111))</f>
        <v/>
      </c>
      <c r="D2111">
        <f>IF($C2111="","",$C2111-WEEKDAY($C2111,2)+1)</f>
        <v/>
      </c>
      <c r="E2111">
        <f>IF($C2111="","",DATE(YEAR($C2111),MONTH($C2111),1))</f>
        <v/>
      </c>
      <c r="F2111">
        <f>IF($C2111="","",YEAR($C2111)&amp;"-Q"&amp;ROUNDUP(MONTH($C2111)/3,0))</f>
        <v/>
      </c>
      <c r="L2111">
        <f>IF($G2111&lt;&gt;"ALCOHOL","",IF($K2111="","",$H2111*IFERROR(VLOOKUP($K2111,Drink_Templates!$A:$G,7,FALSE),0)))</f>
        <v/>
      </c>
    </row>
    <row r="2112" ht="15" customHeight="1">
      <c r="C2112">
        <f>IF($B2112="","",INT($B2112))</f>
        <v/>
      </c>
      <c r="D2112">
        <f>IF($C2112="","",$C2112-WEEKDAY($C2112,2)+1)</f>
        <v/>
      </c>
      <c r="E2112">
        <f>IF($C2112="","",DATE(YEAR($C2112),MONTH($C2112),1))</f>
        <v/>
      </c>
      <c r="F2112">
        <f>IF($C2112="","",YEAR($C2112)&amp;"-Q"&amp;ROUNDUP(MONTH($C2112)/3,0))</f>
        <v/>
      </c>
      <c r="L2112">
        <f>IF($G2112&lt;&gt;"ALCOHOL","",IF($K2112="","",$H2112*IFERROR(VLOOKUP($K2112,Drink_Templates!$A:$G,7,FALSE),0)))</f>
        <v/>
      </c>
    </row>
    <row r="2113" ht="15" customHeight="1">
      <c r="C2113">
        <f>IF($B2113="","",INT($B2113))</f>
        <v/>
      </c>
      <c r="D2113">
        <f>IF($C2113="","",$C2113-WEEKDAY($C2113,2)+1)</f>
        <v/>
      </c>
      <c r="E2113">
        <f>IF($C2113="","",DATE(YEAR($C2113),MONTH($C2113),1))</f>
        <v/>
      </c>
      <c r="F2113">
        <f>IF($C2113="","",YEAR($C2113)&amp;"-Q"&amp;ROUNDUP(MONTH($C2113)/3,0))</f>
        <v/>
      </c>
      <c r="L2113">
        <f>IF($G2113&lt;&gt;"ALCOHOL","",IF($K2113="","",$H2113*IFERROR(VLOOKUP($K2113,Drink_Templates!$A:$G,7,FALSE),0)))</f>
        <v/>
      </c>
    </row>
    <row r="2114" ht="15" customHeight="1">
      <c r="C2114">
        <f>IF($B2114="","",INT($B2114))</f>
        <v/>
      </c>
      <c r="D2114">
        <f>IF($C2114="","",$C2114-WEEKDAY($C2114,2)+1)</f>
        <v/>
      </c>
      <c r="E2114">
        <f>IF($C2114="","",DATE(YEAR($C2114),MONTH($C2114),1))</f>
        <v/>
      </c>
      <c r="F2114">
        <f>IF($C2114="","",YEAR($C2114)&amp;"-Q"&amp;ROUNDUP(MONTH($C2114)/3,0))</f>
        <v/>
      </c>
      <c r="L2114">
        <f>IF($G2114&lt;&gt;"ALCOHOL","",IF($K2114="","",$H2114*IFERROR(VLOOKUP($K2114,Drink_Templates!$A:$G,7,FALSE),0)))</f>
        <v/>
      </c>
    </row>
    <row r="2115" ht="15" customHeight="1">
      <c r="C2115">
        <f>IF($B2115="","",INT($B2115))</f>
        <v/>
      </c>
      <c r="D2115">
        <f>IF($C2115="","",$C2115-WEEKDAY($C2115,2)+1)</f>
        <v/>
      </c>
      <c r="E2115">
        <f>IF($C2115="","",DATE(YEAR($C2115),MONTH($C2115),1))</f>
        <v/>
      </c>
      <c r="F2115">
        <f>IF($C2115="","",YEAR($C2115)&amp;"-Q"&amp;ROUNDUP(MONTH($C2115)/3,0))</f>
        <v/>
      </c>
      <c r="L2115">
        <f>IF($G2115&lt;&gt;"ALCOHOL","",IF($K2115="","",$H2115*IFERROR(VLOOKUP($K2115,Drink_Templates!$A:$G,7,FALSE),0)))</f>
        <v/>
      </c>
    </row>
    <row r="2116" ht="15" customHeight="1">
      <c r="C2116">
        <f>IF($B2116="","",INT($B2116))</f>
        <v/>
      </c>
      <c r="D2116">
        <f>IF($C2116="","",$C2116-WEEKDAY($C2116,2)+1)</f>
        <v/>
      </c>
      <c r="E2116">
        <f>IF($C2116="","",DATE(YEAR($C2116),MONTH($C2116),1))</f>
        <v/>
      </c>
      <c r="F2116">
        <f>IF($C2116="","",YEAR($C2116)&amp;"-Q"&amp;ROUNDUP(MONTH($C2116)/3,0))</f>
        <v/>
      </c>
      <c r="L2116">
        <f>IF($G2116&lt;&gt;"ALCOHOL","",IF($K2116="","",$H2116*IFERROR(VLOOKUP($K2116,Drink_Templates!$A:$G,7,FALSE),0)))</f>
        <v/>
      </c>
    </row>
    <row r="2117" ht="15" customHeight="1">
      <c r="C2117">
        <f>IF($B2117="","",INT($B2117))</f>
        <v/>
      </c>
      <c r="D2117">
        <f>IF($C2117="","",$C2117-WEEKDAY($C2117,2)+1)</f>
        <v/>
      </c>
      <c r="E2117">
        <f>IF($C2117="","",DATE(YEAR($C2117),MONTH($C2117),1))</f>
        <v/>
      </c>
      <c r="F2117">
        <f>IF($C2117="","",YEAR($C2117)&amp;"-Q"&amp;ROUNDUP(MONTH($C2117)/3,0))</f>
        <v/>
      </c>
      <c r="L2117">
        <f>IF($G2117&lt;&gt;"ALCOHOL","",IF($K2117="","",$H2117*IFERROR(VLOOKUP($K2117,Drink_Templates!$A:$G,7,FALSE),0)))</f>
        <v/>
      </c>
    </row>
    <row r="2118" ht="15" customHeight="1">
      <c r="C2118">
        <f>IF($B2118="","",INT($B2118))</f>
        <v/>
      </c>
      <c r="D2118">
        <f>IF($C2118="","",$C2118-WEEKDAY($C2118,2)+1)</f>
        <v/>
      </c>
      <c r="E2118">
        <f>IF($C2118="","",DATE(YEAR($C2118),MONTH($C2118),1))</f>
        <v/>
      </c>
      <c r="F2118">
        <f>IF($C2118="","",YEAR($C2118)&amp;"-Q"&amp;ROUNDUP(MONTH($C2118)/3,0))</f>
        <v/>
      </c>
      <c r="L2118">
        <f>IF($G2118&lt;&gt;"ALCOHOL","",IF($K2118="","",$H2118*IFERROR(VLOOKUP($K2118,Drink_Templates!$A:$G,7,FALSE),0)))</f>
        <v/>
      </c>
    </row>
    <row r="2119" ht="15" customHeight="1">
      <c r="C2119">
        <f>IF($B2119="","",INT($B2119))</f>
        <v/>
      </c>
      <c r="D2119">
        <f>IF($C2119="","",$C2119-WEEKDAY($C2119,2)+1)</f>
        <v/>
      </c>
      <c r="E2119">
        <f>IF($C2119="","",DATE(YEAR($C2119),MONTH($C2119),1))</f>
        <v/>
      </c>
      <c r="F2119">
        <f>IF($C2119="","",YEAR($C2119)&amp;"-Q"&amp;ROUNDUP(MONTH($C2119)/3,0))</f>
        <v/>
      </c>
      <c r="L2119">
        <f>IF($G2119&lt;&gt;"ALCOHOL","",IF($K2119="","",$H2119*IFERROR(VLOOKUP($K2119,Drink_Templates!$A:$G,7,FALSE),0)))</f>
        <v/>
      </c>
    </row>
    <row r="2120" ht="15" customHeight="1">
      <c r="C2120">
        <f>IF($B2120="","",INT($B2120))</f>
        <v/>
      </c>
      <c r="D2120">
        <f>IF($C2120="","",$C2120-WEEKDAY($C2120,2)+1)</f>
        <v/>
      </c>
      <c r="E2120">
        <f>IF($C2120="","",DATE(YEAR($C2120),MONTH($C2120),1))</f>
        <v/>
      </c>
      <c r="F2120">
        <f>IF($C2120="","",YEAR($C2120)&amp;"-Q"&amp;ROUNDUP(MONTH($C2120)/3,0))</f>
        <v/>
      </c>
      <c r="L2120">
        <f>IF($G2120&lt;&gt;"ALCOHOL","",IF($K2120="","",$H2120*IFERROR(VLOOKUP($K2120,Drink_Templates!$A:$G,7,FALSE),0)))</f>
        <v/>
      </c>
    </row>
    <row r="2121" ht="15" customHeight="1">
      <c r="C2121">
        <f>IF($B2121="","",INT($B2121))</f>
        <v/>
      </c>
      <c r="D2121">
        <f>IF($C2121="","",$C2121-WEEKDAY($C2121,2)+1)</f>
        <v/>
      </c>
      <c r="E2121">
        <f>IF($C2121="","",DATE(YEAR($C2121),MONTH($C2121),1))</f>
        <v/>
      </c>
      <c r="F2121">
        <f>IF($C2121="","",YEAR($C2121)&amp;"-Q"&amp;ROUNDUP(MONTH($C2121)/3,0))</f>
        <v/>
      </c>
      <c r="L2121">
        <f>IF($G2121&lt;&gt;"ALCOHOL","",IF($K2121="","",$H2121*IFERROR(VLOOKUP($K2121,Drink_Templates!$A:$G,7,FALSE),0)))</f>
        <v/>
      </c>
    </row>
    <row r="2122" ht="15" customHeight="1">
      <c r="C2122">
        <f>IF($B2122="","",INT($B2122))</f>
        <v/>
      </c>
      <c r="D2122">
        <f>IF($C2122="","",$C2122-WEEKDAY($C2122,2)+1)</f>
        <v/>
      </c>
      <c r="E2122">
        <f>IF($C2122="","",DATE(YEAR($C2122),MONTH($C2122),1))</f>
        <v/>
      </c>
      <c r="F2122">
        <f>IF($C2122="","",YEAR($C2122)&amp;"-Q"&amp;ROUNDUP(MONTH($C2122)/3,0))</f>
        <v/>
      </c>
      <c r="L2122">
        <f>IF($G2122&lt;&gt;"ALCOHOL","",IF($K2122="","",$H2122*IFERROR(VLOOKUP($K2122,Drink_Templates!$A:$G,7,FALSE),0)))</f>
        <v/>
      </c>
    </row>
    <row r="2123" ht="15" customHeight="1">
      <c r="C2123">
        <f>IF($B2123="","",INT($B2123))</f>
        <v/>
      </c>
      <c r="D2123">
        <f>IF($C2123="","",$C2123-WEEKDAY($C2123,2)+1)</f>
        <v/>
      </c>
      <c r="E2123">
        <f>IF($C2123="","",DATE(YEAR($C2123),MONTH($C2123),1))</f>
        <v/>
      </c>
      <c r="F2123">
        <f>IF($C2123="","",YEAR($C2123)&amp;"-Q"&amp;ROUNDUP(MONTH($C2123)/3,0))</f>
        <v/>
      </c>
      <c r="L2123">
        <f>IF($G2123&lt;&gt;"ALCOHOL","",IF($K2123="","",$H2123*IFERROR(VLOOKUP($K2123,Drink_Templates!$A:$G,7,FALSE),0)))</f>
        <v/>
      </c>
    </row>
    <row r="2124" ht="15" customHeight="1">
      <c r="C2124">
        <f>IF($B2124="","",INT($B2124))</f>
        <v/>
      </c>
      <c r="D2124">
        <f>IF($C2124="","",$C2124-WEEKDAY($C2124,2)+1)</f>
        <v/>
      </c>
      <c r="E2124">
        <f>IF($C2124="","",DATE(YEAR($C2124),MONTH($C2124),1))</f>
        <v/>
      </c>
      <c r="F2124">
        <f>IF($C2124="","",YEAR($C2124)&amp;"-Q"&amp;ROUNDUP(MONTH($C2124)/3,0))</f>
        <v/>
      </c>
      <c r="L2124">
        <f>IF($G2124&lt;&gt;"ALCOHOL","",IF($K2124="","",$H2124*IFERROR(VLOOKUP($K2124,Drink_Templates!$A:$G,7,FALSE),0)))</f>
        <v/>
      </c>
    </row>
    <row r="2125" ht="15" customHeight="1">
      <c r="C2125">
        <f>IF($B2125="","",INT($B2125))</f>
        <v/>
      </c>
      <c r="D2125">
        <f>IF($C2125="","",$C2125-WEEKDAY($C2125,2)+1)</f>
        <v/>
      </c>
      <c r="E2125">
        <f>IF($C2125="","",DATE(YEAR($C2125),MONTH($C2125),1))</f>
        <v/>
      </c>
      <c r="F2125">
        <f>IF($C2125="","",YEAR($C2125)&amp;"-Q"&amp;ROUNDUP(MONTH($C2125)/3,0))</f>
        <v/>
      </c>
      <c r="L2125">
        <f>IF($G2125&lt;&gt;"ALCOHOL","",IF($K2125="","",$H2125*IFERROR(VLOOKUP($K2125,Drink_Templates!$A:$G,7,FALSE),0)))</f>
        <v/>
      </c>
    </row>
    <row r="2126" ht="15" customHeight="1">
      <c r="C2126">
        <f>IF($B2126="","",INT($B2126))</f>
        <v/>
      </c>
      <c r="D2126">
        <f>IF($C2126="","",$C2126-WEEKDAY($C2126,2)+1)</f>
        <v/>
      </c>
      <c r="E2126">
        <f>IF($C2126="","",DATE(YEAR($C2126),MONTH($C2126),1))</f>
        <v/>
      </c>
      <c r="F2126">
        <f>IF($C2126="","",YEAR($C2126)&amp;"-Q"&amp;ROUNDUP(MONTH($C2126)/3,0))</f>
        <v/>
      </c>
      <c r="L2126">
        <f>IF($G2126&lt;&gt;"ALCOHOL","",IF($K2126="","",$H2126*IFERROR(VLOOKUP($K2126,Drink_Templates!$A:$G,7,FALSE),0)))</f>
        <v/>
      </c>
    </row>
    <row r="2127" ht="15" customHeight="1">
      <c r="C2127">
        <f>IF($B2127="","",INT($B2127))</f>
        <v/>
      </c>
      <c r="D2127">
        <f>IF($C2127="","",$C2127-WEEKDAY($C2127,2)+1)</f>
        <v/>
      </c>
      <c r="E2127">
        <f>IF($C2127="","",DATE(YEAR($C2127),MONTH($C2127),1))</f>
        <v/>
      </c>
      <c r="F2127">
        <f>IF($C2127="","",YEAR($C2127)&amp;"-Q"&amp;ROUNDUP(MONTH($C2127)/3,0))</f>
        <v/>
      </c>
      <c r="L2127">
        <f>IF($G2127&lt;&gt;"ALCOHOL","",IF($K2127="","",$H2127*IFERROR(VLOOKUP($K2127,Drink_Templates!$A:$G,7,FALSE),0)))</f>
        <v/>
      </c>
    </row>
    <row r="2128" ht="15" customHeight="1">
      <c r="C2128">
        <f>IF($B2128="","",INT($B2128))</f>
        <v/>
      </c>
      <c r="D2128">
        <f>IF($C2128="","",$C2128-WEEKDAY($C2128,2)+1)</f>
        <v/>
      </c>
      <c r="E2128">
        <f>IF($C2128="","",DATE(YEAR($C2128),MONTH($C2128),1))</f>
        <v/>
      </c>
      <c r="F2128">
        <f>IF($C2128="","",YEAR($C2128)&amp;"-Q"&amp;ROUNDUP(MONTH($C2128)/3,0))</f>
        <v/>
      </c>
      <c r="L2128">
        <f>IF($G2128&lt;&gt;"ALCOHOL","",IF($K2128="","",$H2128*IFERROR(VLOOKUP($K2128,Drink_Templates!$A:$G,7,FALSE),0)))</f>
        <v/>
      </c>
    </row>
    <row r="2129" ht="15" customHeight="1">
      <c r="C2129">
        <f>IF($B2129="","",INT($B2129))</f>
        <v/>
      </c>
      <c r="D2129">
        <f>IF($C2129="","",$C2129-WEEKDAY($C2129,2)+1)</f>
        <v/>
      </c>
      <c r="E2129">
        <f>IF($C2129="","",DATE(YEAR($C2129),MONTH($C2129),1))</f>
        <v/>
      </c>
      <c r="F2129">
        <f>IF($C2129="","",YEAR($C2129)&amp;"-Q"&amp;ROUNDUP(MONTH($C2129)/3,0))</f>
        <v/>
      </c>
      <c r="L2129">
        <f>IF($G2129&lt;&gt;"ALCOHOL","",IF($K2129="","",$H2129*IFERROR(VLOOKUP($K2129,Drink_Templates!$A:$G,7,FALSE),0)))</f>
        <v/>
      </c>
    </row>
    <row r="2130" ht="15" customHeight="1">
      <c r="C2130">
        <f>IF($B2130="","",INT($B2130))</f>
        <v/>
      </c>
      <c r="D2130">
        <f>IF($C2130="","",$C2130-WEEKDAY($C2130,2)+1)</f>
        <v/>
      </c>
      <c r="E2130">
        <f>IF($C2130="","",DATE(YEAR($C2130),MONTH($C2130),1))</f>
        <v/>
      </c>
      <c r="F2130">
        <f>IF($C2130="","",YEAR($C2130)&amp;"-Q"&amp;ROUNDUP(MONTH($C2130)/3,0))</f>
        <v/>
      </c>
      <c r="L2130">
        <f>IF($G2130&lt;&gt;"ALCOHOL","",IF($K2130="","",$H2130*IFERROR(VLOOKUP($K2130,Drink_Templates!$A:$G,7,FALSE),0)))</f>
        <v/>
      </c>
    </row>
    <row r="2131" ht="15" customHeight="1">
      <c r="C2131">
        <f>IF($B2131="","",INT($B2131))</f>
        <v/>
      </c>
      <c r="D2131">
        <f>IF($C2131="","",$C2131-WEEKDAY($C2131,2)+1)</f>
        <v/>
      </c>
      <c r="E2131">
        <f>IF($C2131="","",DATE(YEAR($C2131),MONTH($C2131),1))</f>
        <v/>
      </c>
      <c r="F2131">
        <f>IF($C2131="","",YEAR($C2131)&amp;"-Q"&amp;ROUNDUP(MONTH($C2131)/3,0))</f>
        <v/>
      </c>
      <c r="L2131">
        <f>IF($G2131&lt;&gt;"ALCOHOL","",IF($K2131="","",$H2131*IFERROR(VLOOKUP($K2131,Drink_Templates!$A:$G,7,FALSE),0)))</f>
        <v/>
      </c>
    </row>
    <row r="2132" ht="15" customHeight="1">
      <c r="C2132">
        <f>IF($B2132="","",INT($B2132))</f>
        <v/>
      </c>
      <c r="D2132">
        <f>IF($C2132="","",$C2132-WEEKDAY($C2132,2)+1)</f>
        <v/>
      </c>
      <c r="E2132">
        <f>IF($C2132="","",DATE(YEAR($C2132),MONTH($C2132),1))</f>
        <v/>
      </c>
      <c r="F2132">
        <f>IF($C2132="","",YEAR($C2132)&amp;"-Q"&amp;ROUNDUP(MONTH($C2132)/3,0))</f>
        <v/>
      </c>
      <c r="L2132">
        <f>IF($G2132&lt;&gt;"ALCOHOL","",IF($K2132="","",$H2132*IFERROR(VLOOKUP($K2132,Drink_Templates!$A:$G,7,FALSE),0)))</f>
        <v/>
      </c>
    </row>
    <row r="2133" ht="15" customHeight="1">
      <c r="C2133">
        <f>IF($B2133="","",INT($B2133))</f>
        <v/>
      </c>
      <c r="D2133">
        <f>IF($C2133="","",$C2133-WEEKDAY($C2133,2)+1)</f>
        <v/>
      </c>
      <c r="E2133">
        <f>IF($C2133="","",DATE(YEAR($C2133),MONTH($C2133),1))</f>
        <v/>
      </c>
      <c r="F2133">
        <f>IF($C2133="","",YEAR($C2133)&amp;"-Q"&amp;ROUNDUP(MONTH($C2133)/3,0))</f>
        <v/>
      </c>
      <c r="L2133">
        <f>IF($G2133&lt;&gt;"ALCOHOL","",IF($K2133="","",$H2133*IFERROR(VLOOKUP($K2133,Drink_Templates!$A:$G,7,FALSE),0)))</f>
        <v/>
      </c>
    </row>
    <row r="2134" ht="15" customHeight="1">
      <c r="C2134">
        <f>IF($B2134="","",INT($B2134))</f>
        <v/>
      </c>
      <c r="D2134">
        <f>IF($C2134="","",$C2134-WEEKDAY($C2134,2)+1)</f>
        <v/>
      </c>
      <c r="E2134">
        <f>IF($C2134="","",DATE(YEAR($C2134),MONTH($C2134),1))</f>
        <v/>
      </c>
      <c r="F2134">
        <f>IF($C2134="","",YEAR($C2134)&amp;"-Q"&amp;ROUNDUP(MONTH($C2134)/3,0))</f>
        <v/>
      </c>
      <c r="L2134">
        <f>IF($G2134&lt;&gt;"ALCOHOL","",IF($K2134="","",$H2134*IFERROR(VLOOKUP($K2134,Drink_Templates!$A:$G,7,FALSE),0)))</f>
        <v/>
      </c>
    </row>
    <row r="2135" ht="15" customHeight="1">
      <c r="C2135">
        <f>IF($B2135="","",INT($B2135))</f>
        <v/>
      </c>
      <c r="D2135">
        <f>IF($C2135="","",$C2135-WEEKDAY($C2135,2)+1)</f>
        <v/>
      </c>
      <c r="E2135">
        <f>IF($C2135="","",DATE(YEAR($C2135),MONTH($C2135),1))</f>
        <v/>
      </c>
      <c r="F2135">
        <f>IF($C2135="","",YEAR($C2135)&amp;"-Q"&amp;ROUNDUP(MONTH($C2135)/3,0))</f>
        <v/>
      </c>
      <c r="L2135">
        <f>IF($G2135&lt;&gt;"ALCOHOL","",IF($K2135="","",$H2135*IFERROR(VLOOKUP($K2135,Drink_Templates!$A:$G,7,FALSE),0)))</f>
        <v/>
      </c>
    </row>
    <row r="2136" ht="15" customHeight="1">
      <c r="C2136">
        <f>IF($B2136="","",INT($B2136))</f>
        <v/>
      </c>
      <c r="D2136">
        <f>IF($C2136="","",$C2136-WEEKDAY($C2136,2)+1)</f>
        <v/>
      </c>
      <c r="E2136">
        <f>IF($C2136="","",DATE(YEAR($C2136),MONTH($C2136),1))</f>
        <v/>
      </c>
      <c r="F2136">
        <f>IF($C2136="","",YEAR($C2136)&amp;"-Q"&amp;ROUNDUP(MONTH($C2136)/3,0))</f>
        <v/>
      </c>
      <c r="L2136">
        <f>IF($G2136&lt;&gt;"ALCOHOL","",IF($K2136="","",$H2136*IFERROR(VLOOKUP($K2136,Drink_Templates!$A:$G,7,FALSE),0)))</f>
        <v/>
      </c>
    </row>
    <row r="2137" ht="15" customHeight="1">
      <c r="C2137">
        <f>IF($B2137="","",INT($B2137))</f>
        <v/>
      </c>
      <c r="D2137">
        <f>IF($C2137="","",$C2137-WEEKDAY($C2137,2)+1)</f>
        <v/>
      </c>
      <c r="E2137">
        <f>IF($C2137="","",DATE(YEAR($C2137),MONTH($C2137),1))</f>
        <v/>
      </c>
      <c r="F2137">
        <f>IF($C2137="","",YEAR($C2137)&amp;"-Q"&amp;ROUNDUP(MONTH($C2137)/3,0))</f>
        <v/>
      </c>
      <c r="L2137">
        <f>IF($G2137&lt;&gt;"ALCOHOL","",IF($K2137="","",$H2137*IFERROR(VLOOKUP($K2137,Drink_Templates!$A:$G,7,FALSE),0)))</f>
        <v/>
      </c>
    </row>
    <row r="2138" ht="15" customHeight="1">
      <c r="C2138">
        <f>IF($B2138="","",INT($B2138))</f>
        <v/>
      </c>
      <c r="D2138">
        <f>IF($C2138="","",$C2138-WEEKDAY($C2138,2)+1)</f>
        <v/>
      </c>
      <c r="E2138">
        <f>IF($C2138="","",DATE(YEAR($C2138),MONTH($C2138),1))</f>
        <v/>
      </c>
      <c r="F2138">
        <f>IF($C2138="","",YEAR($C2138)&amp;"-Q"&amp;ROUNDUP(MONTH($C2138)/3,0))</f>
        <v/>
      </c>
      <c r="L2138">
        <f>IF($G2138&lt;&gt;"ALCOHOL","",IF($K2138="","",$H2138*IFERROR(VLOOKUP($K2138,Drink_Templates!$A:$G,7,FALSE),0)))</f>
        <v/>
      </c>
    </row>
    <row r="2139" ht="15" customHeight="1">
      <c r="C2139">
        <f>IF($B2139="","",INT($B2139))</f>
        <v/>
      </c>
      <c r="D2139">
        <f>IF($C2139="","",$C2139-WEEKDAY($C2139,2)+1)</f>
        <v/>
      </c>
      <c r="E2139">
        <f>IF($C2139="","",DATE(YEAR($C2139),MONTH($C2139),1))</f>
        <v/>
      </c>
      <c r="F2139">
        <f>IF($C2139="","",YEAR($C2139)&amp;"-Q"&amp;ROUNDUP(MONTH($C2139)/3,0))</f>
        <v/>
      </c>
      <c r="L2139">
        <f>IF($G2139&lt;&gt;"ALCOHOL","",IF($K2139="","",$H2139*IFERROR(VLOOKUP($K2139,Drink_Templates!$A:$G,7,FALSE),0)))</f>
        <v/>
      </c>
    </row>
    <row r="2140" ht="15" customHeight="1">
      <c r="C2140">
        <f>IF($B2140="","",INT($B2140))</f>
        <v/>
      </c>
      <c r="D2140">
        <f>IF($C2140="","",$C2140-WEEKDAY($C2140,2)+1)</f>
        <v/>
      </c>
      <c r="E2140">
        <f>IF($C2140="","",DATE(YEAR($C2140),MONTH($C2140),1))</f>
        <v/>
      </c>
      <c r="F2140">
        <f>IF($C2140="","",YEAR($C2140)&amp;"-Q"&amp;ROUNDUP(MONTH($C2140)/3,0))</f>
        <v/>
      </c>
      <c r="L2140">
        <f>IF($G2140&lt;&gt;"ALCOHOL","",IF($K2140="","",$H2140*IFERROR(VLOOKUP($K2140,Drink_Templates!$A:$G,7,FALSE),0)))</f>
        <v/>
      </c>
    </row>
    <row r="2141" ht="15" customHeight="1">
      <c r="C2141">
        <f>IF($B2141="","",INT($B2141))</f>
        <v/>
      </c>
      <c r="D2141">
        <f>IF($C2141="","",$C2141-WEEKDAY($C2141,2)+1)</f>
        <v/>
      </c>
      <c r="E2141">
        <f>IF($C2141="","",DATE(YEAR($C2141),MONTH($C2141),1))</f>
        <v/>
      </c>
      <c r="F2141">
        <f>IF($C2141="","",YEAR($C2141)&amp;"-Q"&amp;ROUNDUP(MONTH($C2141)/3,0))</f>
        <v/>
      </c>
      <c r="L2141">
        <f>IF($G2141&lt;&gt;"ALCOHOL","",IF($K2141="","",$H2141*IFERROR(VLOOKUP($K2141,Drink_Templates!$A:$G,7,FALSE),0)))</f>
        <v/>
      </c>
    </row>
    <row r="2142" ht="15" customHeight="1">
      <c r="C2142">
        <f>IF($B2142="","",INT($B2142))</f>
        <v/>
      </c>
      <c r="D2142">
        <f>IF($C2142="","",$C2142-WEEKDAY($C2142,2)+1)</f>
        <v/>
      </c>
      <c r="E2142">
        <f>IF($C2142="","",DATE(YEAR($C2142),MONTH($C2142),1))</f>
        <v/>
      </c>
      <c r="F2142">
        <f>IF($C2142="","",YEAR($C2142)&amp;"-Q"&amp;ROUNDUP(MONTH($C2142)/3,0))</f>
        <v/>
      </c>
      <c r="L2142">
        <f>IF($G2142&lt;&gt;"ALCOHOL","",IF($K2142="","",$H2142*IFERROR(VLOOKUP($K2142,Drink_Templates!$A:$G,7,FALSE),0)))</f>
        <v/>
      </c>
    </row>
    <row r="2143" ht="15" customHeight="1">
      <c r="C2143">
        <f>IF($B2143="","",INT($B2143))</f>
        <v/>
      </c>
      <c r="D2143">
        <f>IF($C2143="","",$C2143-WEEKDAY($C2143,2)+1)</f>
        <v/>
      </c>
      <c r="E2143">
        <f>IF($C2143="","",DATE(YEAR($C2143),MONTH($C2143),1))</f>
        <v/>
      </c>
      <c r="F2143">
        <f>IF($C2143="","",YEAR($C2143)&amp;"-Q"&amp;ROUNDUP(MONTH($C2143)/3,0))</f>
        <v/>
      </c>
      <c r="L2143">
        <f>IF($G2143&lt;&gt;"ALCOHOL","",IF($K2143="","",$H2143*IFERROR(VLOOKUP($K2143,Drink_Templates!$A:$G,7,FALSE),0)))</f>
        <v/>
      </c>
    </row>
    <row r="2144" ht="15" customHeight="1">
      <c r="C2144">
        <f>IF($B2144="","",INT($B2144))</f>
        <v/>
      </c>
      <c r="D2144">
        <f>IF($C2144="","",$C2144-WEEKDAY($C2144,2)+1)</f>
        <v/>
      </c>
      <c r="E2144">
        <f>IF($C2144="","",DATE(YEAR($C2144),MONTH($C2144),1))</f>
        <v/>
      </c>
      <c r="F2144">
        <f>IF($C2144="","",YEAR($C2144)&amp;"-Q"&amp;ROUNDUP(MONTH($C2144)/3,0))</f>
        <v/>
      </c>
      <c r="L2144">
        <f>IF($G2144&lt;&gt;"ALCOHOL","",IF($K2144="","",$H2144*IFERROR(VLOOKUP($K2144,Drink_Templates!$A:$G,7,FALSE),0)))</f>
        <v/>
      </c>
    </row>
    <row r="2145" ht="15" customHeight="1">
      <c r="C2145">
        <f>IF($B2145="","",INT($B2145))</f>
        <v/>
      </c>
      <c r="D2145">
        <f>IF($C2145="","",$C2145-WEEKDAY($C2145,2)+1)</f>
        <v/>
      </c>
      <c r="E2145">
        <f>IF($C2145="","",DATE(YEAR($C2145),MONTH($C2145),1))</f>
        <v/>
      </c>
      <c r="F2145">
        <f>IF($C2145="","",YEAR($C2145)&amp;"-Q"&amp;ROUNDUP(MONTH($C2145)/3,0))</f>
        <v/>
      </c>
      <c r="L2145">
        <f>IF($G2145&lt;&gt;"ALCOHOL","",IF($K2145="","",$H2145*IFERROR(VLOOKUP($K2145,Drink_Templates!$A:$G,7,FALSE),0)))</f>
        <v/>
      </c>
    </row>
    <row r="2146" ht="15" customHeight="1">
      <c r="C2146">
        <f>IF($B2146="","",INT($B2146))</f>
        <v/>
      </c>
      <c r="D2146">
        <f>IF($C2146="","",$C2146-WEEKDAY($C2146,2)+1)</f>
        <v/>
      </c>
      <c r="E2146">
        <f>IF($C2146="","",DATE(YEAR($C2146),MONTH($C2146),1))</f>
        <v/>
      </c>
      <c r="F2146">
        <f>IF($C2146="","",YEAR($C2146)&amp;"-Q"&amp;ROUNDUP(MONTH($C2146)/3,0))</f>
        <v/>
      </c>
      <c r="L2146">
        <f>IF($G2146&lt;&gt;"ALCOHOL","",IF($K2146="","",$H2146*IFERROR(VLOOKUP($K2146,Drink_Templates!$A:$G,7,FALSE),0)))</f>
        <v/>
      </c>
    </row>
    <row r="2147" ht="15" customHeight="1">
      <c r="C2147">
        <f>IF($B2147="","",INT($B2147))</f>
        <v/>
      </c>
      <c r="D2147">
        <f>IF($C2147="","",$C2147-WEEKDAY($C2147,2)+1)</f>
        <v/>
      </c>
      <c r="E2147">
        <f>IF($C2147="","",DATE(YEAR($C2147),MONTH($C2147),1))</f>
        <v/>
      </c>
      <c r="F2147">
        <f>IF($C2147="","",YEAR($C2147)&amp;"-Q"&amp;ROUNDUP(MONTH($C2147)/3,0))</f>
        <v/>
      </c>
      <c r="L2147">
        <f>IF($G2147&lt;&gt;"ALCOHOL","",IF($K2147="","",$H2147*IFERROR(VLOOKUP($K2147,Drink_Templates!$A:$G,7,FALSE),0)))</f>
        <v/>
      </c>
    </row>
    <row r="2148" ht="15" customHeight="1">
      <c r="C2148">
        <f>IF($B2148="","",INT($B2148))</f>
        <v/>
      </c>
      <c r="D2148">
        <f>IF($C2148="","",$C2148-WEEKDAY($C2148,2)+1)</f>
        <v/>
      </c>
      <c r="E2148">
        <f>IF($C2148="","",DATE(YEAR($C2148),MONTH($C2148),1))</f>
        <v/>
      </c>
      <c r="F2148">
        <f>IF($C2148="","",YEAR($C2148)&amp;"-Q"&amp;ROUNDUP(MONTH($C2148)/3,0))</f>
        <v/>
      </c>
      <c r="L2148">
        <f>IF($G2148&lt;&gt;"ALCOHOL","",IF($K2148="","",$H2148*IFERROR(VLOOKUP($K2148,Drink_Templates!$A:$G,7,FALSE),0)))</f>
        <v/>
      </c>
    </row>
    <row r="2149" ht="15" customHeight="1">
      <c r="C2149">
        <f>IF($B2149="","",INT($B2149))</f>
        <v/>
      </c>
      <c r="D2149">
        <f>IF($C2149="","",$C2149-WEEKDAY($C2149,2)+1)</f>
        <v/>
      </c>
      <c r="E2149">
        <f>IF($C2149="","",DATE(YEAR($C2149),MONTH($C2149),1))</f>
        <v/>
      </c>
      <c r="F2149">
        <f>IF($C2149="","",YEAR($C2149)&amp;"-Q"&amp;ROUNDUP(MONTH($C2149)/3,0))</f>
        <v/>
      </c>
      <c r="L2149">
        <f>IF($G2149&lt;&gt;"ALCOHOL","",IF($K2149="","",$H2149*IFERROR(VLOOKUP($K2149,Drink_Templates!$A:$G,7,FALSE),0)))</f>
        <v/>
      </c>
    </row>
    <row r="2150" ht="15" customHeight="1">
      <c r="C2150">
        <f>IF($B2150="","",INT($B2150))</f>
        <v/>
      </c>
      <c r="D2150">
        <f>IF($C2150="","",$C2150-WEEKDAY($C2150,2)+1)</f>
        <v/>
      </c>
      <c r="E2150">
        <f>IF($C2150="","",DATE(YEAR($C2150),MONTH($C2150),1))</f>
        <v/>
      </c>
      <c r="F2150">
        <f>IF($C2150="","",YEAR($C2150)&amp;"-Q"&amp;ROUNDUP(MONTH($C2150)/3,0))</f>
        <v/>
      </c>
      <c r="L2150">
        <f>IF($G2150&lt;&gt;"ALCOHOL","",IF($K2150="","",$H2150*IFERROR(VLOOKUP($K2150,Drink_Templates!$A:$G,7,FALSE),0)))</f>
        <v/>
      </c>
    </row>
    <row r="2151" ht="15" customHeight="1">
      <c r="C2151">
        <f>IF($B2151="","",INT($B2151))</f>
        <v/>
      </c>
      <c r="D2151">
        <f>IF($C2151="","",$C2151-WEEKDAY($C2151,2)+1)</f>
        <v/>
      </c>
      <c r="E2151">
        <f>IF($C2151="","",DATE(YEAR($C2151),MONTH($C2151),1))</f>
        <v/>
      </c>
      <c r="F2151">
        <f>IF($C2151="","",YEAR($C2151)&amp;"-Q"&amp;ROUNDUP(MONTH($C2151)/3,0))</f>
        <v/>
      </c>
      <c r="L2151">
        <f>IF($G2151&lt;&gt;"ALCOHOL","",IF($K2151="","",$H2151*IFERROR(VLOOKUP($K2151,Drink_Templates!$A:$G,7,FALSE),0)))</f>
        <v/>
      </c>
    </row>
    <row r="2152" ht="15" customHeight="1">
      <c r="C2152">
        <f>IF($B2152="","",INT($B2152))</f>
        <v/>
      </c>
      <c r="D2152">
        <f>IF($C2152="","",$C2152-WEEKDAY($C2152,2)+1)</f>
        <v/>
      </c>
      <c r="E2152">
        <f>IF($C2152="","",DATE(YEAR($C2152),MONTH($C2152),1))</f>
        <v/>
      </c>
      <c r="F2152">
        <f>IF($C2152="","",YEAR($C2152)&amp;"-Q"&amp;ROUNDUP(MONTH($C2152)/3,0))</f>
        <v/>
      </c>
      <c r="L2152">
        <f>IF($G2152&lt;&gt;"ALCOHOL","",IF($K2152="","",$H2152*IFERROR(VLOOKUP($K2152,Drink_Templates!$A:$G,7,FALSE),0)))</f>
        <v/>
      </c>
    </row>
    <row r="2153" ht="15" customHeight="1">
      <c r="C2153">
        <f>IF($B2153="","",INT($B2153))</f>
        <v/>
      </c>
      <c r="D2153">
        <f>IF($C2153="","",$C2153-WEEKDAY($C2153,2)+1)</f>
        <v/>
      </c>
      <c r="E2153">
        <f>IF($C2153="","",DATE(YEAR($C2153),MONTH($C2153),1))</f>
        <v/>
      </c>
      <c r="F2153">
        <f>IF($C2153="","",YEAR($C2153)&amp;"-Q"&amp;ROUNDUP(MONTH($C2153)/3,0))</f>
        <v/>
      </c>
      <c r="L2153">
        <f>IF($G2153&lt;&gt;"ALCOHOL","",IF($K2153="","",$H2153*IFERROR(VLOOKUP($K2153,Drink_Templates!$A:$G,7,FALSE),0)))</f>
        <v/>
      </c>
    </row>
    <row r="2154" ht="15" customHeight="1">
      <c r="C2154">
        <f>IF($B2154="","",INT($B2154))</f>
        <v/>
      </c>
      <c r="D2154">
        <f>IF($C2154="","",$C2154-WEEKDAY($C2154,2)+1)</f>
        <v/>
      </c>
      <c r="E2154">
        <f>IF($C2154="","",DATE(YEAR($C2154),MONTH($C2154),1))</f>
        <v/>
      </c>
      <c r="F2154">
        <f>IF($C2154="","",YEAR($C2154)&amp;"-Q"&amp;ROUNDUP(MONTH($C2154)/3,0))</f>
        <v/>
      </c>
      <c r="L2154">
        <f>IF($G2154&lt;&gt;"ALCOHOL","",IF($K2154="","",$H2154*IFERROR(VLOOKUP($K2154,Drink_Templates!$A:$G,7,FALSE),0)))</f>
        <v/>
      </c>
    </row>
    <row r="2155" ht="15" customHeight="1">
      <c r="C2155">
        <f>IF($B2155="","",INT($B2155))</f>
        <v/>
      </c>
      <c r="D2155">
        <f>IF($C2155="","",$C2155-WEEKDAY($C2155,2)+1)</f>
        <v/>
      </c>
      <c r="E2155">
        <f>IF($C2155="","",DATE(YEAR($C2155),MONTH($C2155),1))</f>
        <v/>
      </c>
      <c r="F2155">
        <f>IF($C2155="","",YEAR($C2155)&amp;"-Q"&amp;ROUNDUP(MONTH($C2155)/3,0))</f>
        <v/>
      </c>
      <c r="L2155">
        <f>IF($G2155&lt;&gt;"ALCOHOL","",IF($K2155="","",$H2155*IFERROR(VLOOKUP($K2155,Drink_Templates!$A:$G,7,FALSE),0)))</f>
        <v/>
      </c>
    </row>
    <row r="2156" ht="15" customHeight="1">
      <c r="C2156">
        <f>IF($B2156="","",INT($B2156))</f>
        <v/>
      </c>
      <c r="D2156">
        <f>IF($C2156="","",$C2156-WEEKDAY($C2156,2)+1)</f>
        <v/>
      </c>
      <c r="E2156">
        <f>IF($C2156="","",DATE(YEAR($C2156),MONTH($C2156),1))</f>
        <v/>
      </c>
      <c r="F2156">
        <f>IF($C2156="","",YEAR($C2156)&amp;"-Q"&amp;ROUNDUP(MONTH($C2156)/3,0))</f>
        <v/>
      </c>
      <c r="L2156">
        <f>IF($G2156&lt;&gt;"ALCOHOL","",IF($K2156="","",$H2156*IFERROR(VLOOKUP($K2156,Drink_Templates!$A:$G,7,FALSE),0)))</f>
        <v/>
      </c>
    </row>
    <row r="2157" ht="15" customHeight="1">
      <c r="C2157">
        <f>IF($B2157="","",INT($B2157))</f>
        <v/>
      </c>
      <c r="D2157">
        <f>IF($C2157="","",$C2157-WEEKDAY($C2157,2)+1)</f>
        <v/>
      </c>
      <c r="E2157">
        <f>IF($C2157="","",DATE(YEAR($C2157),MONTH($C2157),1))</f>
        <v/>
      </c>
      <c r="F2157">
        <f>IF($C2157="","",YEAR($C2157)&amp;"-Q"&amp;ROUNDUP(MONTH($C2157)/3,0))</f>
        <v/>
      </c>
      <c r="L2157">
        <f>IF($G2157&lt;&gt;"ALCOHOL","",IF($K2157="","",$H2157*IFERROR(VLOOKUP($K2157,Drink_Templates!$A:$G,7,FALSE),0)))</f>
        <v/>
      </c>
    </row>
    <row r="2158" ht="15" customHeight="1">
      <c r="C2158">
        <f>IF($B2158="","",INT($B2158))</f>
        <v/>
      </c>
      <c r="D2158">
        <f>IF($C2158="","",$C2158-WEEKDAY($C2158,2)+1)</f>
        <v/>
      </c>
      <c r="E2158">
        <f>IF($C2158="","",DATE(YEAR($C2158),MONTH($C2158),1))</f>
        <v/>
      </c>
      <c r="F2158">
        <f>IF($C2158="","",YEAR($C2158)&amp;"-Q"&amp;ROUNDUP(MONTH($C2158)/3,0))</f>
        <v/>
      </c>
      <c r="L2158">
        <f>IF($G2158&lt;&gt;"ALCOHOL","",IF($K2158="","",$H2158*IFERROR(VLOOKUP($K2158,Drink_Templates!$A:$G,7,FALSE),0)))</f>
        <v/>
      </c>
    </row>
    <row r="2159" ht="15" customHeight="1">
      <c r="C2159">
        <f>IF($B2159="","",INT($B2159))</f>
        <v/>
      </c>
      <c r="D2159">
        <f>IF($C2159="","",$C2159-WEEKDAY($C2159,2)+1)</f>
        <v/>
      </c>
      <c r="E2159">
        <f>IF($C2159="","",DATE(YEAR($C2159),MONTH($C2159),1))</f>
        <v/>
      </c>
      <c r="F2159">
        <f>IF($C2159="","",YEAR($C2159)&amp;"-Q"&amp;ROUNDUP(MONTH($C2159)/3,0))</f>
        <v/>
      </c>
      <c r="L2159">
        <f>IF($G2159&lt;&gt;"ALCOHOL","",IF($K2159="","",$H2159*IFERROR(VLOOKUP($K2159,Drink_Templates!$A:$G,7,FALSE),0)))</f>
        <v/>
      </c>
    </row>
    <row r="2160" ht="15" customHeight="1">
      <c r="C2160">
        <f>IF($B2160="","",INT($B2160))</f>
        <v/>
      </c>
      <c r="D2160">
        <f>IF($C2160="","",$C2160-WEEKDAY($C2160,2)+1)</f>
        <v/>
      </c>
      <c r="E2160">
        <f>IF($C2160="","",DATE(YEAR($C2160),MONTH($C2160),1))</f>
        <v/>
      </c>
      <c r="F2160">
        <f>IF($C2160="","",YEAR($C2160)&amp;"-Q"&amp;ROUNDUP(MONTH($C2160)/3,0))</f>
        <v/>
      </c>
      <c r="L2160">
        <f>IF($G2160&lt;&gt;"ALCOHOL","",IF($K2160="","",$H2160*IFERROR(VLOOKUP($K2160,Drink_Templates!$A:$G,7,FALSE),0)))</f>
        <v/>
      </c>
    </row>
    <row r="2161" ht="15" customHeight="1">
      <c r="C2161">
        <f>IF($B2161="","",INT($B2161))</f>
        <v/>
      </c>
      <c r="D2161">
        <f>IF($C2161="","",$C2161-WEEKDAY($C2161,2)+1)</f>
        <v/>
      </c>
      <c r="E2161">
        <f>IF($C2161="","",DATE(YEAR($C2161),MONTH($C2161),1))</f>
        <v/>
      </c>
      <c r="F2161">
        <f>IF($C2161="","",YEAR($C2161)&amp;"-Q"&amp;ROUNDUP(MONTH($C2161)/3,0))</f>
        <v/>
      </c>
      <c r="L2161">
        <f>IF($G2161&lt;&gt;"ALCOHOL","",IF($K2161="","",$H2161*IFERROR(VLOOKUP($K2161,Drink_Templates!$A:$G,7,FALSE),0)))</f>
        <v/>
      </c>
    </row>
    <row r="2162" ht="15" customHeight="1">
      <c r="C2162">
        <f>IF($B2162="","",INT($B2162))</f>
        <v/>
      </c>
      <c r="D2162">
        <f>IF($C2162="","",$C2162-WEEKDAY($C2162,2)+1)</f>
        <v/>
      </c>
      <c r="E2162">
        <f>IF($C2162="","",DATE(YEAR($C2162),MONTH($C2162),1))</f>
        <v/>
      </c>
      <c r="F2162">
        <f>IF($C2162="","",YEAR($C2162)&amp;"-Q"&amp;ROUNDUP(MONTH($C2162)/3,0))</f>
        <v/>
      </c>
      <c r="L2162">
        <f>IF($G2162&lt;&gt;"ALCOHOL","",IF($K2162="","",$H2162*IFERROR(VLOOKUP($K2162,Drink_Templates!$A:$G,7,FALSE),0)))</f>
        <v/>
      </c>
    </row>
    <row r="2163" ht="15" customHeight="1">
      <c r="C2163">
        <f>IF($B2163="","",INT($B2163))</f>
        <v/>
      </c>
      <c r="D2163">
        <f>IF($C2163="","",$C2163-WEEKDAY($C2163,2)+1)</f>
        <v/>
      </c>
      <c r="E2163">
        <f>IF($C2163="","",DATE(YEAR($C2163),MONTH($C2163),1))</f>
        <v/>
      </c>
      <c r="F2163">
        <f>IF($C2163="","",YEAR($C2163)&amp;"-Q"&amp;ROUNDUP(MONTH($C2163)/3,0))</f>
        <v/>
      </c>
      <c r="L2163">
        <f>IF($G2163&lt;&gt;"ALCOHOL","",IF($K2163="","",$H2163*IFERROR(VLOOKUP($K2163,Drink_Templates!$A:$G,7,FALSE),0)))</f>
        <v/>
      </c>
    </row>
    <row r="2164" ht="15" customHeight="1">
      <c r="C2164">
        <f>IF($B2164="","",INT($B2164))</f>
        <v/>
      </c>
      <c r="D2164">
        <f>IF($C2164="","",$C2164-WEEKDAY($C2164,2)+1)</f>
        <v/>
      </c>
      <c r="E2164">
        <f>IF($C2164="","",DATE(YEAR($C2164),MONTH($C2164),1))</f>
        <v/>
      </c>
      <c r="F2164">
        <f>IF($C2164="","",YEAR($C2164)&amp;"-Q"&amp;ROUNDUP(MONTH($C2164)/3,0))</f>
        <v/>
      </c>
      <c r="L2164">
        <f>IF($G2164&lt;&gt;"ALCOHOL","",IF($K2164="","",$H2164*IFERROR(VLOOKUP($K2164,Drink_Templates!$A:$G,7,FALSE),0)))</f>
        <v/>
      </c>
    </row>
    <row r="2165" ht="15" customHeight="1">
      <c r="C2165">
        <f>IF($B2165="","",INT($B2165))</f>
        <v/>
      </c>
      <c r="D2165">
        <f>IF($C2165="","",$C2165-WEEKDAY($C2165,2)+1)</f>
        <v/>
      </c>
      <c r="E2165">
        <f>IF($C2165="","",DATE(YEAR($C2165),MONTH($C2165),1))</f>
        <v/>
      </c>
      <c r="F2165">
        <f>IF($C2165="","",YEAR($C2165)&amp;"-Q"&amp;ROUNDUP(MONTH($C2165)/3,0))</f>
        <v/>
      </c>
      <c r="L2165">
        <f>IF($G2165&lt;&gt;"ALCOHOL","",IF($K2165="","",$H2165*IFERROR(VLOOKUP($K2165,Drink_Templates!$A:$G,7,FALSE),0)))</f>
        <v/>
      </c>
    </row>
    <row r="2166" ht="15" customHeight="1">
      <c r="C2166">
        <f>IF($B2166="","",INT($B2166))</f>
        <v/>
      </c>
      <c r="D2166">
        <f>IF($C2166="","",$C2166-WEEKDAY($C2166,2)+1)</f>
        <v/>
      </c>
      <c r="E2166">
        <f>IF($C2166="","",DATE(YEAR($C2166),MONTH($C2166),1))</f>
        <v/>
      </c>
      <c r="F2166">
        <f>IF($C2166="","",YEAR($C2166)&amp;"-Q"&amp;ROUNDUP(MONTH($C2166)/3,0))</f>
        <v/>
      </c>
      <c r="L2166">
        <f>IF($G2166&lt;&gt;"ALCOHOL","",IF($K2166="","",$H2166*IFERROR(VLOOKUP($K2166,Drink_Templates!$A:$G,7,FALSE),0)))</f>
        <v/>
      </c>
    </row>
    <row r="2167" ht="15" customHeight="1">
      <c r="C2167">
        <f>IF($B2167="","",INT($B2167))</f>
        <v/>
      </c>
      <c r="D2167">
        <f>IF($C2167="","",$C2167-WEEKDAY($C2167,2)+1)</f>
        <v/>
      </c>
      <c r="E2167">
        <f>IF($C2167="","",DATE(YEAR($C2167),MONTH($C2167),1))</f>
        <v/>
      </c>
      <c r="F2167">
        <f>IF($C2167="","",YEAR($C2167)&amp;"-Q"&amp;ROUNDUP(MONTH($C2167)/3,0))</f>
        <v/>
      </c>
      <c r="L2167">
        <f>IF($G2167&lt;&gt;"ALCOHOL","",IF($K2167="","",$H2167*IFERROR(VLOOKUP($K2167,Drink_Templates!$A:$G,7,FALSE),0)))</f>
        <v/>
      </c>
    </row>
    <row r="2168" ht="15" customHeight="1">
      <c r="C2168">
        <f>IF($B2168="","",INT($B2168))</f>
        <v/>
      </c>
      <c r="D2168">
        <f>IF($C2168="","",$C2168-WEEKDAY($C2168,2)+1)</f>
        <v/>
      </c>
      <c r="E2168">
        <f>IF($C2168="","",DATE(YEAR($C2168),MONTH($C2168),1))</f>
        <v/>
      </c>
      <c r="F2168">
        <f>IF($C2168="","",YEAR($C2168)&amp;"-Q"&amp;ROUNDUP(MONTH($C2168)/3,0))</f>
        <v/>
      </c>
      <c r="L2168">
        <f>IF($G2168&lt;&gt;"ALCOHOL","",IF($K2168="","",$H2168*IFERROR(VLOOKUP($K2168,Drink_Templates!$A:$G,7,FALSE),0)))</f>
        <v/>
      </c>
    </row>
    <row r="2169" ht="15" customHeight="1">
      <c r="C2169">
        <f>IF($B2169="","",INT($B2169))</f>
        <v/>
      </c>
      <c r="D2169">
        <f>IF($C2169="","",$C2169-WEEKDAY($C2169,2)+1)</f>
        <v/>
      </c>
      <c r="E2169">
        <f>IF($C2169="","",DATE(YEAR($C2169),MONTH($C2169),1))</f>
        <v/>
      </c>
      <c r="F2169">
        <f>IF($C2169="","",YEAR($C2169)&amp;"-Q"&amp;ROUNDUP(MONTH($C2169)/3,0))</f>
        <v/>
      </c>
      <c r="L2169">
        <f>IF($G2169&lt;&gt;"ALCOHOL","",IF($K2169="","",$H2169*IFERROR(VLOOKUP($K2169,Drink_Templates!$A:$G,7,FALSE),0)))</f>
        <v/>
      </c>
    </row>
    <row r="2170" ht="15" customHeight="1">
      <c r="C2170">
        <f>IF($B2170="","",INT($B2170))</f>
        <v/>
      </c>
      <c r="D2170">
        <f>IF($C2170="","",$C2170-WEEKDAY($C2170,2)+1)</f>
        <v/>
      </c>
      <c r="E2170">
        <f>IF($C2170="","",DATE(YEAR($C2170),MONTH($C2170),1))</f>
        <v/>
      </c>
      <c r="F2170">
        <f>IF($C2170="","",YEAR($C2170)&amp;"-Q"&amp;ROUNDUP(MONTH($C2170)/3,0))</f>
        <v/>
      </c>
      <c r="L2170">
        <f>IF($G2170&lt;&gt;"ALCOHOL","",IF($K2170="","",$H2170*IFERROR(VLOOKUP($K2170,Drink_Templates!$A:$G,7,FALSE),0)))</f>
        <v/>
      </c>
    </row>
    <row r="2171" ht="15" customHeight="1">
      <c r="C2171">
        <f>IF($B2171="","",INT($B2171))</f>
        <v/>
      </c>
      <c r="D2171">
        <f>IF($C2171="","",$C2171-WEEKDAY($C2171,2)+1)</f>
        <v/>
      </c>
      <c r="E2171">
        <f>IF($C2171="","",DATE(YEAR($C2171),MONTH($C2171),1))</f>
        <v/>
      </c>
      <c r="F2171">
        <f>IF($C2171="","",YEAR($C2171)&amp;"-Q"&amp;ROUNDUP(MONTH($C2171)/3,0))</f>
        <v/>
      </c>
      <c r="L2171">
        <f>IF($G2171&lt;&gt;"ALCOHOL","",IF($K2171="","",$H2171*IFERROR(VLOOKUP($K2171,Drink_Templates!$A:$G,7,FALSE),0)))</f>
        <v/>
      </c>
    </row>
    <row r="2172" ht="15" customHeight="1">
      <c r="C2172">
        <f>IF($B2172="","",INT($B2172))</f>
        <v/>
      </c>
      <c r="D2172">
        <f>IF($C2172="","",$C2172-WEEKDAY($C2172,2)+1)</f>
        <v/>
      </c>
      <c r="E2172">
        <f>IF($C2172="","",DATE(YEAR($C2172),MONTH($C2172),1))</f>
        <v/>
      </c>
      <c r="F2172">
        <f>IF($C2172="","",YEAR($C2172)&amp;"-Q"&amp;ROUNDUP(MONTH($C2172)/3,0))</f>
        <v/>
      </c>
      <c r="L2172">
        <f>IF($G2172&lt;&gt;"ALCOHOL","",IF($K2172="","",$H2172*IFERROR(VLOOKUP($K2172,Drink_Templates!$A:$G,7,FALSE),0)))</f>
        <v/>
      </c>
    </row>
    <row r="2173" ht="15" customHeight="1">
      <c r="C2173">
        <f>IF($B2173="","",INT($B2173))</f>
        <v/>
      </c>
      <c r="D2173">
        <f>IF($C2173="","",$C2173-WEEKDAY($C2173,2)+1)</f>
        <v/>
      </c>
      <c r="E2173">
        <f>IF($C2173="","",DATE(YEAR($C2173),MONTH($C2173),1))</f>
        <v/>
      </c>
      <c r="F2173">
        <f>IF($C2173="","",YEAR($C2173)&amp;"-Q"&amp;ROUNDUP(MONTH($C2173)/3,0))</f>
        <v/>
      </c>
      <c r="L2173">
        <f>IF($G2173&lt;&gt;"ALCOHOL","",IF($K2173="","",$H2173*IFERROR(VLOOKUP($K2173,Drink_Templates!$A:$G,7,FALSE),0)))</f>
        <v/>
      </c>
    </row>
    <row r="2174" ht="15" customHeight="1">
      <c r="C2174">
        <f>IF($B2174="","",INT($B2174))</f>
        <v/>
      </c>
      <c r="D2174">
        <f>IF($C2174="","",$C2174-WEEKDAY($C2174,2)+1)</f>
        <v/>
      </c>
      <c r="E2174">
        <f>IF($C2174="","",DATE(YEAR($C2174),MONTH($C2174),1))</f>
        <v/>
      </c>
      <c r="F2174">
        <f>IF($C2174="","",YEAR($C2174)&amp;"-Q"&amp;ROUNDUP(MONTH($C2174)/3,0))</f>
        <v/>
      </c>
      <c r="L2174">
        <f>IF($G2174&lt;&gt;"ALCOHOL","",IF($K2174="","",$H2174*IFERROR(VLOOKUP($K2174,Drink_Templates!$A:$G,7,FALSE),0)))</f>
        <v/>
      </c>
    </row>
    <row r="2175" ht="15" customHeight="1">
      <c r="C2175">
        <f>IF($B2175="","",INT($B2175))</f>
        <v/>
      </c>
      <c r="D2175">
        <f>IF($C2175="","",$C2175-WEEKDAY($C2175,2)+1)</f>
        <v/>
      </c>
      <c r="E2175">
        <f>IF($C2175="","",DATE(YEAR($C2175),MONTH($C2175),1))</f>
        <v/>
      </c>
      <c r="F2175">
        <f>IF($C2175="","",YEAR($C2175)&amp;"-Q"&amp;ROUNDUP(MONTH($C2175)/3,0))</f>
        <v/>
      </c>
      <c r="L2175">
        <f>IF($G2175&lt;&gt;"ALCOHOL","",IF($K2175="","",$H2175*IFERROR(VLOOKUP($K2175,Drink_Templates!$A:$G,7,FALSE),0)))</f>
        <v/>
      </c>
    </row>
    <row r="2176" ht="15" customHeight="1">
      <c r="C2176">
        <f>IF($B2176="","",INT($B2176))</f>
        <v/>
      </c>
      <c r="D2176">
        <f>IF($C2176="","",$C2176-WEEKDAY($C2176,2)+1)</f>
        <v/>
      </c>
      <c r="E2176">
        <f>IF($C2176="","",DATE(YEAR($C2176),MONTH($C2176),1))</f>
        <v/>
      </c>
      <c r="F2176">
        <f>IF($C2176="","",YEAR($C2176)&amp;"-Q"&amp;ROUNDUP(MONTH($C2176)/3,0))</f>
        <v/>
      </c>
      <c r="L2176">
        <f>IF($G2176&lt;&gt;"ALCOHOL","",IF($K2176="","",$H2176*IFERROR(VLOOKUP($K2176,Drink_Templates!$A:$G,7,FALSE),0)))</f>
        <v/>
      </c>
    </row>
    <row r="2177" ht="15" customHeight="1">
      <c r="C2177">
        <f>IF($B2177="","",INT($B2177))</f>
        <v/>
      </c>
      <c r="D2177">
        <f>IF($C2177="","",$C2177-WEEKDAY($C2177,2)+1)</f>
        <v/>
      </c>
      <c r="E2177">
        <f>IF($C2177="","",DATE(YEAR($C2177),MONTH($C2177),1))</f>
        <v/>
      </c>
      <c r="F2177">
        <f>IF($C2177="","",YEAR($C2177)&amp;"-Q"&amp;ROUNDUP(MONTH($C2177)/3,0))</f>
        <v/>
      </c>
      <c r="L2177">
        <f>IF($G2177&lt;&gt;"ALCOHOL","",IF($K2177="","",$H2177*IFERROR(VLOOKUP($K2177,Drink_Templates!$A:$G,7,FALSE),0)))</f>
        <v/>
      </c>
    </row>
    <row r="2178" ht="15" customHeight="1">
      <c r="C2178">
        <f>IF($B2178="","",INT($B2178))</f>
        <v/>
      </c>
      <c r="D2178">
        <f>IF($C2178="","",$C2178-WEEKDAY($C2178,2)+1)</f>
        <v/>
      </c>
      <c r="E2178">
        <f>IF($C2178="","",DATE(YEAR($C2178),MONTH($C2178),1))</f>
        <v/>
      </c>
      <c r="F2178">
        <f>IF($C2178="","",YEAR($C2178)&amp;"-Q"&amp;ROUNDUP(MONTH($C2178)/3,0))</f>
        <v/>
      </c>
      <c r="L2178">
        <f>IF($G2178&lt;&gt;"ALCOHOL","",IF($K2178="","",$H2178*IFERROR(VLOOKUP($K2178,Drink_Templates!$A:$G,7,FALSE),0)))</f>
        <v/>
      </c>
    </row>
    <row r="2179" ht="15" customHeight="1">
      <c r="C2179">
        <f>IF($B2179="","",INT($B2179))</f>
        <v/>
      </c>
      <c r="D2179">
        <f>IF($C2179="","",$C2179-WEEKDAY($C2179,2)+1)</f>
        <v/>
      </c>
      <c r="E2179">
        <f>IF($C2179="","",DATE(YEAR($C2179),MONTH($C2179),1))</f>
        <v/>
      </c>
      <c r="F2179">
        <f>IF($C2179="","",YEAR($C2179)&amp;"-Q"&amp;ROUNDUP(MONTH($C2179)/3,0))</f>
        <v/>
      </c>
      <c r="L2179">
        <f>IF($G2179&lt;&gt;"ALCOHOL","",IF($K2179="","",$H2179*IFERROR(VLOOKUP($K2179,Drink_Templates!$A:$G,7,FALSE),0)))</f>
        <v/>
      </c>
    </row>
    <row r="2180" ht="15" customHeight="1">
      <c r="C2180">
        <f>IF($B2180="","",INT($B2180))</f>
        <v/>
      </c>
      <c r="D2180">
        <f>IF($C2180="","",$C2180-WEEKDAY($C2180,2)+1)</f>
        <v/>
      </c>
      <c r="E2180">
        <f>IF($C2180="","",DATE(YEAR($C2180),MONTH($C2180),1))</f>
        <v/>
      </c>
      <c r="F2180">
        <f>IF($C2180="","",YEAR($C2180)&amp;"-Q"&amp;ROUNDUP(MONTH($C2180)/3,0))</f>
        <v/>
      </c>
      <c r="L2180">
        <f>IF($G2180&lt;&gt;"ALCOHOL","",IF($K2180="","",$H2180*IFERROR(VLOOKUP($K2180,Drink_Templates!$A:$G,7,FALSE),0)))</f>
        <v/>
      </c>
    </row>
    <row r="2181" ht="15" customHeight="1">
      <c r="C2181">
        <f>IF($B2181="","",INT($B2181))</f>
        <v/>
      </c>
      <c r="D2181">
        <f>IF($C2181="","",$C2181-WEEKDAY($C2181,2)+1)</f>
        <v/>
      </c>
      <c r="E2181">
        <f>IF($C2181="","",DATE(YEAR($C2181),MONTH($C2181),1))</f>
        <v/>
      </c>
      <c r="F2181">
        <f>IF($C2181="","",YEAR($C2181)&amp;"-Q"&amp;ROUNDUP(MONTH($C2181)/3,0))</f>
        <v/>
      </c>
      <c r="L2181">
        <f>IF($G2181&lt;&gt;"ALCOHOL","",IF($K2181="","",$H2181*IFERROR(VLOOKUP($K2181,Drink_Templates!$A:$G,7,FALSE),0)))</f>
        <v/>
      </c>
    </row>
    <row r="2182" ht="15" customHeight="1">
      <c r="C2182">
        <f>IF($B2182="","",INT($B2182))</f>
        <v/>
      </c>
      <c r="D2182">
        <f>IF($C2182="","",$C2182-WEEKDAY($C2182,2)+1)</f>
        <v/>
      </c>
      <c r="E2182">
        <f>IF($C2182="","",DATE(YEAR($C2182),MONTH($C2182),1))</f>
        <v/>
      </c>
      <c r="F2182">
        <f>IF($C2182="","",YEAR($C2182)&amp;"-Q"&amp;ROUNDUP(MONTH($C2182)/3,0))</f>
        <v/>
      </c>
      <c r="L2182">
        <f>IF($G2182&lt;&gt;"ALCOHOL","",IF($K2182="","",$H2182*IFERROR(VLOOKUP($K2182,Drink_Templates!$A:$G,7,FALSE),0)))</f>
        <v/>
      </c>
    </row>
    <row r="2183" ht="15" customHeight="1">
      <c r="C2183">
        <f>IF($B2183="","",INT($B2183))</f>
        <v/>
      </c>
      <c r="D2183">
        <f>IF($C2183="","",$C2183-WEEKDAY($C2183,2)+1)</f>
        <v/>
      </c>
      <c r="E2183">
        <f>IF($C2183="","",DATE(YEAR($C2183),MONTH($C2183),1))</f>
        <v/>
      </c>
      <c r="F2183">
        <f>IF($C2183="","",YEAR($C2183)&amp;"-Q"&amp;ROUNDUP(MONTH($C2183)/3,0))</f>
        <v/>
      </c>
      <c r="L2183">
        <f>IF($G2183&lt;&gt;"ALCOHOL","",IF($K2183="","",$H2183*IFERROR(VLOOKUP($K2183,Drink_Templates!$A:$G,7,FALSE),0)))</f>
        <v/>
      </c>
    </row>
    <row r="2184" ht="15" customHeight="1">
      <c r="C2184">
        <f>IF($B2184="","",INT($B2184))</f>
        <v/>
      </c>
      <c r="D2184">
        <f>IF($C2184="","",$C2184-WEEKDAY($C2184,2)+1)</f>
        <v/>
      </c>
      <c r="E2184">
        <f>IF($C2184="","",DATE(YEAR($C2184),MONTH($C2184),1))</f>
        <v/>
      </c>
      <c r="F2184">
        <f>IF($C2184="","",YEAR($C2184)&amp;"-Q"&amp;ROUNDUP(MONTH($C2184)/3,0))</f>
        <v/>
      </c>
      <c r="L2184">
        <f>IF($G2184&lt;&gt;"ALCOHOL","",IF($K2184="","",$H2184*IFERROR(VLOOKUP($K2184,Drink_Templates!$A:$G,7,FALSE),0)))</f>
        <v/>
      </c>
    </row>
    <row r="2185" ht="15" customHeight="1">
      <c r="C2185">
        <f>IF($B2185="","",INT($B2185))</f>
        <v/>
      </c>
      <c r="D2185">
        <f>IF($C2185="","",$C2185-WEEKDAY($C2185,2)+1)</f>
        <v/>
      </c>
      <c r="E2185">
        <f>IF($C2185="","",DATE(YEAR($C2185),MONTH($C2185),1))</f>
        <v/>
      </c>
      <c r="F2185">
        <f>IF($C2185="","",YEAR($C2185)&amp;"-Q"&amp;ROUNDUP(MONTH($C2185)/3,0))</f>
        <v/>
      </c>
      <c r="L2185">
        <f>IF($G2185&lt;&gt;"ALCOHOL","",IF($K2185="","",$H2185*IFERROR(VLOOKUP($K2185,Drink_Templates!$A:$G,7,FALSE),0)))</f>
        <v/>
      </c>
    </row>
    <row r="2186" ht="15" customHeight="1">
      <c r="C2186">
        <f>IF($B2186="","",INT($B2186))</f>
        <v/>
      </c>
      <c r="D2186">
        <f>IF($C2186="","",$C2186-WEEKDAY($C2186,2)+1)</f>
        <v/>
      </c>
      <c r="E2186">
        <f>IF($C2186="","",DATE(YEAR($C2186),MONTH($C2186),1))</f>
        <v/>
      </c>
      <c r="F2186">
        <f>IF($C2186="","",YEAR($C2186)&amp;"-Q"&amp;ROUNDUP(MONTH($C2186)/3,0))</f>
        <v/>
      </c>
      <c r="L2186">
        <f>IF($G2186&lt;&gt;"ALCOHOL","",IF($K2186="","",$H2186*IFERROR(VLOOKUP($K2186,Drink_Templates!$A:$G,7,FALSE),0)))</f>
        <v/>
      </c>
    </row>
    <row r="2187" ht="15" customHeight="1">
      <c r="C2187">
        <f>IF($B2187="","",INT($B2187))</f>
        <v/>
      </c>
      <c r="D2187">
        <f>IF($C2187="","",$C2187-WEEKDAY($C2187,2)+1)</f>
        <v/>
      </c>
      <c r="E2187">
        <f>IF($C2187="","",DATE(YEAR($C2187),MONTH($C2187),1))</f>
        <v/>
      </c>
      <c r="F2187">
        <f>IF($C2187="","",YEAR($C2187)&amp;"-Q"&amp;ROUNDUP(MONTH($C2187)/3,0))</f>
        <v/>
      </c>
      <c r="L2187">
        <f>IF($G2187&lt;&gt;"ALCOHOL","",IF($K2187="","",$H2187*IFERROR(VLOOKUP($K2187,Drink_Templates!$A:$G,7,FALSE),0)))</f>
        <v/>
      </c>
    </row>
    <row r="2188" ht="15" customHeight="1">
      <c r="C2188">
        <f>IF($B2188="","",INT($B2188))</f>
        <v/>
      </c>
      <c r="D2188">
        <f>IF($C2188="","",$C2188-WEEKDAY($C2188,2)+1)</f>
        <v/>
      </c>
      <c r="E2188">
        <f>IF($C2188="","",DATE(YEAR($C2188),MONTH($C2188),1))</f>
        <v/>
      </c>
      <c r="F2188">
        <f>IF($C2188="","",YEAR($C2188)&amp;"-Q"&amp;ROUNDUP(MONTH($C2188)/3,0))</f>
        <v/>
      </c>
      <c r="L2188">
        <f>IF($G2188&lt;&gt;"ALCOHOL","",IF($K2188="","",$H2188*IFERROR(VLOOKUP($K2188,Drink_Templates!$A:$G,7,FALSE),0)))</f>
        <v/>
      </c>
    </row>
    <row r="2189" ht="15" customHeight="1">
      <c r="C2189">
        <f>IF($B2189="","",INT($B2189))</f>
        <v/>
      </c>
      <c r="D2189">
        <f>IF($C2189="","",$C2189-WEEKDAY($C2189,2)+1)</f>
        <v/>
      </c>
      <c r="E2189">
        <f>IF($C2189="","",DATE(YEAR($C2189),MONTH($C2189),1))</f>
        <v/>
      </c>
      <c r="F2189">
        <f>IF($C2189="","",YEAR($C2189)&amp;"-Q"&amp;ROUNDUP(MONTH($C2189)/3,0))</f>
        <v/>
      </c>
      <c r="L2189">
        <f>IF($G2189&lt;&gt;"ALCOHOL","",IF($K2189="","",$H2189*IFERROR(VLOOKUP($K2189,Drink_Templates!$A:$G,7,FALSE),0)))</f>
        <v/>
      </c>
    </row>
    <row r="2190" ht="15" customHeight="1">
      <c r="C2190">
        <f>IF($B2190="","",INT($B2190))</f>
        <v/>
      </c>
      <c r="D2190">
        <f>IF($C2190="","",$C2190-WEEKDAY($C2190,2)+1)</f>
        <v/>
      </c>
      <c r="E2190">
        <f>IF($C2190="","",DATE(YEAR($C2190),MONTH($C2190),1))</f>
        <v/>
      </c>
      <c r="F2190">
        <f>IF($C2190="","",YEAR($C2190)&amp;"-Q"&amp;ROUNDUP(MONTH($C2190)/3,0))</f>
        <v/>
      </c>
      <c r="L2190">
        <f>IF($G2190&lt;&gt;"ALCOHOL","",IF($K2190="","",$H2190*IFERROR(VLOOKUP($K2190,Drink_Templates!$A:$G,7,FALSE),0)))</f>
        <v/>
      </c>
    </row>
    <row r="2191" ht="15" customHeight="1">
      <c r="C2191">
        <f>IF($B2191="","",INT($B2191))</f>
        <v/>
      </c>
      <c r="D2191">
        <f>IF($C2191="","",$C2191-WEEKDAY($C2191,2)+1)</f>
        <v/>
      </c>
      <c r="E2191">
        <f>IF($C2191="","",DATE(YEAR($C2191),MONTH($C2191),1))</f>
        <v/>
      </c>
      <c r="F2191">
        <f>IF($C2191="","",YEAR($C2191)&amp;"-Q"&amp;ROUNDUP(MONTH($C2191)/3,0))</f>
        <v/>
      </c>
      <c r="L2191">
        <f>IF($G2191&lt;&gt;"ALCOHOL","",IF($K2191="","",$H2191*IFERROR(VLOOKUP($K2191,Drink_Templates!$A:$G,7,FALSE),0)))</f>
        <v/>
      </c>
    </row>
    <row r="2192" ht="15" customHeight="1">
      <c r="C2192">
        <f>IF($B2192="","",INT($B2192))</f>
        <v/>
      </c>
      <c r="D2192">
        <f>IF($C2192="","",$C2192-WEEKDAY($C2192,2)+1)</f>
        <v/>
      </c>
      <c r="E2192">
        <f>IF($C2192="","",DATE(YEAR($C2192),MONTH($C2192),1))</f>
        <v/>
      </c>
      <c r="F2192">
        <f>IF($C2192="","",YEAR($C2192)&amp;"-Q"&amp;ROUNDUP(MONTH($C2192)/3,0))</f>
        <v/>
      </c>
      <c r="L2192">
        <f>IF($G2192&lt;&gt;"ALCOHOL","",IF($K2192="","",$H2192*IFERROR(VLOOKUP($K2192,Drink_Templates!$A:$G,7,FALSE),0)))</f>
        <v/>
      </c>
    </row>
    <row r="2193" ht="15" customHeight="1">
      <c r="C2193">
        <f>IF($B2193="","",INT($B2193))</f>
        <v/>
      </c>
      <c r="D2193">
        <f>IF($C2193="","",$C2193-WEEKDAY($C2193,2)+1)</f>
        <v/>
      </c>
      <c r="E2193">
        <f>IF($C2193="","",DATE(YEAR($C2193),MONTH($C2193),1))</f>
        <v/>
      </c>
      <c r="F2193">
        <f>IF($C2193="","",YEAR($C2193)&amp;"-Q"&amp;ROUNDUP(MONTH($C2193)/3,0))</f>
        <v/>
      </c>
      <c r="L2193">
        <f>IF($G2193&lt;&gt;"ALCOHOL","",IF($K2193="","",$H2193*IFERROR(VLOOKUP($K2193,Drink_Templates!$A:$G,7,FALSE),0)))</f>
        <v/>
      </c>
    </row>
    <row r="2194" ht="15" customHeight="1">
      <c r="C2194">
        <f>IF($B2194="","",INT($B2194))</f>
        <v/>
      </c>
      <c r="D2194">
        <f>IF($C2194="","",$C2194-WEEKDAY($C2194,2)+1)</f>
        <v/>
      </c>
      <c r="E2194">
        <f>IF($C2194="","",DATE(YEAR($C2194),MONTH($C2194),1))</f>
        <v/>
      </c>
      <c r="F2194">
        <f>IF($C2194="","",YEAR($C2194)&amp;"-Q"&amp;ROUNDUP(MONTH($C2194)/3,0))</f>
        <v/>
      </c>
      <c r="L2194">
        <f>IF($G2194&lt;&gt;"ALCOHOL","",IF($K2194="","",$H2194*IFERROR(VLOOKUP($K2194,Drink_Templates!$A:$G,7,FALSE),0)))</f>
        <v/>
      </c>
    </row>
    <row r="2195" ht="15" customHeight="1">
      <c r="C2195">
        <f>IF($B2195="","",INT($B2195))</f>
        <v/>
      </c>
      <c r="D2195">
        <f>IF($C2195="","",$C2195-WEEKDAY($C2195,2)+1)</f>
        <v/>
      </c>
      <c r="E2195">
        <f>IF($C2195="","",DATE(YEAR($C2195),MONTH($C2195),1))</f>
        <v/>
      </c>
      <c r="F2195">
        <f>IF($C2195="","",YEAR($C2195)&amp;"-Q"&amp;ROUNDUP(MONTH($C2195)/3,0))</f>
        <v/>
      </c>
      <c r="L2195">
        <f>IF($G2195&lt;&gt;"ALCOHOL","",IF($K2195="","",$H2195*IFERROR(VLOOKUP($K2195,Drink_Templates!$A:$G,7,FALSE),0)))</f>
        <v/>
      </c>
    </row>
    <row r="2196" ht="15" customHeight="1">
      <c r="C2196">
        <f>IF($B2196="","",INT($B2196))</f>
        <v/>
      </c>
      <c r="D2196">
        <f>IF($C2196="","",$C2196-WEEKDAY($C2196,2)+1)</f>
        <v/>
      </c>
      <c r="E2196">
        <f>IF($C2196="","",DATE(YEAR($C2196),MONTH($C2196),1))</f>
        <v/>
      </c>
      <c r="F2196">
        <f>IF($C2196="","",YEAR($C2196)&amp;"-Q"&amp;ROUNDUP(MONTH($C2196)/3,0))</f>
        <v/>
      </c>
      <c r="L2196">
        <f>IF($G2196&lt;&gt;"ALCOHOL","",IF($K2196="","",$H2196*IFERROR(VLOOKUP($K2196,Drink_Templates!$A:$G,7,FALSE),0)))</f>
        <v/>
      </c>
    </row>
    <row r="2197" ht="15" customHeight="1">
      <c r="C2197">
        <f>IF($B2197="","",INT($B2197))</f>
        <v/>
      </c>
      <c r="D2197">
        <f>IF($C2197="","",$C2197-WEEKDAY($C2197,2)+1)</f>
        <v/>
      </c>
      <c r="E2197">
        <f>IF($C2197="","",DATE(YEAR($C2197),MONTH($C2197),1))</f>
        <v/>
      </c>
      <c r="F2197">
        <f>IF($C2197="","",YEAR($C2197)&amp;"-Q"&amp;ROUNDUP(MONTH($C2197)/3,0))</f>
        <v/>
      </c>
      <c r="L2197">
        <f>IF($G2197&lt;&gt;"ALCOHOL","",IF($K2197="","",$H2197*IFERROR(VLOOKUP($K2197,Drink_Templates!$A:$G,7,FALSE),0)))</f>
        <v/>
      </c>
    </row>
    <row r="2198" ht="15" customHeight="1">
      <c r="C2198">
        <f>IF($B2198="","",INT($B2198))</f>
        <v/>
      </c>
      <c r="D2198">
        <f>IF($C2198="","",$C2198-WEEKDAY($C2198,2)+1)</f>
        <v/>
      </c>
      <c r="E2198">
        <f>IF($C2198="","",DATE(YEAR($C2198),MONTH($C2198),1))</f>
        <v/>
      </c>
      <c r="F2198">
        <f>IF($C2198="","",YEAR($C2198)&amp;"-Q"&amp;ROUNDUP(MONTH($C2198)/3,0))</f>
        <v/>
      </c>
      <c r="L2198">
        <f>IF($G2198&lt;&gt;"ALCOHOL","",IF($K2198="","",$H2198*IFERROR(VLOOKUP($K2198,Drink_Templates!$A:$G,7,FALSE),0)))</f>
        <v/>
      </c>
    </row>
    <row r="2199" ht="15" customHeight="1">
      <c r="C2199">
        <f>IF($B2199="","",INT($B2199))</f>
        <v/>
      </c>
      <c r="D2199">
        <f>IF($C2199="","",$C2199-WEEKDAY($C2199,2)+1)</f>
        <v/>
      </c>
      <c r="E2199">
        <f>IF($C2199="","",DATE(YEAR($C2199),MONTH($C2199),1))</f>
        <v/>
      </c>
      <c r="F2199">
        <f>IF($C2199="","",YEAR($C2199)&amp;"-Q"&amp;ROUNDUP(MONTH($C2199)/3,0))</f>
        <v/>
      </c>
      <c r="L2199">
        <f>IF($G2199&lt;&gt;"ALCOHOL","",IF($K2199="","",$H2199*IFERROR(VLOOKUP($K2199,Drink_Templates!$A:$G,7,FALSE),0)))</f>
        <v/>
      </c>
    </row>
    <row r="2200" ht="15" customHeight="1">
      <c r="C2200">
        <f>IF($B2200="","",INT($B2200))</f>
        <v/>
      </c>
      <c r="D2200">
        <f>IF($C2200="","",$C2200-WEEKDAY($C2200,2)+1)</f>
        <v/>
      </c>
      <c r="E2200">
        <f>IF($C2200="","",DATE(YEAR($C2200),MONTH($C2200),1))</f>
        <v/>
      </c>
      <c r="F2200">
        <f>IF($C2200="","",YEAR($C2200)&amp;"-Q"&amp;ROUNDUP(MONTH($C2200)/3,0))</f>
        <v/>
      </c>
      <c r="L2200">
        <f>IF($G2200&lt;&gt;"ALCOHOL","",IF($K2200="","",$H2200*IFERROR(VLOOKUP($K2200,Drink_Templates!$A:$G,7,FALSE),0)))</f>
        <v/>
      </c>
    </row>
    <row r="2201" ht="15" customHeight="1">
      <c r="C2201">
        <f>IF($B2201="","",INT($B2201))</f>
        <v/>
      </c>
      <c r="D2201">
        <f>IF($C2201="","",$C2201-WEEKDAY($C2201,2)+1)</f>
        <v/>
      </c>
      <c r="E2201">
        <f>IF($C2201="","",DATE(YEAR($C2201),MONTH($C2201),1))</f>
        <v/>
      </c>
      <c r="F2201">
        <f>IF($C2201="","",YEAR($C2201)&amp;"-Q"&amp;ROUNDUP(MONTH($C2201)/3,0))</f>
        <v/>
      </c>
      <c r="L2201">
        <f>IF($G2201&lt;&gt;"ALCOHOL","",IF($K2201="","",$H2201*IFERROR(VLOOKUP($K2201,Drink_Templates!$A:$G,7,FALSE),0)))</f>
        <v/>
      </c>
    </row>
    <row r="2202" ht="15" customHeight="1">
      <c r="C2202">
        <f>IF($B2202="","",INT($B2202))</f>
        <v/>
      </c>
      <c r="D2202">
        <f>IF($C2202="","",$C2202-WEEKDAY($C2202,2)+1)</f>
        <v/>
      </c>
      <c r="E2202">
        <f>IF($C2202="","",DATE(YEAR($C2202),MONTH($C2202),1))</f>
        <v/>
      </c>
      <c r="F2202">
        <f>IF($C2202="","",YEAR($C2202)&amp;"-Q"&amp;ROUNDUP(MONTH($C2202)/3,0))</f>
        <v/>
      </c>
      <c r="L2202">
        <f>IF($G2202&lt;&gt;"ALCOHOL","",IF($K2202="","",$H2202*IFERROR(VLOOKUP($K2202,Drink_Templates!$A:$G,7,FALSE),0)))</f>
        <v/>
      </c>
    </row>
    <row r="2203" ht="15" customHeight="1">
      <c r="C2203">
        <f>IF($B2203="","",INT($B2203))</f>
        <v/>
      </c>
      <c r="D2203">
        <f>IF($C2203="","",$C2203-WEEKDAY($C2203,2)+1)</f>
        <v/>
      </c>
      <c r="E2203">
        <f>IF($C2203="","",DATE(YEAR($C2203),MONTH($C2203),1))</f>
        <v/>
      </c>
      <c r="F2203">
        <f>IF($C2203="","",YEAR($C2203)&amp;"-Q"&amp;ROUNDUP(MONTH($C2203)/3,0))</f>
        <v/>
      </c>
      <c r="L2203">
        <f>IF($G2203&lt;&gt;"ALCOHOL","",IF($K2203="","",$H2203*IFERROR(VLOOKUP($K2203,Drink_Templates!$A:$G,7,FALSE),0)))</f>
        <v/>
      </c>
    </row>
    <row r="2204" ht="15" customHeight="1">
      <c r="C2204">
        <f>IF($B2204="","",INT($B2204))</f>
        <v/>
      </c>
      <c r="D2204">
        <f>IF($C2204="","",$C2204-WEEKDAY($C2204,2)+1)</f>
        <v/>
      </c>
      <c r="E2204">
        <f>IF($C2204="","",DATE(YEAR($C2204),MONTH($C2204),1))</f>
        <v/>
      </c>
      <c r="F2204">
        <f>IF($C2204="","",YEAR($C2204)&amp;"-Q"&amp;ROUNDUP(MONTH($C2204)/3,0))</f>
        <v/>
      </c>
      <c r="L2204">
        <f>IF($G2204&lt;&gt;"ALCOHOL","",IF($K2204="","",$H2204*IFERROR(VLOOKUP($K2204,Drink_Templates!$A:$G,7,FALSE),0)))</f>
        <v/>
      </c>
    </row>
    <row r="2205" ht="15" customHeight="1">
      <c r="C2205">
        <f>IF($B2205="","",INT($B2205))</f>
        <v/>
      </c>
      <c r="D2205">
        <f>IF($C2205="","",$C2205-WEEKDAY($C2205,2)+1)</f>
        <v/>
      </c>
      <c r="E2205">
        <f>IF($C2205="","",DATE(YEAR($C2205),MONTH($C2205),1))</f>
        <v/>
      </c>
      <c r="F2205">
        <f>IF($C2205="","",YEAR($C2205)&amp;"-Q"&amp;ROUNDUP(MONTH($C2205)/3,0))</f>
        <v/>
      </c>
      <c r="L2205">
        <f>IF($G2205&lt;&gt;"ALCOHOL","",IF($K2205="","",$H2205*IFERROR(VLOOKUP($K2205,Drink_Templates!$A:$G,7,FALSE),0)))</f>
        <v/>
      </c>
    </row>
    <row r="2206" ht="15" customHeight="1">
      <c r="C2206">
        <f>IF($B2206="","",INT($B2206))</f>
        <v/>
      </c>
      <c r="D2206">
        <f>IF($C2206="","",$C2206-WEEKDAY($C2206,2)+1)</f>
        <v/>
      </c>
      <c r="E2206">
        <f>IF($C2206="","",DATE(YEAR($C2206),MONTH($C2206),1))</f>
        <v/>
      </c>
      <c r="F2206">
        <f>IF($C2206="","",YEAR($C2206)&amp;"-Q"&amp;ROUNDUP(MONTH($C2206)/3,0))</f>
        <v/>
      </c>
      <c r="L2206">
        <f>IF($G2206&lt;&gt;"ALCOHOL","",IF($K2206="","",$H2206*IFERROR(VLOOKUP($K2206,Drink_Templates!$A:$G,7,FALSE),0)))</f>
        <v/>
      </c>
    </row>
    <row r="2207" ht="15" customHeight="1">
      <c r="C2207">
        <f>IF($B2207="","",INT($B2207))</f>
        <v/>
      </c>
      <c r="D2207">
        <f>IF($C2207="","",$C2207-WEEKDAY($C2207,2)+1)</f>
        <v/>
      </c>
      <c r="E2207">
        <f>IF($C2207="","",DATE(YEAR($C2207),MONTH($C2207),1))</f>
        <v/>
      </c>
      <c r="F2207">
        <f>IF($C2207="","",YEAR($C2207)&amp;"-Q"&amp;ROUNDUP(MONTH($C2207)/3,0))</f>
        <v/>
      </c>
      <c r="L2207">
        <f>IF($G2207&lt;&gt;"ALCOHOL","",IF($K2207="","",$H2207*IFERROR(VLOOKUP($K2207,Drink_Templates!$A:$G,7,FALSE),0)))</f>
        <v/>
      </c>
    </row>
    <row r="2208" ht="15" customHeight="1">
      <c r="C2208">
        <f>IF($B2208="","",INT($B2208))</f>
        <v/>
      </c>
      <c r="D2208">
        <f>IF($C2208="","",$C2208-WEEKDAY($C2208,2)+1)</f>
        <v/>
      </c>
      <c r="E2208">
        <f>IF($C2208="","",DATE(YEAR($C2208),MONTH($C2208),1))</f>
        <v/>
      </c>
      <c r="F2208">
        <f>IF($C2208="","",YEAR($C2208)&amp;"-Q"&amp;ROUNDUP(MONTH($C2208)/3,0))</f>
        <v/>
      </c>
      <c r="L2208">
        <f>IF($G2208&lt;&gt;"ALCOHOL","",IF($K2208="","",$H2208*IFERROR(VLOOKUP($K2208,Drink_Templates!$A:$G,7,FALSE),0)))</f>
        <v/>
      </c>
    </row>
    <row r="2209" ht="15" customHeight="1">
      <c r="C2209">
        <f>IF($B2209="","",INT($B2209))</f>
        <v/>
      </c>
      <c r="D2209">
        <f>IF($C2209="","",$C2209-WEEKDAY($C2209,2)+1)</f>
        <v/>
      </c>
      <c r="E2209">
        <f>IF($C2209="","",DATE(YEAR($C2209),MONTH($C2209),1))</f>
        <v/>
      </c>
      <c r="F2209">
        <f>IF($C2209="","",YEAR($C2209)&amp;"-Q"&amp;ROUNDUP(MONTH($C2209)/3,0))</f>
        <v/>
      </c>
      <c r="L2209">
        <f>IF($G2209&lt;&gt;"ALCOHOL","",IF($K2209="","",$H2209*IFERROR(VLOOKUP($K2209,Drink_Templates!$A:$G,7,FALSE),0)))</f>
        <v/>
      </c>
    </row>
    <row r="2210" ht="15" customHeight="1">
      <c r="C2210">
        <f>IF($B2210="","",INT($B2210))</f>
        <v/>
      </c>
      <c r="D2210">
        <f>IF($C2210="","",$C2210-WEEKDAY($C2210,2)+1)</f>
        <v/>
      </c>
      <c r="E2210">
        <f>IF($C2210="","",DATE(YEAR($C2210),MONTH($C2210),1))</f>
        <v/>
      </c>
      <c r="F2210">
        <f>IF($C2210="","",YEAR($C2210)&amp;"-Q"&amp;ROUNDUP(MONTH($C2210)/3,0))</f>
        <v/>
      </c>
      <c r="L2210">
        <f>IF($G2210&lt;&gt;"ALCOHOL","",IF($K2210="","",$H2210*IFERROR(VLOOKUP($K2210,Drink_Templates!$A:$G,7,FALSE),0)))</f>
        <v/>
      </c>
    </row>
    <row r="2211" ht="15" customHeight="1">
      <c r="C2211">
        <f>IF($B2211="","",INT($B2211))</f>
        <v/>
      </c>
      <c r="D2211">
        <f>IF($C2211="","",$C2211-WEEKDAY($C2211,2)+1)</f>
        <v/>
      </c>
      <c r="E2211">
        <f>IF($C2211="","",DATE(YEAR($C2211),MONTH($C2211),1))</f>
        <v/>
      </c>
      <c r="F2211">
        <f>IF($C2211="","",YEAR($C2211)&amp;"-Q"&amp;ROUNDUP(MONTH($C2211)/3,0))</f>
        <v/>
      </c>
      <c r="L2211">
        <f>IF($G2211&lt;&gt;"ALCOHOL","",IF($K2211="","",$H2211*IFERROR(VLOOKUP($K2211,Drink_Templates!$A:$G,7,FALSE),0)))</f>
        <v/>
      </c>
    </row>
    <row r="2212" ht="15" customHeight="1">
      <c r="C2212">
        <f>IF($B2212="","",INT($B2212))</f>
        <v/>
      </c>
      <c r="D2212">
        <f>IF($C2212="","",$C2212-WEEKDAY($C2212,2)+1)</f>
        <v/>
      </c>
      <c r="E2212">
        <f>IF($C2212="","",DATE(YEAR($C2212),MONTH($C2212),1))</f>
        <v/>
      </c>
      <c r="F2212">
        <f>IF($C2212="","",YEAR($C2212)&amp;"-Q"&amp;ROUNDUP(MONTH($C2212)/3,0))</f>
        <v/>
      </c>
      <c r="L2212">
        <f>IF($G2212&lt;&gt;"ALCOHOL","",IF($K2212="","",$H2212*IFERROR(VLOOKUP($K2212,Drink_Templates!$A:$G,7,FALSE),0)))</f>
        <v/>
      </c>
    </row>
    <row r="2213" ht="15" customHeight="1">
      <c r="C2213">
        <f>IF($B2213="","",INT($B2213))</f>
        <v/>
      </c>
      <c r="D2213">
        <f>IF($C2213="","",$C2213-WEEKDAY($C2213,2)+1)</f>
        <v/>
      </c>
      <c r="E2213">
        <f>IF($C2213="","",DATE(YEAR($C2213),MONTH($C2213),1))</f>
        <v/>
      </c>
      <c r="F2213">
        <f>IF($C2213="","",YEAR($C2213)&amp;"-Q"&amp;ROUNDUP(MONTH($C2213)/3,0))</f>
        <v/>
      </c>
      <c r="L2213">
        <f>IF($G2213&lt;&gt;"ALCOHOL","",IF($K2213="","",$H2213*IFERROR(VLOOKUP($K2213,Drink_Templates!$A:$G,7,FALSE),0)))</f>
        <v/>
      </c>
    </row>
    <row r="2214" ht="15" customHeight="1">
      <c r="C2214">
        <f>IF($B2214="","",INT($B2214))</f>
        <v/>
      </c>
      <c r="D2214">
        <f>IF($C2214="","",$C2214-WEEKDAY($C2214,2)+1)</f>
        <v/>
      </c>
      <c r="E2214">
        <f>IF($C2214="","",DATE(YEAR($C2214),MONTH($C2214),1))</f>
        <v/>
      </c>
      <c r="F2214">
        <f>IF($C2214="","",YEAR($C2214)&amp;"-Q"&amp;ROUNDUP(MONTH($C2214)/3,0))</f>
        <v/>
      </c>
      <c r="L2214">
        <f>IF($G2214&lt;&gt;"ALCOHOL","",IF($K2214="","",$H2214*IFERROR(VLOOKUP($K2214,Drink_Templates!$A:$G,7,FALSE),0)))</f>
        <v/>
      </c>
    </row>
    <row r="2215" ht="15" customHeight="1">
      <c r="C2215">
        <f>IF($B2215="","",INT($B2215))</f>
        <v/>
      </c>
      <c r="D2215">
        <f>IF($C2215="","",$C2215-WEEKDAY($C2215,2)+1)</f>
        <v/>
      </c>
      <c r="E2215">
        <f>IF($C2215="","",DATE(YEAR($C2215),MONTH($C2215),1))</f>
        <v/>
      </c>
      <c r="F2215">
        <f>IF($C2215="","",YEAR($C2215)&amp;"-Q"&amp;ROUNDUP(MONTH($C2215)/3,0))</f>
        <v/>
      </c>
      <c r="L2215">
        <f>IF($G2215&lt;&gt;"ALCOHOL","",IF($K2215="","",$H2215*IFERROR(VLOOKUP($K2215,Drink_Templates!$A:$G,7,FALSE),0)))</f>
        <v/>
      </c>
    </row>
    <row r="2216" ht="15" customHeight="1">
      <c r="C2216">
        <f>IF($B2216="","",INT($B2216))</f>
        <v/>
      </c>
      <c r="D2216">
        <f>IF($C2216="","",$C2216-WEEKDAY($C2216,2)+1)</f>
        <v/>
      </c>
      <c r="E2216">
        <f>IF($C2216="","",DATE(YEAR($C2216),MONTH($C2216),1))</f>
        <v/>
      </c>
      <c r="F2216">
        <f>IF($C2216="","",YEAR($C2216)&amp;"-Q"&amp;ROUNDUP(MONTH($C2216)/3,0))</f>
        <v/>
      </c>
      <c r="L2216">
        <f>IF($G2216&lt;&gt;"ALCOHOL","",IF($K2216="","",$H2216*IFERROR(VLOOKUP($K2216,Drink_Templates!$A:$G,7,FALSE),0)))</f>
        <v/>
      </c>
    </row>
    <row r="2217" ht="15" customHeight="1">
      <c r="C2217">
        <f>IF($B2217="","",INT($B2217))</f>
        <v/>
      </c>
      <c r="D2217">
        <f>IF($C2217="","",$C2217-WEEKDAY($C2217,2)+1)</f>
        <v/>
      </c>
      <c r="E2217">
        <f>IF($C2217="","",DATE(YEAR($C2217),MONTH($C2217),1))</f>
        <v/>
      </c>
      <c r="F2217">
        <f>IF($C2217="","",YEAR($C2217)&amp;"-Q"&amp;ROUNDUP(MONTH($C2217)/3,0))</f>
        <v/>
      </c>
      <c r="L2217">
        <f>IF($G2217&lt;&gt;"ALCOHOL","",IF($K2217="","",$H2217*IFERROR(VLOOKUP($K2217,Drink_Templates!$A:$G,7,FALSE),0)))</f>
        <v/>
      </c>
    </row>
    <row r="2218" ht="15" customHeight="1">
      <c r="C2218">
        <f>IF($B2218="","",INT($B2218))</f>
        <v/>
      </c>
      <c r="D2218">
        <f>IF($C2218="","",$C2218-WEEKDAY($C2218,2)+1)</f>
        <v/>
      </c>
      <c r="E2218">
        <f>IF($C2218="","",DATE(YEAR($C2218),MONTH($C2218),1))</f>
        <v/>
      </c>
      <c r="F2218">
        <f>IF($C2218="","",YEAR($C2218)&amp;"-Q"&amp;ROUNDUP(MONTH($C2218)/3,0))</f>
        <v/>
      </c>
      <c r="L2218">
        <f>IF($G2218&lt;&gt;"ALCOHOL","",IF($K2218="","",$H2218*IFERROR(VLOOKUP($K2218,Drink_Templates!$A:$G,7,FALSE),0)))</f>
        <v/>
      </c>
    </row>
    <row r="2219" ht="15" customHeight="1">
      <c r="C2219">
        <f>IF($B2219="","",INT($B2219))</f>
        <v/>
      </c>
      <c r="D2219">
        <f>IF($C2219="","",$C2219-WEEKDAY($C2219,2)+1)</f>
        <v/>
      </c>
      <c r="E2219">
        <f>IF($C2219="","",DATE(YEAR($C2219),MONTH($C2219),1))</f>
        <v/>
      </c>
      <c r="F2219">
        <f>IF($C2219="","",YEAR($C2219)&amp;"-Q"&amp;ROUNDUP(MONTH($C2219)/3,0))</f>
        <v/>
      </c>
      <c r="L2219">
        <f>IF($G2219&lt;&gt;"ALCOHOL","",IF($K2219="","",$H2219*IFERROR(VLOOKUP($K2219,Drink_Templates!$A:$G,7,FALSE),0)))</f>
        <v/>
      </c>
    </row>
    <row r="2220" ht="15" customHeight="1">
      <c r="C2220">
        <f>IF($B2220="","",INT($B2220))</f>
        <v/>
      </c>
      <c r="D2220">
        <f>IF($C2220="","",$C2220-WEEKDAY($C2220,2)+1)</f>
        <v/>
      </c>
      <c r="E2220">
        <f>IF($C2220="","",DATE(YEAR($C2220),MONTH($C2220),1))</f>
        <v/>
      </c>
      <c r="F2220">
        <f>IF($C2220="","",YEAR($C2220)&amp;"-Q"&amp;ROUNDUP(MONTH($C2220)/3,0))</f>
        <v/>
      </c>
      <c r="L2220">
        <f>IF($G2220&lt;&gt;"ALCOHOL","",IF($K2220="","",$H2220*IFERROR(VLOOKUP($K2220,Drink_Templates!$A:$G,7,FALSE),0)))</f>
        <v/>
      </c>
    </row>
    <row r="2221" ht="15" customHeight="1">
      <c r="C2221">
        <f>IF($B2221="","",INT($B2221))</f>
        <v/>
      </c>
      <c r="D2221">
        <f>IF($C2221="","",$C2221-WEEKDAY($C2221,2)+1)</f>
        <v/>
      </c>
      <c r="E2221">
        <f>IF($C2221="","",DATE(YEAR($C2221),MONTH($C2221),1))</f>
        <v/>
      </c>
      <c r="F2221">
        <f>IF($C2221="","",YEAR($C2221)&amp;"-Q"&amp;ROUNDUP(MONTH($C2221)/3,0))</f>
        <v/>
      </c>
      <c r="L2221">
        <f>IF($G2221&lt;&gt;"ALCOHOL","",IF($K2221="","",$H2221*IFERROR(VLOOKUP($K2221,Drink_Templates!$A:$G,7,FALSE),0)))</f>
        <v/>
      </c>
    </row>
    <row r="2222" ht="15" customHeight="1">
      <c r="C2222">
        <f>IF($B2222="","",INT($B2222))</f>
        <v/>
      </c>
      <c r="D2222">
        <f>IF($C2222="","",$C2222-WEEKDAY($C2222,2)+1)</f>
        <v/>
      </c>
      <c r="E2222">
        <f>IF($C2222="","",DATE(YEAR($C2222),MONTH($C2222),1))</f>
        <v/>
      </c>
      <c r="F2222">
        <f>IF($C2222="","",YEAR($C2222)&amp;"-Q"&amp;ROUNDUP(MONTH($C2222)/3,0))</f>
        <v/>
      </c>
      <c r="L2222">
        <f>IF($G2222&lt;&gt;"ALCOHOL","",IF($K2222="","",$H2222*IFERROR(VLOOKUP($K2222,Drink_Templates!$A:$G,7,FALSE),0)))</f>
        <v/>
      </c>
    </row>
    <row r="2223" ht="15" customHeight="1">
      <c r="C2223">
        <f>IF($B2223="","",INT($B2223))</f>
        <v/>
      </c>
      <c r="D2223">
        <f>IF($C2223="","",$C2223-WEEKDAY($C2223,2)+1)</f>
        <v/>
      </c>
      <c r="E2223">
        <f>IF($C2223="","",DATE(YEAR($C2223),MONTH($C2223),1))</f>
        <v/>
      </c>
      <c r="F2223">
        <f>IF($C2223="","",YEAR($C2223)&amp;"-Q"&amp;ROUNDUP(MONTH($C2223)/3,0))</f>
        <v/>
      </c>
      <c r="L2223">
        <f>IF($G2223&lt;&gt;"ALCOHOL","",IF($K2223="","",$H2223*IFERROR(VLOOKUP($K2223,Drink_Templates!$A:$G,7,FALSE),0)))</f>
        <v/>
      </c>
    </row>
    <row r="2224" ht="15" customHeight="1">
      <c r="C2224">
        <f>IF($B2224="","",INT($B2224))</f>
        <v/>
      </c>
      <c r="D2224">
        <f>IF($C2224="","",$C2224-WEEKDAY($C2224,2)+1)</f>
        <v/>
      </c>
      <c r="E2224">
        <f>IF($C2224="","",DATE(YEAR($C2224),MONTH($C2224),1))</f>
        <v/>
      </c>
      <c r="F2224">
        <f>IF($C2224="","",YEAR($C2224)&amp;"-Q"&amp;ROUNDUP(MONTH($C2224)/3,0))</f>
        <v/>
      </c>
      <c r="L2224">
        <f>IF($G2224&lt;&gt;"ALCOHOL","",IF($K2224="","",$H2224*IFERROR(VLOOKUP($K2224,Drink_Templates!$A:$G,7,FALSE),0)))</f>
        <v/>
      </c>
    </row>
    <row r="2225" ht="15" customHeight="1">
      <c r="C2225">
        <f>IF($B2225="","",INT($B2225))</f>
        <v/>
      </c>
      <c r="D2225">
        <f>IF($C2225="","",$C2225-WEEKDAY($C2225,2)+1)</f>
        <v/>
      </c>
      <c r="E2225">
        <f>IF($C2225="","",DATE(YEAR($C2225),MONTH($C2225),1))</f>
        <v/>
      </c>
      <c r="F2225">
        <f>IF($C2225="","",YEAR($C2225)&amp;"-Q"&amp;ROUNDUP(MONTH($C2225)/3,0))</f>
        <v/>
      </c>
      <c r="L2225">
        <f>IF($G2225&lt;&gt;"ALCOHOL","",IF($K2225="","",$H2225*IFERROR(VLOOKUP($K2225,Drink_Templates!$A:$G,7,FALSE),0)))</f>
        <v/>
      </c>
    </row>
    <row r="2226" ht="15" customHeight="1">
      <c r="C2226">
        <f>IF($B2226="","",INT($B2226))</f>
        <v/>
      </c>
      <c r="D2226">
        <f>IF($C2226="","",$C2226-WEEKDAY($C2226,2)+1)</f>
        <v/>
      </c>
      <c r="E2226">
        <f>IF($C2226="","",DATE(YEAR($C2226),MONTH($C2226),1))</f>
        <v/>
      </c>
      <c r="F2226">
        <f>IF($C2226="","",YEAR($C2226)&amp;"-Q"&amp;ROUNDUP(MONTH($C2226)/3,0))</f>
        <v/>
      </c>
      <c r="L2226">
        <f>IF($G2226&lt;&gt;"ALCOHOL","",IF($K2226="","",$H2226*IFERROR(VLOOKUP($K2226,Drink_Templates!$A:$G,7,FALSE),0)))</f>
        <v/>
      </c>
    </row>
    <row r="2227" ht="15" customHeight="1">
      <c r="C2227">
        <f>IF($B2227="","",INT($B2227))</f>
        <v/>
      </c>
      <c r="D2227">
        <f>IF($C2227="","",$C2227-WEEKDAY($C2227,2)+1)</f>
        <v/>
      </c>
      <c r="E2227">
        <f>IF($C2227="","",DATE(YEAR($C2227),MONTH($C2227),1))</f>
        <v/>
      </c>
      <c r="F2227">
        <f>IF($C2227="","",YEAR($C2227)&amp;"-Q"&amp;ROUNDUP(MONTH($C2227)/3,0))</f>
        <v/>
      </c>
      <c r="L2227">
        <f>IF($G2227&lt;&gt;"ALCOHOL","",IF($K2227="","",$H2227*IFERROR(VLOOKUP($K2227,Drink_Templates!$A:$G,7,FALSE),0)))</f>
        <v/>
      </c>
    </row>
    <row r="2228" ht="15" customHeight="1">
      <c r="C2228">
        <f>IF($B2228="","",INT($B2228))</f>
        <v/>
      </c>
      <c r="D2228">
        <f>IF($C2228="","",$C2228-WEEKDAY($C2228,2)+1)</f>
        <v/>
      </c>
      <c r="E2228">
        <f>IF($C2228="","",DATE(YEAR($C2228),MONTH($C2228),1))</f>
        <v/>
      </c>
      <c r="F2228">
        <f>IF($C2228="","",YEAR($C2228)&amp;"-Q"&amp;ROUNDUP(MONTH($C2228)/3,0))</f>
        <v/>
      </c>
      <c r="L2228">
        <f>IF($G2228&lt;&gt;"ALCOHOL","",IF($K2228="","",$H2228*IFERROR(VLOOKUP($K2228,Drink_Templates!$A:$G,7,FALSE),0)))</f>
        <v/>
      </c>
    </row>
    <row r="2229" ht="15" customHeight="1">
      <c r="C2229">
        <f>IF($B2229="","",INT($B2229))</f>
        <v/>
      </c>
      <c r="D2229">
        <f>IF($C2229="","",$C2229-WEEKDAY($C2229,2)+1)</f>
        <v/>
      </c>
      <c r="E2229">
        <f>IF($C2229="","",DATE(YEAR($C2229),MONTH($C2229),1))</f>
        <v/>
      </c>
      <c r="F2229">
        <f>IF($C2229="","",YEAR($C2229)&amp;"-Q"&amp;ROUNDUP(MONTH($C2229)/3,0))</f>
        <v/>
      </c>
      <c r="L2229">
        <f>IF($G2229&lt;&gt;"ALCOHOL","",IF($K2229="","",$H2229*IFERROR(VLOOKUP($K2229,Drink_Templates!$A:$G,7,FALSE),0)))</f>
        <v/>
      </c>
    </row>
    <row r="2230" ht="15" customHeight="1">
      <c r="C2230">
        <f>IF($B2230="","",INT($B2230))</f>
        <v/>
      </c>
      <c r="D2230">
        <f>IF($C2230="","",$C2230-WEEKDAY($C2230,2)+1)</f>
        <v/>
      </c>
      <c r="E2230">
        <f>IF($C2230="","",DATE(YEAR($C2230),MONTH($C2230),1))</f>
        <v/>
      </c>
      <c r="F2230">
        <f>IF($C2230="","",YEAR($C2230)&amp;"-Q"&amp;ROUNDUP(MONTH($C2230)/3,0))</f>
        <v/>
      </c>
      <c r="L2230">
        <f>IF($G2230&lt;&gt;"ALCOHOL","",IF($K2230="","",$H2230*IFERROR(VLOOKUP($K2230,Drink_Templates!$A:$G,7,FALSE),0)))</f>
        <v/>
      </c>
    </row>
    <row r="2231" ht="15" customHeight="1">
      <c r="C2231">
        <f>IF($B2231="","",INT($B2231))</f>
        <v/>
      </c>
      <c r="D2231">
        <f>IF($C2231="","",$C2231-WEEKDAY($C2231,2)+1)</f>
        <v/>
      </c>
      <c r="E2231">
        <f>IF($C2231="","",DATE(YEAR($C2231),MONTH($C2231),1))</f>
        <v/>
      </c>
      <c r="F2231">
        <f>IF($C2231="","",YEAR($C2231)&amp;"-Q"&amp;ROUNDUP(MONTH($C2231)/3,0))</f>
        <v/>
      </c>
      <c r="L2231">
        <f>IF($G2231&lt;&gt;"ALCOHOL","",IF($K2231="","",$H2231*IFERROR(VLOOKUP($K2231,Drink_Templates!$A:$G,7,FALSE),0)))</f>
        <v/>
      </c>
    </row>
    <row r="2232" ht="15" customHeight="1">
      <c r="C2232">
        <f>IF($B2232="","",INT($B2232))</f>
        <v/>
      </c>
      <c r="D2232">
        <f>IF($C2232="","",$C2232-WEEKDAY($C2232,2)+1)</f>
        <v/>
      </c>
      <c r="E2232">
        <f>IF($C2232="","",DATE(YEAR($C2232),MONTH($C2232),1))</f>
        <v/>
      </c>
      <c r="F2232">
        <f>IF($C2232="","",YEAR($C2232)&amp;"-Q"&amp;ROUNDUP(MONTH($C2232)/3,0))</f>
        <v/>
      </c>
      <c r="L2232">
        <f>IF($G2232&lt;&gt;"ALCOHOL","",IF($K2232="","",$H2232*IFERROR(VLOOKUP($K2232,Drink_Templates!$A:$G,7,FALSE),0)))</f>
        <v/>
      </c>
    </row>
    <row r="2233" ht="15" customHeight="1">
      <c r="C2233">
        <f>IF($B2233="","",INT($B2233))</f>
        <v/>
      </c>
      <c r="D2233">
        <f>IF($C2233="","",$C2233-WEEKDAY($C2233,2)+1)</f>
        <v/>
      </c>
      <c r="E2233">
        <f>IF($C2233="","",DATE(YEAR($C2233),MONTH($C2233),1))</f>
        <v/>
      </c>
      <c r="F2233">
        <f>IF($C2233="","",YEAR($C2233)&amp;"-Q"&amp;ROUNDUP(MONTH($C2233)/3,0))</f>
        <v/>
      </c>
      <c r="L2233">
        <f>IF($G2233&lt;&gt;"ALCOHOL","",IF($K2233="","",$H2233*IFERROR(VLOOKUP($K2233,Drink_Templates!$A:$G,7,FALSE),0)))</f>
        <v/>
      </c>
    </row>
    <row r="2234" ht="15" customHeight="1">
      <c r="C2234">
        <f>IF($B2234="","",INT($B2234))</f>
        <v/>
      </c>
      <c r="D2234">
        <f>IF($C2234="","",$C2234-WEEKDAY($C2234,2)+1)</f>
        <v/>
      </c>
      <c r="E2234">
        <f>IF($C2234="","",DATE(YEAR($C2234),MONTH($C2234),1))</f>
        <v/>
      </c>
      <c r="F2234">
        <f>IF($C2234="","",YEAR($C2234)&amp;"-Q"&amp;ROUNDUP(MONTH($C2234)/3,0))</f>
        <v/>
      </c>
      <c r="L2234">
        <f>IF($G2234&lt;&gt;"ALCOHOL","",IF($K2234="","",$H2234*IFERROR(VLOOKUP($K2234,Drink_Templates!$A:$G,7,FALSE),0)))</f>
        <v/>
      </c>
    </row>
    <row r="2235" ht="15" customHeight="1">
      <c r="C2235">
        <f>IF($B2235="","",INT($B2235))</f>
        <v/>
      </c>
      <c r="D2235">
        <f>IF($C2235="","",$C2235-WEEKDAY($C2235,2)+1)</f>
        <v/>
      </c>
      <c r="E2235">
        <f>IF($C2235="","",DATE(YEAR($C2235),MONTH($C2235),1))</f>
        <v/>
      </c>
      <c r="F2235">
        <f>IF($C2235="","",YEAR($C2235)&amp;"-Q"&amp;ROUNDUP(MONTH($C2235)/3,0))</f>
        <v/>
      </c>
      <c r="L2235">
        <f>IF($G2235&lt;&gt;"ALCOHOL","",IF($K2235="","",$H2235*IFERROR(VLOOKUP($K2235,Drink_Templates!$A:$G,7,FALSE),0)))</f>
        <v/>
      </c>
    </row>
    <row r="2236" ht="15" customHeight="1">
      <c r="C2236">
        <f>IF($B2236="","",INT($B2236))</f>
        <v/>
      </c>
      <c r="D2236">
        <f>IF($C2236="","",$C2236-WEEKDAY($C2236,2)+1)</f>
        <v/>
      </c>
      <c r="E2236">
        <f>IF($C2236="","",DATE(YEAR($C2236),MONTH($C2236),1))</f>
        <v/>
      </c>
      <c r="F2236">
        <f>IF($C2236="","",YEAR($C2236)&amp;"-Q"&amp;ROUNDUP(MONTH($C2236)/3,0))</f>
        <v/>
      </c>
      <c r="L2236">
        <f>IF($G2236&lt;&gt;"ALCOHOL","",IF($K2236="","",$H2236*IFERROR(VLOOKUP($K2236,Drink_Templates!$A:$G,7,FALSE),0)))</f>
        <v/>
      </c>
    </row>
    <row r="2237" ht="15" customHeight="1">
      <c r="C2237">
        <f>IF($B2237="","",INT($B2237))</f>
        <v/>
      </c>
      <c r="D2237">
        <f>IF($C2237="","",$C2237-WEEKDAY($C2237,2)+1)</f>
        <v/>
      </c>
      <c r="E2237">
        <f>IF($C2237="","",DATE(YEAR($C2237),MONTH($C2237),1))</f>
        <v/>
      </c>
      <c r="F2237">
        <f>IF($C2237="","",YEAR($C2237)&amp;"-Q"&amp;ROUNDUP(MONTH($C2237)/3,0))</f>
        <v/>
      </c>
      <c r="L2237">
        <f>IF($G2237&lt;&gt;"ALCOHOL","",IF($K2237="","",$H2237*IFERROR(VLOOKUP($K2237,Drink_Templates!$A:$G,7,FALSE),0)))</f>
        <v/>
      </c>
    </row>
    <row r="2238" ht="15" customHeight="1">
      <c r="C2238">
        <f>IF($B2238="","",INT($B2238))</f>
        <v/>
      </c>
      <c r="D2238">
        <f>IF($C2238="","",$C2238-WEEKDAY($C2238,2)+1)</f>
        <v/>
      </c>
      <c r="E2238">
        <f>IF($C2238="","",DATE(YEAR($C2238),MONTH($C2238),1))</f>
        <v/>
      </c>
      <c r="F2238">
        <f>IF($C2238="","",YEAR($C2238)&amp;"-Q"&amp;ROUNDUP(MONTH($C2238)/3,0))</f>
        <v/>
      </c>
      <c r="L2238">
        <f>IF($G2238&lt;&gt;"ALCOHOL","",IF($K2238="","",$H2238*IFERROR(VLOOKUP($K2238,Drink_Templates!$A:$G,7,FALSE),0)))</f>
        <v/>
      </c>
    </row>
    <row r="2239" ht="15" customHeight="1">
      <c r="C2239">
        <f>IF($B2239="","",INT($B2239))</f>
        <v/>
      </c>
      <c r="D2239">
        <f>IF($C2239="","",$C2239-WEEKDAY($C2239,2)+1)</f>
        <v/>
      </c>
      <c r="E2239">
        <f>IF($C2239="","",DATE(YEAR($C2239),MONTH($C2239),1))</f>
        <v/>
      </c>
      <c r="F2239">
        <f>IF($C2239="","",YEAR($C2239)&amp;"-Q"&amp;ROUNDUP(MONTH($C2239)/3,0))</f>
        <v/>
      </c>
      <c r="L2239">
        <f>IF($G2239&lt;&gt;"ALCOHOL","",IF($K2239="","",$H2239*IFERROR(VLOOKUP($K2239,Drink_Templates!$A:$G,7,FALSE),0)))</f>
        <v/>
      </c>
    </row>
    <row r="2240" ht="15" customHeight="1">
      <c r="C2240">
        <f>IF($B2240="","",INT($B2240))</f>
        <v/>
      </c>
      <c r="D2240">
        <f>IF($C2240="","",$C2240-WEEKDAY($C2240,2)+1)</f>
        <v/>
      </c>
      <c r="E2240">
        <f>IF($C2240="","",DATE(YEAR($C2240),MONTH($C2240),1))</f>
        <v/>
      </c>
      <c r="F2240">
        <f>IF($C2240="","",YEAR($C2240)&amp;"-Q"&amp;ROUNDUP(MONTH($C2240)/3,0))</f>
        <v/>
      </c>
      <c r="L2240">
        <f>IF($G2240&lt;&gt;"ALCOHOL","",IF($K2240="","",$H2240*IFERROR(VLOOKUP($K2240,Drink_Templates!$A:$G,7,FALSE),0)))</f>
        <v/>
      </c>
    </row>
    <row r="2241" ht="15" customHeight="1">
      <c r="C2241">
        <f>IF($B2241="","",INT($B2241))</f>
        <v/>
      </c>
      <c r="D2241">
        <f>IF($C2241="","",$C2241-WEEKDAY($C2241,2)+1)</f>
        <v/>
      </c>
      <c r="E2241">
        <f>IF($C2241="","",DATE(YEAR($C2241),MONTH($C2241),1))</f>
        <v/>
      </c>
      <c r="F2241">
        <f>IF($C2241="","",YEAR($C2241)&amp;"-Q"&amp;ROUNDUP(MONTH($C2241)/3,0))</f>
        <v/>
      </c>
      <c r="L2241">
        <f>IF($G2241&lt;&gt;"ALCOHOL","",IF($K2241="","",$H2241*IFERROR(VLOOKUP($K2241,Drink_Templates!$A:$G,7,FALSE),0)))</f>
        <v/>
      </c>
    </row>
    <row r="2242" ht="15" customHeight="1">
      <c r="C2242">
        <f>IF($B2242="","",INT($B2242))</f>
        <v/>
      </c>
      <c r="D2242">
        <f>IF($C2242="","",$C2242-WEEKDAY($C2242,2)+1)</f>
        <v/>
      </c>
      <c r="E2242">
        <f>IF($C2242="","",DATE(YEAR($C2242),MONTH($C2242),1))</f>
        <v/>
      </c>
      <c r="F2242">
        <f>IF($C2242="","",YEAR($C2242)&amp;"-Q"&amp;ROUNDUP(MONTH($C2242)/3,0))</f>
        <v/>
      </c>
      <c r="L2242">
        <f>IF($G2242&lt;&gt;"ALCOHOL","",IF($K2242="","",$H2242*IFERROR(VLOOKUP($K2242,Drink_Templates!$A:$G,7,FALSE),0)))</f>
        <v/>
      </c>
    </row>
    <row r="2243" ht="15" customHeight="1">
      <c r="C2243">
        <f>IF($B2243="","",INT($B2243))</f>
        <v/>
      </c>
      <c r="D2243">
        <f>IF($C2243="","",$C2243-WEEKDAY($C2243,2)+1)</f>
        <v/>
      </c>
      <c r="E2243">
        <f>IF($C2243="","",DATE(YEAR($C2243),MONTH($C2243),1))</f>
        <v/>
      </c>
      <c r="F2243">
        <f>IF($C2243="","",YEAR($C2243)&amp;"-Q"&amp;ROUNDUP(MONTH($C2243)/3,0))</f>
        <v/>
      </c>
      <c r="L2243">
        <f>IF($G2243&lt;&gt;"ALCOHOL","",IF($K2243="","",$H2243*IFERROR(VLOOKUP($K2243,Drink_Templates!$A:$G,7,FALSE),0)))</f>
        <v/>
      </c>
    </row>
    <row r="2244" ht="15" customHeight="1">
      <c r="C2244">
        <f>IF($B2244="","",INT($B2244))</f>
        <v/>
      </c>
      <c r="D2244">
        <f>IF($C2244="","",$C2244-WEEKDAY($C2244,2)+1)</f>
        <v/>
      </c>
      <c r="E2244">
        <f>IF($C2244="","",DATE(YEAR($C2244),MONTH($C2244),1))</f>
        <v/>
      </c>
      <c r="F2244">
        <f>IF($C2244="","",YEAR($C2244)&amp;"-Q"&amp;ROUNDUP(MONTH($C2244)/3,0))</f>
        <v/>
      </c>
      <c r="L2244">
        <f>IF($G2244&lt;&gt;"ALCOHOL","",IF($K2244="","",$H2244*IFERROR(VLOOKUP($K2244,Drink_Templates!$A:$G,7,FALSE),0)))</f>
        <v/>
      </c>
    </row>
    <row r="2245" ht="15" customHeight="1">
      <c r="C2245">
        <f>IF($B2245="","",INT($B2245))</f>
        <v/>
      </c>
      <c r="D2245">
        <f>IF($C2245="","",$C2245-WEEKDAY($C2245,2)+1)</f>
        <v/>
      </c>
      <c r="E2245">
        <f>IF($C2245="","",DATE(YEAR($C2245),MONTH($C2245),1))</f>
        <v/>
      </c>
      <c r="F2245">
        <f>IF($C2245="","",YEAR($C2245)&amp;"-Q"&amp;ROUNDUP(MONTH($C2245)/3,0))</f>
        <v/>
      </c>
      <c r="L2245">
        <f>IF($G2245&lt;&gt;"ALCOHOL","",IF($K2245="","",$H2245*IFERROR(VLOOKUP($K2245,Drink_Templates!$A:$G,7,FALSE),0)))</f>
        <v/>
      </c>
    </row>
    <row r="2246" ht="15" customHeight="1">
      <c r="C2246">
        <f>IF($B2246="","",INT($B2246))</f>
        <v/>
      </c>
      <c r="D2246">
        <f>IF($C2246="","",$C2246-WEEKDAY($C2246,2)+1)</f>
        <v/>
      </c>
      <c r="E2246">
        <f>IF($C2246="","",DATE(YEAR($C2246),MONTH($C2246),1))</f>
        <v/>
      </c>
      <c r="F2246">
        <f>IF($C2246="","",YEAR($C2246)&amp;"-Q"&amp;ROUNDUP(MONTH($C2246)/3,0))</f>
        <v/>
      </c>
      <c r="L2246">
        <f>IF($G2246&lt;&gt;"ALCOHOL","",IF($K2246="","",$H2246*IFERROR(VLOOKUP($K2246,Drink_Templates!$A:$G,7,FALSE),0)))</f>
        <v/>
      </c>
    </row>
    <row r="2247" ht="15" customHeight="1">
      <c r="C2247">
        <f>IF($B2247="","",INT($B2247))</f>
        <v/>
      </c>
      <c r="D2247">
        <f>IF($C2247="","",$C2247-WEEKDAY($C2247,2)+1)</f>
        <v/>
      </c>
      <c r="E2247">
        <f>IF($C2247="","",DATE(YEAR($C2247),MONTH($C2247),1))</f>
        <v/>
      </c>
      <c r="F2247">
        <f>IF($C2247="","",YEAR($C2247)&amp;"-Q"&amp;ROUNDUP(MONTH($C2247)/3,0))</f>
        <v/>
      </c>
      <c r="L2247">
        <f>IF($G2247&lt;&gt;"ALCOHOL","",IF($K2247="","",$H2247*IFERROR(VLOOKUP($K2247,Drink_Templates!$A:$G,7,FALSE),0)))</f>
        <v/>
      </c>
    </row>
    <row r="2248" ht="15" customHeight="1">
      <c r="C2248">
        <f>IF($B2248="","",INT($B2248))</f>
        <v/>
      </c>
      <c r="D2248">
        <f>IF($C2248="","",$C2248-WEEKDAY($C2248,2)+1)</f>
        <v/>
      </c>
      <c r="E2248">
        <f>IF($C2248="","",DATE(YEAR($C2248),MONTH($C2248),1))</f>
        <v/>
      </c>
      <c r="F2248">
        <f>IF($C2248="","",YEAR($C2248)&amp;"-Q"&amp;ROUNDUP(MONTH($C2248)/3,0))</f>
        <v/>
      </c>
      <c r="L2248">
        <f>IF($G2248&lt;&gt;"ALCOHOL","",IF($K2248="","",$H2248*IFERROR(VLOOKUP($K2248,Drink_Templates!$A:$G,7,FALSE),0)))</f>
        <v/>
      </c>
    </row>
    <row r="2249" ht="15" customHeight="1">
      <c r="C2249">
        <f>IF($B2249="","",INT($B2249))</f>
        <v/>
      </c>
      <c r="D2249">
        <f>IF($C2249="","",$C2249-WEEKDAY($C2249,2)+1)</f>
        <v/>
      </c>
      <c r="E2249">
        <f>IF($C2249="","",DATE(YEAR($C2249),MONTH($C2249),1))</f>
        <v/>
      </c>
      <c r="F2249">
        <f>IF($C2249="","",YEAR($C2249)&amp;"-Q"&amp;ROUNDUP(MONTH($C2249)/3,0))</f>
        <v/>
      </c>
      <c r="L2249">
        <f>IF($G2249&lt;&gt;"ALCOHOL","",IF($K2249="","",$H2249*IFERROR(VLOOKUP($K2249,Drink_Templates!$A:$G,7,FALSE),0)))</f>
        <v/>
      </c>
    </row>
    <row r="2250" ht="15" customHeight="1">
      <c r="C2250">
        <f>IF($B2250="","",INT($B2250))</f>
        <v/>
      </c>
      <c r="D2250">
        <f>IF($C2250="","",$C2250-WEEKDAY($C2250,2)+1)</f>
        <v/>
      </c>
      <c r="E2250">
        <f>IF($C2250="","",DATE(YEAR($C2250),MONTH($C2250),1))</f>
        <v/>
      </c>
      <c r="F2250">
        <f>IF($C2250="","",YEAR($C2250)&amp;"-Q"&amp;ROUNDUP(MONTH($C2250)/3,0))</f>
        <v/>
      </c>
      <c r="L2250">
        <f>IF($G2250&lt;&gt;"ALCOHOL","",IF($K2250="","",$H2250*IFERROR(VLOOKUP($K2250,Drink_Templates!$A:$G,7,FALSE),0)))</f>
        <v/>
      </c>
    </row>
    <row r="2251" ht="15" customHeight="1">
      <c r="C2251">
        <f>IF($B2251="","",INT($B2251))</f>
        <v/>
      </c>
      <c r="D2251">
        <f>IF($C2251="","",$C2251-WEEKDAY($C2251,2)+1)</f>
        <v/>
      </c>
      <c r="E2251">
        <f>IF($C2251="","",DATE(YEAR($C2251),MONTH($C2251),1))</f>
        <v/>
      </c>
      <c r="F2251">
        <f>IF($C2251="","",YEAR($C2251)&amp;"-Q"&amp;ROUNDUP(MONTH($C2251)/3,0))</f>
        <v/>
      </c>
      <c r="L2251">
        <f>IF($G2251&lt;&gt;"ALCOHOL","",IF($K2251="","",$H2251*IFERROR(VLOOKUP($K2251,Drink_Templates!$A:$G,7,FALSE),0)))</f>
        <v/>
      </c>
    </row>
    <row r="2252" ht="15" customHeight="1">
      <c r="C2252">
        <f>IF($B2252="","",INT($B2252))</f>
        <v/>
      </c>
      <c r="D2252">
        <f>IF($C2252="","",$C2252-WEEKDAY($C2252,2)+1)</f>
        <v/>
      </c>
      <c r="E2252">
        <f>IF($C2252="","",DATE(YEAR($C2252),MONTH($C2252),1))</f>
        <v/>
      </c>
      <c r="F2252">
        <f>IF($C2252="","",YEAR($C2252)&amp;"-Q"&amp;ROUNDUP(MONTH($C2252)/3,0))</f>
        <v/>
      </c>
      <c r="L2252">
        <f>IF($G2252&lt;&gt;"ALCOHOL","",IF($K2252="","",$H2252*IFERROR(VLOOKUP($K2252,Drink_Templates!$A:$G,7,FALSE),0)))</f>
        <v/>
      </c>
    </row>
    <row r="2253" ht="15" customHeight="1">
      <c r="C2253">
        <f>IF($B2253="","",INT($B2253))</f>
        <v/>
      </c>
      <c r="D2253">
        <f>IF($C2253="","",$C2253-WEEKDAY($C2253,2)+1)</f>
        <v/>
      </c>
      <c r="E2253">
        <f>IF($C2253="","",DATE(YEAR($C2253),MONTH($C2253),1))</f>
        <v/>
      </c>
      <c r="F2253">
        <f>IF($C2253="","",YEAR($C2253)&amp;"-Q"&amp;ROUNDUP(MONTH($C2253)/3,0))</f>
        <v/>
      </c>
      <c r="L2253">
        <f>IF($G2253&lt;&gt;"ALCOHOL","",IF($K2253="","",$H2253*IFERROR(VLOOKUP($K2253,Drink_Templates!$A:$G,7,FALSE),0)))</f>
        <v/>
      </c>
    </row>
    <row r="2254" ht="15" customHeight="1">
      <c r="C2254">
        <f>IF($B2254="","",INT($B2254))</f>
        <v/>
      </c>
      <c r="D2254">
        <f>IF($C2254="","",$C2254-WEEKDAY($C2254,2)+1)</f>
        <v/>
      </c>
      <c r="E2254">
        <f>IF($C2254="","",DATE(YEAR($C2254),MONTH($C2254),1))</f>
        <v/>
      </c>
      <c r="F2254">
        <f>IF($C2254="","",YEAR($C2254)&amp;"-Q"&amp;ROUNDUP(MONTH($C2254)/3,0))</f>
        <v/>
      </c>
      <c r="L2254">
        <f>IF($G2254&lt;&gt;"ALCOHOL","",IF($K2254="","",$H2254*IFERROR(VLOOKUP($K2254,Drink_Templates!$A:$G,7,FALSE),0)))</f>
        <v/>
      </c>
    </row>
    <row r="2255" ht="15" customHeight="1">
      <c r="C2255">
        <f>IF($B2255="","",INT($B2255))</f>
        <v/>
      </c>
      <c r="D2255">
        <f>IF($C2255="","",$C2255-WEEKDAY($C2255,2)+1)</f>
        <v/>
      </c>
      <c r="E2255">
        <f>IF($C2255="","",DATE(YEAR($C2255),MONTH($C2255),1))</f>
        <v/>
      </c>
      <c r="F2255">
        <f>IF($C2255="","",YEAR($C2255)&amp;"-Q"&amp;ROUNDUP(MONTH($C2255)/3,0))</f>
        <v/>
      </c>
      <c r="L2255">
        <f>IF($G2255&lt;&gt;"ALCOHOL","",IF($K2255="","",$H2255*IFERROR(VLOOKUP($K2255,Drink_Templates!$A:$G,7,FALSE),0)))</f>
        <v/>
      </c>
    </row>
    <row r="2256" ht="15" customHeight="1">
      <c r="C2256">
        <f>IF($B2256="","",INT($B2256))</f>
        <v/>
      </c>
      <c r="D2256">
        <f>IF($C2256="","",$C2256-WEEKDAY($C2256,2)+1)</f>
        <v/>
      </c>
      <c r="E2256">
        <f>IF($C2256="","",DATE(YEAR($C2256),MONTH($C2256),1))</f>
        <v/>
      </c>
      <c r="F2256">
        <f>IF($C2256="","",YEAR($C2256)&amp;"-Q"&amp;ROUNDUP(MONTH($C2256)/3,0))</f>
        <v/>
      </c>
      <c r="L2256">
        <f>IF($G2256&lt;&gt;"ALCOHOL","",IF($K2256="","",$H2256*IFERROR(VLOOKUP($K2256,Drink_Templates!$A:$G,7,FALSE),0)))</f>
        <v/>
      </c>
    </row>
    <row r="2257" ht="15" customHeight="1">
      <c r="C2257">
        <f>IF($B2257="","",INT($B2257))</f>
        <v/>
      </c>
      <c r="D2257">
        <f>IF($C2257="","",$C2257-WEEKDAY($C2257,2)+1)</f>
        <v/>
      </c>
      <c r="E2257">
        <f>IF($C2257="","",DATE(YEAR($C2257),MONTH($C2257),1))</f>
        <v/>
      </c>
      <c r="F2257">
        <f>IF($C2257="","",YEAR($C2257)&amp;"-Q"&amp;ROUNDUP(MONTH($C2257)/3,0))</f>
        <v/>
      </c>
      <c r="L2257">
        <f>IF($G2257&lt;&gt;"ALCOHOL","",IF($K2257="","",$H2257*IFERROR(VLOOKUP($K2257,Drink_Templates!$A:$G,7,FALSE),0)))</f>
        <v/>
      </c>
    </row>
    <row r="2258" ht="15" customHeight="1">
      <c r="C2258">
        <f>IF($B2258="","",INT($B2258))</f>
        <v/>
      </c>
      <c r="D2258">
        <f>IF($C2258="","",$C2258-WEEKDAY($C2258,2)+1)</f>
        <v/>
      </c>
      <c r="E2258">
        <f>IF($C2258="","",DATE(YEAR($C2258),MONTH($C2258),1))</f>
        <v/>
      </c>
      <c r="F2258">
        <f>IF($C2258="","",YEAR($C2258)&amp;"-Q"&amp;ROUNDUP(MONTH($C2258)/3,0))</f>
        <v/>
      </c>
      <c r="L2258">
        <f>IF($G2258&lt;&gt;"ALCOHOL","",IF($K2258="","",$H2258*IFERROR(VLOOKUP($K2258,Drink_Templates!$A:$G,7,FALSE),0)))</f>
        <v/>
      </c>
    </row>
    <row r="2259" ht="15" customHeight="1">
      <c r="C2259">
        <f>IF($B2259="","",INT($B2259))</f>
        <v/>
      </c>
      <c r="D2259">
        <f>IF($C2259="","",$C2259-WEEKDAY($C2259,2)+1)</f>
        <v/>
      </c>
      <c r="E2259">
        <f>IF($C2259="","",DATE(YEAR($C2259),MONTH($C2259),1))</f>
        <v/>
      </c>
      <c r="F2259">
        <f>IF($C2259="","",YEAR($C2259)&amp;"-Q"&amp;ROUNDUP(MONTH($C2259)/3,0))</f>
        <v/>
      </c>
      <c r="L2259">
        <f>IF($G2259&lt;&gt;"ALCOHOL","",IF($K2259="","",$H2259*IFERROR(VLOOKUP($K2259,Drink_Templates!$A:$G,7,FALSE),0)))</f>
        <v/>
      </c>
    </row>
    <row r="2260" ht="15" customHeight="1">
      <c r="C2260">
        <f>IF($B2260="","",INT($B2260))</f>
        <v/>
      </c>
      <c r="D2260">
        <f>IF($C2260="","",$C2260-WEEKDAY($C2260,2)+1)</f>
        <v/>
      </c>
      <c r="E2260">
        <f>IF($C2260="","",DATE(YEAR($C2260),MONTH($C2260),1))</f>
        <v/>
      </c>
      <c r="F2260">
        <f>IF($C2260="","",YEAR($C2260)&amp;"-Q"&amp;ROUNDUP(MONTH($C2260)/3,0))</f>
        <v/>
      </c>
      <c r="L2260">
        <f>IF($G2260&lt;&gt;"ALCOHOL","",IF($K2260="","",$H2260*IFERROR(VLOOKUP($K2260,Drink_Templates!$A:$G,7,FALSE),0)))</f>
        <v/>
      </c>
    </row>
    <row r="2261" ht="15" customHeight="1">
      <c r="C2261">
        <f>IF($B2261="","",INT($B2261))</f>
        <v/>
      </c>
      <c r="D2261">
        <f>IF($C2261="","",$C2261-WEEKDAY($C2261,2)+1)</f>
        <v/>
      </c>
      <c r="E2261">
        <f>IF($C2261="","",DATE(YEAR($C2261),MONTH($C2261),1))</f>
        <v/>
      </c>
      <c r="F2261">
        <f>IF($C2261="","",YEAR($C2261)&amp;"-Q"&amp;ROUNDUP(MONTH($C2261)/3,0))</f>
        <v/>
      </c>
      <c r="L2261">
        <f>IF($G2261&lt;&gt;"ALCOHOL","",IF($K2261="","",$H2261*IFERROR(VLOOKUP($K2261,Drink_Templates!$A:$G,7,FALSE),0)))</f>
        <v/>
      </c>
    </row>
    <row r="2262" ht="15" customHeight="1">
      <c r="C2262">
        <f>IF($B2262="","",INT($B2262))</f>
        <v/>
      </c>
      <c r="D2262">
        <f>IF($C2262="","",$C2262-WEEKDAY($C2262,2)+1)</f>
        <v/>
      </c>
      <c r="E2262">
        <f>IF($C2262="","",DATE(YEAR($C2262),MONTH($C2262),1))</f>
        <v/>
      </c>
      <c r="F2262">
        <f>IF($C2262="","",YEAR($C2262)&amp;"-Q"&amp;ROUNDUP(MONTH($C2262)/3,0))</f>
        <v/>
      </c>
      <c r="L2262">
        <f>IF($G2262&lt;&gt;"ALCOHOL","",IF($K2262="","",$H2262*IFERROR(VLOOKUP($K2262,Drink_Templates!$A:$G,7,FALSE),0)))</f>
        <v/>
      </c>
    </row>
    <row r="2263" ht="15" customHeight="1">
      <c r="C2263">
        <f>IF($B2263="","",INT($B2263))</f>
        <v/>
      </c>
      <c r="D2263">
        <f>IF($C2263="","",$C2263-WEEKDAY($C2263,2)+1)</f>
        <v/>
      </c>
      <c r="E2263">
        <f>IF($C2263="","",DATE(YEAR($C2263),MONTH($C2263),1))</f>
        <v/>
      </c>
      <c r="F2263">
        <f>IF($C2263="","",YEAR($C2263)&amp;"-Q"&amp;ROUNDUP(MONTH($C2263)/3,0))</f>
        <v/>
      </c>
      <c r="L2263">
        <f>IF($G2263&lt;&gt;"ALCOHOL","",IF($K2263="","",$H2263*IFERROR(VLOOKUP($K2263,Drink_Templates!$A:$G,7,FALSE),0)))</f>
        <v/>
      </c>
    </row>
    <row r="2264" ht="15" customHeight="1">
      <c r="C2264">
        <f>IF($B2264="","",INT($B2264))</f>
        <v/>
      </c>
      <c r="D2264">
        <f>IF($C2264="","",$C2264-WEEKDAY($C2264,2)+1)</f>
        <v/>
      </c>
      <c r="E2264">
        <f>IF($C2264="","",DATE(YEAR($C2264),MONTH($C2264),1))</f>
        <v/>
      </c>
      <c r="F2264">
        <f>IF($C2264="","",YEAR($C2264)&amp;"-Q"&amp;ROUNDUP(MONTH($C2264)/3,0))</f>
        <v/>
      </c>
      <c r="L2264">
        <f>IF($G2264&lt;&gt;"ALCOHOL","",IF($K2264="","",$H2264*IFERROR(VLOOKUP($K2264,Drink_Templates!$A:$G,7,FALSE),0)))</f>
        <v/>
      </c>
    </row>
    <row r="2265" ht="15" customHeight="1">
      <c r="C2265">
        <f>IF($B2265="","",INT($B2265))</f>
        <v/>
      </c>
      <c r="D2265">
        <f>IF($C2265="","",$C2265-WEEKDAY($C2265,2)+1)</f>
        <v/>
      </c>
      <c r="E2265">
        <f>IF($C2265="","",DATE(YEAR($C2265),MONTH($C2265),1))</f>
        <v/>
      </c>
      <c r="F2265">
        <f>IF($C2265="","",YEAR($C2265)&amp;"-Q"&amp;ROUNDUP(MONTH($C2265)/3,0))</f>
        <v/>
      </c>
      <c r="L2265">
        <f>IF($G2265&lt;&gt;"ALCOHOL","",IF($K2265="","",$H2265*IFERROR(VLOOKUP($K2265,Drink_Templates!$A:$G,7,FALSE),0)))</f>
        <v/>
      </c>
    </row>
    <row r="2266" ht="15" customHeight="1">
      <c r="C2266">
        <f>IF($B2266="","",INT($B2266))</f>
        <v/>
      </c>
      <c r="D2266">
        <f>IF($C2266="","",$C2266-WEEKDAY($C2266,2)+1)</f>
        <v/>
      </c>
      <c r="E2266">
        <f>IF($C2266="","",DATE(YEAR($C2266),MONTH($C2266),1))</f>
        <v/>
      </c>
      <c r="F2266">
        <f>IF($C2266="","",YEAR($C2266)&amp;"-Q"&amp;ROUNDUP(MONTH($C2266)/3,0))</f>
        <v/>
      </c>
      <c r="L2266">
        <f>IF($G2266&lt;&gt;"ALCOHOL","",IF($K2266="","",$H2266*IFERROR(VLOOKUP($K2266,Drink_Templates!$A:$G,7,FALSE),0)))</f>
        <v/>
      </c>
    </row>
    <row r="2267" ht="15" customHeight="1">
      <c r="C2267">
        <f>IF($B2267="","",INT($B2267))</f>
        <v/>
      </c>
      <c r="D2267">
        <f>IF($C2267="","",$C2267-WEEKDAY($C2267,2)+1)</f>
        <v/>
      </c>
      <c r="E2267">
        <f>IF($C2267="","",DATE(YEAR($C2267),MONTH($C2267),1))</f>
        <v/>
      </c>
      <c r="F2267">
        <f>IF($C2267="","",YEAR($C2267)&amp;"-Q"&amp;ROUNDUP(MONTH($C2267)/3,0))</f>
        <v/>
      </c>
      <c r="L2267">
        <f>IF($G2267&lt;&gt;"ALCOHOL","",IF($K2267="","",$H2267*IFERROR(VLOOKUP($K2267,Drink_Templates!$A:$G,7,FALSE),0)))</f>
        <v/>
      </c>
    </row>
    <row r="2268" ht="15" customHeight="1">
      <c r="C2268">
        <f>IF($B2268="","",INT($B2268))</f>
        <v/>
      </c>
      <c r="D2268">
        <f>IF($C2268="","",$C2268-WEEKDAY($C2268,2)+1)</f>
        <v/>
      </c>
      <c r="E2268">
        <f>IF($C2268="","",DATE(YEAR($C2268),MONTH($C2268),1))</f>
        <v/>
      </c>
      <c r="F2268">
        <f>IF($C2268="","",YEAR($C2268)&amp;"-Q"&amp;ROUNDUP(MONTH($C2268)/3,0))</f>
        <v/>
      </c>
      <c r="L2268">
        <f>IF($G2268&lt;&gt;"ALCOHOL","",IF($K2268="","",$H2268*IFERROR(VLOOKUP($K2268,Drink_Templates!$A:$G,7,FALSE),0)))</f>
        <v/>
      </c>
    </row>
    <row r="2269" ht="15" customHeight="1">
      <c r="C2269">
        <f>IF($B2269="","",INT($B2269))</f>
        <v/>
      </c>
      <c r="D2269">
        <f>IF($C2269="","",$C2269-WEEKDAY($C2269,2)+1)</f>
        <v/>
      </c>
      <c r="E2269">
        <f>IF($C2269="","",DATE(YEAR($C2269),MONTH($C2269),1))</f>
        <v/>
      </c>
      <c r="F2269">
        <f>IF($C2269="","",YEAR($C2269)&amp;"-Q"&amp;ROUNDUP(MONTH($C2269)/3,0))</f>
        <v/>
      </c>
      <c r="L2269">
        <f>IF($G2269&lt;&gt;"ALCOHOL","",IF($K2269="","",$H2269*IFERROR(VLOOKUP($K2269,Drink_Templates!$A:$G,7,FALSE),0)))</f>
        <v/>
      </c>
    </row>
    <row r="2270" ht="15" customHeight="1">
      <c r="C2270">
        <f>IF($B2270="","",INT($B2270))</f>
        <v/>
      </c>
      <c r="D2270">
        <f>IF($C2270="","",$C2270-WEEKDAY($C2270,2)+1)</f>
        <v/>
      </c>
      <c r="E2270">
        <f>IF($C2270="","",DATE(YEAR($C2270),MONTH($C2270),1))</f>
        <v/>
      </c>
      <c r="F2270">
        <f>IF($C2270="","",YEAR($C2270)&amp;"-Q"&amp;ROUNDUP(MONTH($C2270)/3,0))</f>
        <v/>
      </c>
      <c r="L2270">
        <f>IF($G2270&lt;&gt;"ALCOHOL","",IF($K2270="","",$H2270*IFERROR(VLOOKUP($K2270,Drink_Templates!$A:$G,7,FALSE),0)))</f>
        <v/>
      </c>
    </row>
    <row r="2271" ht="15" customHeight="1">
      <c r="C2271">
        <f>IF($B2271="","",INT($B2271))</f>
        <v/>
      </c>
      <c r="D2271">
        <f>IF($C2271="","",$C2271-WEEKDAY($C2271,2)+1)</f>
        <v/>
      </c>
      <c r="E2271">
        <f>IF($C2271="","",DATE(YEAR($C2271),MONTH($C2271),1))</f>
        <v/>
      </c>
      <c r="F2271">
        <f>IF($C2271="","",YEAR($C2271)&amp;"-Q"&amp;ROUNDUP(MONTH($C2271)/3,0))</f>
        <v/>
      </c>
      <c r="L2271">
        <f>IF($G2271&lt;&gt;"ALCOHOL","",IF($K2271="","",$H2271*IFERROR(VLOOKUP($K2271,Drink_Templates!$A:$G,7,FALSE),0)))</f>
        <v/>
      </c>
    </row>
    <row r="2272" ht="15" customHeight="1">
      <c r="C2272">
        <f>IF($B2272="","",INT($B2272))</f>
        <v/>
      </c>
      <c r="D2272">
        <f>IF($C2272="","",$C2272-WEEKDAY($C2272,2)+1)</f>
        <v/>
      </c>
      <c r="E2272">
        <f>IF($C2272="","",DATE(YEAR($C2272),MONTH($C2272),1))</f>
        <v/>
      </c>
      <c r="F2272">
        <f>IF($C2272="","",YEAR($C2272)&amp;"-Q"&amp;ROUNDUP(MONTH($C2272)/3,0))</f>
        <v/>
      </c>
      <c r="L2272">
        <f>IF($G2272&lt;&gt;"ALCOHOL","",IF($K2272="","",$H2272*IFERROR(VLOOKUP($K2272,Drink_Templates!$A:$G,7,FALSE),0)))</f>
        <v/>
      </c>
    </row>
    <row r="2273" ht="15" customHeight="1">
      <c r="C2273">
        <f>IF($B2273="","",INT($B2273))</f>
        <v/>
      </c>
      <c r="D2273">
        <f>IF($C2273="","",$C2273-WEEKDAY($C2273,2)+1)</f>
        <v/>
      </c>
      <c r="E2273">
        <f>IF($C2273="","",DATE(YEAR($C2273),MONTH($C2273),1))</f>
        <v/>
      </c>
      <c r="F2273">
        <f>IF($C2273="","",YEAR($C2273)&amp;"-Q"&amp;ROUNDUP(MONTH($C2273)/3,0))</f>
        <v/>
      </c>
      <c r="L2273">
        <f>IF($G2273&lt;&gt;"ALCOHOL","",IF($K2273="","",$H2273*IFERROR(VLOOKUP($K2273,Drink_Templates!$A:$G,7,FALSE),0)))</f>
        <v/>
      </c>
    </row>
    <row r="2274" ht="15" customHeight="1">
      <c r="C2274">
        <f>IF($B2274="","",INT($B2274))</f>
        <v/>
      </c>
      <c r="D2274">
        <f>IF($C2274="","",$C2274-WEEKDAY($C2274,2)+1)</f>
        <v/>
      </c>
      <c r="E2274">
        <f>IF($C2274="","",DATE(YEAR($C2274),MONTH($C2274),1))</f>
        <v/>
      </c>
      <c r="F2274">
        <f>IF($C2274="","",YEAR($C2274)&amp;"-Q"&amp;ROUNDUP(MONTH($C2274)/3,0))</f>
        <v/>
      </c>
      <c r="L2274">
        <f>IF($G2274&lt;&gt;"ALCOHOL","",IF($K2274="","",$H2274*IFERROR(VLOOKUP($K2274,Drink_Templates!$A:$G,7,FALSE),0)))</f>
        <v/>
      </c>
    </row>
    <row r="2275" ht="15" customHeight="1">
      <c r="C2275">
        <f>IF($B2275="","",INT($B2275))</f>
        <v/>
      </c>
      <c r="D2275">
        <f>IF($C2275="","",$C2275-WEEKDAY($C2275,2)+1)</f>
        <v/>
      </c>
      <c r="E2275">
        <f>IF($C2275="","",DATE(YEAR($C2275),MONTH($C2275),1))</f>
        <v/>
      </c>
      <c r="F2275">
        <f>IF($C2275="","",YEAR($C2275)&amp;"-Q"&amp;ROUNDUP(MONTH($C2275)/3,0))</f>
        <v/>
      </c>
      <c r="L2275">
        <f>IF($G2275&lt;&gt;"ALCOHOL","",IF($K2275="","",$H2275*IFERROR(VLOOKUP($K2275,Drink_Templates!$A:$G,7,FALSE),0)))</f>
        <v/>
      </c>
    </row>
    <row r="2276" ht="15" customHeight="1">
      <c r="C2276">
        <f>IF($B2276="","",INT($B2276))</f>
        <v/>
      </c>
      <c r="D2276">
        <f>IF($C2276="","",$C2276-WEEKDAY($C2276,2)+1)</f>
        <v/>
      </c>
      <c r="E2276">
        <f>IF($C2276="","",DATE(YEAR($C2276),MONTH($C2276),1))</f>
        <v/>
      </c>
      <c r="F2276">
        <f>IF($C2276="","",YEAR($C2276)&amp;"-Q"&amp;ROUNDUP(MONTH($C2276)/3,0))</f>
        <v/>
      </c>
      <c r="L2276">
        <f>IF($G2276&lt;&gt;"ALCOHOL","",IF($K2276="","",$H2276*IFERROR(VLOOKUP($K2276,Drink_Templates!$A:$G,7,FALSE),0)))</f>
        <v/>
      </c>
    </row>
    <row r="2277" ht="15" customHeight="1">
      <c r="C2277">
        <f>IF($B2277="","",INT($B2277))</f>
        <v/>
      </c>
      <c r="D2277">
        <f>IF($C2277="","",$C2277-WEEKDAY($C2277,2)+1)</f>
        <v/>
      </c>
      <c r="E2277">
        <f>IF($C2277="","",DATE(YEAR($C2277),MONTH($C2277),1))</f>
        <v/>
      </c>
      <c r="F2277">
        <f>IF($C2277="","",YEAR($C2277)&amp;"-Q"&amp;ROUNDUP(MONTH($C2277)/3,0))</f>
        <v/>
      </c>
      <c r="L2277">
        <f>IF($G2277&lt;&gt;"ALCOHOL","",IF($K2277="","",$H2277*IFERROR(VLOOKUP($K2277,Drink_Templates!$A:$G,7,FALSE),0)))</f>
        <v/>
      </c>
    </row>
    <row r="2278" ht="15" customHeight="1">
      <c r="C2278">
        <f>IF($B2278="","",INT($B2278))</f>
        <v/>
      </c>
      <c r="D2278">
        <f>IF($C2278="","",$C2278-WEEKDAY($C2278,2)+1)</f>
        <v/>
      </c>
      <c r="E2278">
        <f>IF($C2278="","",DATE(YEAR($C2278),MONTH($C2278),1))</f>
        <v/>
      </c>
      <c r="F2278">
        <f>IF($C2278="","",YEAR($C2278)&amp;"-Q"&amp;ROUNDUP(MONTH($C2278)/3,0))</f>
        <v/>
      </c>
      <c r="L2278">
        <f>IF($G2278&lt;&gt;"ALCOHOL","",IF($K2278="","",$H2278*IFERROR(VLOOKUP($K2278,Drink_Templates!$A:$G,7,FALSE),0)))</f>
        <v/>
      </c>
    </row>
    <row r="2279" ht="15" customHeight="1">
      <c r="C2279">
        <f>IF($B2279="","",INT($B2279))</f>
        <v/>
      </c>
      <c r="D2279">
        <f>IF($C2279="","",$C2279-WEEKDAY($C2279,2)+1)</f>
        <v/>
      </c>
      <c r="E2279">
        <f>IF($C2279="","",DATE(YEAR($C2279),MONTH($C2279),1))</f>
        <v/>
      </c>
      <c r="F2279">
        <f>IF($C2279="","",YEAR($C2279)&amp;"-Q"&amp;ROUNDUP(MONTH($C2279)/3,0))</f>
        <v/>
      </c>
      <c r="L2279">
        <f>IF($G2279&lt;&gt;"ALCOHOL","",IF($K2279="","",$H2279*IFERROR(VLOOKUP($K2279,Drink_Templates!$A:$G,7,FALSE),0)))</f>
        <v/>
      </c>
    </row>
    <row r="2280" ht="15" customHeight="1">
      <c r="C2280">
        <f>IF($B2280="","",INT($B2280))</f>
        <v/>
      </c>
      <c r="D2280">
        <f>IF($C2280="","",$C2280-WEEKDAY($C2280,2)+1)</f>
        <v/>
      </c>
      <c r="E2280">
        <f>IF($C2280="","",DATE(YEAR($C2280),MONTH($C2280),1))</f>
        <v/>
      </c>
      <c r="F2280">
        <f>IF($C2280="","",YEAR($C2280)&amp;"-Q"&amp;ROUNDUP(MONTH($C2280)/3,0))</f>
        <v/>
      </c>
      <c r="L2280">
        <f>IF($G2280&lt;&gt;"ALCOHOL","",IF($K2280="","",$H2280*IFERROR(VLOOKUP($K2280,Drink_Templates!$A:$G,7,FALSE),0)))</f>
        <v/>
      </c>
    </row>
    <row r="2281" ht="15" customHeight="1">
      <c r="C2281">
        <f>IF($B2281="","",INT($B2281))</f>
        <v/>
      </c>
      <c r="D2281">
        <f>IF($C2281="","",$C2281-WEEKDAY($C2281,2)+1)</f>
        <v/>
      </c>
      <c r="E2281">
        <f>IF($C2281="","",DATE(YEAR($C2281),MONTH($C2281),1))</f>
        <v/>
      </c>
      <c r="F2281">
        <f>IF($C2281="","",YEAR($C2281)&amp;"-Q"&amp;ROUNDUP(MONTH($C2281)/3,0))</f>
        <v/>
      </c>
      <c r="L2281">
        <f>IF($G2281&lt;&gt;"ALCOHOL","",IF($K2281="","",$H2281*IFERROR(VLOOKUP($K2281,Drink_Templates!$A:$G,7,FALSE),0)))</f>
        <v/>
      </c>
    </row>
    <row r="2282" ht="15" customHeight="1">
      <c r="C2282">
        <f>IF($B2282="","",INT($B2282))</f>
        <v/>
      </c>
      <c r="D2282">
        <f>IF($C2282="","",$C2282-WEEKDAY($C2282,2)+1)</f>
        <v/>
      </c>
      <c r="E2282">
        <f>IF($C2282="","",DATE(YEAR($C2282),MONTH($C2282),1))</f>
        <v/>
      </c>
      <c r="F2282">
        <f>IF($C2282="","",YEAR($C2282)&amp;"-Q"&amp;ROUNDUP(MONTH($C2282)/3,0))</f>
        <v/>
      </c>
      <c r="L2282">
        <f>IF($G2282&lt;&gt;"ALCOHOL","",IF($K2282="","",$H2282*IFERROR(VLOOKUP($K2282,Drink_Templates!$A:$G,7,FALSE),0)))</f>
        <v/>
      </c>
    </row>
    <row r="2283" ht="15" customHeight="1">
      <c r="C2283">
        <f>IF($B2283="","",INT($B2283))</f>
        <v/>
      </c>
      <c r="D2283">
        <f>IF($C2283="","",$C2283-WEEKDAY($C2283,2)+1)</f>
        <v/>
      </c>
      <c r="E2283">
        <f>IF($C2283="","",DATE(YEAR($C2283),MONTH($C2283),1))</f>
        <v/>
      </c>
      <c r="F2283">
        <f>IF($C2283="","",YEAR($C2283)&amp;"-Q"&amp;ROUNDUP(MONTH($C2283)/3,0))</f>
        <v/>
      </c>
      <c r="L2283">
        <f>IF($G2283&lt;&gt;"ALCOHOL","",IF($K2283="","",$H2283*IFERROR(VLOOKUP($K2283,Drink_Templates!$A:$G,7,FALSE),0)))</f>
        <v/>
      </c>
    </row>
    <row r="2284" ht="15" customHeight="1">
      <c r="C2284">
        <f>IF($B2284="","",INT($B2284))</f>
        <v/>
      </c>
      <c r="D2284">
        <f>IF($C2284="","",$C2284-WEEKDAY($C2284,2)+1)</f>
        <v/>
      </c>
      <c r="E2284">
        <f>IF($C2284="","",DATE(YEAR($C2284),MONTH($C2284),1))</f>
        <v/>
      </c>
      <c r="F2284">
        <f>IF($C2284="","",YEAR($C2284)&amp;"-Q"&amp;ROUNDUP(MONTH($C2284)/3,0))</f>
        <v/>
      </c>
      <c r="L2284">
        <f>IF($G2284&lt;&gt;"ALCOHOL","",IF($K2284="","",$H2284*IFERROR(VLOOKUP($K2284,Drink_Templates!$A:$G,7,FALSE),0)))</f>
        <v/>
      </c>
    </row>
    <row r="2285" ht="15" customHeight="1">
      <c r="C2285">
        <f>IF($B2285="","",INT($B2285))</f>
        <v/>
      </c>
      <c r="D2285">
        <f>IF($C2285="","",$C2285-WEEKDAY($C2285,2)+1)</f>
        <v/>
      </c>
      <c r="E2285">
        <f>IF($C2285="","",DATE(YEAR($C2285),MONTH($C2285),1))</f>
        <v/>
      </c>
      <c r="F2285">
        <f>IF($C2285="","",YEAR($C2285)&amp;"-Q"&amp;ROUNDUP(MONTH($C2285)/3,0))</f>
        <v/>
      </c>
      <c r="L2285">
        <f>IF($G2285&lt;&gt;"ALCOHOL","",IF($K2285="","",$H2285*IFERROR(VLOOKUP($K2285,Drink_Templates!$A:$G,7,FALSE),0)))</f>
        <v/>
      </c>
    </row>
    <row r="2286" ht="15" customHeight="1">
      <c r="C2286">
        <f>IF($B2286="","",INT($B2286))</f>
        <v/>
      </c>
      <c r="D2286">
        <f>IF($C2286="","",$C2286-WEEKDAY($C2286,2)+1)</f>
        <v/>
      </c>
      <c r="E2286">
        <f>IF($C2286="","",DATE(YEAR($C2286),MONTH($C2286),1))</f>
        <v/>
      </c>
      <c r="F2286">
        <f>IF($C2286="","",YEAR($C2286)&amp;"-Q"&amp;ROUNDUP(MONTH($C2286)/3,0))</f>
        <v/>
      </c>
      <c r="L2286">
        <f>IF($G2286&lt;&gt;"ALCOHOL","",IF($K2286="","",$H2286*IFERROR(VLOOKUP($K2286,Drink_Templates!$A:$G,7,FALSE),0)))</f>
        <v/>
      </c>
    </row>
    <row r="2287" ht="15" customHeight="1">
      <c r="C2287">
        <f>IF($B2287="","",INT($B2287))</f>
        <v/>
      </c>
      <c r="D2287">
        <f>IF($C2287="","",$C2287-WEEKDAY($C2287,2)+1)</f>
        <v/>
      </c>
      <c r="E2287">
        <f>IF($C2287="","",DATE(YEAR($C2287),MONTH($C2287),1))</f>
        <v/>
      </c>
      <c r="F2287">
        <f>IF($C2287="","",YEAR($C2287)&amp;"-Q"&amp;ROUNDUP(MONTH($C2287)/3,0))</f>
        <v/>
      </c>
      <c r="L2287">
        <f>IF($G2287&lt;&gt;"ALCOHOL","",IF($K2287="","",$H2287*IFERROR(VLOOKUP($K2287,Drink_Templates!$A:$G,7,FALSE),0)))</f>
        <v/>
      </c>
    </row>
    <row r="2288" ht="15" customHeight="1">
      <c r="C2288">
        <f>IF($B2288="","",INT($B2288))</f>
        <v/>
      </c>
      <c r="D2288">
        <f>IF($C2288="","",$C2288-WEEKDAY($C2288,2)+1)</f>
        <v/>
      </c>
      <c r="E2288">
        <f>IF($C2288="","",DATE(YEAR($C2288),MONTH($C2288),1))</f>
        <v/>
      </c>
      <c r="F2288">
        <f>IF($C2288="","",YEAR($C2288)&amp;"-Q"&amp;ROUNDUP(MONTH($C2288)/3,0))</f>
        <v/>
      </c>
      <c r="L2288">
        <f>IF($G2288&lt;&gt;"ALCOHOL","",IF($K2288="","",$H2288*IFERROR(VLOOKUP($K2288,Drink_Templates!$A:$G,7,FALSE),0)))</f>
        <v/>
      </c>
    </row>
    <row r="2289" ht="15" customHeight="1">
      <c r="C2289">
        <f>IF($B2289="","",INT($B2289))</f>
        <v/>
      </c>
      <c r="D2289">
        <f>IF($C2289="","",$C2289-WEEKDAY($C2289,2)+1)</f>
        <v/>
      </c>
      <c r="E2289">
        <f>IF($C2289="","",DATE(YEAR($C2289),MONTH($C2289),1))</f>
        <v/>
      </c>
      <c r="F2289">
        <f>IF($C2289="","",YEAR($C2289)&amp;"-Q"&amp;ROUNDUP(MONTH($C2289)/3,0))</f>
        <v/>
      </c>
      <c r="L2289">
        <f>IF($G2289&lt;&gt;"ALCOHOL","",IF($K2289="","",$H2289*IFERROR(VLOOKUP($K2289,Drink_Templates!$A:$G,7,FALSE),0)))</f>
        <v/>
      </c>
    </row>
    <row r="2290" ht="15" customHeight="1">
      <c r="C2290">
        <f>IF($B2290="","",INT($B2290))</f>
        <v/>
      </c>
      <c r="D2290">
        <f>IF($C2290="","",$C2290-WEEKDAY($C2290,2)+1)</f>
        <v/>
      </c>
      <c r="E2290">
        <f>IF($C2290="","",DATE(YEAR($C2290),MONTH($C2290),1))</f>
        <v/>
      </c>
      <c r="F2290">
        <f>IF($C2290="","",YEAR($C2290)&amp;"-Q"&amp;ROUNDUP(MONTH($C2290)/3,0))</f>
        <v/>
      </c>
      <c r="L2290">
        <f>IF($G2290&lt;&gt;"ALCOHOL","",IF($K2290="","",$H2290*IFERROR(VLOOKUP($K2290,Drink_Templates!$A:$G,7,FALSE),0)))</f>
        <v/>
      </c>
    </row>
    <row r="2291" ht="15" customHeight="1">
      <c r="C2291">
        <f>IF($B2291="","",INT($B2291))</f>
        <v/>
      </c>
      <c r="D2291">
        <f>IF($C2291="","",$C2291-WEEKDAY($C2291,2)+1)</f>
        <v/>
      </c>
      <c r="E2291">
        <f>IF($C2291="","",DATE(YEAR($C2291),MONTH($C2291),1))</f>
        <v/>
      </c>
      <c r="F2291">
        <f>IF($C2291="","",YEAR($C2291)&amp;"-Q"&amp;ROUNDUP(MONTH($C2291)/3,0))</f>
        <v/>
      </c>
      <c r="L2291">
        <f>IF($G2291&lt;&gt;"ALCOHOL","",IF($K2291="","",$H2291*IFERROR(VLOOKUP($K2291,Drink_Templates!$A:$G,7,FALSE),0)))</f>
        <v/>
      </c>
    </row>
    <row r="2292" ht="15" customHeight="1">
      <c r="C2292">
        <f>IF($B2292="","",INT($B2292))</f>
        <v/>
      </c>
      <c r="D2292">
        <f>IF($C2292="","",$C2292-WEEKDAY($C2292,2)+1)</f>
        <v/>
      </c>
      <c r="E2292">
        <f>IF($C2292="","",DATE(YEAR($C2292),MONTH($C2292),1))</f>
        <v/>
      </c>
      <c r="F2292">
        <f>IF($C2292="","",YEAR($C2292)&amp;"-Q"&amp;ROUNDUP(MONTH($C2292)/3,0))</f>
        <v/>
      </c>
      <c r="L2292">
        <f>IF($G2292&lt;&gt;"ALCOHOL","",IF($K2292="","",$H2292*IFERROR(VLOOKUP($K2292,Drink_Templates!$A:$G,7,FALSE),0)))</f>
        <v/>
      </c>
    </row>
    <row r="2293" ht="15" customHeight="1">
      <c r="C2293">
        <f>IF($B2293="","",INT($B2293))</f>
        <v/>
      </c>
      <c r="D2293">
        <f>IF($C2293="","",$C2293-WEEKDAY($C2293,2)+1)</f>
        <v/>
      </c>
      <c r="E2293">
        <f>IF($C2293="","",DATE(YEAR($C2293),MONTH($C2293),1))</f>
        <v/>
      </c>
      <c r="F2293">
        <f>IF($C2293="","",YEAR($C2293)&amp;"-Q"&amp;ROUNDUP(MONTH($C2293)/3,0))</f>
        <v/>
      </c>
      <c r="L2293">
        <f>IF($G2293&lt;&gt;"ALCOHOL","",IF($K2293="","",$H2293*IFERROR(VLOOKUP($K2293,Drink_Templates!$A:$G,7,FALSE),0)))</f>
        <v/>
      </c>
    </row>
    <row r="2294" ht="15" customHeight="1">
      <c r="C2294">
        <f>IF($B2294="","",INT($B2294))</f>
        <v/>
      </c>
      <c r="D2294">
        <f>IF($C2294="","",$C2294-WEEKDAY($C2294,2)+1)</f>
        <v/>
      </c>
      <c r="E2294">
        <f>IF($C2294="","",DATE(YEAR($C2294),MONTH($C2294),1))</f>
        <v/>
      </c>
      <c r="F2294">
        <f>IF($C2294="","",YEAR($C2294)&amp;"-Q"&amp;ROUNDUP(MONTH($C2294)/3,0))</f>
        <v/>
      </c>
      <c r="L2294">
        <f>IF($G2294&lt;&gt;"ALCOHOL","",IF($K2294="","",$H2294*IFERROR(VLOOKUP($K2294,Drink_Templates!$A:$G,7,FALSE),0)))</f>
        <v/>
      </c>
    </row>
    <row r="2295" ht="15" customHeight="1">
      <c r="C2295">
        <f>IF($B2295="","",INT($B2295))</f>
        <v/>
      </c>
      <c r="D2295">
        <f>IF($C2295="","",$C2295-WEEKDAY($C2295,2)+1)</f>
        <v/>
      </c>
      <c r="E2295">
        <f>IF($C2295="","",DATE(YEAR($C2295),MONTH($C2295),1))</f>
        <v/>
      </c>
      <c r="F2295">
        <f>IF($C2295="","",YEAR($C2295)&amp;"-Q"&amp;ROUNDUP(MONTH($C2295)/3,0))</f>
        <v/>
      </c>
      <c r="L2295">
        <f>IF($G2295&lt;&gt;"ALCOHOL","",IF($K2295="","",$H2295*IFERROR(VLOOKUP($K2295,Drink_Templates!$A:$G,7,FALSE),0)))</f>
        <v/>
      </c>
    </row>
    <row r="2296" ht="15" customHeight="1">
      <c r="C2296">
        <f>IF($B2296="","",INT($B2296))</f>
        <v/>
      </c>
      <c r="D2296">
        <f>IF($C2296="","",$C2296-WEEKDAY($C2296,2)+1)</f>
        <v/>
      </c>
      <c r="E2296">
        <f>IF($C2296="","",DATE(YEAR($C2296),MONTH($C2296),1))</f>
        <v/>
      </c>
      <c r="F2296">
        <f>IF($C2296="","",YEAR($C2296)&amp;"-Q"&amp;ROUNDUP(MONTH($C2296)/3,0))</f>
        <v/>
      </c>
      <c r="L2296">
        <f>IF($G2296&lt;&gt;"ALCOHOL","",IF($K2296="","",$H2296*IFERROR(VLOOKUP($K2296,Drink_Templates!$A:$G,7,FALSE),0)))</f>
        <v/>
      </c>
    </row>
    <row r="2297" ht="15" customHeight="1">
      <c r="C2297">
        <f>IF($B2297="","",INT($B2297))</f>
        <v/>
      </c>
      <c r="D2297">
        <f>IF($C2297="","",$C2297-WEEKDAY($C2297,2)+1)</f>
        <v/>
      </c>
      <c r="E2297">
        <f>IF($C2297="","",DATE(YEAR($C2297),MONTH($C2297),1))</f>
        <v/>
      </c>
      <c r="F2297">
        <f>IF($C2297="","",YEAR($C2297)&amp;"-Q"&amp;ROUNDUP(MONTH($C2297)/3,0))</f>
        <v/>
      </c>
      <c r="L2297">
        <f>IF($G2297&lt;&gt;"ALCOHOL","",IF($K2297="","",$H2297*IFERROR(VLOOKUP($K2297,Drink_Templates!$A:$G,7,FALSE),0)))</f>
        <v/>
      </c>
    </row>
    <row r="2298" ht="15" customHeight="1">
      <c r="C2298">
        <f>IF($B2298="","",INT($B2298))</f>
        <v/>
      </c>
      <c r="D2298">
        <f>IF($C2298="","",$C2298-WEEKDAY($C2298,2)+1)</f>
        <v/>
      </c>
      <c r="E2298">
        <f>IF($C2298="","",DATE(YEAR($C2298),MONTH($C2298),1))</f>
        <v/>
      </c>
      <c r="F2298">
        <f>IF($C2298="","",YEAR($C2298)&amp;"-Q"&amp;ROUNDUP(MONTH($C2298)/3,0))</f>
        <v/>
      </c>
      <c r="L2298">
        <f>IF($G2298&lt;&gt;"ALCOHOL","",IF($K2298="","",$H2298*IFERROR(VLOOKUP($K2298,Drink_Templates!$A:$G,7,FALSE),0)))</f>
        <v/>
      </c>
    </row>
    <row r="2299" ht="15" customHeight="1">
      <c r="C2299">
        <f>IF($B2299="","",INT($B2299))</f>
        <v/>
      </c>
      <c r="D2299">
        <f>IF($C2299="","",$C2299-WEEKDAY($C2299,2)+1)</f>
        <v/>
      </c>
      <c r="E2299">
        <f>IF($C2299="","",DATE(YEAR($C2299),MONTH($C2299),1))</f>
        <v/>
      </c>
      <c r="F2299">
        <f>IF($C2299="","",YEAR($C2299)&amp;"-Q"&amp;ROUNDUP(MONTH($C2299)/3,0))</f>
        <v/>
      </c>
      <c r="L2299">
        <f>IF($G2299&lt;&gt;"ALCOHOL","",IF($K2299="","",$H2299*IFERROR(VLOOKUP($K2299,Drink_Templates!$A:$G,7,FALSE),0)))</f>
        <v/>
      </c>
    </row>
    <row r="2300" ht="15" customHeight="1">
      <c r="C2300">
        <f>IF($B2300="","",INT($B2300))</f>
        <v/>
      </c>
      <c r="D2300">
        <f>IF($C2300="","",$C2300-WEEKDAY($C2300,2)+1)</f>
        <v/>
      </c>
      <c r="E2300">
        <f>IF($C2300="","",DATE(YEAR($C2300),MONTH($C2300),1))</f>
        <v/>
      </c>
      <c r="F2300">
        <f>IF($C2300="","",YEAR($C2300)&amp;"-Q"&amp;ROUNDUP(MONTH($C2300)/3,0))</f>
        <v/>
      </c>
      <c r="L2300">
        <f>IF($G2300&lt;&gt;"ALCOHOL","",IF($K2300="","",$H2300*IFERROR(VLOOKUP($K2300,Drink_Templates!$A:$G,7,FALSE),0)))</f>
        <v/>
      </c>
    </row>
    <row r="2301" ht="15" customHeight="1">
      <c r="C2301">
        <f>IF($B2301="","",INT($B2301))</f>
        <v/>
      </c>
      <c r="D2301">
        <f>IF($C2301="","",$C2301-WEEKDAY($C2301,2)+1)</f>
        <v/>
      </c>
      <c r="E2301">
        <f>IF($C2301="","",DATE(YEAR($C2301),MONTH($C2301),1))</f>
        <v/>
      </c>
      <c r="F2301">
        <f>IF($C2301="","",YEAR($C2301)&amp;"-Q"&amp;ROUNDUP(MONTH($C2301)/3,0))</f>
        <v/>
      </c>
      <c r="L2301">
        <f>IF($G2301&lt;&gt;"ALCOHOL","",IF($K2301="","",$H2301*IFERROR(VLOOKUP($K2301,Drink_Templates!$A:$G,7,FALSE),0)))</f>
        <v/>
      </c>
    </row>
    <row r="2302" ht="15" customHeight="1">
      <c r="C2302">
        <f>IF($B2302="","",INT($B2302))</f>
        <v/>
      </c>
      <c r="D2302">
        <f>IF($C2302="","",$C2302-WEEKDAY($C2302,2)+1)</f>
        <v/>
      </c>
      <c r="E2302">
        <f>IF($C2302="","",DATE(YEAR($C2302),MONTH($C2302),1))</f>
        <v/>
      </c>
      <c r="F2302">
        <f>IF($C2302="","",YEAR($C2302)&amp;"-Q"&amp;ROUNDUP(MONTH($C2302)/3,0))</f>
        <v/>
      </c>
      <c r="L2302">
        <f>IF($G2302&lt;&gt;"ALCOHOL","",IF($K2302="","",$H2302*IFERROR(VLOOKUP($K2302,Drink_Templates!$A:$G,7,FALSE),0)))</f>
        <v/>
      </c>
    </row>
    <row r="2303" ht="15" customHeight="1">
      <c r="C2303">
        <f>IF($B2303="","",INT($B2303))</f>
        <v/>
      </c>
      <c r="D2303">
        <f>IF($C2303="","",$C2303-WEEKDAY($C2303,2)+1)</f>
        <v/>
      </c>
      <c r="E2303">
        <f>IF($C2303="","",DATE(YEAR($C2303),MONTH($C2303),1))</f>
        <v/>
      </c>
      <c r="F2303">
        <f>IF($C2303="","",YEAR($C2303)&amp;"-Q"&amp;ROUNDUP(MONTH($C2303)/3,0))</f>
        <v/>
      </c>
      <c r="L2303">
        <f>IF($G2303&lt;&gt;"ALCOHOL","",IF($K2303="","",$H2303*IFERROR(VLOOKUP($K2303,Drink_Templates!$A:$G,7,FALSE),0)))</f>
        <v/>
      </c>
    </row>
    <row r="2304" ht="15" customHeight="1">
      <c r="C2304">
        <f>IF($B2304="","",INT($B2304))</f>
        <v/>
      </c>
      <c r="D2304">
        <f>IF($C2304="","",$C2304-WEEKDAY($C2304,2)+1)</f>
        <v/>
      </c>
      <c r="E2304">
        <f>IF($C2304="","",DATE(YEAR($C2304),MONTH($C2304),1))</f>
        <v/>
      </c>
      <c r="F2304">
        <f>IF($C2304="","",YEAR($C2304)&amp;"-Q"&amp;ROUNDUP(MONTH($C2304)/3,0))</f>
        <v/>
      </c>
      <c r="L2304">
        <f>IF($G2304&lt;&gt;"ALCOHOL","",IF($K2304="","",$H2304*IFERROR(VLOOKUP($K2304,Drink_Templates!$A:$G,7,FALSE),0)))</f>
        <v/>
      </c>
    </row>
    <row r="2305" ht="15" customHeight="1">
      <c r="C2305">
        <f>IF($B2305="","",INT($B2305))</f>
        <v/>
      </c>
      <c r="D2305">
        <f>IF($C2305="","",$C2305-WEEKDAY($C2305,2)+1)</f>
        <v/>
      </c>
      <c r="E2305">
        <f>IF($C2305="","",DATE(YEAR($C2305),MONTH($C2305),1))</f>
        <v/>
      </c>
      <c r="F2305">
        <f>IF($C2305="","",YEAR($C2305)&amp;"-Q"&amp;ROUNDUP(MONTH($C2305)/3,0))</f>
        <v/>
      </c>
      <c r="L2305">
        <f>IF($G2305&lt;&gt;"ALCOHOL","",IF($K2305="","",$H2305*IFERROR(VLOOKUP($K2305,Drink_Templates!$A:$G,7,FALSE),0)))</f>
        <v/>
      </c>
    </row>
    <row r="2306" ht="15" customHeight="1">
      <c r="C2306">
        <f>IF($B2306="","",INT($B2306))</f>
        <v/>
      </c>
      <c r="D2306">
        <f>IF($C2306="","",$C2306-WEEKDAY($C2306,2)+1)</f>
        <v/>
      </c>
      <c r="E2306">
        <f>IF($C2306="","",DATE(YEAR($C2306),MONTH($C2306),1))</f>
        <v/>
      </c>
      <c r="F2306">
        <f>IF($C2306="","",YEAR($C2306)&amp;"-Q"&amp;ROUNDUP(MONTH($C2306)/3,0))</f>
        <v/>
      </c>
      <c r="L2306">
        <f>IF($G2306&lt;&gt;"ALCOHOL","",IF($K2306="","",$H2306*IFERROR(VLOOKUP($K2306,Drink_Templates!$A:$G,7,FALSE),0)))</f>
        <v/>
      </c>
    </row>
    <row r="2307" ht="15" customHeight="1">
      <c r="C2307">
        <f>IF($B2307="","",INT($B2307))</f>
        <v/>
      </c>
      <c r="D2307">
        <f>IF($C2307="","",$C2307-WEEKDAY($C2307,2)+1)</f>
        <v/>
      </c>
      <c r="E2307">
        <f>IF($C2307="","",DATE(YEAR($C2307),MONTH($C2307),1))</f>
        <v/>
      </c>
      <c r="F2307">
        <f>IF($C2307="","",YEAR($C2307)&amp;"-Q"&amp;ROUNDUP(MONTH($C2307)/3,0))</f>
        <v/>
      </c>
      <c r="L2307">
        <f>IF($G2307&lt;&gt;"ALCOHOL","",IF($K2307="","",$H2307*IFERROR(VLOOKUP($K2307,Drink_Templates!$A:$G,7,FALSE),0)))</f>
        <v/>
      </c>
    </row>
    <row r="2308" ht="15" customHeight="1">
      <c r="C2308">
        <f>IF($B2308="","",INT($B2308))</f>
        <v/>
      </c>
      <c r="D2308">
        <f>IF($C2308="","",$C2308-WEEKDAY($C2308,2)+1)</f>
        <v/>
      </c>
      <c r="E2308">
        <f>IF($C2308="","",DATE(YEAR($C2308),MONTH($C2308),1))</f>
        <v/>
      </c>
      <c r="F2308">
        <f>IF($C2308="","",YEAR($C2308)&amp;"-Q"&amp;ROUNDUP(MONTH($C2308)/3,0))</f>
        <v/>
      </c>
      <c r="L2308">
        <f>IF($G2308&lt;&gt;"ALCOHOL","",IF($K2308="","",$H2308*IFERROR(VLOOKUP($K2308,Drink_Templates!$A:$G,7,FALSE),0)))</f>
        <v/>
      </c>
    </row>
    <row r="2309" ht="15" customHeight="1">
      <c r="C2309">
        <f>IF($B2309="","",INT($B2309))</f>
        <v/>
      </c>
      <c r="D2309">
        <f>IF($C2309="","",$C2309-WEEKDAY($C2309,2)+1)</f>
        <v/>
      </c>
      <c r="E2309">
        <f>IF($C2309="","",DATE(YEAR($C2309),MONTH($C2309),1))</f>
        <v/>
      </c>
      <c r="F2309">
        <f>IF($C2309="","",YEAR($C2309)&amp;"-Q"&amp;ROUNDUP(MONTH($C2309)/3,0))</f>
        <v/>
      </c>
      <c r="L2309">
        <f>IF($G2309&lt;&gt;"ALCOHOL","",IF($K2309="","",$H2309*IFERROR(VLOOKUP($K2309,Drink_Templates!$A:$G,7,FALSE),0)))</f>
        <v/>
      </c>
    </row>
    <row r="2310" ht="15" customHeight="1">
      <c r="C2310">
        <f>IF($B2310="","",INT($B2310))</f>
        <v/>
      </c>
      <c r="D2310">
        <f>IF($C2310="","",$C2310-WEEKDAY($C2310,2)+1)</f>
        <v/>
      </c>
      <c r="E2310">
        <f>IF($C2310="","",DATE(YEAR($C2310),MONTH($C2310),1))</f>
        <v/>
      </c>
      <c r="F2310">
        <f>IF($C2310="","",YEAR($C2310)&amp;"-Q"&amp;ROUNDUP(MONTH($C2310)/3,0))</f>
        <v/>
      </c>
      <c r="L2310">
        <f>IF($G2310&lt;&gt;"ALCOHOL","",IF($K2310="","",$H2310*IFERROR(VLOOKUP($K2310,Drink_Templates!$A:$G,7,FALSE),0)))</f>
        <v/>
      </c>
    </row>
    <row r="2311" ht="15" customHeight="1">
      <c r="C2311">
        <f>IF($B2311="","",INT($B2311))</f>
        <v/>
      </c>
      <c r="D2311">
        <f>IF($C2311="","",$C2311-WEEKDAY($C2311,2)+1)</f>
        <v/>
      </c>
      <c r="E2311">
        <f>IF($C2311="","",DATE(YEAR($C2311),MONTH($C2311),1))</f>
        <v/>
      </c>
      <c r="F2311">
        <f>IF($C2311="","",YEAR($C2311)&amp;"-Q"&amp;ROUNDUP(MONTH($C2311)/3,0))</f>
        <v/>
      </c>
      <c r="L2311">
        <f>IF($G2311&lt;&gt;"ALCOHOL","",IF($K2311="","",$H2311*IFERROR(VLOOKUP($K2311,Drink_Templates!$A:$G,7,FALSE),0)))</f>
        <v/>
      </c>
    </row>
    <row r="2312" ht="15" customHeight="1">
      <c r="C2312">
        <f>IF($B2312="","",INT($B2312))</f>
        <v/>
      </c>
      <c r="D2312">
        <f>IF($C2312="","",$C2312-WEEKDAY($C2312,2)+1)</f>
        <v/>
      </c>
      <c r="E2312">
        <f>IF($C2312="","",DATE(YEAR($C2312),MONTH($C2312),1))</f>
        <v/>
      </c>
      <c r="F2312">
        <f>IF($C2312="","",YEAR($C2312)&amp;"-Q"&amp;ROUNDUP(MONTH($C2312)/3,0))</f>
        <v/>
      </c>
      <c r="L2312">
        <f>IF($G2312&lt;&gt;"ALCOHOL","",IF($K2312="","",$H2312*IFERROR(VLOOKUP($K2312,Drink_Templates!$A:$G,7,FALSE),0)))</f>
        <v/>
      </c>
    </row>
    <row r="2313" ht="15" customHeight="1">
      <c r="C2313">
        <f>IF($B2313="","",INT($B2313))</f>
        <v/>
      </c>
      <c r="D2313">
        <f>IF($C2313="","",$C2313-WEEKDAY($C2313,2)+1)</f>
        <v/>
      </c>
      <c r="E2313">
        <f>IF($C2313="","",DATE(YEAR($C2313),MONTH($C2313),1))</f>
        <v/>
      </c>
      <c r="F2313">
        <f>IF($C2313="","",YEAR($C2313)&amp;"-Q"&amp;ROUNDUP(MONTH($C2313)/3,0))</f>
        <v/>
      </c>
      <c r="L2313">
        <f>IF($G2313&lt;&gt;"ALCOHOL","",IF($K2313="","",$H2313*IFERROR(VLOOKUP($K2313,Drink_Templates!$A:$G,7,FALSE),0)))</f>
        <v/>
      </c>
    </row>
    <row r="2314" ht="15" customHeight="1">
      <c r="C2314">
        <f>IF($B2314="","",INT($B2314))</f>
        <v/>
      </c>
      <c r="D2314">
        <f>IF($C2314="","",$C2314-WEEKDAY($C2314,2)+1)</f>
        <v/>
      </c>
      <c r="E2314">
        <f>IF($C2314="","",DATE(YEAR($C2314),MONTH($C2314),1))</f>
        <v/>
      </c>
      <c r="F2314">
        <f>IF($C2314="","",YEAR($C2314)&amp;"-Q"&amp;ROUNDUP(MONTH($C2314)/3,0))</f>
        <v/>
      </c>
      <c r="L2314">
        <f>IF($G2314&lt;&gt;"ALCOHOL","",IF($K2314="","",$H2314*IFERROR(VLOOKUP($K2314,Drink_Templates!$A:$G,7,FALSE),0)))</f>
        <v/>
      </c>
    </row>
    <row r="2315" ht="15" customHeight="1">
      <c r="C2315">
        <f>IF($B2315="","",INT($B2315))</f>
        <v/>
      </c>
      <c r="D2315">
        <f>IF($C2315="","",$C2315-WEEKDAY($C2315,2)+1)</f>
        <v/>
      </c>
      <c r="E2315">
        <f>IF($C2315="","",DATE(YEAR($C2315),MONTH($C2315),1))</f>
        <v/>
      </c>
      <c r="F2315">
        <f>IF($C2315="","",YEAR($C2315)&amp;"-Q"&amp;ROUNDUP(MONTH($C2315)/3,0))</f>
        <v/>
      </c>
      <c r="L2315">
        <f>IF($G2315&lt;&gt;"ALCOHOL","",IF($K2315="","",$H2315*IFERROR(VLOOKUP($K2315,Drink_Templates!$A:$G,7,FALSE),0)))</f>
        <v/>
      </c>
    </row>
    <row r="2316" ht="15" customHeight="1">
      <c r="C2316">
        <f>IF($B2316="","",INT($B2316))</f>
        <v/>
      </c>
      <c r="D2316">
        <f>IF($C2316="","",$C2316-WEEKDAY($C2316,2)+1)</f>
        <v/>
      </c>
      <c r="E2316">
        <f>IF($C2316="","",DATE(YEAR($C2316),MONTH($C2316),1))</f>
        <v/>
      </c>
      <c r="F2316">
        <f>IF($C2316="","",YEAR($C2316)&amp;"-Q"&amp;ROUNDUP(MONTH($C2316)/3,0))</f>
        <v/>
      </c>
      <c r="L2316">
        <f>IF($G2316&lt;&gt;"ALCOHOL","",IF($K2316="","",$H2316*IFERROR(VLOOKUP($K2316,Drink_Templates!$A:$G,7,FALSE),0)))</f>
        <v/>
      </c>
    </row>
    <row r="2317" ht="15" customHeight="1">
      <c r="C2317">
        <f>IF($B2317="","",INT($B2317))</f>
        <v/>
      </c>
      <c r="D2317">
        <f>IF($C2317="","",$C2317-WEEKDAY($C2317,2)+1)</f>
        <v/>
      </c>
      <c r="E2317">
        <f>IF($C2317="","",DATE(YEAR($C2317),MONTH($C2317),1))</f>
        <v/>
      </c>
      <c r="F2317">
        <f>IF($C2317="","",YEAR($C2317)&amp;"-Q"&amp;ROUNDUP(MONTH($C2317)/3,0))</f>
        <v/>
      </c>
      <c r="L2317">
        <f>IF($G2317&lt;&gt;"ALCOHOL","",IF($K2317="","",$H2317*IFERROR(VLOOKUP($K2317,Drink_Templates!$A:$G,7,FALSE),0)))</f>
        <v/>
      </c>
    </row>
    <row r="2318" ht="15" customHeight="1">
      <c r="C2318">
        <f>IF($B2318="","",INT($B2318))</f>
        <v/>
      </c>
      <c r="D2318">
        <f>IF($C2318="","",$C2318-WEEKDAY($C2318,2)+1)</f>
        <v/>
      </c>
      <c r="E2318">
        <f>IF($C2318="","",DATE(YEAR($C2318),MONTH($C2318),1))</f>
        <v/>
      </c>
      <c r="F2318">
        <f>IF($C2318="","",YEAR($C2318)&amp;"-Q"&amp;ROUNDUP(MONTH($C2318)/3,0))</f>
        <v/>
      </c>
      <c r="L2318">
        <f>IF($G2318&lt;&gt;"ALCOHOL","",IF($K2318="","",$H2318*IFERROR(VLOOKUP($K2318,Drink_Templates!$A:$G,7,FALSE),0)))</f>
        <v/>
      </c>
    </row>
    <row r="2319" ht="15" customHeight="1">
      <c r="C2319">
        <f>IF($B2319="","",INT($B2319))</f>
        <v/>
      </c>
      <c r="D2319">
        <f>IF($C2319="","",$C2319-WEEKDAY($C2319,2)+1)</f>
        <v/>
      </c>
      <c r="E2319">
        <f>IF($C2319="","",DATE(YEAR($C2319),MONTH($C2319),1))</f>
        <v/>
      </c>
      <c r="F2319">
        <f>IF($C2319="","",YEAR($C2319)&amp;"-Q"&amp;ROUNDUP(MONTH($C2319)/3,0))</f>
        <v/>
      </c>
      <c r="L2319">
        <f>IF($G2319&lt;&gt;"ALCOHOL","",IF($K2319="","",$H2319*IFERROR(VLOOKUP($K2319,Drink_Templates!$A:$G,7,FALSE),0)))</f>
        <v/>
      </c>
    </row>
    <row r="2320" ht="15" customHeight="1">
      <c r="C2320">
        <f>IF($B2320="","",INT($B2320))</f>
        <v/>
      </c>
      <c r="D2320">
        <f>IF($C2320="","",$C2320-WEEKDAY($C2320,2)+1)</f>
        <v/>
      </c>
      <c r="E2320">
        <f>IF($C2320="","",DATE(YEAR($C2320),MONTH($C2320),1))</f>
        <v/>
      </c>
      <c r="F2320">
        <f>IF($C2320="","",YEAR($C2320)&amp;"-Q"&amp;ROUNDUP(MONTH($C2320)/3,0))</f>
        <v/>
      </c>
      <c r="L2320">
        <f>IF($G2320&lt;&gt;"ALCOHOL","",IF($K2320="","",$H2320*IFERROR(VLOOKUP($K2320,Drink_Templates!$A:$G,7,FALSE),0)))</f>
        <v/>
      </c>
    </row>
    <row r="2321" ht="15" customHeight="1">
      <c r="C2321">
        <f>IF($B2321="","",INT($B2321))</f>
        <v/>
      </c>
      <c r="D2321">
        <f>IF($C2321="","",$C2321-WEEKDAY($C2321,2)+1)</f>
        <v/>
      </c>
      <c r="E2321">
        <f>IF($C2321="","",DATE(YEAR($C2321),MONTH($C2321),1))</f>
        <v/>
      </c>
      <c r="F2321">
        <f>IF($C2321="","",YEAR($C2321)&amp;"-Q"&amp;ROUNDUP(MONTH($C2321)/3,0))</f>
        <v/>
      </c>
      <c r="L2321">
        <f>IF($G2321&lt;&gt;"ALCOHOL","",IF($K2321="","",$H2321*IFERROR(VLOOKUP($K2321,Drink_Templates!$A:$G,7,FALSE),0)))</f>
        <v/>
      </c>
    </row>
    <row r="2322" ht="15" customHeight="1">
      <c r="C2322">
        <f>IF($B2322="","",INT($B2322))</f>
        <v/>
      </c>
      <c r="D2322">
        <f>IF($C2322="","",$C2322-WEEKDAY($C2322,2)+1)</f>
        <v/>
      </c>
      <c r="E2322">
        <f>IF($C2322="","",DATE(YEAR($C2322),MONTH($C2322),1))</f>
        <v/>
      </c>
      <c r="F2322">
        <f>IF($C2322="","",YEAR($C2322)&amp;"-Q"&amp;ROUNDUP(MONTH($C2322)/3,0))</f>
        <v/>
      </c>
      <c r="L2322">
        <f>IF($G2322&lt;&gt;"ALCOHOL","",IF($K2322="","",$H2322*IFERROR(VLOOKUP($K2322,Drink_Templates!$A:$G,7,FALSE),0)))</f>
        <v/>
      </c>
    </row>
    <row r="2323" ht="15" customHeight="1">
      <c r="C2323">
        <f>IF($B2323="","",INT($B2323))</f>
        <v/>
      </c>
      <c r="D2323">
        <f>IF($C2323="","",$C2323-WEEKDAY($C2323,2)+1)</f>
        <v/>
      </c>
      <c r="E2323">
        <f>IF($C2323="","",DATE(YEAR($C2323),MONTH($C2323),1))</f>
        <v/>
      </c>
      <c r="F2323">
        <f>IF($C2323="","",YEAR($C2323)&amp;"-Q"&amp;ROUNDUP(MONTH($C2323)/3,0))</f>
        <v/>
      </c>
      <c r="L2323">
        <f>IF($G2323&lt;&gt;"ALCOHOL","",IF($K2323="","",$H2323*IFERROR(VLOOKUP($K2323,Drink_Templates!$A:$G,7,FALSE),0)))</f>
        <v/>
      </c>
    </row>
    <row r="2324" ht="15" customHeight="1">
      <c r="C2324">
        <f>IF($B2324="","",INT($B2324))</f>
        <v/>
      </c>
      <c r="D2324">
        <f>IF($C2324="","",$C2324-WEEKDAY($C2324,2)+1)</f>
        <v/>
      </c>
      <c r="E2324">
        <f>IF($C2324="","",DATE(YEAR($C2324),MONTH($C2324),1))</f>
        <v/>
      </c>
      <c r="F2324">
        <f>IF($C2324="","",YEAR($C2324)&amp;"-Q"&amp;ROUNDUP(MONTH($C2324)/3,0))</f>
        <v/>
      </c>
      <c r="L2324">
        <f>IF($G2324&lt;&gt;"ALCOHOL","",IF($K2324="","",$H2324*IFERROR(VLOOKUP($K2324,Drink_Templates!$A:$G,7,FALSE),0)))</f>
        <v/>
      </c>
    </row>
    <row r="2325" ht="15" customHeight="1">
      <c r="C2325">
        <f>IF($B2325="","",INT($B2325))</f>
        <v/>
      </c>
      <c r="D2325">
        <f>IF($C2325="","",$C2325-WEEKDAY($C2325,2)+1)</f>
        <v/>
      </c>
      <c r="E2325">
        <f>IF($C2325="","",DATE(YEAR($C2325),MONTH($C2325),1))</f>
        <v/>
      </c>
      <c r="F2325">
        <f>IF($C2325="","",YEAR($C2325)&amp;"-Q"&amp;ROUNDUP(MONTH($C2325)/3,0))</f>
        <v/>
      </c>
      <c r="L2325">
        <f>IF($G2325&lt;&gt;"ALCOHOL","",IF($K2325="","",$H2325*IFERROR(VLOOKUP($K2325,Drink_Templates!$A:$G,7,FALSE),0)))</f>
        <v/>
      </c>
    </row>
    <row r="2326" ht="15" customHeight="1">
      <c r="C2326">
        <f>IF($B2326="","",INT($B2326))</f>
        <v/>
      </c>
      <c r="D2326">
        <f>IF($C2326="","",$C2326-WEEKDAY($C2326,2)+1)</f>
        <v/>
      </c>
      <c r="E2326">
        <f>IF($C2326="","",DATE(YEAR($C2326),MONTH($C2326),1))</f>
        <v/>
      </c>
      <c r="F2326">
        <f>IF($C2326="","",YEAR($C2326)&amp;"-Q"&amp;ROUNDUP(MONTH($C2326)/3,0))</f>
        <v/>
      </c>
      <c r="L2326">
        <f>IF($G2326&lt;&gt;"ALCOHOL","",IF($K2326="","",$H2326*IFERROR(VLOOKUP($K2326,Drink_Templates!$A:$G,7,FALSE),0)))</f>
        <v/>
      </c>
    </row>
    <row r="2327" ht="15" customHeight="1">
      <c r="C2327">
        <f>IF($B2327="","",INT($B2327))</f>
        <v/>
      </c>
      <c r="D2327">
        <f>IF($C2327="","",$C2327-WEEKDAY($C2327,2)+1)</f>
        <v/>
      </c>
      <c r="E2327">
        <f>IF($C2327="","",DATE(YEAR($C2327),MONTH($C2327),1))</f>
        <v/>
      </c>
      <c r="F2327">
        <f>IF($C2327="","",YEAR($C2327)&amp;"-Q"&amp;ROUNDUP(MONTH($C2327)/3,0))</f>
        <v/>
      </c>
      <c r="L2327">
        <f>IF($G2327&lt;&gt;"ALCOHOL","",IF($K2327="","",$H2327*IFERROR(VLOOKUP($K2327,Drink_Templates!$A:$G,7,FALSE),0)))</f>
        <v/>
      </c>
    </row>
    <row r="2328" ht="15" customHeight="1">
      <c r="C2328">
        <f>IF($B2328="","",INT($B2328))</f>
        <v/>
      </c>
      <c r="D2328">
        <f>IF($C2328="","",$C2328-WEEKDAY($C2328,2)+1)</f>
        <v/>
      </c>
      <c r="E2328">
        <f>IF($C2328="","",DATE(YEAR($C2328),MONTH($C2328),1))</f>
        <v/>
      </c>
      <c r="F2328">
        <f>IF($C2328="","",YEAR($C2328)&amp;"-Q"&amp;ROUNDUP(MONTH($C2328)/3,0))</f>
        <v/>
      </c>
      <c r="L2328">
        <f>IF($G2328&lt;&gt;"ALCOHOL","",IF($K2328="","",$H2328*IFERROR(VLOOKUP($K2328,Drink_Templates!$A:$G,7,FALSE),0)))</f>
        <v/>
      </c>
    </row>
    <row r="2329" ht="15" customHeight="1">
      <c r="C2329">
        <f>IF($B2329="","",INT($B2329))</f>
        <v/>
      </c>
      <c r="D2329">
        <f>IF($C2329="","",$C2329-WEEKDAY($C2329,2)+1)</f>
        <v/>
      </c>
      <c r="E2329">
        <f>IF($C2329="","",DATE(YEAR($C2329),MONTH($C2329),1))</f>
        <v/>
      </c>
      <c r="F2329">
        <f>IF($C2329="","",YEAR($C2329)&amp;"-Q"&amp;ROUNDUP(MONTH($C2329)/3,0))</f>
        <v/>
      </c>
      <c r="L2329">
        <f>IF($G2329&lt;&gt;"ALCOHOL","",IF($K2329="","",$H2329*IFERROR(VLOOKUP($K2329,Drink_Templates!$A:$G,7,FALSE),0)))</f>
        <v/>
      </c>
    </row>
    <row r="2330" ht="15" customHeight="1">
      <c r="C2330">
        <f>IF($B2330="","",INT($B2330))</f>
        <v/>
      </c>
      <c r="D2330">
        <f>IF($C2330="","",$C2330-WEEKDAY($C2330,2)+1)</f>
        <v/>
      </c>
      <c r="E2330">
        <f>IF($C2330="","",DATE(YEAR($C2330),MONTH($C2330),1))</f>
        <v/>
      </c>
      <c r="F2330">
        <f>IF($C2330="","",YEAR($C2330)&amp;"-Q"&amp;ROUNDUP(MONTH($C2330)/3,0))</f>
        <v/>
      </c>
      <c r="L2330">
        <f>IF($G2330&lt;&gt;"ALCOHOL","",IF($K2330="","",$H2330*IFERROR(VLOOKUP($K2330,Drink_Templates!$A:$G,7,FALSE),0)))</f>
        <v/>
      </c>
    </row>
    <row r="2331" ht="15" customHeight="1">
      <c r="C2331">
        <f>IF($B2331="","",INT($B2331))</f>
        <v/>
      </c>
      <c r="D2331">
        <f>IF($C2331="","",$C2331-WEEKDAY($C2331,2)+1)</f>
        <v/>
      </c>
      <c r="E2331">
        <f>IF($C2331="","",DATE(YEAR($C2331),MONTH($C2331),1))</f>
        <v/>
      </c>
      <c r="F2331">
        <f>IF($C2331="","",YEAR($C2331)&amp;"-Q"&amp;ROUNDUP(MONTH($C2331)/3,0))</f>
        <v/>
      </c>
      <c r="L2331">
        <f>IF($G2331&lt;&gt;"ALCOHOL","",IF($K2331="","",$H2331*IFERROR(VLOOKUP($K2331,Drink_Templates!$A:$G,7,FALSE),0)))</f>
        <v/>
      </c>
    </row>
    <row r="2332" ht="15" customHeight="1">
      <c r="C2332">
        <f>IF($B2332="","",INT($B2332))</f>
        <v/>
      </c>
      <c r="D2332">
        <f>IF($C2332="","",$C2332-WEEKDAY($C2332,2)+1)</f>
        <v/>
      </c>
      <c r="E2332">
        <f>IF($C2332="","",DATE(YEAR($C2332),MONTH($C2332),1))</f>
        <v/>
      </c>
      <c r="F2332">
        <f>IF($C2332="","",YEAR($C2332)&amp;"-Q"&amp;ROUNDUP(MONTH($C2332)/3,0))</f>
        <v/>
      </c>
      <c r="L2332">
        <f>IF($G2332&lt;&gt;"ALCOHOL","",IF($K2332="","",$H2332*IFERROR(VLOOKUP($K2332,Drink_Templates!$A:$G,7,FALSE),0)))</f>
        <v/>
      </c>
    </row>
    <row r="2333" ht="15" customHeight="1">
      <c r="C2333">
        <f>IF($B2333="","",INT($B2333))</f>
        <v/>
      </c>
      <c r="D2333">
        <f>IF($C2333="","",$C2333-WEEKDAY($C2333,2)+1)</f>
        <v/>
      </c>
      <c r="E2333">
        <f>IF($C2333="","",DATE(YEAR($C2333),MONTH($C2333),1))</f>
        <v/>
      </c>
      <c r="F2333">
        <f>IF($C2333="","",YEAR($C2333)&amp;"-Q"&amp;ROUNDUP(MONTH($C2333)/3,0))</f>
        <v/>
      </c>
      <c r="L2333">
        <f>IF($G2333&lt;&gt;"ALCOHOL","",IF($K2333="","",$H2333*IFERROR(VLOOKUP($K2333,Drink_Templates!$A:$G,7,FALSE),0)))</f>
        <v/>
      </c>
    </row>
    <row r="2334" ht="15" customHeight="1">
      <c r="C2334">
        <f>IF($B2334="","",INT($B2334))</f>
        <v/>
      </c>
      <c r="D2334">
        <f>IF($C2334="","",$C2334-WEEKDAY($C2334,2)+1)</f>
        <v/>
      </c>
      <c r="E2334">
        <f>IF($C2334="","",DATE(YEAR($C2334),MONTH($C2334),1))</f>
        <v/>
      </c>
      <c r="F2334">
        <f>IF($C2334="","",YEAR($C2334)&amp;"-Q"&amp;ROUNDUP(MONTH($C2334)/3,0))</f>
        <v/>
      </c>
      <c r="L2334">
        <f>IF($G2334&lt;&gt;"ALCOHOL","",IF($K2334="","",$H2334*IFERROR(VLOOKUP($K2334,Drink_Templates!$A:$G,7,FALSE),0)))</f>
        <v/>
      </c>
    </row>
    <row r="2335" ht="15" customHeight="1">
      <c r="C2335">
        <f>IF($B2335="","",INT($B2335))</f>
        <v/>
      </c>
      <c r="D2335">
        <f>IF($C2335="","",$C2335-WEEKDAY($C2335,2)+1)</f>
        <v/>
      </c>
      <c r="E2335">
        <f>IF($C2335="","",DATE(YEAR($C2335),MONTH($C2335),1))</f>
        <v/>
      </c>
      <c r="F2335">
        <f>IF($C2335="","",YEAR($C2335)&amp;"-Q"&amp;ROUNDUP(MONTH($C2335)/3,0))</f>
        <v/>
      </c>
      <c r="L2335">
        <f>IF($G2335&lt;&gt;"ALCOHOL","",IF($K2335="","",$H2335*IFERROR(VLOOKUP($K2335,Drink_Templates!$A:$G,7,FALSE),0)))</f>
        <v/>
      </c>
    </row>
    <row r="2336" ht="15" customHeight="1">
      <c r="C2336">
        <f>IF($B2336="","",INT($B2336))</f>
        <v/>
      </c>
      <c r="D2336">
        <f>IF($C2336="","",$C2336-WEEKDAY($C2336,2)+1)</f>
        <v/>
      </c>
      <c r="E2336">
        <f>IF($C2336="","",DATE(YEAR($C2336),MONTH($C2336),1))</f>
        <v/>
      </c>
      <c r="F2336">
        <f>IF($C2336="","",YEAR($C2336)&amp;"-Q"&amp;ROUNDUP(MONTH($C2336)/3,0))</f>
        <v/>
      </c>
      <c r="L2336">
        <f>IF($G2336&lt;&gt;"ALCOHOL","",IF($K2336="","",$H2336*IFERROR(VLOOKUP($K2336,Drink_Templates!$A:$G,7,FALSE),0)))</f>
        <v/>
      </c>
    </row>
    <row r="2337" ht="15" customHeight="1">
      <c r="C2337">
        <f>IF($B2337="","",INT($B2337))</f>
        <v/>
      </c>
      <c r="D2337">
        <f>IF($C2337="","",$C2337-WEEKDAY($C2337,2)+1)</f>
        <v/>
      </c>
      <c r="E2337">
        <f>IF($C2337="","",DATE(YEAR($C2337),MONTH($C2337),1))</f>
        <v/>
      </c>
      <c r="F2337">
        <f>IF($C2337="","",YEAR($C2337)&amp;"-Q"&amp;ROUNDUP(MONTH($C2337)/3,0))</f>
        <v/>
      </c>
      <c r="L2337">
        <f>IF($G2337&lt;&gt;"ALCOHOL","",IF($K2337="","",$H2337*IFERROR(VLOOKUP($K2337,Drink_Templates!$A:$G,7,FALSE),0)))</f>
        <v/>
      </c>
    </row>
    <row r="2338" ht="15" customHeight="1">
      <c r="C2338">
        <f>IF($B2338="","",INT($B2338))</f>
        <v/>
      </c>
      <c r="D2338">
        <f>IF($C2338="","",$C2338-WEEKDAY($C2338,2)+1)</f>
        <v/>
      </c>
      <c r="E2338">
        <f>IF($C2338="","",DATE(YEAR($C2338),MONTH($C2338),1))</f>
        <v/>
      </c>
      <c r="F2338">
        <f>IF($C2338="","",YEAR($C2338)&amp;"-Q"&amp;ROUNDUP(MONTH($C2338)/3,0))</f>
        <v/>
      </c>
      <c r="L2338">
        <f>IF($G2338&lt;&gt;"ALCOHOL","",IF($K2338="","",$H2338*IFERROR(VLOOKUP($K2338,Drink_Templates!$A:$G,7,FALSE),0)))</f>
        <v/>
      </c>
    </row>
    <row r="2339" ht="15" customHeight="1">
      <c r="C2339">
        <f>IF($B2339="","",INT($B2339))</f>
        <v/>
      </c>
      <c r="D2339">
        <f>IF($C2339="","",$C2339-WEEKDAY($C2339,2)+1)</f>
        <v/>
      </c>
      <c r="E2339">
        <f>IF($C2339="","",DATE(YEAR($C2339),MONTH($C2339),1))</f>
        <v/>
      </c>
      <c r="F2339">
        <f>IF($C2339="","",YEAR($C2339)&amp;"-Q"&amp;ROUNDUP(MONTH($C2339)/3,0))</f>
        <v/>
      </c>
      <c r="L2339">
        <f>IF($G2339&lt;&gt;"ALCOHOL","",IF($K2339="","",$H2339*IFERROR(VLOOKUP($K2339,Drink_Templates!$A:$G,7,FALSE),0)))</f>
        <v/>
      </c>
    </row>
    <row r="2340" ht="15" customHeight="1">
      <c r="C2340">
        <f>IF($B2340="","",INT($B2340))</f>
        <v/>
      </c>
      <c r="D2340">
        <f>IF($C2340="","",$C2340-WEEKDAY($C2340,2)+1)</f>
        <v/>
      </c>
      <c r="E2340">
        <f>IF($C2340="","",DATE(YEAR($C2340),MONTH($C2340),1))</f>
        <v/>
      </c>
      <c r="F2340">
        <f>IF($C2340="","",YEAR($C2340)&amp;"-Q"&amp;ROUNDUP(MONTH($C2340)/3,0))</f>
        <v/>
      </c>
      <c r="L2340">
        <f>IF($G2340&lt;&gt;"ALCOHOL","",IF($K2340="","",$H2340*IFERROR(VLOOKUP($K2340,Drink_Templates!$A:$G,7,FALSE),0)))</f>
        <v/>
      </c>
    </row>
    <row r="2341" ht="15" customHeight="1">
      <c r="C2341">
        <f>IF($B2341="","",INT($B2341))</f>
        <v/>
      </c>
      <c r="D2341">
        <f>IF($C2341="","",$C2341-WEEKDAY($C2341,2)+1)</f>
        <v/>
      </c>
      <c r="E2341">
        <f>IF($C2341="","",DATE(YEAR($C2341),MONTH($C2341),1))</f>
        <v/>
      </c>
      <c r="F2341">
        <f>IF($C2341="","",YEAR($C2341)&amp;"-Q"&amp;ROUNDUP(MONTH($C2341)/3,0))</f>
        <v/>
      </c>
      <c r="L2341">
        <f>IF($G2341&lt;&gt;"ALCOHOL","",IF($K2341="","",$H2341*IFERROR(VLOOKUP($K2341,Drink_Templates!$A:$G,7,FALSE),0)))</f>
        <v/>
      </c>
    </row>
    <row r="2342" ht="15" customHeight="1">
      <c r="C2342">
        <f>IF($B2342="","",INT($B2342))</f>
        <v/>
      </c>
      <c r="D2342">
        <f>IF($C2342="","",$C2342-WEEKDAY($C2342,2)+1)</f>
        <v/>
      </c>
      <c r="E2342">
        <f>IF($C2342="","",DATE(YEAR($C2342),MONTH($C2342),1))</f>
        <v/>
      </c>
      <c r="F2342">
        <f>IF($C2342="","",YEAR($C2342)&amp;"-Q"&amp;ROUNDUP(MONTH($C2342)/3,0))</f>
        <v/>
      </c>
      <c r="L2342">
        <f>IF($G2342&lt;&gt;"ALCOHOL","",IF($K2342="","",$H2342*IFERROR(VLOOKUP($K2342,Drink_Templates!$A:$G,7,FALSE),0)))</f>
        <v/>
      </c>
    </row>
    <row r="2343" ht="15" customHeight="1">
      <c r="C2343">
        <f>IF($B2343="","",INT($B2343))</f>
        <v/>
      </c>
      <c r="D2343">
        <f>IF($C2343="","",$C2343-WEEKDAY($C2343,2)+1)</f>
        <v/>
      </c>
      <c r="E2343">
        <f>IF($C2343="","",DATE(YEAR($C2343),MONTH($C2343),1))</f>
        <v/>
      </c>
      <c r="F2343">
        <f>IF($C2343="","",YEAR($C2343)&amp;"-Q"&amp;ROUNDUP(MONTH($C2343)/3,0))</f>
        <v/>
      </c>
      <c r="L2343">
        <f>IF($G2343&lt;&gt;"ALCOHOL","",IF($K2343="","",$H2343*IFERROR(VLOOKUP($K2343,Drink_Templates!$A:$G,7,FALSE),0)))</f>
        <v/>
      </c>
    </row>
    <row r="2344" ht="15" customHeight="1">
      <c r="C2344">
        <f>IF($B2344="","",INT($B2344))</f>
        <v/>
      </c>
      <c r="D2344">
        <f>IF($C2344="","",$C2344-WEEKDAY($C2344,2)+1)</f>
        <v/>
      </c>
      <c r="E2344">
        <f>IF($C2344="","",DATE(YEAR($C2344),MONTH($C2344),1))</f>
        <v/>
      </c>
      <c r="F2344">
        <f>IF($C2344="","",YEAR($C2344)&amp;"-Q"&amp;ROUNDUP(MONTH($C2344)/3,0))</f>
        <v/>
      </c>
      <c r="L2344">
        <f>IF($G2344&lt;&gt;"ALCOHOL","",IF($K2344="","",$H2344*IFERROR(VLOOKUP($K2344,Drink_Templates!$A:$G,7,FALSE),0)))</f>
        <v/>
      </c>
    </row>
    <row r="2345" ht="15" customHeight="1">
      <c r="C2345">
        <f>IF($B2345="","",INT($B2345))</f>
        <v/>
      </c>
      <c r="D2345">
        <f>IF($C2345="","",$C2345-WEEKDAY($C2345,2)+1)</f>
        <v/>
      </c>
      <c r="E2345">
        <f>IF($C2345="","",DATE(YEAR($C2345),MONTH($C2345),1))</f>
        <v/>
      </c>
      <c r="F2345">
        <f>IF($C2345="","",YEAR($C2345)&amp;"-Q"&amp;ROUNDUP(MONTH($C2345)/3,0))</f>
        <v/>
      </c>
      <c r="L2345">
        <f>IF($G2345&lt;&gt;"ALCOHOL","",IF($K2345="","",$H2345*IFERROR(VLOOKUP($K2345,Drink_Templates!$A:$G,7,FALSE),0)))</f>
        <v/>
      </c>
    </row>
    <row r="2346" ht="15" customHeight="1">
      <c r="C2346">
        <f>IF($B2346="","",INT($B2346))</f>
        <v/>
      </c>
      <c r="D2346">
        <f>IF($C2346="","",$C2346-WEEKDAY($C2346,2)+1)</f>
        <v/>
      </c>
      <c r="E2346">
        <f>IF($C2346="","",DATE(YEAR($C2346),MONTH($C2346),1))</f>
        <v/>
      </c>
      <c r="F2346">
        <f>IF($C2346="","",YEAR($C2346)&amp;"-Q"&amp;ROUNDUP(MONTH($C2346)/3,0))</f>
        <v/>
      </c>
      <c r="L2346">
        <f>IF($G2346&lt;&gt;"ALCOHOL","",IF($K2346="","",$H2346*IFERROR(VLOOKUP($K2346,Drink_Templates!$A:$G,7,FALSE),0)))</f>
        <v/>
      </c>
    </row>
    <row r="2347" ht="15" customHeight="1">
      <c r="C2347">
        <f>IF($B2347="","",INT($B2347))</f>
        <v/>
      </c>
      <c r="D2347">
        <f>IF($C2347="","",$C2347-WEEKDAY($C2347,2)+1)</f>
        <v/>
      </c>
      <c r="E2347">
        <f>IF($C2347="","",DATE(YEAR($C2347),MONTH($C2347),1))</f>
        <v/>
      </c>
      <c r="F2347">
        <f>IF($C2347="","",YEAR($C2347)&amp;"-Q"&amp;ROUNDUP(MONTH($C2347)/3,0))</f>
        <v/>
      </c>
      <c r="L2347">
        <f>IF($G2347&lt;&gt;"ALCOHOL","",IF($K2347="","",$H2347*IFERROR(VLOOKUP($K2347,Drink_Templates!$A:$G,7,FALSE),0)))</f>
        <v/>
      </c>
    </row>
    <row r="2348" ht="15" customHeight="1">
      <c r="C2348">
        <f>IF($B2348="","",INT($B2348))</f>
        <v/>
      </c>
      <c r="D2348">
        <f>IF($C2348="","",$C2348-WEEKDAY($C2348,2)+1)</f>
        <v/>
      </c>
      <c r="E2348">
        <f>IF($C2348="","",DATE(YEAR($C2348),MONTH($C2348),1))</f>
        <v/>
      </c>
      <c r="F2348">
        <f>IF($C2348="","",YEAR($C2348)&amp;"-Q"&amp;ROUNDUP(MONTH($C2348)/3,0))</f>
        <v/>
      </c>
      <c r="L2348">
        <f>IF($G2348&lt;&gt;"ALCOHOL","",IF($K2348="","",$H2348*IFERROR(VLOOKUP($K2348,Drink_Templates!$A:$G,7,FALSE),0)))</f>
        <v/>
      </c>
    </row>
    <row r="2349" ht="15" customHeight="1">
      <c r="C2349">
        <f>IF($B2349="","",INT($B2349))</f>
        <v/>
      </c>
      <c r="D2349">
        <f>IF($C2349="","",$C2349-WEEKDAY($C2349,2)+1)</f>
        <v/>
      </c>
      <c r="E2349">
        <f>IF($C2349="","",DATE(YEAR($C2349),MONTH($C2349),1))</f>
        <v/>
      </c>
      <c r="F2349">
        <f>IF($C2349="","",YEAR($C2349)&amp;"-Q"&amp;ROUNDUP(MONTH($C2349)/3,0))</f>
        <v/>
      </c>
      <c r="L2349">
        <f>IF($G2349&lt;&gt;"ALCOHOL","",IF($K2349="","",$H2349*IFERROR(VLOOKUP($K2349,Drink_Templates!$A:$G,7,FALSE),0)))</f>
        <v/>
      </c>
    </row>
    <row r="2350" ht="15" customHeight="1">
      <c r="C2350">
        <f>IF($B2350="","",INT($B2350))</f>
        <v/>
      </c>
      <c r="D2350">
        <f>IF($C2350="","",$C2350-WEEKDAY($C2350,2)+1)</f>
        <v/>
      </c>
      <c r="E2350">
        <f>IF($C2350="","",DATE(YEAR($C2350),MONTH($C2350),1))</f>
        <v/>
      </c>
      <c r="F2350">
        <f>IF($C2350="","",YEAR($C2350)&amp;"-Q"&amp;ROUNDUP(MONTH($C2350)/3,0))</f>
        <v/>
      </c>
      <c r="L2350">
        <f>IF($G2350&lt;&gt;"ALCOHOL","",IF($K2350="","",$H2350*IFERROR(VLOOKUP($K2350,Drink_Templates!$A:$G,7,FALSE),0)))</f>
        <v/>
      </c>
    </row>
    <row r="2351" ht="15" customHeight="1">
      <c r="C2351">
        <f>IF($B2351="","",INT($B2351))</f>
        <v/>
      </c>
      <c r="D2351">
        <f>IF($C2351="","",$C2351-WEEKDAY($C2351,2)+1)</f>
        <v/>
      </c>
      <c r="E2351">
        <f>IF($C2351="","",DATE(YEAR($C2351),MONTH($C2351),1))</f>
        <v/>
      </c>
      <c r="F2351">
        <f>IF($C2351="","",YEAR($C2351)&amp;"-Q"&amp;ROUNDUP(MONTH($C2351)/3,0))</f>
        <v/>
      </c>
      <c r="L2351">
        <f>IF($G2351&lt;&gt;"ALCOHOL","",IF($K2351="","",$H2351*IFERROR(VLOOKUP($K2351,Drink_Templates!$A:$G,7,FALSE),0)))</f>
        <v/>
      </c>
    </row>
    <row r="2352" ht="15" customHeight="1">
      <c r="C2352">
        <f>IF($B2352="","",INT($B2352))</f>
        <v/>
      </c>
      <c r="D2352">
        <f>IF($C2352="","",$C2352-WEEKDAY($C2352,2)+1)</f>
        <v/>
      </c>
      <c r="E2352">
        <f>IF($C2352="","",DATE(YEAR($C2352),MONTH($C2352),1))</f>
        <v/>
      </c>
      <c r="F2352">
        <f>IF($C2352="","",YEAR($C2352)&amp;"-Q"&amp;ROUNDUP(MONTH($C2352)/3,0))</f>
        <v/>
      </c>
      <c r="L2352">
        <f>IF($G2352&lt;&gt;"ALCOHOL","",IF($K2352="","",$H2352*IFERROR(VLOOKUP($K2352,Drink_Templates!$A:$G,7,FALSE),0)))</f>
        <v/>
      </c>
    </row>
    <row r="2353" ht="15" customHeight="1">
      <c r="C2353">
        <f>IF($B2353="","",INT($B2353))</f>
        <v/>
      </c>
      <c r="D2353">
        <f>IF($C2353="","",$C2353-WEEKDAY($C2353,2)+1)</f>
        <v/>
      </c>
      <c r="E2353">
        <f>IF($C2353="","",DATE(YEAR($C2353),MONTH($C2353),1))</f>
        <v/>
      </c>
      <c r="F2353">
        <f>IF($C2353="","",YEAR($C2353)&amp;"-Q"&amp;ROUNDUP(MONTH($C2353)/3,0))</f>
        <v/>
      </c>
      <c r="L2353">
        <f>IF($G2353&lt;&gt;"ALCOHOL","",IF($K2353="","",$H2353*IFERROR(VLOOKUP($K2353,Drink_Templates!$A:$G,7,FALSE),0)))</f>
        <v/>
      </c>
    </row>
    <row r="2354" ht="15" customHeight="1">
      <c r="C2354">
        <f>IF($B2354="","",INT($B2354))</f>
        <v/>
      </c>
      <c r="D2354">
        <f>IF($C2354="","",$C2354-WEEKDAY($C2354,2)+1)</f>
        <v/>
      </c>
      <c r="E2354">
        <f>IF($C2354="","",DATE(YEAR($C2354),MONTH($C2354),1))</f>
        <v/>
      </c>
      <c r="F2354">
        <f>IF($C2354="","",YEAR($C2354)&amp;"-Q"&amp;ROUNDUP(MONTH($C2354)/3,0))</f>
        <v/>
      </c>
      <c r="L2354">
        <f>IF($G2354&lt;&gt;"ALCOHOL","",IF($K2354="","",$H2354*IFERROR(VLOOKUP($K2354,Drink_Templates!$A:$G,7,FALSE),0)))</f>
        <v/>
      </c>
    </row>
    <row r="2355" ht="15" customHeight="1">
      <c r="C2355">
        <f>IF($B2355="","",INT($B2355))</f>
        <v/>
      </c>
      <c r="D2355">
        <f>IF($C2355="","",$C2355-WEEKDAY($C2355,2)+1)</f>
        <v/>
      </c>
      <c r="E2355">
        <f>IF($C2355="","",DATE(YEAR($C2355),MONTH($C2355),1))</f>
        <v/>
      </c>
      <c r="F2355">
        <f>IF($C2355="","",YEAR($C2355)&amp;"-Q"&amp;ROUNDUP(MONTH($C2355)/3,0))</f>
        <v/>
      </c>
      <c r="L2355">
        <f>IF($G2355&lt;&gt;"ALCOHOL","",IF($K2355="","",$H2355*IFERROR(VLOOKUP($K2355,Drink_Templates!$A:$G,7,FALSE),0)))</f>
        <v/>
      </c>
    </row>
    <row r="2356" ht="15" customHeight="1">
      <c r="C2356">
        <f>IF($B2356="","",INT($B2356))</f>
        <v/>
      </c>
      <c r="D2356">
        <f>IF($C2356="","",$C2356-WEEKDAY($C2356,2)+1)</f>
        <v/>
      </c>
      <c r="E2356">
        <f>IF($C2356="","",DATE(YEAR($C2356),MONTH($C2356),1))</f>
        <v/>
      </c>
      <c r="F2356">
        <f>IF($C2356="","",YEAR($C2356)&amp;"-Q"&amp;ROUNDUP(MONTH($C2356)/3,0))</f>
        <v/>
      </c>
      <c r="L2356">
        <f>IF($G2356&lt;&gt;"ALCOHOL","",IF($K2356="","",$H2356*IFERROR(VLOOKUP($K2356,Drink_Templates!$A:$G,7,FALSE),0)))</f>
        <v/>
      </c>
    </row>
    <row r="2357" ht="15" customHeight="1">
      <c r="C2357">
        <f>IF($B2357="","",INT($B2357))</f>
        <v/>
      </c>
      <c r="D2357">
        <f>IF($C2357="","",$C2357-WEEKDAY($C2357,2)+1)</f>
        <v/>
      </c>
      <c r="E2357">
        <f>IF($C2357="","",DATE(YEAR($C2357),MONTH($C2357),1))</f>
        <v/>
      </c>
      <c r="F2357">
        <f>IF($C2357="","",YEAR($C2357)&amp;"-Q"&amp;ROUNDUP(MONTH($C2357)/3,0))</f>
        <v/>
      </c>
      <c r="L2357">
        <f>IF($G2357&lt;&gt;"ALCOHOL","",IF($K2357="","",$H2357*IFERROR(VLOOKUP($K2357,Drink_Templates!$A:$G,7,FALSE),0)))</f>
        <v/>
      </c>
    </row>
    <row r="2358" ht="15" customHeight="1">
      <c r="C2358">
        <f>IF($B2358="","",INT($B2358))</f>
        <v/>
      </c>
      <c r="D2358">
        <f>IF($C2358="","",$C2358-WEEKDAY($C2358,2)+1)</f>
        <v/>
      </c>
      <c r="E2358">
        <f>IF($C2358="","",DATE(YEAR($C2358),MONTH($C2358),1))</f>
        <v/>
      </c>
      <c r="F2358">
        <f>IF($C2358="","",YEAR($C2358)&amp;"-Q"&amp;ROUNDUP(MONTH($C2358)/3,0))</f>
        <v/>
      </c>
      <c r="L2358">
        <f>IF($G2358&lt;&gt;"ALCOHOL","",IF($K2358="","",$H2358*IFERROR(VLOOKUP($K2358,Drink_Templates!$A:$G,7,FALSE),0)))</f>
        <v/>
      </c>
    </row>
    <row r="2359" ht="15" customHeight="1">
      <c r="C2359">
        <f>IF($B2359="","",INT($B2359))</f>
        <v/>
      </c>
      <c r="D2359">
        <f>IF($C2359="","",$C2359-WEEKDAY($C2359,2)+1)</f>
        <v/>
      </c>
      <c r="E2359">
        <f>IF($C2359="","",DATE(YEAR($C2359),MONTH($C2359),1))</f>
        <v/>
      </c>
      <c r="F2359">
        <f>IF($C2359="","",YEAR($C2359)&amp;"-Q"&amp;ROUNDUP(MONTH($C2359)/3,0))</f>
        <v/>
      </c>
      <c r="L2359">
        <f>IF($G2359&lt;&gt;"ALCOHOL","",IF($K2359="","",$H2359*IFERROR(VLOOKUP($K2359,Drink_Templates!$A:$G,7,FALSE),0)))</f>
        <v/>
      </c>
    </row>
    <row r="2360" ht="15" customHeight="1">
      <c r="C2360">
        <f>IF($B2360="","",INT($B2360))</f>
        <v/>
      </c>
      <c r="D2360">
        <f>IF($C2360="","",$C2360-WEEKDAY($C2360,2)+1)</f>
        <v/>
      </c>
      <c r="E2360">
        <f>IF($C2360="","",DATE(YEAR($C2360),MONTH($C2360),1))</f>
        <v/>
      </c>
      <c r="F2360">
        <f>IF($C2360="","",YEAR($C2360)&amp;"-Q"&amp;ROUNDUP(MONTH($C2360)/3,0))</f>
        <v/>
      </c>
      <c r="L2360">
        <f>IF($G2360&lt;&gt;"ALCOHOL","",IF($K2360="","",$H2360*IFERROR(VLOOKUP($K2360,Drink_Templates!$A:$G,7,FALSE),0)))</f>
        <v/>
      </c>
    </row>
    <row r="2361" ht="15" customHeight="1">
      <c r="C2361">
        <f>IF($B2361="","",INT($B2361))</f>
        <v/>
      </c>
      <c r="D2361">
        <f>IF($C2361="","",$C2361-WEEKDAY($C2361,2)+1)</f>
        <v/>
      </c>
      <c r="E2361">
        <f>IF($C2361="","",DATE(YEAR($C2361),MONTH($C2361),1))</f>
        <v/>
      </c>
      <c r="F2361">
        <f>IF($C2361="","",YEAR($C2361)&amp;"-Q"&amp;ROUNDUP(MONTH($C2361)/3,0))</f>
        <v/>
      </c>
      <c r="L2361">
        <f>IF($G2361&lt;&gt;"ALCOHOL","",IF($K2361="","",$H2361*IFERROR(VLOOKUP($K2361,Drink_Templates!$A:$G,7,FALSE),0)))</f>
        <v/>
      </c>
    </row>
    <row r="2362" ht="15" customHeight="1">
      <c r="C2362">
        <f>IF($B2362="","",INT($B2362))</f>
        <v/>
      </c>
      <c r="D2362">
        <f>IF($C2362="","",$C2362-WEEKDAY($C2362,2)+1)</f>
        <v/>
      </c>
      <c r="E2362">
        <f>IF($C2362="","",DATE(YEAR($C2362),MONTH($C2362),1))</f>
        <v/>
      </c>
      <c r="F2362">
        <f>IF($C2362="","",YEAR($C2362)&amp;"-Q"&amp;ROUNDUP(MONTH($C2362)/3,0))</f>
        <v/>
      </c>
      <c r="L2362">
        <f>IF($G2362&lt;&gt;"ALCOHOL","",IF($K2362="","",$H2362*IFERROR(VLOOKUP($K2362,Drink_Templates!$A:$G,7,FALSE),0)))</f>
        <v/>
      </c>
    </row>
    <row r="2363" ht="15" customHeight="1">
      <c r="C2363">
        <f>IF($B2363="","",INT($B2363))</f>
        <v/>
      </c>
      <c r="D2363">
        <f>IF($C2363="","",$C2363-WEEKDAY($C2363,2)+1)</f>
        <v/>
      </c>
      <c r="E2363">
        <f>IF($C2363="","",DATE(YEAR($C2363),MONTH($C2363),1))</f>
        <v/>
      </c>
      <c r="F2363">
        <f>IF($C2363="","",YEAR($C2363)&amp;"-Q"&amp;ROUNDUP(MONTH($C2363)/3,0))</f>
        <v/>
      </c>
      <c r="L2363">
        <f>IF($G2363&lt;&gt;"ALCOHOL","",IF($K2363="","",$H2363*IFERROR(VLOOKUP($K2363,Drink_Templates!$A:$G,7,FALSE),0)))</f>
        <v/>
      </c>
    </row>
    <row r="2364" ht="15" customHeight="1">
      <c r="C2364">
        <f>IF($B2364="","",INT($B2364))</f>
        <v/>
      </c>
      <c r="D2364">
        <f>IF($C2364="","",$C2364-WEEKDAY($C2364,2)+1)</f>
        <v/>
      </c>
      <c r="E2364">
        <f>IF($C2364="","",DATE(YEAR($C2364),MONTH($C2364),1))</f>
        <v/>
      </c>
      <c r="F2364">
        <f>IF($C2364="","",YEAR($C2364)&amp;"-Q"&amp;ROUNDUP(MONTH($C2364)/3,0))</f>
        <v/>
      </c>
      <c r="L2364">
        <f>IF($G2364&lt;&gt;"ALCOHOL","",IF($K2364="","",$H2364*IFERROR(VLOOKUP($K2364,Drink_Templates!$A:$G,7,FALSE),0)))</f>
        <v/>
      </c>
    </row>
    <row r="2365" ht="15" customHeight="1">
      <c r="C2365">
        <f>IF($B2365="","",INT($B2365))</f>
        <v/>
      </c>
      <c r="D2365">
        <f>IF($C2365="","",$C2365-WEEKDAY($C2365,2)+1)</f>
        <v/>
      </c>
      <c r="E2365">
        <f>IF($C2365="","",DATE(YEAR($C2365),MONTH($C2365),1))</f>
        <v/>
      </c>
      <c r="F2365">
        <f>IF($C2365="","",YEAR($C2365)&amp;"-Q"&amp;ROUNDUP(MONTH($C2365)/3,0))</f>
        <v/>
      </c>
      <c r="L2365">
        <f>IF($G2365&lt;&gt;"ALCOHOL","",IF($K2365="","",$H2365*IFERROR(VLOOKUP($K2365,Drink_Templates!$A:$G,7,FALSE),0)))</f>
        <v/>
      </c>
    </row>
    <row r="2366" ht="15" customHeight="1">
      <c r="C2366">
        <f>IF($B2366="","",INT($B2366))</f>
        <v/>
      </c>
      <c r="D2366">
        <f>IF($C2366="","",$C2366-WEEKDAY($C2366,2)+1)</f>
        <v/>
      </c>
      <c r="E2366">
        <f>IF($C2366="","",DATE(YEAR($C2366),MONTH($C2366),1))</f>
        <v/>
      </c>
      <c r="F2366">
        <f>IF($C2366="","",YEAR($C2366)&amp;"-Q"&amp;ROUNDUP(MONTH($C2366)/3,0))</f>
        <v/>
      </c>
      <c r="L2366">
        <f>IF($G2366&lt;&gt;"ALCOHOL","",IF($K2366="","",$H2366*IFERROR(VLOOKUP($K2366,Drink_Templates!$A:$G,7,FALSE),0)))</f>
        <v/>
      </c>
    </row>
    <row r="2367" ht="15" customHeight="1">
      <c r="C2367">
        <f>IF($B2367="","",INT($B2367))</f>
        <v/>
      </c>
      <c r="D2367">
        <f>IF($C2367="","",$C2367-WEEKDAY($C2367,2)+1)</f>
        <v/>
      </c>
      <c r="E2367">
        <f>IF($C2367="","",DATE(YEAR($C2367),MONTH($C2367),1))</f>
        <v/>
      </c>
      <c r="F2367">
        <f>IF($C2367="","",YEAR($C2367)&amp;"-Q"&amp;ROUNDUP(MONTH($C2367)/3,0))</f>
        <v/>
      </c>
      <c r="L2367">
        <f>IF($G2367&lt;&gt;"ALCOHOL","",IF($K2367="","",$H2367*IFERROR(VLOOKUP($K2367,Drink_Templates!$A:$G,7,FALSE),0)))</f>
        <v/>
      </c>
    </row>
    <row r="2368" ht="15" customHeight="1">
      <c r="C2368">
        <f>IF($B2368="","",INT($B2368))</f>
        <v/>
      </c>
      <c r="D2368">
        <f>IF($C2368="","",$C2368-WEEKDAY($C2368,2)+1)</f>
        <v/>
      </c>
      <c r="E2368">
        <f>IF($C2368="","",DATE(YEAR($C2368),MONTH($C2368),1))</f>
        <v/>
      </c>
      <c r="F2368">
        <f>IF($C2368="","",YEAR($C2368)&amp;"-Q"&amp;ROUNDUP(MONTH($C2368)/3,0))</f>
        <v/>
      </c>
      <c r="L2368">
        <f>IF($G2368&lt;&gt;"ALCOHOL","",IF($K2368="","",$H2368*IFERROR(VLOOKUP($K2368,Drink_Templates!$A:$G,7,FALSE),0)))</f>
        <v/>
      </c>
    </row>
    <row r="2369" ht="15" customHeight="1">
      <c r="C2369">
        <f>IF($B2369="","",INT($B2369))</f>
        <v/>
      </c>
      <c r="D2369">
        <f>IF($C2369="","",$C2369-WEEKDAY($C2369,2)+1)</f>
        <v/>
      </c>
      <c r="E2369">
        <f>IF($C2369="","",DATE(YEAR($C2369),MONTH($C2369),1))</f>
        <v/>
      </c>
      <c r="F2369">
        <f>IF($C2369="","",YEAR($C2369)&amp;"-Q"&amp;ROUNDUP(MONTH($C2369)/3,0))</f>
        <v/>
      </c>
      <c r="L2369">
        <f>IF($G2369&lt;&gt;"ALCOHOL","",IF($K2369="","",$H2369*IFERROR(VLOOKUP($K2369,Drink_Templates!$A:$G,7,FALSE),0)))</f>
        <v/>
      </c>
    </row>
    <row r="2370" ht="15" customHeight="1">
      <c r="C2370">
        <f>IF($B2370="","",INT($B2370))</f>
        <v/>
      </c>
      <c r="D2370">
        <f>IF($C2370="","",$C2370-WEEKDAY($C2370,2)+1)</f>
        <v/>
      </c>
      <c r="E2370">
        <f>IF($C2370="","",DATE(YEAR($C2370),MONTH($C2370),1))</f>
        <v/>
      </c>
      <c r="F2370">
        <f>IF($C2370="","",YEAR($C2370)&amp;"-Q"&amp;ROUNDUP(MONTH($C2370)/3,0))</f>
        <v/>
      </c>
      <c r="L2370">
        <f>IF($G2370&lt;&gt;"ALCOHOL","",IF($K2370="","",$H2370*IFERROR(VLOOKUP($K2370,Drink_Templates!$A:$G,7,FALSE),0)))</f>
        <v/>
      </c>
    </row>
    <row r="2371" ht="15" customHeight="1">
      <c r="C2371">
        <f>IF($B2371="","",INT($B2371))</f>
        <v/>
      </c>
      <c r="D2371">
        <f>IF($C2371="","",$C2371-WEEKDAY($C2371,2)+1)</f>
        <v/>
      </c>
      <c r="E2371">
        <f>IF($C2371="","",DATE(YEAR($C2371),MONTH($C2371),1))</f>
        <v/>
      </c>
      <c r="F2371">
        <f>IF($C2371="","",YEAR($C2371)&amp;"-Q"&amp;ROUNDUP(MONTH($C2371)/3,0))</f>
        <v/>
      </c>
      <c r="L2371">
        <f>IF($G2371&lt;&gt;"ALCOHOL","",IF($K2371="","",$H2371*IFERROR(VLOOKUP($K2371,Drink_Templates!$A:$G,7,FALSE),0)))</f>
        <v/>
      </c>
    </row>
    <row r="2372" ht="15" customHeight="1">
      <c r="C2372">
        <f>IF($B2372="","",INT($B2372))</f>
        <v/>
      </c>
      <c r="D2372">
        <f>IF($C2372="","",$C2372-WEEKDAY($C2372,2)+1)</f>
        <v/>
      </c>
      <c r="E2372">
        <f>IF($C2372="","",DATE(YEAR($C2372),MONTH($C2372),1))</f>
        <v/>
      </c>
      <c r="F2372">
        <f>IF($C2372="","",YEAR($C2372)&amp;"-Q"&amp;ROUNDUP(MONTH($C2372)/3,0))</f>
        <v/>
      </c>
      <c r="L2372">
        <f>IF($G2372&lt;&gt;"ALCOHOL","",IF($K2372="","",$H2372*IFERROR(VLOOKUP($K2372,Drink_Templates!$A:$G,7,FALSE),0)))</f>
        <v/>
      </c>
    </row>
    <row r="2373" ht="15" customHeight="1">
      <c r="C2373">
        <f>IF($B2373="","",INT($B2373))</f>
        <v/>
      </c>
      <c r="D2373">
        <f>IF($C2373="","",$C2373-WEEKDAY($C2373,2)+1)</f>
        <v/>
      </c>
      <c r="E2373">
        <f>IF($C2373="","",DATE(YEAR($C2373),MONTH($C2373),1))</f>
        <v/>
      </c>
      <c r="F2373">
        <f>IF($C2373="","",YEAR($C2373)&amp;"-Q"&amp;ROUNDUP(MONTH($C2373)/3,0))</f>
        <v/>
      </c>
      <c r="L2373">
        <f>IF($G2373&lt;&gt;"ALCOHOL","",IF($K2373="","",$H2373*IFERROR(VLOOKUP($K2373,Drink_Templates!$A:$G,7,FALSE),0)))</f>
        <v/>
      </c>
    </row>
    <row r="2374" ht="15" customHeight="1">
      <c r="C2374">
        <f>IF($B2374="","",INT($B2374))</f>
        <v/>
      </c>
      <c r="D2374">
        <f>IF($C2374="","",$C2374-WEEKDAY($C2374,2)+1)</f>
        <v/>
      </c>
      <c r="E2374">
        <f>IF($C2374="","",DATE(YEAR($C2374),MONTH($C2374),1))</f>
        <v/>
      </c>
      <c r="F2374">
        <f>IF($C2374="","",YEAR($C2374)&amp;"-Q"&amp;ROUNDUP(MONTH($C2374)/3,0))</f>
        <v/>
      </c>
      <c r="L2374">
        <f>IF($G2374&lt;&gt;"ALCOHOL","",IF($K2374="","",$H2374*IFERROR(VLOOKUP($K2374,Drink_Templates!$A:$G,7,FALSE),0)))</f>
        <v/>
      </c>
    </row>
    <row r="2375" ht="15" customHeight="1">
      <c r="C2375">
        <f>IF($B2375="","",INT($B2375))</f>
        <v/>
      </c>
      <c r="D2375">
        <f>IF($C2375="","",$C2375-WEEKDAY($C2375,2)+1)</f>
        <v/>
      </c>
      <c r="E2375">
        <f>IF($C2375="","",DATE(YEAR($C2375),MONTH($C2375),1))</f>
        <v/>
      </c>
      <c r="F2375">
        <f>IF($C2375="","",YEAR($C2375)&amp;"-Q"&amp;ROUNDUP(MONTH($C2375)/3,0))</f>
        <v/>
      </c>
      <c r="L2375">
        <f>IF($G2375&lt;&gt;"ALCOHOL","",IF($K2375="","",$H2375*IFERROR(VLOOKUP($K2375,Drink_Templates!$A:$G,7,FALSE),0)))</f>
        <v/>
      </c>
    </row>
    <row r="2376" ht="15" customHeight="1">
      <c r="C2376">
        <f>IF($B2376="","",INT($B2376))</f>
        <v/>
      </c>
      <c r="D2376">
        <f>IF($C2376="","",$C2376-WEEKDAY($C2376,2)+1)</f>
        <v/>
      </c>
      <c r="E2376">
        <f>IF($C2376="","",DATE(YEAR($C2376),MONTH($C2376),1))</f>
        <v/>
      </c>
      <c r="F2376">
        <f>IF($C2376="","",YEAR($C2376)&amp;"-Q"&amp;ROUNDUP(MONTH($C2376)/3,0))</f>
        <v/>
      </c>
      <c r="L2376">
        <f>IF($G2376&lt;&gt;"ALCOHOL","",IF($K2376="","",$H2376*IFERROR(VLOOKUP($K2376,Drink_Templates!$A:$G,7,FALSE),0)))</f>
        <v/>
      </c>
    </row>
    <row r="2377" ht="15" customHeight="1">
      <c r="C2377">
        <f>IF($B2377="","",INT($B2377))</f>
        <v/>
      </c>
      <c r="D2377">
        <f>IF($C2377="","",$C2377-WEEKDAY($C2377,2)+1)</f>
        <v/>
      </c>
      <c r="E2377">
        <f>IF($C2377="","",DATE(YEAR($C2377),MONTH($C2377),1))</f>
        <v/>
      </c>
      <c r="F2377">
        <f>IF($C2377="","",YEAR($C2377)&amp;"-Q"&amp;ROUNDUP(MONTH($C2377)/3,0))</f>
        <v/>
      </c>
      <c r="L2377">
        <f>IF($G2377&lt;&gt;"ALCOHOL","",IF($K2377="","",$H2377*IFERROR(VLOOKUP($K2377,Drink_Templates!$A:$G,7,FALSE),0)))</f>
        <v/>
      </c>
    </row>
    <row r="2378" ht="15" customHeight="1">
      <c r="C2378">
        <f>IF($B2378="","",INT($B2378))</f>
        <v/>
      </c>
      <c r="D2378">
        <f>IF($C2378="","",$C2378-WEEKDAY($C2378,2)+1)</f>
        <v/>
      </c>
      <c r="E2378">
        <f>IF($C2378="","",DATE(YEAR($C2378),MONTH($C2378),1))</f>
        <v/>
      </c>
      <c r="F2378">
        <f>IF($C2378="","",YEAR($C2378)&amp;"-Q"&amp;ROUNDUP(MONTH($C2378)/3,0))</f>
        <v/>
      </c>
      <c r="L2378">
        <f>IF($G2378&lt;&gt;"ALCOHOL","",IF($K2378="","",$H2378*IFERROR(VLOOKUP($K2378,Drink_Templates!$A:$G,7,FALSE),0)))</f>
        <v/>
      </c>
    </row>
    <row r="2379" ht="15" customHeight="1">
      <c r="C2379">
        <f>IF($B2379="","",INT($B2379))</f>
        <v/>
      </c>
      <c r="D2379">
        <f>IF($C2379="","",$C2379-WEEKDAY($C2379,2)+1)</f>
        <v/>
      </c>
      <c r="E2379">
        <f>IF($C2379="","",DATE(YEAR($C2379),MONTH($C2379),1))</f>
        <v/>
      </c>
      <c r="F2379">
        <f>IF($C2379="","",YEAR($C2379)&amp;"-Q"&amp;ROUNDUP(MONTH($C2379)/3,0))</f>
        <v/>
      </c>
      <c r="L2379">
        <f>IF($G2379&lt;&gt;"ALCOHOL","",IF($K2379="","",$H2379*IFERROR(VLOOKUP($K2379,Drink_Templates!$A:$G,7,FALSE),0)))</f>
        <v/>
      </c>
    </row>
    <row r="2380" ht="15" customHeight="1">
      <c r="C2380">
        <f>IF($B2380="","",INT($B2380))</f>
        <v/>
      </c>
      <c r="D2380">
        <f>IF($C2380="","",$C2380-WEEKDAY($C2380,2)+1)</f>
        <v/>
      </c>
      <c r="E2380">
        <f>IF($C2380="","",DATE(YEAR($C2380),MONTH($C2380),1))</f>
        <v/>
      </c>
      <c r="F2380">
        <f>IF($C2380="","",YEAR($C2380)&amp;"-Q"&amp;ROUNDUP(MONTH($C2380)/3,0))</f>
        <v/>
      </c>
      <c r="L2380">
        <f>IF($G2380&lt;&gt;"ALCOHOL","",IF($K2380="","",$H2380*IFERROR(VLOOKUP($K2380,Drink_Templates!$A:$G,7,FALSE),0)))</f>
        <v/>
      </c>
    </row>
    <row r="2381" ht="15" customHeight="1">
      <c r="C2381">
        <f>IF($B2381="","",INT($B2381))</f>
        <v/>
      </c>
      <c r="D2381">
        <f>IF($C2381="","",$C2381-WEEKDAY($C2381,2)+1)</f>
        <v/>
      </c>
      <c r="E2381">
        <f>IF($C2381="","",DATE(YEAR($C2381),MONTH($C2381),1))</f>
        <v/>
      </c>
      <c r="F2381">
        <f>IF($C2381="","",YEAR($C2381)&amp;"-Q"&amp;ROUNDUP(MONTH($C2381)/3,0))</f>
        <v/>
      </c>
      <c r="L2381">
        <f>IF($G2381&lt;&gt;"ALCOHOL","",IF($K2381="","",$H2381*IFERROR(VLOOKUP($K2381,Drink_Templates!$A:$G,7,FALSE),0)))</f>
        <v/>
      </c>
    </row>
    <row r="2382" ht="15" customHeight="1">
      <c r="C2382">
        <f>IF($B2382="","",INT($B2382))</f>
        <v/>
      </c>
      <c r="D2382">
        <f>IF($C2382="","",$C2382-WEEKDAY($C2382,2)+1)</f>
        <v/>
      </c>
      <c r="E2382">
        <f>IF($C2382="","",DATE(YEAR($C2382),MONTH($C2382),1))</f>
        <v/>
      </c>
      <c r="F2382">
        <f>IF($C2382="","",YEAR($C2382)&amp;"-Q"&amp;ROUNDUP(MONTH($C2382)/3,0))</f>
        <v/>
      </c>
      <c r="L2382">
        <f>IF($G2382&lt;&gt;"ALCOHOL","",IF($K2382="","",$H2382*IFERROR(VLOOKUP($K2382,Drink_Templates!$A:$G,7,FALSE),0)))</f>
        <v/>
      </c>
    </row>
    <row r="2383" ht="15" customHeight="1">
      <c r="C2383">
        <f>IF($B2383="","",INT($B2383))</f>
        <v/>
      </c>
      <c r="D2383">
        <f>IF($C2383="","",$C2383-WEEKDAY($C2383,2)+1)</f>
        <v/>
      </c>
      <c r="E2383">
        <f>IF($C2383="","",DATE(YEAR($C2383),MONTH($C2383),1))</f>
        <v/>
      </c>
      <c r="F2383">
        <f>IF($C2383="","",YEAR($C2383)&amp;"-Q"&amp;ROUNDUP(MONTH($C2383)/3,0))</f>
        <v/>
      </c>
      <c r="L2383">
        <f>IF($G2383&lt;&gt;"ALCOHOL","",IF($K2383="","",$H2383*IFERROR(VLOOKUP($K2383,Drink_Templates!$A:$G,7,FALSE),0)))</f>
        <v/>
      </c>
    </row>
    <row r="2384" ht="15" customHeight="1">
      <c r="C2384">
        <f>IF($B2384="","",INT($B2384))</f>
        <v/>
      </c>
      <c r="D2384">
        <f>IF($C2384="","",$C2384-WEEKDAY($C2384,2)+1)</f>
        <v/>
      </c>
      <c r="E2384">
        <f>IF($C2384="","",DATE(YEAR($C2384),MONTH($C2384),1))</f>
        <v/>
      </c>
      <c r="F2384">
        <f>IF($C2384="","",YEAR($C2384)&amp;"-Q"&amp;ROUNDUP(MONTH($C2384)/3,0))</f>
        <v/>
      </c>
      <c r="L2384">
        <f>IF($G2384&lt;&gt;"ALCOHOL","",IF($K2384="","",$H2384*IFERROR(VLOOKUP($K2384,Drink_Templates!$A:$G,7,FALSE),0)))</f>
        <v/>
      </c>
    </row>
    <row r="2385" ht="15" customHeight="1">
      <c r="C2385">
        <f>IF($B2385="","",INT($B2385))</f>
        <v/>
      </c>
      <c r="D2385">
        <f>IF($C2385="","",$C2385-WEEKDAY($C2385,2)+1)</f>
        <v/>
      </c>
      <c r="E2385">
        <f>IF($C2385="","",DATE(YEAR($C2385),MONTH($C2385),1))</f>
        <v/>
      </c>
      <c r="F2385">
        <f>IF($C2385="","",YEAR($C2385)&amp;"-Q"&amp;ROUNDUP(MONTH($C2385)/3,0))</f>
        <v/>
      </c>
      <c r="L2385">
        <f>IF($G2385&lt;&gt;"ALCOHOL","",IF($K2385="","",$H2385*IFERROR(VLOOKUP($K2385,Drink_Templates!$A:$G,7,FALSE),0)))</f>
        <v/>
      </c>
    </row>
    <row r="2386" ht="15" customHeight="1">
      <c r="C2386">
        <f>IF($B2386="","",INT($B2386))</f>
        <v/>
      </c>
      <c r="D2386">
        <f>IF($C2386="","",$C2386-WEEKDAY($C2386,2)+1)</f>
        <v/>
      </c>
      <c r="E2386">
        <f>IF($C2386="","",DATE(YEAR($C2386),MONTH($C2386),1))</f>
        <v/>
      </c>
      <c r="F2386">
        <f>IF($C2386="","",YEAR($C2386)&amp;"-Q"&amp;ROUNDUP(MONTH($C2386)/3,0))</f>
        <v/>
      </c>
      <c r="L2386">
        <f>IF($G2386&lt;&gt;"ALCOHOL","",IF($K2386="","",$H2386*IFERROR(VLOOKUP($K2386,Drink_Templates!$A:$G,7,FALSE),0)))</f>
        <v/>
      </c>
    </row>
    <row r="2387" ht="15" customHeight="1">
      <c r="C2387">
        <f>IF($B2387="","",INT($B2387))</f>
        <v/>
      </c>
      <c r="D2387">
        <f>IF($C2387="","",$C2387-WEEKDAY($C2387,2)+1)</f>
        <v/>
      </c>
      <c r="E2387">
        <f>IF($C2387="","",DATE(YEAR($C2387),MONTH($C2387),1))</f>
        <v/>
      </c>
      <c r="F2387">
        <f>IF($C2387="","",YEAR($C2387)&amp;"-Q"&amp;ROUNDUP(MONTH($C2387)/3,0))</f>
        <v/>
      </c>
      <c r="L2387">
        <f>IF($G2387&lt;&gt;"ALCOHOL","",IF($K2387="","",$H2387*IFERROR(VLOOKUP($K2387,Drink_Templates!$A:$G,7,FALSE),0)))</f>
        <v/>
      </c>
    </row>
    <row r="2388" ht="15" customHeight="1">
      <c r="C2388">
        <f>IF($B2388="","",INT($B2388))</f>
        <v/>
      </c>
      <c r="D2388">
        <f>IF($C2388="","",$C2388-WEEKDAY($C2388,2)+1)</f>
        <v/>
      </c>
      <c r="E2388">
        <f>IF($C2388="","",DATE(YEAR($C2388),MONTH($C2388),1))</f>
        <v/>
      </c>
      <c r="F2388">
        <f>IF($C2388="","",YEAR($C2388)&amp;"-Q"&amp;ROUNDUP(MONTH($C2388)/3,0))</f>
        <v/>
      </c>
      <c r="L2388">
        <f>IF($G2388&lt;&gt;"ALCOHOL","",IF($K2388="","",$H2388*IFERROR(VLOOKUP($K2388,Drink_Templates!$A:$G,7,FALSE),0)))</f>
        <v/>
      </c>
    </row>
    <row r="2389" ht="15" customHeight="1">
      <c r="C2389">
        <f>IF($B2389="","",INT($B2389))</f>
        <v/>
      </c>
      <c r="D2389">
        <f>IF($C2389="","",$C2389-WEEKDAY($C2389,2)+1)</f>
        <v/>
      </c>
      <c r="E2389">
        <f>IF($C2389="","",DATE(YEAR($C2389),MONTH($C2389),1))</f>
        <v/>
      </c>
      <c r="F2389">
        <f>IF($C2389="","",YEAR($C2389)&amp;"-Q"&amp;ROUNDUP(MONTH($C2389)/3,0))</f>
        <v/>
      </c>
      <c r="L2389">
        <f>IF($G2389&lt;&gt;"ALCOHOL","",IF($K2389="","",$H2389*IFERROR(VLOOKUP($K2389,Drink_Templates!$A:$G,7,FALSE),0)))</f>
        <v/>
      </c>
    </row>
    <row r="2390" ht="15" customHeight="1">
      <c r="C2390">
        <f>IF($B2390="","",INT($B2390))</f>
        <v/>
      </c>
      <c r="D2390">
        <f>IF($C2390="","",$C2390-WEEKDAY($C2390,2)+1)</f>
        <v/>
      </c>
      <c r="E2390">
        <f>IF($C2390="","",DATE(YEAR($C2390),MONTH($C2390),1))</f>
        <v/>
      </c>
      <c r="F2390">
        <f>IF($C2390="","",YEAR($C2390)&amp;"-Q"&amp;ROUNDUP(MONTH($C2390)/3,0))</f>
        <v/>
      </c>
      <c r="L2390">
        <f>IF($G2390&lt;&gt;"ALCOHOL","",IF($K2390="","",$H2390*IFERROR(VLOOKUP($K2390,Drink_Templates!$A:$G,7,FALSE),0)))</f>
        <v/>
      </c>
    </row>
    <row r="2391" ht="15" customHeight="1">
      <c r="C2391">
        <f>IF($B2391="","",INT($B2391))</f>
        <v/>
      </c>
      <c r="D2391">
        <f>IF($C2391="","",$C2391-WEEKDAY($C2391,2)+1)</f>
        <v/>
      </c>
      <c r="E2391">
        <f>IF($C2391="","",DATE(YEAR($C2391),MONTH($C2391),1))</f>
        <v/>
      </c>
      <c r="F2391">
        <f>IF($C2391="","",YEAR($C2391)&amp;"-Q"&amp;ROUNDUP(MONTH($C2391)/3,0))</f>
        <v/>
      </c>
      <c r="L2391">
        <f>IF($G2391&lt;&gt;"ALCOHOL","",IF($K2391="","",$H2391*IFERROR(VLOOKUP($K2391,Drink_Templates!$A:$G,7,FALSE),0)))</f>
        <v/>
      </c>
    </row>
    <row r="2392" ht="15" customHeight="1">
      <c r="C2392">
        <f>IF($B2392="","",INT($B2392))</f>
        <v/>
      </c>
      <c r="D2392">
        <f>IF($C2392="","",$C2392-WEEKDAY($C2392,2)+1)</f>
        <v/>
      </c>
      <c r="E2392">
        <f>IF($C2392="","",DATE(YEAR($C2392),MONTH($C2392),1))</f>
        <v/>
      </c>
      <c r="F2392">
        <f>IF($C2392="","",YEAR($C2392)&amp;"-Q"&amp;ROUNDUP(MONTH($C2392)/3,0))</f>
        <v/>
      </c>
      <c r="L2392">
        <f>IF($G2392&lt;&gt;"ALCOHOL","",IF($K2392="","",$H2392*IFERROR(VLOOKUP($K2392,Drink_Templates!$A:$G,7,FALSE),0)))</f>
        <v/>
      </c>
    </row>
    <row r="2393" ht="15" customHeight="1">
      <c r="C2393">
        <f>IF($B2393="","",INT($B2393))</f>
        <v/>
      </c>
      <c r="D2393">
        <f>IF($C2393="","",$C2393-WEEKDAY($C2393,2)+1)</f>
        <v/>
      </c>
      <c r="E2393">
        <f>IF($C2393="","",DATE(YEAR($C2393),MONTH($C2393),1))</f>
        <v/>
      </c>
      <c r="F2393">
        <f>IF($C2393="","",YEAR($C2393)&amp;"-Q"&amp;ROUNDUP(MONTH($C2393)/3,0))</f>
        <v/>
      </c>
      <c r="L2393">
        <f>IF($G2393&lt;&gt;"ALCOHOL","",IF($K2393="","",$H2393*IFERROR(VLOOKUP($K2393,Drink_Templates!$A:$G,7,FALSE),0)))</f>
        <v/>
      </c>
    </row>
    <row r="2394" ht="15" customHeight="1">
      <c r="C2394">
        <f>IF($B2394="","",INT($B2394))</f>
        <v/>
      </c>
      <c r="D2394">
        <f>IF($C2394="","",$C2394-WEEKDAY($C2394,2)+1)</f>
        <v/>
      </c>
      <c r="E2394">
        <f>IF($C2394="","",DATE(YEAR($C2394),MONTH($C2394),1))</f>
        <v/>
      </c>
      <c r="F2394">
        <f>IF($C2394="","",YEAR($C2394)&amp;"-Q"&amp;ROUNDUP(MONTH($C2394)/3,0))</f>
        <v/>
      </c>
      <c r="L2394">
        <f>IF($G2394&lt;&gt;"ALCOHOL","",IF($K2394="","",$H2394*IFERROR(VLOOKUP($K2394,Drink_Templates!$A:$G,7,FALSE),0)))</f>
        <v/>
      </c>
    </row>
    <row r="2395" ht="15" customHeight="1">
      <c r="C2395">
        <f>IF($B2395="","",INT($B2395))</f>
        <v/>
      </c>
      <c r="D2395">
        <f>IF($C2395="","",$C2395-WEEKDAY($C2395,2)+1)</f>
        <v/>
      </c>
      <c r="E2395">
        <f>IF($C2395="","",DATE(YEAR($C2395),MONTH($C2395),1))</f>
        <v/>
      </c>
      <c r="F2395">
        <f>IF($C2395="","",YEAR($C2395)&amp;"-Q"&amp;ROUNDUP(MONTH($C2395)/3,0))</f>
        <v/>
      </c>
      <c r="L2395">
        <f>IF($G2395&lt;&gt;"ALCOHOL","",IF($K2395="","",$H2395*IFERROR(VLOOKUP($K2395,Drink_Templates!$A:$G,7,FALSE),0)))</f>
        <v/>
      </c>
    </row>
    <row r="2396" ht="15" customHeight="1">
      <c r="C2396">
        <f>IF($B2396="","",INT($B2396))</f>
        <v/>
      </c>
      <c r="D2396">
        <f>IF($C2396="","",$C2396-WEEKDAY($C2396,2)+1)</f>
        <v/>
      </c>
      <c r="E2396">
        <f>IF($C2396="","",DATE(YEAR($C2396),MONTH($C2396),1))</f>
        <v/>
      </c>
      <c r="F2396">
        <f>IF($C2396="","",YEAR($C2396)&amp;"-Q"&amp;ROUNDUP(MONTH($C2396)/3,0))</f>
        <v/>
      </c>
      <c r="L2396">
        <f>IF($G2396&lt;&gt;"ALCOHOL","",IF($K2396="","",$H2396*IFERROR(VLOOKUP($K2396,Drink_Templates!$A:$G,7,FALSE),0)))</f>
        <v/>
      </c>
    </row>
    <row r="2397" ht="15" customHeight="1">
      <c r="C2397">
        <f>IF($B2397="","",INT($B2397))</f>
        <v/>
      </c>
      <c r="D2397">
        <f>IF($C2397="","",$C2397-WEEKDAY($C2397,2)+1)</f>
        <v/>
      </c>
      <c r="E2397">
        <f>IF($C2397="","",DATE(YEAR($C2397),MONTH($C2397),1))</f>
        <v/>
      </c>
      <c r="F2397">
        <f>IF($C2397="","",YEAR($C2397)&amp;"-Q"&amp;ROUNDUP(MONTH($C2397)/3,0))</f>
        <v/>
      </c>
      <c r="L2397">
        <f>IF($G2397&lt;&gt;"ALCOHOL","",IF($K2397="","",$H2397*IFERROR(VLOOKUP($K2397,Drink_Templates!$A:$G,7,FALSE),0)))</f>
        <v/>
      </c>
    </row>
    <row r="2398" ht="15" customHeight="1">
      <c r="C2398">
        <f>IF($B2398="","",INT($B2398))</f>
        <v/>
      </c>
      <c r="D2398">
        <f>IF($C2398="","",$C2398-WEEKDAY($C2398,2)+1)</f>
        <v/>
      </c>
      <c r="E2398">
        <f>IF($C2398="","",DATE(YEAR($C2398),MONTH($C2398),1))</f>
        <v/>
      </c>
      <c r="F2398">
        <f>IF($C2398="","",YEAR($C2398)&amp;"-Q"&amp;ROUNDUP(MONTH($C2398)/3,0))</f>
        <v/>
      </c>
      <c r="L2398">
        <f>IF($G2398&lt;&gt;"ALCOHOL","",IF($K2398="","",$H2398*IFERROR(VLOOKUP($K2398,Drink_Templates!$A:$G,7,FALSE),0)))</f>
        <v/>
      </c>
    </row>
    <row r="2399" ht="15" customHeight="1">
      <c r="C2399">
        <f>IF($B2399="","",INT($B2399))</f>
        <v/>
      </c>
      <c r="D2399">
        <f>IF($C2399="","",$C2399-WEEKDAY($C2399,2)+1)</f>
        <v/>
      </c>
      <c r="E2399">
        <f>IF($C2399="","",DATE(YEAR($C2399),MONTH($C2399),1))</f>
        <v/>
      </c>
      <c r="F2399">
        <f>IF($C2399="","",YEAR($C2399)&amp;"-Q"&amp;ROUNDUP(MONTH($C2399)/3,0))</f>
        <v/>
      </c>
      <c r="L2399">
        <f>IF($G2399&lt;&gt;"ALCOHOL","",IF($K2399="","",$H2399*IFERROR(VLOOKUP($K2399,Drink_Templates!$A:$G,7,FALSE),0)))</f>
        <v/>
      </c>
    </row>
    <row r="2400" ht="15" customHeight="1">
      <c r="C2400">
        <f>IF($B2400="","",INT($B2400))</f>
        <v/>
      </c>
      <c r="D2400">
        <f>IF($C2400="","",$C2400-WEEKDAY($C2400,2)+1)</f>
        <v/>
      </c>
      <c r="E2400">
        <f>IF($C2400="","",DATE(YEAR($C2400),MONTH($C2400),1))</f>
        <v/>
      </c>
      <c r="F2400">
        <f>IF($C2400="","",YEAR($C2400)&amp;"-Q"&amp;ROUNDUP(MONTH($C2400)/3,0))</f>
        <v/>
      </c>
      <c r="L2400">
        <f>IF($G2400&lt;&gt;"ALCOHOL","",IF($K2400="","",$H2400*IFERROR(VLOOKUP($K2400,Drink_Templates!$A:$G,7,FALSE),0)))</f>
        <v/>
      </c>
    </row>
    <row r="2401" ht="15" customHeight="1">
      <c r="C2401">
        <f>IF($B2401="","",INT($B2401))</f>
        <v/>
      </c>
      <c r="D2401">
        <f>IF($C2401="","",$C2401-WEEKDAY($C2401,2)+1)</f>
        <v/>
      </c>
      <c r="E2401">
        <f>IF($C2401="","",DATE(YEAR($C2401),MONTH($C2401),1))</f>
        <v/>
      </c>
      <c r="F2401">
        <f>IF($C2401="","",YEAR($C2401)&amp;"-Q"&amp;ROUNDUP(MONTH($C2401)/3,0))</f>
        <v/>
      </c>
      <c r="L2401">
        <f>IF($G2401&lt;&gt;"ALCOHOL","",IF($K2401="","",$H2401*IFERROR(VLOOKUP($K2401,Drink_Templates!$A:$G,7,FALSE),0)))</f>
        <v/>
      </c>
    </row>
    <row r="2402" ht="15" customHeight="1">
      <c r="C2402">
        <f>IF($B2402="","",INT($B2402))</f>
        <v/>
      </c>
      <c r="D2402">
        <f>IF($C2402="","",$C2402-WEEKDAY($C2402,2)+1)</f>
        <v/>
      </c>
      <c r="E2402">
        <f>IF($C2402="","",DATE(YEAR($C2402),MONTH($C2402),1))</f>
        <v/>
      </c>
      <c r="F2402">
        <f>IF($C2402="","",YEAR($C2402)&amp;"-Q"&amp;ROUNDUP(MONTH($C2402)/3,0))</f>
        <v/>
      </c>
      <c r="L2402">
        <f>IF($G2402&lt;&gt;"ALCOHOL","",IF($K2402="","",$H2402*IFERROR(VLOOKUP($K2402,Drink_Templates!$A:$G,7,FALSE),0)))</f>
        <v/>
      </c>
    </row>
    <row r="2403" ht="15" customHeight="1">
      <c r="C2403">
        <f>IF($B2403="","",INT($B2403))</f>
        <v/>
      </c>
      <c r="D2403">
        <f>IF($C2403="","",$C2403-WEEKDAY($C2403,2)+1)</f>
        <v/>
      </c>
      <c r="E2403">
        <f>IF($C2403="","",DATE(YEAR($C2403),MONTH($C2403),1))</f>
        <v/>
      </c>
      <c r="F2403">
        <f>IF($C2403="","",YEAR($C2403)&amp;"-Q"&amp;ROUNDUP(MONTH($C2403)/3,0))</f>
        <v/>
      </c>
      <c r="L2403">
        <f>IF($G2403&lt;&gt;"ALCOHOL","",IF($K2403="","",$H2403*IFERROR(VLOOKUP($K2403,Drink_Templates!$A:$G,7,FALSE),0)))</f>
        <v/>
      </c>
    </row>
    <row r="2404" ht="15" customHeight="1">
      <c r="C2404">
        <f>IF($B2404="","",INT($B2404))</f>
        <v/>
      </c>
      <c r="D2404">
        <f>IF($C2404="","",$C2404-WEEKDAY($C2404,2)+1)</f>
        <v/>
      </c>
      <c r="E2404">
        <f>IF($C2404="","",DATE(YEAR($C2404),MONTH($C2404),1))</f>
        <v/>
      </c>
      <c r="F2404">
        <f>IF($C2404="","",YEAR($C2404)&amp;"-Q"&amp;ROUNDUP(MONTH($C2404)/3,0))</f>
        <v/>
      </c>
      <c r="L2404">
        <f>IF($G2404&lt;&gt;"ALCOHOL","",IF($K2404="","",$H2404*IFERROR(VLOOKUP($K2404,Drink_Templates!$A:$G,7,FALSE),0)))</f>
        <v/>
      </c>
    </row>
    <row r="2405" ht="15" customHeight="1">
      <c r="C2405">
        <f>IF($B2405="","",INT($B2405))</f>
        <v/>
      </c>
      <c r="D2405">
        <f>IF($C2405="","",$C2405-WEEKDAY($C2405,2)+1)</f>
        <v/>
      </c>
      <c r="E2405">
        <f>IF($C2405="","",DATE(YEAR($C2405),MONTH($C2405),1))</f>
        <v/>
      </c>
      <c r="F2405">
        <f>IF($C2405="","",YEAR($C2405)&amp;"-Q"&amp;ROUNDUP(MONTH($C2405)/3,0))</f>
        <v/>
      </c>
      <c r="L2405">
        <f>IF($G2405&lt;&gt;"ALCOHOL","",IF($K2405="","",$H2405*IFERROR(VLOOKUP($K2405,Drink_Templates!$A:$G,7,FALSE),0)))</f>
        <v/>
      </c>
    </row>
    <row r="2406" ht="15" customHeight="1">
      <c r="C2406">
        <f>IF($B2406="","",INT($B2406))</f>
        <v/>
      </c>
      <c r="D2406">
        <f>IF($C2406="","",$C2406-WEEKDAY($C2406,2)+1)</f>
        <v/>
      </c>
      <c r="E2406">
        <f>IF($C2406="","",DATE(YEAR($C2406),MONTH($C2406),1))</f>
        <v/>
      </c>
      <c r="F2406">
        <f>IF($C2406="","",YEAR($C2406)&amp;"-Q"&amp;ROUNDUP(MONTH($C2406)/3,0))</f>
        <v/>
      </c>
      <c r="L2406">
        <f>IF($G2406&lt;&gt;"ALCOHOL","",IF($K2406="","",$H2406*IFERROR(VLOOKUP($K2406,Drink_Templates!$A:$G,7,FALSE),0)))</f>
        <v/>
      </c>
    </row>
    <row r="2407" ht="15" customHeight="1">
      <c r="C2407">
        <f>IF($B2407="","",INT($B2407))</f>
        <v/>
      </c>
      <c r="D2407">
        <f>IF($C2407="","",$C2407-WEEKDAY($C2407,2)+1)</f>
        <v/>
      </c>
      <c r="E2407">
        <f>IF($C2407="","",DATE(YEAR($C2407),MONTH($C2407),1))</f>
        <v/>
      </c>
      <c r="F2407">
        <f>IF($C2407="","",YEAR($C2407)&amp;"-Q"&amp;ROUNDUP(MONTH($C2407)/3,0))</f>
        <v/>
      </c>
      <c r="L2407">
        <f>IF($G2407&lt;&gt;"ALCOHOL","",IF($K2407="","",$H2407*IFERROR(VLOOKUP($K2407,Drink_Templates!$A:$G,7,FALSE),0)))</f>
        <v/>
      </c>
    </row>
    <row r="2408" ht="15" customHeight="1">
      <c r="C2408">
        <f>IF($B2408="","",INT($B2408))</f>
        <v/>
      </c>
      <c r="D2408">
        <f>IF($C2408="","",$C2408-WEEKDAY($C2408,2)+1)</f>
        <v/>
      </c>
      <c r="E2408">
        <f>IF($C2408="","",DATE(YEAR($C2408),MONTH($C2408),1))</f>
        <v/>
      </c>
      <c r="F2408">
        <f>IF($C2408="","",YEAR($C2408)&amp;"-Q"&amp;ROUNDUP(MONTH($C2408)/3,0))</f>
        <v/>
      </c>
      <c r="L2408">
        <f>IF($G2408&lt;&gt;"ALCOHOL","",IF($K2408="","",$H2408*IFERROR(VLOOKUP($K2408,Drink_Templates!$A:$G,7,FALSE),0)))</f>
        <v/>
      </c>
    </row>
    <row r="2409" ht="15" customHeight="1">
      <c r="C2409">
        <f>IF($B2409="","",INT($B2409))</f>
        <v/>
      </c>
      <c r="D2409">
        <f>IF($C2409="","",$C2409-WEEKDAY($C2409,2)+1)</f>
        <v/>
      </c>
      <c r="E2409">
        <f>IF($C2409="","",DATE(YEAR($C2409),MONTH($C2409),1))</f>
        <v/>
      </c>
      <c r="F2409">
        <f>IF($C2409="","",YEAR($C2409)&amp;"-Q"&amp;ROUNDUP(MONTH($C2409)/3,0))</f>
        <v/>
      </c>
      <c r="L2409">
        <f>IF($G2409&lt;&gt;"ALCOHOL","",IF($K2409="","",$H2409*IFERROR(VLOOKUP($K2409,Drink_Templates!$A:$G,7,FALSE),0)))</f>
        <v/>
      </c>
    </row>
    <row r="2410" ht="15" customHeight="1">
      <c r="C2410">
        <f>IF($B2410="","",INT($B2410))</f>
        <v/>
      </c>
      <c r="D2410">
        <f>IF($C2410="","",$C2410-WEEKDAY($C2410,2)+1)</f>
        <v/>
      </c>
      <c r="E2410">
        <f>IF($C2410="","",DATE(YEAR($C2410),MONTH($C2410),1))</f>
        <v/>
      </c>
      <c r="F2410">
        <f>IF($C2410="","",YEAR($C2410)&amp;"-Q"&amp;ROUNDUP(MONTH($C2410)/3,0))</f>
        <v/>
      </c>
      <c r="L2410">
        <f>IF($G2410&lt;&gt;"ALCOHOL","",IF($K2410="","",$H2410*IFERROR(VLOOKUP($K2410,Drink_Templates!$A:$G,7,FALSE),0)))</f>
        <v/>
      </c>
    </row>
    <row r="2411" ht="15" customHeight="1">
      <c r="C2411">
        <f>IF($B2411="","",INT($B2411))</f>
        <v/>
      </c>
      <c r="D2411">
        <f>IF($C2411="","",$C2411-WEEKDAY($C2411,2)+1)</f>
        <v/>
      </c>
      <c r="E2411">
        <f>IF($C2411="","",DATE(YEAR($C2411),MONTH($C2411),1))</f>
        <v/>
      </c>
      <c r="F2411">
        <f>IF($C2411="","",YEAR($C2411)&amp;"-Q"&amp;ROUNDUP(MONTH($C2411)/3,0))</f>
        <v/>
      </c>
      <c r="L2411">
        <f>IF($G2411&lt;&gt;"ALCOHOL","",IF($K2411="","",$H2411*IFERROR(VLOOKUP($K2411,Drink_Templates!$A:$G,7,FALSE),0)))</f>
        <v/>
      </c>
    </row>
    <row r="2412" ht="15" customHeight="1">
      <c r="C2412">
        <f>IF($B2412="","",INT($B2412))</f>
        <v/>
      </c>
      <c r="D2412">
        <f>IF($C2412="","",$C2412-WEEKDAY($C2412,2)+1)</f>
        <v/>
      </c>
      <c r="E2412">
        <f>IF($C2412="","",DATE(YEAR($C2412),MONTH($C2412),1))</f>
        <v/>
      </c>
      <c r="F2412">
        <f>IF($C2412="","",YEAR($C2412)&amp;"-Q"&amp;ROUNDUP(MONTH($C2412)/3,0))</f>
        <v/>
      </c>
      <c r="L2412">
        <f>IF($G2412&lt;&gt;"ALCOHOL","",IF($K2412="","",$H2412*IFERROR(VLOOKUP($K2412,Drink_Templates!$A:$G,7,FALSE),0)))</f>
        <v/>
      </c>
    </row>
    <row r="2413" ht="15" customHeight="1">
      <c r="C2413">
        <f>IF($B2413="","",INT($B2413))</f>
        <v/>
      </c>
      <c r="D2413">
        <f>IF($C2413="","",$C2413-WEEKDAY($C2413,2)+1)</f>
        <v/>
      </c>
      <c r="E2413">
        <f>IF($C2413="","",DATE(YEAR($C2413),MONTH($C2413),1))</f>
        <v/>
      </c>
      <c r="F2413">
        <f>IF($C2413="","",YEAR($C2413)&amp;"-Q"&amp;ROUNDUP(MONTH($C2413)/3,0))</f>
        <v/>
      </c>
      <c r="L2413">
        <f>IF($G2413&lt;&gt;"ALCOHOL","",IF($K2413="","",$H2413*IFERROR(VLOOKUP($K2413,Drink_Templates!$A:$G,7,FALSE),0)))</f>
        <v/>
      </c>
    </row>
    <row r="2414" ht="15" customHeight="1">
      <c r="C2414">
        <f>IF($B2414="","",INT($B2414))</f>
        <v/>
      </c>
      <c r="D2414">
        <f>IF($C2414="","",$C2414-WEEKDAY($C2414,2)+1)</f>
        <v/>
      </c>
      <c r="E2414">
        <f>IF($C2414="","",DATE(YEAR($C2414),MONTH($C2414),1))</f>
        <v/>
      </c>
      <c r="F2414">
        <f>IF($C2414="","",YEAR($C2414)&amp;"-Q"&amp;ROUNDUP(MONTH($C2414)/3,0))</f>
        <v/>
      </c>
      <c r="L2414">
        <f>IF($G2414&lt;&gt;"ALCOHOL","",IF($K2414="","",$H2414*IFERROR(VLOOKUP($K2414,Drink_Templates!$A:$G,7,FALSE),0)))</f>
        <v/>
      </c>
    </row>
    <row r="2415" ht="15" customHeight="1">
      <c r="C2415">
        <f>IF($B2415="","",INT($B2415))</f>
        <v/>
      </c>
      <c r="D2415">
        <f>IF($C2415="","",$C2415-WEEKDAY($C2415,2)+1)</f>
        <v/>
      </c>
      <c r="E2415">
        <f>IF($C2415="","",DATE(YEAR($C2415),MONTH($C2415),1))</f>
        <v/>
      </c>
      <c r="F2415">
        <f>IF($C2415="","",YEAR($C2415)&amp;"-Q"&amp;ROUNDUP(MONTH($C2415)/3,0))</f>
        <v/>
      </c>
      <c r="L2415">
        <f>IF($G2415&lt;&gt;"ALCOHOL","",IF($K2415="","",$H2415*IFERROR(VLOOKUP($K2415,Drink_Templates!$A:$G,7,FALSE),0)))</f>
        <v/>
      </c>
    </row>
    <row r="2416" ht="15" customHeight="1">
      <c r="C2416">
        <f>IF($B2416="","",INT($B2416))</f>
        <v/>
      </c>
      <c r="D2416">
        <f>IF($C2416="","",$C2416-WEEKDAY($C2416,2)+1)</f>
        <v/>
      </c>
      <c r="E2416">
        <f>IF($C2416="","",DATE(YEAR($C2416),MONTH($C2416),1))</f>
        <v/>
      </c>
      <c r="F2416">
        <f>IF($C2416="","",YEAR($C2416)&amp;"-Q"&amp;ROUNDUP(MONTH($C2416)/3,0))</f>
        <v/>
      </c>
      <c r="L2416">
        <f>IF($G2416&lt;&gt;"ALCOHOL","",IF($K2416="","",$H2416*IFERROR(VLOOKUP($K2416,Drink_Templates!$A:$G,7,FALSE),0)))</f>
        <v/>
      </c>
    </row>
    <row r="2417" ht="15" customHeight="1">
      <c r="C2417">
        <f>IF($B2417="","",INT($B2417))</f>
        <v/>
      </c>
      <c r="D2417">
        <f>IF($C2417="","",$C2417-WEEKDAY($C2417,2)+1)</f>
        <v/>
      </c>
      <c r="E2417">
        <f>IF($C2417="","",DATE(YEAR($C2417),MONTH($C2417),1))</f>
        <v/>
      </c>
      <c r="F2417">
        <f>IF($C2417="","",YEAR($C2417)&amp;"-Q"&amp;ROUNDUP(MONTH($C2417)/3,0))</f>
        <v/>
      </c>
      <c r="L2417">
        <f>IF($G2417&lt;&gt;"ALCOHOL","",IF($K2417="","",$H2417*IFERROR(VLOOKUP($K2417,Drink_Templates!$A:$G,7,FALSE),0)))</f>
        <v/>
      </c>
    </row>
    <row r="2418" ht="15" customHeight="1">
      <c r="C2418">
        <f>IF($B2418="","",INT($B2418))</f>
        <v/>
      </c>
      <c r="D2418">
        <f>IF($C2418="","",$C2418-WEEKDAY($C2418,2)+1)</f>
        <v/>
      </c>
      <c r="E2418">
        <f>IF($C2418="","",DATE(YEAR($C2418),MONTH($C2418),1))</f>
        <v/>
      </c>
      <c r="F2418">
        <f>IF($C2418="","",YEAR($C2418)&amp;"-Q"&amp;ROUNDUP(MONTH($C2418)/3,0))</f>
        <v/>
      </c>
      <c r="L2418">
        <f>IF($G2418&lt;&gt;"ALCOHOL","",IF($K2418="","",$H2418*IFERROR(VLOOKUP($K2418,Drink_Templates!$A:$G,7,FALSE),0)))</f>
        <v/>
      </c>
    </row>
    <row r="2419" ht="15" customHeight="1">
      <c r="C2419">
        <f>IF($B2419="","",INT($B2419))</f>
        <v/>
      </c>
      <c r="D2419">
        <f>IF($C2419="","",$C2419-WEEKDAY($C2419,2)+1)</f>
        <v/>
      </c>
      <c r="E2419">
        <f>IF($C2419="","",DATE(YEAR($C2419),MONTH($C2419),1))</f>
        <v/>
      </c>
      <c r="F2419">
        <f>IF($C2419="","",YEAR($C2419)&amp;"-Q"&amp;ROUNDUP(MONTH($C2419)/3,0))</f>
        <v/>
      </c>
      <c r="L2419">
        <f>IF($G2419&lt;&gt;"ALCOHOL","",IF($K2419="","",$H2419*IFERROR(VLOOKUP($K2419,Drink_Templates!$A:$G,7,FALSE),0)))</f>
        <v/>
      </c>
    </row>
    <row r="2420" ht="15" customHeight="1">
      <c r="C2420">
        <f>IF($B2420="","",INT($B2420))</f>
        <v/>
      </c>
      <c r="D2420">
        <f>IF($C2420="","",$C2420-WEEKDAY($C2420,2)+1)</f>
        <v/>
      </c>
      <c r="E2420">
        <f>IF($C2420="","",DATE(YEAR($C2420),MONTH($C2420),1))</f>
        <v/>
      </c>
      <c r="F2420">
        <f>IF($C2420="","",YEAR($C2420)&amp;"-Q"&amp;ROUNDUP(MONTH($C2420)/3,0))</f>
        <v/>
      </c>
      <c r="L2420">
        <f>IF($G2420&lt;&gt;"ALCOHOL","",IF($K2420="","",$H2420*IFERROR(VLOOKUP($K2420,Drink_Templates!$A:$G,7,FALSE),0)))</f>
        <v/>
      </c>
    </row>
    <row r="2421" ht="15" customHeight="1">
      <c r="C2421">
        <f>IF($B2421="","",INT($B2421))</f>
        <v/>
      </c>
      <c r="D2421">
        <f>IF($C2421="","",$C2421-WEEKDAY($C2421,2)+1)</f>
        <v/>
      </c>
      <c r="E2421">
        <f>IF($C2421="","",DATE(YEAR($C2421),MONTH($C2421),1))</f>
        <v/>
      </c>
      <c r="F2421">
        <f>IF($C2421="","",YEAR($C2421)&amp;"-Q"&amp;ROUNDUP(MONTH($C2421)/3,0))</f>
        <v/>
      </c>
      <c r="L2421">
        <f>IF($G2421&lt;&gt;"ALCOHOL","",IF($K2421="","",$H2421*IFERROR(VLOOKUP($K2421,Drink_Templates!$A:$G,7,FALSE),0)))</f>
        <v/>
      </c>
    </row>
    <row r="2422" ht="15" customHeight="1">
      <c r="C2422">
        <f>IF($B2422="","",INT($B2422))</f>
        <v/>
      </c>
      <c r="D2422">
        <f>IF($C2422="","",$C2422-WEEKDAY($C2422,2)+1)</f>
        <v/>
      </c>
      <c r="E2422">
        <f>IF($C2422="","",DATE(YEAR($C2422),MONTH($C2422),1))</f>
        <v/>
      </c>
      <c r="F2422">
        <f>IF($C2422="","",YEAR($C2422)&amp;"-Q"&amp;ROUNDUP(MONTH($C2422)/3,0))</f>
        <v/>
      </c>
      <c r="L2422">
        <f>IF($G2422&lt;&gt;"ALCOHOL","",IF($K2422="","",$H2422*IFERROR(VLOOKUP($K2422,Drink_Templates!$A:$G,7,FALSE),0)))</f>
        <v/>
      </c>
    </row>
    <row r="2423" ht="15" customHeight="1">
      <c r="C2423">
        <f>IF($B2423="","",INT($B2423))</f>
        <v/>
      </c>
      <c r="D2423">
        <f>IF($C2423="","",$C2423-WEEKDAY($C2423,2)+1)</f>
        <v/>
      </c>
      <c r="E2423">
        <f>IF($C2423="","",DATE(YEAR($C2423),MONTH($C2423),1))</f>
        <v/>
      </c>
      <c r="F2423">
        <f>IF($C2423="","",YEAR($C2423)&amp;"-Q"&amp;ROUNDUP(MONTH($C2423)/3,0))</f>
        <v/>
      </c>
      <c r="L2423">
        <f>IF($G2423&lt;&gt;"ALCOHOL","",IF($K2423="","",$H2423*IFERROR(VLOOKUP($K2423,Drink_Templates!$A:$G,7,FALSE),0)))</f>
        <v/>
      </c>
    </row>
    <row r="2424" ht="15" customHeight="1">
      <c r="C2424">
        <f>IF($B2424="","",INT($B2424))</f>
        <v/>
      </c>
      <c r="D2424">
        <f>IF($C2424="","",$C2424-WEEKDAY($C2424,2)+1)</f>
        <v/>
      </c>
      <c r="E2424">
        <f>IF($C2424="","",DATE(YEAR($C2424),MONTH($C2424),1))</f>
        <v/>
      </c>
      <c r="F2424">
        <f>IF($C2424="","",YEAR($C2424)&amp;"-Q"&amp;ROUNDUP(MONTH($C2424)/3,0))</f>
        <v/>
      </c>
      <c r="L2424">
        <f>IF($G2424&lt;&gt;"ALCOHOL","",IF($K2424="","",$H2424*IFERROR(VLOOKUP($K2424,Drink_Templates!$A:$G,7,FALSE),0)))</f>
        <v/>
      </c>
    </row>
    <row r="2425" ht="15" customHeight="1">
      <c r="C2425">
        <f>IF($B2425="","",INT($B2425))</f>
        <v/>
      </c>
      <c r="D2425">
        <f>IF($C2425="","",$C2425-WEEKDAY($C2425,2)+1)</f>
        <v/>
      </c>
      <c r="E2425">
        <f>IF($C2425="","",DATE(YEAR($C2425),MONTH($C2425),1))</f>
        <v/>
      </c>
      <c r="F2425">
        <f>IF($C2425="","",YEAR($C2425)&amp;"-Q"&amp;ROUNDUP(MONTH($C2425)/3,0))</f>
        <v/>
      </c>
      <c r="L2425">
        <f>IF($G2425&lt;&gt;"ALCOHOL","",IF($K2425="","",$H2425*IFERROR(VLOOKUP($K2425,Drink_Templates!$A:$G,7,FALSE),0)))</f>
        <v/>
      </c>
    </row>
    <row r="2426" ht="15" customHeight="1">
      <c r="C2426">
        <f>IF($B2426="","",INT($B2426))</f>
        <v/>
      </c>
      <c r="D2426">
        <f>IF($C2426="","",$C2426-WEEKDAY($C2426,2)+1)</f>
        <v/>
      </c>
      <c r="E2426">
        <f>IF($C2426="","",DATE(YEAR($C2426),MONTH($C2426),1))</f>
        <v/>
      </c>
      <c r="F2426">
        <f>IF($C2426="","",YEAR($C2426)&amp;"-Q"&amp;ROUNDUP(MONTH($C2426)/3,0))</f>
        <v/>
      </c>
      <c r="L2426">
        <f>IF($G2426&lt;&gt;"ALCOHOL","",IF($K2426="","",$H2426*IFERROR(VLOOKUP($K2426,Drink_Templates!$A:$G,7,FALSE),0)))</f>
        <v/>
      </c>
    </row>
    <row r="2427" ht="15" customHeight="1">
      <c r="C2427">
        <f>IF($B2427="","",INT($B2427))</f>
        <v/>
      </c>
      <c r="D2427">
        <f>IF($C2427="","",$C2427-WEEKDAY($C2427,2)+1)</f>
        <v/>
      </c>
      <c r="E2427">
        <f>IF($C2427="","",DATE(YEAR($C2427),MONTH($C2427),1))</f>
        <v/>
      </c>
      <c r="F2427">
        <f>IF($C2427="","",YEAR($C2427)&amp;"-Q"&amp;ROUNDUP(MONTH($C2427)/3,0))</f>
        <v/>
      </c>
      <c r="L2427">
        <f>IF($G2427&lt;&gt;"ALCOHOL","",IF($K2427="","",$H2427*IFERROR(VLOOKUP($K2427,Drink_Templates!$A:$G,7,FALSE),0)))</f>
        <v/>
      </c>
    </row>
    <row r="2428" ht="15" customHeight="1">
      <c r="C2428">
        <f>IF($B2428="","",INT($B2428))</f>
        <v/>
      </c>
      <c r="D2428">
        <f>IF($C2428="","",$C2428-WEEKDAY($C2428,2)+1)</f>
        <v/>
      </c>
      <c r="E2428">
        <f>IF($C2428="","",DATE(YEAR($C2428),MONTH($C2428),1))</f>
        <v/>
      </c>
      <c r="F2428">
        <f>IF($C2428="","",YEAR($C2428)&amp;"-Q"&amp;ROUNDUP(MONTH($C2428)/3,0))</f>
        <v/>
      </c>
      <c r="L2428">
        <f>IF($G2428&lt;&gt;"ALCOHOL","",IF($K2428="","",$H2428*IFERROR(VLOOKUP($K2428,Drink_Templates!$A:$G,7,FALSE),0)))</f>
        <v/>
      </c>
    </row>
    <row r="2429" ht="15" customHeight="1">
      <c r="C2429">
        <f>IF($B2429="","",INT($B2429))</f>
        <v/>
      </c>
      <c r="D2429">
        <f>IF($C2429="","",$C2429-WEEKDAY($C2429,2)+1)</f>
        <v/>
      </c>
      <c r="E2429">
        <f>IF($C2429="","",DATE(YEAR($C2429),MONTH($C2429),1))</f>
        <v/>
      </c>
      <c r="F2429">
        <f>IF($C2429="","",YEAR($C2429)&amp;"-Q"&amp;ROUNDUP(MONTH($C2429)/3,0))</f>
        <v/>
      </c>
      <c r="L2429">
        <f>IF($G2429&lt;&gt;"ALCOHOL","",IF($K2429="","",$H2429*IFERROR(VLOOKUP($K2429,Drink_Templates!$A:$G,7,FALSE),0)))</f>
        <v/>
      </c>
    </row>
    <row r="2430" ht="15" customHeight="1">
      <c r="C2430">
        <f>IF($B2430="","",INT($B2430))</f>
        <v/>
      </c>
      <c r="D2430">
        <f>IF($C2430="","",$C2430-WEEKDAY($C2430,2)+1)</f>
        <v/>
      </c>
      <c r="E2430">
        <f>IF($C2430="","",DATE(YEAR($C2430),MONTH($C2430),1))</f>
        <v/>
      </c>
      <c r="F2430">
        <f>IF($C2430="","",YEAR($C2430)&amp;"-Q"&amp;ROUNDUP(MONTH($C2430)/3,0))</f>
        <v/>
      </c>
      <c r="L2430">
        <f>IF($G2430&lt;&gt;"ALCOHOL","",IF($K2430="","",$H2430*IFERROR(VLOOKUP($K2430,Drink_Templates!$A:$G,7,FALSE),0)))</f>
        <v/>
      </c>
    </row>
    <row r="2431" ht="15" customHeight="1">
      <c r="C2431">
        <f>IF($B2431="","",INT($B2431))</f>
        <v/>
      </c>
      <c r="D2431">
        <f>IF($C2431="","",$C2431-WEEKDAY($C2431,2)+1)</f>
        <v/>
      </c>
      <c r="E2431">
        <f>IF($C2431="","",DATE(YEAR($C2431),MONTH($C2431),1))</f>
        <v/>
      </c>
      <c r="F2431">
        <f>IF($C2431="","",YEAR($C2431)&amp;"-Q"&amp;ROUNDUP(MONTH($C2431)/3,0))</f>
        <v/>
      </c>
      <c r="L2431">
        <f>IF($G2431&lt;&gt;"ALCOHOL","",IF($K2431="","",$H2431*IFERROR(VLOOKUP($K2431,Drink_Templates!$A:$G,7,FALSE),0)))</f>
        <v/>
      </c>
    </row>
    <row r="2432" ht="15" customHeight="1">
      <c r="C2432">
        <f>IF($B2432="","",INT($B2432))</f>
        <v/>
      </c>
      <c r="D2432">
        <f>IF($C2432="","",$C2432-WEEKDAY($C2432,2)+1)</f>
        <v/>
      </c>
      <c r="E2432">
        <f>IF($C2432="","",DATE(YEAR($C2432),MONTH($C2432),1))</f>
        <v/>
      </c>
      <c r="F2432">
        <f>IF($C2432="","",YEAR($C2432)&amp;"-Q"&amp;ROUNDUP(MONTH($C2432)/3,0))</f>
        <v/>
      </c>
      <c r="L2432">
        <f>IF($G2432&lt;&gt;"ALCOHOL","",IF($K2432="","",$H2432*IFERROR(VLOOKUP($K2432,Drink_Templates!$A:$G,7,FALSE),0)))</f>
        <v/>
      </c>
    </row>
    <row r="2433" ht="15" customHeight="1">
      <c r="C2433">
        <f>IF($B2433="","",INT($B2433))</f>
        <v/>
      </c>
      <c r="D2433">
        <f>IF($C2433="","",$C2433-WEEKDAY($C2433,2)+1)</f>
        <v/>
      </c>
      <c r="E2433">
        <f>IF($C2433="","",DATE(YEAR($C2433),MONTH($C2433),1))</f>
        <v/>
      </c>
      <c r="F2433">
        <f>IF($C2433="","",YEAR($C2433)&amp;"-Q"&amp;ROUNDUP(MONTH($C2433)/3,0))</f>
        <v/>
      </c>
      <c r="L2433">
        <f>IF($G2433&lt;&gt;"ALCOHOL","",IF($K2433="","",$H2433*IFERROR(VLOOKUP($K2433,Drink_Templates!$A:$G,7,FALSE),0)))</f>
        <v/>
      </c>
    </row>
    <row r="2434" ht="15" customHeight="1">
      <c r="C2434">
        <f>IF($B2434="","",INT($B2434))</f>
        <v/>
      </c>
      <c r="D2434">
        <f>IF($C2434="","",$C2434-WEEKDAY($C2434,2)+1)</f>
        <v/>
      </c>
      <c r="E2434">
        <f>IF($C2434="","",DATE(YEAR($C2434),MONTH($C2434),1))</f>
        <v/>
      </c>
      <c r="F2434">
        <f>IF($C2434="","",YEAR($C2434)&amp;"-Q"&amp;ROUNDUP(MONTH($C2434)/3,0))</f>
        <v/>
      </c>
      <c r="L2434">
        <f>IF($G2434&lt;&gt;"ALCOHOL","",IF($K2434="","",$H2434*IFERROR(VLOOKUP($K2434,Drink_Templates!$A:$G,7,FALSE),0)))</f>
        <v/>
      </c>
    </row>
    <row r="2435" ht="15" customHeight="1">
      <c r="C2435">
        <f>IF($B2435="","",INT($B2435))</f>
        <v/>
      </c>
      <c r="D2435">
        <f>IF($C2435="","",$C2435-WEEKDAY($C2435,2)+1)</f>
        <v/>
      </c>
      <c r="E2435">
        <f>IF($C2435="","",DATE(YEAR($C2435),MONTH($C2435),1))</f>
        <v/>
      </c>
      <c r="F2435">
        <f>IF($C2435="","",YEAR($C2435)&amp;"-Q"&amp;ROUNDUP(MONTH($C2435)/3,0))</f>
        <v/>
      </c>
      <c r="L2435">
        <f>IF($G2435&lt;&gt;"ALCOHOL","",IF($K2435="","",$H2435*IFERROR(VLOOKUP($K2435,Drink_Templates!$A:$G,7,FALSE),0)))</f>
        <v/>
      </c>
    </row>
    <row r="2436" ht="15" customHeight="1">
      <c r="C2436">
        <f>IF($B2436="","",INT($B2436))</f>
        <v/>
      </c>
      <c r="D2436">
        <f>IF($C2436="","",$C2436-WEEKDAY($C2436,2)+1)</f>
        <v/>
      </c>
      <c r="E2436">
        <f>IF($C2436="","",DATE(YEAR($C2436),MONTH($C2436),1))</f>
        <v/>
      </c>
      <c r="F2436">
        <f>IF($C2436="","",YEAR($C2436)&amp;"-Q"&amp;ROUNDUP(MONTH($C2436)/3,0))</f>
        <v/>
      </c>
      <c r="L2436">
        <f>IF($G2436&lt;&gt;"ALCOHOL","",IF($K2436="","",$H2436*IFERROR(VLOOKUP($K2436,Drink_Templates!$A:$G,7,FALSE),0)))</f>
        <v/>
      </c>
    </row>
    <row r="2437" ht="15" customHeight="1">
      <c r="C2437">
        <f>IF($B2437="","",INT($B2437))</f>
        <v/>
      </c>
      <c r="D2437">
        <f>IF($C2437="","",$C2437-WEEKDAY($C2437,2)+1)</f>
        <v/>
      </c>
      <c r="E2437">
        <f>IF($C2437="","",DATE(YEAR($C2437),MONTH($C2437),1))</f>
        <v/>
      </c>
      <c r="F2437">
        <f>IF($C2437="","",YEAR($C2437)&amp;"-Q"&amp;ROUNDUP(MONTH($C2437)/3,0))</f>
        <v/>
      </c>
      <c r="L2437">
        <f>IF($G2437&lt;&gt;"ALCOHOL","",IF($K2437="","",$H2437*IFERROR(VLOOKUP($K2437,Drink_Templates!$A:$G,7,FALSE),0)))</f>
        <v/>
      </c>
    </row>
    <row r="2438" ht="15" customHeight="1">
      <c r="C2438">
        <f>IF($B2438="","",INT($B2438))</f>
        <v/>
      </c>
      <c r="D2438">
        <f>IF($C2438="","",$C2438-WEEKDAY($C2438,2)+1)</f>
        <v/>
      </c>
      <c r="E2438">
        <f>IF($C2438="","",DATE(YEAR($C2438),MONTH($C2438),1))</f>
        <v/>
      </c>
      <c r="F2438">
        <f>IF($C2438="","",YEAR($C2438)&amp;"-Q"&amp;ROUNDUP(MONTH($C2438)/3,0))</f>
        <v/>
      </c>
      <c r="L2438">
        <f>IF($G2438&lt;&gt;"ALCOHOL","",IF($K2438="","",$H2438*IFERROR(VLOOKUP($K2438,Drink_Templates!$A:$G,7,FALSE),0)))</f>
        <v/>
      </c>
    </row>
    <row r="2439" ht="15" customHeight="1">
      <c r="C2439">
        <f>IF($B2439="","",INT($B2439))</f>
        <v/>
      </c>
      <c r="D2439">
        <f>IF($C2439="","",$C2439-WEEKDAY($C2439,2)+1)</f>
        <v/>
      </c>
      <c r="E2439">
        <f>IF($C2439="","",DATE(YEAR($C2439),MONTH($C2439),1))</f>
        <v/>
      </c>
      <c r="F2439">
        <f>IF($C2439="","",YEAR($C2439)&amp;"-Q"&amp;ROUNDUP(MONTH($C2439)/3,0))</f>
        <v/>
      </c>
      <c r="L2439">
        <f>IF($G2439&lt;&gt;"ALCOHOL","",IF($K2439="","",$H2439*IFERROR(VLOOKUP($K2439,Drink_Templates!$A:$G,7,FALSE),0)))</f>
        <v/>
      </c>
    </row>
    <row r="2440" ht="15" customHeight="1">
      <c r="C2440">
        <f>IF($B2440="","",INT($B2440))</f>
        <v/>
      </c>
      <c r="D2440">
        <f>IF($C2440="","",$C2440-WEEKDAY($C2440,2)+1)</f>
        <v/>
      </c>
      <c r="E2440">
        <f>IF($C2440="","",DATE(YEAR($C2440),MONTH($C2440),1))</f>
        <v/>
      </c>
      <c r="F2440">
        <f>IF($C2440="","",YEAR($C2440)&amp;"-Q"&amp;ROUNDUP(MONTH($C2440)/3,0))</f>
        <v/>
      </c>
      <c r="L2440">
        <f>IF($G2440&lt;&gt;"ALCOHOL","",IF($K2440="","",$H2440*IFERROR(VLOOKUP($K2440,Drink_Templates!$A:$G,7,FALSE),0)))</f>
        <v/>
      </c>
    </row>
    <row r="2441" ht="15" customHeight="1">
      <c r="C2441">
        <f>IF($B2441="","",INT($B2441))</f>
        <v/>
      </c>
      <c r="D2441">
        <f>IF($C2441="","",$C2441-WEEKDAY($C2441,2)+1)</f>
        <v/>
      </c>
      <c r="E2441">
        <f>IF($C2441="","",DATE(YEAR($C2441),MONTH($C2441),1))</f>
        <v/>
      </c>
      <c r="F2441">
        <f>IF($C2441="","",YEAR($C2441)&amp;"-Q"&amp;ROUNDUP(MONTH($C2441)/3,0))</f>
        <v/>
      </c>
      <c r="L2441">
        <f>IF($G2441&lt;&gt;"ALCOHOL","",IF($K2441="","",$H2441*IFERROR(VLOOKUP($K2441,Drink_Templates!$A:$G,7,FALSE),0)))</f>
        <v/>
      </c>
    </row>
    <row r="2442" ht="15" customHeight="1">
      <c r="C2442">
        <f>IF($B2442="","",INT($B2442))</f>
        <v/>
      </c>
      <c r="D2442">
        <f>IF($C2442="","",$C2442-WEEKDAY($C2442,2)+1)</f>
        <v/>
      </c>
      <c r="E2442">
        <f>IF($C2442="","",DATE(YEAR($C2442),MONTH($C2442),1))</f>
        <v/>
      </c>
      <c r="F2442">
        <f>IF($C2442="","",YEAR($C2442)&amp;"-Q"&amp;ROUNDUP(MONTH($C2442)/3,0))</f>
        <v/>
      </c>
      <c r="L2442">
        <f>IF($G2442&lt;&gt;"ALCOHOL","",IF($K2442="","",$H2442*IFERROR(VLOOKUP($K2442,Drink_Templates!$A:$G,7,FALSE),0)))</f>
        <v/>
      </c>
    </row>
    <row r="2443" ht="15" customHeight="1">
      <c r="C2443">
        <f>IF($B2443="","",INT($B2443))</f>
        <v/>
      </c>
      <c r="D2443">
        <f>IF($C2443="","",$C2443-WEEKDAY($C2443,2)+1)</f>
        <v/>
      </c>
      <c r="E2443">
        <f>IF($C2443="","",DATE(YEAR($C2443),MONTH($C2443),1))</f>
        <v/>
      </c>
      <c r="F2443">
        <f>IF($C2443="","",YEAR($C2443)&amp;"-Q"&amp;ROUNDUP(MONTH($C2443)/3,0))</f>
        <v/>
      </c>
      <c r="L2443">
        <f>IF($G2443&lt;&gt;"ALCOHOL","",IF($K2443="","",$H2443*IFERROR(VLOOKUP($K2443,Drink_Templates!$A:$G,7,FALSE),0)))</f>
        <v/>
      </c>
    </row>
    <row r="2444" ht="15" customHeight="1">
      <c r="C2444">
        <f>IF($B2444="","",INT($B2444))</f>
        <v/>
      </c>
      <c r="D2444">
        <f>IF($C2444="","",$C2444-WEEKDAY($C2444,2)+1)</f>
        <v/>
      </c>
      <c r="E2444">
        <f>IF($C2444="","",DATE(YEAR($C2444),MONTH($C2444),1))</f>
        <v/>
      </c>
      <c r="F2444">
        <f>IF($C2444="","",YEAR($C2444)&amp;"-Q"&amp;ROUNDUP(MONTH($C2444)/3,0))</f>
        <v/>
      </c>
      <c r="L2444">
        <f>IF($G2444&lt;&gt;"ALCOHOL","",IF($K2444="","",$H2444*IFERROR(VLOOKUP($K2444,Drink_Templates!$A:$G,7,FALSE),0)))</f>
        <v/>
      </c>
    </row>
    <row r="2445" ht="15" customHeight="1">
      <c r="C2445">
        <f>IF($B2445="","",INT($B2445))</f>
        <v/>
      </c>
      <c r="D2445">
        <f>IF($C2445="","",$C2445-WEEKDAY($C2445,2)+1)</f>
        <v/>
      </c>
      <c r="E2445">
        <f>IF($C2445="","",DATE(YEAR($C2445),MONTH($C2445),1))</f>
        <v/>
      </c>
      <c r="F2445">
        <f>IF($C2445="","",YEAR($C2445)&amp;"-Q"&amp;ROUNDUP(MONTH($C2445)/3,0))</f>
        <v/>
      </c>
      <c r="L2445">
        <f>IF($G2445&lt;&gt;"ALCOHOL","",IF($K2445="","",$H2445*IFERROR(VLOOKUP($K2445,Drink_Templates!$A:$G,7,FALSE),0)))</f>
        <v/>
      </c>
    </row>
    <row r="2446" ht="15" customHeight="1">
      <c r="C2446">
        <f>IF($B2446="","",INT($B2446))</f>
        <v/>
      </c>
      <c r="D2446">
        <f>IF($C2446="","",$C2446-WEEKDAY($C2446,2)+1)</f>
        <v/>
      </c>
      <c r="E2446">
        <f>IF($C2446="","",DATE(YEAR($C2446),MONTH($C2446),1))</f>
        <v/>
      </c>
      <c r="F2446">
        <f>IF($C2446="","",YEAR($C2446)&amp;"-Q"&amp;ROUNDUP(MONTH($C2446)/3,0))</f>
        <v/>
      </c>
      <c r="L2446">
        <f>IF($G2446&lt;&gt;"ALCOHOL","",IF($K2446="","",$H2446*IFERROR(VLOOKUP($K2446,Drink_Templates!$A:$G,7,FALSE),0)))</f>
        <v/>
      </c>
    </row>
    <row r="2447" ht="15" customHeight="1">
      <c r="C2447">
        <f>IF($B2447="","",INT($B2447))</f>
        <v/>
      </c>
      <c r="D2447">
        <f>IF($C2447="","",$C2447-WEEKDAY($C2447,2)+1)</f>
        <v/>
      </c>
      <c r="E2447">
        <f>IF($C2447="","",DATE(YEAR($C2447),MONTH($C2447),1))</f>
        <v/>
      </c>
      <c r="F2447">
        <f>IF($C2447="","",YEAR($C2447)&amp;"-Q"&amp;ROUNDUP(MONTH($C2447)/3,0))</f>
        <v/>
      </c>
      <c r="L2447">
        <f>IF($G2447&lt;&gt;"ALCOHOL","",IF($K2447="","",$H2447*IFERROR(VLOOKUP($K2447,Drink_Templates!$A:$G,7,FALSE),0)))</f>
        <v/>
      </c>
    </row>
    <row r="2448" ht="15" customHeight="1">
      <c r="C2448">
        <f>IF($B2448="","",INT($B2448))</f>
        <v/>
      </c>
      <c r="D2448">
        <f>IF($C2448="","",$C2448-WEEKDAY($C2448,2)+1)</f>
        <v/>
      </c>
      <c r="E2448">
        <f>IF($C2448="","",DATE(YEAR($C2448),MONTH($C2448),1))</f>
        <v/>
      </c>
      <c r="F2448">
        <f>IF($C2448="","",YEAR($C2448)&amp;"-Q"&amp;ROUNDUP(MONTH($C2448)/3,0))</f>
        <v/>
      </c>
      <c r="L2448">
        <f>IF($G2448&lt;&gt;"ALCOHOL","",IF($K2448="","",$H2448*IFERROR(VLOOKUP($K2448,Drink_Templates!$A:$G,7,FALSE),0)))</f>
        <v/>
      </c>
    </row>
    <row r="2449" ht="15" customHeight="1">
      <c r="C2449">
        <f>IF($B2449="","",INT($B2449))</f>
        <v/>
      </c>
      <c r="D2449">
        <f>IF($C2449="","",$C2449-WEEKDAY($C2449,2)+1)</f>
        <v/>
      </c>
      <c r="E2449">
        <f>IF($C2449="","",DATE(YEAR($C2449),MONTH($C2449),1))</f>
        <v/>
      </c>
      <c r="F2449">
        <f>IF($C2449="","",YEAR($C2449)&amp;"-Q"&amp;ROUNDUP(MONTH($C2449)/3,0))</f>
        <v/>
      </c>
      <c r="L2449">
        <f>IF($G2449&lt;&gt;"ALCOHOL","",IF($K2449="","",$H2449*IFERROR(VLOOKUP($K2449,Drink_Templates!$A:$G,7,FALSE),0)))</f>
        <v/>
      </c>
    </row>
    <row r="2450" ht="15" customHeight="1">
      <c r="C2450">
        <f>IF($B2450="","",INT($B2450))</f>
        <v/>
      </c>
      <c r="D2450">
        <f>IF($C2450="","",$C2450-WEEKDAY($C2450,2)+1)</f>
        <v/>
      </c>
      <c r="E2450">
        <f>IF($C2450="","",DATE(YEAR($C2450),MONTH($C2450),1))</f>
        <v/>
      </c>
      <c r="F2450">
        <f>IF($C2450="","",YEAR($C2450)&amp;"-Q"&amp;ROUNDUP(MONTH($C2450)/3,0))</f>
        <v/>
      </c>
      <c r="L2450">
        <f>IF($G2450&lt;&gt;"ALCOHOL","",IF($K2450="","",$H2450*IFERROR(VLOOKUP($K2450,Drink_Templates!$A:$G,7,FALSE),0)))</f>
        <v/>
      </c>
    </row>
    <row r="2451" ht="15" customHeight="1">
      <c r="C2451">
        <f>IF($B2451="","",INT($B2451))</f>
        <v/>
      </c>
      <c r="D2451">
        <f>IF($C2451="","",$C2451-WEEKDAY($C2451,2)+1)</f>
        <v/>
      </c>
      <c r="E2451">
        <f>IF($C2451="","",DATE(YEAR($C2451),MONTH($C2451),1))</f>
        <v/>
      </c>
      <c r="F2451">
        <f>IF($C2451="","",YEAR($C2451)&amp;"-Q"&amp;ROUNDUP(MONTH($C2451)/3,0))</f>
        <v/>
      </c>
      <c r="L2451">
        <f>IF($G2451&lt;&gt;"ALCOHOL","",IF($K2451="","",$H2451*IFERROR(VLOOKUP($K2451,Drink_Templates!$A:$G,7,FALSE),0)))</f>
        <v/>
      </c>
    </row>
    <row r="2452" ht="15" customHeight="1">
      <c r="C2452">
        <f>IF($B2452="","",INT($B2452))</f>
        <v/>
      </c>
      <c r="D2452">
        <f>IF($C2452="","",$C2452-WEEKDAY($C2452,2)+1)</f>
        <v/>
      </c>
      <c r="E2452">
        <f>IF($C2452="","",DATE(YEAR($C2452),MONTH($C2452),1))</f>
        <v/>
      </c>
      <c r="F2452">
        <f>IF($C2452="","",YEAR($C2452)&amp;"-Q"&amp;ROUNDUP(MONTH($C2452)/3,0))</f>
        <v/>
      </c>
      <c r="L2452">
        <f>IF($G2452&lt;&gt;"ALCOHOL","",IF($K2452="","",$H2452*IFERROR(VLOOKUP($K2452,Drink_Templates!$A:$G,7,FALSE),0)))</f>
        <v/>
      </c>
    </row>
    <row r="2453" ht="15" customHeight="1">
      <c r="C2453">
        <f>IF($B2453="","",INT($B2453))</f>
        <v/>
      </c>
      <c r="D2453">
        <f>IF($C2453="","",$C2453-WEEKDAY($C2453,2)+1)</f>
        <v/>
      </c>
      <c r="E2453">
        <f>IF($C2453="","",DATE(YEAR($C2453),MONTH($C2453),1))</f>
        <v/>
      </c>
      <c r="F2453">
        <f>IF($C2453="","",YEAR($C2453)&amp;"-Q"&amp;ROUNDUP(MONTH($C2453)/3,0))</f>
        <v/>
      </c>
      <c r="L2453">
        <f>IF($G2453&lt;&gt;"ALCOHOL","",IF($K2453="","",$H2453*IFERROR(VLOOKUP($K2453,Drink_Templates!$A:$G,7,FALSE),0)))</f>
        <v/>
      </c>
    </row>
    <row r="2454" ht="15" customHeight="1">
      <c r="C2454">
        <f>IF($B2454="","",INT($B2454))</f>
        <v/>
      </c>
      <c r="D2454">
        <f>IF($C2454="","",$C2454-WEEKDAY($C2454,2)+1)</f>
        <v/>
      </c>
      <c r="E2454">
        <f>IF($C2454="","",DATE(YEAR($C2454),MONTH($C2454),1))</f>
        <v/>
      </c>
      <c r="F2454">
        <f>IF($C2454="","",YEAR($C2454)&amp;"-Q"&amp;ROUNDUP(MONTH($C2454)/3,0))</f>
        <v/>
      </c>
      <c r="L2454">
        <f>IF($G2454&lt;&gt;"ALCOHOL","",IF($K2454="","",$H2454*IFERROR(VLOOKUP($K2454,Drink_Templates!$A:$G,7,FALSE),0)))</f>
        <v/>
      </c>
    </row>
    <row r="2455" ht="15" customHeight="1">
      <c r="C2455">
        <f>IF($B2455="","",INT($B2455))</f>
        <v/>
      </c>
      <c r="D2455">
        <f>IF($C2455="","",$C2455-WEEKDAY($C2455,2)+1)</f>
        <v/>
      </c>
      <c r="E2455">
        <f>IF($C2455="","",DATE(YEAR($C2455),MONTH($C2455),1))</f>
        <v/>
      </c>
      <c r="F2455">
        <f>IF($C2455="","",YEAR($C2455)&amp;"-Q"&amp;ROUNDUP(MONTH($C2455)/3,0))</f>
        <v/>
      </c>
      <c r="L2455">
        <f>IF($G2455&lt;&gt;"ALCOHOL","",IF($K2455="","",$H2455*IFERROR(VLOOKUP($K2455,Drink_Templates!$A:$G,7,FALSE),0)))</f>
        <v/>
      </c>
    </row>
    <row r="2456" ht="15" customHeight="1">
      <c r="C2456">
        <f>IF($B2456="","",INT($B2456))</f>
        <v/>
      </c>
      <c r="D2456">
        <f>IF($C2456="","",$C2456-WEEKDAY($C2456,2)+1)</f>
        <v/>
      </c>
      <c r="E2456">
        <f>IF($C2456="","",DATE(YEAR($C2456),MONTH($C2456),1))</f>
        <v/>
      </c>
      <c r="F2456">
        <f>IF($C2456="","",YEAR($C2456)&amp;"-Q"&amp;ROUNDUP(MONTH($C2456)/3,0))</f>
        <v/>
      </c>
      <c r="L2456">
        <f>IF($G2456&lt;&gt;"ALCOHOL","",IF($K2456="","",$H2456*IFERROR(VLOOKUP($K2456,Drink_Templates!$A:$G,7,FALSE),0)))</f>
        <v/>
      </c>
    </row>
    <row r="2457" ht="15" customHeight="1">
      <c r="C2457">
        <f>IF($B2457="","",INT($B2457))</f>
        <v/>
      </c>
      <c r="D2457">
        <f>IF($C2457="","",$C2457-WEEKDAY($C2457,2)+1)</f>
        <v/>
      </c>
      <c r="E2457">
        <f>IF($C2457="","",DATE(YEAR($C2457),MONTH($C2457),1))</f>
        <v/>
      </c>
      <c r="F2457">
        <f>IF($C2457="","",YEAR($C2457)&amp;"-Q"&amp;ROUNDUP(MONTH($C2457)/3,0))</f>
        <v/>
      </c>
      <c r="L2457">
        <f>IF($G2457&lt;&gt;"ALCOHOL","",IF($K2457="","",$H2457*IFERROR(VLOOKUP($K2457,Drink_Templates!$A:$G,7,FALSE),0)))</f>
        <v/>
      </c>
    </row>
    <row r="2458" ht="15" customHeight="1">
      <c r="C2458">
        <f>IF($B2458="","",INT($B2458))</f>
        <v/>
      </c>
      <c r="D2458">
        <f>IF($C2458="","",$C2458-WEEKDAY($C2458,2)+1)</f>
        <v/>
      </c>
      <c r="E2458">
        <f>IF($C2458="","",DATE(YEAR($C2458),MONTH($C2458),1))</f>
        <v/>
      </c>
      <c r="F2458">
        <f>IF($C2458="","",YEAR($C2458)&amp;"-Q"&amp;ROUNDUP(MONTH($C2458)/3,0))</f>
        <v/>
      </c>
      <c r="L2458">
        <f>IF($G2458&lt;&gt;"ALCOHOL","",IF($K2458="","",$H2458*IFERROR(VLOOKUP($K2458,Drink_Templates!$A:$G,7,FALSE),0)))</f>
        <v/>
      </c>
    </row>
    <row r="2459" ht="15" customHeight="1">
      <c r="C2459">
        <f>IF($B2459="","",INT($B2459))</f>
        <v/>
      </c>
      <c r="D2459">
        <f>IF($C2459="","",$C2459-WEEKDAY($C2459,2)+1)</f>
        <v/>
      </c>
      <c r="E2459">
        <f>IF($C2459="","",DATE(YEAR($C2459),MONTH($C2459),1))</f>
        <v/>
      </c>
      <c r="F2459">
        <f>IF($C2459="","",YEAR($C2459)&amp;"-Q"&amp;ROUNDUP(MONTH($C2459)/3,0))</f>
        <v/>
      </c>
      <c r="L2459">
        <f>IF($G2459&lt;&gt;"ALCOHOL","",IF($K2459="","",$H2459*IFERROR(VLOOKUP($K2459,Drink_Templates!$A:$G,7,FALSE),0)))</f>
        <v/>
      </c>
    </row>
    <row r="2460" ht="15" customHeight="1">
      <c r="C2460">
        <f>IF($B2460="","",INT($B2460))</f>
        <v/>
      </c>
      <c r="D2460">
        <f>IF($C2460="","",$C2460-WEEKDAY($C2460,2)+1)</f>
        <v/>
      </c>
      <c r="E2460">
        <f>IF($C2460="","",DATE(YEAR($C2460),MONTH($C2460),1))</f>
        <v/>
      </c>
      <c r="F2460">
        <f>IF($C2460="","",YEAR($C2460)&amp;"-Q"&amp;ROUNDUP(MONTH($C2460)/3,0))</f>
        <v/>
      </c>
      <c r="L2460">
        <f>IF($G2460&lt;&gt;"ALCOHOL","",IF($K2460="","",$H2460*IFERROR(VLOOKUP($K2460,Drink_Templates!$A:$G,7,FALSE),0)))</f>
        <v/>
      </c>
    </row>
    <row r="2461" ht="15" customHeight="1">
      <c r="C2461">
        <f>IF($B2461="","",INT($B2461))</f>
        <v/>
      </c>
      <c r="D2461">
        <f>IF($C2461="","",$C2461-WEEKDAY($C2461,2)+1)</f>
        <v/>
      </c>
      <c r="E2461">
        <f>IF($C2461="","",DATE(YEAR($C2461),MONTH($C2461),1))</f>
        <v/>
      </c>
      <c r="F2461">
        <f>IF($C2461="","",YEAR($C2461)&amp;"-Q"&amp;ROUNDUP(MONTH($C2461)/3,0))</f>
        <v/>
      </c>
      <c r="L2461">
        <f>IF($G2461&lt;&gt;"ALCOHOL","",IF($K2461="","",$H2461*IFERROR(VLOOKUP($K2461,Drink_Templates!$A:$G,7,FALSE),0)))</f>
        <v/>
      </c>
    </row>
    <row r="2462" ht="15" customHeight="1">
      <c r="C2462">
        <f>IF($B2462="","",INT($B2462))</f>
        <v/>
      </c>
      <c r="D2462">
        <f>IF($C2462="","",$C2462-WEEKDAY($C2462,2)+1)</f>
        <v/>
      </c>
      <c r="E2462">
        <f>IF($C2462="","",DATE(YEAR($C2462),MONTH($C2462),1))</f>
        <v/>
      </c>
      <c r="F2462">
        <f>IF($C2462="","",YEAR($C2462)&amp;"-Q"&amp;ROUNDUP(MONTH($C2462)/3,0))</f>
        <v/>
      </c>
      <c r="L2462">
        <f>IF($G2462&lt;&gt;"ALCOHOL","",IF($K2462="","",$H2462*IFERROR(VLOOKUP($K2462,Drink_Templates!$A:$G,7,FALSE),0)))</f>
        <v/>
      </c>
    </row>
    <row r="2463" ht="15" customHeight="1">
      <c r="C2463">
        <f>IF($B2463="","",INT($B2463))</f>
        <v/>
      </c>
      <c r="D2463">
        <f>IF($C2463="","",$C2463-WEEKDAY($C2463,2)+1)</f>
        <v/>
      </c>
      <c r="E2463">
        <f>IF($C2463="","",DATE(YEAR($C2463),MONTH($C2463),1))</f>
        <v/>
      </c>
      <c r="F2463">
        <f>IF($C2463="","",YEAR($C2463)&amp;"-Q"&amp;ROUNDUP(MONTH($C2463)/3,0))</f>
        <v/>
      </c>
      <c r="L2463">
        <f>IF($G2463&lt;&gt;"ALCOHOL","",IF($K2463="","",$H2463*IFERROR(VLOOKUP($K2463,Drink_Templates!$A:$G,7,FALSE),0)))</f>
        <v/>
      </c>
    </row>
    <row r="2464" ht="15" customHeight="1">
      <c r="C2464">
        <f>IF($B2464="","",INT($B2464))</f>
        <v/>
      </c>
      <c r="D2464">
        <f>IF($C2464="","",$C2464-WEEKDAY($C2464,2)+1)</f>
        <v/>
      </c>
      <c r="E2464">
        <f>IF($C2464="","",DATE(YEAR($C2464),MONTH($C2464),1))</f>
        <v/>
      </c>
      <c r="F2464">
        <f>IF($C2464="","",YEAR($C2464)&amp;"-Q"&amp;ROUNDUP(MONTH($C2464)/3,0))</f>
        <v/>
      </c>
      <c r="L2464">
        <f>IF($G2464&lt;&gt;"ALCOHOL","",IF($K2464="","",$H2464*IFERROR(VLOOKUP($K2464,Drink_Templates!$A:$G,7,FALSE),0)))</f>
        <v/>
      </c>
    </row>
    <row r="2465" ht="15" customHeight="1">
      <c r="C2465">
        <f>IF($B2465="","",INT($B2465))</f>
        <v/>
      </c>
      <c r="D2465">
        <f>IF($C2465="","",$C2465-WEEKDAY($C2465,2)+1)</f>
        <v/>
      </c>
      <c r="E2465">
        <f>IF($C2465="","",DATE(YEAR($C2465),MONTH($C2465),1))</f>
        <v/>
      </c>
      <c r="F2465">
        <f>IF($C2465="","",YEAR($C2465)&amp;"-Q"&amp;ROUNDUP(MONTH($C2465)/3,0))</f>
        <v/>
      </c>
      <c r="L2465">
        <f>IF($G2465&lt;&gt;"ALCOHOL","",IF($K2465="","",$H2465*IFERROR(VLOOKUP($K2465,Drink_Templates!$A:$G,7,FALSE),0)))</f>
        <v/>
      </c>
    </row>
    <row r="2466" ht="15" customHeight="1">
      <c r="C2466">
        <f>IF($B2466="","",INT($B2466))</f>
        <v/>
      </c>
      <c r="D2466">
        <f>IF($C2466="","",$C2466-WEEKDAY($C2466,2)+1)</f>
        <v/>
      </c>
      <c r="E2466">
        <f>IF($C2466="","",DATE(YEAR($C2466),MONTH($C2466),1))</f>
        <v/>
      </c>
      <c r="F2466">
        <f>IF($C2466="","",YEAR($C2466)&amp;"-Q"&amp;ROUNDUP(MONTH($C2466)/3,0))</f>
        <v/>
      </c>
      <c r="L2466">
        <f>IF($G2466&lt;&gt;"ALCOHOL","",IF($K2466="","",$H2466*IFERROR(VLOOKUP($K2466,Drink_Templates!$A:$G,7,FALSE),0)))</f>
        <v/>
      </c>
    </row>
    <row r="2467" ht="15" customHeight="1">
      <c r="C2467">
        <f>IF($B2467="","",INT($B2467))</f>
        <v/>
      </c>
      <c r="D2467">
        <f>IF($C2467="","",$C2467-WEEKDAY($C2467,2)+1)</f>
        <v/>
      </c>
      <c r="E2467">
        <f>IF($C2467="","",DATE(YEAR($C2467),MONTH($C2467),1))</f>
        <v/>
      </c>
      <c r="F2467">
        <f>IF($C2467="","",YEAR($C2467)&amp;"-Q"&amp;ROUNDUP(MONTH($C2467)/3,0))</f>
        <v/>
      </c>
      <c r="L2467">
        <f>IF($G2467&lt;&gt;"ALCOHOL","",IF($K2467="","",$H2467*IFERROR(VLOOKUP($K2467,Drink_Templates!$A:$G,7,FALSE),0)))</f>
        <v/>
      </c>
    </row>
    <row r="2468" ht="15" customHeight="1">
      <c r="C2468">
        <f>IF($B2468="","",INT($B2468))</f>
        <v/>
      </c>
      <c r="D2468">
        <f>IF($C2468="","",$C2468-WEEKDAY($C2468,2)+1)</f>
        <v/>
      </c>
      <c r="E2468">
        <f>IF($C2468="","",DATE(YEAR($C2468),MONTH($C2468),1))</f>
        <v/>
      </c>
      <c r="F2468">
        <f>IF($C2468="","",YEAR($C2468)&amp;"-Q"&amp;ROUNDUP(MONTH($C2468)/3,0))</f>
        <v/>
      </c>
      <c r="L2468">
        <f>IF($G2468&lt;&gt;"ALCOHOL","",IF($K2468="","",$H2468*IFERROR(VLOOKUP($K2468,Drink_Templates!$A:$G,7,FALSE),0)))</f>
        <v/>
      </c>
    </row>
    <row r="2469" ht="15" customHeight="1">
      <c r="C2469">
        <f>IF($B2469="","",INT($B2469))</f>
        <v/>
      </c>
      <c r="D2469">
        <f>IF($C2469="","",$C2469-WEEKDAY($C2469,2)+1)</f>
        <v/>
      </c>
      <c r="E2469">
        <f>IF($C2469="","",DATE(YEAR($C2469),MONTH($C2469),1))</f>
        <v/>
      </c>
      <c r="F2469">
        <f>IF($C2469="","",YEAR($C2469)&amp;"-Q"&amp;ROUNDUP(MONTH($C2469)/3,0))</f>
        <v/>
      </c>
      <c r="L2469">
        <f>IF($G2469&lt;&gt;"ALCOHOL","",IF($K2469="","",$H2469*IFERROR(VLOOKUP($K2469,Drink_Templates!$A:$G,7,FALSE),0)))</f>
        <v/>
      </c>
    </row>
    <row r="2470" ht="15" customHeight="1">
      <c r="C2470">
        <f>IF($B2470="","",INT($B2470))</f>
        <v/>
      </c>
      <c r="D2470">
        <f>IF($C2470="","",$C2470-WEEKDAY($C2470,2)+1)</f>
        <v/>
      </c>
      <c r="E2470">
        <f>IF($C2470="","",DATE(YEAR($C2470),MONTH($C2470),1))</f>
        <v/>
      </c>
      <c r="F2470">
        <f>IF($C2470="","",YEAR($C2470)&amp;"-Q"&amp;ROUNDUP(MONTH($C2470)/3,0))</f>
        <v/>
      </c>
      <c r="L2470">
        <f>IF($G2470&lt;&gt;"ALCOHOL","",IF($K2470="","",$H2470*IFERROR(VLOOKUP($K2470,Drink_Templates!$A:$G,7,FALSE),0)))</f>
        <v/>
      </c>
    </row>
    <row r="2471" ht="15" customHeight="1">
      <c r="C2471">
        <f>IF($B2471="","",INT($B2471))</f>
        <v/>
      </c>
      <c r="D2471">
        <f>IF($C2471="","",$C2471-WEEKDAY($C2471,2)+1)</f>
        <v/>
      </c>
      <c r="E2471">
        <f>IF($C2471="","",DATE(YEAR($C2471),MONTH($C2471),1))</f>
        <v/>
      </c>
      <c r="F2471">
        <f>IF($C2471="","",YEAR($C2471)&amp;"-Q"&amp;ROUNDUP(MONTH($C2471)/3,0))</f>
        <v/>
      </c>
      <c r="L2471">
        <f>IF($G2471&lt;&gt;"ALCOHOL","",IF($K2471="","",$H2471*IFERROR(VLOOKUP($K2471,Drink_Templates!$A:$G,7,FALSE),0)))</f>
        <v/>
      </c>
    </row>
    <row r="2472" ht="15" customHeight="1">
      <c r="C2472">
        <f>IF($B2472="","",INT($B2472))</f>
        <v/>
      </c>
      <c r="D2472">
        <f>IF($C2472="","",$C2472-WEEKDAY($C2472,2)+1)</f>
        <v/>
      </c>
      <c r="E2472">
        <f>IF($C2472="","",DATE(YEAR($C2472),MONTH($C2472),1))</f>
        <v/>
      </c>
      <c r="F2472">
        <f>IF($C2472="","",YEAR($C2472)&amp;"-Q"&amp;ROUNDUP(MONTH($C2472)/3,0))</f>
        <v/>
      </c>
      <c r="L2472">
        <f>IF($G2472&lt;&gt;"ALCOHOL","",IF($K2472="","",$H2472*IFERROR(VLOOKUP($K2472,Drink_Templates!$A:$G,7,FALSE),0)))</f>
        <v/>
      </c>
    </row>
    <row r="2473" ht="15" customHeight="1">
      <c r="C2473">
        <f>IF($B2473="","",INT($B2473))</f>
        <v/>
      </c>
      <c r="D2473">
        <f>IF($C2473="","",$C2473-WEEKDAY($C2473,2)+1)</f>
        <v/>
      </c>
      <c r="E2473">
        <f>IF($C2473="","",DATE(YEAR($C2473),MONTH($C2473),1))</f>
        <v/>
      </c>
      <c r="F2473">
        <f>IF($C2473="","",YEAR($C2473)&amp;"-Q"&amp;ROUNDUP(MONTH($C2473)/3,0))</f>
        <v/>
      </c>
      <c r="L2473">
        <f>IF($G2473&lt;&gt;"ALCOHOL","",IF($K2473="","",$H2473*IFERROR(VLOOKUP($K2473,Drink_Templates!$A:$G,7,FALSE),0)))</f>
        <v/>
      </c>
    </row>
    <row r="2474" ht="15" customHeight="1">
      <c r="C2474">
        <f>IF($B2474="","",INT($B2474))</f>
        <v/>
      </c>
      <c r="D2474">
        <f>IF($C2474="","",$C2474-WEEKDAY($C2474,2)+1)</f>
        <v/>
      </c>
      <c r="E2474">
        <f>IF($C2474="","",DATE(YEAR($C2474),MONTH($C2474),1))</f>
        <v/>
      </c>
      <c r="F2474">
        <f>IF($C2474="","",YEAR($C2474)&amp;"-Q"&amp;ROUNDUP(MONTH($C2474)/3,0))</f>
        <v/>
      </c>
      <c r="L2474">
        <f>IF($G2474&lt;&gt;"ALCOHOL","",IF($K2474="","",$H2474*IFERROR(VLOOKUP($K2474,Drink_Templates!$A:$G,7,FALSE),0)))</f>
        <v/>
      </c>
    </row>
    <row r="2475" ht="15" customHeight="1">
      <c r="C2475">
        <f>IF($B2475="","",INT($B2475))</f>
        <v/>
      </c>
      <c r="D2475">
        <f>IF($C2475="","",$C2475-WEEKDAY($C2475,2)+1)</f>
        <v/>
      </c>
      <c r="E2475">
        <f>IF($C2475="","",DATE(YEAR($C2475),MONTH($C2475),1))</f>
        <v/>
      </c>
      <c r="F2475">
        <f>IF($C2475="","",YEAR($C2475)&amp;"-Q"&amp;ROUNDUP(MONTH($C2475)/3,0))</f>
        <v/>
      </c>
      <c r="L2475">
        <f>IF($G2475&lt;&gt;"ALCOHOL","",IF($K2475="","",$H2475*IFERROR(VLOOKUP($K2475,Drink_Templates!$A:$G,7,FALSE),0)))</f>
        <v/>
      </c>
    </row>
    <row r="2476" ht="15" customHeight="1">
      <c r="C2476">
        <f>IF($B2476="","",INT($B2476))</f>
        <v/>
      </c>
      <c r="D2476">
        <f>IF($C2476="","",$C2476-WEEKDAY($C2476,2)+1)</f>
        <v/>
      </c>
      <c r="E2476">
        <f>IF($C2476="","",DATE(YEAR($C2476),MONTH($C2476),1))</f>
        <v/>
      </c>
      <c r="F2476">
        <f>IF($C2476="","",YEAR($C2476)&amp;"-Q"&amp;ROUNDUP(MONTH($C2476)/3,0))</f>
        <v/>
      </c>
      <c r="L2476">
        <f>IF($G2476&lt;&gt;"ALCOHOL","",IF($K2476="","",$H2476*IFERROR(VLOOKUP($K2476,Drink_Templates!$A:$G,7,FALSE),0)))</f>
        <v/>
      </c>
    </row>
    <row r="2477" ht="15" customHeight="1">
      <c r="C2477">
        <f>IF($B2477="","",INT($B2477))</f>
        <v/>
      </c>
      <c r="D2477">
        <f>IF($C2477="","",$C2477-WEEKDAY($C2477,2)+1)</f>
        <v/>
      </c>
      <c r="E2477">
        <f>IF($C2477="","",DATE(YEAR($C2477),MONTH($C2477),1))</f>
        <v/>
      </c>
      <c r="F2477">
        <f>IF($C2477="","",YEAR($C2477)&amp;"-Q"&amp;ROUNDUP(MONTH($C2477)/3,0))</f>
        <v/>
      </c>
      <c r="L2477">
        <f>IF($G2477&lt;&gt;"ALCOHOL","",IF($K2477="","",$H2477*IFERROR(VLOOKUP($K2477,Drink_Templates!$A:$G,7,FALSE),0)))</f>
        <v/>
      </c>
    </row>
    <row r="2478" ht="15" customHeight="1">
      <c r="C2478">
        <f>IF($B2478="","",INT($B2478))</f>
        <v/>
      </c>
      <c r="D2478">
        <f>IF($C2478="","",$C2478-WEEKDAY($C2478,2)+1)</f>
        <v/>
      </c>
      <c r="E2478">
        <f>IF($C2478="","",DATE(YEAR($C2478),MONTH($C2478),1))</f>
        <v/>
      </c>
      <c r="F2478">
        <f>IF($C2478="","",YEAR($C2478)&amp;"-Q"&amp;ROUNDUP(MONTH($C2478)/3,0))</f>
        <v/>
      </c>
      <c r="L2478">
        <f>IF($G2478&lt;&gt;"ALCOHOL","",IF($K2478="","",$H2478*IFERROR(VLOOKUP($K2478,Drink_Templates!$A:$G,7,FALSE),0)))</f>
        <v/>
      </c>
    </row>
    <row r="2479" ht="15" customHeight="1">
      <c r="C2479">
        <f>IF($B2479="","",INT($B2479))</f>
        <v/>
      </c>
      <c r="D2479">
        <f>IF($C2479="","",$C2479-WEEKDAY($C2479,2)+1)</f>
        <v/>
      </c>
      <c r="E2479">
        <f>IF($C2479="","",DATE(YEAR($C2479),MONTH($C2479),1))</f>
        <v/>
      </c>
      <c r="F2479">
        <f>IF($C2479="","",YEAR($C2479)&amp;"-Q"&amp;ROUNDUP(MONTH($C2479)/3,0))</f>
        <v/>
      </c>
      <c r="L2479">
        <f>IF($G2479&lt;&gt;"ALCOHOL","",IF($K2479="","",$H2479*IFERROR(VLOOKUP($K2479,Drink_Templates!$A:$G,7,FALSE),0)))</f>
        <v/>
      </c>
    </row>
    <row r="2480" ht="15" customHeight="1">
      <c r="C2480">
        <f>IF($B2480="","",INT($B2480))</f>
        <v/>
      </c>
      <c r="D2480">
        <f>IF($C2480="","",$C2480-WEEKDAY($C2480,2)+1)</f>
        <v/>
      </c>
      <c r="E2480">
        <f>IF($C2480="","",DATE(YEAR($C2480),MONTH($C2480),1))</f>
        <v/>
      </c>
      <c r="F2480">
        <f>IF($C2480="","",YEAR($C2480)&amp;"-Q"&amp;ROUNDUP(MONTH($C2480)/3,0))</f>
        <v/>
      </c>
      <c r="L2480">
        <f>IF($G2480&lt;&gt;"ALCOHOL","",IF($K2480="","",$H2480*IFERROR(VLOOKUP($K2480,Drink_Templates!$A:$G,7,FALSE),0)))</f>
        <v/>
      </c>
    </row>
    <row r="2481" ht="15" customHeight="1">
      <c r="C2481">
        <f>IF($B2481="","",INT($B2481))</f>
        <v/>
      </c>
      <c r="D2481">
        <f>IF($C2481="","",$C2481-WEEKDAY($C2481,2)+1)</f>
        <v/>
      </c>
      <c r="E2481">
        <f>IF($C2481="","",DATE(YEAR($C2481),MONTH($C2481),1))</f>
        <v/>
      </c>
      <c r="F2481">
        <f>IF($C2481="","",YEAR($C2481)&amp;"-Q"&amp;ROUNDUP(MONTH($C2481)/3,0))</f>
        <v/>
      </c>
      <c r="L2481">
        <f>IF($G2481&lt;&gt;"ALCOHOL","",IF($K2481="","",$H2481*IFERROR(VLOOKUP($K2481,Drink_Templates!$A:$G,7,FALSE),0)))</f>
        <v/>
      </c>
    </row>
    <row r="2482" ht="15" customHeight="1">
      <c r="C2482">
        <f>IF($B2482="","",INT($B2482))</f>
        <v/>
      </c>
      <c r="D2482">
        <f>IF($C2482="","",$C2482-WEEKDAY($C2482,2)+1)</f>
        <v/>
      </c>
      <c r="E2482">
        <f>IF($C2482="","",DATE(YEAR($C2482),MONTH($C2482),1))</f>
        <v/>
      </c>
      <c r="F2482">
        <f>IF($C2482="","",YEAR($C2482)&amp;"-Q"&amp;ROUNDUP(MONTH($C2482)/3,0))</f>
        <v/>
      </c>
      <c r="L2482">
        <f>IF($G2482&lt;&gt;"ALCOHOL","",IF($K2482="","",$H2482*IFERROR(VLOOKUP($K2482,Drink_Templates!$A:$G,7,FALSE),0)))</f>
        <v/>
      </c>
    </row>
    <row r="2483" ht="15" customHeight="1">
      <c r="C2483">
        <f>IF($B2483="","",INT($B2483))</f>
        <v/>
      </c>
      <c r="D2483">
        <f>IF($C2483="","",$C2483-WEEKDAY($C2483,2)+1)</f>
        <v/>
      </c>
      <c r="E2483">
        <f>IF($C2483="","",DATE(YEAR($C2483),MONTH($C2483),1))</f>
        <v/>
      </c>
      <c r="F2483">
        <f>IF($C2483="","",YEAR($C2483)&amp;"-Q"&amp;ROUNDUP(MONTH($C2483)/3,0))</f>
        <v/>
      </c>
      <c r="L2483">
        <f>IF($G2483&lt;&gt;"ALCOHOL","",IF($K2483="","",$H2483*IFERROR(VLOOKUP($K2483,Drink_Templates!$A:$G,7,FALSE),0)))</f>
        <v/>
      </c>
    </row>
    <row r="2484" ht="15" customHeight="1">
      <c r="C2484">
        <f>IF($B2484="","",INT($B2484))</f>
        <v/>
      </c>
      <c r="D2484">
        <f>IF($C2484="","",$C2484-WEEKDAY($C2484,2)+1)</f>
        <v/>
      </c>
      <c r="E2484">
        <f>IF($C2484="","",DATE(YEAR($C2484),MONTH($C2484),1))</f>
        <v/>
      </c>
      <c r="F2484">
        <f>IF($C2484="","",YEAR($C2484)&amp;"-Q"&amp;ROUNDUP(MONTH($C2484)/3,0))</f>
        <v/>
      </c>
      <c r="L2484">
        <f>IF($G2484&lt;&gt;"ALCOHOL","",IF($K2484="","",$H2484*IFERROR(VLOOKUP($K2484,Drink_Templates!$A:$G,7,FALSE),0)))</f>
        <v/>
      </c>
    </row>
    <row r="2485" ht="15" customHeight="1">
      <c r="C2485">
        <f>IF($B2485="","",INT($B2485))</f>
        <v/>
      </c>
      <c r="D2485">
        <f>IF($C2485="","",$C2485-WEEKDAY($C2485,2)+1)</f>
        <v/>
      </c>
      <c r="E2485">
        <f>IF($C2485="","",DATE(YEAR($C2485),MONTH($C2485),1))</f>
        <v/>
      </c>
      <c r="F2485">
        <f>IF($C2485="","",YEAR($C2485)&amp;"-Q"&amp;ROUNDUP(MONTH($C2485)/3,0))</f>
        <v/>
      </c>
      <c r="L2485">
        <f>IF($G2485&lt;&gt;"ALCOHOL","",IF($K2485="","",$H2485*IFERROR(VLOOKUP($K2485,Drink_Templates!$A:$G,7,FALSE),0)))</f>
        <v/>
      </c>
    </row>
    <row r="2486" ht="15" customHeight="1">
      <c r="C2486">
        <f>IF($B2486="","",INT($B2486))</f>
        <v/>
      </c>
      <c r="D2486">
        <f>IF($C2486="","",$C2486-WEEKDAY($C2486,2)+1)</f>
        <v/>
      </c>
      <c r="E2486">
        <f>IF($C2486="","",DATE(YEAR($C2486),MONTH($C2486),1))</f>
        <v/>
      </c>
      <c r="F2486">
        <f>IF($C2486="","",YEAR($C2486)&amp;"-Q"&amp;ROUNDUP(MONTH($C2486)/3,0))</f>
        <v/>
      </c>
      <c r="L2486">
        <f>IF($G2486&lt;&gt;"ALCOHOL","",IF($K2486="","",$H2486*IFERROR(VLOOKUP($K2486,Drink_Templates!$A:$G,7,FALSE),0)))</f>
        <v/>
      </c>
    </row>
    <row r="2487" ht="15" customHeight="1">
      <c r="C2487">
        <f>IF($B2487="","",INT($B2487))</f>
        <v/>
      </c>
      <c r="D2487">
        <f>IF($C2487="","",$C2487-WEEKDAY($C2487,2)+1)</f>
        <v/>
      </c>
      <c r="E2487">
        <f>IF($C2487="","",DATE(YEAR($C2487),MONTH($C2487),1))</f>
        <v/>
      </c>
      <c r="F2487">
        <f>IF($C2487="","",YEAR($C2487)&amp;"-Q"&amp;ROUNDUP(MONTH($C2487)/3,0))</f>
        <v/>
      </c>
      <c r="L2487">
        <f>IF($G2487&lt;&gt;"ALCOHOL","",IF($K2487="","",$H2487*IFERROR(VLOOKUP($K2487,Drink_Templates!$A:$G,7,FALSE),0)))</f>
        <v/>
      </c>
    </row>
    <row r="2488" ht="15" customHeight="1">
      <c r="C2488">
        <f>IF($B2488="","",INT($B2488))</f>
        <v/>
      </c>
      <c r="D2488">
        <f>IF($C2488="","",$C2488-WEEKDAY($C2488,2)+1)</f>
        <v/>
      </c>
      <c r="E2488">
        <f>IF($C2488="","",DATE(YEAR($C2488),MONTH($C2488),1))</f>
        <v/>
      </c>
      <c r="F2488">
        <f>IF($C2488="","",YEAR($C2488)&amp;"-Q"&amp;ROUNDUP(MONTH($C2488)/3,0))</f>
        <v/>
      </c>
      <c r="L2488">
        <f>IF($G2488&lt;&gt;"ALCOHOL","",IF($K2488="","",$H2488*IFERROR(VLOOKUP($K2488,Drink_Templates!$A:$G,7,FALSE),0)))</f>
        <v/>
      </c>
    </row>
    <row r="2489" ht="15" customHeight="1">
      <c r="C2489">
        <f>IF($B2489="","",INT($B2489))</f>
        <v/>
      </c>
      <c r="D2489">
        <f>IF($C2489="","",$C2489-WEEKDAY($C2489,2)+1)</f>
        <v/>
      </c>
      <c r="E2489">
        <f>IF($C2489="","",DATE(YEAR($C2489),MONTH($C2489),1))</f>
        <v/>
      </c>
      <c r="F2489">
        <f>IF($C2489="","",YEAR($C2489)&amp;"-Q"&amp;ROUNDUP(MONTH($C2489)/3,0))</f>
        <v/>
      </c>
      <c r="L2489">
        <f>IF($G2489&lt;&gt;"ALCOHOL","",IF($K2489="","",$H2489*IFERROR(VLOOKUP($K2489,Drink_Templates!$A:$G,7,FALSE),0)))</f>
        <v/>
      </c>
    </row>
    <row r="2490" ht="15" customHeight="1">
      <c r="C2490">
        <f>IF($B2490="","",INT($B2490))</f>
        <v/>
      </c>
      <c r="D2490">
        <f>IF($C2490="","",$C2490-WEEKDAY($C2490,2)+1)</f>
        <v/>
      </c>
      <c r="E2490">
        <f>IF($C2490="","",DATE(YEAR($C2490),MONTH($C2490),1))</f>
        <v/>
      </c>
      <c r="F2490">
        <f>IF($C2490="","",YEAR($C2490)&amp;"-Q"&amp;ROUNDUP(MONTH($C2490)/3,0))</f>
        <v/>
      </c>
      <c r="L2490">
        <f>IF($G2490&lt;&gt;"ALCOHOL","",IF($K2490="","",$H2490*IFERROR(VLOOKUP($K2490,Drink_Templates!$A:$G,7,FALSE),0)))</f>
        <v/>
      </c>
    </row>
    <row r="2491" ht="15" customHeight="1">
      <c r="C2491">
        <f>IF($B2491="","",INT($B2491))</f>
        <v/>
      </c>
      <c r="D2491">
        <f>IF($C2491="","",$C2491-WEEKDAY($C2491,2)+1)</f>
        <v/>
      </c>
      <c r="E2491">
        <f>IF($C2491="","",DATE(YEAR($C2491),MONTH($C2491),1))</f>
        <v/>
      </c>
      <c r="F2491">
        <f>IF($C2491="","",YEAR($C2491)&amp;"-Q"&amp;ROUNDUP(MONTH($C2491)/3,0))</f>
        <v/>
      </c>
      <c r="L2491">
        <f>IF($G2491&lt;&gt;"ALCOHOL","",IF($K2491="","",$H2491*IFERROR(VLOOKUP($K2491,Drink_Templates!$A:$G,7,FALSE),0)))</f>
        <v/>
      </c>
    </row>
    <row r="2492" ht="15" customHeight="1">
      <c r="C2492">
        <f>IF($B2492="","",INT($B2492))</f>
        <v/>
      </c>
      <c r="D2492">
        <f>IF($C2492="","",$C2492-WEEKDAY($C2492,2)+1)</f>
        <v/>
      </c>
      <c r="E2492">
        <f>IF($C2492="","",DATE(YEAR($C2492),MONTH($C2492),1))</f>
        <v/>
      </c>
      <c r="F2492">
        <f>IF($C2492="","",YEAR($C2492)&amp;"-Q"&amp;ROUNDUP(MONTH($C2492)/3,0))</f>
        <v/>
      </c>
      <c r="L2492">
        <f>IF($G2492&lt;&gt;"ALCOHOL","",IF($K2492="","",$H2492*IFERROR(VLOOKUP($K2492,Drink_Templates!$A:$G,7,FALSE),0)))</f>
        <v/>
      </c>
    </row>
    <row r="2493" ht="15" customHeight="1">
      <c r="C2493">
        <f>IF($B2493="","",INT($B2493))</f>
        <v/>
      </c>
      <c r="D2493">
        <f>IF($C2493="","",$C2493-WEEKDAY($C2493,2)+1)</f>
        <v/>
      </c>
      <c r="E2493">
        <f>IF($C2493="","",DATE(YEAR($C2493),MONTH($C2493),1))</f>
        <v/>
      </c>
      <c r="F2493">
        <f>IF($C2493="","",YEAR($C2493)&amp;"-Q"&amp;ROUNDUP(MONTH($C2493)/3,0))</f>
        <v/>
      </c>
      <c r="L2493">
        <f>IF($G2493&lt;&gt;"ALCOHOL","",IF($K2493="","",$H2493*IFERROR(VLOOKUP($K2493,Drink_Templates!$A:$G,7,FALSE),0)))</f>
        <v/>
      </c>
    </row>
    <row r="2494" ht="15" customHeight="1">
      <c r="C2494">
        <f>IF($B2494="","",INT($B2494))</f>
        <v/>
      </c>
      <c r="D2494">
        <f>IF($C2494="","",$C2494-WEEKDAY($C2494,2)+1)</f>
        <v/>
      </c>
      <c r="E2494">
        <f>IF($C2494="","",DATE(YEAR($C2494),MONTH($C2494),1))</f>
        <v/>
      </c>
      <c r="F2494">
        <f>IF($C2494="","",YEAR($C2494)&amp;"-Q"&amp;ROUNDUP(MONTH($C2494)/3,0))</f>
        <v/>
      </c>
      <c r="L2494">
        <f>IF($G2494&lt;&gt;"ALCOHOL","",IF($K2494="","",$H2494*IFERROR(VLOOKUP($K2494,Drink_Templates!$A:$G,7,FALSE),0)))</f>
        <v/>
      </c>
    </row>
    <row r="2495" ht="15" customHeight="1">
      <c r="C2495">
        <f>IF($B2495="","",INT($B2495))</f>
        <v/>
      </c>
      <c r="D2495">
        <f>IF($C2495="","",$C2495-WEEKDAY($C2495,2)+1)</f>
        <v/>
      </c>
      <c r="E2495">
        <f>IF($C2495="","",DATE(YEAR($C2495),MONTH($C2495),1))</f>
        <v/>
      </c>
      <c r="F2495">
        <f>IF($C2495="","",YEAR($C2495)&amp;"-Q"&amp;ROUNDUP(MONTH($C2495)/3,0))</f>
        <v/>
      </c>
      <c r="L2495">
        <f>IF($G2495&lt;&gt;"ALCOHOL","",IF($K2495="","",$H2495*IFERROR(VLOOKUP($K2495,Drink_Templates!$A:$G,7,FALSE),0)))</f>
        <v/>
      </c>
    </row>
    <row r="2496" ht="15" customHeight="1">
      <c r="C2496">
        <f>IF($B2496="","",INT($B2496))</f>
        <v/>
      </c>
      <c r="D2496">
        <f>IF($C2496="","",$C2496-WEEKDAY($C2496,2)+1)</f>
        <v/>
      </c>
      <c r="E2496">
        <f>IF($C2496="","",DATE(YEAR($C2496),MONTH($C2496),1))</f>
        <v/>
      </c>
      <c r="F2496">
        <f>IF($C2496="","",YEAR($C2496)&amp;"-Q"&amp;ROUNDUP(MONTH($C2496)/3,0))</f>
        <v/>
      </c>
      <c r="L2496">
        <f>IF($G2496&lt;&gt;"ALCOHOL","",IF($K2496="","",$H2496*IFERROR(VLOOKUP($K2496,Drink_Templates!$A:$G,7,FALSE),0)))</f>
        <v/>
      </c>
    </row>
    <row r="2497" ht="15" customHeight="1">
      <c r="C2497">
        <f>IF($B2497="","",INT($B2497))</f>
        <v/>
      </c>
      <c r="D2497">
        <f>IF($C2497="","",$C2497-WEEKDAY($C2497,2)+1)</f>
        <v/>
      </c>
      <c r="E2497">
        <f>IF($C2497="","",DATE(YEAR($C2497),MONTH($C2497),1))</f>
        <v/>
      </c>
      <c r="F2497">
        <f>IF($C2497="","",YEAR($C2497)&amp;"-Q"&amp;ROUNDUP(MONTH($C2497)/3,0))</f>
        <v/>
      </c>
      <c r="L2497">
        <f>IF($G2497&lt;&gt;"ALCOHOL","",IF($K2497="","",$H2497*IFERROR(VLOOKUP($K2497,Drink_Templates!$A:$G,7,FALSE),0)))</f>
        <v/>
      </c>
    </row>
    <row r="2498" ht="15" customHeight="1">
      <c r="C2498">
        <f>IF($B2498="","",INT($B2498))</f>
        <v/>
      </c>
      <c r="D2498">
        <f>IF($C2498="","",$C2498-WEEKDAY($C2498,2)+1)</f>
        <v/>
      </c>
      <c r="E2498">
        <f>IF($C2498="","",DATE(YEAR($C2498),MONTH($C2498),1))</f>
        <v/>
      </c>
      <c r="F2498">
        <f>IF($C2498="","",YEAR($C2498)&amp;"-Q"&amp;ROUNDUP(MONTH($C2498)/3,0))</f>
        <v/>
      </c>
      <c r="L2498">
        <f>IF($G2498&lt;&gt;"ALCOHOL","",IF($K2498="","",$H2498*IFERROR(VLOOKUP($K2498,Drink_Templates!$A:$G,7,FALSE),0)))</f>
        <v/>
      </c>
    </row>
    <row r="2499" ht="15" customHeight="1">
      <c r="C2499">
        <f>IF($B2499="","",INT($B2499))</f>
        <v/>
      </c>
      <c r="D2499">
        <f>IF($C2499="","",$C2499-WEEKDAY($C2499,2)+1)</f>
        <v/>
      </c>
      <c r="E2499">
        <f>IF($C2499="","",DATE(YEAR($C2499),MONTH($C2499),1))</f>
        <v/>
      </c>
      <c r="F2499">
        <f>IF($C2499="","",YEAR($C2499)&amp;"-Q"&amp;ROUNDUP(MONTH($C2499)/3,0))</f>
        <v/>
      </c>
      <c r="L2499">
        <f>IF($G2499&lt;&gt;"ALCOHOL","",IF($K2499="","",$H2499*IFERROR(VLOOKUP($K2499,Drink_Templates!$A:$G,7,FALSE),0)))</f>
        <v/>
      </c>
    </row>
    <row r="2500" ht="15" customHeight="1">
      <c r="C2500">
        <f>IF($B2500="","",INT($B2500))</f>
        <v/>
      </c>
      <c r="D2500">
        <f>IF($C2500="","",$C2500-WEEKDAY($C2500,2)+1)</f>
        <v/>
      </c>
      <c r="E2500">
        <f>IF($C2500="","",DATE(YEAR($C2500),MONTH($C2500),1))</f>
        <v/>
      </c>
      <c r="F2500">
        <f>IF($C2500="","",YEAR($C2500)&amp;"-Q"&amp;ROUNDUP(MONTH($C2500)/3,0))</f>
        <v/>
      </c>
      <c r="L2500">
        <f>IF($G2500&lt;&gt;"ALCOHOL","",IF($K2500="","",$H2500*IFERROR(VLOOKUP($K2500,Drink_Templates!$A:$G,7,FALSE),0)))</f>
        <v/>
      </c>
    </row>
    <row r="2501" ht="15" customHeight="1">
      <c r="C2501">
        <f>IF($B2501="","",INT($B2501))</f>
        <v/>
      </c>
      <c r="D2501">
        <f>IF($C2501="","",$C2501-WEEKDAY($C2501,2)+1)</f>
        <v/>
      </c>
      <c r="E2501">
        <f>IF($C2501="","",DATE(YEAR($C2501),MONTH($C2501),1))</f>
        <v/>
      </c>
      <c r="F2501">
        <f>IF($C2501="","",YEAR($C2501)&amp;"-Q"&amp;ROUNDUP(MONTH($C2501)/3,0))</f>
        <v/>
      </c>
      <c r="L2501">
        <f>IF($G2501&lt;&gt;"ALCOHOL","",IF($K2501="","",$H2501*IFERROR(VLOOKUP($K2501,Drink_Templates!$A:$G,7,FALSE),0)))</f>
        <v/>
      </c>
    </row>
    <row r="2502" ht="15" customHeight="1">
      <c r="C2502">
        <f>IF($B2502="","",INT($B2502))</f>
        <v/>
      </c>
      <c r="D2502">
        <f>IF($C2502="","",$C2502-WEEKDAY($C2502,2)+1)</f>
        <v/>
      </c>
      <c r="E2502">
        <f>IF($C2502="","",DATE(YEAR($C2502),MONTH($C2502),1))</f>
        <v/>
      </c>
      <c r="F2502">
        <f>IF($C2502="","",YEAR($C2502)&amp;"-Q"&amp;ROUNDUP(MONTH($C2502)/3,0))</f>
        <v/>
      </c>
      <c r="L2502">
        <f>IF($G2502&lt;&gt;"ALCOHOL","",IF($K2502="","",$H2502*IFERROR(VLOOKUP($K2502,Drink_Templates!$A:$G,7,FALSE),0)))</f>
        <v/>
      </c>
    </row>
    <row r="2503" ht="15" customHeight="1">
      <c r="C2503">
        <f>IF($B2503="","",INT($B2503))</f>
        <v/>
      </c>
      <c r="D2503">
        <f>IF($C2503="","",$C2503-WEEKDAY($C2503,2)+1)</f>
        <v/>
      </c>
      <c r="E2503">
        <f>IF($C2503="","",DATE(YEAR($C2503),MONTH($C2503),1))</f>
        <v/>
      </c>
      <c r="F2503">
        <f>IF($C2503="","",YEAR($C2503)&amp;"-Q"&amp;ROUNDUP(MONTH($C2503)/3,0))</f>
        <v/>
      </c>
      <c r="L2503">
        <f>IF($G2503&lt;&gt;"ALCOHOL","",IF($K2503="","",$H2503*IFERROR(VLOOKUP($K2503,Drink_Templates!$A:$G,7,FALSE),0)))</f>
        <v/>
      </c>
    </row>
    <row r="2504" ht="15" customHeight="1">
      <c r="C2504">
        <f>IF($B2504="","",INT($B2504))</f>
        <v/>
      </c>
      <c r="D2504">
        <f>IF($C2504="","",$C2504-WEEKDAY($C2504,2)+1)</f>
        <v/>
      </c>
      <c r="E2504">
        <f>IF($C2504="","",DATE(YEAR($C2504),MONTH($C2504),1))</f>
        <v/>
      </c>
      <c r="F2504">
        <f>IF($C2504="","",YEAR($C2504)&amp;"-Q"&amp;ROUNDUP(MONTH($C2504)/3,0))</f>
        <v/>
      </c>
      <c r="L2504">
        <f>IF($G2504&lt;&gt;"ALCOHOL","",IF($K2504="","",$H2504*IFERROR(VLOOKUP($K2504,Drink_Templates!$A:$G,7,FALSE),0)))</f>
        <v/>
      </c>
    </row>
    <row r="2505" ht="15" customHeight="1">
      <c r="C2505">
        <f>IF($B2505="","",INT($B2505))</f>
        <v/>
      </c>
      <c r="D2505">
        <f>IF($C2505="","",$C2505-WEEKDAY($C2505,2)+1)</f>
        <v/>
      </c>
      <c r="E2505">
        <f>IF($C2505="","",DATE(YEAR($C2505),MONTH($C2505),1))</f>
        <v/>
      </c>
      <c r="F2505">
        <f>IF($C2505="","",YEAR($C2505)&amp;"-Q"&amp;ROUNDUP(MONTH($C2505)/3,0))</f>
        <v/>
      </c>
      <c r="L2505">
        <f>IF($G2505&lt;&gt;"ALCOHOL","",IF($K2505="","",$H2505*IFERROR(VLOOKUP($K2505,Drink_Templates!$A:$G,7,FALSE),0)))</f>
        <v/>
      </c>
    </row>
    <row r="2506" ht="15" customHeight="1">
      <c r="C2506">
        <f>IF($B2506="","",INT($B2506))</f>
        <v/>
      </c>
      <c r="D2506">
        <f>IF($C2506="","",$C2506-WEEKDAY($C2506,2)+1)</f>
        <v/>
      </c>
      <c r="E2506">
        <f>IF($C2506="","",DATE(YEAR($C2506),MONTH($C2506),1))</f>
        <v/>
      </c>
      <c r="F2506">
        <f>IF($C2506="","",YEAR($C2506)&amp;"-Q"&amp;ROUNDUP(MONTH($C2506)/3,0))</f>
        <v/>
      </c>
      <c r="L2506">
        <f>IF($G2506&lt;&gt;"ALCOHOL","",IF($K2506="","",$H2506*IFERROR(VLOOKUP($K2506,Drink_Templates!$A:$G,7,FALSE),0)))</f>
        <v/>
      </c>
    </row>
    <row r="2507" ht="15" customHeight="1">
      <c r="C2507">
        <f>IF($B2507="","",INT($B2507))</f>
        <v/>
      </c>
      <c r="D2507">
        <f>IF($C2507="","",$C2507-WEEKDAY($C2507,2)+1)</f>
        <v/>
      </c>
      <c r="E2507">
        <f>IF($C2507="","",DATE(YEAR($C2507),MONTH($C2507),1))</f>
        <v/>
      </c>
      <c r="F2507">
        <f>IF($C2507="","",YEAR($C2507)&amp;"-Q"&amp;ROUNDUP(MONTH($C2507)/3,0))</f>
        <v/>
      </c>
      <c r="L2507">
        <f>IF($G2507&lt;&gt;"ALCOHOL","",IF($K2507="","",$H2507*IFERROR(VLOOKUP($K2507,Drink_Templates!$A:$G,7,FALSE),0)))</f>
        <v/>
      </c>
    </row>
    <row r="2508" ht="15" customHeight="1">
      <c r="C2508">
        <f>IF($B2508="","",INT($B2508))</f>
        <v/>
      </c>
      <c r="D2508">
        <f>IF($C2508="","",$C2508-WEEKDAY($C2508,2)+1)</f>
        <v/>
      </c>
      <c r="E2508">
        <f>IF($C2508="","",DATE(YEAR($C2508),MONTH($C2508),1))</f>
        <v/>
      </c>
      <c r="F2508">
        <f>IF($C2508="","",YEAR($C2508)&amp;"-Q"&amp;ROUNDUP(MONTH($C2508)/3,0))</f>
        <v/>
      </c>
      <c r="L2508">
        <f>IF($G2508&lt;&gt;"ALCOHOL","",IF($K2508="","",$H2508*IFERROR(VLOOKUP($K2508,Drink_Templates!$A:$G,7,FALSE),0)))</f>
        <v/>
      </c>
    </row>
    <row r="2509" ht="15" customHeight="1">
      <c r="C2509">
        <f>IF($B2509="","",INT($B2509))</f>
        <v/>
      </c>
      <c r="D2509">
        <f>IF($C2509="","",$C2509-WEEKDAY($C2509,2)+1)</f>
        <v/>
      </c>
      <c r="E2509">
        <f>IF($C2509="","",DATE(YEAR($C2509),MONTH($C2509),1))</f>
        <v/>
      </c>
      <c r="F2509">
        <f>IF($C2509="","",YEAR($C2509)&amp;"-Q"&amp;ROUNDUP(MONTH($C2509)/3,0))</f>
        <v/>
      </c>
      <c r="L2509">
        <f>IF($G2509&lt;&gt;"ALCOHOL","",IF($K2509="","",$H2509*IFERROR(VLOOKUP($K2509,Drink_Templates!$A:$G,7,FALSE),0)))</f>
        <v/>
      </c>
    </row>
    <row r="2510" ht="15" customHeight="1">
      <c r="C2510">
        <f>IF($B2510="","",INT($B2510))</f>
        <v/>
      </c>
      <c r="D2510">
        <f>IF($C2510="","",$C2510-WEEKDAY($C2510,2)+1)</f>
        <v/>
      </c>
      <c r="E2510">
        <f>IF($C2510="","",DATE(YEAR($C2510),MONTH($C2510),1))</f>
        <v/>
      </c>
      <c r="F2510">
        <f>IF($C2510="","",YEAR($C2510)&amp;"-Q"&amp;ROUNDUP(MONTH($C2510)/3,0))</f>
        <v/>
      </c>
      <c r="L2510">
        <f>IF($G2510&lt;&gt;"ALCOHOL","",IF($K2510="","",$H2510*IFERROR(VLOOKUP($K2510,Drink_Templates!$A:$G,7,FALSE),0)))</f>
        <v/>
      </c>
    </row>
    <row r="2511" ht="15" customHeight="1">
      <c r="C2511">
        <f>IF($B2511="","",INT($B2511))</f>
        <v/>
      </c>
      <c r="D2511">
        <f>IF($C2511="","",$C2511-WEEKDAY($C2511,2)+1)</f>
        <v/>
      </c>
      <c r="E2511">
        <f>IF($C2511="","",DATE(YEAR($C2511),MONTH($C2511),1))</f>
        <v/>
      </c>
      <c r="F2511">
        <f>IF($C2511="","",YEAR($C2511)&amp;"-Q"&amp;ROUNDUP(MONTH($C2511)/3,0))</f>
        <v/>
      </c>
      <c r="L2511">
        <f>IF($G2511&lt;&gt;"ALCOHOL","",IF($K2511="","",$H2511*IFERROR(VLOOKUP($K2511,Drink_Templates!$A:$G,7,FALSE),0)))</f>
        <v/>
      </c>
    </row>
    <row r="2512" ht="15" customHeight="1">
      <c r="C2512">
        <f>IF($B2512="","",INT($B2512))</f>
        <v/>
      </c>
      <c r="D2512">
        <f>IF($C2512="","",$C2512-WEEKDAY($C2512,2)+1)</f>
        <v/>
      </c>
      <c r="E2512">
        <f>IF($C2512="","",DATE(YEAR($C2512),MONTH($C2512),1))</f>
        <v/>
      </c>
      <c r="F2512">
        <f>IF($C2512="","",YEAR($C2512)&amp;"-Q"&amp;ROUNDUP(MONTH($C2512)/3,0))</f>
        <v/>
      </c>
      <c r="L2512">
        <f>IF($G2512&lt;&gt;"ALCOHOL","",IF($K2512="","",$H2512*IFERROR(VLOOKUP($K2512,Drink_Templates!$A:$G,7,FALSE),0)))</f>
        <v/>
      </c>
    </row>
    <row r="2513" ht="15" customHeight="1">
      <c r="C2513">
        <f>IF($B2513="","",INT($B2513))</f>
        <v/>
      </c>
      <c r="D2513">
        <f>IF($C2513="","",$C2513-WEEKDAY($C2513,2)+1)</f>
        <v/>
      </c>
      <c r="E2513">
        <f>IF($C2513="","",DATE(YEAR($C2513),MONTH($C2513),1))</f>
        <v/>
      </c>
      <c r="F2513">
        <f>IF($C2513="","",YEAR($C2513)&amp;"-Q"&amp;ROUNDUP(MONTH($C2513)/3,0))</f>
        <v/>
      </c>
      <c r="L2513">
        <f>IF($G2513&lt;&gt;"ALCOHOL","",IF($K2513="","",$H2513*IFERROR(VLOOKUP($K2513,Drink_Templates!$A:$G,7,FALSE),0)))</f>
        <v/>
      </c>
    </row>
    <row r="2514" ht="15" customHeight="1">
      <c r="C2514">
        <f>IF($B2514="","",INT($B2514))</f>
        <v/>
      </c>
      <c r="D2514">
        <f>IF($C2514="","",$C2514-WEEKDAY($C2514,2)+1)</f>
        <v/>
      </c>
      <c r="E2514">
        <f>IF($C2514="","",DATE(YEAR($C2514),MONTH($C2514),1))</f>
        <v/>
      </c>
      <c r="F2514">
        <f>IF($C2514="","",YEAR($C2514)&amp;"-Q"&amp;ROUNDUP(MONTH($C2514)/3,0))</f>
        <v/>
      </c>
      <c r="L2514">
        <f>IF($G2514&lt;&gt;"ALCOHOL","",IF($K2514="","",$H2514*IFERROR(VLOOKUP($K2514,Drink_Templates!$A:$G,7,FALSE),0)))</f>
        <v/>
      </c>
    </row>
    <row r="2515" ht="15" customHeight="1">
      <c r="C2515">
        <f>IF($B2515="","",INT($B2515))</f>
        <v/>
      </c>
      <c r="D2515">
        <f>IF($C2515="","",$C2515-WEEKDAY($C2515,2)+1)</f>
        <v/>
      </c>
      <c r="E2515">
        <f>IF($C2515="","",DATE(YEAR($C2515),MONTH($C2515),1))</f>
        <v/>
      </c>
      <c r="F2515">
        <f>IF($C2515="","",YEAR($C2515)&amp;"-Q"&amp;ROUNDUP(MONTH($C2515)/3,0))</f>
        <v/>
      </c>
      <c r="L2515">
        <f>IF($G2515&lt;&gt;"ALCOHOL","",IF($K2515="","",$H2515*IFERROR(VLOOKUP($K2515,Drink_Templates!$A:$G,7,FALSE),0)))</f>
        <v/>
      </c>
    </row>
    <row r="2516" ht="15" customHeight="1">
      <c r="C2516">
        <f>IF($B2516="","",INT($B2516))</f>
        <v/>
      </c>
      <c r="D2516">
        <f>IF($C2516="","",$C2516-WEEKDAY($C2516,2)+1)</f>
        <v/>
      </c>
      <c r="E2516">
        <f>IF($C2516="","",DATE(YEAR($C2516),MONTH($C2516),1))</f>
        <v/>
      </c>
      <c r="F2516">
        <f>IF($C2516="","",YEAR($C2516)&amp;"-Q"&amp;ROUNDUP(MONTH($C2516)/3,0))</f>
        <v/>
      </c>
      <c r="L2516">
        <f>IF($G2516&lt;&gt;"ALCOHOL","",IF($K2516="","",$H2516*IFERROR(VLOOKUP($K2516,Drink_Templates!$A:$G,7,FALSE),0)))</f>
        <v/>
      </c>
    </row>
    <row r="2517" ht="15" customHeight="1">
      <c r="C2517">
        <f>IF($B2517="","",INT($B2517))</f>
        <v/>
      </c>
      <c r="D2517">
        <f>IF($C2517="","",$C2517-WEEKDAY($C2517,2)+1)</f>
        <v/>
      </c>
      <c r="E2517">
        <f>IF($C2517="","",DATE(YEAR($C2517),MONTH($C2517),1))</f>
        <v/>
      </c>
      <c r="F2517">
        <f>IF($C2517="","",YEAR($C2517)&amp;"-Q"&amp;ROUNDUP(MONTH($C2517)/3,0))</f>
        <v/>
      </c>
      <c r="L2517">
        <f>IF($G2517&lt;&gt;"ALCOHOL","",IF($K2517="","",$H2517*IFERROR(VLOOKUP($K2517,Drink_Templates!$A:$G,7,FALSE),0)))</f>
        <v/>
      </c>
    </row>
    <row r="2518" ht="15" customHeight="1">
      <c r="C2518">
        <f>IF($B2518="","",INT($B2518))</f>
        <v/>
      </c>
      <c r="D2518">
        <f>IF($C2518="","",$C2518-WEEKDAY($C2518,2)+1)</f>
        <v/>
      </c>
      <c r="E2518">
        <f>IF($C2518="","",DATE(YEAR($C2518),MONTH($C2518),1))</f>
        <v/>
      </c>
      <c r="F2518">
        <f>IF($C2518="","",YEAR($C2518)&amp;"-Q"&amp;ROUNDUP(MONTH($C2518)/3,0))</f>
        <v/>
      </c>
      <c r="L2518">
        <f>IF($G2518&lt;&gt;"ALCOHOL","",IF($K2518="","",$H2518*IFERROR(VLOOKUP($K2518,Drink_Templates!$A:$G,7,FALSE),0)))</f>
        <v/>
      </c>
    </row>
    <row r="2519" ht="15" customHeight="1">
      <c r="C2519">
        <f>IF($B2519="","",INT($B2519))</f>
        <v/>
      </c>
      <c r="D2519">
        <f>IF($C2519="","",$C2519-WEEKDAY($C2519,2)+1)</f>
        <v/>
      </c>
      <c r="E2519">
        <f>IF($C2519="","",DATE(YEAR($C2519),MONTH($C2519),1))</f>
        <v/>
      </c>
      <c r="F2519">
        <f>IF($C2519="","",YEAR($C2519)&amp;"-Q"&amp;ROUNDUP(MONTH($C2519)/3,0))</f>
        <v/>
      </c>
      <c r="L2519">
        <f>IF($G2519&lt;&gt;"ALCOHOL","",IF($K2519="","",$H2519*IFERROR(VLOOKUP($K2519,Drink_Templates!$A:$G,7,FALSE),0)))</f>
        <v/>
      </c>
    </row>
    <row r="2520" ht="15" customHeight="1">
      <c r="C2520">
        <f>IF($B2520="","",INT($B2520))</f>
        <v/>
      </c>
      <c r="D2520">
        <f>IF($C2520="","",$C2520-WEEKDAY($C2520,2)+1)</f>
        <v/>
      </c>
      <c r="E2520">
        <f>IF($C2520="","",DATE(YEAR($C2520),MONTH($C2520),1))</f>
        <v/>
      </c>
      <c r="F2520">
        <f>IF($C2520="","",YEAR($C2520)&amp;"-Q"&amp;ROUNDUP(MONTH($C2520)/3,0))</f>
        <v/>
      </c>
      <c r="L2520">
        <f>IF($G2520&lt;&gt;"ALCOHOL","",IF($K2520="","",$H2520*IFERROR(VLOOKUP($K2520,Drink_Templates!$A:$G,7,FALSE),0)))</f>
        <v/>
      </c>
    </row>
    <row r="2521" ht="15" customHeight="1">
      <c r="C2521">
        <f>IF($B2521="","",INT($B2521))</f>
        <v/>
      </c>
      <c r="D2521">
        <f>IF($C2521="","",$C2521-WEEKDAY($C2521,2)+1)</f>
        <v/>
      </c>
      <c r="E2521">
        <f>IF($C2521="","",DATE(YEAR($C2521),MONTH($C2521),1))</f>
        <v/>
      </c>
      <c r="F2521">
        <f>IF($C2521="","",YEAR($C2521)&amp;"-Q"&amp;ROUNDUP(MONTH($C2521)/3,0))</f>
        <v/>
      </c>
      <c r="L2521">
        <f>IF($G2521&lt;&gt;"ALCOHOL","",IF($K2521="","",$H2521*IFERROR(VLOOKUP($K2521,Drink_Templates!$A:$G,7,FALSE),0)))</f>
        <v/>
      </c>
    </row>
    <row r="2522" ht="15" customHeight="1">
      <c r="C2522">
        <f>IF($B2522="","",INT($B2522))</f>
        <v/>
      </c>
      <c r="D2522">
        <f>IF($C2522="","",$C2522-WEEKDAY($C2522,2)+1)</f>
        <v/>
      </c>
      <c r="E2522">
        <f>IF($C2522="","",DATE(YEAR($C2522),MONTH($C2522),1))</f>
        <v/>
      </c>
      <c r="F2522">
        <f>IF($C2522="","",YEAR($C2522)&amp;"-Q"&amp;ROUNDUP(MONTH($C2522)/3,0))</f>
        <v/>
      </c>
      <c r="L2522">
        <f>IF($G2522&lt;&gt;"ALCOHOL","",IF($K2522="","",$H2522*IFERROR(VLOOKUP($K2522,Drink_Templates!$A:$G,7,FALSE),0)))</f>
        <v/>
      </c>
    </row>
    <row r="2523" ht="15" customHeight="1">
      <c r="C2523">
        <f>IF($B2523="","",INT($B2523))</f>
        <v/>
      </c>
      <c r="D2523">
        <f>IF($C2523="","",$C2523-WEEKDAY($C2523,2)+1)</f>
        <v/>
      </c>
      <c r="E2523">
        <f>IF($C2523="","",DATE(YEAR($C2523),MONTH($C2523),1))</f>
        <v/>
      </c>
      <c r="F2523">
        <f>IF($C2523="","",YEAR($C2523)&amp;"-Q"&amp;ROUNDUP(MONTH($C2523)/3,0))</f>
        <v/>
      </c>
      <c r="L2523">
        <f>IF($G2523&lt;&gt;"ALCOHOL","",IF($K2523="","",$H2523*IFERROR(VLOOKUP($K2523,Drink_Templates!$A:$G,7,FALSE),0)))</f>
        <v/>
      </c>
    </row>
    <row r="2524" ht="15" customHeight="1">
      <c r="C2524">
        <f>IF($B2524="","",INT($B2524))</f>
        <v/>
      </c>
      <c r="D2524">
        <f>IF($C2524="","",$C2524-WEEKDAY($C2524,2)+1)</f>
        <v/>
      </c>
      <c r="E2524">
        <f>IF($C2524="","",DATE(YEAR($C2524),MONTH($C2524),1))</f>
        <v/>
      </c>
      <c r="F2524">
        <f>IF($C2524="","",YEAR($C2524)&amp;"-Q"&amp;ROUNDUP(MONTH($C2524)/3,0))</f>
        <v/>
      </c>
      <c r="L2524">
        <f>IF($G2524&lt;&gt;"ALCOHOL","",IF($K2524="","",$H2524*IFERROR(VLOOKUP($K2524,Drink_Templates!$A:$G,7,FALSE),0)))</f>
        <v/>
      </c>
    </row>
    <row r="2525" ht="15" customHeight="1">
      <c r="C2525">
        <f>IF($B2525="","",INT($B2525))</f>
        <v/>
      </c>
      <c r="D2525">
        <f>IF($C2525="","",$C2525-WEEKDAY($C2525,2)+1)</f>
        <v/>
      </c>
      <c r="E2525">
        <f>IF($C2525="","",DATE(YEAR($C2525),MONTH($C2525),1))</f>
        <v/>
      </c>
      <c r="F2525">
        <f>IF($C2525="","",YEAR($C2525)&amp;"-Q"&amp;ROUNDUP(MONTH($C2525)/3,0))</f>
        <v/>
      </c>
      <c r="L2525">
        <f>IF($G2525&lt;&gt;"ALCOHOL","",IF($K2525="","",$H2525*IFERROR(VLOOKUP($K2525,Drink_Templates!$A:$G,7,FALSE),0)))</f>
        <v/>
      </c>
    </row>
    <row r="2526" ht="15" customHeight="1">
      <c r="C2526">
        <f>IF($B2526="","",INT($B2526))</f>
        <v/>
      </c>
      <c r="D2526">
        <f>IF($C2526="","",$C2526-WEEKDAY($C2526,2)+1)</f>
        <v/>
      </c>
      <c r="E2526">
        <f>IF($C2526="","",DATE(YEAR($C2526),MONTH($C2526),1))</f>
        <v/>
      </c>
      <c r="F2526">
        <f>IF($C2526="","",YEAR($C2526)&amp;"-Q"&amp;ROUNDUP(MONTH($C2526)/3,0))</f>
        <v/>
      </c>
      <c r="L2526">
        <f>IF($G2526&lt;&gt;"ALCOHOL","",IF($K2526="","",$H2526*IFERROR(VLOOKUP($K2526,Drink_Templates!$A:$G,7,FALSE),0)))</f>
        <v/>
      </c>
    </row>
    <row r="2527" ht="15" customHeight="1">
      <c r="C2527">
        <f>IF($B2527="","",INT($B2527))</f>
        <v/>
      </c>
      <c r="D2527">
        <f>IF($C2527="","",$C2527-WEEKDAY($C2527,2)+1)</f>
        <v/>
      </c>
      <c r="E2527">
        <f>IF($C2527="","",DATE(YEAR($C2527),MONTH($C2527),1))</f>
        <v/>
      </c>
      <c r="F2527">
        <f>IF($C2527="","",YEAR($C2527)&amp;"-Q"&amp;ROUNDUP(MONTH($C2527)/3,0))</f>
        <v/>
      </c>
      <c r="L2527">
        <f>IF($G2527&lt;&gt;"ALCOHOL","",IF($K2527="","",$H2527*IFERROR(VLOOKUP($K2527,Drink_Templates!$A:$G,7,FALSE),0)))</f>
        <v/>
      </c>
    </row>
    <row r="2528" ht="15" customHeight="1">
      <c r="C2528">
        <f>IF($B2528="","",INT($B2528))</f>
        <v/>
      </c>
      <c r="D2528">
        <f>IF($C2528="","",$C2528-WEEKDAY($C2528,2)+1)</f>
        <v/>
      </c>
      <c r="E2528">
        <f>IF($C2528="","",DATE(YEAR($C2528),MONTH($C2528),1))</f>
        <v/>
      </c>
      <c r="F2528">
        <f>IF($C2528="","",YEAR($C2528)&amp;"-Q"&amp;ROUNDUP(MONTH($C2528)/3,0))</f>
        <v/>
      </c>
      <c r="L2528">
        <f>IF($G2528&lt;&gt;"ALCOHOL","",IF($K2528="","",$H2528*IFERROR(VLOOKUP($K2528,Drink_Templates!$A:$G,7,FALSE),0)))</f>
        <v/>
      </c>
    </row>
    <row r="2529" ht="15" customHeight="1">
      <c r="C2529">
        <f>IF($B2529="","",INT($B2529))</f>
        <v/>
      </c>
      <c r="D2529">
        <f>IF($C2529="","",$C2529-WEEKDAY($C2529,2)+1)</f>
        <v/>
      </c>
      <c r="E2529">
        <f>IF($C2529="","",DATE(YEAR($C2529),MONTH($C2529),1))</f>
        <v/>
      </c>
      <c r="F2529">
        <f>IF($C2529="","",YEAR($C2529)&amp;"-Q"&amp;ROUNDUP(MONTH($C2529)/3,0))</f>
        <v/>
      </c>
      <c r="L2529">
        <f>IF($G2529&lt;&gt;"ALCOHOL","",IF($K2529="","",$H2529*IFERROR(VLOOKUP($K2529,Drink_Templates!$A:$G,7,FALSE),0)))</f>
        <v/>
      </c>
    </row>
    <row r="2530" ht="15" customHeight="1">
      <c r="C2530">
        <f>IF($B2530="","",INT($B2530))</f>
        <v/>
      </c>
      <c r="D2530">
        <f>IF($C2530="","",$C2530-WEEKDAY($C2530,2)+1)</f>
        <v/>
      </c>
      <c r="E2530">
        <f>IF($C2530="","",DATE(YEAR($C2530),MONTH($C2530),1))</f>
        <v/>
      </c>
      <c r="F2530">
        <f>IF($C2530="","",YEAR($C2530)&amp;"-Q"&amp;ROUNDUP(MONTH($C2530)/3,0))</f>
        <v/>
      </c>
      <c r="L2530">
        <f>IF($G2530&lt;&gt;"ALCOHOL","",IF($K2530="","",$H2530*IFERROR(VLOOKUP($K2530,Drink_Templates!$A:$G,7,FALSE),0)))</f>
        <v/>
      </c>
    </row>
    <row r="2531" ht="15" customHeight="1">
      <c r="C2531">
        <f>IF($B2531="","",INT($B2531))</f>
        <v/>
      </c>
      <c r="D2531">
        <f>IF($C2531="","",$C2531-WEEKDAY($C2531,2)+1)</f>
        <v/>
      </c>
      <c r="E2531">
        <f>IF($C2531="","",DATE(YEAR($C2531),MONTH($C2531),1))</f>
        <v/>
      </c>
      <c r="F2531">
        <f>IF($C2531="","",YEAR($C2531)&amp;"-Q"&amp;ROUNDUP(MONTH($C2531)/3,0))</f>
        <v/>
      </c>
      <c r="L2531">
        <f>IF($G2531&lt;&gt;"ALCOHOL","",IF($K2531="","",$H2531*IFERROR(VLOOKUP($K2531,Drink_Templates!$A:$G,7,FALSE),0)))</f>
        <v/>
      </c>
    </row>
    <row r="2532" ht="15" customHeight="1">
      <c r="C2532">
        <f>IF($B2532="","",INT($B2532))</f>
        <v/>
      </c>
      <c r="D2532">
        <f>IF($C2532="","",$C2532-WEEKDAY($C2532,2)+1)</f>
        <v/>
      </c>
      <c r="E2532">
        <f>IF($C2532="","",DATE(YEAR($C2532),MONTH($C2532),1))</f>
        <v/>
      </c>
      <c r="F2532">
        <f>IF($C2532="","",YEAR($C2532)&amp;"-Q"&amp;ROUNDUP(MONTH($C2532)/3,0))</f>
        <v/>
      </c>
      <c r="L2532">
        <f>IF($G2532&lt;&gt;"ALCOHOL","",IF($K2532="","",$H2532*IFERROR(VLOOKUP($K2532,Drink_Templates!$A:$G,7,FALSE),0)))</f>
        <v/>
      </c>
    </row>
    <row r="2533" ht="15" customHeight="1">
      <c r="C2533">
        <f>IF($B2533="","",INT($B2533))</f>
        <v/>
      </c>
      <c r="D2533">
        <f>IF($C2533="","",$C2533-WEEKDAY($C2533,2)+1)</f>
        <v/>
      </c>
      <c r="E2533">
        <f>IF($C2533="","",DATE(YEAR($C2533),MONTH($C2533),1))</f>
        <v/>
      </c>
      <c r="F2533">
        <f>IF($C2533="","",YEAR($C2533)&amp;"-Q"&amp;ROUNDUP(MONTH($C2533)/3,0))</f>
        <v/>
      </c>
      <c r="L2533">
        <f>IF($G2533&lt;&gt;"ALCOHOL","",IF($K2533="","",$H2533*IFERROR(VLOOKUP($K2533,Drink_Templates!$A:$G,7,FALSE),0)))</f>
        <v/>
      </c>
    </row>
    <row r="2534" ht="15" customHeight="1">
      <c r="C2534">
        <f>IF($B2534="","",INT($B2534))</f>
        <v/>
      </c>
      <c r="D2534">
        <f>IF($C2534="","",$C2534-WEEKDAY($C2534,2)+1)</f>
        <v/>
      </c>
      <c r="E2534">
        <f>IF($C2534="","",DATE(YEAR($C2534),MONTH($C2534),1))</f>
        <v/>
      </c>
      <c r="F2534">
        <f>IF($C2534="","",YEAR($C2534)&amp;"-Q"&amp;ROUNDUP(MONTH($C2534)/3,0))</f>
        <v/>
      </c>
      <c r="L2534">
        <f>IF($G2534&lt;&gt;"ALCOHOL","",IF($K2534="","",$H2534*IFERROR(VLOOKUP($K2534,Drink_Templates!$A:$G,7,FALSE),0)))</f>
        <v/>
      </c>
    </row>
    <row r="2535" ht="15" customHeight="1">
      <c r="C2535">
        <f>IF($B2535="","",INT($B2535))</f>
        <v/>
      </c>
      <c r="D2535">
        <f>IF($C2535="","",$C2535-WEEKDAY($C2535,2)+1)</f>
        <v/>
      </c>
      <c r="E2535">
        <f>IF($C2535="","",DATE(YEAR($C2535),MONTH($C2535),1))</f>
        <v/>
      </c>
      <c r="F2535">
        <f>IF($C2535="","",YEAR($C2535)&amp;"-Q"&amp;ROUNDUP(MONTH($C2535)/3,0))</f>
        <v/>
      </c>
      <c r="L2535">
        <f>IF($G2535&lt;&gt;"ALCOHOL","",IF($K2535="","",$H2535*IFERROR(VLOOKUP($K2535,Drink_Templates!$A:$G,7,FALSE),0)))</f>
        <v/>
      </c>
    </row>
    <row r="2536" ht="15" customHeight="1">
      <c r="C2536">
        <f>IF($B2536="","",INT($B2536))</f>
        <v/>
      </c>
      <c r="D2536">
        <f>IF($C2536="","",$C2536-WEEKDAY($C2536,2)+1)</f>
        <v/>
      </c>
      <c r="E2536">
        <f>IF($C2536="","",DATE(YEAR($C2536),MONTH($C2536),1))</f>
        <v/>
      </c>
      <c r="F2536">
        <f>IF($C2536="","",YEAR($C2536)&amp;"-Q"&amp;ROUNDUP(MONTH($C2536)/3,0))</f>
        <v/>
      </c>
      <c r="L2536">
        <f>IF($G2536&lt;&gt;"ALCOHOL","",IF($K2536="","",$H2536*IFERROR(VLOOKUP($K2536,Drink_Templates!$A:$G,7,FALSE),0)))</f>
        <v/>
      </c>
    </row>
    <row r="2537" ht="15" customHeight="1">
      <c r="C2537">
        <f>IF($B2537="","",INT($B2537))</f>
        <v/>
      </c>
      <c r="D2537">
        <f>IF($C2537="","",$C2537-WEEKDAY($C2537,2)+1)</f>
        <v/>
      </c>
      <c r="E2537">
        <f>IF($C2537="","",DATE(YEAR($C2537),MONTH($C2537),1))</f>
        <v/>
      </c>
      <c r="F2537">
        <f>IF($C2537="","",YEAR($C2537)&amp;"-Q"&amp;ROUNDUP(MONTH($C2537)/3,0))</f>
        <v/>
      </c>
      <c r="L2537">
        <f>IF($G2537&lt;&gt;"ALCOHOL","",IF($K2537="","",$H2537*IFERROR(VLOOKUP($K2537,Drink_Templates!$A:$G,7,FALSE),0)))</f>
        <v/>
      </c>
    </row>
    <row r="2538" ht="15" customHeight="1">
      <c r="C2538">
        <f>IF($B2538="","",INT($B2538))</f>
        <v/>
      </c>
      <c r="D2538">
        <f>IF($C2538="","",$C2538-WEEKDAY($C2538,2)+1)</f>
        <v/>
      </c>
      <c r="E2538">
        <f>IF($C2538="","",DATE(YEAR($C2538),MONTH($C2538),1))</f>
        <v/>
      </c>
      <c r="F2538">
        <f>IF($C2538="","",YEAR($C2538)&amp;"-Q"&amp;ROUNDUP(MONTH($C2538)/3,0))</f>
        <v/>
      </c>
      <c r="L2538">
        <f>IF($G2538&lt;&gt;"ALCOHOL","",IF($K2538="","",$H2538*IFERROR(VLOOKUP($K2538,Drink_Templates!$A:$G,7,FALSE),0)))</f>
        <v/>
      </c>
    </row>
    <row r="2539" ht="15" customHeight="1">
      <c r="C2539">
        <f>IF($B2539="","",INT($B2539))</f>
        <v/>
      </c>
      <c r="D2539">
        <f>IF($C2539="","",$C2539-WEEKDAY($C2539,2)+1)</f>
        <v/>
      </c>
      <c r="E2539">
        <f>IF($C2539="","",DATE(YEAR($C2539),MONTH($C2539),1))</f>
        <v/>
      </c>
      <c r="F2539">
        <f>IF($C2539="","",YEAR($C2539)&amp;"-Q"&amp;ROUNDUP(MONTH($C2539)/3,0))</f>
        <v/>
      </c>
      <c r="L2539">
        <f>IF($G2539&lt;&gt;"ALCOHOL","",IF($K2539="","",$H2539*IFERROR(VLOOKUP($K2539,Drink_Templates!$A:$G,7,FALSE),0)))</f>
        <v/>
      </c>
    </row>
    <row r="2540" ht="15" customHeight="1">
      <c r="C2540">
        <f>IF($B2540="","",INT($B2540))</f>
        <v/>
      </c>
      <c r="D2540">
        <f>IF($C2540="","",$C2540-WEEKDAY($C2540,2)+1)</f>
        <v/>
      </c>
      <c r="E2540">
        <f>IF($C2540="","",DATE(YEAR($C2540),MONTH($C2540),1))</f>
        <v/>
      </c>
      <c r="F2540">
        <f>IF($C2540="","",YEAR($C2540)&amp;"-Q"&amp;ROUNDUP(MONTH($C2540)/3,0))</f>
        <v/>
      </c>
      <c r="L2540">
        <f>IF($G2540&lt;&gt;"ALCOHOL","",IF($K2540="","",$H2540*IFERROR(VLOOKUP($K2540,Drink_Templates!$A:$G,7,FALSE),0)))</f>
        <v/>
      </c>
    </row>
    <row r="2541" ht="15" customHeight="1">
      <c r="C2541">
        <f>IF($B2541="","",INT($B2541))</f>
        <v/>
      </c>
      <c r="D2541">
        <f>IF($C2541="","",$C2541-WEEKDAY($C2541,2)+1)</f>
        <v/>
      </c>
      <c r="E2541">
        <f>IF($C2541="","",DATE(YEAR($C2541),MONTH($C2541),1))</f>
        <v/>
      </c>
      <c r="F2541">
        <f>IF($C2541="","",YEAR($C2541)&amp;"-Q"&amp;ROUNDUP(MONTH($C2541)/3,0))</f>
        <v/>
      </c>
      <c r="L2541">
        <f>IF($G2541&lt;&gt;"ALCOHOL","",IF($K2541="","",$H2541*IFERROR(VLOOKUP($K2541,Drink_Templates!$A:$G,7,FALSE),0)))</f>
        <v/>
      </c>
    </row>
    <row r="2542" ht="15" customHeight="1">
      <c r="C2542">
        <f>IF($B2542="","",INT($B2542))</f>
        <v/>
      </c>
      <c r="D2542">
        <f>IF($C2542="","",$C2542-WEEKDAY($C2542,2)+1)</f>
        <v/>
      </c>
      <c r="E2542">
        <f>IF($C2542="","",DATE(YEAR($C2542),MONTH($C2542),1))</f>
        <v/>
      </c>
      <c r="F2542">
        <f>IF($C2542="","",YEAR($C2542)&amp;"-Q"&amp;ROUNDUP(MONTH($C2542)/3,0))</f>
        <v/>
      </c>
      <c r="L2542">
        <f>IF($G2542&lt;&gt;"ALCOHOL","",IF($K2542="","",$H2542*IFERROR(VLOOKUP($K2542,Drink_Templates!$A:$G,7,FALSE),0)))</f>
        <v/>
      </c>
    </row>
    <row r="2543" ht="15" customHeight="1">
      <c r="C2543">
        <f>IF($B2543="","",INT($B2543))</f>
        <v/>
      </c>
      <c r="D2543">
        <f>IF($C2543="","",$C2543-WEEKDAY($C2543,2)+1)</f>
        <v/>
      </c>
      <c r="E2543">
        <f>IF($C2543="","",DATE(YEAR($C2543),MONTH($C2543),1))</f>
        <v/>
      </c>
      <c r="F2543">
        <f>IF($C2543="","",YEAR($C2543)&amp;"-Q"&amp;ROUNDUP(MONTH($C2543)/3,0))</f>
        <v/>
      </c>
      <c r="L2543">
        <f>IF($G2543&lt;&gt;"ALCOHOL","",IF($K2543="","",$H2543*IFERROR(VLOOKUP($K2543,Drink_Templates!$A:$G,7,FALSE),0)))</f>
        <v/>
      </c>
    </row>
    <row r="2544" ht="15" customHeight="1">
      <c r="C2544">
        <f>IF($B2544="","",INT($B2544))</f>
        <v/>
      </c>
      <c r="D2544">
        <f>IF($C2544="","",$C2544-WEEKDAY($C2544,2)+1)</f>
        <v/>
      </c>
      <c r="E2544">
        <f>IF($C2544="","",DATE(YEAR($C2544),MONTH($C2544),1))</f>
        <v/>
      </c>
      <c r="F2544">
        <f>IF($C2544="","",YEAR($C2544)&amp;"-Q"&amp;ROUNDUP(MONTH($C2544)/3,0))</f>
        <v/>
      </c>
      <c r="L2544">
        <f>IF($G2544&lt;&gt;"ALCOHOL","",IF($K2544="","",$H2544*IFERROR(VLOOKUP($K2544,Drink_Templates!$A:$G,7,FALSE),0)))</f>
        <v/>
      </c>
    </row>
    <row r="2545" ht="15" customHeight="1">
      <c r="C2545">
        <f>IF($B2545="","",INT($B2545))</f>
        <v/>
      </c>
      <c r="D2545">
        <f>IF($C2545="","",$C2545-WEEKDAY($C2545,2)+1)</f>
        <v/>
      </c>
      <c r="E2545">
        <f>IF($C2545="","",DATE(YEAR($C2545),MONTH($C2545),1))</f>
        <v/>
      </c>
      <c r="F2545">
        <f>IF($C2545="","",YEAR($C2545)&amp;"-Q"&amp;ROUNDUP(MONTH($C2545)/3,0))</f>
        <v/>
      </c>
      <c r="L2545">
        <f>IF($G2545&lt;&gt;"ALCOHOL","",IF($K2545="","",$H2545*IFERROR(VLOOKUP($K2545,Drink_Templates!$A:$G,7,FALSE),0)))</f>
        <v/>
      </c>
    </row>
    <row r="2546" ht="15" customHeight="1">
      <c r="C2546">
        <f>IF($B2546="","",INT($B2546))</f>
        <v/>
      </c>
      <c r="D2546">
        <f>IF($C2546="","",$C2546-WEEKDAY($C2546,2)+1)</f>
        <v/>
      </c>
      <c r="E2546">
        <f>IF($C2546="","",DATE(YEAR($C2546),MONTH($C2546),1))</f>
        <v/>
      </c>
      <c r="F2546">
        <f>IF($C2546="","",YEAR($C2546)&amp;"-Q"&amp;ROUNDUP(MONTH($C2546)/3,0))</f>
        <v/>
      </c>
      <c r="L2546">
        <f>IF($G2546&lt;&gt;"ALCOHOL","",IF($K2546="","",$H2546*IFERROR(VLOOKUP($K2546,Drink_Templates!$A:$G,7,FALSE),0)))</f>
        <v/>
      </c>
    </row>
    <row r="2547" ht="15" customHeight="1">
      <c r="C2547">
        <f>IF($B2547="","",INT($B2547))</f>
        <v/>
      </c>
      <c r="D2547">
        <f>IF($C2547="","",$C2547-WEEKDAY($C2547,2)+1)</f>
        <v/>
      </c>
      <c r="E2547">
        <f>IF($C2547="","",DATE(YEAR($C2547),MONTH($C2547),1))</f>
        <v/>
      </c>
      <c r="F2547">
        <f>IF($C2547="","",YEAR($C2547)&amp;"-Q"&amp;ROUNDUP(MONTH($C2547)/3,0))</f>
        <v/>
      </c>
      <c r="L2547">
        <f>IF($G2547&lt;&gt;"ALCOHOL","",IF($K2547="","",$H2547*IFERROR(VLOOKUP($K2547,Drink_Templates!$A:$G,7,FALSE),0)))</f>
        <v/>
      </c>
    </row>
    <row r="2548" ht="15" customHeight="1">
      <c r="C2548">
        <f>IF($B2548="","",INT($B2548))</f>
        <v/>
      </c>
      <c r="D2548">
        <f>IF($C2548="","",$C2548-WEEKDAY($C2548,2)+1)</f>
        <v/>
      </c>
      <c r="E2548">
        <f>IF($C2548="","",DATE(YEAR($C2548),MONTH($C2548),1))</f>
        <v/>
      </c>
      <c r="F2548">
        <f>IF($C2548="","",YEAR($C2548)&amp;"-Q"&amp;ROUNDUP(MONTH($C2548)/3,0))</f>
        <v/>
      </c>
      <c r="L2548">
        <f>IF($G2548&lt;&gt;"ALCOHOL","",IF($K2548="","",$H2548*IFERROR(VLOOKUP($K2548,Drink_Templates!$A:$G,7,FALSE),0)))</f>
        <v/>
      </c>
    </row>
    <row r="2549" ht="15" customHeight="1">
      <c r="C2549">
        <f>IF($B2549="","",INT($B2549))</f>
        <v/>
      </c>
      <c r="D2549">
        <f>IF($C2549="","",$C2549-WEEKDAY($C2549,2)+1)</f>
        <v/>
      </c>
      <c r="E2549">
        <f>IF($C2549="","",DATE(YEAR($C2549),MONTH($C2549),1))</f>
        <v/>
      </c>
      <c r="F2549">
        <f>IF($C2549="","",YEAR($C2549)&amp;"-Q"&amp;ROUNDUP(MONTH($C2549)/3,0))</f>
        <v/>
      </c>
      <c r="L2549">
        <f>IF($G2549&lt;&gt;"ALCOHOL","",IF($K2549="","",$H2549*IFERROR(VLOOKUP($K2549,Drink_Templates!$A:$G,7,FALSE),0)))</f>
        <v/>
      </c>
    </row>
    <row r="2550" ht="15" customHeight="1">
      <c r="C2550">
        <f>IF($B2550="","",INT($B2550))</f>
        <v/>
      </c>
      <c r="D2550">
        <f>IF($C2550="","",$C2550-WEEKDAY($C2550,2)+1)</f>
        <v/>
      </c>
      <c r="E2550">
        <f>IF($C2550="","",DATE(YEAR($C2550),MONTH($C2550),1))</f>
        <v/>
      </c>
      <c r="F2550">
        <f>IF($C2550="","",YEAR($C2550)&amp;"-Q"&amp;ROUNDUP(MONTH($C2550)/3,0))</f>
        <v/>
      </c>
      <c r="L2550">
        <f>IF($G2550&lt;&gt;"ALCOHOL","",IF($K2550="","",$H2550*IFERROR(VLOOKUP($K2550,Drink_Templates!$A:$G,7,FALSE),0)))</f>
        <v/>
      </c>
    </row>
    <row r="2551" ht="15" customHeight="1">
      <c r="C2551">
        <f>IF($B2551="","",INT($B2551))</f>
        <v/>
      </c>
      <c r="D2551">
        <f>IF($C2551="","",$C2551-WEEKDAY($C2551,2)+1)</f>
        <v/>
      </c>
      <c r="E2551">
        <f>IF($C2551="","",DATE(YEAR($C2551),MONTH($C2551),1))</f>
        <v/>
      </c>
      <c r="F2551">
        <f>IF($C2551="","",YEAR($C2551)&amp;"-Q"&amp;ROUNDUP(MONTH($C2551)/3,0))</f>
        <v/>
      </c>
      <c r="L2551">
        <f>IF($G2551&lt;&gt;"ALCOHOL","",IF($K2551="","",$H2551*IFERROR(VLOOKUP($K2551,Drink_Templates!$A:$G,7,FALSE),0)))</f>
        <v/>
      </c>
    </row>
    <row r="2552" ht="15" customHeight="1">
      <c r="C2552">
        <f>IF($B2552="","",INT($B2552))</f>
        <v/>
      </c>
      <c r="D2552">
        <f>IF($C2552="","",$C2552-WEEKDAY($C2552,2)+1)</f>
        <v/>
      </c>
      <c r="E2552">
        <f>IF($C2552="","",DATE(YEAR($C2552),MONTH($C2552),1))</f>
        <v/>
      </c>
      <c r="F2552">
        <f>IF($C2552="","",YEAR($C2552)&amp;"-Q"&amp;ROUNDUP(MONTH($C2552)/3,0))</f>
        <v/>
      </c>
      <c r="L2552">
        <f>IF($G2552&lt;&gt;"ALCOHOL","",IF($K2552="","",$H2552*IFERROR(VLOOKUP($K2552,Drink_Templates!$A:$G,7,FALSE),0)))</f>
        <v/>
      </c>
    </row>
    <row r="2553" ht="15" customHeight="1">
      <c r="C2553">
        <f>IF($B2553="","",INT($B2553))</f>
        <v/>
      </c>
      <c r="D2553">
        <f>IF($C2553="","",$C2553-WEEKDAY($C2553,2)+1)</f>
        <v/>
      </c>
      <c r="E2553">
        <f>IF($C2553="","",DATE(YEAR($C2553),MONTH($C2553),1))</f>
        <v/>
      </c>
      <c r="F2553">
        <f>IF($C2553="","",YEAR($C2553)&amp;"-Q"&amp;ROUNDUP(MONTH($C2553)/3,0))</f>
        <v/>
      </c>
      <c r="L2553">
        <f>IF($G2553&lt;&gt;"ALCOHOL","",IF($K2553="","",$H2553*IFERROR(VLOOKUP($K2553,Drink_Templates!$A:$G,7,FALSE),0)))</f>
        <v/>
      </c>
    </row>
    <row r="2554" ht="15" customHeight="1">
      <c r="C2554">
        <f>IF($B2554="","",INT($B2554))</f>
        <v/>
      </c>
      <c r="D2554">
        <f>IF($C2554="","",$C2554-WEEKDAY($C2554,2)+1)</f>
        <v/>
      </c>
      <c r="E2554">
        <f>IF($C2554="","",DATE(YEAR($C2554),MONTH($C2554),1))</f>
        <v/>
      </c>
      <c r="F2554">
        <f>IF($C2554="","",YEAR($C2554)&amp;"-Q"&amp;ROUNDUP(MONTH($C2554)/3,0))</f>
        <v/>
      </c>
      <c r="L2554">
        <f>IF($G2554&lt;&gt;"ALCOHOL","",IF($K2554="","",$H2554*IFERROR(VLOOKUP($K2554,Drink_Templates!$A:$G,7,FALSE),0)))</f>
        <v/>
      </c>
    </row>
    <row r="2555" ht="15" customHeight="1">
      <c r="C2555">
        <f>IF($B2555="","",INT($B2555))</f>
        <v/>
      </c>
      <c r="D2555">
        <f>IF($C2555="","",$C2555-WEEKDAY($C2555,2)+1)</f>
        <v/>
      </c>
      <c r="E2555">
        <f>IF($C2555="","",DATE(YEAR($C2555),MONTH($C2555),1))</f>
        <v/>
      </c>
      <c r="F2555">
        <f>IF($C2555="","",YEAR($C2555)&amp;"-Q"&amp;ROUNDUP(MONTH($C2555)/3,0))</f>
        <v/>
      </c>
      <c r="L2555">
        <f>IF($G2555&lt;&gt;"ALCOHOL","",IF($K2555="","",$H2555*IFERROR(VLOOKUP($K2555,Drink_Templates!$A:$G,7,FALSE),0)))</f>
        <v/>
      </c>
    </row>
    <row r="2556" ht="15" customHeight="1">
      <c r="C2556">
        <f>IF($B2556="","",INT($B2556))</f>
        <v/>
      </c>
      <c r="D2556">
        <f>IF($C2556="","",$C2556-WEEKDAY($C2556,2)+1)</f>
        <v/>
      </c>
      <c r="E2556">
        <f>IF($C2556="","",DATE(YEAR($C2556),MONTH($C2556),1))</f>
        <v/>
      </c>
      <c r="F2556">
        <f>IF($C2556="","",YEAR($C2556)&amp;"-Q"&amp;ROUNDUP(MONTH($C2556)/3,0))</f>
        <v/>
      </c>
      <c r="L2556">
        <f>IF($G2556&lt;&gt;"ALCOHOL","",IF($K2556="","",$H2556*IFERROR(VLOOKUP($K2556,Drink_Templates!$A:$G,7,FALSE),0)))</f>
        <v/>
      </c>
    </row>
    <row r="2557" ht="15" customHeight="1">
      <c r="C2557">
        <f>IF($B2557="","",INT($B2557))</f>
        <v/>
      </c>
      <c r="D2557">
        <f>IF($C2557="","",$C2557-WEEKDAY($C2557,2)+1)</f>
        <v/>
      </c>
      <c r="E2557">
        <f>IF($C2557="","",DATE(YEAR($C2557),MONTH($C2557),1))</f>
        <v/>
      </c>
      <c r="F2557">
        <f>IF($C2557="","",YEAR($C2557)&amp;"-Q"&amp;ROUNDUP(MONTH($C2557)/3,0))</f>
        <v/>
      </c>
      <c r="L2557">
        <f>IF($G2557&lt;&gt;"ALCOHOL","",IF($K2557="","",$H2557*IFERROR(VLOOKUP($K2557,Drink_Templates!$A:$G,7,FALSE),0)))</f>
        <v/>
      </c>
    </row>
    <row r="2558" ht="15" customHeight="1">
      <c r="C2558">
        <f>IF($B2558="","",INT($B2558))</f>
        <v/>
      </c>
      <c r="D2558">
        <f>IF($C2558="","",$C2558-WEEKDAY($C2558,2)+1)</f>
        <v/>
      </c>
      <c r="E2558">
        <f>IF($C2558="","",DATE(YEAR($C2558),MONTH($C2558),1))</f>
        <v/>
      </c>
      <c r="F2558">
        <f>IF($C2558="","",YEAR($C2558)&amp;"-Q"&amp;ROUNDUP(MONTH($C2558)/3,0))</f>
        <v/>
      </c>
      <c r="L2558">
        <f>IF($G2558&lt;&gt;"ALCOHOL","",IF($K2558="","",$H2558*IFERROR(VLOOKUP($K2558,Drink_Templates!$A:$G,7,FALSE),0)))</f>
        <v/>
      </c>
    </row>
    <row r="2559" ht="15" customHeight="1">
      <c r="C2559">
        <f>IF($B2559="","",INT($B2559))</f>
        <v/>
      </c>
      <c r="D2559">
        <f>IF($C2559="","",$C2559-WEEKDAY($C2559,2)+1)</f>
        <v/>
      </c>
      <c r="E2559">
        <f>IF($C2559="","",DATE(YEAR($C2559),MONTH($C2559),1))</f>
        <v/>
      </c>
      <c r="F2559">
        <f>IF($C2559="","",YEAR($C2559)&amp;"-Q"&amp;ROUNDUP(MONTH($C2559)/3,0))</f>
        <v/>
      </c>
      <c r="L2559">
        <f>IF($G2559&lt;&gt;"ALCOHOL","",IF($K2559="","",$H2559*IFERROR(VLOOKUP($K2559,Drink_Templates!$A:$G,7,FALSE),0)))</f>
        <v/>
      </c>
    </row>
    <row r="2560" ht="15" customHeight="1">
      <c r="C2560">
        <f>IF($B2560="","",INT($B2560))</f>
        <v/>
      </c>
      <c r="D2560">
        <f>IF($C2560="","",$C2560-WEEKDAY($C2560,2)+1)</f>
        <v/>
      </c>
      <c r="E2560">
        <f>IF($C2560="","",DATE(YEAR($C2560),MONTH($C2560),1))</f>
        <v/>
      </c>
      <c r="F2560">
        <f>IF($C2560="","",YEAR($C2560)&amp;"-Q"&amp;ROUNDUP(MONTH($C2560)/3,0))</f>
        <v/>
      </c>
      <c r="L2560">
        <f>IF($G2560&lt;&gt;"ALCOHOL","",IF($K2560="","",$H2560*IFERROR(VLOOKUP($K2560,Drink_Templates!$A:$G,7,FALSE),0)))</f>
        <v/>
      </c>
    </row>
    <row r="2561" ht="15" customHeight="1">
      <c r="C2561">
        <f>IF($B2561="","",INT($B2561))</f>
        <v/>
      </c>
      <c r="D2561">
        <f>IF($C2561="","",$C2561-WEEKDAY($C2561,2)+1)</f>
        <v/>
      </c>
      <c r="E2561">
        <f>IF($C2561="","",DATE(YEAR($C2561),MONTH($C2561),1))</f>
        <v/>
      </c>
      <c r="F2561">
        <f>IF($C2561="","",YEAR($C2561)&amp;"-Q"&amp;ROUNDUP(MONTH($C2561)/3,0))</f>
        <v/>
      </c>
      <c r="L2561">
        <f>IF($G2561&lt;&gt;"ALCOHOL","",IF($K2561="","",$H2561*IFERROR(VLOOKUP($K2561,Drink_Templates!$A:$G,7,FALSE),0)))</f>
        <v/>
      </c>
    </row>
    <row r="2562" ht="15" customHeight="1">
      <c r="C2562">
        <f>IF($B2562="","",INT($B2562))</f>
        <v/>
      </c>
      <c r="D2562">
        <f>IF($C2562="","",$C2562-WEEKDAY($C2562,2)+1)</f>
        <v/>
      </c>
      <c r="E2562">
        <f>IF($C2562="","",DATE(YEAR($C2562),MONTH($C2562),1))</f>
        <v/>
      </c>
      <c r="F2562">
        <f>IF($C2562="","",YEAR($C2562)&amp;"-Q"&amp;ROUNDUP(MONTH($C2562)/3,0))</f>
        <v/>
      </c>
      <c r="L2562">
        <f>IF($G2562&lt;&gt;"ALCOHOL","",IF($K2562="","",$H2562*IFERROR(VLOOKUP($K2562,Drink_Templates!$A:$G,7,FALSE),0)))</f>
        <v/>
      </c>
    </row>
    <row r="2563" ht="15" customHeight="1">
      <c r="C2563">
        <f>IF($B2563="","",INT($B2563))</f>
        <v/>
      </c>
      <c r="D2563">
        <f>IF($C2563="","",$C2563-WEEKDAY($C2563,2)+1)</f>
        <v/>
      </c>
      <c r="E2563">
        <f>IF($C2563="","",DATE(YEAR($C2563),MONTH($C2563),1))</f>
        <v/>
      </c>
      <c r="F2563">
        <f>IF($C2563="","",YEAR($C2563)&amp;"-Q"&amp;ROUNDUP(MONTH($C2563)/3,0))</f>
        <v/>
      </c>
      <c r="L2563">
        <f>IF($G2563&lt;&gt;"ALCOHOL","",IF($K2563="","",$H2563*IFERROR(VLOOKUP($K2563,Drink_Templates!$A:$G,7,FALSE),0)))</f>
        <v/>
      </c>
    </row>
    <row r="2564" ht="15" customHeight="1">
      <c r="C2564">
        <f>IF($B2564="","",INT($B2564))</f>
        <v/>
      </c>
      <c r="D2564">
        <f>IF($C2564="","",$C2564-WEEKDAY($C2564,2)+1)</f>
        <v/>
      </c>
      <c r="E2564">
        <f>IF($C2564="","",DATE(YEAR($C2564),MONTH($C2564),1))</f>
        <v/>
      </c>
      <c r="F2564">
        <f>IF($C2564="","",YEAR($C2564)&amp;"-Q"&amp;ROUNDUP(MONTH($C2564)/3,0))</f>
        <v/>
      </c>
      <c r="L2564">
        <f>IF($G2564&lt;&gt;"ALCOHOL","",IF($K2564="","",$H2564*IFERROR(VLOOKUP($K2564,Drink_Templates!$A:$G,7,FALSE),0)))</f>
        <v/>
      </c>
    </row>
    <row r="2565" ht="15" customHeight="1">
      <c r="C2565">
        <f>IF($B2565="","",INT($B2565))</f>
        <v/>
      </c>
      <c r="D2565">
        <f>IF($C2565="","",$C2565-WEEKDAY($C2565,2)+1)</f>
        <v/>
      </c>
      <c r="E2565">
        <f>IF($C2565="","",DATE(YEAR($C2565),MONTH($C2565),1))</f>
        <v/>
      </c>
      <c r="F2565">
        <f>IF($C2565="","",YEAR($C2565)&amp;"-Q"&amp;ROUNDUP(MONTH($C2565)/3,0))</f>
        <v/>
      </c>
      <c r="L2565">
        <f>IF($G2565&lt;&gt;"ALCOHOL","",IF($K2565="","",$H2565*IFERROR(VLOOKUP($K2565,Drink_Templates!$A:$G,7,FALSE),0)))</f>
        <v/>
      </c>
    </row>
    <row r="2566" ht="15" customHeight="1">
      <c r="C2566">
        <f>IF($B2566="","",INT($B2566))</f>
        <v/>
      </c>
      <c r="D2566">
        <f>IF($C2566="","",$C2566-WEEKDAY($C2566,2)+1)</f>
        <v/>
      </c>
      <c r="E2566">
        <f>IF($C2566="","",DATE(YEAR($C2566),MONTH($C2566),1))</f>
        <v/>
      </c>
      <c r="F2566">
        <f>IF($C2566="","",YEAR($C2566)&amp;"-Q"&amp;ROUNDUP(MONTH($C2566)/3,0))</f>
        <v/>
      </c>
      <c r="L2566">
        <f>IF($G2566&lt;&gt;"ALCOHOL","",IF($K2566="","",$H2566*IFERROR(VLOOKUP($K2566,Drink_Templates!$A:$G,7,FALSE),0)))</f>
        <v/>
      </c>
    </row>
    <row r="2567" ht="15" customHeight="1">
      <c r="C2567">
        <f>IF($B2567="","",INT($B2567))</f>
        <v/>
      </c>
      <c r="D2567">
        <f>IF($C2567="","",$C2567-WEEKDAY($C2567,2)+1)</f>
        <v/>
      </c>
      <c r="E2567">
        <f>IF($C2567="","",DATE(YEAR($C2567),MONTH($C2567),1))</f>
        <v/>
      </c>
      <c r="F2567">
        <f>IF($C2567="","",YEAR($C2567)&amp;"-Q"&amp;ROUNDUP(MONTH($C2567)/3,0))</f>
        <v/>
      </c>
      <c r="L2567">
        <f>IF($G2567&lt;&gt;"ALCOHOL","",IF($K2567="","",$H2567*IFERROR(VLOOKUP($K2567,Drink_Templates!$A:$G,7,FALSE),0)))</f>
        <v/>
      </c>
    </row>
    <row r="2568" ht="15" customHeight="1">
      <c r="C2568">
        <f>IF($B2568="","",INT($B2568))</f>
        <v/>
      </c>
      <c r="D2568">
        <f>IF($C2568="","",$C2568-WEEKDAY($C2568,2)+1)</f>
        <v/>
      </c>
      <c r="E2568">
        <f>IF($C2568="","",DATE(YEAR($C2568),MONTH($C2568),1))</f>
        <v/>
      </c>
      <c r="F2568">
        <f>IF($C2568="","",YEAR($C2568)&amp;"-Q"&amp;ROUNDUP(MONTH($C2568)/3,0))</f>
        <v/>
      </c>
      <c r="L2568">
        <f>IF($G2568&lt;&gt;"ALCOHOL","",IF($K2568="","",$H2568*IFERROR(VLOOKUP($K2568,Drink_Templates!$A:$G,7,FALSE),0)))</f>
        <v/>
      </c>
    </row>
    <row r="2569" ht="15" customHeight="1">
      <c r="C2569">
        <f>IF($B2569="","",INT($B2569))</f>
        <v/>
      </c>
      <c r="D2569">
        <f>IF($C2569="","",$C2569-WEEKDAY($C2569,2)+1)</f>
        <v/>
      </c>
      <c r="E2569">
        <f>IF($C2569="","",DATE(YEAR($C2569),MONTH($C2569),1))</f>
        <v/>
      </c>
      <c r="F2569">
        <f>IF($C2569="","",YEAR($C2569)&amp;"-Q"&amp;ROUNDUP(MONTH($C2569)/3,0))</f>
        <v/>
      </c>
      <c r="L2569">
        <f>IF($G2569&lt;&gt;"ALCOHOL","",IF($K2569="","",$H2569*IFERROR(VLOOKUP($K2569,Drink_Templates!$A:$G,7,FALSE),0)))</f>
        <v/>
      </c>
    </row>
    <row r="2570" ht="15" customHeight="1">
      <c r="C2570">
        <f>IF($B2570="","",INT($B2570))</f>
        <v/>
      </c>
      <c r="D2570">
        <f>IF($C2570="","",$C2570-WEEKDAY($C2570,2)+1)</f>
        <v/>
      </c>
      <c r="E2570">
        <f>IF($C2570="","",DATE(YEAR($C2570),MONTH($C2570),1))</f>
        <v/>
      </c>
      <c r="F2570">
        <f>IF($C2570="","",YEAR($C2570)&amp;"-Q"&amp;ROUNDUP(MONTH($C2570)/3,0))</f>
        <v/>
      </c>
      <c r="L2570">
        <f>IF($G2570&lt;&gt;"ALCOHOL","",IF($K2570="","",$H2570*IFERROR(VLOOKUP($K2570,Drink_Templates!$A:$G,7,FALSE),0)))</f>
        <v/>
      </c>
    </row>
    <row r="2571" ht="15" customHeight="1">
      <c r="C2571">
        <f>IF($B2571="","",INT($B2571))</f>
        <v/>
      </c>
      <c r="D2571">
        <f>IF($C2571="","",$C2571-WEEKDAY($C2571,2)+1)</f>
        <v/>
      </c>
      <c r="E2571">
        <f>IF($C2571="","",DATE(YEAR($C2571),MONTH($C2571),1))</f>
        <v/>
      </c>
      <c r="F2571">
        <f>IF($C2571="","",YEAR($C2571)&amp;"-Q"&amp;ROUNDUP(MONTH($C2571)/3,0))</f>
        <v/>
      </c>
      <c r="L2571">
        <f>IF($G2571&lt;&gt;"ALCOHOL","",IF($K2571="","",$H2571*IFERROR(VLOOKUP($K2571,Drink_Templates!$A:$G,7,FALSE),0)))</f>
        <v/>
      </c>
    </row>
    <row r="2572" ht="15" customHeight="1">
      <c r="C2572">
        <f>IF($B2572="","",INT($B2572))</f>
        <v/>
      </c>
      <c r="D2572">
        <f>IF($C2572="","",$C2572-WEEKDAY($C2572,2)+1)</f>
        <v/>
      </c>
      <c r="E2572">
        <f>IF($C2572="","",DATE(YEAR($C2572),MONTH($C2572),1))</f>
        <v/>
      </c>
      <c r="F2572">
        <f>IF($C2572="","",YEAR($C2572)&amp;"-Q"&amp;ROUNDUP(MONTH($C2572)/3,0))</f>
        <v/>
      </c>
      <c r="L2572">
        <f>IF($G2572&lt;&gt;"ALCOHOL","",IF($K2572="","",$H2572*IFERROR(VLOOKUP($K2572,Drink_Templates!$A:$G,7,FALSE),0)))</f>
        <v/>
      </c>
    </row>
    <row r="2573" ht="15" customHeight="1">
      <c r="C2573">
        <f>IF($B2573="","",INT($B2573))</f>
        <v/>
      </c>
      <c r="D2573">
        <f>IF($C2573="","",$C2573-WEEKDAY($C2573,2)+1)</f>
        <v/>
      </c>
      <c r="E2573">
        <f>IF($C2573="","",DATE(YEAR($C2573),MONTH($C2573),1))</f>
        <v/>
      </c>
      <c r="F2573">
        <f>IF($C2573="","",YEAR($C2573)&amp;"-Q"&amp;ROUNDUP(MONTH($C2573)/3,0))</f>
        <v/>
      </c>
      <c r="L2573">
        <f>IF($G2573&lt;&gt;"ALCOHOL","",IF($K2573="","",$H2573*IFERROR(VLOOKUP($K2573,Drink_Templates!$A:$G,7,FALSE),0)))</f>
        <v/>
      </c>
    </row>
    <row r="2574" ht="15" customHeight="1">
      <c r="C2574">
        <f>IF($B2574="","",INT($B2574))</f>
        <v/>
      </c>
      <c r="D2574">
        <f>IF($C2574="","",$C2574-WEEKDAY($C2574,2)+1)</f>
        <v/>
      </c>
      <c r="E2574">
        <f>IF($C2574="","",DATE(YEAR($C2574),MONTH($C2574),1))</f>
        <v/>
      </c>
      <c r="F2574">
        <f>IF($C2574="","",YEAR($C2574)&amp;"-Q"&amp;ROUNDUP(MONTH($C2574)/3,0))</f>
        <v/>
      </c>
      <c r="L2574">
        <f>IF($G2574&lt;&gt;"ALCOHOL","",IF($K2574="","",$H2574*IFERROR(VLOOKUP($K2574,Drink_Templates!$A:$G,7,FALSE),0)))</f>
        <v/>
      </c>
    </row>
    <row r="2575" ht="15" customHeight="1">
      <c r="C2575">
        <f>IF($B2575="","",INT($B2575))</f>
        <v/>
      </c>
      <c r="D2575">
        <f>IF($C2575="","",$C2575-WEEKDAY($C2575,2)+1)</f>
        <v/>
      </c>
      <c r="E2575">
        <f>IF($C2575="","",DATE(YEAR($C2575),MONTH($C2575),1))</f>
        <v/>
      </c>
      <c r="F2575">
        <f>IF($C2575="","",YEAR($C2575)&amp;"-Q"&amp;ROUNDUP(MONTH($C2575)/3,0))</f>
        <v/>
      </c>
      <c r="L2575">
        <f>IF($G2575&lt;&gt;"ALCOHOL","",IF($K2575="","",$H2575*IFERROR(VLOOKUP($K2575,Drink_Templates!$A:$G,7,FALSE),0)))</f>
        <v/>
      </c>
    </row>
    <row r="2576" ht="15" customHeight="1">
      <c r="C2576">
        <f>IF($B2576="","",INT($B2576))</f>
        <v/>
      </c>
      <c r="D2576">
        <f>IF($C2576="","",$C2576-WEEKDAY($C2576,2)+1)</f>
        <v/>
      </c>
      <c r="E2576">
        <f>IF($C2576="","",DATE(YEAR($C2576),MONTH($C2576),1))</f>
        <v/>
      </c>
      <c r="F2576">
        <f>IF($C2576="","",YEAR($C2576)&amp;"-Q"&amp;ROUNDUP(MONTH($C2576)/3,0))</f>
        <v/>
      </c>
      <c r="L2576">
        <f>IF($G2576&lt;&gt;"ALCOHOL","",IF($K2576="","",$H2576*IFERROR(VLOOKUP($K2576,Drink_Templates!$A:$G,7,FALSE),0)))</f>
        <v/>
      </c>
    </row>
    <row r="2577" ht="15" customHeight="1">
      <c r="C2577">
        <f>IF($B2577="","",INT($B2577))</f>
        <v/>
      </c>
      <c r="D2577">
        <f>IF($C2577="","",$C2577-WEEKDAY($C2577,2)+1)</f>
        <v/>
      </c>
      <c r="E2577">
        <f>IF($C2577="","",DATE(YEAR($C2577),MONTH($C2577),1))</f>
        <v/>
      </c>
      <c r="F2577">
        <f>IF($C2577="","",YEAR($C2577)&amp;"-Q"&amp;ROUNDUP(MONTH($C2577)/3,0))</f>
        <v/>
      </c>
      <c r="L2577">
        <f>IF($G2577&lt;&gt;"ALCOHOL","",IF($K2577="","",$H2577*IFERROR(VLOOKUP($K2577,Drink_Templates!$A:$G,7,FALSE),0)))</f>
        <v/>
      </c>
    </row>
    <row r="2578" ht="15" customHeight="1">
      <c r="C2578">
        <f>IF($B2578="","",INT($B2578))</f>
        <v/>
      </c>
      <c r="D2578">
        <f>IF($C2578="","",$C2578-WEEKDAY($C2578,2)+1)</f>
        <v/>
      </c>
      <c r="E2578">
        <f>IF($C2578="","",DATE(YEAR($C2578),MONTH($C2578),1))</f>
        <v/>
      </c>
      <c r="F2578">
        <f>IF($C2578="","",YEAR($C2578)&amp;"-Q"&amp;ROUNDUP(MONTH($C2578)/3,0))</f>
        <v/>
      </c>
      <c r="L2578">
        <f>IF($G2578&lt;&gt;"ALCOHOL","",IF($K2578="","",$H2578*IFERROR(VLOOKUP($K2578,Drink_Templates!$A:$G,7,FALSE),0)))</f>
        <v/>
      </c>
    </row>
    <row r="2579" ht="15" customHeight="1">
      <c r="C2579">
        <f>IF($B2579="","",INT($B2579))</f>
        <v/>
      </c>
      <c r="D2579">
        <f>IF($C2579="","",$C2579-WEEKDAY($C2579,2)+1)</f>
        <v/>
      </c>
      <c r="E2579">
        <f>IF($C2579="","",DATE(YEAR($C2579),MONTH($C2579),1))</f>
        <v/>
      </c>
      <c r="F2579">
        <f>IF($C2579="","",YEAR($C2579)&amp;"-Q"&amp;ROUNDUP(MONTH($C2579)/3,0))</f>
        <v/>
      </c>
      <c r="L2579">
        <f>IF($G2579&lt;&gt;"ALCOHOL","",IF($K2579="","",$H2579*IFERROR(VLOOKUP($K2579,Drink_Templates!$A:$G,7,FALSE),0)))</f>
        <v/>
      </c>
    </row>
    <row r="2580" ht="15" customHeight="1">
      <c r="C2580">
        <f>IF($B2580="","",INT($B2580))</f>
        <v/>
      </c>
      <c r="D2580">
        <f>IF($C2580="","",$C2580-WEEKDAY($C2580,2)+1)</f>
        <v/>
      </c>
      <c r="E2580">
        <f>IF($C2580="","",DATE(YEAR($C2580),MONTH($C2580),1))</f>
        <v/>
      </c>
      <c r="F2580">
        <f>IF($C2580="","",YEAR($C2580)&amp;"-Q"&amp;ROUNDUP(MONTH($C2580)/3,0))</f>
        <v/>
      </c>
      <c r="L2580">
        <f>IF($G2580&lt;&gt;"ALCOHOL","",IF($K2580="","",$H2580*IFERROR(VLOOKUP($K2580,Drink_Templates!$A:$G,7,FALSE),0)))</f>
        <v/>
      </c>
    </row>
    <row r="2581" ht="15" customHeight="1">
      <c r="C2581">
        <f>IF($B2581="","",INT($B2581))</f>
        <v/>
      </c>
      <c r="D2581">
        <f>IF($C2581="","",$C2581-WEEKDAY($C2581,2)+1)</f>
        <v/>
      </c>
      <c r="E2581">
        <f>IF($C2581="","",DATE(YEAR($C2581),MONTH($C2581),1))</f>
        <v/>
      </c>
      <c r="F2581">
        <f>IF($C2581="","",YEAR($C2581)&amp;"-Q"&amp;ROUNDUP(MONTH($C2581)/3,0))</f>
        <v/>
      </c>
      <c r="L2581">
        <f>IF($G2581&lt;&gt;"ALCOHOL","",IF($K2581="","",$H2581*IFERROR(VLOOKUP($K2581,Drink_Templates!$A:$G,7,FALSE),0)))</f>
        <v/>
      </c>
    </row>
    <row r="2582" ht="15" customHeight="1">
      <c r="C2582">
        <f>IF($B2582="","",INT($B2582))</f>
        <v/>
      </c>
      <c r="D2582">
        <f>IF($C2582="","",$C2582-WEEKDAY($C2582,2)+1)</f>
        <v/>
      </c>
      <c r="E2582">
        <f>IF($C2582="","",DATE(YEAR($C2582),MONTH($C2582),1))</f>
        <v/>
      </c>
      <c r="F2582">
        <f>IF($C2582="","",YEAR($C2582)&amp;"-Q"&amp;ROUNDUP(MONTH($C2582)/3,0))</f>
        <v/>
      </c>
      <c r="L2582">
        <f>IF($G2582&lt;&gt;"ALCOHOL","",IF($K2582="","",$H2582*IFERROR(VLOOKUP($K2582,Drink_Templates!$A:$G,7,FALSE),0)))</f>
        <v/>
      </c>
    </row>
    <row r="2583" ht="15" customHeight="1">
      <c r="C2583">
        <f>IF($B2583="","",INT($B2583))</f>
        <v/>
      </c>
      <c r="D2583">
        <f>IF($C2583="","",$C2583-WEEKDAY($C2583,2)+1)</f>
        <v/>
      </c>
      <c r="E2583">
        <f>IF($C2583="","",DATE(YEAR($C2583),MONTH($C2583),1))</f>
        <v/>
      </c>
      <c r="F2583">
        <f>IF($C2583="","",YEAR($C2583)&amp;"-Q"&amp;ROUNDUP(MONTH($C2583)/3,0))</f>
        <v/>
      </c>
      <c r="L2583">
        <f>IF($G2583&lt;&gt;"ALCOHOL","",IF($K2583="","",$H2583*IFERROR(VLOOKUP($K2583,Drink_Templates!$A:$G,7,FALSE),0)))</f>
        <v/>
      </c>
    </row>
    <row r="2584" ht="15" customHeight="1">
      <c r="C2584">
        <f>IF($B2584="","",INT($B2584))</f>
        <v/>
      </c>
      <c r="D2584">
        <f>IF($C2584="","",$C2584-WEEKDAY($C2584,2)+1)</f>
        <v/>
      </c>
      <c r="E2584">
        <f>IF($C2584="","",DATE(YEAR($C2584),MONTH($C2584),1))</f>
        <v/>
      </c>
      <c r="F2584">
        <f>IF($C2584="","",YEAR($C2584)&amp;"-Q"&amp;ROUNDUP(MONTH($C2584)/3,0))</f>
        <v/>
      </c>
      <c r="L2584">
        <f>IF($G2584&lt;&gt;"ALCOHOL","",IF($K2584="","",$H2584*IFERROR(VLOOKUP($K2584,Drink_Templates!$A:$G,7,FALSE),0)))</f>
        <v/>
      </c>
    </row>
    <row r="2585" ht="15" customHeight="1">
      <c r="C2585">
        <f>IF($B2585="","",INT($B2585))</f>
        <v/>
      </c>
      <c r="D2585">
        <f>IF($C2585="","",$C2585-WEEKDAY($C2585,2)+1)</f>
        <v/>
      </c>
      <c r="E2585">
        <f>IF($C2585="","",DATE(YEAR($C2585),MONTH($C2585),1))</f>
        <v/>
      </c>
      <c r="F2585">
        <f>IF($C2585="","",YEAR($C2585)&amp;"-Q"&amp;ROUNDUP(MONTH($C2585)/3,0))</f>
        <v/>
      </c>
      <c r="L2585">
        <f>IF($G2585&lt;&gt;"ALCOHOL","",IF($K2585="","",$H2585*IFERROR(VLOOKUP($K2585,Drink_Templates!$A:$G,7,FALSE),0)))</f>
        <v/>
      </c>
    </row>
    <row r="2586" ht="15" customHeight="1">
      <c r="C2586">
        <f>IF($B2586="","",INT($B2586))</f>
        <v/>
      </c>
      <c r="D2586">
        <f>IF($C2586="","",$C2586-WEEKDAY($C2586,2)+1)</f>
        <v/>
      </c>
      <c r="E2586">
        <f>IF($C2586="","",DATE(YEAR($C2586),MONTH($C2586),1))</f>
        <v/>
      </c>
      <c r="F2586">
        <f>IF($C2586="","",YEAR($C2586)&amp;"-Q"&amp;ROUNDUP(MONTH($C2586)/3,0))</f>
        <v/>
      </c>
      <c r="L2586">
        <f>IF($G2586&lt;&gt;"ALCOHOL","",IF($K2586="","",$H2586*IFERROR(VLOOKUP($K2586,Drink_Templates!$A:$G,7,FALSE),0)))</f>
        <v/>
      </c>
    </row>
    <row r="2587" ht="15" customHeight="1">
      <c r="C2587">
        <f>IF($B2587="","",INT($B2587))</f>
        <v/>
      </c>
      <c r="D2587">
        <f>IF($C2587="","",$C2587-WEEKDAY($C2587,2)+1)</f>
        <v/>
      </c>
      <c r="E2587">
        <f>IF($C2587="","",DATE(YEAR($C2587),MONTH($C2587),1))</f>
        <v/>
      </c>
      <c r="F2587">
        <f>IF($C2587="","",YEAR($C2587)&amp;"-Q"&amp;ROUNDUP(MONTH($C2587)/3,0))</f>
        <v/>
      </c>
      <c r="L2587">
        <f>IF($G2587&lt;&gt;"ALCOHOL","",IF($K2587="","",$H2587*IFERROR(VLOOKUP($K2587,Drink_Templates!$A:$G,7,FALSE),0)))</f>
        <v/>
      </c>
    </row>
    <row r="2588" ht="15" customHeight="1">
      <c r="C2588">
        <f>IF($B2588="","",INT($B2588))</f>
        <v/>
      </c>
      <c r="D2588">
        <f>IF($C2588="","",$C2588-WEEKDAY($C2588,2)+1)</f>
        <v/>
      </c>
      <c r="E2588">
        <f>IF($C2588="","",DATE(YEAR($C2588),MONTH($C2588),1))</f>
        <v/>
      </c>
      <c r="F2588">
        <f>IF($C2588="","",YEAR($C2588)&amp;"-Q"&amp;ROUNDUP(MONTH($C2588)/3,0))</f>
        <v/>
      </c>
      <c r="L2588">
        <f>IF($G2588&lt;&gt;"ALCOHOL","",IF($K2588="","",$H2588*IFERROR(VLOOKUP($K2588,Drink_Templates!$A:$G,7,FALSE),0)))</f>
        <v/>
      </c>
    </row>
    <row r="2589" ht="15" customHeight="1">
      <c r="C2589">
        <f>IF($B2589="","",INT($B2589))</f>
        <v/>
      </c>
      <c r="D2589">
        <f>IF($C2589="","",$C2589-WEEKDAY($C2589,2)+1)</f>
        <v/>
      </c>
      <c r="E2589">
        <f>IF($C2589="","",DATE(YEAR($C2589),MONTH($C2589),1))</f>
        <v/>
      </c>
      <c r="F2589">
        <f>IF($C2589="","",YEAR($C2589)&amp;"-Q"&amp;ROUNDUP(MONTH($C2589)/3,0))</f>
        <v/>
      </c>
      <c r="L2589">
        <f>IF($G2589&lt;&gt;"ALCOHOL","",IF($K2589="","",$H2589*IFERROR(VLOOKUP($K2589,Drink_Templates!$A:$G,7,FALSE),0)))</f>
        <v/>
      </c>
    </row>
    <row r="2590" ht="15" customHeight="1">
      <c r="C2590">
        <f>IF($B2590="","",INT($B2590))</f>
        <v/>
      </c>
      <c r="D2590">
        <f>IF($C2590="","",$C2590-WEEKDAY($C2590,2)+1)</f>
        <v/>
      </c>
      <c r="E2590">
        <f>IF($C2590="","",DATE(YEAR($C2590),MONTH($C2590),1))</f>
        <v/>
      </c>
      <c r="F2590">
        <f>IF($C2590="","",YEAR($C2590)&amp;"-Q"&amp;ROUNDUP(MONTH($C2590)/3,0))</f>
        <v/>
      </c>
      <c r="L2590">
        <f>IF($G2590&lt;&gt;"ALCOHOL","",IF($K2590="","",$H2590*IFERROR(VLOOKUP($K2590,Drink_Templates!$A:$G,7,FALSE),0)))</f>
        <v/>
      </c>
    </row>
    <row r="2591" ht="15" customHeight="1">
      <c r="C2591">
        <f>IF($B2591="","",INT($B2591))</f>
        <v/>
      </c>
      <c r="D2591">
        <f>IF($C2591="","",$C2591-WEEKDAY($C2591,2)+1)</f>
        <v/>
      </c>
      <c r="E2591">
        <f>IF($C2591="","",DATE(YEAR($C2591),MONTH($C2591),1))</f>
        <v/>
      </c>
      <c r="F2591">
        <f>IF($C2591="","",YEAR($C2591)&amp;"-Q"&amp;ROUNDUP(MONTH($C2591)/3,0))</f>
        <v/>
      </c>
      <c r="L2591">
        <f>IF($G2591&lt;&gt;"ALCOHOL","",IF($K2591="","",$H2591*IFERROR(VLOOKUP($K2591,Drink_Templates!$A:$G,7,FALSE),0)))</f>
        <v/>
      </c>
    </row>
    <row r="2592" ht="15" customHeight="1">
      <c r="C2592">
        <f>IF($B2592="","",INT($B2592))</f>
        <v/>
      </c>
      <c r="D2592">
        <f>IF($C2592="","",$C2592-WEEKDAY($C2592,2)+1)</f>
        <v/>
      </c>
      <c r="E2592">
        <f>IF($C2592="","",DATE(YEAR($C2592),MONTH($C2592),1))</f>
        <v/>
      </c>
      <c r="F2592">
        <f>IF($C2592="","",YEAR($C2592)&amp;"-Q"&amp;ROUNDUP(MONTH($C2592)/3,0))</f>
        <v/>
      </c>
      <c r="L2592">
        <f>IF($G2592&lt;&gt;"ALCOHOL","",IF($K2592="","",$H2592*IFERROR(VLOOKUP($K2592,Drink_Templates!$A:$G,7,FALSE),0)))</f>
        <v/>
      </c>
    </row>
    <row r="2593" ht="15" customHeight="1">
      <c r="C2593">
        <f>IF($B2593="","",INT($B2593))</f>
        <v/>
      </c>
      <c r="D2593">
        <f>IF($C2593="","",$C2593-WEEKDAY($C2593,2)+1)</f>
        <v/>
      </c>
      <c r="E2593">
        <f>IF($C2593="","",DATE(YEAR($C2593),MONTH($C2593),1))</f>
        <v/>
      </c>
      <c r="F2593">
        <f>IF($C2593="","",YEAR($C2593)&amp;"-Q"&amp;ROUNDUP(MONTH($C2593)/3,0))</f>
        <v/>
      </c>
      <c r="L2593">
        <f>IF($G2593&lt;&gt;"ALCOHOL","",IF($K2593="","",$H2593*IFERROR(VLOOKUP($K2593,Drink_Templates!$A:$G,7,FALSE),0)))</f>
        <v/>
      </c>
    </row>
    <row r="2594" ht="15" customHeight="1">
      <c r="C2594">
        <f>IF($B2594="","",INT($B2594))</f>
        <v/>
      </c>
      <c r="D2594">
        <f>IF($C2594="","",$C2594-WEEKDAY($C2594,2)+1)</f>
        <v/>
      </c>
      <c r="E2594">
        <f>IF($C2594="","",DATE(YEAR($C2594),MONTH($C2594),1))</f>
        <v/>
      </c>
      <c r="F2594">
        <f>IF($C2594="","",YEAR($C2594)&amp;"-Q"&amp;ROUNDUP(MONTH($C2594)/3,0))</f>
        <v/>
      </c>
      <c r="L2594">
        <f>IF($G2594&lt;&gt;"ALCOHOL","",IF($K2594="","",$H2594*IFERROR(VLOOKUP($K2594,Drink_Templates!$A:$G,7,FALSE),0)))</f>
        <v/>
      </c>
    </row>
    <row r="2595" ht="15" customHeight="1">
      <c r="C2595">
        <f>IF($B2595="","",INT($B2595))</f>
        <v/>
      </c>
      <c r="D2595">
        <f>IF($C2595="","",$C2595-WEEKDAY($C2595,2)+1)</f>
        <v/>
      </c>
      <c r="E2595">
        <f>IF($C2595="","",DATE(YEAR($C2595),MONTH($C2595),1))</f>
        <v/>
      </c>
      <c r="F2595">
        <f>IF($C2595="","",YEAR($C2595)&amp;"-Q"&amp;ROUNDUP(MONTH($C2595)/3,0))</f>
        <v/>
      </c>
      <c r="L2595">
        <f>IF($G2595&lt;&gt;"ALCOHOL","",IF($K2595="","",$H2595*IFERROR(VLOOKUP($K2595,Drink_Templates!$A:$G,7,FALSE),0)))</f>
        <v/>
      </c>
    </row>
    <row r="2596" ht="15" customHeight="1">
      <c r="C2596">
        <f>IF($B2596="","",INT($B2596))</f>
        <v/>
      </c>
      <c r="D2596">
        <f>IF($C2596="","",$C2596-WEEKDAY($C2596,2)+1)</f>
        <v/>
      </c>
      <c r="E2596">
        <f>IF($C2596="","",DATE(YEAR($C2596),MONTH($C2596),1))</f>
        <v/>
      </c>
      <c r="F2596">
        <f>IF($C2596="","",YEAR($C2596)&amp;"-Q"&amp;ROUNDUP(MONTH($C2596)/3,0))</f>
        <v/>
      </c>
      <c r="L2596">
        <f>IF($G2596&lt;&gt;"ALCOHOL","",IF($K2596="","",$H2596*IFERROR(VLOOKUP($K2596,Drink_Templates!$A:$G,7,FALSE),0)))</f>
        <v/>
      </c>
    </row>
    <row r="2597" ht="15" customHeight="1">
      <c r="C2597">
        <f>IF($B2597="","",INT($B2597))</f>
        <v/>
      </c>
      <c r="D2597">
        <f>IF($C2597="","",$C2597-WEEKDAY($C2597,2)+1)</f>
        <v/>
      </c>
      <c r="E2597">
        <f>IF($C2597="","",DATE(YEAR($C2597),MONTH($C2597),1))</f>
        <v/>
      </c>
      <c r="F2597">
        <f>IF($C2597="","",YEAR($C2597)&amp;"-Q"&amp;ROUNDUP(MONTH($C2597)/3,0))</f>
        <v/>
      </c>
      <c r="L2597">
        <f>IF($G2597&lt;&gt;"ALCOHOL","",IF($K2597="","",$H2597*IFERROR(VLOOKUP($K2597,Drink_Templates!$A:$G,7,FALSE),0)))</f>
        <v/>
      </c>
    </row>
    <row r="2598" ht="15" customHeight="1">
      <c r="C2598">
        <f>IF($B2598="","",INT($B2598))</f>
        <v/>
      </c>
      <c r="D2598">
        <f>IF($C2598="","",$C2598-WEEKDAY($C2598,2)+1)</f>
        <v/>
      </c>
      <c r="E2598">
        <f>IF($C2598="","",DATE(YEAR($C2598),MONTH($C2598),1))</f>
        <v/>
      </c>
      <c r="F2598">
        <f>IF($C2598="","",YEAR($C2598)&amp;"-Q"&amp;ROUNDUP(MONTH($C2598)/3,0))</f>
        <v/>
      </c>
      <c r="L2598">
        <f>IF($G2598&lt;&gt;"ALCOHOL","",IF($K2598="","",$H2598*IFERROR(VLOOKUP($K2598,Drink_Templates!$A:$G,7,FALSE),0)))</f>
        <v/>
      </c>
    </row>
    <row r="2599" ht="15" customHeight="1">
      <c r="C2599">
        <f>IF($B2599="","",INT($B2599))</f>
        <v/>
      </c>
      <c r="D2599">
        <f>IF($C2599="","",$C2599-WEEKDAY($C2599,2)+1)</f>
        <v/>
      </c>
      <c r="E2599">
        <f>IF($C2599="","",DATE(YEAR($C2599),MONTH($C2599),1))</f>
        <v/>
      </c>
      <c r="F2599">
        <f>IF($C2599="","",YEAR($C2599)&amp;"-Q"&amp;ROUNDUP(MONTH($C2599)/3,0))</f>
        <v/>
      </c>
      <c r="L2599">
        <f>IF($G2599&lt;&gt;"ALCOHOL","",IF($K2599="","",$H2599*IFERROR(VLOOKUP($K2599,Drink_Templates!$A:$G,7,FALSE),0)))</f>
        <v/>
      </c>
    </row>
    <row r="2600" ht="15" customHeight="1">
      <c r="C2600">
        <f>IF($B2600="","",INT($B2600))</f>
        <v/>
      </c>
      <c r="D2600">
        <f>IF($C2600="","",$C2600-WEEKDAY($C2600,2)+1)</f>
        <v/>
      </c>
      <c r="E2600">
        <f>IF($C2600="","",DATE(YEAR($C2600),MONTH($C2600),1))</f>
        <v/>
      </c>
      <c r="F2600">
        <f>IF($C2600="","",YEAR($C2600)&amp;"-Q"&amp;ROUNDUP(MONTH($C2600)/3,0))</f>
        <v/>
      </c>
      <c r="L2600">
        <f>IF($G2600&lt;&gt;"ALCOHOL","",IF($K2600="","",$H2600*IFERROR(VLOOKUP($K2600,Drink_Templates!$A:$G,7,FALSE),0)))</f>
        <v/>
      </c>
    </row>
    <row r="2601" ht="15" customHeight="1">
      <c r="C2601">
        <f>IF($B2601="","",INT($B2601))</f>
        <v/>
      </c>
      <c r="D2601">
        <f>IF($C2601="","",$C2601-WEEKDAY($C2601,2)+1)</f>
        <v/>
      </c>
      <c r="E2601">
        <f>IF($C2601="","",DATE(YEAR($C2601),MONTH($C2601),1))</f>
        <v/>
      </c>
      <c r="F2601">
        <f>IF($C2601="","",YEAR($C2601)&amp;"-Q"&amp;ROUNDUP(MONTH($C2601)/3,0))</f>
        <v/>
      </c>
      <c r="L2601">
        <f>IF($G2601&lt;&gt;"ALCOHOL","",IF($K2601="","",$H2601*IFERROR(VLOOKUP($K2601,Drink_Templates!$A:$G,7,FALSE),0)))</f>
        <v/>
      </c>
    </row>
    <row r="2602" ht="15" customHeight="1">
      <c r="C2602">
        <f>IF($B2602="","",INT($B2602))</f>
        <v/>
      </c>
      <c r="D2602">
        <f>IF($C2602="","",$C2602-WEEKDAY($C2602,2)+1)</f>
        <v/>
      </c>
      <c r="E2602">
        <f>IF($C2602="","",DATE(YEAR($C2602),MONTH($C2602),1))</f>
        <v/>
      </c>
      <c r="F2602">
        <f>IF($C2602="","",YEAR($C2602)&amp;"-Q"&amp;ROUNDUP(MONTH($C2602)/3,0))</f>
        <v/>
      </c>
      <c r="L2602">
        <f>IF($G2602&lt;&gt;"ALCOHOL","",IF($K2602="","",$H2602*IFERROR(VLOOKUP($K2602,Drink_Templates!$A:$G,7,FALSE),0)))</f>
        <v/>
      </c>
    </row>
    <row r="2603" ht="15" customHeight="1">
      <c r="C2603">
        <f>IF($B2603="","",INT($B2603))</f>
        <v/>
      </c>
      <c r="D2603">
        <f>IF($C2603="","",$C2603-WEEKDAY($C2603,2)+1)</f>
        <v/>
      </c>
      <c r="E2603">
        <f>IF($C2603="","",DATE(YEAR($C2603),MONTH($C2603),1))</f>
        <v/>
      </c>
      <c r="F2603">
        <f>IF($C2603="","",YEAR($C2603)&amp;"-Q"&amp;ROUNDUP(MONTH($C2603)/3,0))</f>
        <v/>
      </c>
      <c r="L2603">
        <f>IF($G2603&lt;&gt;"ALCOHOL","",IF($K2603="","",$H2603*IFERROR(VLOOKUP($K2603,Drink_Templates!$A:$G,7,FALSE),0)))</f>
        <v/>
      </c>
    </row>
    <row r="2604" ht="15" customHeight="1">
      <c r="C2604">
        <f>IF($B2604="","",INT($B2604))</f>
        <v/>
      </c>
      <c r="D2604">
        <f>IF($C2604="","",$C2604-WEEKDAY($C2604,2)+1)</f>
        <v/>
      </c>
      <c r="E2604">
        <f>IF($C2604="","",DATE(YEAR($C2604),MONTH($C2604),1))</f>
        <v/>
      </c>
      <c r="F2604">
        <f>IF($C2604="","",YEAR($C2604)&amp;"-Q"&amp;ROUNDUP(MONTH($C2604)/3,0))</f>
        <v/>
      </c>
      <c r="L2604">
        <f>IF($G2604&lt;&gt;"ALCOHOL","",IF($K2604="","",$H2604*IFERROR(VLOOKUP($K2604,Drink_Templates!$A:$G,7,FALSE),0)))</f>
        <v/>
      </c>
    </row>
    <row r="2605" ht="15" customHeight="1">
      <c r="C2605">
        <f>IF($B2605="","",INT($B2605))</f>
        <v/>
      </c>
      <c r="D2605">
        <f>IF($C2605="","",$C2605-WEEKDAY($C2605,2)+1)</f>
        <v/>
      </c>
      <c r="E2605">
        <f>IF($C2605="","",DATE(YEAR($C2605),MONTH($C2605),1))</f>
        <v/>
      </c>
      <c r="F2605">
        <f>IF($C2605="","",YEAR($C2605)&amp;"-Q"&amp;ROUNDUP(MONTH($C2605)/3,0))</f>
        <v/>
      </c>
      <c r="L2605">
        <f>IF($G2605&lt;&gt;"ALCOHOL","",IF($K2605="","",$H2605*IFERROR(VLOOKUP($K2605,Drink_Templates!$A:$G,7,FALSE),0)))</f>
        <v/>
      </c>
    </row>
    <row r="2606" ht="15" customHeight="1">
      <c r="C2606">
        <f>IF($B2606="","",INT($B2606))</f>
        <v/>
      </c>
      <c r="D2606">
        <f>IF($C2606="","",$C2606-WEEKDAY($C2606,2)+1)</f>
        <v/>
      </c>
      <c r="E2606">
        <f>IF($C2606="","",DATE(YEAR($C2606),MONTH($C2606),1))</f>
        <v/>
      </c>
      <c r="F2606">
        <f>IF($C2606="","",YEAR($C2606)&amp;"-Q"&amp;ROUNDUP(MONTH($C2606)/3,0))</f>
        <v/>
      </c>
      <c r="L2606">
        <f>IF($G2606&lt;&gt;"ALCOHOL","",IF($K2606="","",$H2606*IFERROR(VLOOKUP($K2606,Drink_Templates!$A:$G,7,FALSE),0)))</f>
        <v/>
      </c>
    </row>
    <row r="2607" ht="15" customHeight="1">
      <c r="C2607">
        <f>IF($B2607="","",INT($B2607))</f>
        <v/>
      </c>
      <c r="D2607">
        <f>IF($C2607="","",$C2607-WEEKDAY($C2607,2)+1)</f>
        <v/>
      </c>
      <c r="E2607">
        <f>IF($C2607="","",DATE(YEAR($C2607),MONTH($C2607),1))</f>
        <v/>
      </c>
      <c r="F2607">
        <f>IF($C2607="","",YEAR($C2607)&amp;"-Q"&amp;ROUNDUP(MONTH($C2607)/3,0))</f>
        <v/>
      </c>
      <c r="L2607">
        <f>IF($G2607&lt;&gt;"ALCOHOL","",IF($K2607="","",$H2607*IFERROR(VLOOKUP($K2607,Drink_Templates!$A:$G,7,FALSE),0)))</f>
        <v/>
      </c>
    </row>
    <row r="2608" ht="15" customHeight="1">
      <c r="C2608">
        <f>IF($B2608="","",INT($B2608))</f>
        <v/>
      </c>
      <c r="D2608">
        <f>IF($C2608="","",$C2608-WEEKDAY($C2608,2)+1)</f>
        <v/>
      </c>
      <c r="E2608">
        <f>IF($C2608="","",DATE(YEAR($C2608),MONTH($C2608),1))</f>
        <v/>
      </c>
      <c r="F2608">
        <f>IF($C2608="","",YEAR($C2608)&amp;"-Q"&amp;ROUNDUP(MONTH($C2608)/3,0))</f>
        <v/>
      </c>
      <c r="L2608">
        <f>IF($G2608&lt;&gt;"ALCOHOL","",IF($K2608="","",$H2608*IFERROR(VLOOKUP($K2608,Drink_Templates!$A:$G,7,FALSE),0)))</f>
        <v/>
      </c>
    </row>
    <row r="2609" ht="15" customHeight="1">
      <c r="C2609">
        <f>IF($B2609="","",INT($B2609))</f>
        <v/>
      </c>
      <c r="D2609">
        <f>IF($C2609="","",$C2609-WEEKDAY($C2609,2)+1)</f>
        <v/>
      </c>
      <c r="E2609">
        <f>IF($C2609="","",DATE(YEAR($C2609),MONTH($C2609),1))</f>
        <v/>
      </c>
      <c r="F2609">
        <f>IF($C2609="","",YEAR($C2609)&amp;"-Q"&amp;ROUNDUP(MONTH($C2609)/3,0))</f>
        <v/>
      </c>
      <c r="L2609">
        <f>IF($G2609&lt;&gt;"ALCOHOL","",IF($K2609="","",$H2609*IFERROR(VLOOKUP($K2609,Drink_Templates!$A:$G,7,FALSE),0)))</f>
        <v/>
      </c>
    </row>
    <row r="2610" ht="15" customHeight="1">
      <c r="C2610">
        <f>IF($B2610="","",INT($B2610))</f>
        <v/>
      </c>
      <c r="D2610">
        <f>IF($C2610="","",$C2610-WEEKDAY($C2610,2)+1)</f>
        <v/>
      </c>
      <c r="E2610">
        <f>IF($C2610="","",DATE(YEAR($C2610),MONTH($C2610),1))</f>
        <v/>
      </c>
      <c r="F2610">
        <f>IF($C2610="","",YEAR($C2610)&amp;"-Q"&amp;ROUNDUP(MONTH($C2610)/3,0))</f>
        <v/>
      </c>
      <c r="L2610">
        <f>IF($G2610&lt;&gt;"ALCOHOL","",IF($K2610="","",$H2610*IFERROR(VLOOKUP($K2610,Drink_Templates!$A:$G,7,FALSE),0)))</f>
        <v/>
      </c>
    </row>
    <row r="2611" ht="15" customHeight="1">
      <c r="C2611">
        <f>IF($B2611="","",INT($B2611))</f>
        <v/>
      </c>
      <c r="D2611">
        <f>IF($C2611="","",$C2611-WEEKDAY($C2611,2)+1)</f>
        <v/>
      </c>
      <c r="E2611">
        <f>IF($C2611="","",DATE(YEAR($C2611),MONTH($C2611),1))</f>
        <v/>
      </c>
      <c r="F2611">
        <f>IF($C2611="","",YEAR($C2611)&amp;"-Q"&amp;ROUNDUP(MONTH($C2611)/3,0))</f>
        <v/>
      </c>
      <c r="L2611">
        <f>IF($G2611&lt;&gt;"ALCOHOL","",IF($K2611="","",$H2611*IFERROR(VLOOKUP($K2611,Drink_Templates!$A:$G,7,FALSE),0)))</f>
        <v/>
      </c>
    </row>
    <row r="2612" ht="15" customHeight="1">
      <c r="C2612">
        <f>IF($B2612="","",INT($B2612))</f>
        <v/>
      </c>
      <c r="D2612">
        <f>IF($C2612="","",$C2612-WEEKDAY($C2612,2)+1)</f>
        <v/>
      </c>
      <c r="E2612">
        <f>IF($C2612="","",DATE(YEAR($C2612),MONTH($C2612),1))</f>
        <v/>
      </c>
      <c r="F2612">
        <f>IF($C2612="","",YEAR($C2612)&amp;"-Q"&amp;ROUNDUP(MONTH($C2612)/3,0))</f>
        <v/>
      </c>
      <c r="L2612">
        <f>IF($G2612&lt;&gt;"ALCOHOL","",IF($K2612="","",$H2612*IFERROR(VLOOKUP($K2612,Drink_Templates!$A:$G,7,FALSE),0)))</f>
        <v/>
      </c>
    </row>
    <row r="2613" ht="15" customHeight="1">
      <c r="C2613">
        <f>IF($B2613="","",INT($B2613))</f>
        <v/>
      </c>
      <c r="D2613">
        <f>IF($C2613="","",$C2613-WEEKDAY($C2613,2)+1)</f>
        <v/>
      </c>
      <c r="E2613">
        <f>IF($C2613="","",DATE(YEAR($C2613),MONTH($C2613),1))</f>
        <v/>
      </c>
      <c r="F2613">
        <f>IF($C2613="","",YEAR($C2613)&amp;"-Q"&amp;ROUNDUP(MONTH($C2613)/3,0))</f>
        <v/>
      </c>
      <c r="L2613">
        <f>IF($G2613&lt;&gt;"ALCOHOL","",IF($K2613="","",$H2613*IFERROR(VLOOKUP($K2613,Drink_Templates!$A:$G,7,FALSE),0)))</f>
        <v/>
      </c>
    </row>
    <row r="2614" ht="15" customHeight="1">
      <c r="C2614">
        <f>IF($B2614="","",INT($B2614))</f>
        <v/>
      </c>
      <c r="D2614">
        <f>IF($C2614="","",$C2614-WEEKDAY($C2614,2)+1)</f>
        <v/>
      </c>
      <c r="E2614">
        <f>IF($C2614="","",DATE(YEAR($C2614),MONTH($C2614),1))</f>
        <v/>
      </c>
      <c r="F2614">
        <f>IF($C2614="","",YEAR($C2614)&amp;"-Q"&amp;ROUNDUP(MONTH($C2614)/3,0))</f>
        <v/>
      </c>
      <c r="L2614">
        <f>IF($G2614&lt;&gt;"ALCOHOL","",IF($K2614="","",$H2614*IFERROR(VLOOKUP($K2614,Drink_Templates!$A:$G,7,FALSE),0)))</f>
        <v/>
      </c>
    </row>
    <row r="2615" ht="15" customHeight="1">
      <c r="C2615">
        <f>IF($B2615="","",INT($B2615))</f>
        <v/>
      </c>
      <c r="D2615">
        <f>IF($C2615="","",$C2615-WEEKDAY($C2615,2)+1)</f>
        <v/>
      </c>
      <c r="E2615">
        <f>IF($C2615="","",DATE(YEAR($C2615),MONTH($C2615),1))</f>
        <v/>
      </c>
      <c r="F2615">
        <f>IF($C2615="","",YEAR($C2615)&amp;"-Q"&amp;ROUNDUP(MONTH($C2615)/3,0))</f>
        <v/>
      </c>
      <c r="L2615">
        <f>IF($G2615&lt;&gt;"ALCOHOL","",IF($K2615="","",$H2615*IFERROR(VLOOKUP($K2615,Drink_Templates!$A:$G,7,FALSE),0)))</f>
        <v/>
      </c>
    </row>
    <row r="2616" ht="15" customHeight="1">
      <c r="C2616">
        <f>IF($B2616="","",INT($B2616))</f>
        <v/>
      </c>
      <c r="D2616">
        <f>IF($C2616="","",$C2616-WEEKDAY($C2616,2)+1)</f>
        <v/>
      </c>
      <c r="E2616">
        <f>IF($C2616="","",DATE(YEAR($C2616),MONTH($C2616),1))</f>
        <v/>
      </c>
      <c r="F2616">
        <f>IF($C2616="","",YEAR($C2616)&amp;"-Q"&amp;ROUNDUP(MONTH($C2616)/3,0))</f>
        <v/>
      </c>
      <c r="L2616">
        <f>IF($G2616&lt;&gt;"ALCOHOL","",IF($K2616="","",$H2616*IFERROR(VLOOKUP($K2616,Drink_Templates!$A:$G,7,FALSE),0)))</f>
        <v/>
      </c>
    </row>
    <row r="2617" ht="15" customHeight="1">
      <c r="C2617">
        <f>IF($B2617="","",INT($B2617))</f>
        <v/>
      </c>
      <c r="D2617">
        <f>IF($C2617="","",$C2617-WEEKDAY($C2617,2)+1)</f>
        <v/>
      </c>
      <c r="E2617">
        <f>IF($C2617="","",DATE(YEAR($C2617),MONTH($C2617),1))</f>
        <v/>
      </c>
      <c r="F2617">
        <f>IF($C2617="","",YEAR($C2617)&amp;"-Q"&amp;ROUNDUP(MONTH($C2617)/3,0))</f>
        <v/>
      </c>
      <c r="L2617">
        <f>IF($G2617&lt;&gt;"ALCOHOL","",IF($K2617="","",$H2617*IFERROR(VLOOKUP($K2617,Drink_Templates!$A:$G,7,FALSE),0)))</f>
        <v/>
      </c>
    </row>
    <row r="2618" ht="15" customHeight="1">
      <c r="C2618">
        <f>IF($B2618="","",INT($B2618))</f>
        <v/>
      </c>
      <c r="D2618">
        <f>IF($C2618="","",$C2618-WEEKDAY($C2618,2)+1)</f>
        <v/>
      </c>
      <c r="E2618">
        <f>IF($C2618="","",DATE(YEAR($C2618),MONTH($C2618),1))</f>
        <v/>
      </c>
      <c r="F2618">
        <f>IF($C2618="","",YEAR($C2618)&amp;"-Q"&amp;ROUNDUP(MONTH($C2618)/3,0))</f>
        <v/>
      </c>
      <c r="L2618">
        <f>IF($G2618&lt;&gt;"ALCOHOL","",IF($K2618="","",$H2618*IFERROR(VLOOKUP($K2618,Drink_Templates!$A:$G,7,FALSE),0)))</f>
        <v/>
      </c>
    </row>
    <row r="2619" ht="15" customHeight="1">
      <c r="C2619">
        <f>IF($B2619="","",INT($B2619))</f>
        <v/>
      </c>
      <c r="D2619">
        <f>IF($C2619="","",$C2619-WEEKDAY($C2619,2)+1)</f>
        <v/>
      </c>
      <c r="E2619">
        <f>IF($C2619="","",DATE(YEAR($C2619),MONTH($C2619),1))</f>
        <v/>
      </c>
      <c r="F2619">
        <f>IF($C2619="","",YEAR($C2619)&amp;"-Q"&amp;ROUNDUP(MONTH($C2619)/3,0))</f>
        <v/>
      </c>
      <c r="L2619">
        <f>IF($G2619&lt;&gt;"ALCOHOL","",IF($K2619="","",$H2619*IFERROR(VLOOKUP($K2619,Drink_Templates!$A:$G,7,FALSE),0)))</f>
        <v/>
      </c>
    </row>
    <row r="2620" ht="15" customHeight="1">
      <c r="C2620">
        <f>IF($B2620="","",INT($B2620))</f>
        <v/>
      </c>
      <c r="D2620">
        <f>IF($C2620="","",$C2620-WEEKDAY($C2620,2)+1)</f>
        <v/>
      </c>
      <c r="E2620">
        <f>IF($C2620="","",DATE(YEAR($C2620),MONTH($C2620),1))</f>
        <v/>
      </c>
      <c r="F2620">
        <f>IF($C2620="","",YEAR($C2620)&amp;"-Q"&amp;ROUNDUP(MONTH($C2620)/3,0))</f>
        <v/>
      </c>
      <c r="L2620">
        <f>IF($G2620&lt;&gt;"ALCOHOL","",IF($K2620="","",$H2620*IFERROR(VLOOKUP($K2620,Drink_Templates!$A:$G,7,FALSE),0)))</f>
        <v/>
      </c>
    </row>
    <row r="2621" ht="15" customHeight="1">
      <c r="C2621">
        <f>IF($B2621="","",INT($B2621))</f>
        <v/>
      </c>
      <c r="D2621">
        <f>IF($C2621="","",$C2621-WEEKDAY($C2621,2)+1)</f>
        <v/>
      </c>
      <c r="E2621">
        <f>IF($C2621="","",DATE(YEAR($C2621),MONTH($C2621),1))</f>
        <v/>
      </c>
      <c r="F2621">
        <f>IF($C2621="","",YEAR($C2621)&amp;"-Q"&amp;ROUNDUP(MONTH($C2621)/3,0))</f>
        <v/>
      </c>
      <c r="L2621">
        <f>IF($G2621&lt;&gt;"ALCOHOL","",IF($K2621="","",$H2621*IFERROR(VLOOKUP($K2621,Drink_Templates!$A:$G,7,FALSE),0)))</f>
        <v/>
      </c>
    </row>
    <row r="2622" ht="15" customHeight="1">
      <c r="C2622">
        <f>IF($B2622="","",INT($B2622))</f>
        <v/>
      </c>
      <c r="D2622">
        <f>IF($C2622="","",$C2622-WEEKDAY($C2622,2)+1)</f>
        <v/>
      </c>
      <c r="E2622">
        <f>IF($C2622="","",DATE(YEAR($C2622),MONTH($C2622),1))</f>
        <v/>
      </c>
      <c r="F2622">
        <f>IF($C2622="","",YEAR($C2622)&amp;"-Q"&amp;ROUNDUP(MONTH($C2622)/3,0))</f>
        <v/>
      </c>
      <c r="L2622">
        <f>IF($G2622&lt;&gt;"ALCOHOL","",IF($K2622="","",$H2622*IFERROR(VLOOKUP($K2622,Drink_Templates!$A:$G,7,FALSE),0)))</f>
        <v/>
      </c>
    </row>
    <row r="2623" ht="15" customHeight="1">
      <c r="C2623">
        <f>IF($B2623="","",INT($B2623))</f>
        <v/>
      </c>
      <c r="D2623">
        <f>IF($C2623="","",$C2623-WEEKDAY($C2623,2)+1)</f>
        <v/>
      </c>
      <c r="E2623">
        <f>IF($C2623="","",DATE(YEAR($C2623),MONTH($C2623),1))</f>
        <v/>
      </c>
      <c r="F2623">
        <f>IF($C2623="","",YEAR($C2623)&amp;"-Q"&amp;ROUNDUP(MONTH($C2623)/3,0))</f>
        <v/>
      </c>
      <c r="L2623">
        <f>IF($G2623&lt;&gt;"ALCOHOL","",IF($K2623="","",$H2623*IFERROR(VLOOKUP($K2623,Drink_Templates!$A:$G,7,FALSE),0)))</f>
        <v/>
      </c>
    </row>
    <row r="2624" ht="15" customHeight="1">
      <c r="C2624">
        <f>IF($B2624="","",INT($B2624))</f>
        <v/>
      </c>
      <c r="D2624">
        <f>IF($C2624="","",$C2624-WEEKDAY($C2624,2)+1)</f>
        <v/>
      </c>
      <c r="E2624">
        <f>IF($C2624="","",DATE(YEAR($C2624),MONTH($C2624),1))</f>
        <v/>
      </c>
      <c r="F2624">
        <f>IF($C2624="","",YEAR($C2624)&amp;"-Q"&amp;ROUNDUP(MONTH($C2624)/3,0))</f>
        <v/>
      </c>
      <c r="L2624">
        <f>IF($G2624&lt;&gt;"ALCOHOL","",IF($K2624="","",$H2624*IFERROR(VLOOKUP($K2624,Drink_Templates!$A:$G,7,FALSE),0)))</f>
        <v/>
      </c>
    </row>
    <row r="2625" ht="15" customHeight="1">
      <c r="C2625">
        <f>IF($B2625="","",INT($B2625))</f>
        <v/>
      </c>
      <c r="D2625">
        <f>IF($C2625="","",$C2625-WEEKDAY($C2625,2)+1)</f>
        <v/>
      </c>
      <c r="E2625">
        <f>IF($C2625="","",DATE(YEAR($C2625),MONTH($C2625),1))</f>
        <v/>
      </c>
      <c r="F2625">
        <f>IF($C2625="","",YEAR($C2625)&amp;"-Q"&amp;ROUNDUP(MONTH($C2625)/3,0))</f>
        <v/>
      </c>
      <c r="L2625">
        <f>IF($G2625&lt;&gt;"ALCOHOL","",IF($K2625="","",$H2625*IFERROR(VLOOKUP($K2625,Drink_Templates!$A:$G,7,FALSE),0)))</f>
        <v/>
      </c>
    </row>
    <row r="2626" ht="15" customHeight="1">
      <c r="C2626">
        <f>IF($B2626="","",INT($B2626))</f>
        <v/>
      </c>
      <c r="D2626">
        <f>IF($C2626="","",$C2626-WEEKDAY($C2626,2)+1)</f>
        <v/>
      </c>
      <c r="E2626">
        <f>IF($C2626="","",DATE(YEAR($C2626),MONTH($C2626),1))</f>
        <v/>
      </c>
      <c r="F2626">
        <f>IF($C2626="","",YEAR($C2626)&amp;"-Q"&amp;ROUNDUP(MONTH($C2626)/3,0))</f>
        <v/>
      </c>
      <c r="L2626">
        <f>IF($G2626&lt;&gt;"ALCOHOL","",IF($K2626="","",$H2626*IFERROR(VLOOKUP($K2626,Drink_Templates!$A:$G,7,FALSE),0)))</f>
        <v/>
      </c>
    </row>
    <row r="2627" ht="15" customHeight="1">
      <c r="C2627">
        <f>IF($B2627="","",INT($B2627))</f>
        <v/>
      </c>
      <c r="D2627">
        <f>IF($C2627="","",$C2627-WEEKDAY($C2627,2)+1)</f>
        <v/>
      </c>
      <c r="E2627">
        <f>IF($C2627="","",DATE(YEAR($C2627),MONTH($C2627),1))</f>
        <v/>
      </c>
      <c r="F2627">
        <f>IF($C2627="","",YEAR($C2627)&amp;"-Q"&amp;ROUNDUP(MONTH($C2627)/3,0))</f>
        <v/>
      </c>
      <c r="L2627">
        <f>IF($G2627&lt;&gt;"ALCOHOL","",IF($K2627="","",$H2627*IFERROR(VLOOKUP($K2627,Drink_Templates!$A:$G,7,FALSE),0)))</f>
        <v/>
      </c>
    </row>
    <row r="2628" ht="15" customHeight="1">
      <c r="C2628">
        <f>IF($B2628="","",INT($B2628))</f>
        <v/>
      </c>
      <c r="D2628">
        <f>IF($C2628="","",$C2628-WEEKDAY($C2628,2)+1)</f>
        <v/>
      </c>
      <c r="E2628">
        <f>IF($C2628="","",DATE(YEAR($C2628),MONTH($C2628),1))</f>
        <v/>
      </c>
      <c r="F2628">
        <f>IF($C2628="","",YEAR($C2628)&amp;"-Q"&amp;ROUNDUP(MONTH($C2628)/3,0))</f>
        <v/>
      </c>
      <c r="L2628">
        <f>IF($G2628&lt;&gt;"ALCOHOL","",IF($K2628="","",$H2628*IFERROR(VLOOKUP($K2628,Drink_Templates!$A:$G,7,FALSE),0)))</f>
        <v/>
      </c>
    </row>
    <row r="2629" ht="15" customHeight="1">
      <c r="C2629">
        <f>IF($B2629="","",INT($B2629))</f>
        <v/>
      </c>
      <c r="D2629">
        <f>IF($C2629="","",$C2629-WEEKDAY($C2629,2)+1)</f>
        <v/>
      </c>
      <c r="E2629">
        <f>IF($C2629="","",DATE(YEAR($C2629),MONTH($C2629),1))</f>
        <v/>
      </c>
      <c r="F2629">
        <f>IF($C2629="","",YEAR($C2629)&amp;"-Q"&amp;ROUNDUP(MONTH($C2629)/3,0))</f>
        <v/>
      </c>
      <c r="L2629">
        <f>IF($G2629&lt;&gt;"ALCOHOL","",IF($K2629="","",$H2629*IFERROR(VLOOKUP($K2629,Drink_Templates!$A:$G,7,FALSE),0)))</f>
        <v/>
      </c>
    </row>
    <row r="2630" ht="15" customHeight="1">
      <c r="C2630">
        <f>IF($B2630="","",INT($B2630))</f>
        <v/>
      </c>
      <c r="D2630">
        <f>IF($C2630="","",$C2630-WEEKDAY($C2630,2)+1)</f>
        <v/>
      </c>
      <c r="E2630">
        <f>IF($C2630="","",DATE(YEAR($C2630),MONTH($C2630),1))</f>
        <v/>
      </c>
      <c r="F2630">
        <f>IF($C2630="","",YEAR($C2630)&amp;"-Q"&amp;ROUNDUP(MONTH($C2630)/3,0))</f>
        <v/>
      </c>
      <c r="L2630">
        <f>IF($G2630&lt;&gt;"ALCOHOL","",IF($K2630="","",$H2630*IFERROR(VLOOKUP($K2630,Drink_Templates!$A:$G,7,FALSE),0)))</f>
        <v/>
      </c>
    </row>
    <row r="2631" ht="15" customHeight="1">
      <c r="C2631">
        <f>IF($B2631="","",INT($B2631))</f>
        <v/>
      </c>
      <c r="D2631">
        <f>IF($C2631="","",$C2631-WEEKDAY($C2631,2)+1)</f>
        <v/>
      </c>
      <c r="E2631">
        <f>IF($C2631="","",DATE(YEAR($C2631),MONTH($C2631),1))</f>
        <v/>
      </c>
      <c r="F2631">
        <f>IF($C2631="","",YEAR($C2631)&amp;"-Q"&amp;ROUNDUP(MONTH($C2631)/3,0))</f>
        <v/>
      </c>
      <c r="L2631">
        <f>IF($G2631&lt;&gt;"ALCOHOL","",IF($K2631="","",$H2631*IFERROR(VLOOKUP($K2631,Drink_Templates!$A:$G,7,FALSE),0)))</f>
        <v/>
      </c>
    </row>
    <row r="2632" ht="15" customHeight="1">
      <c r="C2632">
        <f>IF($B2632="","",INT($B2632))</f>
        <v/>
      </c>
      <c r="D2632">
        <f>IF($C2632="","",$C2632-WEEKDAY($C2632,2)+1)</f>
        <v/>
      </c>
      <c r="E2632">
        <f>IF($C2632="","",DATE(YEAR($C2632),MONTH($C2632),1))</f>
        <v/>
      </c>
      <c r="F2632">
        <f>IF($C2632="","",YEAR($C2632)&amp;"-Q"&amp;ROUNDUP(MONTH($C2632)/3,0))</f>
        <v/>
      </c>
      <c r="L2632">
        <f>IF($G2632&lt;&gt;"ALCOHOL","",IF($K2632="","",$H2632*IFERROR(VLOOKUP($K2632,Drink_Templates!$A:$G,7,FALSE),0)))</f>
        <v/>
      </c>
    </row>
    <row r="2633" ht="15" customHeight="1">
      <c r="C2633">
        <f>IF($B2633="","",INT($B2633))</f>
        <v/>
      </c>
      <c r="D2633">
        <f>IF($C2633="","",$C2633-WEEKDAY($C2633,2)+1)</f>
        <v/>
      </c>
      <c r="E2633">
        <f>IF($C2633="","",DATE(YEAR($C2633),MONTH($C2633),1))</f>
        <v/>
      </c>
      <c r="F2633">
        <f>IF($C2633="","",YEAR($C2633)&amp;"-Q"&amp;ROUNDUP(MONTH($C2633)/3,0))</f>
        <v/>
      </c>
      <c r="L2633">
        <f>IF($G2633&lt;&gt;"ALCOHOL","",IF($K2633="","",$H2633*IFERROR(VLOOKUP($K2633,Drink_Templates!$A:$G,7,FALSE),0)))</f>
        <v/>
      </c>
    </row>
    <row r="2634" ht="15" customHeight="1">
      <c r="C2634">
        <f>IF($B2634="","",INT($B2634))</f>
        <v/>
      </c>
      <c r="D2634">
        <f>IF($C2634="","",$C2634-WEEKDAY($C2634,2)+1)</f>
        <v/>
      </c>
      <c r="E2634">
        <f>IF($C2634="","",DATE(YEAR($C2634),MONTH($C2634),1))</f>
        <v/>
      </c>
      <c r="F2634">
        <f>IF($C2634="","",YEAR($C2634)&amp;"-Q"&amp;ROUNDUP(MONTH($C2634)/3,0))</f>
        <v/>
      </c>
      <c r="L2634">
        <f>IF($G2634&lt;&gt;"ALCOHOL","",IF($K2634="","",$H2634*IFERROR(VLOOKUP($K2634,Drink_Templates!$A:$G,7,FALSE),0)))</f>
        <v/>
      </c>
    </row>
    <row r="2635" ht="15" customHeight="1">
      <c r="C2635">
        <f>IF($B2635="","",INT($B2635))</f>
        <v/>
      </c>
      <c r="D2635">
        <f>IF($C2635="","",$C2635-WEEKDAY($C2635,2)+1)</f>
        <v/>
      </c>
      <c r="E2635">
        <f>IF($C2635="","",DATE(YEAR($C2635),MONTH($C2635),1))</f>
        <v/>
      </c>
      <c r="F2635">
        <f>IF($C2635="","",YEAR($C2635)&amp;"-Q"&amp;ROUNDUP(MONTH($C2635)/3,0))</f>
        <v/>
      </c>
      <c r="L2635">
        <f>IF($G2635&lt;&gt;"ALCOHOL","",IF($K2635="","",$H2635*IFERROR(VLOOKUP($K2635,Drink_Templates!$A:$G,7,FALSE),0)))</f>
        <v/>
      </c>
    </row>
    <row r="2636" ht="15" customHeight="1">
      <c r="C2636">
        <f>IF($B2636="","",INT($B2636))</f>
        <v/>
      </c>
      <c r="D2636">
        <f>IF($C2636="","",$C2636-WEEKDAY($C2636,2)+1)</f>
        <v/>
      </c>
      <c r="E2636">
        <f>IF($C2636="","",DATE(YEAR($C2636),MONTH($C2636),1))</f>
        <v/>
      </c>
      <c r="F2636">
        <f>IF($C2636="","",YEAR($C2636)&amp;"-Q"&amp;ROUNDUP(MONTH($C2636)/3,0))</f>
        <v/>
      </c>
      <c r="L2636">
        <f>IF($G2636&lt;&gt;"ALCOHOL","",IF($K2636="","",$H2636*IFERROR(VLOOKUP($K2636,Drink_Templates!$A:$G,7,FALSE),0)))</f>
        <v/>
      </c>
    </row>
    <row r="2637" ht="15" customHeight="1">
      <c r="C2637">
        <f>IF($B2637="","",INT($B2637))</f>
        <v/>
      </c>
      <c r="D2637">
        <f>IF($C2637="","",$C2637-WEEKDAY($C2637,2)+1)</f>
        <v/>
      </c>
      <c r="E2637">
        <f>IF($C2637="","",DATE(YEAR($C2637),MONTH($C2637),1))</f>
        <v/>
      </c>
      <c r="F2637">
        <f>IF($C2637="","",YEAR($C2637)&amp;"-Q"&amp;ROUNDUP(MONTH($C2637)/3,0))</f>
        <v/>
      </c>
      <c r="L2637">
        <f>IF($G2637&lt;&gt;"ALCOHOL","",IF($K2637="","",$H2637*IFERROR(VLOOKUP($K2637,Drink_Templates!$A:$G,7,FALSE),0)))</f>
        <v/>
      </c>
    </row>
    <row r="2638" ht="15" customHeight="1">
      <c r="C2638">
        <f>IF($B2638="","",INT($B2638))</f>
        <v/>
      </c>
      <c r="D2638">
        <f>IF($C2638="","",$C2638-WEEKDAY($C2638,2)+1)</f>
        <v/>
      </c>
      <c r="E2638">
        <f>IF($C2638="","",DATE(YEAR($C2638),MONTH($C2638),1))</f>
        <v/>
      </c>
      <c r="F2638">
        <f>IF($C2638="","",YEAR($C2638)&amp;"-Q"&amp;ROUNDUP(MONTH($C2638)/3,0))</f>
        <v/>
      </c>
      <c r="L2638">
        <f>IF($G2638&lt;&gt;"ALCOHOL","",IF($K2638="","",$H2638*IFERROR(VLOOKUP($K2638,Drink_Templates!$A:$G,7,FALSE),0)))</f>
        <v/>
      </c>
    </row>
    <row r="2639" ht="15" customHeight="1">
      <c r="C2639">
        <f>IF($B2639="","",INT($B2639))</f>
        <v/>
      </c>
      <c r="D2639">
        <f>IF($C2639="","",$C2639-WEEKDAY($C2639,2)+1)</f>
        <v/>
      </c>
      <c r="E2639">
        <f>IF($C2639="","",DATE(YEAR($C2639),MONTH($C2639),1))</f>
        <v/>
      </c>
      <c r="F2639">
        <f>IF($C2639="","",YEAR($C2639)&amp;"-Q"&amp;ROUNDUP(MONTH($C2639)/3,0))</f>
        <v/>
      </c>
      <c r="L2639">
        <f>IF($G2639&lt;&gt;"ALCOHOL","",IF($K2639="","",$H2639*IFERROR(VLOOKUP($K2639,Drink_Templates!$A:$G,7,FALSE),0)))</f>
        <v/>
      </c>
    </row>
    <row r="2640" ht="15" customHeight="1">
      <c r="C2640">
        <f>IF($B2640="","",INT($B2640))</f>
        <v/>
      </c>
      <c r="D2640">
        <f>IF($C2640="","",$C2640-WEEKDAY($C2640,2)+1)</f>
        <v/>
      </c>
      <c r="E2640">
        <f>IF($C2640="","",DATE(YEAR($C2640),MONTH($C2640),1))</f>
        <v/>
      </c>
      <c r="F2640">
        <f>IF($C2640="","",YEAR($C2640)&amp;"-Q"&amp;ROUNDUP(MONTH($C2640)/3,0))</f>
        <v/>
      </c>
      <c r="L2640">
        <f>IF($G2640&lt;&gt;"ALCOHOL","",IF($K2640="","",$H2640*IFERROR(VLOOKUP($K2640,Drink_Templates!$A:$G,7,FALSE),0)))</f>
        <v/>
      </c>
    </row>
    <row r="2641" ht="15" customHeight="1">
      <c r="C2641">
        <f>IF($B2641="","",INT($B2641))</f>
        <v/>
      </c>
      <c r="D2641">
        <f>IF($C2641="","",$C2641-WEEKDAY($C2641,2)+1)</f>
        <v/>
      </c>
      <c r="E2641">
        <f>IF($C2641="","",DATE(YEAR($C2641),MONTH($C2641),1))</f>
        <v/>
      </c>
      <c r="F2641">
        <f>IF($C2641="","",YEAR($C2641)&amp;"-Q"&amp;ROUNDUP(MONTH($C2641)/3,0))</f>
        <v/>
      </c>
      <c r="L2641">
        <f>IF($G2641&lt;&gt;"ALCOHOL","",IF($K2641="","",$H2641*IFERROR(VLOOKUP($K2641,Drink_Templates!$A:$G,7,FALSE),0)))</f>
        <v/>
      </c>
    </row>
    <row r="2642" ht="15" customHeight="1">
      <c r="C2642">
        <f>IF($B2642="","",INT($B2642))</f>
        <v/>
      </c>
      <c r="D2642">
        <f>IF($C2642="","",$C2642-WEEKDAY($C2642,2)+1)</f>
        <v/>
      </c>
      <c r="E2642">
        <f>IF($C2642="","",DATE(YEAR($C2642),MONTH($C2642),1))</f>
        <v/>
      </c>
      <c r="F2642">
        <f>IF($C2642="","",YEAR($C2642)&amp;"-Q"&amp;ROUNDUP(MONTH($C2642)/3,0))</f>
        <v/>
      </c>
      <c r="L2642">
        <f>IF($G2642&lt;&gt;"ALCOHOL","",IF($K2642="","",$H2642*IFERROR(VLOOKUP($K2642,Drink_Templates!$A:$G,7,FALSE),0)))</f>
        <v/>
      </c>
    </row>
    <row r="2643" ht="15" customHeight="1">
      <c r="C2643">
        <f>IF($B2643="","",INT($B2643))</f>
        <v/>
      </c>
      <c r="D2643">
        <f>IF($C2643="","",$C2643-WEEKDAY($C2643,2)+1)</f>
        <v/>
      </c>
      <c r="E2643">
        <f>IF($C2643="","",DATE(YEAR($C2643),MONTH($C2643),1))</f>
        <v/>
      </c>
      <c r="F2643">
        <f>IF($C2643="","",YEAR($C2643)&amp;"-Q"&amp;ROUNDUP(MONTH($C2643)/3,0))</f>
        <v/>
      </c>
      <c r="L2643">
        <f>IF($G2643&lt;&gt;"ALCOHOL","",IF($K2643="","",$H2643*IFERROR(VLOOKUP($K2643,Drink_Templates!$A:$G,7,FALSE),0)))</f>
        <v/>
      </c>
    </row>
    <row r="2644" ht="15" customHeight="1">
      <c r="C2644">
        <f>IF($B2644="","",INT($B2644))</f>
        <v/>
      </c>
      <c r="D2644">
        <f>IF($C2644="","",$C2644-WEEKDAY($C2644,2)+1)</f>
        <v/>
      </c>
      <c r="E2644">
        <f>IF($C2644="","",DATE(YEAR($C2644),MONTH($C2644),1))</f>
        <v/>
      </c>
      <c r="F2644">
        <f>IF($C2644="","",YEAR($C2644)&amp;"-Q"&amp;ROUNDUP(MONTH($C2644)/3,0))</f>
        <v/>
      </c>
      <c r="L2644">
        <f>IF($G2644&lt;&gt;"ALCOHOL","",IF($K2644="","",$H2644*IFERROR(VLOOKUP($K2644,Drink_Templates!$A:$G,7,FALSE),0)))</f>
        <v/>
      </c>
    </row>
    <row r="2645" ht="15" customHeight="1">
      <c r="C2645">
        <f>IF($B2645="","",INT($B2645))</f>
        <v/>
      </c>
      <c r="D2645">
        <f>IF($C2645="","",$C2645-WEEKDAY($C2645,2)+1)</f>
        <v/>
      </c>
      <c r="E2645">
        <f>IF($C2645="","",DATE(YEAR($C2645),MONTH($C2645),1))</f>
        <v/>
      </c>
      <c r="F2645">
        <f>IF($C2645="","",YEAR($C2645)&amp;"-Q"&amp;ROUNDUP(MONTH($C2645)/3,0))</f>
        <v/>
      </c>
      <c r="L2645">
        <f>IF($G2645&lt;&gt;"ALCOHOL","",IF($K2645="","",$H2645*IFERROR(VLOOKUP($K2645,Drink_Templates!$A:$G,7,FALSE),0)))</f>
        <v/>
      </c>
    </row>
    <row r="2646" ht="15" customHeight="1">
      <c r="C2646">
        <f>IF($B2646="","",INT($B2646))</f>
        <v/>
      </c>
      <c r="D2646">
        <f>IF($C2646="","",$C2646-WEEKDAY($C2646,2)+1)</f>
        <v/>
      </c>
      <c r="E2646">
        <f>IF($C2646="","",DATE(YEAR($C2646),MONTH($C2646),1))</f>
        <v/>
      </c>
      <c r="F2646">
        <f>IF($C2646="","",YEAR($C2646)&amp;"-Q"&amp;ROUNDUP(MONTH($C2646)/3,0))</f>
        <v/>
      </c>
      <c r="L2646">
        <f>IF($G2646&lt;&gt;"ALCOHOL","",IF($K2646="","",$H2646*IFERROR(VLOOKUP($K2646,Drink_Templates!$A:$G,7,FALSE),0)))</f>
        <v/>
      </c>
    </row>
    <row r="2647" ht="15" customHeight="1">
      <c r="C2647">
        <f>IF($B2647="","",INT($B2647))</f>
        <v/>
      </c>
      <c r="D2647">
        <f>IF($C2647="","",$C2647-WEEKDAY($C2647,2)+1)</f>
        <v/>
      </c>
      <c r="E2647">
        <f>IF($C2647="","",DATE(YEAR($C2647),MONTH($C2647),1))</f>
        <v/>
      </c>
      <c r="F2647">
        <f>IF($C2647="","",YEAR($C2647)&amp;"-Q"&amp;ROUNDUP(MONTH($C2647)/3,0))</f>
        <v/>
      </c>
      <c r="L2647">
        <f>IF($G2647&lt;&gt;"ALCOHOL","",IF($K2647="","",$H2647*IFERROR(VLOOKUP($K2647,Drink_Templates!$A:$G,7,FALSE),0)))</f>
        <v/>
      </c>
    </row>
    <row r="2648" ht="15" customHeight="1">
      <c r="C2648">
        <f>IF($B2648="","",INT($B2648))</f>
        <v/>
      </c>
      <c r="D2648">
        <f>IF($C2648="","",$C2648-WEEKDAY($C2648,2)+1)</f>
        <v/>
      </c>
      <c r="E2648">
        <f>IF($C2648="","",DATE(YEAR($C2648),MONTH($C2648),1))</f>
        <v/>
      </c>
      <c r="F2648">
        <f>IF($C2648="","",YEAR($C2648)&amp;"-Q"&amp;ROUNDUP(MONTH($C2648)/3,0))</f>
        <v/>
      </c>
      <c r="L2648">
        <f>IF($G2648&lt;&gt;"ALCOHOL","",IF($K2648="","",$H2648*IFERROR(VLOOKUP($K2648,Drink_Templates!$A:$G,7,FALSE),0)))</f>
        <v/>
      </c>
    </row>
    <row r="2649" ht="15" customHeight="1">
      <c r="C2649">
        <f>IF($B2649="","",INT($B2649))</f>
        <v/>
      </c>
      <c r="D2649">
        <f>IF($C2649="","",$C2649-WEEKDAY($C2649,2)+1)</f>
        <v/>
      </c>
      <c r="E2649">
        <f>IF($C2649="","",DATE(YEAR($C2649),MONTH($C2649),1))</f>
        <v/>
      </c>
      <c r="F2649">
        <f>IF($C2649="","",YEAR($C2649)&amp;"-Q"&amp;ROUNDUP(MONTH($C2649)/3,0))</f>
        <v/>
      </c>
      <c r="L2649">
        <f>IF($G2649&lt;&gt;"ALCOHOL","",IF($K2649="","",$H2649*IFERROR(VLOOKUP($K2649,Drink_Templates!$A:$G,7,FALSE),0)))</f>
        <v/>
      </c>
    </row>
    <row r="2650" ht="15" customHeight="1">
      <c r="C2650">
        <f>IF($B2650="","",INT($B2650))</f>
        <v/>
      </c>
      <c r="D2650">
        <f>IF($C2650="","",$C2650-WEEKDAY($C2650,2)+1)</f>
        <v/>
      </c>
      <c r="E2650">
        <f>IF($C2650="","",DATE(YEAR($C2650),MONTH($C2650),1))</f>
        <v/>
      </c>
      <c r="F2650">
        <f>IF($C2650="","",YEAR($C2650)&amp;"-Q"&amp;ROUNDUP(MONTH($C2650)/3,0))</f>
        <v/>
      </c>
      <c r="L2650">
        <f>IF($G2650&lt;&gt;"ALCOHOL","",IF($K2650="","",$H2650*IFERROR(VLOOKUP($K2650,Drink_Templates!$A:$G,7,FALSE),0)))</f>
        <v/>
      </c>
    </row>
    <row r="2651" ht="15" customHeight="1">
      <c r="C2651">
        <f>IF($B2651="","",INT($B2651))</f>
        <v/>
      </c>
      <c r="D2651">
        <f>IF($C2651="","",$C2651-WEEKDAY($C2651,2)+1)</f>
        <v/>
      </c>
      <c r="E2651">
        <f>IF($C2651="","",DATE(YEAR($C2651),MONTH($C2651),1))</f>
        <v/>
      </c>
      <c r="F2651">
        <f>IF($C2651="","",YEAR($C2651)&amp;"-Q"&amp;ROUNDUP(MONTH($C2651)/3,0))</f>
        <v/>
      </c>
      <c r="L2651">
        <f>IF($G2651&lt;&gt;"ALCOHOL","",IF($K2651="","",$H2651*IFERROR(VLOOKUP($K2651,Drink_Templates!$A:$G,7,FALSE),0)))</f>
        <v/>
      </c>
    </row>
    <row r="2652" ht="15" customHeight="1">
      <c r="C2652">
        <f>IF($B2652="","",INT($B2652))</f>
        <v/>
      </c>
      <c r="D2652">
        <f>IF($C2652="","",$C2652-WEEKDAY($C2652,2)+1)</f>
        <v/>
      </c>
      <c r="E2652">
        <f>IF($C2652="","",DATE(YEAR($C2652),MONTH($C2652),1))</f>
        <v/>
      </c>
      <c r="F2652">
        <f>IF($C2652="","",YEAR($C2652)&amp;"-Q"&amp;ROUNDUP(MONTH($C2652)/3,0))</f>
        <v/>
      </c>
      <c r="L2652">
        <f>IF($G2652&lt;&gt;"ALCOHOL","",IF($K2652="","",$H2652*IFERROR(VLOOKUP($K2652,Drink_Templates!$A:$G,7,FALSE),0)))</f>
        <v/>
      </c>
    </row>
    <row r="2653" ht="15" customHeight="1">
      <c r="C2653">
        <f>IF($B2653="","",INT($B2653))</f>
        <v/>
      </c>
      <c r="D2653">
        <f>IF($C2653="","",$C2653-WEEKDAY($C2653,2)+1)</f>
        <v/>
      </c>
      <c r="E2653">
        <f>IF($C2653="","",DATE(YEAR($C2653),MONTH($C2653),1))</f>
        <v/>
      </c>
      <c r="F2653">
        <f>IF($C2653="","",YEAR($C2653)&amp;"-Q"&amp;ROUNDUP(MONTH($C2653)/3,0))</f>
        <v/>
      </c>
      <c r="L2653">
        <f>IF($G2653&lt;&gt;"ALCOHOL","",IF($K2653="","",$H2653*IFERROR(VLOOKUP($K2653,Drink_Templates!$A:$G,7,FALSE),0)))</f>
        <v/>
      </c>
    </row>
    <row r="2654" ht="15" customHeight="1">
      <c r="C2654">
        <f>IF($B2654="","",INT($B2654))</f>
        <v/>
      </c>
      <c r="D2654">
        <f>IF($C2654="","",$C2654-WEEKDAY($C2654,2)+1)</f>
        <v/>
      </c>
      <c r="E2654">
        <f>IF($C2654="","",DATE(YEAR($C2654),MONTH($C2654),1))</f>
        <v/>
      </c>
      <c r="F2654">
        <f>IF($C2654="","",YEAR($C2654)&amp;"-Q"&amp;ROUNDUP(MONTH($C2654)/3,0))</f>
        <v/>
      </c>
      <c r="L2654">
        <f>IF($G2654&lt;&gt;"ALCOHOL","",IF($K2654="","",$H2654*IFERROR(VLOOKUP($K2654,Drink_Templates!$A:$G,7,FALSE),0)))</f>
        <v/>
      </c>
    </row>
    <row r="2655" ht="15" customHeight="1">
      <c r="C2655">
        <f>IF($B2655="","",INT($B2655))</f>
        <v/>
      </c>
      <c r="D2655">
        <f>IF($C2655="","",$C2655-WEEKDAY($C2655,2)+1)</f>
        <v/>
      </c>
      <c r="E2655">
        <f>IF($C2655="","",DATE(YEAR($C2655),MONTH($C2655),1))</f>
        <v/>
      </c>
      <c r="F2655">
        <f>IF($C2655="","",YEAR($C2655)&amp;"-Q"&amp;ROUNDUP(MONTH($C2655)/3,0))</f>
        <v/>
      </c>
      <c r="L2655">
        <f>IF($G2655&lt;&gt;"ALCOHOL","",IF($K2655="","",$H2655*IFERROR(VLOOKUP($K2655,Drink_Templates!$A:$G,7,FALSE),0)))</f>
        <v/>
      </c>
    </row>
    <row r="2656" ht="15" customHeight="1">
      <c r="C2656">
        <f>IF($B2656="","",INT($B2656))</f>
        <v/>
      </c>
      <c r="D2656">
        <f>IF($C2656="","",$C2656-WEEKDAY($C2656,2)+1)</f>
        <v/>
      </c>
      <c r="E2656">
        <f>IF($C2656="","",DATE(YEAR($C2656),MONTH($C2656),1))</f>
        <v/>
      </c>
      <c r="F2656">
        <f>IF($C2656="","",YEAR($C2656)&amp;"-Q"&amp;ROUNDUP(MONTH($C2656)/3,0))</f>
        <v/>
      </c>
      <c r="L2656">
        <f>IF($G2656&lt;&gt;"ALCOHOL","",IF($K2656="","",$H2656*IFERROR(VLOOKUP($K2656,Drink_Templates!$A:$G,7,FALSE),0)))</f>
        <v/>
      </c>
    </row>
    <row r="2657" ht="15" customHeight="1">
      <c r="C2657">
        <f>IF($B2657="","",INT($B2657))</f>
        <v/>
      </c>
      <c r="D2657">
        <f>IF($C2657="","",$C2657-WEEKDAY($C2657,2)+1)</f>
        <v/>
      </c>
      <c r="E2657">
        <f>IF($C2657="","",DATE(YEAR($C2657),MONTH($C2657),1))</f>
        <v/>
      </c>
      <c r="F2657">
        <f>IF($C2657="","",YEAR($C2657)&amp;"-Q"&amp;ROUNDUP(MONTH($C2657)/3,0))</f>
        <v/>
      </c>
      <c r="L2657">
        <f>IF($G2657&lt;&gt;"ALCOHOL","",IF($K2657="","",$H2657*IFERROR(VLOOKUP($K2657,Drink_Templates!$A:$G,7,FALSE),0)))</f>
        <v/>
      </c>
    </row>
    <row r="2658" ht="15" customHeight="1">
      <c r="C2658">
        <f>IF($B2658="","",INT($B2658))</f>
        <v/>
      </c>
      <c r="D2658">
        <f>IF($C2658="","",$C2658-WEEKDAY($C2658,2)+1)</f>
        <v/>
      </c>
      <c r="E2658">
        <f>IF($C2658="","",DATE(YEAR($C2658),MONTH($C2658),1))</f>
        <v/>
      </c>
      <c r="F2658">
        <f>IF($C2658="","",YEAR($C2658)&amp;"-Q"&amp;ROUNDUP(MONTH($C2658)/3,0))</f>
        <v/>
      </c>
      <c r="L2658">
        <f>IF($G2658&lt;&gt;"ALCOHOL","",IF($K2658="","",$H2658*IFERROR(VLOOKUP($K2658,Drink_Templates!$A:$G,7,FALSE),0)))</f>
        <v/>
      </c>
    </row>
    <row r="2659" ht="15" customHeight="1">
      <c r="C2659">
        <f>IF($B2659="","",INT($B2659))</f>
        <v/>
      </c>
      <c r="D2659">
        <f>IF($C2659="","",$C2659-WEEKDAY($C2659,2)+1)</f>
        <v/>
      </c>
      <c r="E2659">
        <f>IF($C2659="","",DATE(YEAR($C2659),MONTH($C2659),1))</f>
        <v/>
      </c>
      <c r="F2659">
        <f>IF($C2659="","",YEAR($C2659)&amp;"-Q"&amp;ROUNDUP(MONTH($C2659)/3,0))</f>
        <v/>
      </c>
      <c r="L2659">
        <f>IF($G2659&lt;&gt;"ALCOHOL","",IF($K2659="","",$H2659*IFERROR(VLOOKUP($K2659,Drink_Templates!$A:$G,7,FALSE),0)))</f>
        <v/>
      </c>
    </row>
    <row r="2660" ht="15" customHeight="1">
      <c r="C2660">
        <f>IF($B2660="","",INT($B2660))</f>
        <v/>
      </c>
      <c r="D2660">
        <f>IF($C2660="","",$C2660-WEEKDAY($C2660,2)+1)</f>
        <v/>
      </c>
      <c r="E2660">
        <f>IF($C2660="","",DATE(YEAR($C2660),MONTH($C2660),1))</f>
        <v/>
      </c>
      <c r="F2660">
        <f>IF($C2660="","",YEAR($C2660)&amp;"-Q"&amp;ROUNDUP(MONTH($C2660)/3,0))</f>
        <v/>
      </c>
      <c r="L2660">
        <f>IF($G2660&lt;&gt;"ALCOHOL","",IF($K2660="","",$H2660*IFERROR(VLOOKUP($K2660,Drink_Templates!$A:$G,7,FALSE),0)))</f>
        <v/>
      </c>
    </row>
    <row r="2661" ht="15" customHeight="1">
      <c r="C2661">
        <f>IF($B2661="","",INT($B2661))</f>
        <v/>
      </c>
      <c r="D2661">
        <f>IF($C2661="","",$C2661-WEEKDAY($C2661,2)+1)</f>
        <v/>
      </c>
      <c r="E2661">
        <f>IF($C2661="","",DATE(YEAR($C2661),MONTH($C2661),1))</f>
        <v/>
      </c>
      <c r="F2661">
        <f>IF($C2661="","",YEAR($C2661)&amp;"-Q"&amp;ROUNDUP(MONTH($C2661)/3,0))</f>
        <v/>
      </c>
      <c r="L2661">
        <f>IF($G2661&lt;&gt;"ALCOHOL","",IF($K2661="","",$H2661*IFERROR(VLOOKUP($K2661,Drink_Templates!$A:$G,7,FALSE),0)))</f>
        <v/>
      </c>
    </row>
    <row r="2662" ht="15" customHeight="1">
      <c r="C2662">
        <f>IF($B2662="","",INT($B2662))</f>
        <v/>
      </c>
      <c r="D2662">
        <f>IF($C2662="","",$C2662-WEEKDAY($C2662,2)+1)</f>
        <v/>
      </c>
      <c r="E2662">
        <f>IF($C2662="","",DATE(YEAR($C2662),MONTH($C2662),1))</f>
        <v/>
      </c>
      <c r="F2662">
        <f>IF($C2662="","",YEAR($C2662)&amp;"-Q"&amp;ROUNDUP(MONTH($C2662)/3,0))</f>
        <v/>
      </c>
      <c r="L2662">
        <f>IF($G2662&lt;&gt;"ALCOHOL","",IF($K2662="","",$H2662*IFERROR(VLOOKUP($K2662,Drink_Templates!$A:$G,7,FALSE),0)))</f>
        <v/>
      </c>
    </row>
    <row r="2663" ht="15" customHeight="1">
      <c r="C2663">
        <f>IF($B2663="","",INT($B2663))</f>
        <v/>
      </c>
      <c r="D2663">
        <f>IF($C2663="","",$C2663-WEEKDAY($C2663,2)+1)</f>
        <v/>
      </c>
      <c r="E2663">
        <f>IF($C2663="","",DATE(YEAR($C2663),MONTH($C2663),1))</f>
        <v/>
      </c>
      <c r="F2663">
        <f>IF($C2663="","",YEAR($C2663)&amp;"-Q"&amp;ROUNDUP(MONTH($C2663)/3,0))</f>
        <v/>
      </c>
      <c r="L2663">
        <f>IF($G2663&lt;&gt;"ALCOHOL","",IF($K2663="","",$H2663*IFERROR(VLOOKUP($K2663,Drink_Templates!$A:$G,7,FALSE),0)))</f>
        <v/>
      </c>
    </row>
    <row r="2664" ht="15" customHeight="1">
      <c r="C2664">
        <f>IF($B2664="","",INT($B2664))</f>
        <v/>
      </c>
      <c r="D2664">
        <f>IF($C2664="","",$C2664-WEEKDAY($C2664,2)+1)</f>
        <v/>
      </c>
      <c r="E2664">
        <f>IF($C2664="","",DATE(YEAR($C2664),MONTH($C2664),1))</f>
        <v/>
      </c>
      <c r="F2664">
        <f>IF($C2664="","",YEAR($C2664)&amp;"-Q"&amp;ROUNDUP(MONTH($C2664)/3,0))</f>
        <v/>
      </c>
      <c r="L2664">
        <f>IF($G2664&lt;&gt;"ALCOHOL","",IF($K2664="","",$H2664*IFERROR(VLOOKUP($K2664,Drink_Templates!$A:$G,7,FALSE),0)))</f>
        <v/>
      </c>
    </row>
    <row r="2665" ht="15" customHeight="1">
      <c r="C2665">
        <f>IF($B2665="","",INT($B2665))</f>
        <v/>
      </c>
      <c r="D2665">
        <f>IF($C2665="","",$C2665-WEEKDAY($C2665,2)+1)</f>
        <v/>
      </c>
      <c r="E2665">
        <f>IF($C2665="","",DATE(YEAR($C2665),MONTH($C2665),1))</f>
        <v/>
      </c>
      <c r="F2665">
        <f>IF($C2665="","",YEAR($C2665)&amp;"-Q"&amp;ROUNDUP(MONTH($C2665)/3,0))</f>
        <v/>
      </c>
      <c r="L2665">
        <f>IF($G2665&lt;&gt;"ALCOHOL","",IF($K2665="","",$H2665*IFERROR(VLOOKUP($K2665,Drink_Templates!$A:$G,7,FALSE),0)))</f>
        <v/>
      </c>
    </row>
    <row r="2666" ht="15" customHeight="1">
      <c r="C2666">
        <f>IF($B2666="","",INT($B2666))</f>
        <v/>
      </c>
      <c r="D2666">
        <f>IF($C2666="","",$C2666-WEEKDAY($C2666,2)+1)</f>
        <v/>
      </c>
      <c r="E2666">
        <f>IF($C2666="","",DATE(YEAR($C2666),MONTH($C2666),1))</f>
        <v/>
      </c>
      <c r="F2666">
        <f>IF($C2666="","",YEAR($C2666)&amp;"-Q"&amp;ROUNDUP(MONTH($C2666)/3,0))</f>
        <v/>
      </c>
      <c r="L2666">
        <f>IF($G2666&lt;&gt;"ALCOHOL","",IF($K2666="","",$H2666*IFERROR(VLOOKUP($K2666,Drink_Templates!$A:$G,7,FALSE),0)))</f>
        <v/>
      </c>
    </row>
    <row r="2667" ht="15" customHeight="1">
      <c r="C2667">
        <f>IF($B2667="","",INT($B2667))</f>
        <v/>
      </c>
      <c r="D2667">
        <f>IF($C2667="","",$C2667-WEEKDAY($C2667,2)+1)</f>
        <v/>
      </c>
      <c r="E2667">
        <f>IF($C2667="","",DATE(YEAR($C2667),MONTH($C2667),1))</f>
        <v/>
      </c>
      <c r="F2667">
        <f>IF($C2667="","",YEAR($C2667)&amp;"-Q"&amp;ROUNDUP(MONTH($C2667)/3,0))</f>
        <v/>
      </c>
      <c r="L2667">
        <f>IF($G2667&lt;&gt;"ALCOHOL","",IF($K2667="","",$H2667*IFERROR(VLOOKUP($K2667,Drink_Templates!$A:$G,7,FALSE),0)))</f>
        <v/>
      </c>
    </row>
    <row r="2668" ht="15" customHeight="1">
      <c r="C2668">
        <f>IF($B2668="","",INT($B2668))</f>
        <v/>
      </c>
      <c r="D2668">
        <f>IF($C2668="","",$C2668-WEEKDAY($C2668,2)+1)</f>
        <v/>
      </c>
      <c r="E2668">
        <f>IF($C2668="","",DATE(YEAR($C2668),MONTH($C2668),1))</f>
        <v/>
      </c>
      <c r="F2668">
        <f>IF($C2668="","",YEAR($C2668)&amp;"-Q"&amp;ROUNDUP(MONTH($C2668)/3,0))</f>
        <v/>
      </c>
      <c r="L2668">
        <f>IF($G2668&lt;&gt;"ALCOHOL","",IF($K2668="","",$H2668*IFERROR(VLOOKUP($K2668,Drink_Templates!$A:$G,7,FALSE),0)))</f>
        <v/>
      </c>
    </row>
    <row r="2669" ht="15" customHeight="1">
      <c r="C2669">
        <f>IF($B2669="","",INT($B2669))</f>
        <v/>
      </c>
      <c r="D2669">
        <f>IF($C2669="","",$C2669-WEEKDAY($C2669,2)+1)</f>
        <v/>
      </c>
      <c r="E2669">
        <f>IF($C2669="","",DATE(YEAR($C2669),MONTH($C2669),1))</f>
        <v/>
      </c>
      <c r="F2669">
        <f>IF($C2669="","",YEAR($C2669)&amp;"-Q"&amp;ROUNDUP(MONTH($C2669)/3,0))</f>
        <v/>
      </c>
      <c r="L2669">
        <f>IF($G2669&lt;&gt;"ALCOHOL","",IF($K2669="","",$H2669*IFERROR(VLOOKUP($K2669,Drink_Templates!$A:$G,7,FALSE),0)))</f>
        <v/>
      </c>
    </row>
    <row r="2670" ht="15" customHeight="1">
      <c r="C2670">
        <f>IF($B2670="","",INT($B2670))</f>
        <v/>
      </c>
      <c r="D2670">
        <f>IF($C2670="","",$C2670-WEEKDAY($C2670,2)+1)</f>
        <v/>
      </c>
      <c r="E2670">
        <f>IF($C2670="","",DATE(YEAR($C2670),MONTH($C2670),1))</f>
        <v/>
      </c>
      <c r="F2670">
        <f>IF($C2670="","",YEAR($C2670)&amp;"-Q"&amp;ROUNDUP(MONTH($C2670)/3,0))</f>
        <v/>
      </c>
      <c r="L2670">
        <f>IF($G2670&lt;&gt;"ALCOHOL","",IF($K2670="","",$H2670*IFERROR(VLOOKUP($K2670,Drink_Templates!$A:$G,7,FALSE),0)))</f>
        <v/>
      </c>
    </row>
    <row r="2671" ht="15" customHeight="1">
      <c r="C2671">
        <f>IF($B2671="","",INT($B2671))</f>
        <v/>
      </c>
      <c r="D2671">
        <f>IF($C2671="","",$C2671-WEEKDAY($C2671,2)+1)</f>
        <v/>
      </c>
      <c r="E2671">
        <f>IF($C2671="","",DATE(YEAR($C2671),MONTH($C2671),1))</f>
        <v/>
      </c>
      <c r="F2671">
        <f>IF($C2671="","",YEAR($C2671)&amp;"-Q"&amp;ROUNDUP(MONTH($C2671)/3,0))</f>
        <v/>
      </c>
      <c r="L2671">
        <f>IF($G2671&lt;&gt;"ALCOHOL","",IF($K2671="","",$H2671*IFERROR(VLOOKUP($K2671,Drink_Templates!$A:$G,7,FALSE),0)))</f>
        <v/>
      </c>
    </row>
    <row r="2672" ht="15" customHeight="1">
      <c r="C2672">
        <f>IF($B2672="","",INT($B2672))</f>
        <v/>
      </c>
      <c r="D2672">
        <f>IF($C2672="","",$C2672-WEEKDAY($C2672,2)+1)</f>
        <v/>
      </c>
      <c r="E2672">
        <f>IF($C2672="","",DATE(YEAR($C2672),MONTH($C2672),1))</f>
        <v/>
      </c>
      <c r="F2672">
        <f>IF($C2672="","",YEAR($C2672)&amp;"-Q"&amp;ROUNDUP(MONTH($C2672)/3,0))</f>
        <v/>
      </c>
      <c r="L2672">
        <f>IF($G2672&lt;&gt;"ALCOHOL","",IF($K2672="","",$H2672*IFERROR(VLOOKUP($K2672,Drink_Templates!$A:$G,7,FALSE),0)))</f>
        <v/>
      </c>
    </row>
    <row r="2673" ht="15" customHeight="1">
      <c r="C2673">
        <f>IF($B2673="","",INT($B2673))</f>
        <v/>
      </c>
      <c r="D2673">
        <f>IF($C2673="","",$C2673-WEEKDAY($C2673,2)+1)</f>
        <v/>
      </c>
      <c r="E2673">
        <f>IF($C2673="","",DATE(YEAR($C2673),MONTH($C2673),1))</f>
        <v/>
      </c>
      <c r="F2673">
        <f>IF($C2673="","",YEAR($C2673)&amp;"-Q"&amp;ROUNDUP(MONTH($C2673)/3,0))</f>
        <v/>
      </c>
      <c r="L2673">
        <f>IF($G2673&lt;&gt;"ALCOHOL","",IF($K2673="","",$H2673*IFERROR(VLOOKUP($K2673,Drink_Templates!$A:$G,7,FALSE),0)))</f>
        <v/>
      </c>
    </row>
    <row r="2674" ht="15" customHeight="1">
      <c r="C2674">
        <f>IF($B2674="","",INT($B2674))</f>
        <v/>
      </c>
      <c r="D2674">
        <f>IF($C2674="","",$C2674-WEEKDAY($C2674,2)+1)</f>
        <v/>
      </c>
      <c r="E2674">
        <f>IF($C2674="","",DATE(YEAR($C2674),MONTH($C2674),1))</f>
        <v/>
      </c>
      <c r="F2674">
        <f>IF($C2674="","",YEAR($C2674)&amp;"-Q"&amp;ROUNDUP(MONTH($C2674)/3,0))</f>
        <v/>
      </c>
      <c r="L2674">
        <f>IF($G2674&lt;&gt;"ALCOHOL","",IF($K2674="","",$H2674*IFERROR(VLOOKUP($K2674,Drink_Templates!$A:$G,7,FALSE),0)))</f>
        <v/>
      </c>
    </row>
    <row r="2675" ht="15" customHeight="1">
      <c r="C2675">
        <f>IF($B2675="","",INT($B2675))</f>
        <v/>
      </c>
      <c r="D2675">
        <f>IF($C2675="","",$C2675-WEEKDAY($C2675,2)+1)</f>
        <v/>
      </c>
      <c r="E2675">
        <f>IF($C2675="","",DATE(YEAR($C2675),MONTH($C2675),1))</f>
        <v/>
      </c>
      <c r="F2675">
        <f>IF($C2675="","",YEAR($C2675)&amp;"-Q"&amp;ROUNDUP(MONTH($C2675)/3,0))</f>
        <v/>
      </c>
      <c r="L2675">
        <f>IF($G2675&lt;&gt;"ALCOHOL","",IF($K2675="","",$H2675*IFERROR(VLOOKUP($K2675,Drink_Templates!$A:$G,7,FALSE),0)))</f>
        <v/>
      </c>
    </row>
    <row r="2676" ht="15" customHeight="1">
      <c r="C2676">
        <f>IF($B2676="","",INT($B2676))</f>
        <v/>
      </c>
      <c r="D2676">
        <f>IF($C2676="","",$C2676-WEEKDAY($C2676,2)+1)</f>
        <v/>
      </c>
      <c r="E2676">
        <f>IF($C2676="","",DATE(YEAR($C2676),MONTH($C2676),1))</f>
        <v/>
      </c>
      <c r="F2676">
        <f>IF($C2676="","",YEAR($C2676)&amp;"-Q"&amp;ROUNDUP(MONTH($C2676)/3,0))</f>
        <v/>
      </c>
      <c r="L2676">
        <f>IF($G2676&lt;&gt;"ALCOHOL","",IF($K2676="","",$H2676*IFERROR(VLOOKUP($K2676,Drink_Templates!$A:$G,7,FALSE),0)))</f>
        <v/>
      </c>
    </row>
    <row r="2677" ht="15" customHeight="1">
      <c r="C2677">
        <f>IF($B2677="","",INT($B2677))</f>
        <v/>
      </c>
      <c r="D2677">
        <f>IF($C2677="","",$C2677-WEEKDAY($C2677,2)+1)</f>
        <v/>
      </c>
      <c r="E2677">
        <f>IF($C2677="","",DATE(YEAR($C2677),MONTH($C2677),1))</f>
        <v/>
      </c>
      <c r="F2677">
        <f>IF($C2677="","",YEAR($C2677)&amp;"-Q"&amp;ROUNDUP(MONTH($C2677)/3,0))</f>
        <v/>
      </c>
      <c r="L2677">
        <f>IF($G2677&lt;&gt;"ALCOHOL","",IF($K2677="","",$H2677*IFERROR(VLOOKUP($K2677,Drink_Templates!$A:$G,7,FALSE),0)))</f>
        <v/>
      </c>
    </row>
    <row r="2678" ht="15" customHeight="1">
      <c r="C2678">
        <f>IF($B2678="","",INT($B2678))</f>
        <v/>
      </c>
      <c r="D2678">
        <f>IF($C2678="","",$C2678-WEEKDAY($C2678,2)+1)</f>
        <v/>
      </c>
      <c r="E2678">
        <f>IF($C2678="","",DATE(YEAR($C2678),MONTH($C2678),1))</f>
        <v/>
      </c>
      <c r="F2678">
        <f>IF($C2678="","",YEAR($C2678)&amp;"-Q"&amp;ROUNDUP(MONTH($C2678)/3,0))</f>
        <v/>
      </c>
      <c r="L2678">
        <f>IF($G2678&lt;&gt;"ALCOHOL","",IF($K2678="","",$H2678*IFERROR(VLOOKUP($K2678,Drink_Templates!$A:$G,7,FALSE),0)))</f>
        <v/>
      </c>
    </row>
    <row r="2679" ht="15" customHeight="1">
      <c r="C2679">
        <f>IF($B2679="","",INT($B2679))</f>
        <v/>
      </c>
      <c r="D2679">
        <f>IF($C2679="","",$C2679-WEEKDAY($C2679,2)+1)</f>
        <v/>
      </c>
      <c r="E2679">
        <f>IF($C2679="","",DATE(YEAR($C2679),MONTH($C2679),1))</f>
        <v/>
      </c>
      <c r="F2679">
        <f>IF($C2679="","",YEAR($C2679)&amp;"-Q"&amp;ROUNDUP(MONTH($C2679)/3,0))</f>
        <v/>
      </c>
      <c r="L2679">
        <f>IF($G2679&lt;&gt;"ALCOHOL","",IF($K2679="","",$H2679*IFERROR(VLOOKUP($K2679,Drink_Templates!$A:$G,7,FALSE),0)))</f>
        <v/>
      </c>
    </row>
    <row r="2680" ht="15" customHeight="1">
      <c r="C2680">
        <f>IF($B2680="","",INT($B2680))</f>
        <v/>
      </c>
      <c r="D2680">
        <f>IF($C2680="","",$C2680-WEEKDAY($C2680,2)+1)</f>
        <v/>
      </c>
      <c r="E2680">
        <f>IF($C2680="","",DATE(YEAR($C2680),MONTH($C2680),1))</f>
        <v/>
      </c>
      <c r="F2680">
        <f>IF($C2680="","",YEAR($C2680)&amp;"-Q"&amp;ROUNDUP(MONTH($C2680)/3,0))</f>
        <v/>
      </c>
      <c r="L2680">
        <f>IF($G2680&lt;&gt;"ALCOHOL","",IF($K2680="","",$H2680*IFERROR(VLOOKUP($K2680,Drink_Templates!$A:$G,7,FALSE),0)))</f>
        <v/>
      </c>
    </row>
    <row r="2681" ht="15" customHeight="1">
      <c r="C2681">
        <f>IF($B2681="","",INT($B2681))</f>
        <v/>
      </c>
      <c r="D2681">
        <f>IF($C2681="","",$C2681-WEEKDAY($C2681,2)+1)</f>
        <v/>
      </c>
      <c r="E2681">
        <f>IF($C2681="","",DATE(YEAR($C2681),MONTH($C2681),1))</f>
        <v/>
      </c>
      <c r="F2681">
        <f>IF($C2681="","",YEAR($C2681)&amp;"-Q"&amp;ROUNDUP(MONTH($C2681)/3,0))</f>
        <v/>
      </c>
      <c r="L2681">
        <f>IF($G2681&lt;&gt;"ALCOHOL","",IF($K2681="","",$H2681*IFERROR(VLOOKUP($K2681,Drink_Templates!$A:$G,7,FALSE),0)))</f>
        <v/>
      </c>
    </row>
    <row r="2682" ht="15" customHeight="1">
      <c r="C2682">
        <f>IF($B2682="","",INT($B2682))</f>
        <v/>
      </c>
      <c r="D2682">
        <f>IF($C2682="","",$C2682-WEEKDAY($C2682,2)+1)</f>
        <v/>
      </c>
      <c r="E2682">
        <f>IF($C2682="","",DATE(YEAR($C2682),MONTH($C2682),1))</f>
        <v/>
      </c>
      <c r="F2682">
        <f>IF($C2682="","",YEAR($C2682)&amp;"-Q"&amp;ROUNDUP(MONTH($C2682)/3,0))</f>
        <v/>
      </c>
      <c r="L2682">
        <f>IF($G2682&lt;&gt;"ALCOHOL","",IF($K2682="","",$H2682*IFERROR(VLOOKUP($K2682,Drink_Templates!$A:$G,7,FALSE),0)))</f>
        <v/>
      </c>
    </row>
    <row r="2683" ht="15" customHeight="1">
      <c r="C2683">
        <f>IF($B2683="","",INT($B2683))</f>
        <v/>
      </c>
      <c r="D2683">
        <f>IF($C2683="","",$C2683-WEEKDAY($C2683,2)+1)</f>
        <v/>
      </c>
      <c r="E2683">
        <f>IF($C2683="","",DATE(YEAR($C2683),MONTH($C2683),1))</f>
        <v/>
      </c>
      <c r="F2683">
        <f>IF($C2683="","",YEAR($C2683)&amp;"-Q"&amp;ROUNDUP(MONTH($C2683)/3,0))</f>
        <v/>
      </c>
      <c r="L2683">
        <f>IF($G2683&lt;&gt;"ALCOHOL","",IF($K2683="","",$H2683*IFERROR(VLOOKUP($K2683,Drink_Templates!$A:$G,7,FALSE),0)))</f>
        <v/>
      </c>
    </row>
    <row r="2684" ht="15" customHeight="1">
      <c r="C2684">
        <f>IF($B2684="","",INT($B2684))</f>
        <v/>
      </c>
      <c r="D2684">
        <f>IF($C2684="","",$C2684-WEEKDAY($C2684,2)+1)</f>
        <v/>
      </c>
      <c r="E2684">
        <f>IF($C2684="","",DATE(YEAR($C2684),MONTH($C2684),1))</f>
        <v/>
      </c>
      <c r="F2684">
        <f>IF($C2684="","",YEAR($C2684)&amp;"-Q"&amp;ROUNDUP(MONTH($C2684)/3,0))</f>
        <v/>
      </c>
      <c r="L2684">
        <f>IF($G2684&lt;&gt;"ALCOHOL","",IF($K2684="","",$H2684*IFERROR(VLOOKUP($K2684,Drink_Templates!$A:$G,7,FALSE),0)))</f>
        <v/>
      </c>
    </row>
    <row r="2685" ht="15" customHeight="1">
      <c r="C2685">
        <f>IF($B2685="","",INT($B2685))</f>
        <v/>
      </c>
      <c r="D2685">
        <f>IF($C2685="","",$C2685-WEEKDAY($C2685,2)+1)</f>
        <v/>
      </c>
      <c r="E2685">
        <f>IF($C2685="","",DATE(YEAR($C2685),MONTH($C2685),1))</f>
        <v/>
      </c>
      <c r="F2685">
        <f>IF($C2685="","",YEAR($C2685)&amp;"-Q"&amp;ROUNDUP(MONTH($C2685)/3,0))</f>
        <v/>
      </c>
      <c r="L2685">
        <f>IF($G2685&lt;&gt;"ALCOHOL","",IF($K2685="","",$H2685*IFERROR(VLOOKUP($K2685,Drink_Templates!$A:$G,7,FALSE),0)))</f>
        <v/>
      </c>
    </row>
    <row r="2686" ht="15" customHeight="1">
      <c r="C2686">
        <f>IF($B2686="","",INT($B2686))</f>
        <v/>
      </c>
      <c r="D2686">
        <f>IF($C2686="","",$C2686-WEEKDAY($C2686,2)+1)</f>
        <v/>
      </c>
      <c r="E2686">
        <f>IF($C2686="","",DATE(YEAR($C2686),MONTH($C2686),1))</f>
        <v/>
      </c>
      <c r="F2686">
        <f>IF($C2686="","",YEAR($C2686)&amp;"-Q"&amp;ROUNDUP(MONTH($C2686)/3,0))</f>
        <v/>
      </c>
      <c r="L2686">
        <f>IF($G2686&lt;&gt;"ALCOHOL","",IF($K2686="","",$H2686*IFERROR(VLOOKUP($K2686,Drink_Templates!$A:$G,7,FALSE),0)))</f>
        <v/>
      </c>
    </row>
    <row r="2687" ht="15" customHeight="1">
      <c r="C2687">
        <f>IF($B2687="","",INT($B2687))</f>
        <v/>
      </c>
      <c r="D2687">
        <f>IF($C2687="","",$C2687-WEEKDAY($C2687,2)+1)</f>
        <v/>
      </c>
      <c r="E2687">
        <f>IF($C2687="","",DATE(YEAR($C2687),MONTH($C2687),1))</f>
        <v/>
      </c>
      <c r="F2687">
        <f>IF($C2687="","",YEAR($C2687)&amp;"-Q"&amp;ROUNDUP(MONTH($C2687)/3,0))</f>
        <v/>
      </c>
      <c r="L2687">
        <f>IF($G2687&lt;&gt;"ALCOHOL","",IF($K2687="","",$H2687*IFERROR(VLOOKUP($K2687,Drink_Templates!$A:$G,7,FALSE),0)))</f>
        <v/>
      </c>
    </row>
    <row r="2688" ht="15" customHeight="1">
      <c r="C2688">
        <f>IF($B2688="","",INT($B2688))</f>
        <v/>
      </c>
      <c r="D2688">
        <f>IF($C2688="","",$C2688-WEEKDAY($C2688,2)+1)</f>
        <v/>
      </c>
      <c r="E2688">
        <f>IF($C2688="","",DATE(YEAR($C2688),MONTH($C2688),1))</f>
        <v/>
      </c>
      <c r="F2688">
        <f>IF($C2688="","",YEAR($C2688)&amp;"-Q"&amp;ROUNDUP(MONTH($C2688)/3,0))</f>
        <v/>
      </c>
      <c r="L2688">
        <f>IF($G2688&lt;&gt;"ALCOHOL","",IF($K2688="","",$H2688*IFERROR(VLOOKUP($K2688,Drink_Templates!$A:$G,7,FALSE),0)))</f>
        <v/>
      </c>
    </row>
    <row r="2689" ht="15" customHeight="1">
      <c r="C2689">
        <f>IF($B2689="","",INT($B2689))</f>
        <v/>
      </c>
      <c r="D2689">
        <f>IF($C2689="","",$C2689-WEEKDAY($C2689,2)+1)</f>
        <v/>
      </c>
      <c r="E2689">
        <f>IF($C2689="","",DATE(YEAR($C2689),MONTH($C2689),1))</f>
        <v/>
      </c>
      <c r="F2689">
        <f>IF($C2689="","",YEAR($C2689)&amp;"-Q"&amp;ROUNDUP(MONTH($C2689)/3,0))</f>
        <v/>
      </c>
      <c r="L2689">
        <f>IF($G2689&lt;&gt;"ALCOHOL","",IF($K2689="","",$H2689*IFERROR(VLOOKUP($K2689,Drink_Templates!$A:$G,7,FALSE),0)))</f>
        <v/>
      </c>
    </row>
    <row r="2690" ht="15" customHeight="1">
      <c r="C2690">
        <f>IF($B2690="","",INT($B2690))</f>
        <v/>
      </c>
      <c r="D2690">
        <f>IF($C2690="","",$C2690-WEEKDAY($C2690,2)+1)</f>
        <v/>
      </c>
      <c r="E2690">
        <f>IF($C2690="","",DATE(YEAR($C2690),MONTH($C2690),1))</f>
        <v/>
      </c>
      <c r="F2690">
        <f>IF($C2690="","",YEAR($C2690)&amp;"-Q"&amp;ROUNDUP(MONTH($C2690)/3,0))</f>
        <v/>
      </c>
      <c r="L2690">
        <f>IF($G2690&lt;&gt;"ALCOHOL","",IF($K2690="","",$H2690*IFERROR(VLOOKUP($K2690,Drink_Templates!$A:$G,7,FALSE),0)))</f>
        <v/>
      </c>
    </row>
    <row r="2691" ht="15" customHeight="1">
      <c r="C2691">
        <f>IF($B2691="","",INT($B2691))</f>
        <v/>
      </c>
      <c r="D2691">
        <f>IF($C2691="","",$C2691-WEEKDAY($C2691,2)+1)</f>
        <v/>
      </c>
      <c r="E2691">
        <f>IF($C2691="","",DATE(YEAR($C2691),MONTH($C2691),1))</f>
        <v/>
      </c>
      <c r="F2691">
        <f>IF($C2691="","",YEAR($C2691)&amp;"-Q"&amp;ROUNDUP(MONTH($C2691)/3,0))</f>
        <v/>
      </c>
      <c r="L2691">
        <f>IF($G2691&lt;&gt;"ALCOHOL","",IF($K2691="","",$H2691*IFERROR(VLOOKUP($K2691,Drink_Templates!$A:$G,7,FALSE),0)))</f>
        <v/>
      </c>
    </row>
    <row r="2692" ht="15" customHeight="1">
      <c r="C2692">
        <f>IF($B2692="","",INT($B2692))</f>
        <v/>
      </c>
      <c r="D2692">
        <f>IF($C2692="","",$C2692-WEEKDAY($C2692,2)+1)</f>
        <v/>
      </c>
      <c r="E2692">
        <f>IF($C2692="","",DATE(YEAR($C2692),MONTH($C2692),1))</f>
        <v/>
      </c>
      <c r="F2692">
        <f>IF($C2692="","",YEAR($C2692)&amp;"-Q"&amp;ROUNDUP(MONTH($C2692)/3,0))</f>
        <v/>
      </c>
      <c r="L2692">
        <f>IF($G2692&lt;&gt;"ALCOHOL","",IF($K2692="","",$H2692*IFERROR(VLOOKUP($K2692,Drink_Templates!$A:$G,7,FALSE),0)))</f>
        <v/>
      </c>
    </row>
    <row r="2693" ht="15" customHeight="1">
      <c r="C2693">
        <f>IF($B2693="","",INT($B2693))</f>
        <v/>
      </c>
      <c r="D2693">
        <f>IF($C2693="","",$C2693-WEEKDAY($C2693,2)+1)</f>
        <v/>
      </c>
      <c r="E2693">
        <f>IF($C2693="","",DATE(YEAR($C2693),MONTH($C2693),1))</f>
        <v/>
      </c>
      <c r="F2693">
        <f>IF($C2693="","",YEAR($C2693)&amp;"-Q"&amp;ROUNDUP(MONTH($C2693)/3,0))</f>
        <v/>
      </c>
      <c r="L2693">
        <f>IF($G2693&lt;&gt;"ALCOHOL","",IF($K2693="","",$H2693*IFERROR(VLOOKUP($K2693,Drink_Templates!$A:$G,7,FALSE),0)))</f>
        <v/>
      </c>
    </row>
    <row r="2694" ht="15" customHeight="1">
      <c r="C2694">
        <f>IF($B2694="","",INT($B2694))</f>
        <v/>
      </c>
      <c r="D2694">
        <f>IF($C2694="","",$C2694-WEEKDAY($C2694,2)+1)</f>
        <v/>
      </c>
      <c r="E2694">
        <f>IF($C2694="","",DATE(YEAR($C2694),MONTH($C2694),1))</f>
        <v/>
      </c>
      <c r="F2694">
        <f>IF($C2694="","",YEAR($C2694)&amp;"-Q"&amp;ROUNDUP(MONTH($C2694)/3,0))</f>
        <v/>
      </c>
      <c r="L2694">
        <f>IF($G2694&lt;&gt;"ALCOHOL","",IF($K2694="","",$H2694*IFERROR(VLOOKUP($K2694,Drink_Templates!$A:$G,7,FALSE),0)))</f>
        <v/>
      </c>
    </row>
    <row r="2695" ht="15" customHeight="1">
      <c r="C2695">
        <f>IF($B2695="","",INT($B2695))</f>
        <v/>
      </c>
      <c r="D2695">
        <f>IF($C2695="","",$C2695-WEEKDAY($C2695,2)+1)</f>
        <v/>
      </c>
      <c r="E2695">
        <f>IF($C2695="","",DATE(YEAR($C2695),MONTH($C2695),1))</f>
        <v/>
      </c>
      <c r="F2695">
        <f>IF($C2695="","",YEAR($C2695)&amp;"-Q"&amp;ROUNDUP(MONTH($C2695)/3,0))</f>
        <v/>
      </c>
      <c r="L2695">
        <f>IF($G2695&lt;&gt;"ALCOHOL","",IF($K2695="","",$H2695*IFERROR(VLOOKUP($K2695,Drink_Templates!$A:$G,7,FALSE),0)))</f>
        <v/>
      </c>
    </row>
    <row r="2696" ht="15" customHeight="1">
      <c r="C2696">
        <f>IF($B2696="","",INT($B2696))</f>
        <v/>
      </c>
      <c r="D2696">
        <f>IF($C2696="","",$C2696-WEEKDAY($C2696,2)+1)</f>
        <v/>
      </c>
      <c r="E2696">
        <f>IF($C2696="","",DATE(YEAR($C2696),MONTH($C2696),1))</f>
        <v/>
      </c>
      <c r="F2696">
        <f>IF($C2696="","",YEAR($C2696)&amp;"-Q"&amp;ROUNDUP(MONTH($C2696)/3,0))</f>
        <v/>
      </c>
      <c r="L2696">
        <f>IF($G2696&lt;&gt;"ALCOHOL","",IF($K2696="","",$H2696*IFERROR(VLOOKUP($K2696,Drink_Templates!$A:$G,7,FALSE),0)))</f>
        <v/>
      </c>
    </row>
    <row r="2697" ht="15" customHeight="1">
      <c r="C2697">
        <f>IF($B2697="","",INT($B2697))</f>
        <v/>
      </c>
      <c r="D2697">
        <f>IF($C2697="","",$C2697-WEEKDAY($C2697,2)+1)</f>
        <v/>
      </c>
      <c r="E2697">
        <f>IF($C2697="","",DATE(YEAR($C2697),MONTH($C2697),1))</f>
        <v/>
      </c>
      <c r="F2697">
        <f>IF($C2697="","",YEAR($C2697)&amp;"-Q"&amp;ROUNDUP(MONTH($C2697)/3,0))</f>
        <v/>
      </c>
      <c r="L2697">
        <f>IF($G2697&lt;&gt;"ALCOHOL","",IF($K2697="","",$H2697*IFERROR(VLOOKUP($K2697,Drink_Templates!$A:$G,7,FALSE),0)))</f>
        <v/>
      </c>
    </row>
    <row r="2698" ht="15" customHeight="1">
      <c r="C2698">
        <f>IF($B2698="","",INT($B2698))</f>
        <v/>
      </c>
      <c r="D2698">
        <f>IF($C2698="","",$C2698-WEEKDAY($C2698,2)+1)</f>
        <v/>
      </c>
      <c r="E2698">
        <f>IF($C2698="","",DATE(YEAR($C2698),MONTH($C2698),1))</f>
        <v/>
      </c>
      <c r="F2698">
        <f>IF($C2698="","",YEAR($C2698)&amp;"-Q"&amp;ROUNDUP(MONTH($C2698)/3,0))</f>
        <v/>
      </c>
      <c r="L2698">
        <f>IF($G2698&lt;&gt;"ALCOHOL","",IF($K2698="","",$H2698*IFERROR(VLOOKUP($K2698,Drink_Templates!$A:$G,7,FALSE),0)))</f>
        <v/>
      </c>
    </row>
    <row r="2699" ht="15" customHeight="1">
      <c r="C2699">
        <f>IF($B2699="","",INT($B2699))</f>
        <v/>
      </c>
      <c r="D2699">
        <f>IF($C2699="","",$C2699-WEEKDAY($C2699,2)+1)</f>
        <v/>
      </c>
      <c r="E2699">
        <f>IF($C2699="","",DATE(YEAR($C2699),MONTH($C2699),1))</f>
        <v/>
      </c>
      <c r="F2699">
        <f>IF($C2699="","",YEAR($C2699)&amp;"-Q"&amp;ROUNDUP(MONTH($C2699)/3,0))</f>
        <v/>
      </c>
      <c r="L2699">
        <f>IF($G2699&lt;&gt;"ALCOHOL","",IF($K2699="","",$H2699*IFERROR(VLOOKUP($K2699,Drink_Templates!$A:$G,7,FALSE),0)))</f>
        <v/>
      </c>
    </row>
    <row r="2700" ht="15" customHeight="1">
      <c r="C2700">
        <f>IF($B2700="","",INT($B2700))</f>
        <v/>
      </c>
      <c r="D2700">
        <f>IF($C2700="","",$C2700-WEEKDAY($C2700,2)+1)</f>
        <v/>
      </c>
      <c r="E2700">
        <f>IF($C2700="","",DATE(YEAR($C2700),MONTH($C2700),1))</f>
        <v/>
      </c>
      <c r="F2700">
        <f>IF($C2700="","",YEAR($C2700)&amp;"-Q"&amp;ROUNDUP(MONTH($C2700)/3,0))</f>
        <v/>
      </c>
      <c r="L2700">
        <f>IF($G2700&lt;&gt;"ALCOHOL","",IF($K2700="","",$H2700*IFERROR(VLOOKUP($K2700,Drink_Templates!$A:$G,7,FALSE),0)))</f>
        <v/>
      </c>
    </row>
    <row r="2701" ht="15" customHeight="1">
      <c r="C2701">
        <f>IF($B2701="","",INT($B2701))</f>
        <v/>
      </c>
      <c r="D2701">
        <f>IF($C2701="","",$C2701-WEEKDAY($C2701,2)+1)</f>
        <v/>
      </c>
      <c r="E2701">
        <f>IF($C2701="","",DATE(YEAR($C2701),MONTH($C2701),1))</f>
        <v/>
      </c>
      <c r="F2701">
        <f>IF($C2701="","",YEAR($C2701)&amp;"-Q"&amp;ROUNDUP(MONTH($C2701)/3,0))</f>
        <v/>
      </c>
      <c r="L2701">
        <f>IF($G2701&lt;&gt;"ALCOHOL","",IF($K2701="","",$H2701*IFERROR(VLOOKUP($K2701,Drink_Templates!$A:$G,7,FALSE),0)))</f>
        <v/>
      </c>
    </row>
    <row r="2702" ht="15" customHeight="1">
      <c r="C2702">
        <f>IF($B2702="","",INT($B2702))</f>
        <v/>
      </c>
      <c r="D2702">
        <f>IF($C2702="","",$C2702-WEEKDAY($C2702,2)+1)</f>
        <v/>
      </c>
      <c r="E2702">
        <f>IF($C2702="","",DATE(YEAR($C2702),MONTH($C2702),1))</f>
        <v/>
      </c>
      <c r="F2702">
        <f>IF($C2702="","",YEAR($C2702)&amp;"-Q"&amp;ROUNDUP(MONTH($C2702)/3,0))</f>
        <v/>
      </c>
      <c r="L2702">
        <f>IF($G2702&lt;&gt;"ALCOHOL","",IF($K2702="","",$H2702*IFERROR(VLOOKUP($K2702,Drink_Templates!$A:$G,7,FALSE),0)))</f>
        <v/>
      </c>
    </row>
    <row r="2703" ht="15" customHeight="1">
      <c r="C2703">
        <f>IF($B2703="","",INT($B2703))</f>
        <v/>
      </c>
      <c r="D2703">
        <f>IF($C2703="","",$C2703-WEEKDAY($C2703,2)+1)</f>
        <v/>
      </c>
      <c r="E2703">
        <f>IF($C2703="","",DATE(YEAR($C2703),MONTH($C2703),1))</f>
        <v/>
      </c>
      <c r="F2703">
        <f>IF($C2703="","",YEAR($C2703)&amp;"-Q"&amp;ROUNDUP(MONTH($C2703)/3,0))</f>
        <v/>
      </c>
      <c r="L2703">
        <f>IF($G2703&lt;&gt;"ALCOHOL","",IF($K2703="","",$H2703*IFERROR(VLOOKUP($K2703,Drink_Templates!$A:$G,7,FALSE),0)))</f>
        <v/>
      </c>
    </row>
    <row r="2704" ht="15" customHeight="1">
      <c r="C2704">
        <f>IF($B2704="","",INT($B2704))</f>
        <v/>
      </c>
      <c r="D2704">
        <f>IF($C2704="","",$C2704-WEEKDAY($C2704,2)+1)</f>
        <v/>
      </c>
      <c r="E2704">
        <f>IF($C2704="","",DATE(YEAR($C2704),MONTH($C2704),1))</f>
        <v/>
      </c>
      <c r="F2704">
        <f>IF($C2704="","",YEAR($C2704)&amp;"-Q"&amp;ROUNDUP(MONTH($C2704)/3,0))</f>
        <v/>
      </c>
      <c r="L2704">
        <f>IF($G2704&lt;&gt;"ALCOHOL","",IF($K2704="","",$H2704*IFERROR(VLOOKUP($K2704,Drink_Templates!$A:$G,7,FALSE),0)))</f>
        <v/>
      </c>
    </row>
    <row r="2705" ht="15" customHeight="1">
      <c r="C2705">
        <f>IF($B2705="","",INT($B2705))</f>
        <v/>
      </c>
      <c r="D2705">
        <f>IF($C2705="","",$C2705-WEEKDAY($C2705,2)+1)</f>
        <v/>
      </c>
      <c r="E2705">
        <f>IF($C2705="","",DATE(YEAR($C2705),MONTH($C2705),1))</f>
        <v/>
      </c>
      <c r="F2705">
        <f>IF($C2705="","",YEAR($C2705)&amp;"-Q"&amp;ROUNDUP(MONTH($C2705)/3,0))</f>
        <v/>
      </c>
      <c r="L2705">
        <f>IF($G2705&lt;&gt;"ALCOHOL","",IF($K2705="","",$H2705*IFERROR(VLOOKUP($K2705,Drink_Templates!$A:$G,7,FALSE),0)))</f>
        <v/>
      </c>
    </row>
    <row r="2706" ht="15" customHeight="1">
      <c r="C2706">
        <f>IF($B2706="","",INT($B2706))</f>
        <v/>
      </c>
      <c r="D2706">
        <f>IF($C2706="","",$C2706-WEEKDAY($C2706,2)+1)</f>
        <v/>
      </c>
      <c r="E2706">
        <f>IF($C2706="","",DATE(YEAR($C2706),MONTH($C2706),1))</f>
        <v/>
      </c>
      <c r="F2706">
        <f>IF($C2706="","",YEAR($C2706)&amp;"-Q"&amp;ROUNDUP(MONTH($C2706)/3,0))</f>
        <v/>
      </c>
      <c r="L2706">
        <f>IF($G2706&lt;&gt;"ALCOHOL","",IF($K2706="","",$H2706*IFERROR(VLOOKUP($K2706,Drink_Templates!$A:$G,7,FALSE),0)))</f>
        <v/>
      </c>
    </row>
    <row r="2707" ht="15" customHeight="1">
      <c r="C2707">
        <f>IF($B2707="","",INT($B2707))</f>
        <v/>
      </c>
      <c r="D2707">
        <f>IF($C2707="","",$C2707-WEEKDAY($C2707,2)+1)</f>
        <v/>
      </c>
      <c r="E2707">
        <f>IF($C2707="","",DATE(YEAR($C2707),MONTH($C2707),1))</f>
        <v/>
      </c>
      <c r="F2707">
        <f>IF($C2707="","",YEAR($C2707)&amp;"-Q"&amp;ROUNDUP(MONTH($C2707)/3,0))</f>
        <v/>
      </c>
      <c r="L2707">
        <f>IF($G2707&lt;&gt;"ALCOHOL","",IF($K2707="","",$H2707*IFERROR(VLOOKUP($K2707,Drink_Templates!$A:$G,7,FALSE),0)))</f>
        <v/>
      </c>
    </row>
    <row r="2708" ht="15" customHeight="1">
      <c r="C2708">
        <f>IF($B2708="","",INT($B2708))</f>
        <v/>
      </c>
      <c r="D2708">
        <f>IF($C2708="","",$C2708-WEEKDAY($C2708,2)+1)</f>
        <v/>
      </c>
      <c r="E2708">
        <f>IF($C2708="","",DATE(YEAR($C2708),MONTH($C2708),1))</f>
        <v/>
      </c>
      <c r="F2708">
        <f>IF($C2708="","",YEAR($C2708)&amp;"-Q"&amp;ROUNDUP(MONTH($C2708)/3,0))</f>
        <v/>
      </c>
      <c r="L2708">
        <f>IF($G2708&lt;&gt;"ALCOHOL","",IF($K2708="","",$H2708*IFERROR(VLOOKUP($K2708,Drink_Templates!$A:$G,7,FALSE),0)))</f>
        <v/>
      </c>
    </row>
    <row r="2709" ht="15" customHeight="1">
      <c r="C2709">
        <f>IF($B2709="","",INT($B2709))</f>
        <v/>
      </c>
      <c r="D2709">
        <f>IF($C2709="","",$C2709-WEEKDAY($C2709,2)+1)</f>
        <v/>
      </c>
      <c r="E2709">
        <f>IF($C2709="","",DATE(YEAR($C2709),MONTH($C2709),1))</f>
        <v/>
      </c>
      <c r="F2709">
        <f>IF($C2709="","",YEAR($C2709)&amp;"-Q"&amp;ROUNDUP(MONTH($C2709)/3,0))</f>
        <v/>
      </c>
      <c r="L2709">
        <f>IF($G2709&lt;&gt;"ALCOHOL","",IF($K2709="","",$H2709*IFERROR(VLOOKUP($K2709,Drink_Templates!$A:$G,7,FALSE),0)))</f>
        <v/>
      </c>
    </row>
    <row r="2710" ht="15" customHeight="1">
      <c r="C2710">
        <f>IF($B2710="","",INT($B2710))</f>
        <v/>
      </c>
      <c r="D2710">
        <f>IF($C2710="","",$C2710-WEEKDAY($C2710,2)+1)</f>
        <v/>
      </c>
      <c r="E2710">
        <f>IF($C2710="","",DATE(YEAR($C2710),MONTH($C2710),1))</f>
        <v/>
      </c>
      <c r="F2710">
        <f>IF($C2710="","",YEAR($C2710)&amp;"-Q"&amp;ROUNDUP(MONTH($C2710)/3,0))</f>
        <v/>
      </c>
      <c r="L2710">
        <f>IF($G2710&lt;&gt;"ALCOHOL","",IF($K2710="","",$H2710*IFERROR(VLOOKUP($K2710,Drink_Templates!$A:$G,7,FALSE),0)))</f>
        <v/>
      </c>
    </row>
    <row r="2711" ht="15" customHeight="1">
      <c r="C2711">
        <f>IF($B2711="","",INT($B2711))</f>
        <v/>
      </c>
      <c r="D2711">
        <f>IF($C2711="","",$C2711-WEEKDAY($C2711,2)+1)</f>
        <v/>
      </c>
      <c r="E2711">
        <f>IF($C2711="","",DATE(YEAR($C2711),MONTH($C2711),1))</f>
        <v/>
      </c>
      <c r="F2711">
        <f>IF($C2711="","",YEAR($C2711)&amp;"-Q"&amp;ROUNDUP(MONTH($C2711)/3,0))</f>
        <v/>
      </c>
      <c r="L2711">
        <f>IF($G2711&lt;&gt;"ALCOHOL","",IF($K2711="","",$H2711*IFERROR(VLOOKUP($K2711,Drink_Templates!$A:$G,7,FALSE),0)))</f>
        <v/>
      </c>
    </row>
    <row r="2712" ht="15" customHeight="1">
      <c r="C2712">
        <f>IF($B2712="","",INT($B2712))</f>
        <v/>
      </c>
      <c r="D2712">
        <f>IF($C2712="","",$C2712-WEEKDAY($C2712,2)+1)</f>
        <v/>
      </c>
      <c r="E2712">
        <f>IF($C2712="","",DATE(YEAR($C2712),MONTH($C2712),1))</f>
        <v/>
      </c>
      <c r="F2712">
        <f>IF($C2712="","",YEAR($C2712)&amp;"-Q"&amp;ROUNDUP(MONTH($C2712)/3,0))</f>
        <v/>
      </c>
      <c r="L2712">
        <f>IF($G2712&lt;&gt;"ALCOHOL","",IF($K2712="","",$H2712*IFERROR(VLOOKUP($K2712,Drink_Templates!$A:$G,7,FALSE),0)))</f>
        <v/>
      </c>
    </row>
    <row r="2713" ht="15" customHeight="1">
      <c r="C2713">
        <f>IF($B2713="","",INT($B2713))</f>
        <v/>
      </c>
      <c r="D2713">
        <f>IF($C2713="","",$C2713-WEEKDAY($C2713,2)+1)</f>
        <v/>
      </c>
      <c r="E2713">
        <f>IF($C2713="","",DATE(YEAR($C2713),MONTH($C2713),1))</f>
        <v/>
      </c>
      <c r="F2713">
        <f>IF($C2713="","",YEAR($C2713)&amp;"-Q"&amp;ROUNDUP(MONTH($C2713)/3,0))</f>
        <v/>
      </c>
      <c r="L2713">
        <f>IF($G2713&lt;&gt;"ALCOHOL","",IF($K2713="","",$H2713*IFERROR(VLOOKUP($K2713,Drink_Templates!$A:$G,7,FALSE),0)))</f>
        <v/>
      </c>
    </row>
    <row r="2714" ht="15" customHeight="1">
      <c r="C2714">
        <f>IF($B2714="","",INT($B2714))</f>
        <v/>
      </c>
      <c r="D2714">
        <f>IF($C2714="","",$C2714-WEEKDAY($C2714,2)+1)</f>
        <v/>
      </c>
      <c r="E2714">
        <f>IF($C2714="","",DATE(YEAR($C2714),MONTH($C2714),1))</f>
        <v/>
      </c>
      <c r="F2714">
        <f>IF($C2714="","",YEAR($C2714)&amp;"-Q"&amp;ROUNDUP(MONTH($C2714)/3,0))</f>
        <v/>
      </c>
      <c r="L2714">
        <f>IF($G2714&lt;&gt;"ALCOHOL","",IF($K2714="","",$H2714*IFERROR(VLOOKUP($K2714,Drink_Templates!$A:$G,7,FALSE),0)))</f>
        <v/>
      </c>
    </row>
    <row r="2715" ht="15" customHeight="1">
      <c r="C2715">
        <f>IF($B2715="","",INT($B2715))</f>
        <v/>
      </c>
      <c r="D2715">
        <f>IF($C2715="","",$C2715-WEEKDAY($C2715,2)+1)</f>
        <v/>
      </c>
      <c r="E2715">
        <f>IF($C2715="","",DATE(YEAR($C2715),MONTH($C2715),1))</f>
        <v/>
      </c>
      <c r="F2715">
        <f>IF($C2715="","",YEAR($C2715)&amp;"-Q"&amp;ROUNDUP(MONTH($C2715)/3,0))</f>
        <v/>
      </c>
      <c r="L2715">
        <f>IF($G2715&lt;&gt;"ALCOHOL","",IF($K2715="","",$H2715*IFERROR(VLOOKUP($K2715,Drink_Templates!$A:$G,7,FALSE),0)))</f>
        <v/>
      </c>
    </row>
    <row r="2716" ht="15" customHeight="1">
      <c r="C2716">
        <f>IF($B2716="","",INT($B2716))</f>
        <v/>
      </c>
      <c r="D2716">
        <f>IF($C2716="","",$C2716-WEEKDAY($C2716,2)+1)</f>
        <v/>
      </c>
      <c r="E2716">
        <f>IF($C2716="","",DATE(YEAR($C2716),MONTH($C2716),1))</f>
        <v/>
      </c>
      <c r="F2716">
        <f>IF($C2716="","",YEAR($C2716)&amp;"-Q"&amp;ROUNDUP(MONTH($C2716)/3,0))</f>
        <v/>
      </c>
      <c r="L2716">
        <f>IF($G2716&lt;&gt;"ALCOHOL","",IF($K2716="","",$H2716*IFERROR(VLOOKUP($K2716,Drink_Templates!$A:$G,7,FALSE),0)))</f>
        <v/>
      </c>
    </row>
    <row r="2717" ht="15" customHeight="1">
      <c r="C2717">
        <f>IF($B2717="","",INT($B2717))</f>
        <v/>
      </c>
      <c r="D2717">
        <f>IF($C2717="","",$C2717-WEEKDAY($C2717,2)+1)</f>
        <v/>
      </c>
      <c r="E2717">
        <f>IF($C2717="","",DATE(YEAR($C2717),MONTH($C2717),1))</f>
        <v/>
      </c>
      <c r="F2717">
        <f>IF($C2717="","",YEAR($C2717)&amp;"-Q"&amp;ROUNDUP(MONTH($C2717)/3,0))</f>
        <v/>
      </c>
      <c r="L2717">
        <f>IF($G2717&lt;&gt;"ALCOHOL","",IF($K2717="","",$H2717*IFERROR(VLOOKUP($K2717,Drink_Templates!$A:$G,7,FALSE),0)))</f>
        <v/>
      </c>
    </row>
    <row r="2718" ht="15" customHeight="1">
      <c r="C2718">
        <f>IF($B2718="","",INT($B2718))</f>
        <v/>
      </c>
      <c r="D2718">
        <f>IF($C2718="","",$C2718-WEEKDAY($C2718,2)+1)</f>
        <v/>
      </c>
      <c r="E2718">
        <f>IF($C2718="","",DATE(YEAR($C2718),MONTH($C2718),1))</f>
        <v/>
      </c>
      <c r="F2718">
        <f>IF($C2718="","",YEAR($C2718)&amp;"-Q"&amp;ROUNDUP(MONTH($C2718)/3,0))</f>
        <v/>
      </c>
      <c r="L2718">
        <f>IF($G2718&lt;&gt;"ALCOHOL","",IF($K2718="","",$H2718*IFERROR(VLOOKUP($K2718,Drink_Templates!$A:$G,7,FALSE),0)))</f>
        <v/>
      </c>
    </row>
    <row r="2719" ht="15" customHeight="1">
      <c r="C2719">
        <f>IF($B2719="","",INT($B2719))</f>
        <v/>
      </c>
      <c r="D2719">
        <f>IF($C2719="","",$C2719-WEEKDAY($C2719,2)+1)</f>
        <v/>
      </c>
      <c r="E2719">
        <f>IF($C2719="","",DATE(YEAR($C2719),MONTH($C2719),1))</f>
        <v/>
      </c>
      <c r="F2719">
        <f>IF($C2719="","",YEAR($C2719)&amp;"-Q"&amp;ROUNDUP(MONTH($C2719)/3,0))</f>
        <v/>
      </c>
      <c r="L2719">
        <f>IF($G2719&lt;&gt;"ALCOHOL","",IF($K2719="","",$H2719*IFERROR(VLOOKUP($K2719,Drink_Templates!$A:$G,7,FALSE),0)))</f>
        <v/>
      </c>
    </row>
    <row r="2720" ht="15" customHeight="1">
      <c r="C2720">
        <f>IF($B2720="","",INT($B2720))</f>
        <v/>
      </c>
      <c r="D2720">
        <f>IF($C2720="","",$C2720-WEEKDAY($C2720,2)+1)</f>
        <v/>
      </c>
      <c r="E2720">
        <f>IF($C2720="","",DATE(YEAR($C2720),MONTH($C2720),1))</f>
        <v/>
      </c>
      <c r="F2720">
        <f>IF($C2720="","",YEAR($C2720)&amp;"-Q"&amp;ROUNDUP(MONTH($C2720)/3,0))</f>
        <v/>
      </c>
      <c r="L2720">
        <f>IF($G2720&lt;&gt;"ALCOHOL","",IF($K2720="","",$H2720*IFERROR(VLOOKUP($K2720,Drink_Templates!$A:$G,7,FALSE),0)))</f>
        <v/>
      </c>
    </row>
    <row r="2721" ht="15" customHeight="1">
      <c r="C2721">
        <f>IF($B2721="","",INT($B2721))</f>
        <v/>
      </c>
      <c r="D2721">
        <f>IF($C2721="","",$C2721-WEEKDAY($C2721,2)+1)</f>
        <v/>
      </c>
      <c r="E2721">
        <f>IF($C2721="","",DATE(YEAR($C2721),MONTH($C2721),1))</f>
        <v/>
      </c>
      <c r="F2721">
        <f>IF($C2721="","",YEAR($C2721)&amp;"-Q"&amp;ROUNDUP(MONTH($C2721)/3,0))</f>
        <v/>
      </c>
      <c r="L2721">
        <f>IF($G2721&lt;&gt;"ALCOHOL","",IF($K2721="","",$H2721*IFERROR(VLOOKUP($K2721,Drink_Templates!$A:$G,7,FALSE),0)))</f>
        <v/>
      </c>
    </row>
    <row r="2722" ht="15" customHeight="1">
      <c r="C2722">
        <f>IF($B2722="","",INT($B2722))</f>
        <v/>
      </c>
      <c r="D2722">
        <f>IF($C2722="","",$C2722-WEEKDAY($C2722,2)+1)</f>
        <v/>
      </c>
      <c r="E2722">
        <f>IF($C2722="","",DATE(YEAR($C2722),MONTH($C2722),1))</f>
        <v/>
      </c>
      <c r="F2722">
        <f>IF($C2722="","",YEAR($C2722)&amp;"-Q"&amp;ROUNDUP(MONTH($C2722)/3,0))</f>
        <v/>
      </c>
      <c r="L2722">
        <f>IF($G2722&lt;&gt;"ALCOHOL","",IF($K2722="","",$H2722*IFERROR(VLOOKUP($K2722,Drink_Templates!$A:$G,7,FALSE),0)))</f>
        <v/>
      </c>
    </row>
    <row r="2723" ht="15" customHeight="1">
      <c r="C2723">
        <f>IF($B2723="","",INT($B2723))</f>
        <v/>
      </c>
      <c r="D2723">
        <f>IF($C2723="","",$C2723-WEEKDAY($C2723,2)+1)</f>
        <v/>
      </c>
      <c r="E2723">
        <f>IF($C2723="","",DATE(YEAR($C2723),MONTH($C2723),1))</f>
        <v/>
      </c>
      <c r="F2723">
        <f>IF($C2723="","",YEAR($C2723)&amp;"-Q"&amp;ROUNDUP(MONTH($C2723)/3,0))</f>
        <v/>
      </c>
      <c r="L2723">
        <f>IF($G2723&lt;&gt;"ALCOHOL","",IF($K2723="","",$H2723*IFERROR(VLOOKUP($K2723,Drink_Templates!$A:$G,7,FALSE),0)))</f>
        <v/>
      </c>
    </row>
    <row r="2724" ht="15" customHeight="1">
      <c r="C2724">
        <f>IF($B2724="","",INT($B2724))</f>
        <v/>
      </c>
      <c r="D2724">
        <f>IF($C2724="","",$C2724-WEEKDAY($C2724,2)+1)</f>
        <v/>
      </c>
      <c r="E2724">
        <f>IF($C2724="","",DATE(YEAR($C2724),MONTH($C2724),1))</f>
        <v/>
      </c>
      <c r="F2724">
        <f>IF($C2724="","",YEAR($C2724)&amp;"-Q"&amp;ROUNDUP(MONTH($C2724)/3,0))</f>
        <v/>
      </c>
      <c r="L2724">
        <f>IF($G2724&lt;&gt;"ALCOHOL","",IF($K2724="","",$H2724*IFERROR(VLOOKUP($K2724,Drink_Templates!$A:$G,7,FALSE),0)))</f>
        <v/>
      </c>
    </row>
    <row r="2725" ht="15" customHeight="1">
      <c r="C2725">
        <f>IF($B2725="","",INT($B2725))</f>
        <v/>
      </c>
      <c r="D2725">
        <f>IF($C2725="","",$C2725-WEEKDAY($C2725,2)+1)</f>
        <v/>
      </c>
      <c r="E2725">
        <f>IF($C2725="","",DATE(YEAR($C2725),MONTH($C2725),1))</f>
        <v/>
      </c>
      <c r="F2725">
        <f>IF($C2725="","",YEAR($C2725)&amp;"-Q"&amp;ROUNDUP(MONTH($C2725)/3,0))</f>
        <v/>
      </c>
      <c r="L2725">
        <f>IF($G2725&lt;&gt;"ALCOHOL","",IF($K2725="","",$H2725*IFERROR(VLOOKUP($K2725,Drink_Templates!$A:$G,7,FALSE),0)))</f>
        <v/>
      </c>
    </row>
    <row r="2726" ht="15" customHeight="1">
      <c r="C2726">
        <f>IF($B2726="","",INT($B2726))</f>
        <v/>
      </c>
      <c r="D2726">
        <f>IF($C2726="","",$C2726-WEEKDAY($C2726,2)+1)</f>
        <v/>
      </c>
      <c r="E2726">
        <f>IF($C2726="","",DATE(YEAR($C2726),MONTH($C2726),1))</f>
        <v/>
      </c>
      <c r="F2726">
        <f>IF($C2726="","",YEAR($C2726)&amp;"-Q"&amp;ROUNDUP(MONTH($C2726)/3,0))</f>
        <v/>
      </c>
      <c r="L2726">
        <f>IF($G2726&lt;&gt;"ALCOHOL","",IF($K2726="","",$H2726*IFERROR(VLOOKUP($K2726,Drink_Templates!$A:$G,7,FALSE),0)))</f>
        <v/>
      </c>
    </row>
    <row r="2727" ht="15" customHeight="1">
      <c r="C2727">
        <f>IF($B2727="","",INT($B2727))</f>
        <v/>
      </c>
      <c r="D2727">
        <f>IF($C2727="","",$C2727-WEEKDAY($C2727,2)+1)</f>
        <v/>
      </c>
      <c r="E2727">
        <f>IF($C2727="","",DATE(YEAR($C2727),MONTH($C2727),1))</f>
        <v/>
      </c>
      <c r="F2727">
        <f>IF($C2727="","",YEAR($C2727)&amp;"-Q"&amp;ROUNDUP(MONTH($C2727)/3,0))</f>
        <v/>
      </c>
      <c r="L2727">
        <f>IF($G2727&lt;&gt;"ALCOHOL","",IF($K2727="","",$H2727*IFERROR(VLOOKUP($K2727,Drink_Templates!$A:$G,7,FALSE),0)))</f>
        <v/>
      </c>
    </row>
    <row r="2728" ht="15" customHeight="1">
      <c r="C2728">
        <f>IF($B2728="","",INT($B2728))</f>
        <v/>
      </c>
      <c r="D2728">
        <f>IF($C2728="","",$C2728-WEEKDAY($C2728,2)+1)</f>
        <v/>
      </c>
      <c r="E2728">
        <f>IF($C2728="","",DATE(YEAR($C2728),MONTH($C2728),1))</f>
        <v/>
      </c>
      <c r="F2728">
        <f>IF($C2728="","",YEAR($C2728)&amp;"-Q"&amp;ROUNDUP(MONTH($C2728)/3,0))</f>
        <v/>
      </c>
      <c r="L2728">
        <f>IF($G2728&lt;&gt;"ALCOHOL","",IF($K2728="","",$H2728*IFERROR(VLOOKUP($K2728,Drink_Templates!$A:$G,7,FALSE),0)))</f>
        <v/>
      </c>
    </row>
    <row r="2729" ht="15" customHeight="1">
      <c r="C2729">
        <f>IF($B2729="","",INT($B2729))</f>
        <v/>
      </c>
      <c r="D2729">
        <f>IF($C2729="","",$C2729-WEEKDAY($C2729,2)+1)</f>
        <v/>
      </c>
      <c r="E2729">
        <f>IF($C2729="","",DATE(YEAR($C2729),MONTH($C2729),1))</f>
        <v/>
      </c>
      <c r="F2729">
        <f>IF($C2729="","",YEAR($C2729)&amp;"-Q"&amp;ROUNDUP(MONTH($C2729)/3,0))</f>
        <v/>
      </c>
      <c r="L2729">
        <f>IF($G2729&lt;&gt;"ALCOHOL","",IF($K2729="","",$H2729*IFERROR(VLOOKUP($K2729,Drink_Templates!$A:$G,7,FALSE),0)))</f>
        <v/>
      </c>
    </row>
    <row r="2730" ht="15" customHeight="1">
      <c r="C2730">
        <f>IF($B2730="","",INT($B2730))</f>
        <v/>
      </c>
      <c r="D2730">
        <f>IF($C2730="","",$C2730-WEEKDAY($C2730,2)+1)</f>
        <v/>
      </c>
      <c r="E2730">
        <f>IF($C2730="","",DATE(YEAR($C2730),MONTH($C2730),1))</f>
        <v/>
      </c>
      <c r="F2730">
        <f>IF($C2730="","",YEAR($C2730)&amp;"-Q"&amp;ROUNDUP(MONTH($C2730)/3,0))</f>
        <v/>
      </c>
      <c r="L2730">
        <f>IF($G2730&lt;&gt;"ALCOHOL","",IF($K2730="","",$H2730*IFERROR(VLOOKUP($K2730,Drink_Templates!$A:$G,7,FALSE),0)))</f>
        <v/>
      </c>
    </row>
    <row r="2731" ht="15" customHeight="1">
      <c r="C2731">
        <f>IF($B2731="","",INT($B2731))</f>
        <v/>
      </c>
      <c r="D2731">
        <f>IF($C2731="","",$C2731-WEEKDAY($C2731,2)+1)</f>
        <v/>
      </c>
      <c r="E2731">
        <f>IF($C2731="","",DATE(YEAR($C2731),MONTH($C2731),1))</f>
        <v/>
      </c>
      <c r="F2731">
        <f>IF($C2731="","",YEAR($C2731)&amp;"-Q"&amp;ROUNDUP(MONTH($C2731)/3,0))</f>
        <v/>
      </c>
      <c r="L2731">
        <f>IF($G2731&lt;&gt;"ALCOHOL","",IF($K2731="","",$H2731*IFERROR(VLOOKUP($K2731,Drink_Templates!$A:$G,7,FALSE),0)))</f>
        <v/>
      </c>
    </row>
    <row r="2732" ht="15" customHeight="1">
      <c r="C2732">
        <f>IF($B2732="","",INT($B2732))</f>
        <v/>
      </c>
      <c r="D2732">
        <f>IF($C2732="","",$C2732-WEEKDAY($C2732,2)+1)</f>
        <v/>
      </c>
      <c r="E2732">
        <f>IF($C2732="","",DATE(YEAR($C2732),MONTH($C2732),1))</f>
        <v/>
      </c>
      <c r="F2732">
        <f>IF($C2732="","",YEAR($C2732)&amp;"-Q"&amp;ROUNDUP(MONTH($C2732)/3,0))</f>
        <v/>
      </c>
      <c r="L2732">
        <f>IF($G2732&lt;&gt;"ALCOHOL","",IF($K2732="","",$H2732*IFERROR(VLOOKUP($K2732,Drink_Templates!$A:$G,7,FALSE),0)))</f>
        <v/>
      </c>
    </row>
    <row r="2733" ht="15" customHeight="1">
      <c r="C2733">
        <f>IF($B2733="","",INT($B2733))</f>
        <v/>
      </c>
      <c r="D2733">
        <f>IF($C2733="","",$C2733-WEEKDAY($C2733,2)+1)</f>
        <v/>
      </c>
      <c r="E2733">
        <f>IF($C2733="","",DATE(YEAR($C2733),MONTH($C2733),1))</f>
        <v/>
      </c>
      <c r="F2733">
        <f>IF($C2733="","",YEAR($C2733)&amp;"-Q"&amp;ROUNDUP(MONTH($C2733)/3,0))</f>
        <v/>
      </c>
      <c r="L2733">
        <f>IF($G2733&lt;&gt;"ALCOHOL","",IF($K2733="","",$H2733*IFERROR(VLOOKUP($K2733,Drink_Templates!$A:$G,7,FALSE),0)))</f>
        <v/>
      </c>
    </row>
    <row r="2734" ht="15" customHeight="1">
      <c r="C2734">
        <f>IF($B2734="","",INT($B2734))</f>
        <v/>
      </c>
      <c r="D2734">
        <f>IF($C2734="","",$C2734-WEEKDAY($C2734,2)+1)</f>
        <v/>
      </c>
      <c r="E2734">
        <f>IF($C2734="","",DATE(YEAR($C2734),MONTH($C2734),1))</f>
        <v/>
      </c>
      <c r="F2734">
        <f>IF($C2734="","",YEAR($C2734)&amp;"-Q"&amp;ROUNDUP(MONTH($C2734)/3,0))</f>
        <v/>
      </c>
      <c r="L2734">
        <f>IF($G2734&lt;&gt;"ALCOHOL","",IF($K2734="","",$H2734*IFERROR(VLOOKUP($K2734,Drink_Templates!$A:$G,7,FALSE),0)))</f>
        <v/>
      </c>
    </row>
    <row r="2735" ht="15" customHeight="1">
      <c r="C2735">
        <f>IF($B2735="","",INT($B2735))</f>
        <v/>
      </c>
      <c r="D2735">
        <f>IF($C2735="","",$C2735-WEEKDAY($C2735,2)+1)</f>
        <v/>
      </c>
      <c r="E2735">
        <f>IF($C2735="","",DATE(YEAR($C2735),MONTH($C2735),1))</f>
        <v/>
      </c>
      <c r="F2735">
        <f>IF($C2735="","",YEAR($C2735)&amp;"-Q"&amp;ROUNDUP(MONTH($C2735)/3,0))</f>
        <v/>
      </c>
      <c r="L2735">
        <f>IF($G2735&lt;&gt;"ALCOHOL","",IF($K2735="","",$H2735*IFERROR(VLOOKUP($K2735,Drink_Templates!$A:$G,7,FALSE),0)))</f>
        <v/>
      </c>
    </row>
    <row r="2736" ht="15" customHeight="1">
      <c r="C2736">
        <f>IF($B2736="","",INT($B2736))</f>
        <v/>
      </c>
      <c r="D2736">
        <f>IF($C2736="","",$C2736-WEEKDAY($C2736,2)+1)</f>
        <v/>
      </c>
      <c r="E2736">
        <f>IF($C2736="","",DATE(YEAR($C2736),MONTH($C2736),1))</f>
        <v/>
      </c>
      <c r="F2736">
        <f>IF($C2736="","",YEAR($C2736)&amp;"-Q"&amp;ROUNDUP(MONTH($C2736)/3,0))</f>
        <v/>
      </c>
      <c r="L2736">
        <f>IF($G2736&lt;&gt;"ALCOHOL","",IF($K2736="","",$H2736*IFERROR(VLOOKUP($K2736,Drink_Templates!$A:$G,7,FALSE),0)))</f>
        <v/>
      </c>
    </row>
    <row r="2737" ht="15" customHeight="1">
      <c r="C2737">
        <f>IF($B2737="","",INT($B2737))</f>
        <v/>
      </c>
      <c r="D2737">
        <f>IF($C2737="","",$C2737-WEEKDAY($C2737,2)+1)</f>
        <v/>
      </c>
      <c r="E2737">
        <f>IF($C2737="","",DATE(YEAR($C2737),MONTH($C2737),1))</f>
        <v/>
      </c>
      <c r="F2737">
        <f>IF($C2737="","",YEAR($C2737)&amp;"-Q"&amp;ROUNDUP(MONTH($C2737)/3,0))</f>
        <v/>
      </c>
      <c r="L2737">
        <f>IF($G2737&lt;&gt;"ALCOHOL","",IF($K2737="","",$H2737*IFERROR(VLOOKUP($K2737,Drink_Templates!$A:$G,7,FALSE),0)))</f>
        <v/>
      </c>
    </row>
    <row r="2738" ht="15" customHeight="1">
      <c r="C2738">
        <f>IF($B2738="","",INT($B2738))</f>
        <v/>
      </c>
      <c r="D2738">
        <f>IF($C2738="","",$C2738-WEEKDAY($C2738,2)+1)</f>
        <v/>
      </c>
      <c r="E2738">
        <f>IF($C2738="","",DATE(YEAR($C2738),MONTH($C2738),1))</f>
        <v/>
      </c>
      <c r="F2738">
        <f>IF($C2738="","",YEAR($C2738)&amp;"-Q"&amp;ROUNDUP(MONTH($C2738)/3,0))</f>
        <v/>
      </c>
      <c r="L2738">
        <f>IF($G2738&lt;&gt;"ALCOHOL","",IF($K2738="","",$H2738*IFERROR(VLOOKUP($K2738,Drink_Templates!$A:$G,7,FALSE),0)))</f>
        <v/>
      </c>
    </row>
    <row r="2739" ht="15" customHeight="1">
      <c r="C2739">
        <f>IF($B2739="","",INT($B2739))</f>
        <v/>
      </c>
      <c r="D2739">
        <f>IF($C2739="","",$C2739-WEEKDAY($C2739,2)+1)</f>
        <v/>
      </c>
      <c r="E2739">
        <f>IF($C2739="","",DATE(YEAR($C2739),MONTH($C2739),1))</f>
        <v/>
      </c>
      <c r="F2739">
        <f>IF($C2739="","",YEAR($C2739)&amp;"-Q"&amp;ROUNDUP(MONTH($C2739)/3,0))</f>
        <v/>
      </c>
      <c r="L2739">
        <f>IF($G2739&lt;&gt;"ALCOHOL","",IF($K2739="","",$H2739*IFERROR(VLOOKUP($K2739,Drink_Templates!$A:$G,7,FALSE),0)))</f>
        <v/>
      </c>
    </row>
    <row r="2740" ht="15" customHeight="1">
      <c r="C2740">
        <f>IF($B2740="","",INT($B2740))</f>
        <v/>
      </c>
      <c r="D2740">
        <f>IF($C2740="","",$C2740-WEEKDAY($C2740,2)+1)</f>
        <v/>
      </c>
      <c r="E2740">
        <f>IF($C2740="","",DATE(YEAR($C2740),MONTH($C2740),1))</f>
        <v/>
      </c>
      <c r="F2740">
        <f>IF($C2740="","",YEAR($C2740)&amp;"-Q"&amp;ROUNDUP(MONTH($C2740)/3,0))</f>
        <v/>
      </c>
      <c r="L2740">
        <f>IF($G2740&lt;&gt;"ALCOHOL","",IF($K2740="","",$H2740*IFERROR(VLOOKUP($K2740,Drink_Templates!$A:$G,7,FALSE),0)))</f>
        <v/>
      </c>
    </row>
    <row r="2741" ht="15" customHeight="1">
      <c r="C2741">
        <f>IF($B2741="","",INT($B2741))</f>
        <v/>
      </c>
      <c r="D2741">
        <f>IF($C2741="","",$C2741-WEEKDAY($C2741,2)+1)</f>
        <v/>
      </c>
      <c r="E2741">
        <f>IF($C2741="","",DATE(YEAR($C2741),MONTH($C2741),1))</f>
        <v/>
      </c>
      <c r="F2741">
        <f>IF($C2741="","",YEAR($C2741)&amp;"-Q"&amp;ROUNDUP(MONTH($C2741)/3,0))</f>
        <v/>
      </c>
      <c r="L2741">
        <f>IF($G2741&lt;&gt;"ALCOHOL","",IF($K2741="","",$H2741*IFERROR(VLOOKUP($K2741,Drink_Templates!$A:$G,7,FALSE),0)))</f>
        <v/>
      </c>
    </row>
    <row r="2742" ht="15" customHeight="1">
      <c r="C2742">
        <f>IF($B2742="","",INT($B2742))</f>
        <v/>
      </c>
      <c r="D2742">
        <f>IF($C2742="","",$C2742-WEEKDAY($C2742,2)+1)</f>
        <v/>
      </c>
      <c r="E2742">
        <f>IF($C2742="","",DATE(YEAR($C2742),MONTH($C2742),1))</f>
        <v/>
      </c>
      <c r="F2742">
        <f>IF($C2742="","",YEAR($C2742)&amp;"-Q"&amp;ROUNDUP(MONTH($C2742)/3,0))</f>
        <v/>
      </c>
      <c r="L2742">
        <f>IF($G2742&lt;&gt;"ALCOHOL","",IF($K2742="","",$H2742*IFERROR(VLOOKUP($K2742,Drink_Templates!$A:$G,7,FALSE),0)))</f>
        <v/>
      </c>
    </row>
    <row r="2743" ht="15" customHeight="1">
      <c r="C2743">
        <f>IF($B2743="","",INT($B2743))</f>
        <v/>
      </c>
      <c r="D2743">
        <f>IF($C2743="","",$C2743-WEEKDAY($C2743,2)+1)</f>
        <v/>
      </c>
      <c r="E2743">
        <f>IF($C2743="","",DATE(YEAR($C2743),MONTH($C2743),1))</f>
        <v/>
      </c>
      <c r="F2743">
        <f>IF($C2743="","",YEAR($C2743)&amp;"-Q"&amp;ROUNDUP(MONTH($C2743)/3,0))</f>
        <v/>
      </c>
      <c r="L2743">
        <f>IF($G2743&lt;&gt;"ALCOHOL","",IF($K2743="","",$H2743*IFERROR(VLOOKUP($K2743,Drink_Templates!$A:$G,7,FALSE),0)))</f>
        <v/>
      </c>
    </row>
    <row r="2744" ht="15" customHeight="1">
      <c r="C2744">
        <f>IF($B2744="","",INT($B2744))</f>
        <v/>
      </c>
      <c r="D2744">
        <f>IF($C2744="","",$C2744-WEEKDAY($C2744,2)+1)</f>
        <v/>
      </c>
      <c r="E2744">
        <f>IF($C2744="","",DATE(YEAR($C2744),MONTH($C2744),1))</f>
        <v/>
      </c>
      <c r="F2744">
        <f>IF($C2744="","",YEAR($C2744)&amp;"-Q"&amp;ROUNDUP(MONTH($C2744)/3,0))</f>
        <v/>
      </c>
      <c r="L2744">
        <f>IF($G2744&lt;&gt;"ALCOHOL","",IF($K2744="","",$H2744*IFERROR(VLOOKUP($K2744,Drink_Templates!$A:$G,7,FALSE),0)))</f>
        <v/>
      </c>
    </row>
    <row r="2745" ht="15" customHeight="1">
      <c r="C2745">
        <f>IF($B2745="","",INT($B2745))</f>
        <v/>
      </c>
      <c r="D2745">
        <f>IF($C2745="","",$C2745-WEEKDAY($C2745,2)+1)</f>
        <v/>
      </c>
      <c r="E2745">
        <f>IF($C2745="","",DATE(YEAR($C2745),MONTH($C2745),1))</f>
        <v/>
      </c>
      <c r="F2745">
        <f>IF($C2745="","",YEAR($C2745)&amp;"-Q"&amp;ROUNDUP(MONTH($C2745)/3,0))</f>
        <v/>
      </c>
      <c r="L2745">
        <f>IF($G2745&lt;&gt;"ALCOHOL","",IF($K2745="","",$H2745*IFERROR(VLOOKUP($K2745,Drink_Templates!$A:$G,7,FALSE),0)))</f>
        <v/>
      </c>
    </row>
    <row r="2746" ht="15" customHeight="1">
      <c r="C2746">
        <f>IF($B2746="","",INT($B2746))</f>
        <v/>
      </c>
      <c r="D2746">
        <f>IF($C2746="","",$C2746-WEEKDAY($C2746,2)+1)</f>
        <v/>
      </c>
      <c r="E2746">
        <f>IF($C2746="","",DATE(YEAR($C2746),MONTH($C2746),1))</f>
        <v/>
      </c>
      <c r="F2746">
        <f>IF($C2746="","",YEAR($C2746)&amp;"-Q"&amp;ROUNDUP(MONTH($C2746)/3,0))</f>
        <v/>
      </c>
      <c r="L2746">
        <f>IF($G2746&lt;&gt;"ALCOHOL","",IF($K2746="","",$H2746*IFERROR(VLOOKUP($K2746,Drink_Templates!$A:$G,7,FALSE),0)))</f>
        <v/>
      </c>
    </row>
    <row r="2747" ht="15" customHeight="1">
      <c r="C2747">
        <f>IF($B2747="","",INT($B2747))</f>
        <v/>
      </c>
      <c r="D2747">
        <f>IF($C2747="","",$C2747-WEEKDAY($C2747,2)+1)</f>
        <v/>
      </c>
      <c r="E2747">
        <f>IF($C2747="","",DATE(YEAR($C2747),MONTH($C2747),1))</f>
        <v/>
      </c>
      <c r="F2747">
        <f>IF($C2747="","",YEAR($C2747)&amp;"-Q"&amp;ROUNDUP(MONTH($C2747)/3,0))</f>
        <v/>
      </c>
      <c r="L2747">
        <f>IF($G2747&lt;&gt;"ALCOHOL","",IF($K2747="","",$H2747*IFERROR(VLOOKUP($K2747,Drink_Templates!$A:$G,7,FALSE),0)))</f>
        <v/>
      </c>
    </row>
    <row r="2748" ht="15" customHeight="1">
      <c r="C2748">
        <f>IF($B2748="","",INT($B2748))</f>
        <v/>
      </c>
      <c r="D2748">
        <f>IF($C2748="","",$C2748-WEEKDAY($C2748,2)+1)</f>
        <v/>
      </c>
      <c r="E2748">
        <f>IF($C2748="","",DATE(YEAR($C2748),MONTH($C2748),1))</f>
        <v/>
      </c>
      <c r="F2748">
        <f>IF($C2748="","",YEAR($C2748)&amp;"-Q"&amp;ROUNDUP(MONTH($C2748)/3,0))</f>
        <v/>
      </c>
      <c r="L2748">
        <f>IF($G2748&lt;&gt;"ALCOHOL","",IF($K2748="","",$H2748*IFERROR(VLOOKUP($K2748,Drink_Templates!$A:$G,7,FALSE),0)))</f>
        <v/>
      </c>
    </row>
    <row r="2749" ht="15" customHeight="1">
      <c r="C2749">
        <f>IF($B2749="","",INT($B2749))</f>
        <v/>
      </c>
      <c r="D2749">
        <f>IF($C2749="","",$C2749-WEEKDAY($C2749,2)+1)</f>
        <v/>
      </c>
      <c r="E2749">
        <f>IF($C2749="","",DATE(YEAR($C2749),MONTH($C2749),1))</f>
        <v/>
      </c>
      <c r="F2749">
        <f>IF($C2749="","",YEAR($C2749)&amp;"-Q"&amp;ROUNDUP(MONTH($C2749)/3,0))</f>
        <v/>
      </c>
      <c r="L2749">
        <f>IF($G2749&lt;&gt;"ALCOHOL","",IF($K2749="","",$H2749*IFERROR(VLOOKUP($K2749,Drink_Templates!$A:$G,7,FALSE),0)))</f>
        <v/>
      </c>
    </row>
    <row r="2750" ht="15" customHeight="1">
      <c r="C2750">
        <f>IF($B2750="","",INT($B2750))</f>
        <v/>
      </c>
      <c r="D2750">
        <f>IF($C2750="","",$C2750-WEEKDAY($C2750,2)+1)</f>
        <v/>
      </c>
      <c r="E2750">
        <f>IF($C2750="","",DATE(YEAR($C2750),MONTH($C2750),1))</f>
        <v/>
      </c>
      <c r="F2750">
        <f>IF($C2750="","",YEAR($C2750)&amp;"-Q"&amp;ROUNDUP(MONTH($C2750)/3,0))</f>
        <v/>
      </c>
      <c r="L2750">
        <f>IF($G2750&lt;&gt;"ALCOHOL","",IF($K2750="","",$H2750*IFERROR(VLOOKUP($K2750,Drink_Templates!$A:$G,7,FALSE),0)))</f>
        <v/>
      </c>
    </row>
    <row r="2751" ht="15" customHeight="1">
      <c r="C2751">
        <f>IF($B2751="","",INT($B2751))</f>
        <v/>
      </c>
      <c r="D2751">
        <f>IF($C2751="","",$C2751-WEEKDAY($C2751,2)+1)</f>
        <v/>
      </c>
      <c r="E2751">
        <f>IF($C2751="","",DATE(YEAR($C2751),MONTH($C2751),1))</f>
        <v/>
      </c>
      <c r="F2751">
        <f>IF($C2751="","",YEAR($C2751)&amp;"-Q"&amp;ROUNDUP(MONTH($C2751)/3,0))</f>
        <v/>
      </c>
      <c r="L2751">
        <f>IF($G2751&lt;&gt;"ALCOHOL","",IF($K2751="","",$H2751*IFERROR(VLOOKUP($K2751,Drink_Templates!$A:$G,7,FALSE),0)))</f>
        <v/>
      </c>
    </row>
    <row r="2752" ht="15" customHeight="1">
      <c r="C2752">
        <f>IF($B2752="","",INT($B2752))</f>
        <v/>
      </c>
      <c r="D2752">
        <f>IF($C2752="","",$C2752-WEEKDAY($C2752,2)+1)</f>
        <v/>
      </c>
      <c r="E2752">
        <f>IF($C2752="","",DATE(YEAR($C2752),MONTH($C2752),1))</f>
        <v/>
      </c>
      <c r="F2752">
        <f>IF($C2752="","",YEAR($C2752)&amp;"-Q"&amp;ROUNDUP(MONTH($C2752)/3,0))</f>
        <v/>
      </c>
      <c r="L2752">
        <f>IF($G2752&lt;&gt;"ALCOHOL","",IF($K2752="","",$H2752*IFERROR(VLOOKUP($K2752,Drink_Templates!$A:$G,7,FALSE),0)))</f>
        <v/>
      </c>
    </row>
    <row r="2753" ht="15" customHeight="1">
      <c r="C2753">
        <f>IF($B2753="","",INT($B2753))</f>
        <v/>
      </c>
      <c r="D2753">
        <f>IF($C2753="","",$C2753-WEEKDAY($C2753,2)+1)</f>
        <v/>
      </c>
      <c r="E2753">
        <f>IF($C2753="","",DATE(YEAR($C2753),MONTH($C2753),1))</f>
        <v/>
      </c>
      <c r="F2753">
        <f>IF($C2753="","",YEAR($C2753)&amp;"-Q"&amp;ROUNDUP(MONTH($C2753)/3,0))</f>
        <v/>
      </c>
      <c r="L2753">
        <f>IF($G2753&lt;&gt;"ALCOHOL","",IF($K2753="","",$H2753*IFERROR(VLOOKUP($K2753,Drink_Templates!$A:$G,7,FALSE),0)))</f>
        <v/>
      </c>
    </row>
    <row r="2754" ht="15" customHeight="1">
      <c r="C2754">
        <f>IF($B2754="","",INT($B2754))</f>
        <v/>
      </c>
      <c r="D2754">
        <f>IF($C2754="","",$C2754-WEEKDAY($C2754,2)+1)</f>
        <v/>
      </c>
      <c r="E2754">
        <f>IF($C2754="","",DATE(YEAR($C2754),MONTH($C2754),1))</f>
        <v/>
      </c>
      <c r="F2754">
        <f>IF($C2754="","",YEAR($C2754)&amp;"-Q"&amp;ROUNDUP(MONTH($C2754)/3,0))</f>
        <v/>
      </c>
      <c r="L2754">
        <f>IF($G2754&lt;&gt;"ALCOHOL","",IF($K2754="","",$H2754*IFERROR(VLOOKUP($K2754,Drink_Templates!$A:$G,7,FALSE),0)))</f>
        <v/>
      </c>
    </row>
    <row r="2755" ht="15" customHeight="1">
      <c r="C2755">
        <f>IF($B2755="","",INT($B2755))</f>
        <v/>
      </c>
      <c r="D2755">
        <f>IF($C2755="","",$C2755-WEEKDAY($C2755,2)+1)</f>
        <v/>
      </c>
      <c r="E2755">
        <f>IF($C2755="","",DATE(YEAR($C2755),MONTH($C2755),1))</f>
        <v/>
      </c>
      <c r="F2755">
        <f>IF($C2755="","",YEAR($C2755)&amp;"-Q"&amp;ROUNDUP(MONTH($C2755)/3,0))</f>
        <v/>
      </c>
      <c r="L2755">
        <f>IF($G2755&lt;&gt;"ALCOHOL","",IF($K2755="","",$H2755*IFERROR(VLOOKUP($K2755,Drink_Templates!$A:$G,7,FALSE),0)))</f>
        <v/>
      </c>
    </row>
    <row r="2756" ht="15" customHeight="1">
      <c r="C2756">
        <f>IF($B2756="","",INT($B2756))</f>
        <v/>
      </c>
      <c r="D2756">
        <f>IF($C2756="","",$C2756-WEEKDAY($C2756,2)+1)</f>
        <v/>
      </c>
      <c r="E2756">
        <f>IF($C2756="","",DATE(YEAR($C2756),MONTH($C2756),1))</f>
        <v/>
      </c>
      <c r="F2756">
        <f>IF($C2756="","",YEAR($C2756)&amp;"-Q"&amp;ROUNDUP(MONTH($C2756)/3,0))</f>
        <v/>
      </c>
      <c r="L2756">
        <f>IF($G2756&lt;&gt;"ALCOHOL","",IF($K2756="","",$H2756*IFERROR(VLOOKUP($K2756,Drink_Templates!$A:$G,7,FALSE),0)))</f>
        <v/>
      </c>
    </row>
    <row r="2757" ht="15" customHeight="1">
      <c r="C2757">
        <f>IF($B2757="","",INT($B2757))</f>
        <v/>
      </c>
      <c r="D2757">
        <f>IF($C2757="","",$C2757-WEEKDAY($C2757,2)+1)</f>
        <v/>
      </c>
      <c r="E2757">
        <f>IF($C2757="","",DATE(YEAR($C2757),MONTH($C2757),1))</f>
        <v/>
      </c>
      <c r="F2757">
        <f>IF($C2757="","",YEAR($C2757)&amp;"-Q"&amp;ROUNDUP(MONTH($C2757)/3,0))</f>
        <v/>
      </c>
      <c r="L2757">
        <f>IF($G2757&lt;&gt;"ALCOHOL","",IF($K2757="","",$H2757*IFERROR(VLOOKUP($K2757,Drink_Templates!$A:$G,7,FALSE),0)))</f>
        <v/>
      </c>
    </row>
    <row r="2758" ht="15" customHeight="1">
      <c r="C2758">
        <f>IF($B2758="","",INT($B2758))</f>
        <v/>
      </c>
      <c r="D2758">
        <f>IF($C2758="","",$C2758-WEEKDAY($C2758,2)+1)</f>
        <v/>
      </c>
      <c r="E2758">
        <f>IF($C2758="","",DATE(YEAR($C2758),MONTH($C2758),1))</f>
        <v/>
      </c>
      <c r="F2758">
        <f>IF($C2758="","",YEAR($C2758)&amp;"-Q"&amp;ROUNDUP(MONTH($C2758)/3,0))</f>
        <v/>
      </c>
      <c r="L2758">
        <f>IF($G2758&lt;&gt;"ALCOHOL","",IF($K2758="","",$H2758*IFERROR(VLOOKUP($K2758,Drink_Templates!$A:$G,7,FALSE),0)))</f>
        <v/>
      </c>
    </row>
    <row r="2759" ht="15" customHeight="1">
      <c r="C2759">
        <f>IF($B2759="","",INT($B2759))</f>
        <v/>
      </c>
      <c r="D2759">
        <f>IF($C2759="","",$C2759-WEEKDAY($C2759,2)+1)</f>
        <v/>
      </c>
      <c r="E2759">
        <f>IF($C2759="","",DATE(YEAR($C2759),MONTH($C2759),1))</f>
        <v/>
      </c>
      <c r="F2759">
        <f>IF($C2759="","",YEAR($C2759)&amp;"-Q"&amp;ROUNDUP(MONTH($C2759)/3,0))</f>
        <v/>
      </c>
      <c r="L2759">
        <f>IF($G2759&lt;&gt;"ALCOHOL","",IF($K2759="","",$H2759*IFERROR(VLOOKUP($K2759,Drink_Templates!$A:$G,7,FALSE),0)))</f>
        <v/>
      </c>
    </row>
    <row r="2760" ht="15" customHeight="1">
      <c r="C2760">
        <f>IF($B2760="","",INT($B2760))</f>
        <v/>
      </c>
      <c r="D2760">
        <f>IF($C2760="","",$C2760-WEEKDAY($C2760,2)+1)</f>
        <v/>
      </c>
      <c r="E2760">
        <f>IF($C2760="","",DATE(YEAR($C2760),MONTH($C2760),1))</f>
        <v/>
      </c>
      <c r="F2760">
        <f>IF($C2760="","",YEAR($C2760)&amp;"-Q"&amp;ROUNDUP(MONTH($C2760)/3,0))</f>
        <v/>
      </c>
      <c r="L2760">
        <f>IF($G2760&lt;&gt;"ALCOHOL","",IF($K2760="","",$H2760*IFERROR(VLOOKUP($K2760,Drink_Templates!$A:$G,7,FALSE),0)))</f>
        <v/>
      </c>
    </row>
    <row r="2761" ht="15" customHeight="1">
      <c r="C2761">
        <f>IF($B2761="","",INT($B2761))</f>
        <v/>
      </c>
      <c r="D2761">
        <f>IF($C2761="","",$C2761-WEEKDAY($C2761,2)+1)</f>
        <v/>
      </c>
      <c r="E2761">
        <f>IF($C2761="","",DATE(YEAR($C2761),MONTH($C2761),1))</f>
        <v/>
      </c>
      <c r="F2761">
        <f>IF($C2761="","",YEAR($C2761)&amp;"-Q"&amp;ROUNDUP(MONTH($C2761)/3,0))</f>
        <v/>
      </c>
      <c r="L2761">
        <f>IF($G2761&lt;&gt;"ALCOHOL","",IF($K2761="","",$H2761*IFERROR(VLOOKUP($K2761,Drink_Templates!$A:$G,7,FALSE),0)))</f>
        <v/>
      </c>
    </row>
    <row r="2762" ht="15" customHeight="1">
      <c r="C2762">
        <f>IF($B2762="","",INT($B2762))</f>
        <v/>
      </c>
      <c r="D2762">
        <f>IF($C2762="","",$C2762-WEEKDAY($C2762,2)+1)</f>
        <v/>
      </c>
      <c r="E2762">
        <f>IF($C2762="","",DATE(YEAR($C2762),MONTH($C2762),1))</f>
        <v/>
      </c>
      <c r="F2762">
        <f>IF($C2762="","",YEAR($C2762)&amp;"-Q"&amp;ROUNDUP(MONTH($C2762)/3,0))</f>
        <v/>
      </c>
      <c r="L2762">
        <f>IF($G2762&lt;&gt;"ALCOHOL","",IF($K2762="","",$H2762*IFERROR(VLOOKUP($K2762,Drink_Templates!$A:$G,7,FALSE),0)))</f>
        <v/>
      </c>
    </row>
    <row r="2763" ht="15" customHeight="1">
      <c r="C2763">
        <f>IF($B2763="","",INT($B2763))</f>
        <v/>
      </c>
      <c r="D2763">
        <f>IF($C2763="","",$C2763-WEEKDAY($C2763,2)+1)</f>
        <v/>
      </c>
      <c r="E2763">
        <f>IF($C2763="","",DATE(YEAR($C2763),MONTH($C2763),1))</f>
        <v/>
      </c>
      <c r="F2763">
        <f>IF($C2763="","",YEAR($C2763)&amp;"-Q"&amp;ROUNDUP(MONTH($C2763)/3,0))</f>
        <v/>
      </c>
      <c r="L2763">
        <f>IF($G2763&lt;&gt;"ALCOHOL","",IF($K2763="","",$H2763*IFERROR(VLOOKUP($K2763,Drink_Templates!$A:$G,7,FALSE),0)))</f>
        <v/>
      </c>
    </row>
    <row r="2764" ht="15" customHeight="1">
      <c r="C2764">
        <f>IF($B2764="","",INT($B2764))</f>
        <v/>
      </c>
      <c r="D2764">
        <f>IF($C2764="","",$C2764-WEEKDAY($C2764,2)+1)</f>
        <v/>
      </c>
      <c r="E2764">
        <f>IF($C2764="","",DATE(YEAR($C2764),MONTH($C2764),1))</f>
        <v/>
      </c>
      <c r="F2764">
        <f>IF($C2764="","",YEAR($C2764)&amp;"-Q"&amp;ROUNDUP(MONTH($C2764)/3,0))</f>
        <v/>
      </c>
      <c r="L2764">
        <f>IF($G2764&lt;&gt;"ALCOHOL","",IF($K2764="","",$H2764*IFERROR(VLOOKUP($K2764,Drink_Templates!$A:$G,7,FALSE),0)))</f>
        <v/>
      </c>
    </row>
    <row r="2765" ht="15" customHeight="1">
      <c r="C2765">
        <f>IF($B2765="","",INT($B2765))</f>
        <v/>
      </c>
      <c r="D2765">
        <f>IF($C2765="","",$C2765-WEEKDAY($C2765,2)+1)</f>
        <v/>
      </c>
      <c r="E2765">
        <f>IF($C2765="","",DATE(YEAR($C2765),MONTH($C2765),1))</f>
        <v/>
      </c>
      <c r="F2765">
        <f>IF($C2765="","",YEAR($C2765)&amp;"-Q"&amp;ROUNDUP(MONTH($C2765)/3,0))</f>
        <v/>
      </c>
      <c r="L2765">
        <f>IF($G2765&lt;&gt;"ALCOHOL","",IF($K2765="","",$H2765*IFERROR(VLOOKUP($K2765,Drink_Templates!$A:$G,7,FALSE),0)))</f>
        <v/>
      </c>
    </row>
    <row r="2766" ht="15" customHeight="1">
      <c r="C2766">
        <f>IF($B2766="","",INT($B2766))</f>
        <v/>
      </c>
      <c r="D2766">
        <f>IF($C2766="","",$C2766-WEEKDAY($C2766,2)+1)</f>
        <v/>
      </c>
      <c r="E2766">
        <f>IF($C2766="","",DATE(YEAR($C2766),MONTH($C2766),1))</f>
        <v/>
      </c>
      <c r="F2766">
        <f>IF($C2766="","",YEAR($C2766)&amp;"-Q"&amp;ROUNDUP(MONTH($C2766)/3,0))</f>
        <v/>
      </c>
      <c r="L2766">
        <f>IF($G2766&lt;&gt;"ALCOHOL","",IF($K2766="","",$H2766*IFERROR(VLOOKUP($K2766,Drink_Templates!$A:$G,7,FALSE),0)))</f>
        <v/>
      </c>
    </row>
    <row r="2767" ht="15" customHeight="1">
      <c r="C2767">
        <f>IF($B2767="","",INT($B2767))</f>
        <v/>
      </c>
      <c r="D2767">
        <f>IF($C2767="","",$C2767-WEEKDAY($C2767,2)+1)</f>
        <v/>
      </c>
      <c r="E2767">
        <f>IF($C2767="","",DATE(YEAR($C2767),MONTH($C2767),1))</f>
        <v/>
      </c>
      <c r="F2767">
        <f>IF($C2767="","",YEAR($C2767)&amp;"-Q"&amp;ROUNDUP(MONTH($C2767)/3,0))</f>
        <v/>
      </c>
      <c r="L2767">
        <f>IF($G2767&lt;&gt;"ALCOHOL","",IF($K2767="","",$H2767*IFERROR(VLOOKUP($K2767,Drink_Templates!$A:$G,7,FALSE),0)))</f>
        <v/>
      </c>
    </row>
    <row r="2768" ht="15" customHeight="1">
      <c r="C2768">
        <f>IF($B2768="","",INT($B2768))</f>
        <v/>
      </c>
      <c r="D2768">
        <f>IF($C2768="","",$C2768-WEEKDAY($C2768,2)+1)</f>
        <v/>
      </c>
      <c r="E2768">
        <f>IF($C2768="","",DATE(YEAR($C2768),MONTH($C2768),1))</f>
        <v/>
      </c>
      <c r="F2768">
        <f>IF($C2768="","",YEAR($C2768)&amp;"-Q"&amp;ROUNDUP(MONTH($C2768)/3,0))</f>
        <v/>
      </c>
      <c r="L2768">
        <f>IF($G2768&lt;&gt;"ALCOHOL","",IF($K2768="","",$H2768*IFERROR(VLOOKUP($K2768,Drink_Templates!$A:$G,7,FALSE),0)))</f>
        <v/>
      </c>
    </row>
    <row r="2769" ht="15" customHeight="1">
      <c r="C2769">
        <f>IF($B2769="","",INT($B2769))</f>
        <v/>
      </c>
      <c r="D2769">
        <f>IF($C2769="","",$C2769-WEEKDAY($C2769,2)+1)</f>
        <v/>
      </c>
      <c r="E2769">
        <f>IF($C2769="","",DATE(YEAR($C2769),MONTH($C2769),1))</f>
        <v/>
      </c>
      <c r="F2769">
        <f>IF($C2769="","",YEAR($C2769)&amp;"-Q"&amp;ROUNDUP(MONTH($C2769)/3,0))</f>
        <v/>
      </c>
      <c r="L2769">
        <f>IF($G2769&lt;&gt;"ALCOHOL","",IF($K2769="","",$H2769*IFERROR(VLOOKUP($K2769,Drink_Templates!$A:$G,7,FALSE),0)))</f>
        <v/>
      </c>
    </row>
    <row r="2770" ht="15" customHeight="1">
      <c r="C2770">
        <f>IF($B2770="","",INT($B2770))</f>
        <v/>
      </c>
      <c r="D2770">
        <f>IF($C2770="","",$C2770-WEEKDAY($C2770,2)+1)</f>
        <v/>
      </c>
      <c r="E2770">
        <f>IF($C2770="","",DATE(YEAR($C2770),MONTH($C2770),1))</f>
        <v/>
      </c>
      <c r="F2770">
        <f>IF($C2770="","",YEAR($C2770)&amp;"-Q"&amp;ROUNDUP(MONTH($C2770)/3,0))</f>
        <v/>
      </c>
      <c r="L2770">
        <f>IF($G2770&lt;&gt;"ALCOHOL","",IF($K2770="","",$H2770*IFERROR(VLOOKUP($K2770,Drink_Templates!$A:$G,7,FALSE),0)))</f>
        <v/>
      </c>
    </row>
    <row r="2771" ht="15" customHeight="1">
      <c r="C2771">
        <f>IF($B2771="","",INT($B2771))</f>
        <v/>
      </c>
      <c r="D2771">
        <f>IF($C2771="","",$C2771-WEEKDAY($C2771,2)+1)</f>
        <v/>
      </c>
      <c r="E2771">
        <f>IF($C2771="","",DATE(YEAR($C2771),MONTH($C2771),1))</f>
        <v/>
      </c>
      <c r="F2771">
        <f>IF($C2771="","",YEAR($C2771)&amp;"-Q"&amp;ROUNDUP(MONTH($C2771)/3,0))</f>
        <v/>
      </c>
      <c r="L2771">
        <f>IF($G2771&lt;&gt;"ALCOHOL","",IF($K2771="","",$H2771*IFERROR(VLOOKUP($K2771,Drink_Templates!$A:$G,7,FALSE),0)))</f>
        <v/>
      </c>
    </row>
    <row r="2772" ht="15" customHeight="1">
      <c r="C2772">
        <f>IF($B2772="","",INT($B2772))</f>
        <v/>
      </c>
      <c r="D2772">
        <f>IF($C2772="","",$C2772-WEEKDAY($C2772,2)+1)</f>
        <v/>
      </c>
      <c r="E2772">
        <f>IF($C2772="","",DATE(YEAR($C2772),MONTH($C2772),1))</f>
        <v/>
      </c>
      <c r="F2772">
        <f>IF($C2772="","",YEAR($C2772)&amp;"-Q"&amp;ROUNDUP(MONTH($C2772)/3,0))</f>
        <v/>
      </c>
      <c r="L2772">
        <f>IF($G2772&lt;&gt;"ALCOHOL","",IF($K2772="","",$H2772*IFERROR(VLOOKUP($K2772,Drink_Templates!$A:$G,7,FALSE),0)))</f>
        <v/>
      </c>
    </row>
    <row r="2773" ht="15" customHeight="1">
      <c r="C2773">
        <f>IF($B2773="","",INT($B2773))</f>
        <v/>
      </c>
      <c r="D2773">
        <f>IF($C2773="","",$C2773-WEEKDAY($C2773,2)+1)</f>
        <v/>
      </c>
      <c r="E2773">
        <f>IF($C2773="","",DATE(YEAR($C2773),MONTH($C2773),1))</f>
        <v/>
      </c>
      <c r="F2773">
        <f>IF($C2773="","",YEAR($C2773)&amp;"-Q"&amp;ROUNDUP(MONTH($C2773)/3,0))</f>
        <v/>
      </c>
      <c r="L2773">
        <f>IF($G2773&lt;&gt;"ALCOHOL","",IF($K2773="","",$H2773*IFERROR(VLOOKUP($K2773,Drink_Templates!$A:$G,7,FALSE),0)))</f>
        <v/>
      </c>
    </row>
    <row r="2774" ht="15" customHeight="1">
      <c r="C2774">
        <f>IF($B2774="","",INT($B2774))</f>
        <v/>
      </c>
      <c r="D2774">
        <f>IF($C2774="","",$C2774-WEEKDAY($C2774,2)+1)</f>
        <v/>
      </c>
      <c r="E2774">
        <f>IF($C2774="","",DATE(YEAR($C2774),MONTH($C2774),1))</f>
        <v/>
      </c>
      <c r="F2774">
        <f>IF($C2774="","",YEAR($C2774)&amp;"-Q"&amp;ROUNDUP(MONTH($C2774)/3,0))</f>
        <v/>
      </c>
      <c r="L2774">
        <f>IF($G2774&lt;&gt;"ALCOHOL","",IF($K2774="","",$H2774*IFERROR(VLOOKUP($K2774,Drink_Templates!$A:$G,7,FALSE),0)))</f>
        <v/>
      </c>
    </row>
    <row r="2775" ht="15" customHeight="1">
      <c r="C2775">
        <f>IF($B2775="","",INT($B2775))</f>
        <v/>
      </c>
      <c r="D2775">
        <f>IF($C2775="","",$C2775-WEEKDAY($C2775,2)+1)</f>
        <v/>
      </c>
      <c r="E2775">
        <f>IF($C2775="","",DATE(YEAR($C2775),MONTH($C2775),1))</f>
        <v/>
      </c>
      <c r="F2775">
        <f>IF($C2775="","",YEAR($C2775)&amp;"-Q"&amp;ROUNDUP(MONTH($C2775)/3,0))</f>
        <v/>
      </c>
      <c r="L2775">
        <f>IF($G2775&lt;&gt;"ALCOHOL","",IF($K2775="","",$H2775*IFERROR(VLOOKUP($K2775,Drink_Templates!$A:$G,7,FALSE),0)))</f>
        <v/>
      </c>
    </row>
    <row r="2776" ht="15" customHeight="1">
      <c r="C2776">
        <f>IF($B2776="","",INT($B2776))</f>
        <v/>
      </c>
      <c r="D2776">
        <f>IF($C2776="","",$C2776-WEEKDAY($C2776,2)+1)</f>
        <v/>
      </c>
      <c r="E2776">
        <f>IF($C2776="","",DATE(YEAR($C2776),MONTH($C2776),1))</f>
        <v/>
      </c>
      <c r="F2776">
        <f>IF($C2776="","",YEAR($C2776)&amp;"-Q"&amp;ROUNDUP(MONTH($C2776)/3,0))</f>
        <v/>
      </c>
      <c r="L2776">
        <f>IF($G2776&lt;&gt;"ALCOHOL","",IF($K2776="","",$H2776*IFERROR(VLOOKUP($K2776,Drink_Templates!$A:$G,7,FALSE),0)))</f>
        <v/>
      </c>
    </row>
    <row r="2777" ht="15" customHeight="1">
      <c r="C2777">
        <f>IF($B2777="","",INT($B2777))</f>
        <v/>
      </c>
      <c r="D2777">
        <f>IF($C2777="","",$C2777-WEEKDAY($C2777,2)+1)</f>
        <v/>
      </c>
      <c r="E2777">
        <f>IF($C2777="","",DATE(YEAR($C2777),MONTH($C2777),1))</f>
        <v/>
      </c>
      <c r="F2777">
        <f>IF($C2777="","",YEAR($C2777)&amp;"-Q"&amp;ROUNDUP(MONTH($C2777)/3,0))</f>
        <v/>
      </c>
      <c r="L2777">
        <f>IF($G2777&lt;&gt;"ALCOHOL","",IF($K2777="","",$H2777*IFERROR(VLOOKUP($K2777,Drink_Templates!$A:$G,7,FALSE),0)))</f>
        <v/>
      </c>
    </row>
    <row r="2778" ht="15" customHeight="1">
      <c r="C2778">
        <f>IF($B2778="","",INT($B2778))</f>
        <v/>
      </c>
      <c r="D2778">
        <f>IF($C2778="","",$C2778-WEEKDAY($C2778,2)+1)</f>
        <v/>
      </c>
      <c r="E2778">
        <f>IF($C2778="","",DATE(YEAR($C2778),MONTH($C2778),1))</f>
        <v/>
      </c>
      <c r="F2778">
        <f>IF($C2778="","",YEAR($C2778)&amp;"-Q"&amp;ROUNDUP(MONTH($C2778)/3,0))</f>
        <v/>
      </c>
      <c r="L2778">
        <f>IF($G2778&lt;&gt;"ALCOHOL","",IF($K2778="","",$H2778*IFERROR(VLOOKUP($K2778,Drink_Templates!$A:$G,7,FALSE),0)))</f>
        <v/>
      </c>
    </row>
    <row r="2779" ht="15" customHeight="1">
      <c r="C2779">
        <f>IF($B2779="","",INT($B2779))</f>
        <v/>
      </c>
      <c r="D2779">
        <f>IF($C2779="","",$C2779-WEEKDAY($C2779,2)+1)</f>
        <v/>
      </c>
      <c r="E2779">
        <f>IF($C2779="","",DATE(YEAR($C2779),MONTH($C2779),1))</f>
        <v/>
      </c>
      <c r="F2779">
        <f>IF($C2779="","",YEAR($C2779)&amp;"-Q"&amp;ROUNDUP(MONTH($C2779)/3,0))</f>
        <v/>
      </c>
      <c r="L2779">
        <f>IF($G2779&lt;&gt;"ALCOHOL","",IF($K2779="","",$H2779*IFERROR(VLOOKUP($K2779,Drink_Templates!$A:$G,7,FALSE),0)))</f>
        <v/>
      </c>
    </row>
    <row r="2780" ht="15" customHeight="1">
      <c r="C2780">
        <f>IF($B2780="","",INT($B2780))</f>
        <v/>
      </c>
      <c r="D2780">
        <f>IF($C2780="","",$C2780-WEEKDAY($C2780,2)+1)</f>
        <v/>
      </c>
      <c r="E2780">
        <f>IF($C2780="","",DATE(YEAR($C2780),MONTH($C2780),1))</f>
        <v/>
      </c>
      <c r="F2780">
        <f>IF($C2780="","",YEAR($C2780)&amp;"-Q"&amp;ROUNDUP(MONTH($C2780)/3,0))</f>
        <v/>
      </c>
      <c r="L2780">
        <f>IF($G2780&lt;&gt;"ALCOHOL","",IF($K2780="","",$H2780*IFERROR(VLOOKUP($K2780,Drink_Templates!$A:$G,7,FALSE),0)))</f>
        <v/>
      </c>
    </row>
    <row r="2781" ht="15" customHeight="1">
      <c r="C2781">
        <f>IF($B2781="","",INT($B2781))</f>
        <v/>
      </c>
      <c r="D2781">
        <f>IF($C2781="","",$C2781-WEEKDAY($C2781,2)+1)</f>
        <v/>
      </c>
      <c r="E2781">
        <f>IF($C2781="","",DATE(YEAR($C2781),MONTH($C2781),1))</f>
        <v/>
      </c>
      <c r="F2781">
        <f>IF($C2781="","",YEAR($C2781)&amp;"-Q"&amp;ROUNDUP(MONTH($C2781)/3,0))</f>
        <v/>
      </c>
      <c r="L2781">
        <f>IF($G2781&lt;&gt;"ALCOHOL","",IF($K2781="","",$H2781*IFERROR(VLOOKUP($K2781,Drink_Templates!$A:$G,7,FALSE),0)))</f>
        <v/>
      </c>
    </row>
    <row r="2782" ht="15" customHeight="1">
      <c r="C2782">
        <f>IF($B2782="","",INT($B2782))</f>
        <v/>
      </c>
      <c r="D2782">
        <f>IF($C2782="","",$C2782-WEEKDAY($C2782,2)+1)</f>
        <v/>
      </c>
      <c r="E2782">
        <f>IF($C2782="","",DATE(YEAR($C2782),MONTH($C2782),1))</f>
        <v/>
      </c>
      <c r="F2782">
        <f>IF($C2782="","",YEAR($C2782)&amp;"-Q"&amp;ROUNDUP(MONTH($C2782)/3,0))</f>
        <v/>
      </c>
      <c r="L2782">
        <f>IF($G2782&lt;&gt;"ALCOHOL","",IF($K2782="","",$H2782*IFERROR(VLOOKUP($K2782,Drink_Templates!$A:$G,7,FALSE),0)))</f>
        <v/>
      </c>
    </row>
    <row r="2783" ht="15" customHeight="1">
      <c r="C2783">
        <f>IF($B2783="","",INT($B2783))</f>
        <v/>
      </c>
      <c r="D2783">
        <f>IF($C2783="","",$C2783-WEEKDAY($C2783,2)+1)</f>
        <v/>
      </c>
      <c r="E2783">
        <f>IF($C2783="","",DATE(YEAR($C2783),MONTH($C2783),1))</f>
        <v/>
      </c>
      <c r="F2783">
        <f>IF($C2783="","",YEAR($C2783)&amp;"-Q"&amp;ROUNDUP(MONTH($C2783)/3,0))</f>
        <v/>
      </c>
      <c r="L2783">
        <f>IF($G2783&lt;&gt;"ALCOHOL","",IF($K2783="","",$H2783*IFERROR(VLOOKUP($K2783,Drink_Templates!$A:$G,7,FALSE),0)))</f>
        <v/>
      </c>
    </row>
    <row r="2784" ht="15" customHeight="1">
      <c r="C2784">
        <f>IF($B2784="","",INT($B2784))</f>
        <v/>
      </c>
      <c r="D2784">
        <f>IF($C2784="","",$C2784-WEEKDAY($C2784,2)+1)</f>
        <v/>
      </c>
      <c r="E2784">
        <f>IF($C2784="","",DATE(YEAR($C2784),MONTH($C2784),1))</f>
        <v/>
      </c>
      <c r="F2784">
        <f>IF($C2784="","",YEAR($C2784)&amp;"-Q"&amp;ROUNDUP(MONTH($C2784)/3,0))</f>
        <v/>
      </c>
      <c r="L2784">
        <f>IF($G2784&lt;&gt;"ALCOHOL","",IF($K2784="","",$H2784*IFERROR(VLOOKUP($K2784,Drink_Templates!$A:$G,7,FALSE),0)))</f>
        <v/>
      </c>
    </row>
    <row r="2785" ht="15" customHeight="1">
      <c r="C2785">
        <f>IF($B2785="","",INT($B2785))</f>
        <v/>
      </c>
      <c r="D2785">
        <f>IF($C2785="","",$C2785-WEEKDAY($C2785,2)+1)</f>
        <v/>
      </c>
      <c r="E2785">
        <f>IF($C2785="","",DATE(YEAR($C2785),MONTH($C2785),1))</f>
        <v/>
      </c>
      <c r="F2785">
        <f>IF($C2785="","",YEAR($C2785)&amp;"-Q"&amp;ROUNDUP(MONTH($C2785)/3,0))</f>
        <v/>
      </c>
      <c r="L2785">
        <f>IF($G2785&lt;&gt;"ALCOHOL","",IF($K2785="","",$H2785*IFERROR(VLOOKUP($K2785,Drink_Templates!$A:$G,7,FALSE),0)))</f>
        <v/>
      </c>
    </row>
    <row r="2786" ht="15" customHeight="1">
      <c r="C2786">
        <f>IF($B2786="","",INT($B2786))</f>
        <v/>
      </c>
      <c r="D2786">
        <f>IF($C2786="","",$C2786-WEEKDAY($C2786,2)+1)</f>
        <v/>
      </c>
      <c r="E2786">
        <f>IF($C2786="","",DATE(YEAR($C2786),MONTH($C2786),1))</f>
        <v/>
      </c>
      <c r="F2786">
        <f>IF($C2786="","",YEAR($C2786)&amp;"-Q"&amp;ROUNDUP(MONTH($C2786)/3,0))</f>
        <v/>
      </c>
      <c r="L2786">
        <f>IF($G2786&lt;&gt;"ALCOHOL","",IF($K2786="","",$H2786*IFERROR(VLOOKUP($K2786,Drink_Templates!$A:$G,7,FALSE),0)))</f>
        <v/>
      </c>
    </row>
    <row r="2787" ht="15" customHeight="1">
      <c r="C2787">
        <f>IF($B2787="","",INT($B2787))</f>
        <v/>
      </c>
      <c r="D2787">
        <f>IF($C2787="","",$C2787-WEEKDAY($C2787,2)+1)</f>
        <v/>
      </c>
      <c r="E2787">
        <f>IF($C2787="","",DATE(YEAR($C2787),MONTH($C2787),1))</f>
        <v/>
      </c>
      <c r="F2787">
        <f>IF($C2787="","",YEAR($C2787)&amp;"-Q"&amp;ROUNDUP(MONTH($C2787)/3,0))</f>
        <v/>
      </c>
      <c r="L2787">
        <f>IF($G2787&lt;&gt;"ALCOHOL","",IF($K2787="","",$H2787*IFERROR(VLOOKUP($K2787,Drink_Templates!$A:$G,7,FALSE),0)))</f>
        <v/>
      </c>
    </row>
    <row r="2788" ht="15" customHeight="1">
      <c r="C2788">
        <f>IF($B2788="","",INT($B2788))</f>
        <v/>
      </c>
      <c r="D2788">
        <f>IF($C2788="","",$C2788-WEEKDAY($C2788,2)+1)</f>
        <v/>
      </c>
      <c r="E2788">
        <f>IF($C2788="","",DATE(YEAR($C2788),MONTH($C2788),1))</f>
        <v/>
      </c>
      <c r="F2788">
        <f>IF($C2788="","",YEAR($C2788)&amp;"-Q"&amp;ROUNDUP(MONTH($C2788)/3,0))</f>
        <v/>
      </c>
      <c r="L2788">
        <f>IF($G2788&lt;&gt;"ALCOHOL","",IF($K2788="","",$H2788*IFERROR(VLOOKUP($K2788,Drink_Templates!$A:$G,7,FALSE),0)))</f>
        <v/>
      </c>
    </row>
    <row r="2789" ht="15" customHeight="1">
      <c r="C2789">
        <f>IF($B2789="","",INT($B2789))</f>
        <v/>
      </c>
      <c r="D2789">
        <f>IF($C2789="","",$C2789-WEEKDAY($C2789,2)+1)</f>
        <v/>
      </c>
      <c r="E2789">
        <f>IF($C2789="","",DATE(YEAR($C2789),MONTH($C2789),1))</f>
        <v/>
      </c>
      <c r="F2789">
        <f>IF($C2789="","",YEAR($C2789)&amp;"-Q"&amp;ROUNDUP(MONTH($C2789)/3,0))</f>
        <v/>
      </c>
      <c r="L2789">
        <f>IF($G2789&lt;&gt;"ALCOHOL","",IF($K2789="","",$H2789*IFERROR(VLOOKUP($K2789,Drink_Templates!$A:$G,7,FALSE),0)))</f>
        <v/>
      </c>
    </row>
    <row r="2790" ht="15" customHeight="1">
      <c r="C2790">
        <f>IF($B2790="","",INT($B2790))</f>
        <v/>
      </c>
      <c r="D2790">
        <f>IF($C2790="","",$C2790-WEEKDAY($C2790,2)+1)</f>
        <v/>
      </c>
      <c r="E2790">
        <f>IF($C2790="","",DATE(YEAR($C2790),MONTH($C2790),1))</f>
        <v/>
      </c>
      <c r="F2790">
        <f>IF($C2790="","",YEAR($C2790)&amp;"-Q"&amp;ROUNDUP(MONTH($C2790)/3,0))</f>
        <v/>
      </c>
      <c r="L2790">
        <f>IF($G2790&lt;&gt;"ALCOHOL","",IF($K2790="","",$H2790*IFERROR(VLOOKUP($K2790,Drink_Templates!$A:$G,7,FALSE),0)))</f>
        <v/>
      </c>
    </row>
    <row r="2791" ht="15" customHeight="1">
      <c r="C2791">
        <f>IF($B2791="","",INT($B2791))</f>
        <v/>
      </c>
      <c r="D2791">
        <f>IF($C2791="","",$C2791-WEEKDAY($C2791,2)+1)</f>
        <v/>
      </c>
      <c r="E2791">
        <f>IF($C2791="","",DATE(YEAR($C2791),MONTH($C2791),1))</f>
        <v/>
      </c>
      <c r="F2791">
        <f>IF($C2791="","",YEAR($C2791)&amp;"-Q"&amp;ROUNDUP(MONTH($C2791)/3,0))</f>
        <v/>
      </c>
      <c r="L2791">
        <f>IF($G2791&lt;&gt;"ALCOHOL","",IF($K2791="","",$H2791*IFERROR(VLOOKUP($K2791,Drink_Templates!$A:$G,7,FALSE),0)))</f>
        <v/>
      </c>
    </row>
    <row r="2792" ht="15" customHeight="1">
      <c r="C2792">
        <f>IF($B2792="","",INT($B2792))</f>
        <v/>
      </c>
      <c r="D2792">
        <f>IF($C2792="","",$C2792-WEEKDAY($C2792,2)+1)</f>
        <v/>
      </c>
      <c r="E2792">
        <f>IF($C2792="","",DATE(YEAR($C2792),MONTH($C2792),1))</f>
        <v/>
      </c>
      <c r="F2792">
        <f>IF($C2792="","",YEAR($C2792)&amp;"-Q"&amp;ROUNDUP(MONTH($C2792)/3,0))</f>
        <v/>
      </c>
      <c r="L2792">
        <f>IF($G2792&lt;&gt;"ALCOHOL","",IF($K2792="","",$H2792*IFERROR(VLOOKUP($K2792,Drink_Templates!$A:$G,7,FALSE),0)))</f>
        <v/>
      </c>
    </row>
    <row r="2793" ht="15" customHeight="1">
      <c r="C2793">
        <f>IF($B2793="","",INT($B2793))</f>
        <v/>
      </c>
      <c r="D2793">
        <f>IF($C2793="","",$C2793-WEEKDAY($C2793,2)+1)</f>
        <v/>
      </c>
      <c r="E2793">
        <f>IF($C2793="","",DATE(YEAR($C2793),MONTH($C2793),1))</f>
        <v/>
      </c>
      <c r="F2793">
        <f>IF($C2793="","",YEAR($C2793)&amp;"-Q"&amp;ROUNDUP(MONTH($C2793)/3,0))</f>
        <v/>
      </c>
      <c r="L2793">
        <f>IF($G2793&lt;&gt;"ALCOHOL","",IF($K2793="","",$H2793*IFERROR(VLOOKUP($K2793,Drink_Templates!$A:$G,7,FALSE),0)))</f>
        <v/>
      </c>
    </row>
    <row r="2794" ht="15" customHeight="1">
      <c r="C2794">
        <f>IF($B2794="","",INT($B2794))</f>
        <v/>
      </c>
      <c r="D2794">
        <f>IF($C2794="","",$C2794-WEEKDAY($C2794,2)+1)</f>
        <v/>
      </c>
      <c r="E2794">
        <f>IF($C2794="","",DATE(YEAR($C2794),MONTH($C2794),1))</f>
        <v/>
      </c>
      <c r="F2794">
        <f>IF($C2794="","",YEAR($C2794)&amp;"-Q"&amp;ROUNDUP(MONTH($C2794)/3,0))</f>
        <v/>
      </c>
      <c r="L2794">
        <f>IF($G2794&lt;&gt;"ALCOHOL","",IF($K2794="","",$H2794*IFERROR(VLOOKUP($K2794,Drink_Templates!$A:$G,7,FALSE),0)))</f>
        <v/>
      </c>
    </row>
    <row r="2795" ht="15" customHeight="1">
      <c r="C2795">
        <f>IF($B2795="","",INT($B2795))</f>
        <v/>
      </c>
      <c r="D2795">
        <f>IF($C2795="","",$C2795-WEEKDAY($C2795,2)+1)</f>
        <v/>
      </c>
      <c r="E2795">
        <f>IF($C2795="","",DATE(YEAR($C2795),MONTH($C2795),1))</f>
        <v/>
      </c>
      <c r="F2795">
        <f>IF($C2795="","",YEAR($C2795)&amp;"-Q"&amp;ROUNDUP(MONTH($C2795)/3,0))</f>
        <v/>
      </c>
      <c r="L2795">
        <f>IF($G2795&lt;&gt;"ALCOHOL","",IF($K2795="","",$H2795*IFERROR(VLOOKUP($K2795,Drink_Templates!$A:$G,7,FALSE),0)))</f>
        <v/>
      </c>
    </row>
    <row r="2796" ht="15" customHeight="1">
      <c r="C2796">
        <f>IF($B2796="","",INT($B2796))</f>
        <v/>
      </c>
      <c r="D2796">
        <f>IF($C2796="","",$C2796-WEEKDAY($C2796,2)+1)</f>
        <v/>
      </c>
      <c r="E2796">
        <f>IF($C2796="","",DATE(YEAR($C2796),MONTH($C2796),1))</f>
        <v/>
      </c>
      <c r="F2796">
        <f>IF($C2796="","",YEAR($C2796)&amp;"-Q"&amp;ROUNDUP(MONTH($C2796)/3,0))</f>
        <v/>
      </c>
      <c r="L2796">
        <f>IF($G2796&lt;&gt;"ALCOHOL","",IF($K2796="","",$H2796*IFERROR(VLOOKUP($K2796,Drink_Templates!$A:$G,7,FALSE),0)))</f>
        <v/>
      </c>
    </row>
    <row r="2797" ht="15" customHeight="1">
      <c r="C2797">
        <f>IF($B2797="","",INT($B2797))</f>
        <v/>
      </c>
      <c r="D2797">
        <f>IF($C2797="","",$C2797-WEEKDAY($C2797,2)+1)</f>
        <v/>
      </c>
      <c r="E2797">
        <f>IF($C2797="","",DATE(YEAR($C2797),MONTH($C2797),1))</f>
        <v/>
      </c>
      <c r="F2797">
        <f>IF($C2797="","",YEAR($C2797)&amp;"-Q"&amp;ROUNDUP(MONTH($C2797)/3,0))</f>
        <v/>
      </c>
      <c r="L2797">
        <f>IF($G2797&lt;&gt;"ALCOHOL","",IF($K2797="","",$H2797*IFERROR(VLOOKUP($K2797,Drink_Templates!$A:$G,7,FALSE),0)))</f>
        <v/>
      </c>
    </row>
    <row r="2798" ht="15" customHeight="1">
      <c r="C2798">
        <f>IF($B2798="","",INT($B2798))</f>
        <v/>
      </c>
      <c r="D2798">
        <f>IF($C2798="","",$C2798-WEEKDAY($C2798,2)+1)</f>
        <v/>
      </c>
      <c r="E2798">
        <f>IF($C2798="","",DATE(YEAR($C2798),MONTH($C2798),1))</f>
        <v/>
      </c>
      <c r="F2798">
        <f>IF($C2798="","",YEAR($C2798)&amp;"-Q"&amp;ROUNDUP(MONTH($C2798)/3,0))</f>
        <v/>
      </c>
      <c r="L2798">
        <f>IF($G2798&lt;&gt;"ALCOHOL","",IF($K2798="","",$H2798*IFERROR(VLOOKUP($K2798,Drink_Templates!$A:$G,7,FALSE),0)))</f>
        <v/>
      </c>
    </row>
    <row r="2799" ht="15" customHeight="1">
      <c r="C2799">
        <f>IF($B2799="","",INT($B2799))</f>
        <v/>
      </c>
      <c r="D2799">
        <f>IF($C2799="","",$C2799-WEEKDAY($C2799,2)+1)</f>
        <v/>
      </c>
      <c r="E2799">
        <f>IF($C2799="","",DATE(YEAR($C2799),MONTH($C2799),1))</f>
        <v/>
      </c>
      <c r="F2799">
        <f>IF($C2799="","",YEAR($C2799)&amp;"-Q"&amp;ROUNDUP(MONTH($C2799)/3,0))</f>
        <v/>
      </c>
      <c r="L2799">
        <f>IF($G2799&lt;&gt;"ALCOHOL","",IF($K2799="","",$H2799*IFERROR(VLOOKUP($K2799,Drink_Templates!$A:$G,7,FALSE),0)))</f>
        <v/>
      </c>
    </row>
    <row r="2800" ht="15" customHeight="1">
      <c r="C2800">
        <f>IF($B2800="","",INT($B2800))</f>
        <v/>
      </c>
      <c r="D2800">
        <f>IF($C2800="","",$C2800-WEEKDAY($C2800,2)+1)</f>
        <v/>
      </c>
      <c r="E2800">
        <f>IF($C2800="","",DATE(YEAR($C2800),MONTH($C2800),1))</f>
        <v/>
      </c>
      <c r="F2800">
        <f>IF($C2800="","",YEAR($C2800)&amp;"-Q"&amp;ROUNDUP(MONTH($C2800)/3,0))</f>
        <v/>
      </c>
      <c r="L2800">
        <f>IF($G2800&lt;&gt;"ALCOHOL","",IF($K2800="","",$H2800*IFERROR(VLOOKUP($K2800,Drink_Templates!$A:$G,7,FALSE),0)))</f>
        <v/>
      </c>
    </row>
    <row r="2801" ht="15" customHeight="1">
      <c r="C2801">
        <f>IF($B2801="","",INT($B2801))</f>
        <v/>
      </c>
      <c r="D2801">
        <f>IF($C2801="","",$C2801-WEEKDAY($C2801,2)+1)</f>
        <v/>
      </c>
      <c r="E2801">
        <f>IF($C2801="","",DATE(YEAR($C2801),MONTH($C2801),1))</f>
        <v/>
      </c>
      <c r="F2801">
        <f>IF($C2801="","",YEAR($C2801)&amp;"-Q"&amp;ROUNDUP(MONTH($C2801)/3,0))</f>
        <v/>
      </c>
      <c r="L2801">
        <f>IF($G2801&lt;&gt;"ALCOHOL","",IF($K2801="","",$H2801*IFERROR(VLOOKUP($K2801,Drink_Templates!$A:$G,7,FALSE),0)))</f>
        <v/>
      </c>
    </row>
    <row r="2802" ht="15" customHeight="1">
      <c r="C2802">
        <f>IF($B2802="","",INT($B2802))</f>
        <v/>
      </c>
      <c r="D2802">
        <f>IF($C2802="","",$C2802-WEEKDAY($C2802,2)+1)</f>
        <v/>
      </c>
      <c r="E2802">
        <f>IF($C2802="","",DATE(YEAR($C2802),MONTH($C2802),1))</f>
        <v/>
      </c>
      <c r="F2802">
        <f>IF($C2802="","",YEAR($C2802)&amp;"-Q"&amp;ROUNDUP(MONTH($C2802)/3,0))</f>
        <v/>
      </c>
      <c r="L2802">
        <f>IF($G2802&lt;&gt;"ALCOHOL","",IF($K2802="","",$H2802*IFERROR(VLOOKUP($K2802,Drink_Templates!$A:$G,7,FALSE),0)))</f>
        <v/>
      </c>
    </row>
    <row r="2803" ht="15" customHeight="1">
      <c r="C2803">
        <f>IF($B2803="","",INT($B2803))</f>
        <v/>
      </c>
      <c r="D2803">
        <f>IF($C2803="","",$C2803-WEEKDAY($C2803,2)+1)</f>
        <v/>
      </c>
      <c r="E2803">
        <f>IF($C2803="","",DATE(YEAR($C2803),MONTH($C2803),1))</f>
        <v/>
      </c>
      <c r="F2803">
        <f>IF($C2803="","",YEAR($C2803)&amp;"-Q"&amp;ROUNDUP(MONTH($C2803)/3,0))</f>
        <v/>
      </c>
      <c r="L2803">
        <f>IF($G2803&lt;&gt;"ALCOHOL","",IF($K2803="","",$H2803*IFERROR(VLOOKUP($K2803,Drink_Templates!$A:$G,7,FALSE),0)))</f>
        <v/>
      </c>
    </row>
    <row r="2804" ht="15" customHeight="1">
      <c r="C2804">
        <f>IF($B2804="","",INT($B2804))</f>
        <v/>
      </c>
      <c r="D2804">
        <f>IF($C2804="","",$C2804-WEEKDAY($C2804,2)+1)</f>
        <v/>
      </c>
      <c r="E2804">
        <f>IF($C2804="","",DATE(YEAR($C2804),MONTH($C2804),1))</f>
        <v/>
      </c>
      <c r="F2804">
        <f>IF($C2804="","",YEAR($C2804)&amp;"-Q"&amp;ROUNDUP(MONTH($C2804)/3,0))</f>
        <v/>
      </c>
      <c r="L2804">
        <f>IF($G2804&lt;&gt;"ALCOHOL","",IF($K2804="","",$H2804*IFERROR(VLOOKUP($K2804,Drink_Templates!$A:$G,7,FALSE),0)))</f>
        <v/>
      </c>
    </row>
    <row r="2805" ht="15" customHeight="1">
      <c r="C2805">
        <f>IF($B2805="","",INT($B2805))</f>
        <v/>
      </c>
      <c r="D2805">
        <f>IF($C2805="","",$C2805-WEEKDAY($C2805,2)+1)</f>
        <v/>
      </c>
      <c r="E2805">
        <f>IF($C2805="","",DATE(YEAR($C2805),MONTH($C2805),1))</f>
        <v/>
      </c>
      <c r="F2805">
        <f>IF($C2805="","",YEAR($C2805)&amp;"-Q"&amp;ROUNDUP(MONTH($C2805)/3,0))</f>
        <v/>
      </c>
      <c r="L2805">
        <f>IF($G2805&lt;&gt;"ALCOHOL","",IF($K2805="","",$H2805*IFERROR(VLOOKUP($K2805,Drink_Templates!$A:$G,7,FALSE),0)))</f>
        <v/>
      </c>
    </row>
    <row r="2806" ht="15" customHeight="1">
      <c r="C2806">
        <f>IF($B2806="","",INT($B2806))</f>
        <v/>
      </c>
      <c r="D2806">
        <f>IF($C2806="","",$C2806-WEEKDAY($C2806,2)+1)</f>
        <v/>
      </c>
      <c r="E2806">
        <f>IF($C2806="","",DATE(YEAR($C2806),MONTH($C2806),1))</f>
        <v/>
      </c>
      <c r="F2806">
        <f>IF($C2806="","",YEAR($C2806)&amp;"-Q"&amp;ROUNDUP(MONTH($C2806)/3,0))</f>
        <v/>
      </c>
      <c r="L2806">
        <f>IF($G2806&lt;&gt;"ALCOHOL","",IF($K2806="","",$H2806*IFERROR(VLOOKUP($K2806,Drink_Templates!$A:$G,7,FALSE),0)))</f>
        <v/>
      </c>
    </row>
    <row r="2807" ht="15" customHeight="1">
      <c r="C2807">
        <f>IF($B2807="","",INT($B2807))</f>
        <v/>
      </c>
      <c r="D2807">
        <f>IF($C2807="","",$C2807-WEEKDAY($C2807,2)+1)</f>
        <v/>
      </c>
      <c r="E2807">
        <f>IF($C2807="","",DATE(YEAR($C2807),MONTH($C2807),1))</f>
        <v/>
      </c>
      <c r="F2807">
        <f>IF($C2807="","",YEAR($C2807)&amp;"-Q"&amp;ROUNDUP(MONTH($C2807)/3,0))</f>
        <v/>
      </c>
      <c r="L2807">
        <f>IF($G2807&lt;&gt;"ALCOHOL","",IF($K2807="","",$H2807*IFERROR(VLOOKUP($K2807,Drink_Templates!$A:$G,7,FALSE),0)))</f>
        <v/>
      </c>
    </row>
    <row r="2808" ht="15" customHeight="1">
      <c r="C2808">
        <f>IF($B2808="","",INT($B2808))</f>
        <v/>
      </c>
      <c r="D2808">
        <f>IF($C2808="","",$C2808-WEEKDAY($C2808,2)+1)</f>
        <v/>
      </c>
      <c r="E2808">
        <f>IF($C2808="","",DATE(YEAR($C2808),MONTH($C2808),1))</f>
        <v/>
      </c>
      <c r="F2808">
        <f>IF($C2808="","",YEAR($C2808)&amp;"-Q"&amp;ROUNDUP(MONTH($C2808)/3,0))</f>
        <v/>
      </c>
      <c r="L2808">
        <f>IF($G2808&lt;&gt;"ALCOHOL","",IF($K2808="","",$H2808*IFERROR(VLOOKUP($K2808,Drink_Templates!$A:$G,7,FALSE),0)))</f>
        <v/>
      </c>
    </row>
    <row r="2809" ht="15" customHeight="1">
      <c r="C2809">
        <f>IF($B2809="","",INT($B2809))</f>
        <v/>
      </c>
      <c r="D2809">
        <f>IF($C2809="","",$C2809-WEEKDAY($C2809,2)+1)</f>
        <v/>
      </c>
      <c r="E2809">
        <f>IF($C2809="","",DATE(YEAR($C2809),MONTH($C2809),1))</f>
        <v/>
      </c>
      <c r="F2809">
        <f>IF($C2809="","",YEAR($C2809)&amp;"-Q"&amp;ROUNDUP(MONTH($C2809)/3,0))</f>
        <v/>
      </c>
      <c r="L2809">
        <f>IF($G2809&lt;&gt;"ALCOHOL","",IF($K2809="","",$H2809*IFERROR(VLOOKUP($K2809,Drink_Templates!$A:$G,7,FALSE),0)))</f>
        <v/>
      </c>
    </row>
    <row r="2810" ht="15" customHeight="1">
      <c r="C2810">
        <f>IF($B2810="","",INT($B2810))</f>
        <v/>
      </c>
      <c r="D2810">
        <f>IF($C2810="","",$C2810-WEEKDAY($C2810,2)+1)</f>
        <v/>
      </c>
      <c r="E2810">
        <f>IF($C2810="","",DATE(YEAR($C2810),MONTH($C2810),1))</f>
        <v/>
      </c>
      <c r="F2810">
        <f>IF($C2810="","",YEAR($C2810)&amp;"-Q"&amp;ROUNDUP(MONTH($C2810)/3,0))</f>
        <v/>
      </c>
      <c r="L2810">
        <f>IF($G2810&lt;&gt;"ALCOHOL","",IF($K2810="","",$H2810*IFERROR(VLOOKUP($K2810,Drink_Templates!$A:$G,7,FALSE),0)))</f>
        <v/>
      </c>
    </row>
    <row r="2811" ht="15" customHeight="1">
      <c r="C2811">
        <f>IF($B2811="","",INT($B2811))</f>
        <v/>
      </c>
      <c r="D2811">
        <f>IF($C2811="","",$C2811-WEEKDAY($C2811,2)+1)</f>
        <v/>
      </c>
      <c r="E2811">
        <f>IF($C2811="","",DATE(YEAR($C2811),MONTH($C2811),1))</f>
        <v/>
      </c>
      <c r="F2811">
        <f>IF($C2811="","",YEAR($C2811)&amp;"-Q"&amp;ROUNDUP(MONTH($C2811)/3,0))</f>
        <v/>
      </c>
      <c r="L2811">
        <f>IF($G2811&lt;&gt;"ALCOHOL","",IF($K2811="","",$H2811*IFERROR(VLOOKUP($K2811,Drink_Templates!$A:$G,7,FALSE),0)))</f>
        <v/>
      </c>
    </row>
    <row r="2812" ht="15" customHeight="1">
      <c r="C2812">
        <f>IF($B2812="","",INT($B2812))</f>
        <v/>
      </c>
      <c r="D2812">
        <f>IF($C2812="","",$C2812-WEEKDAY($C2812,2)+1)</f>
        <v/>
      </c>
      <c r="E2812">
        <f>IF($C2812="","",DATE(YEAR($C2812),MONTH($C2812),1))</f>
        <v/>
      </c>
      <c r="F2812">
        <f>IF($C2812="","",YEAR($C2812)&amp;"-Q"&amp;ROUNDUP(MONTH($C2812)/3,0))</f>
        <v/>
      </c>
      <c r="L2812">
        <f>IF($G2812&lt;&gt;"ALCOHOL","",IF($K2812="","",$H2812*IFERROR(VLOOKUP($K2812,Drink_Templates!$A:$G,7,FALSE),0)))</f>
        <v/>
      </c>
    </row>
    <row r="2813" ht="15" customHeight="1">
      <c r="C2813">
        <f>IF($B2813="","",INT($B2813))</f>
        <v/>
      </c>
      <c r="D2813">
        <f>IF($C2813="","",$C2813-WEEKDAY($C2813,2)+1)</f>
        <v/>
      </c>
      <c r="E2813">
        <f>IF($C2813="","",DATE(YEAR($C2813),MONTH($C2813),1))</f>
        <v/>
      </c>
      <c r="F2813">
        <f>IF($C2813="","",YEAR($C2813)&amp;"-Q"&amp;ROUNDUP(MONTH($C2813)/3,0))</f>
        <v/>
      </c>
      <c r="L2813">
        <f>IF($G2813&lt;&gt;"ALCOHOL","",IF($K2813="","",$H2813*IFERROR(VLOOKUP($K2813,Drink_Templates!$A:$G,7,FALSE),0)))</f>
        <v/>
      </c>
    </row>
    <row r="2814" ht="15" customHeight="1">
      <c r="C2814">
        <f>IF($B2814="","",INT($B2814))</f>
        <v/>
      </c>
      <c r="D2814">
        <f>IF($C2814="","",$C2814-WEEKDAY($C2814,2)+1)</f>
        <v/>
      </c>
      <c r="E2814">
        <f>IF($C2814="","",DATE(YEAR($C2814),MONTH($C2814),1))</f>
        <v/>
      </c>
      <c r="F2814">
        <f>IF($C2814="","",YEAR($C2814)&amp;"-Q"&amp;ROUNDUP(MONTH($C2814)/3,0))</f>
        <v/>
      </c>
      <c r="L2814">
        <f>IF($G2814&lt;&gt;"ALCOHOL","",IF($K2814="","",$H2814*IFERROR(VLOOKUP($K2814,Drink_Templates!$A:$G,7,FALSE),0)))</f>
        <v/>
      </c>
    </row>
    <row r="2815" ht="15" customHeight="1">
      <c r="C2815">
        <f>IF($B2815="","",INT($B2815))</f>
        <v/>
      </c>
      <c r="D2815">
        <f>IF($C2815="","",$C2815-WEEKDAY($C2815,2)+1)</f>
        <v/>
      </c>
      <c r="E2815">
        <f>IF($C2815="","",DATE(YEAR($C2815),MONTH($C2815),1))</f>
        <v/>
      </c>
      <c r="F2815">
        <f>IF($C2815="","",YEAR($C2815)&amp;"-Q"&amp;ROUNDUP(MONTH($C2815)/3,0))</f>
        <v/>
      </c>
      <c r="L2815">
        <f>IF($G2815&lt;&gt;"ALCOHOL","",IF($K2815="","",$H2815*IFERROR(VLOOKUP($K2815,Drink_Templates!$A:$G,7,FALSE),0)))</f>
        <v/>
      </c>
    </row>
    <row r="2816" ht="15" customHeight="1">
      <c r="C2816">
        <f>IF($B2816="","",INT($B2816))</f>
        <v/>
      </c>
      <c r="D2816">
        <f>IF($C2816="","",$C2816-WEEKDAY($C2816,2)+1)</f>
        <v/>
      </c>
      <c r="E2816">
        <f>IF($C2816="","",DATE(YEAR($C2816),MONTH($C2816),1))</f>
        <v/>
      </c>
      <c r="F2816">
        <f>IF($C2816="","",YEAR($C2816)&amp;"-Q"&amp;ROUNDUP(MONTH($C2816)/3,0))</f>
        <v/>
      </c>
      <c r="L2816">
        <f>IF($G2816&lt;&gt;"ALCOHOL","",IF($K2816="","",$H2816*IFERROR(VLOOKUP($K2816,Drink_Templates!$A:$G,7,FALSE),0)))</f>
        <v/>
      </c>
    </row>
    <row r="2817" ht="15" customHeight="1">
      <c r="C2817">
        <f>IF($B2817="","",INT($B2817))</f>
        <v/>
      </c>
      <c r="D2817">
        <f>IF($C2817="","",$C2817-WEEKDAY($C2817,2)+1)</f>
        <v/>
      </c>
      <c r="E2817">
        <f>IF($C2817="","",DATE(YEAR($C2817),MONTH($C2817),1))</f>
        <v/>
      </c>
      <c r="F2817">
        <f>IF($C2817="","",YEAR($C2817)&amp;"-Q"&amp;ROUNDUP(MONTH($C2817)/3,0))</f>
        <v/>
      </c>
      <c r="L2817">
        <f>IF($G2817&lt;&gt;"ALCOHOL","",IF($K2817="","",$H2817*IFERROR(VLOOKUP($K2817,Drink_Templates!$A:$G,7,FALSE),0)))</f>
        <v/>
      </c>
    </row>
    <row r="2818" ht="15" customHeight="1">
      <c r="C2818">
        <f>IF($B2818="","",INT($B2818))</f>
        <v/>
      </c>
      <c r="D2818">
        <f>IF($C2818="","",$C2818-WEEKDAY($C2818,2)+1)</f>
        <v/>
      </c>
      <c r="E2818">
        <f>IF($C2818="","",DATE(YEAR($C2818),MONTH($C2818),1))</f>
        <v/>
      </c>
      <c r="F2818">
        <f>IF($C2818="","",YEAR($C2818)&amp;"-Q"&amp;ROUNDUP(MONTH($C2818)/3,0))</f>
        <v/>
      </c>
      <c r="L2818">
        <f>IF($G2818&lt;&gt;"ALCOHOL","",IF($K2818="","",$H2818*IFERROR(VLOOKUP($K2818,Drink_Templates!$A:$G,7,FALSE),0)))</f>
        <v/>
      </c>
    </row>
    <row r="2819" ht="15" customHeight="1">
      <c r="C2819">
        <f>IF($B2819="","",INT($B2819))</f>
        <v/>
      </c>
      <c r="D2819">
        <f>IF($C2819="","",$C2819-WEEKDAY($C2819,2)+1)</f>
        <v/>
      </c>
      <c r="E2819">
        <f>IF($C2819="","",DATE(YEAR($C2819),MONTH($C2819),1))</f>
        <v/>
      </c>
      <c r="F2819">
        <f>IF($C2819="","",YEAR($C2819)&amp;"-Q"&amp;ROUNDUP(MONTH($C2819)/3,0))</f>
        <v/>
      </c>
      <c r="L2819">
        <f>IF($G2819&lt;&gt;"ALCOHOL","",IF($K2819="","",$H2819*IFERROR(VLOOKUP($K2819,Drink_Templates!$A:$G,7,FALSE),0)))</f>
        <v/>
      </c>
    </row>
    <row r="2820" ht="15" customHeight="1">
      <c r="C2820">
        <f>IF($B2820="","",INT($B2820))</f>
        <v/>
      </c>
      <c r="D2820">
        <f>IF($C2820="","",$C2820-WEEKDAY($C2820,2)+1)</f>
        <v/>
      </c>
      <c r="E2820">
        <f>IF($C2820="","",DATE(YEAR($C2820),MONTH($C2820),1))</f>
        <v/>
      </c>
      <c r="F2820">
        <f>IF($C2820="","",YEAR($C2820)&amp;"-Q"&amp;ROUNDUP(MONTH($C2820)/3,0))</f>
        <v/>
      </c>
      <c r="L2820">
        <f>IF($G2820&lt;&gt;"ALCOHOL","",IF($K2820="","",$H2820*IFERROR(VLOOKUP($K2820,Drink_Templates!$A:$G,7,FALSE),0)))</f>
        <v/>
      </c>
    </row>
    <row r="2821" ht="15" customHeight="1">
      <c r="C2821">
        <f>IF($B2821="","",INT($B2821))</f>
        <v/>
      </c>
      <c r="D2821">
        <f>IF($C2821="","",$C2821-WEEKDAY($C2821,2)+1)</f>
        <v/>
      </c>
      <c r="E2821">
        <f>IF($C2821="","",DATE(YEAR($C2821),MONTH($C2821),1))</f>
        <v/>
      </c>
      <c r="F2821">
        <f>IF($C2821="","",YEAR($C2821)&amp;"-Q"&amp;ROUNDUP(MONTH($C2821)/3,0))</f>
        <v/>
      </c>
      <c r="L2821">
        <f>IF($G2821&lt;&gt;"ALCOHOL","",IF($K2821="","",$H2821*IFERROR(VLOOKUP($K2821,Drink_Templates!$A:$G,7,FALSE),0)))</f>
        <v/>
      </c>
    </row>
    <row r="2822" ht="15" customHeight="1">
      <c r="C2822">
        <f>IF($B2822="","",INT($B2822))</f>
        <v/>
      </c>
      <c r="D2822">
        <f>IF($C2822="","",$C2822-WEEKDAY($C2822,2)+1)</f>
        <v/>
      </c>
      <c r="E2822">
        <f>IF($C2822="","",DATE(YEAR($C2822),MONTH($C2822),1))</f>
        <v/>
      </c>
      <c r="F2822">
        <f>IF($C2822="","",YEAR($C2822)&amp;"-Q"&amp;ROUNDUP(MONTH($C2822)/3,0))</f>
        <v/>
      </c>
      <c r="L2822">
        <f>IF($G2822&lt;&gt;"ALCOHOL","",IF($K2822="","",$H2822*IFERROR(VLOOKUP($K2822,Drink_Templates!$A:$G,7,FALSE),0)))</f>
        <v/>
      </c>
    </row>
    <row r="2823" ht="15" customHeight="1">
      <c r="C2823">
        <f>IF($B2823="","",INT($B2823))</f>
        <v/>
      </c>
      <c r="D2823">
        <f>IF($C2823="","",$C2823-WEEKDAY($C2823,2)+1)</f>
        <v/>
      </c>
      <c r="E2823">
        <f>IF($C2823="","",DATE(YEAR($C2823),MONTH($C2823),1))</f>
        <v/>
      </c>
      <c r="F2823">
        <f>IF($C2823="","",YEAR($C2823)&amp;"-Q"&amp;ROUNDUP(MONTH($C2823)/3,0))</f>
        <v/>
      </c>
      <c r="L2823">
        <f>IF($G2823&lt;&gt;"ALCOHOL","",IF($K2823="","",$H2823*IFERROR(VLOOKUP($K2823,Drink_Templates!$A:$G,7,FALSE),0)))</f>
        <v/>
      </c>
    </row>
    <row r="2824" ht="15" customHeight="1">
      <c r="C2824">
        <f>IF($B2824="","",INT($B2824))</f>
        <v/>
      </c>
      <c r="D2824">
        <f>IF($C2824="","",$C2824-WEEKDAY($C2824,2)+1)</f>
        <v/>
      </c>
      <c r="E2824">
        <f>IF($C2824="","",DATE(YEAR($C2824),MONTH($C2824),1))</f>
        <v/>
      </c>
      <c r="F2824">
        <f>IF($C2824="","",YEAR($C2824)&amp;"-Q"&amp;ROUNDUP(MONTH($C2824)/3,0))</f>
        <v/>
      </c>
      <c r="L2824">
        <f>IF($G2824&lt;&gt;"ALCOHOL","",IF($K2824="","",$H2824*IFERROR(VLOOKUP($K2824,Drink_Templates!$A:$G,7,FALSE),0)))</f>
        <v/>
      </c>
    </row>
    <row r="2825" ht="15" customHeight="1">
      <c r="C2825">
        <f>IF($B2825="","",INT($B2825))</f>
        <v/>
      </c>
      <c r="D2825">
        <f>IF($C2825="","",$C2825-WEEKDAY($C2825,2)+1)</f>
        <v/>
      </c>
      <c r="E2825">
        <f>IF($C2825="","",DATE(YEAR($C2825),MONTH($C2825),1))</f>
        <v/>
      </c>
      <c r="F2825">
        <f>IF($C2825="","",YEAR($C2825)&amp;"-Q"&amp;ROUNDUP(MONTH($C2825)/3,0))</f>
        <v/>
      </c>
      <c r="L2825">
        <f>IF($G2825&lt;&gt;"ALCOHOL","",IF($K2825="","",$H2825*IFERROR(VLOOKUP($K2825,Drink_Templates!$A:$G,7,FALSE),0)))</f>
        <v/>
      </c>
    </row>
    <row r="2826" ht="15" customHeight="1">
      <c r="C2826">
        <f>IF($B2826="","",INT($B2826))</f>
        <v/>
      </c>
      <c r="D2826">
        <f>IF($C2826="","",$C2826-WEEKDAY($C2826,2)+1)</f>
        <v/>
      </c>
      <c r="E2826">
        <f>IF($C2826="","",DATE(YEAR($C2826),MONTH($C2826),1))</f>
        <v/>
      </c>
      <c r="F2826">
        <f>IF($C2826="","",YEAR($C2826)&amp;"-Q"&amp;ROUNDUP(MONTH($C2826)/3,0))</f>
        <v/>
      </c>
      <c r="L2826">
        <f>IF($G2826&lt;&gt;"ALCOHOL","",IF($K2826="","",$H2826*IFERROR(VLOOKUP($K2826,Drink_Templates!$A:$G,7,FALSE),0)))</f>
        <v/>
      </c>
    </row>
    <row r="2827" ht="15" customHeight="1">
      <c r="C2827">
        <f>IF($B2827="","",INT($B2827))</f>
        <v/>
      </c>
      <c r="D2827">
        <f>IF($C2827="","",$C2827-WEEKDAY($C2827,2)+1)</f>
        <v/>
      </c>
      <c r="E2827">
        <f>IF($C2827="","",DATE(YEAR($C2827),MONTH($C2827),1))</f>
        <v/>
      </c>
      <c r="F2827">
        <f>IF($C2827="","",YEAR($C2827)&amp;"-Q"&amp;ROUNDUP(MONTH($C2827)/3,0))</f>
        <v/>
      </c>
      <c r="L2827">
        <f>IF($G2827&lt;&gt;"ALCOHOL","",IF($K2827="","",$H2827*IFERROR(VLOOKUP($K2827,Drink_Templates!$A:$G,7,FALSE),0)))</f>
        <v/>
      </c>
    </row>
    <row r="2828" ht="15" customHeight="1">
      <c r="C2828">
        <f>IF($B2828="","",INT($B2828))</f>
        <v/>
      </c>
      <c r="D2828">
        <f>IF($C2828="","",$C2828-WEEKDAY($C2828,2)+1)</f>
        <v/>
      </c>
      <c r="E2828">
        <f>IF($C2828="","",DATE(YEAR($C2828),MONTH($C2828),1))</f>
        <v/>
      </c>
      <c r="F2828">
        <f>IF($C2828="","",YEAR($C2828)&amp;"-Q"&amp;ROUNDUP(MONTH($C2828)/3,0))</f>
        <v/>
      </c>
      <c r="L2828">
        <f>IF($G2828&lt;&gt;"ALCOHOL","",IF($K2828="","",$H2828*IFERROR(VLOOKUP($K2828,Drink_Templates!$A:$G,7,FALSE),0)))</f>
        <v/>
      </c>
    </row>
    <row r="2829" ht="15" customHeight="1">
      <c r="C2829">
        <f>IF($B2829="","",INT($B2829))</f>
        <v/>
      </c>
      <c r="D2829">
        <f>IF($C2829="","",$C2829-WEEKDAY($C2829,2)+1)</f>
        <v/>
      </c>
      <c r="E2829">
        <f>IF($C2829="","",DATE(YEAR($C2829),MONTH($C2829),1))</f>
        <v/>
      </c>
      <c r="F2829">
        <f>IF($C2829="","",YEAR($C2829)&amp;"-Q"&amp;ROUNDUP(MONTH($C2829)/3,0))</f>
        <v/>
      </c>
      <c r="L2829">
        <f>IF($G2829&lt;&gt;"ALCOHOL","",IF($K2829="","",$H2829*IFERROR(VLOOKUP($K2829,Drink_Templates!$A:$G,7,FALSE),0)))</f>
        <v/>
      </c>
    </row>
    <row r="2830" ht="15" customHeight="1">
      <c r="C2830">
        <f>IF($B2830="","",INT($B2830))</f>
        <v/>
      </c>
      <c r="D2830">
        <f>IF($C2830="","",$C2830-WEEKDAY($C2830,2)+1)</f>
        <v/>
      </c>
      <c r="E2830">
        <f>IF($C2830="","",DATE(YEAR($C2830),MONTH($C2830),1))</f>
        <v/>
      </c>
      <c r="F2830">
        <f>IF($C2830="","",YEAR($C2830)&amp;"-Q"&amp;ROUNDUP(MONTH($C2830)/3,0))</f>
        <v/>
      </c>
      <c r="L2830">
        <f>IF($G2830&lt;&gt;"ALCOHOL","",IF($K2830="","",$H2830*IFERROR(VLOOKUP($K2830,Drink_Templates!$A:$G,7,FALSE),0)))</f>
        <v/>
      </c>
    </row>
    <row r="2831" ht="15" customHeight="1">
      <c r="C2831">
        <f>IF($B2831="","",INT($B2831))</f>
        <v/>
      </c>
      <c r="D2831">
        <f>IF($C2831="","",$C2831-WEEKDAY($C2831,2)+1)</f>
        <v/>
      </c>
      <c r="E2831">
        <f>IF($C2831="","",DATE(YEAR($C2831),MONTH($C2831),1))</f>
        <v/>
      </c>
      <c r="F2831">
        <f>IF($C2831="","",YEAR($C2831)&amp;"-Q"&amp;ROUNDUP(MONTH($C2831)/3,0))</f>
        <v/>
      </c>
      <c r="L2831">
        <f>IF($G2831&lt;&gt;"ALCOHOL","",IF($K2831="","",$H2831*IFERROR(VLOOKUP($K2831,Drink_Templates!$A:$G,7,FALSE),0)))</f>
        <v/>
      </c>
    </row>
    <row r="2832" ht="15" customHeight="1">
      <c r="C2832">
        <f>IF($B2832="","",INT($B2832))</f>
        <v/>
      </c>
      <c r="D2832">
        <f>IF($C2832="","",$C2832-WEEKDAY($C2832,2)+1)</f>
        <v/>
      </c>
      <c r="E2832">
        <f>IF($C2832="","",DATE(YEAR($C2832),MONTH($C2832),1))</f>
        <v/>
      </c>
      <c r="F2832">
        <f>IF($C2832="","",YEAR($C2832)&amp;"-Q"&amp;ROUNDUP(MONTH($C2832)/3,0))</f>
        <v/>
      </c>
      <c r="L2832">
        <f>IF($G2832&lt;&gt;"ALCOHOL","",IF($K2832="","",$H2832*IFERROR(VLOOKUP($K2832,Drink_Templates!$A:$G,7,FALSE),0)))</f>
        <v/>
      </c>
    </row>
    <row r="2833" ht="15" customHeight="1">
      <c r="C2833">
        <f>IF($B2833="","",INT($B2833))</f>
        <v/>
      </c>
      <c r="D2833">
        <f>IF($C2833="","",$C2833-WEEKDAY($C2833,2)+1)</f>
        <v/>
      </c>
      <c r="E2833">
        <f>IF($C2833="","",DATE(YEAR($C2833),MONTH($C2833),1))</f>
        <v/>
      </c>
      <c r="F2833">
        <f>IF($C2833="","",YEAR($C2833)&amp;"-Q"&amp;ROUNDUP(MONTH($C2833)/3,0))</f>
        <v/>
      </c>
      <c r="L2833">
        <f>IF($G2833&lt;&gt;"ALCOHOL","",IF($K2833="","",$H2833*IFERROR(VLOOKUP($K2833,Drink_Templates!$A:$G,7,FALSE),0)))</f>
        <v/>
      </c>
    </row>
    <row r="2834" ht="15" customHeight="1">
      <c r="C2834">
        <f>IF($B2834="","",INT($B2834))</f>
        <v/>
      </c>
      <c r="D2834">
        <f>IF($C2834="","",$C2834-WEEKDAY($C2834,2)+1)</f>
        <v/>
      </c>
      <c r="E2834">
        <f>IF($C2834="","",DATE(YEAR($C2834),MONTH($C2834),1))</f>
        <v/>
      </c>
      <c r="F2834">
        <f>IF($C2834="","",YEAR($C2834)&amp;"-Q"&amp;ROUNDUP(MONTH($C2834)/3,0))</f>
        <v/>
      </c>
      <c r="L2834">
        <f>IF($G2834&lt;&gt;"ALCOHOL","",IF($K2834="","",$H2834*IFERROR(VLOOKUP($K2834,Drink_Templates!$A:$G,7,FALSE),0)))</f>
        <v/>
      </c>
    </row>
    <row r="2835" ht="15" customHeight="1">
      <c r="C2835">
        <f>IF($B2835="","",INT($B2835))</f>
        <v/>
      </c>
      <c r="D2835">
        <f>IF($C2835="","",$C2835-WEEKDAY($C2835,2)+1)</f>
        <v/>
      </c>
      <c r="E2835">
        <f>IF($C2835="","",DATE(YEAR($C2835),MONTH($C2835),1))</f>
        <v/>
      </c>
      <c r="F2835">
        <f>IF($C2835="","",YEAR($C2835)&amp;"-Q"&amp;ROUNDUP(MONTH($C2835)/3,0))</f>
        <v/>
      </c>
      <c r="L2835">
        <f>IF($G2835&lt;&gt;"ALCOHOL","",IF($K2835="","",$H2835*IFERROR(VLOOKUP($K2835,Drink_Templates!$A:$G,7,FALSE),0)))</f>
        <v/>
      </c>
    </row>
    <row r="2836" ht="15" customHeight="1">
      <c r="C2836">
        <f>IF($B2836="","",INT($B2836))</f>
        <v/>
      </c>
      <c r="D2836">
        <f>IF($C2836="","",$C2836-WEEKDAY($C2836,2)+1)</f>
        <v/>
      </c>
      <c r="E2836">
        <f>IF($C2836="","",DATE(YEAR($C2836),MONTH($C2836),1))</f>
        <v/>
      </c>
      <c r="F2836">
        <f>IF($C2836="","",YEAR($C2836)&amp;"-Q"&amp;ROUNDUP(MONTH($C2836)/3,0))</f>
        <v/>
      </c>
      <c r="L2836">
        <f>IF($G2836&lt;&gt;"ALCOHOL","",IF($K2836="","",$H2836*IFERROR(VLOOKUP($K2836,Drink_Templates!$A:$G,7,FALSE),0)))</f>
        <v/>
      </c>
    </row>
    <row r="2837" ht="15" customHeight="1">
      <c r="C2837">
        <f>IF($B2837="","",INT($B2837))</f>
        <v/>
      </c>
      <c r="D2837">
        <f>IF($C2837="","",$C2837-WEEKDAY($C2837,2)+1)</f>
        <v/>
      </c>
      <c r="E2837">
        <f>IF($C2837="","",DATE(YEAR($C2837),MONTH($C2837),1))</f>
        <v/>
      </c>
      <c r="F2837">
        <f>IF($C2837="","",YEAR($C2837)&amp;"-Q"&amp;ROUNDUP(MONTH($C2837)/3,0))</f>
        <v/>
      </c>
      <c r="L2837">
        <f>IF($G2837&lt;&gt;"ALCOHOL","",IF($K2837="","",$H2837*IFERROR(VLOOKUP($K2837,Drink_Templates!$A:$G,7,FALSE),0)))</f>
        <v/>
      </c>
    </row>
    <row r="2838" ht="15" customHeight="1">
      <c r="C2838">
        <f>IF($B2838="","",INT($B2838))</f>
        <v/>
      </c>
      <c r="D2838">
        <f>IF($C2838="","",$C2838-WEEKDAY($C2838,2)+1)</f>
        <v/>
      </c>
      <c r="E2838">
        <f>IF($C2838="","",DATE(YEAR($C2838),MONTH($C2838),1))</f>
        <v/>
      </c>
      <c r="F2838">
        <f>IF($C2838="","",YEAR($C2838)&amp;"-Q"&amp;ROUNDUP(MONTH($C2838)/3,0))</f>
        <v/>
      </c>
      <c r="L2838">
        <f>IF($G2838&lt;&gt;"ALCOHOL","",IF($K2838="","",$H2838*IFERROR(VLOOKUP($K2838,Drink_Templates!$A:$G,7,FALSE),0)))</f>
        <v/>
      </c>
    </row>
    <row r="2839" ht="15" customHeight="1">
      <c r="C2839">
        <f>IF($B2839="","",INT($B2839))</f>
        <v/>
      </c>
      <c r="D2839">
        <f>IF($C2839="","",$C2839-WEEKDAY($C2839,2)+1)</f>
        <v/>
      </c>
      <c r="E2839">
        <f>IF($C2839="","",DATE(YEAR($C2839),MONTH($C2839),1))</f>
        <v/>
      </c>
      <c r="F2839">
        <f>IF($C2839="","",YEAR($C2839)&amp;"-Q"&amp;ROUNDUP(MONTH($C2839)/3,0))</f>
        <v/>
      </c>
      <c r="L2839">
        <f>IF($G2839&lt;&gt;"ALCOHOL","",IF($K2839="","",$H2839*IFERROR(VLOOKUP($K2839,Drink_Templates!$A:$G,7,FALSE),0)))</f>
        <v/>
      </c>
    </row>
    <row r="2840" ht="15" customHeight="1">
      <c r="C2840">
        <f>IF($B2840="","",INT($B2840))</f>
        <v/>
      </c>
      <c r="D2840">
        <f>IF($C2840="","",$C2840-WEEKDAY($C2840,2)+1)</f>
        <v/>
      </c>
      <c r="E2840">
        <f>IF($C2840="","",DATE(YEAR($C2840),MONTH($C2840),1))</f>
        <v/>
      </c>
      <c r="F2840">
        <f>IF($C2840="","",YEAR($C2840)&amp;"-Q"&amp;ROUNDUP(MONTH($C2840)/3,0))</f>
        <v/>
      </c>
      <c r="L2840">
        <f>IF($G2840&lt;&gt;"ALCOHOL","",IF($K2840="","",$H2840*IFERROR(VLOOKUP($K2840,Drink_Templates!$A:$G,7,FALSE),0)))</f>
        <v/>
      </c>
    </row>
    <row r="2841" ht="15" customHeight="1">
      <c r="C2841">
        <f>IF($B2841="","",INT($B2841))</f>
        <v/>
      </c>
      <c r="D2841">
        <f>IF($C2841="","",$C2841-WEEKDAY($C2841,2)+1)</f>
        <v/>
      </c>
      <c r="E2841">
        <f>IF($C2841="","",DATE(YEAR($C2841),MONTH($C2841),1))</f>
        <v/>
      </c>
      <c r="F2841">
        <f>IF($C2841="","",YEAR($C2841)&amp;"-Q"&amp;ROUNDUP(MONTH($C2841)/3,0))</f>
        <v/>
      </c>
      <c r="L2841">
        <f>IF($G2841&lt;&gt;"ALCOHOL","",IF($K2841="","",$H2841*IFERROR(VLOOKUP($K2841,Drink_Templates!$A:$G,7,FALSE),0)))</f>
        <v/>
      </c>
    </row>
    <row r="2842" ht="15" customHeight="1">
      <c r="C2842">
        <f>IF($B2842="","",INT($B2842))</f>
        <v/>
      </c>
      <c r="D2842">
        <f>IF($C2842="","",$C2842-WEEKDAY($C2842,2)+1)</f>
        <v/>
      </c>
      <c r="E2842">
        <f>IF($C2842="","",DATE(YEAR($C2842),MONTH($C2842),1))</f>
        <v/>
      </c>
      <c r="F2842">
        <f>IF($C2842="","",YEAR($C2842)&amp;"-Q"&amp;ROUNDUP(MONTH($C2842)/3,0))</f>
        <v/>
      </c>
      <c r="L2842">
        <f>IF($G2842&lt;&gt;"ALCOHOL","",IF($K2842="","",$H2842*IFERROR(VLOOKUP($K2842,Drink_Templates!$A:$G,7,FALSE),0)))</f>
        <v/>
      </c>
    </row>
    <row r="2843" ht="15" customHeight="1">
      <c r="C2843">
        <f>IF($B2843="","",INT($B2843))</f>
        <v/>
      </c>
      <c r="D2843">
        <f>IF($C2843="","",$C2843-WEEKDAY($C2843,2)+1)</f>
        <v/>
      </c>
      <c r="E2843">
        <f>IF($C2843="","",DATE(YEAR($C2843),MONTH($C2843),1))</f>
        <v/>
      </c>
      <c r="F2843">
        <f>IF($C2843="","",YEAR($C2843)&amp;"-Q"&amp;ROUNDUP(MONTH($C2843)/3,0))</f>
        <v/>
      </c>
      <c r="L2843">
        <f>IF($G2843&lt;&gt;"ALCOHOL","",IF($K2843="","",$H2843*IFERROR(VLOOKUP($K2843,Drink_Templates!$A:$G,7,FALSE),0)))</f>
        <v/>
      </c>
    </row>
    <row r="2844" ht="15" customHeight="1">
      <c r="C2844">
        <f>IF($B2844="","",INT($B2844))</f>
        <v/>
      </c>
      <c r="D2844">
        <f>IF($C2844="","",$C2844-WEEKDAY($C2844,2)+1)</f>
        <v/>
      </c>
      <c r="E2844">
        <f>IF($C2844="","",DATE(YEAR($C2844),MONTH($C2844),1))</f>
        <v/>
      </c>
      <c r="F2844">
        <f>IF($C2844="","",YEAR($C2844)&amp;"-Q"&amp;ROUNDUP(MONTH($C2844)/3,0))</f>
        <v/>
      </c>
      <c r="L2844">
        <f>IF($G2844&lt;&gt;"ALCOHOL","",IF($K2844="","",$H2844*IFERROR(VLOOKUP($K2844,Drink_Templates!$A:$G,7,FALSE),0)))</f>
        <v/>
      </c>
    </row>
    <row r="2845" ht="15" customHeight="1">
      <c r="C2845">
        <f>IF($B2845="","",INT($B2845))</f>
        <v/>
      </c>
      <c r="D2845">
        <f>IF($C2845="","",$C2845-WEEKDAY($C2845,2)+1)</f>
        <v/>
      </c>
      <c r="E2845">
        <f>IF($C2845="","",DATE(YEAR($C2845),MONTH($C2845),1))</f>
        <v/>
      </c>
      <c r="F2845">
        <f>IF($C2845="","",YEAR($C2845)&amp;"-Q"&amp;ROUNDUP(MONTH($C2845)/3,0))</f>
        <v/>
      </c>
      <c r="L2845">
        <f>IF($G2845&lt;&gt;"ALCOHOL","",IF($K2845="","",$H2845*IFERROR(VLOOKUP($K2845,Drink_Templates!$A:$G,7,FALSE),0)))</f>
        <v/>
      </c>
    </row>
    <row r="2846" ht="15" customHeight="1">
      <c r="C2846">
        <f>IF($B2846="","",INT($B2846))</f>
        <v/>
      </c>
      <c r="D2846">
        <f>IF($C2846="","",$C2846-WEEKDAY($C2846,2)+1)</f>
        <v/>
      </c>
      <c r="E2846">
        <f>IF($C2846="","",DATE(YEAR($C2846),MONTH($C2846),1))</f>
        <v/>
      </c>
      <c r="F2846">
        <f>IF($C2846="","",YEAR($C2846)&amp;"-Q"&amp;ROUNDUP(MONTH($C2846)/3,0))</f>
        <v/>
      </c>
      <c r="L2846">
        <f>IF($G2846&lt;&gt;"ALCOHOL","",IF($K2846="","",$H2846*IFERROR(VLOOKUP($K2846,Drink_Templates!$A:$G,7,FALSE),0)))</f>
        <v/>
      </c>
    </row>
    <row r="2847" ht="15" customHeight="1">
      <c r="C2847">
        <f>IF($B2847="","",INT($B2847))</f>
        <v/>
      </c>
      <c r="D2847">
        <f>IF($C2847="","",$C2847-WEEKDAY($C2847,2)+1)</f>
        <v/>
      </c>
      <c r="E2847">
        <f>IF($C2847="","",DATE(YEAR($C2847),MONTH($C2847),1))</f>
        <v/>
      </c>
      <c r="F2847">
        <f>IF($C2847="","",YEAR($C2847)&amp;"-Q"&amp;ROUNDUP(MONTH($C2847)/3,0))</f>
        <v/>
      </c>
      <c r="L2847">
        <f>IF($G2847&lt;&gt;"ALCOHOL","",IF($K2847="","",$H2847*IFERROR(VLOOKUP($K2847,Drink_Templates!$A:$G,7,FALSE),0)))</f>
        <v/>
      </c>
    </row>
    <row r="2848" ht="15" customHeight="1">
      <c r="C2848">
        <f>IF($B2848="","",INT($B2848))</f>
        <v/>
      </c>
      <c r="D2848">
        <f>IF($C2848="","",$C2848-WEEKDAY($C2848,2)+1)</f>
        <v/>
      </c>
      <c r="E2848">
        <f>IF($C2848="","",DATE(YEAR($C2848),MONTH($C2848),1))</f>
        <v/>
      </c>
      <c r="F2848">
        <f>IF($C2848="","",YEAR($C2848)&amp;"-Q"&amp;ROUNDUP(MONTH($C2848)/3,0))</f>
        <v/>
      </c>
      <c r="L2848">
        <f>IF($G2848&lt;&gt;"ALCOHOL","",IF($K2848="","",$H2848*IFERROR(VLOOKUP($K2848,Drink_Templates!$A:$G,7,FALSE),0)))</f>
        <v/>
      </c>
    </row>
    <row r="2849" ht="15" customHeight="1">
      <c r="C2849">
        <f>IF($B2849="","",INT($B2849))</f>
        <v/>
      </c>
      <c r="D2849">
        <f>IF($C2849="","",$C2849-WEEKDAY($C2849,2)+1)</f>
        <v/>
      </c>
      <c r="E2849">
        <f>IF($C2849="","",DATE(YEAR($C2849),MONTH($C2849),1))</f>
        <v/>
      </c>
      <c r="F2849">
        <f>IF($C2849="","",YEAR($C2849)&amp;"-Q"&amp;ROUNDUP(MONTH($C2849)/3,0))</f>
        <v/>
      </c>
      <c r="L2849">
        <f>IF($G2849&lt;&gt;"ALCOHOL","",IF($K2849="","",$H2849*IFERROR(VLOOKUP($K2849,Drink_Templates!$A:$G,7,FALSE),0)))</f>
        <v/>
      </c>
    </row>
    <row r="2850" ht="15" customHeight="1">
      <c r="C2850">
        <f>IF($B2850="","",INT($B2850))</f>
        <v/>
      </c>
      <c r="D2850">
        <f>IF($C2850="","",$C2850-WEEKDAY($C2850,2)+1)</f>
        <v/>
      </c>
      <c r="E2850">
        <f>IF($C2850="","",DATE(YEAR($C2850),MONTH($C2850),1))</f>
        <v/>
      </c>
      <c r="F2850">
        <f>IF($C2850="","",YEAR($C2850)&amp;"-Q"&amp;ROUNDUP(MONTH($C2850)/3,0))</f>
        <v/>
      </c>
      <c r="L2850">
        <f>IF($G2850&lt;&gt;"ALCOHOL","",IF($K2850="","",$H2850*IFERROR(VLOOKUP($K2850,Drink_Templates!$A:$G,7,FALSE),0)))</f>
        <v/>
      </c>
    </row>
    <row r="2851" ht="15" customHeight="1">
      <c r="C2851">
        <f>IF($B2851="","",INT($B2851))</f>
        <v/>
      </c>
      <c r="D2851">
        <f>IF($C2851="","",$C2851-WEEKDAY($C2851,2)+1)</f>
        <v/>
      </c>
      <c r="E2851">
        <f>IF($C2851="","",DATE(YEAR($C2851),MONTH($C2851),1))</f>
        <v/>
      </c>
      <c r="F2851">
        <f>IF($C2851="","",YEAR($C2851)&amp;"-Q"&amp;ROUNDUP(MONTH($C2851)/3,0))</f>
        <v/>
      </c>
      <c r="L2851">
        <f>IF($G2851&lt;&gt;"ALCOHOL","",IF($K2851="","",$H2851*IFERROR(VLOOKUP($K2851,Drink_Templates!$A:$G,7,FALSE),0)))</f>
        <v/>
      </c>
    </row>
    <row r="2852" ht="15" customHeight="1">
      <c r="C2852">
        <f>IF($B2852="","",INT($B2852))</f>
        <v/>
      </c>
      <c r="D2852">
        <f>IF($C2852="","",$C2852-WEEKDAY($C2852,2)+1)</f>
        <v/>
      </c>
      <c r="E2852">
        <f>IF($C2852="","",DATE(YEAR($C2852),MONTH($C2852),1))</f>
        <v/>
      </c>
      <c r="F2852">
        <f>IF($C2852="","",YEAR($C2852)&amp;"-Q"&amp;ROUNDUP(MONTH($C2852)/3,0))</f>
        <v/>
      </c>
      <c r="L2852">
        <f>IF($G2852&lt;&gt;"ALCOHOL","",IF($K2852="","",$H2852*IFERROR(VLOOKUP($K2852,Drink_Templates!$A:$G,7,FALSE),0)))</f>
        <v/>
      </c>
    </row>
    <row r="2853" ht="15" customHeight="1">
      <c r="C2853">
        <f>IF($B2853="","",INT($B2853))</f>
        <v/>
      </c>
      <c r="D2853">
        <f>IF($C2853="","",$C2853-WEEKDAY($C2853,2)+1)</f>
        <v/>
      </c>
      <c r="E2853">
        <f>IF($C2853="","",DATE(YEAR($C2853),MONTH($C2853),1))</f>
        <v/>
      </c>
      <c r="F2853">
        <f>IF($C2853="","",YEAR($C2853)&amp;"-Q"&amp;ROUNDUP(MONTH($C2853)/3,0))</f>
        <v/>
      </c>
      <c r="L2853">
        <f>IF($G2853&lt;&gt;"ALCOHOL","",IF($K2853="","",$H2853*IFERROR(VLOOKUP($K2853,Drink_Templates!$A:$G,7,FALSE),0)))</f>
        <v/>
      </c>
    </row>
    <row r="2854" ht="15" customHeight="1">
      <c r="C2854">
        <f>IF($B2854="","",INT($B2854))</f>
        <v/>
      </c>
      <c r="D2854">
        <f>IF($C2854="","",$C2854-WEEKDAY($C2854,2)+1)</f>
        <v/>
      </c>
      <c r="E2854">
        <f>IF($C2854="","",DATE(YEAR($C2854),MONTH($C2854),1))</f>
        <v/>
      </c>
      <c r="F2854">
        <f>IF($C2854="","",YEAR($C2854)&amp;"-Q"&amp;ROUNDUP(MONTH($C2854)/3,0))</f>
        <v/>
      </c>
      <c r="L2854">
        <f>IF($G2854&lt;&gt;"ALCOHOL","",IF($K2854="","",$H2854*IFERROR(VLOOKUP($K2854,Drink_Templates!$A:$G,7,FALSE),0)))</f>
        <v/>
      </c>
    </row>
    <row r="2855" ht="15" customHeight="1">
      <c r="C2855">
        <f>IF($B2855="","",INT($B2855))</f>
        <v/>
      </c>
      <c r="D2855">
        <f>IF($C2855="","",$C2855-WEEKDAY($C2855,2)+1)</f>
        <v/>
      </c>
      <c r="E2855">
        <f>IF($C2855="","",DATE(YEAR($C2855),MONTH($C2855),1))</f>
        <v/>
      </c>
      <c r="F2855">
        <f>IF($C2855="","",YEAR($C2855)&amp;"-Q"&amp;ROUNDUP(MONTH($C2855)/3,0))</f>
        <v/>
      </c>
      <c r="L2855">
        <f>IF($G2855&lt;&gt;"ALCOHOL","",IF($K2855="","",$H2855*IFERROR(VLOOKUP($K2855,Drink_Templates!$A:$G,7,FALSE),0)))</f>
        <v/>
      </c>
    </row>
    <row r="2856" ht="15" customHeight="1">
      <c r="C2856">
        <f>IF($B2856="","",INT($B2856))</f>
        <v/>
      </c>
      <c r="D2856">
        <f>IF($C2856="","",$C2856-WEEKDAY($C2856,2)+1)</f>
        <v/>
      </c>
      <c r="E2856">
        <f>IF($C2856="","",DATE(YEAR($C2856),MONTH($C2856),1))</f>
        <v/>
      </c>
      <c r="F2856">
        <f>IF($C2856="","",YEAR($C2856)&amp;"-Q"&amp;ROUNDUP(MONTH($C2856)/3,0))</f>
        <v/>
      </c>
      <c r="L2856">
        <f>IF($G2856&lt;&gt;"ALCOHOL","",IF($K2856="","",$H2856*IFERROR(VLOOKUP($K2856,Drink_Templates!$A:$G,7,FALSE),0)))</f>
        <v/>
      </c>
    </row>
    <row r="2857" ht="15" customHeight="1">
      <c r="C2857">
        <f>IF($B2857="","",INT($B2857))</f>
        <v/>
      </c>
      <c r="D2857">
        <f>IF($C2857="","",$C2857-WEEKDAY($C2857,2)+1)</f>
        <v/>
      </c>
      <c r="E2857">
        <f>IF($C2857="","",DATE(YEAR($C2857),MONTH($C2857),1))</f>
        <v/>
      </c>
      <c r="F2857">
        <f>IF($C2857="","",YEAR($C2857)&amp;"-Q"&amp;ROUNDUP(MONTH($C2857)/3,0))</f>
        <v/>
      </c>
      <c r="L2857">
        <f>IF($G2857&lt;&gt;"ALCOHOL","",IF($K2857="","",$H2857*IFERROR(VLOOKUP($K2857,Drink_Templates!$A:$G,7,FALSE),0)))</f>
        <v/>
      </c>
    </row>
    <row r="2858" ht="15" customHeight="1">
      <c r="C2858">
        <f>IF($B2858="","",INT($B2858))</f>
        <v/>
      </c>
      <c r="D2858">
        <f>IF($C2858="","",$C2858-WEEKDAY($C2858,2)+1)</f>
        <v/>
      </c>
      <c r="E2858">
        <f>IF($C2858="","",DATE(YEAR($C2858),MONTH($C2858),1))</f>
        <v/>
      </c>
      <c r="F2858">
        <f>IF($C2858="","",YEAR($C2858)&amp;"-Q"&amp;ROUNDUP(MONTH($C2858)/3,0))</f>
        <v/>
      </c>
      <c r="L2858">
        <f>IF($G2858&lt;&gt;"ALCOHOL","",IF($K2858="","",$H2858*IFERROR(VLOOKUP($K2858,Drink_Templates!$A:$G,7,FALSE),0)))</f>
        <v/>
      </c>
    </row>
    <row r="2859" ht="15" customHeight="1">
      <c r="C2859">
        <f>IF($B2859="","",INT($B2859))</f>
        <v/>
      </c>
      <c r="D2859">
        <f>IF($C2859="","",$C2859-WEEKDAY($C2859,2)+1)</f>
        <v/>
      </c>
      <c r="E2859">
        <f>IF($C2859="","",DATE(YEAR($C2859),MONTH($C2859),1))</f>
        <v/>
      </c>
      <c r="F2859">
        <f>IF($C2859="","",YEAR($C2859)&amp;"-Q"&amp;ROUNDUP(MONTH($C2859)/3,0))</f>
        <v/>
      </c>
      <c r="L2859">
        <f>IF($G2859&lt;&gt;"ALCOHOL","",IF($K2859="","",$H2859*IFERROR(VLOOKUP($K2859,Drink_Templates!$A:$G,7,FALSE),0)))</f>
        <v/>
      </c>
    </row>
    <row r="2860" ht="15" customHeight="1">
      <c r="C2860">
        <f>IF($B2860="","",INT($B2860))</f>
        <v/>
      </c>
      <c r="D2860">
        <f>IF($C2860="","",$C2860-WEEKDAY($C2860,2)+1)</f>
        <v/>
      </c>
      <c r="E2860">
        <f>IF($C2860="","",DATE(YEAR($C2860),MONTH($C2860),1))</f>
        <v/>
      </c>
      <c r="F2860">
        <f>IF($C2860="","",YEAR($C2860)&amp;"-Q"&amp;ROUNDUP(MONTH($C2860)/3,0))</f>
        <v/>
      </c>
      <c r="L2860">
        <f>IF($G2860&lt;&gt;"ALCOHOL","",IF($K2860="","",$H2860*IFERROR(VLOOKUP($K2860,Drink_Templates!$A:$G,7,FALSE),0)))</f>
        <v/>
      </c>
    </row>
    <row r="2861" ht="15" customHeight="1">
      <c r="C2861">
        <f>IF($B2861="","",INT($B2861))</f>
        <v/>
      </c>
      <c r="D2861">
        <f>IF($C2861="","",$C2861-WEEKDAY($C2861,2)+1)</f>
        <v/>
      </c>
      <c r="E2861">
        <f>IF($C2861="","",DATE(YEAR($C2861),MONTH($C2861),1))</f>
        <v/>
      </c>
      <c r="F2861">
        <f>IF($C2861="","",YEAR($C2861)&amp;"-Q"&amp;ROUNDUP(MONTH($C2861)/3,0))</f>
        <v/>
      </c>
      <c r="L2861">
        <f>IF($G2861&lt;&gt;"ALCOHOL","",IF($K2861="","",$H2861*IFERROR(VLOOKUP($K2861,Drink_Templates!$A:$G,7,FALSE),0)))</f>
        <v/>
      </c>
    </row>
    <row r="2862" ht="15" customHeight="1">
      <c r="C2862">
        <f>IF($B2862="","",INT($B2862))</f>
        <v/>
      </c>
      <c r="D2862">
        <f>IF($C2862="","",$C2862-WEEKDAY($C2862,2)+1)</f>
        <v/>
      </c>
      <c r="E2862">
        <f>IF($C2862="","",DATE(YEAR($C2862),MONTH($C2862),1))</f>
        <v/>
      </c>
      <c r="F2862">
        <f>IF($C2862="","",YEAR($C2862)&amp;"-Q"&amp;ROUNDUP(MONTH($C2862)/3,0))</f>
        <v/>
      </c>
      <c r="L2862">
        <f>IF($G2862&lt;&gt;"ALCOHOL","",IF($K2862="","",$H2862*IFERROR(VLOOKUP($K2862,Drink_Templates!$A:$G,7,FALSE),0)))</f>
        <v/>
      </c>
    </row>
    <row r="2863" ht="15" customHeight="1">
      <c r="C2863">
        <f>IF($B2863="","",INT($B2863))</f>
        <v/>
      </c>
      <c r="D2863">
        <f>IF($C2863="","",$C2863-WEEKDAY($C2863,2)+1)</f>
        <v/>
      </c>
      <c r="E2863">
        <f>IF($C2863="","",DATE(YEAR($C2863),MONTH($C2863),1))</f>
        <v/>
      </c>
      <c r="F2863">
        <f>IF($C2863="","",YEAR($C2863)&amp;"-Q"&amp;ROUNDUP(MONTH($C2863)/3,0))</f>
        <v/>
      </c>
      <c r="L2863">
        <f>IF($G2863&lt;&gt;"ALCOHOL","",IF($K2863="","",$H2863*IFERROR(VLOOKUP($K2863,Drink_Templates!$A:$G,7,FALSE),0)))</f>
        <v/>
      </c>
    </row>
    <row r="2864" ht="15" customHeight="1">
      <c r="C2864">
        <f>IF($B2864="","",INT($B2864))</f>
        <v/>
      </c>
      <c r="D2864">
        <f>IF($C2864="","",$C2864-WEEKDAY($C2864,2)+1)</f>
        <v/>
      </c>
      <c r="E2864">
        <f>IF($C2864="","",DATE(YEAR($C2864),MONTH($C2864),1))</f>
        <v/>
      </c>
      <c r="F2864">
        <f>IF($C2864="","",YEAR($C2864)&amp;"-Q"&amp;ROUNDUP(MONTH($C2864)/3,0))</f>
        <v/>
      </c>
      <c r="L2864">
        <f>IF($G2864&lt;&gt;"ALCOHOL","",IF($K2864="","",$H2864*IFERROR(VLOOKUP($K2864,Drink_Templates!$A:$G,7,FALSE),0)))</f>
        <v/>
      </c>
    </row>
    <row r="2865" ht="15" customHeight="1">
      <c r="C2865">
        <f>IF($B2865="","",INT($B2865))</f>
        <v/>
      </c>
      <c r="D2865">
        <f>IF($C2865="","",$C2865-WEEKDAY($C2865,2)+1)</f>
        <v/>
      </c>
      <c r="E2865">
        <f>IF($C2865="","",DATE(YEAR($C2865),MONTH($C2865),1))</f>
        <v/>
      </c>
      <c r="F2865">
        <f>IF($C2865="","",YEAR($C2865)&amp;"-Q"&amp;ROUNDUP(MONTH($C2865)/3,0))</f>
        <v/>
      </c>
      <c r="L2865">
        <f>IF($G2865&lt;&gt;"ALCOHOL","",IF($K2865="","",$H2865*IFERROR(VLOOKUP($K2865,Drink_Templates!$A:$G,7,FALSE),0)))</f>
        <v/>
      </c>
    </row>
    <row r="2866" ht="15" customHeight="1">
      <c r="C2866">
        <f>IF($B2866="","",INT($B2866))</f>
        <v/>
      </c>
      <c r="D2866">
        <f>IF($C2866="","",$C2866-WEEKDAY($C2866,2)+1)</f>
        <v/>
      </c>
      <c r="E2866">
        <f>IF($C2866="","",DATE(YEAR($C2866),MONTH($C2866),1))</f>
        <v/>
      </c>
      <c r="F2866">
        <f>IF($C2866="","",YEAR($C2866)&amp;"-Q"&amp;ROUNDUP(MONTH($C2866)/3,0))</f>
        <v/>
      </c>
      <c r="L2866">
        <f>IF($G2866&lt;&gt;"ALCOHOL","",IF($K2866="","",$H2866*IFERROR(VLOOKUP($K2866,Drink_Templates!$A:$G,7,FALSE),0)))</f>
        <v/>
      </c>
    </row>
    <row r="2867" ht="15" customHeight="1">
      <c r="C2867">
        <f>IF($B2867="","",INT($B2867))</f>
        <v/>
      </c>
      <c r="D2867">
        <f>IF($C2867="","",$C2867-WEEKDAY($C2867,2)+1)</f>
        <v/>
      </c>
      <c r="E2867">
        <f>IF($C2867="","",DATE(YEAR($C2867),MONTH($C2867),1))</f>
        <v/>
      </c>
      <c r="F2867">
        <f>IF($C2867="","",YEAR($C2867)&amp;"-Q"&amp;ROUNDUP(MONTH($C2867)/3,0))</f>
        <v/>
      </c>
      <c r="L2867">
        <f>IF($G2867&lt;&gt;"ALCOHOL","",IF($K2867="","",$H2867*IFERROR(VLOOKUP($K2867,Drink_Templates!$A:$G,7,FALSE),0)))</f>
        <v/>
      </c>
    </row>
    <row r="2868" ht="15" customHeight="1">
      <c r="C2868">
        <f>IF($B2868="","",INT($B2868))</f>
        <v/>
      </c>
      <c r="D2868">
        <f>IF($C2868="","",$C2868-WEEKDAY($C2868,2)+1)</f>
        <v/>
      </c>
      <c r="E2868">
        <f>IF($C2868="","",DATE(YEAR($C2868),MONTH($C2868),1))</f>
        <v/>
      </c>
      <c r="F2868">
        <f>IF($C2868="","",YEAR($C2868)&amp;"-Q"&amp;ROUNDUP(MONTH($C2868)/3,0))</f>
        <v/>
      </c>
      <c r="L2868">
        <f>IF($G2868&lt;&gt;"ALCOHOL","",IF($K2868="","",$H2868*IFERROR(VLOOKUP($K2868,Drink_Templates!$A:$G,7,FALSE),0)))</f>
        <v/>
      </c>
    </row>
    <row r="2869" ht="15" customHeight="1">
      <c r="C2869">
        <f>IF($B2869="","",INT($B2869))</f>
        <v/>
      </c>
      <c r="D2869">
        <f>IF($C2869="","",$C2869-WEEKDAY($C2869,2)+1)</f>
        <v/>
      </c>
      <c r="E2869">
        <f>IF($C2869="","",DATE(YEAR($C2869),MONTH($C2869),1))</f>
        <v/>
      </c>
      <c r="F2869">
        <f>IF($C2869="","",YEAR($C2869)&amp;"-Q"&amp;ROUNDUP(MONTH($C2869)/3,0))</f>
        <v/>
      </c>
      <c r="L2869">
        <f>IF($G2869&lt;&gt;"ALCOHOL","",IF($K2869="","",$H2869*IFERROR(VLOOKUP($K2869,Drink_Templates!$A:$G,7,FALSE),0)))</f>
        <v/>
      </c>
    </row>
    <row r="2870" ht="15" customHeight="1">
      <c r="C2870">
        <f>IF($B2870="","",INT($B2870))</f>
        <v/>
      </c>
      <c r="D2870">
        <f>IF($C2870="","",$C2870-WEEKDAY($C2870,2)+1)</f>
        <v/>
      </c>
      <c r="E2870">
        <f>IF($C2870="","",DATE(YEAR($C2870),MONTH($C2870),1))</f>
        <v/>
      </c>
      <c r="F2870">
        <f>IF($C2870="","",YEAR($C2870)&amp;"-Q"&amp;ROUNDUP(MONTH($C2870)/3,0))</f>
        <v/>
      </c>
      <c r="L2870">
        <f>IF($G2870&lt;&gt;"ALCOHOL","",IF($K2870="","",$H2870*IFERROR(VLOOKUP($K2870,Drink_Templates!$A:$G,7,FALSE),0)))</f>
        <v/>
      </c>
    </row>
    <row r="2871" ht="15" customHeight="1">
      <c r="C2871">
        <f>IF($B2871="","",INT($B2871))</f>
        <v/>
      </c>
      <c r="D2871">
        <f>IF($C2871="","",$C2871-WEEKDAY($C2871,2)+1)</f>
        <v/>
      </c>
      <c r="E2871">
        <f>IF($C2871="","",DATE(YEAR($C2871),MONTH($C2871),1))</f>
        <v/>
      </c>
      <c r="F2871">
        <f>IF($C2871="","",YEAR($C2871)&amp;"-Q"&amp;ROUNDUP(MONTH($C2871)/3,0))</f>
        <v/>
      </c>
      <c r="L2871">
        <f>IF($G2871&lt;&gt;"ALCOHOL","",IF($K2871="","",$H2871*IFERROR(VLOOKUP($K2871,Drink_Templates!$A:$G,7,FALSE),0)))</f>
        <v/>
      </c>
    </row>
    <row r="2872" ht="15" customHeight="1">
      <c r="C2872">
        <f>IF($B2872="","",INT($B2872))</f>
        <v/>
      </c>
      <c r="D2872">
        <f>IF($C2872="","",$C2872-WEEKDAY($C2872,2)+1)</f>
        <v/>
      </c>
      <c r="E2872">
        <f>IF($C2872="","",DATE(YEAR($C2872),MONTH($C2872),1))</f>
        <v/>
      </c>
      <c r="F2872">
        <f>IF($C2872="","",YEAR($C2872)&amp;"-Q"&amp;ROUNDUP(MONTH($C2872)/3,0))</f>
        <v/>
      </c>
      <c r="L2872">
        <f>IF($G2872&lt;&gt;"ALCOHOL","",IF($K2872="","",$H2872*IFERROR(VLOOKUP($K2872,Drink_Templates!$A:$G,7,FALSE),0)))</f>
        <v/>
      </c>
    </row>
    <row r="2873" ht="15" customHeight="1">
      <c r="C2873">
        <f>IF($B2873="","",INT($B2873))</f>
        <v/>
      </c>
      <c r="D2873">
        <f>IF($C2873="","",$C2873-WEEKDAY($C2873,2)+1)</f>
        <v/>
      </c>
      <c r="E2873">
        <f>IF($C2873="","",DATE(YEAR($C2873),MONTH($C2873),1))</f>
        <v/>
      </c>
      <c r="F2873">
        <f>IF($C2873="","",YEAR($C2873)&amp;"-Q"&amp;ROUNDUP(MONTH($C2873)/3,0))</f>
        <v/>
      </c>
      <c r="L2873">
        <f>IF($G2873&lt;&gt;"ALCOHOL","",IF($K2873="","",$H2873*IFERROR(VLOOKUP($K2873,Drink_Templates!$A:$G,7,FALSE),0)))</f>
        <v/>
      </c>
    </row>
    <row r="2874" ht="15" customHeight="1">
      <c r="C2874">
        <f>IF($B2874="","",INT($B2874))</f>
        <v/>
      </c>
      <c r="D2874">
        <f>IF($C2874="","",$C2874-WEEKDAY($C2874,2)+1)</f>
        <v/>
      </c>
      <c r="E2874">
        <f>IF($C2874="","",DATE(YEAR($C2874),MONTH($C2874),1))</f>
        <v/>
      </c>
      <c r="F2874">
        <f>IF($C2874="","",YEAR($C2874)&amp;"-Q"&amp;ROUNDUP(MONTH($C2874)/3,0))</f>
        <v/>
      </c>
      <c r="L2874">
        <f>IF($G2874&lt;&gt;"ALCOHOL","",IF($K2874="","",$H2874*IFERROR(VLOOKUP($K2874,Drink_Templates!$A:$G,7,FALSE),0)))</f>
        <v/>
      </c>
    </row>
    <row r="2875" ht="15" customHeight="1">
      <c r="C2875">
        <f>IF($B2875="","",INT($B2875))</f>
        <v/>
      </c>
      <c r="D2875">
        <f>IF($C2875="","",$C2875-WEEKDAY($C2875,2)+1)</f>
        <v/>
      </c>
      <c r="E2875">
        <f>IF($C2875="","",DATE(YEAR($C2875),MONTH($C2875),1))</f>
        <v/>
      </c>
      <c r="F2875">
        <f>IF($C2875="","",YEAR($C2875)&amp;"-Q"&amp;ROUNDUP(MONTH($C2875)/3,0))</f>
        <v/>
      </c>
      <c r="L2875">
        <f>IF($G2875&lt;&gt;"ALCOHOL","",IF($K2875="","",$H2875*IFERROR(VLOOKUP($K2875,Drink_Templates!$A:$G,7,FALSE),0)))</f>
        <v/>
      </c>
    </row>
    <row r="2876" ht="15" customHeight="1">
      <c r="C2876">
        <f>IF($B2876="","",INT($B2876))</f>
        <v/>
      </c>
      <c r="D2876">
        <f>IF($C2876="","",$C2876-WEEKDAY($C2876,2)+1)</f>
        <v/>
      </c>
      <c r="E2876">
        <f>IF($C2876="","",DATE(YEAR($C2876),MONTH($C2876),1))</f>
        <v/>
      </c>
      <c r="F2876">
        <f>IF($C2876="","",YEAR($C2876)&amp;"-Q"&amp;ROUNDUP(MONTH($C2876)/3,0))</f>
        <v/>
      </c>
      <c r="L2876">
        <f>IF($G2876&lt;&gt;"ALCOHOL","",IF($K2876="","",$H2876*IFERROR(VLOOKUP($K2876,Drink_Templates!$A:$G,7,FALSE),0)))</f>
        <v/>
      </c>
    </row>
    <row r="2877" ht="15" customHeight="1">
      <c r="C2877">
        <f>IF($B2877="","",INT($B2877))</f>
        <v/>
      </c>
      <c r="D2877">
        <f>IF($C2877="","",$C2877-WEEKDAY($C2877,2)+1)</f>
        <v/>
      </c>
      <c r="E2877">
        <f>IF($C2877="","",DATE(YEAR($C2877),MONTH($C2877),1))</f>
        <v/>
      </c>
      <c r="F2877">
        <f>IF($C2877="","",YEAR($C2877)&amp;"-Q"&amp;ROUNDUP(MONTH($C2877)/3,0))</f>
        <v/>
      </c>
      <c r="L2877">
        <f>IF($G2877&lt;&gt;"ALCOHOL","",IF($K2877="","",$H2877*IFERROR(VLOOKUP($K2877,Drink_Templates!$A:$G,7,FALSE),0)))</f>
        <v/>
      </c>
    </row>
    <row r="2878" ht="15" customHeight="1">
      <c r="C2878">
        <f>IF($B2878="","",INT($B2878))</f>
        <v/>
      </c>
      <c r="D2878">
        <f>IF($C2878="","",$C2878-WEEKDAY($C2878,2)+1)</f>
        <v/>
      </c>
      <c r="E2878">
        <f>IF($C2878="","",DATE(YEAR($C2878),MONTH($C2878),1))</f>
        <v/>
      </c>
      <c r="F2878">
        <f>IF($C2878="","",YEAR($C2878)&amp;"-Q"&amp;ROUNDUP(MONTH($C2878)/3,0))</f>
        <v/>
      </c>
      <c r="L2878">
        <f>IF($G2878&lt;&gt;"ALCOHOL","",IF($K2878="","",$H2878*IFERROR(VLOOKUP($K2878,Drink_Templates!$A:$G,7,FALSE),0)))</f>
        <v/>
      </c>
    </row>
    <row r="2879" ht="15" customHeight="1">
      <c r="C2879">
        <f>IF($B2879="","",INT($B2879))</f>
        <v/>
      </c>
      <c r="D2879">
        <f>IF($C2879="","",$C2879-WEEKDAY($C2879,2)+1)</f>
        <v/>
      </c>
      <c r="E2879">
        <f>IF($C2879="","",DATE(YEAR($C2879),MONTH($C2879),1))</f>
        <v/>
      </c>
      <c r="F2879">
        <f>IF($C2879="","",YEAR($C2879)&amp;"-Q"&amp;ROUNDUP(MONTH($C2879)/3,0))</f>
        <v/>
      </c>
      <c r="L2879">
        <f>IF($G2879&lt;&gt;"ALCOHOL","",IF($K2879="","",$H2879*IFERROR(VLOOKUP($K2879,Drink_Templates!$A:$G,7,FALSE),0)))</f>
        <v/>
      </c>
    </row>
    <row r="2880" ht="15" customHeight="1">
      <c r="C2880">
        <f>IF($B2880="","",INT($B2880))</f>
        <v/>
      </c>
      <c r="D2880">
        <f>IF($C2880="","",$C2880-WEEKDAY($C2880,2)+1)</f>
        <v/>
      </c>
      <c r="E2880">
        <f>IF($C2880="","",DATE(YEAR($C2880),MONTH($C2880),1))</f>
        <v/>
      </c>
      <c r="F2880">
        <f>IF($C2880="","",YEAR($C2880)&amp;"-Q"&amp;ROUNDUP(MONTH($C2880)/3,0))</f>
        <v/>
      </c>
      <c r="L2880">
        <f>IF($G2880&lt;&gt;"ALCOHOL","",IF($K2880="","",$H2880*IFERROR(VLOOKUP($K2880,Drink_Templates!$A:$G,7,FALSE),0)))</f>
        <v/>
      </c>
    </row>
    <row r="2881" ht="15" customHeight="1">
      <c r="C2881">
        <f>IF($B2881="","",INT($B2881))</f>
        <v/>
      </c>
      <c r="D2881">
        <f>IF($C2881="","",$C2881-WEEKDAY($C2881,2)+1)</f>
        <v/>
      </c>
      <c r="E2881">
        <f>IF($C2881="","",DATE(YEAR($C2881),MONTH($C2881),1))</f>
        <v/>
      </c>
      <c r="F2881">
        <f>IF($C2881="","",YEAR($C2881)&amp;"-Q"&amp;ROUNDUP(MONTH($C2881)/3,0))</f>
        <v/>
      </c>
      <c r="L2881">
        <f>IF($G2881&lt;&gt;"ALCOHOL","",IF($K2881="","",$H2881*IFERROR(VLOOKUP($K2881,Drink_Templates!$A:$G,7,FALSE),0)))</f>
        <v/>
      </c>
    </row>
    <row r="2882" ht="15" customHeight="1">
      <c r="C2882">
        <f>IF($B2882="","",INT($B2882))</f>
        <v/>
      </c>
      <c r="D2882">
        <f>IF($C2882="","",$C2882-WEEKDAY($C2882,2)+1)</f>
        <v/>
      </c>
      <c r="E2882">
        <f>IF($C2882="","",DATE(YEAR($C2882),MONTH($C2882),1))</f>
        <v/>
      </c>
      <c r="F2882">
        <f>IF($C2882="","",YEAR($C2882)&amp;"-Q"&amp;ROUNDUP(MONTH($C2882)/3,0))</f>
        <v/>
      </c>
      <c r="L2882">
        <f>IF($G2882&lt;&gt;"ALCOHOL","",IF($K2882="","",$H2882*IFERROR(VLOOKUP($K2882,Drink_Templates!$A:$G,7,FALSE),0)))</f>
        <v/>
      </c>
    </row>
    <row r="2883" ht="15" customHeight="1">
      <c r="C2883">
        <f>IF($B2883="","",INT($B2883))</f>
        <v/>
      </c>
      <c r="D2883">
        <f>IF($C2883="","",$C2883-WEEKDAY($C2883,2)+1)</f>
        <v/>
      </c>
      <c r="E2883">
        <f>IF($C2883="","",DATE(YEAR($C2883),MONTH($C2883),1))</f>
        <v/>
      </c>
      <c r="F2883">
        <f>IF($C2883="","",YEAR($C2883)&amp;"-Q"&amp;ROUNDUP(MONTH($C2883)/3,0))</f>
        <v/>
      </c>
      <c r="L2883">
        <f>IF($G2883&lt;&gt;"ALCOHOL","",IF($K2883="","",$H2883*IFERROR(VLOOKUP($K2883,Drink_Templates!$A:$G,7,FALSE),0)))</f>
        <v/>
      </c>
    </row>
    <row r="2884" ht="15" customHeight="1">
      <c r="C2884">
        <f>IF($B2884="","",INT($B2884))</f>
        <v/>
      </c>
      <c r="D2884">
        <f>IF($C2884="","",$C2884-WEEKDAY($C2884,2)+1)</f>
        <v/>
      </c>
      <c r="E2884">
        <f>IF($C2884="","",DATE(YEAR($C2884),MONTH($C2884),1))</f>
        <v/>
      </c>
      <c r="F2884">
        <f>IF($C2884="","",YEAR($C2884)&amp;"-Q"&amp;ROUNDUP(MONTH($C2884)/3,0))</f>
        <v/>
      </c>
      <c r="L2884">
        <f>IF($G2884&lt;&gt;"ALCOHOL","",IF($K2884="","",$H2884*IFERROR(VLOOKUP($K2884,Drink_Templates!$A:$G,7,FALSE),0)))</f>
        <v/>
      </c>
    </row>
    <row r="2885" ht="15" customHeight="1">
      <c r="C2885">
        <f>IF($B2885="","",INT($B2885))</f>
        <v/>
      </c>
      <c r="D2885">
        <f>IF($C2885="","",$C2885-WEEKDAY($C2885,2)+1)</f>
        <v/>
      </c>
      <c r="E2885">
        <f>IF($C2885="","",DATE(YEAR($C2885),MONTH($C2885),1))</f>
        <v/>
      </c>
      <c r="F2885">
        <f>IF($C2885="","",YEAR($C2885)&amp;"-Q"&amp;ROUNDUP(MONTH($C2885)/3,0))</f>
        <v/>
      </c>
      <c r="L2885">
        <f>IF($G2885&lt;&gt;"ALCOHOL","",IF($K2885="","",$H2885*IFERROR(VLOOKUP($K2885,Drink_Templates!$A:$G,7,FALSE),0)))</f>
        <v/>
      </c>
    </row>
    <row r="2886" ht="15" customHeight="1">
      <c r="C2886">
        <f>IF($B2886="","",INT($B2886))</f>
        <v/>
      </c>
      <c r="D2886">
        <f>IF($C2886="","",$C2886-WEEKDAY($C2886,2)+1)</f>
        <v/>
      </c>
      <c r="E2886">
        <f>IF($C2886="","",DATE(YEAR($C2886),MONTH($C2886),1))</f>
        <v/>
      </c>
      <c r="F2886">
        <f>IF($C2886="","",YEAR($C2886)&amp;"-Q"&amp;ROUNDUP(MONTH($C2886)/3,0))</f>
        <v/>
      </c>
      <c r="L2886">
        <f>IF($G2886&lt;&gt;"ALCOHOL","",IF($K2886="","",$H2886*IFERROR(VLOOKUP($K2886,Drink_Templates!$A:$G,7,FALSE),0)))</f>
        <v/>
      </c>
    </row>
    <row r="2887" ht="15" customHeight="1">
      <c r="C2887">
        <f>IF($B2887="","",INT($B2887))</f>
        <v/>
      </c>
      <c r="D2887">
        <f>IF($C2887="","",$C2887-WEEKDAY($C2887,2)+1)</f>
        <v/>
      </c>
      <c r="E2887">
        <f>IF($C2887="","",DATE(YEAR($C2887),MONTH($C2887),1))</f>
        <v/>
      </c>
      <c r="F2887">
        <f>IF($C2887="","",YEAR($C2887)&amp;"-Q"&amp;ROUNDUP(MONTH($C2887)/3,0))</f>
        <v/>
      </c>
      <c r="L2887">
        <f>IF($G2887&lt;&gt;"ALCOHOL","",IF($K2887="","",$H2887*IFERROR(VLOOKUP($K2887,Drink_Templates!$A:$G,7,FALSE),0)))</f>
        <v/>
      </c>
    </row>
    <row r="2888" ht="15" customHeight="1">
      <c r="C2888">
        <f>IF($B2888="","",INT($B2888))</f>
        <v/>
      </c>
      <c r="D2888">
        <f>IF($C2888="","",$C2888-WEEKDAY($C2888,2)+1)</f>
        <v/>
      </c>
      <c r="E2888">
        <f>IF($C2888="","",DATE(YEAR($C2888),MONTH($C2888),1))</f>
        <v/>
      </c>
      <c r="F2888">
        <f>IF($C2888="","",YEAR($C2888)&amp;"-Q"&amp;ROUNDUP(MONTH($C2888)/3,0))</f>
        <v/>
      </c>
      <c r="L2888">
        <f>IF($G2888&lt;&gt;"ALCOHOL","",IF($K2888="","",$H2888*IFERROR(VLOOKUP($K2888,Drink_Templates!$A:$G,7,FALSE),0)))</f>
        <v/>
      </c>
    </row>
    <row r="2889" ht="15" customHeight="1">
      <c r="C2889">
        <f>IF($B2889="","",INT($B2889))</f>
        <v/>
      </c>
      <c r="D2889">
        <f>IF($C2889="","",$C2889-WEEKDAY($C2889,2)+1)</f>
        <v/>
      </c>
      <c r="E2889">
        <f>IF($C2889="","",DATE(YEAR($C2889),MONTH($C2889),1))</f>
        <v/>
      </c>
      <c r="F2889">
        <f>IF($C2889="","",YEAR($C2889)&amp;"-Q"&amp;ROUNDUP(MONTH($C2889)/3,0))</f>
        <v/>
      </c>
      <c r="L2889">
        <f>IF($G2889&lt;&gt;"ALCOHOL","",IF($K2889="","",$H2889*IFERROR(VLOOKUP($K2889,Drink_Templates!$A:$G,7,FALSE),0)))</f>
        <v/>
      </c>
    </row>
    <row r="2890" ht="15" customHeight="1">
      <c r="C2890">
        <f>IF($B2890="","",INT($B2890))</f>
        <v/>
      </c>
      <c r="D2890">
        <f>IF($C2890="","",$C2890-WEEKDAY($C2890,2)+1)</f>
        <v/>
      </c>
      <c r="E2890">
        <f>IF($C2890="","",DATE(YEAR($C2890),MONTH($C2890),1))</f>
        <v/>
      </c>
      <c r="F2890">
        <f>IF($C2890="","",YEAR($C2890)&amp;"-Q"&amp;ROUNDUP(MONTH($C2890)/3,0))</f>
        <v/>
      </c>
      <c r="L2890">
        <f>IF($G2890&lt;&gt;"ALCOHOL","",IF($K2890="","",$H2890*IFERROR(VLOOKUP($K2890,Drink_Templates!$A:$G,7,FALSE),0)))</f>
        <v/>
      </c>
    </row>
    <row r="2891" ht="15" customHeight="1">
      <c r="C2891">
        <f>IF($B2891="","",INT($B2891))</f>
        <v/>
      </c>
      <c r="D2891">
        <f>IF($C2891="","",$C2891-WEEKDAY($C2891,2)+1)</f>
        <v/>
      </c>
      <c r="E2891">
        <f>IF($C2891="","",DATE(YEAR($C2891),MONTH($C2891),1))</f>
        <v/>
      </c>
      <c r="F2891">
        <f>IF($C2891="","",YEAR($C2891)&amp;"-Q"&amp;ROUNDUP(MONTH($C2891)/3,0))</f>
        <v/>
      </c>
      <c r="L2891">
        <f>IF($G2891&lt;&gt;"ALCOHOL","",IF($K2891="","",$H2891*IFERROR(VLOOKUP($K2891,Drink_Templates!$A:$G,7,FALSE),0)))</f>
        <v/>
      </c>
    </row>
    <row r="2892" ht="15" customHeight="1">
      <c r="C2892">
        <f>IF($B2892="","",INT($B2892))</f>
        <v/>
      </c>
      <c r="D2892">
        <f>IF($C2892="","",$C2892-WEEKDAY($C2892,2)+1)</f>
        <v/>
      </c>
      <c r="E2892">
        <f>IF($C2892="","",DATE(YEAR($C2892),MONTH($C2892),1))</f>
        <v/>
      </c>
      <c r="F2892">
        <f>IF($C2892="","",YEAR($C2892)&amp;"-Q"&amp;ROUNDUP(MONTH($C2892)/3,0))</f>
        <v/>
      </c>
      <c r="L2892">
        <f>IF($G2892&lt;&gt;"ALCOHOL","",IF($K2892="","",$H2892*IFERROR(VLOOKUP($K2892,Drink_Templates!$A:$G,7,FALSE),0)))</f>
        <v/>
      </c>
    </row>
    <row r="2893" ht="15" customHeight="1">
      <c r="C2893">
        <f>IF($B2893="","",INT($B2893))</f>
        <v/>
      </c>
      <c r="D2893">
        <f>IF($C2893="","",$C2893-WEEKDAY($C2893,2)+1)</f>
        <v/>
      </c>
      <c r="E2893">
        <f>IF($C2893="","",DATE(YEAR($C2893),MONTH($C2893),1))</f>
        <v/>
      </c>
      <c r="F2893">
        <f>IF($C2893="","",YEAR($C2893)&amp;"-Q"&amp;ROUNDUP(MONTH($C2893)/3,0))</f>
        <v/>
      </c>
      <c r="L2893">
        <f>IF($G2893&lt;&gt;"ALCOHOL","",IF($K2893="","",$H2893*IFERROR(VLOOKUP($K2893,Drink_Templates!$A:$G,7,FALSE),0)))</f>
        <v/>
      </c>
    </row>
    <row r="2894" ht="15" customHeight="1">
      <c r="C2894">
        <f>IF($B2894="","",INT($B2894))</f>
        <v/>
      </c>
      <c r="D2894">
        <f>IF($C2894="","",$C2894-WEEKDAY($C2894,2)+1)</f>
        <v/>
      </c>
      <c r="E2894">
        <f>IF($C2894="","",DATE(YEAR($C2894),MONTH($C2894),1))</f>
        <v/>
      </c>
      <c r="F2894">
        <f>IF($C2894="","",YEAR($C2894)&amp;"-Q"&amp;ROUNDUP(MONTH($C2894)/3,0))</f>
        <v/>
      </c>
      <c r="L2894">
        <f>IF($G2894&lt;&gt;"ALCOHOL","",IF($K2894="","",$H2894*IFERROR(VLOOKUP($K2894,Drink_Templates!$A:$G,7,FALSE),0)))</f>
        <v/>
      </c>
    </row>
    <row r="2895" ht="15" customHeight="1">
      <c r="C2895">
        <f>IF($B2895="","",INT($B2895))</f>
        <v/>
      </c>
      <c r="D2895">
        <f>IF($C2895="","",$C2895-WEEKDAY($C2895,2)+1)</f>
        <v/>
      </c>
      <c r="E2895">
        <f>IF($C2895="","",DATE(YEAR($C2895),MONTH($C2895),1))</f>
        <v/>
      </c>
      <c r="F2895">
        <f>IF($C2895="","",YEAR($C2895)&amp;"-Q"&amp;ROUNDUP(MONTH($C2895)/3,0))</f>
        <v/>
      </c>
      <c r="L2895">
        <f>IF($G2895&lt;&gt;"ALCOHOL","",IF($K2895="","",$H2895*IFERROR(VLOOKUP($K2895,Drink_Templates!$A:$G,7,FALSE),0)))</f>
        <v/>
      </c>
    </row>
    <row r="2896" ht="15" customHeight="1">
      <c r="C2896">
        <f>IF($B2896="","",INT($B2896))</f>
        <v/>
      </c>
      <c r="D2896">
        <f>IF($C2896="","",$C2896-WEEKDAY($C2896,2)+1)</f>
        <v/>
      </c>
      <c r="E2896">
        <f>IF($C2896="","",DATE(YEAR($C2896),MONTH($C2896),1))</f>
        <v/>
      </c>
      <c r="F2896">
        <f>IF($C2896="","",YEAR($C2896)&amp;"-Q"&amp;ROUNDUP(MONTH($C2896)/3,0))</f>
        <v/>
      </c>
      <c r="L2896">
        <f>IF($G2896&lt;&gt;"ALCOHOL","",IF($K2896="","",$H2896*IFERROR(VLOOKUP($K2896,Drink_Templates!$A:$G,7,FALSE),0)))</f>
        <v/>
      </c>
    </row>
    <row r="2897" ht="15" customHeight="1">
      <c r="C2897">
        <f>IF($B2897="","",INT($B2897))</f>
        <v/>
      </c>
      <c r="D2897">
        <f>IF($C2897="","",$C2897-WEEKDAY($C2897,2)+1)</f>
        <v/>
      </c>
      <c r="E2897">
        <f>IF($C2897="","",DATE(YEAR($C2897),MONTH($C2897),1))</f>
        <v/>
      </c>
      <c r="F2897">
        <f>IF($C2897="","",YEAR($C2897)&amp;"-Q"&amp;ROUNDUP(MONTH($C2897)/3,0))</f>
        <v/>
      </c>
      <c r="L2897">
        <f>IF($G2897&lt;&gt;"ALCOHOL","",IF($K2897="","",$H2897*IFERROR(VLOOKUP($K2897,Drink_Templates!$A:$G,7,FALSE),0)))</f>
        <v/>
      </c>
    </row>
    <row r="2898" ht="15" customHeight="1">
      <c r="C2898">
        <f>IF($B2898="","",INT($B2898))</f>
        <v/>
      </c>
      <c r="D2898">
        <f>IF($C2898="","",$C2898-WEEKDAY($C2898,2)+1)</f>
        <v/>
      </c>
      <c r="E2898">
        <f>IF($C2898="","",DATE(YEAR($C2898),MONTH($C2898),1))</f>
        <v/>
      </c>
      <c r="F2898">
        <f>IF($C2898="","",YEAR($C2898)&amp;"-Q"&amp;ROUNDUP(MONTH($C2898)/3,0))</f>
        <v/>
      </c>
      <c r="L2898">
        <f>IF($G2898&lt;&gt;"ALCOHOL","",IF($K2898="","",$H2898*IFERROR(VLOOKUP($K2898,Drink_Templates!$A:$G,7,FALSE),0)))</f>
        <v/>
      </c>
    </row>
    <row r="2899" ht="15" customHeight="1">
      <c r="C2899">
        <f>IF($B2899="","",INT($B2899))</f>
        <v/>
      </c>
      <c r="D2899">
        <f>IF($C2899="","",$C2899-WEEKDAY($C2899,2)+1)</f>
        <v/>
      </c>
      <c r="E2899">
        <f>IF($C2899="","",DATE(YEAR($C2899),MONTH($C2899),1))</f>
        <v/>
      </c>
      <c r="F2899">
        <f>IF($C2899="","",YEAR($C2899)&amp;"-Q"&amp;ROUNDUP(MONTH($C2899)/3,0))</f>
        <v/>
      </c>
      <c r="L2899">
        <f>IF($G2899&lt;&gt;"ALCOHOL","",IF($K2899="","",$H2899*IFERROR(VLOOKUP($K2899,Drink_Templates!$A:$G,7,FALSE),0)))</f>
        <v/>
      </c>
    </row>
    <row r="2900" ht="15" customHeight="1">
      <c r="C2900">
        <f>IF($B2900="","",INT($B2900))</f>
        <v/>
      </c>
      <c r="D2900">
        <f>IF($C2900="","",$C2900-WEEKDAY($C2900,2)+1)</f>
        <v/>
      </c>
      <c r="E2900">
        <f>IF($C2900="","",DATE(YEAR($C2900),MONTH($C2900),1))</f>
        <v/>
      </c>
      <c r="F2900">
        <f>IF($C2900="","",YEAR($C2900)&amp;"-Q"&amp;ROUNDUP(MONTH($C2900)/3,0))</f>
        <v/>
      </c>
      <c r="L2900">
        <f>IF($G2900&lt;&gt;"ALCOHOL","",IF($K2900="","",$H2900*IFERROR(VLOOKUP($K2900,Drink_Templates!$A:$G,7,FALSE),0)))</f>
        <v/>
      </c>
    </row>
    <row r="2901" ht="15" customHeight="1">
      <c r="C2901">
        <f>IF($B2901="","",INT($B2901))</f>
        <v/>
      </c>
      <c r="D2901">
        <f>IF($C2901="","",$C2901-WEEKDAY($C2901,2)+1)</f>
        <v/>
      </c>
      <c r="E2901">
        <f>IF($C2901="","",DATE(YEAR($C2901),MONTH($C2901),1))</f>
        <v/>
      </c>
      <c r="F2901">
        <f>IF($C2901="","",YEAR($C2901)&amp;"-Q"&amp;ROUNDUP(MONTH($C2901)/3,0))</f>
        <v/>
      </c>
      <c r="L2901">
        <f>IF($G2901&lt;&gt;"ALCOHOL","",IF($K2901="","",$H2901*IFERROR(VLOOKUP($K2901,Drink_Templates!$A:$G,7,FALSE),0)))</f>
        <v/>
      </c>
    </row>
    <row r="2902" ht="15" customHeight="1">
      <c r="C2902">
        <f>IF($B2902="","",INT($B2902))</f>
        <v/>
      </c>
      <c r="D2902">
        <f>IF($C2902="","",$C2902-WEEKDAY($C2902,2)+1)</f>
        <v/>
      </c>
      <c r="E2902">
        <f>IF($C2902="","",DATE(YEAR($C2902),MONTH($C2902),1))</f>
        <v/>
      </c>
      <c r="F2902">
        <f>IF($C2902="","",YEAR($C2902)&amp;"-Q"&amp;ROUNDUP(MONTH($C2902)/3,0))</f>
        <v/>
      </c>
      <c r="L2902">
        <f>IF($G2902&lt;&gt;"ALCOHOL","",IF($K2902="","",$H2902*IFERROR(VLOOKUP($K2902,Drink_Templates!$A:$G,7,FALSE),0)))</f>
        <v/>
      </c>
    </row>
    <row r="2903" ht="15" customHeight="1">
      <c r="C2903">
        <f>IF($B2903="","",INT($B2903))</f>
        <v/>
      </c>
      <c r="D2903">
        <f>IF($C2903="","",$C2903-WEEKDAY($C2903,2)+1)</f>
        <v/>
      </c>
      <c r="E2903">
        <f>IF($C2903="","",DATE(YEAR($C2903),MONTH($C2903),1))</f>
        <v/>
      </c>
      <c r="F2903">
        <f>IF($C2903="","",YEAR($C2903)&amp;"-Q"&amp;ROUNDUP(MONTH($C2903)/3,0))</f>
        <v/>
      </c>
      <c r="L2903">
        <f>IF($G2903&lt;&gt;"ALCOHOL","",IF($K2903="","",$H2903*IFERROR(VLOOKUP($K2903,Drink_Templates!$A:$G,7,FALSE),0)))</f>
        <v/>
      </c>
    </row>
    <row r="2904" ht="15" customHeight="1">
      <c r="C2904">
        <f>IF($B2904="","",INT($B2904))</f>
        <v/>
      </c>
      <c r="D2904">
        <f>IF($C2904="","",$C2904-WEEKDAY($C2904,2)+1)</f>
        <v/>
      </c>
      <c r="E2904">
        <f>IF($C2904="","",DATE(YEAR($C2904),MONTH($C2904),1))</f>
        <v/>
      </c>
      <c r="F2904">
        <f>IF($C2904="","",YEAR($C2904)&amp;"-Q"&amp;ROUNDUP(MONTH($C2904)/3,0))</f>
        <v/>
      </c>
      <c r="L2904">
        <f>IF($G2904&lt;&gt;"ALCOHOL","",IF($K2904="","",$H2904*IFERROR(VLOOKUP($K2904,Drink_Templates!$A:$G,7,FALSE),0)))</f>
        <v/>
      </c>
    </row>
    <row r="2905" ht="15" customHeight="1">
      <c r="C2905">
        <f>IF($B2905="","",INT($B2905))</f>
        <v/>
      </c>
      <c r="D2905">
        <f>IF($C2905="","",$C2905-WEEKDAY($C2905,2)+1)</f>
        <v/>
      </c>
      <c r="E2905">
        <f>IF($C2905="","",DATE(YEAR($C2905),MONTH($C2905),1))</f>
        <v/>
      </c>
      <c r="F2905">
        <f>IF($C2905="","",YEAR($C2905)&amp;"-Q"&amp;ROUNDUP(MONTH($C2905)/3,0))</f>
        <v/>
      </c>
      <c r="L2905">
        <f>IF($G2905&lt;&gt;"ALCOHOL","",IF($K2905="","",$H2905*IFERROR(VLOOKUP($K2905,Drink_Templates!$A:$G,7,FALSE),0)))</f>
        <v/>
      </c>
    </row>
    <row r="2906" ht="15" customHeight="1">
      <c r="C2906">
        <f>IF($B2906="","",INT($B2906))</f>
        <v/>
      </c>
      <c r="D2906">
        <f>IF($C2906="","",$C2906-WEEKDAY($C2906,2)+1)</f>
        <v/>
      </c>
      <c r="E2906">
        <f>IF($C2906="","",DATE(YEAR($C2906),MONTH($C2906),1))</f>
        <v/>
      </c>
      <c r="F2906">
        <f>IF($C2906="","",YEAR($C2906)&amp;"-Q"&amp;ROUNDUP(MONTH($C2906)/3,0))</f>
        <v/>
      </c>
      <c r="L2906">
        <f>IF($G2906&lt;&gt;"ALCOHOL","",IF($K2906="","",$H2906*IFERROR(VLOOKUP($K2906,Drink_Templates!$A:$G,7,FALSE),0)))</f>
        <v/>
      </c>
    </row>
    <row r="2907" ht="15" customHeight="1">
      <c r="C2907">
        <f>IF($B2907="","",INT($B2907))</f>
        <v/>
      </c>
      <c r="D2907">
        <f>IF($C2907="","",$C2907-WEEKDAY($C2907,2)+1)</f>
        <v/>
      </c>
      <c r="E2907">
        <f>IF($C2907="","",DATE(YEAR($C2907),MONTH($C2907),1))</f>
        <v/>
      </c>
      <c r="F2907">
        <f>IF($C2907="","",YEAR($C2907)&amp;"-Q"&amp;ROUNDUP(MONTH($C2907)/3,0))</f>
        <v/>
      </c>
      <c r="L2907">
        <f>IF($G2907&lt;&gt;"ALCOHOL","",IF($K2907="","",$H2907*IFERROR(VLOOKUP($K2907,Drink_Templates!$A:$G,7,FALSE),0)))</f>
        <v/>
      </c>
    </row>
    <row r="2908" ht="15" customHeight="1">
      <c r="C2908">
        <f>IF($B2908="","",INT($B2908))</f>
        <v/>
      </c>
      <c r="D2908">
        <f>IF($C2908="","",$C2908-WEEKDAY($C2908,2)+1)</f>
        <v/>
      </c>
      <c r="E2908">
        <f>IF($C2908="","",DATE(YEAR($C2908),MONTH($C2908),1))</f>
        <v/>
      </c>
      <c r="F2908">
        <f>IF($C2908="","",YEAR($C2908)&amp;"-Q"&amp;ROUNDUP(MONTH($C2908)/3,0))</f>
        <v/>
      </c>
      <c r="L2908">
        <f>IF($G2908&lt;&gt;"ALCOHOL","",IF($K2908="","",$H2908*IFERROR(VLOOKUP($K2908,Drink_Templates!$A:$G,7,FALSE),0)))</f>
        <v/>
      </c>
    </row>
    <row r="2909" ht="15" customHeight="1">
      <c r="C2909">
        <f>IF($B2909="","",INT($B2909))</f>
        <v/>
      </c>
      <c r="D2909">
        <f>IF($C2909="","",$C2909-WEEKDAY($C2909,2)+1)</f>
        <v/>
      </c>
      <c r="E2909">
        <f>IF($C2909="","",DATE(YEAR($C2909),MONTH($C2909),1))</f>
        <v/>
      </c>
      <c r="F2909">
        <f>IF($C2909="","",YEAR($C2909)&amp;"-Q"&amp;ROUNDUP(MONTH($C2909)/3,0))</f>
        <v/>
      </c>
      <c r="L2909">
        <f>IF($G2909&lt;&gt;"ALCOHOL","",IF($K2909="","",$H2909*IFERROR(VLOOKUP($K2909,Drink_Templates!$A:$G,7,FALSE),0)))</f>
        <v/>
      </c>
    </row>
    <row r="2910" ht="15" customHeight="1">
      <c r="C2910">
        <f>IF($B2910="","",INT($B2910))</f>
        <v/>
      </c>
      <c r="D2910">
        <f>IF($C2910="","",$C2910-WEEKDAY($C2910,2)+1)</f>
        <v/>
      </c>
      <c r="E2910">
        <f>IF($C2910="","",DATE(YEAR($C2910),MONTH($C2910),1))</f>
        <v/>
      </c>
      <c r="F2910">
        <f>IF($C2910="","",YEAR($C2910)&amp;"-Q"&amp;ROUNDUP(MONTH($C2910)/3,0))</f>
        <v/>
      </c>
      <c r="L2910">
        <f>IF($G2910&lt;&gt;"ALCOHOL","",IF($K2910="","",$H2910*IFERROR(VLOOKUP($K2910,Drink_Templates!$A:$G,7,FALSE),0)))</f>
        <v/>
      </c>
    </row>
    <row r="2911" ht="15" customHeight="1">
      <c r="C2911">
        <f>IF($B2911="","",INT($B2911))</f>
        <v/>
      </c>
      <c r="D2911">
        <f>IF($C2911="","",$C2911-WEEKDAY($C2911,2)+1)</f>
        <v/>
      </c>
      <c r="E2911">
        <f>IF($C2911="","",DATE(YEAR($C2911),MONTH($C2911),1))</f>
        <v/>
      </c>
      <c r="F2911">
        <f>IF($C2911="","",YEAR($C2911)&amp;"-Q"&amp;ROUNDUP(MONTH($C2911)/3,0))</f>
        <v/>
      </c>
      <c r="L2911">
        <f>IF($G2911&lt;&gt;"ALCOHOL","",IF($K2911="","",$H2911*IFERROR(VLOOKUP($K2911,Drink_Templates!$A:$G,7,FALSE),0)))</f>
        <v/>
      </c>
    </row>
    <row r="2912" ht="15" customHeight="1">
      <c r="C2912">
        <f>IF($B2912="","",INT($B2912))</f>
        <v/>
      </c>
      <c r="D2912">
        <f>IF($C2912="","",$C2912-WEEKDAY($C2912,2)+1)</f>
        <v/>
      </c>
      <c r="E2912">
        <f>IF($C2912="","",DATE(YEAR($C2912),MONTH($C2912),1))</f>
        <v/>
      </c>
      <c r="F2912">
        <f>IF($C2912="","",YEAR($C2912)&amp;"-Q"&amp;ROUNDUP(MONTH($C2912)/3,0))</f>
        <v/>
      </c>
      <c r="L2912">
        <f>IF($G2912&lt;&gt;"ALCOHOL","",IF($K2912="","",$H2912*IFERROR(VLOOKUP($K2912,Drink_Templates!$A:$G,7,FALSE),0)))</f>
        <v/>
      </c>
    </row>
    <row r="2913" ht="15" customHeight="1">
      <c r="C2913">
        <f>IF($B2913="","",INT($B2913))</f>
        <v/>
      </c>
      <c r="D2913">
        <f>IF($C2913="","",$C2913-WEEKDAY($C2913,2)+1)</f>
        <v/>
      </c>
      <c r="E2913">
        <f>IF($C2913="","",DATE(YEAR($C2913),MONTH($C2913),1))</f>
        <v/>
      </c>
      <c r="F2913">
        <f>IF($C2913="","",YEAR($C2913)&amp;"-Q"&amp;ROUNDUP(MONTH($C2913)/3,0))</f>
        <v/>
      </c>
      <c r="L2913">
        <f>IF($G2913&lt;&gt;"ALCOHOL","",IF($K2913="","",$H2913*IFERROR(VLOOKUP($K2913,Drink_Templates!$A:$G,7,FALSE),0)))</f>
        <v/>
      </c>
    </row>
    <row r="2914" ht="15" customHeight="1">
      <c r="C2914">
        <f>IF($B2914="","",INT($B2914))</f>
        <v/>
      </c>
      <c r="D2914">
        <f>IF($C2914="","",$C2914-WEEKDAY($C2914,2)+1)</f>
        <v/>
      </c>
      <c r="E2914">
        <f>IF($C2914="","",DATE(YEAR($C2914),MONTH($C2914),1))</f>
        <v/>
      </c>
      <c r="F2914">
        <f>IF($C2914="","",YEAR($C2914)&amp;"-Q"&amp;ROUNDUP(MONTH($C2914)/3,0))</f>
        <v/>
      </c>
      <c r="L2914">
        <f>IF($G2914&lt;&gt;"ALCOHOL","",IF($K2914="","",$H2914*IFERROR(VLOOKUP($K2914,Drink_Templates!$A:$G,7,FALSE),0)))</f>
        <v/>
      </c>
    </row>
    <row r="2915" ht="15" customHeight="1">
      <c r="C2915">
        <f>IF($B2915="","",INT($B2915))</f>
        <v/>
      </c>
      <c r="D2915">
        <f>IF($C2915="","",$C2915-WEEKDAY($C2915,2)+1)</f>
        <v/>
      </c>
      <c r="E2915">
        <f>IF($C2915="","",DATE(YEAR($C2915),MONTH($C2915),1))</f>
        <v/>
      </c>
      <c r="F2915">
        <f>IF($C2915="","",YEAR($C2915)&amp;"-Q"&amp;ROUNDUP(MONTH($C2915)/3,0))</f>
        <v/>
      </c>
      <c r="L2915">
        <f>IF($G2915&lt;&gt;"ALCOHOL","",IF($K2915="","",$H2915*IFERROR(VLOOKUP($K2915,Drink_Templates!$A:$G,7,FALSE),0)))</f>
        <v/>
      </c>
    </row>
    <row r="2916" ht="15" customHeight="1">
      <c r="C2916">
        <f>IF($B2916="","",INT($B2916))</f>
        <v/>
      </c>
      <c r="D2916">
        <f>IF($C2916="","",$C2916-WEEKDAY($C2916,2)+1)</f>
        <v/>
      </c>
      <c r="E2916">
        <f>IF($C2916="","",DATE(YEAR($C2916),MONTH($C2916),1))</f>
        <v/>
      </c>
      <c r="F2916">
        <f>IF($C2916="","",YEAR($C2916)&amp;"-Q"&amp;ROUNDUP(MONTH($C2916)/3,0))</f>
        <v/>
      </c>
      <c r="L2916">
        <f>IF($G2916&lt;&gt;"ALCOHOL","",IF($K2916="","",$H2916*IFERROR(VLOOKUP($K2916,Drink_Templates!$A:$G,7,FALSE),0)))</f>
        <v/>
      </c>
    </row>
    <row r="2917" ht="15" customHeight="1">
      <c r="C2917">
        <f>IF($B2917="","",INT($B2917))</f>
        <v/>
      </c>
      <c r="D2917">
        <f>IF($C2917="","",$C2917-WEEKDAY($C2917,2)+1)</f>
        <v/>
      </c>
      <c r="E2917">
        <f>IF($C2917="","",DATE(YEAR($C2917),MONTH($C2917),1))</f>
        <v/>
      </c>
      <c r="F2917">
        <f>IF($C2917="","",YEAR($C2917)&amp;"-Q"&amp;ROUNDUP(MONTH($C2917)/3,0))</f>
        <v/>
      </c>
      <c r="L2917">
        <f>IF($G2917&lt;&gt;"ALCOHOL","",IF($K2917="","",$H2917*IFERROR(VLOOKUP($K2917,Drink_Templates!$A:$G,7,FALSE),0)))</f>
        <v/>
      </c>
    </row>
    <row r="2918" ht="15" customHeight="1">
      <c r="C2918">
        <f>IF($B2918="","",INT($B2918))</f>
        <v/>
      </c>
      <c r="D2918">
        <f>IF($C2918="","",$C2918-WEEKDAY($C2918,2)+1)</f>
        <v/>
      </c>
      <c r="E2918">
        <f>IF($C2918="","",DATE(YEAR($C2918),MONTH($C2918),1))</f>
        <v/>
      </c>
      <c r="F2918">
        <f>IF($C2918="","",YEAR($C2918)&amp;"-Q"&amp;ROUNDUP(MONTH($C2918)/3,0))</f>
        <v/>
      </c>
      <c r="L2918">
        <f>IF($G2918&lt;&gt;"ALCOHOL","",IF($K2918="","",$H2918*IFERROR(VLOOKUP($K2918,Drink_Templates!$A:$G,7,FALSE),0)))</f>
        <v/>
      </c>
    </row>
    <row r="2919" ht="15" customHeight="1">
      <c r="C2919">
        <f>IF($B2919="","",INT($B2919))</f>
        <v/>
      </c>
      <c r="D2919">
        <f>IF($C2919="","",$C2919-WEEKDAY($C2919,2)+1)</f>
        <v/>
      </c>
      <c r="E2919">
        <f>IF($C2919="","",DATE(YEAR($C2919),MONTH($C2919),1))</f>
        <v/>
      </c>
      <c r="F2919">
        <f>IF($C2919="","",YEAR($C2919)&amp;"-Q"&amp;ROUNDUP(MONTH($C2919)/3,0))</f>
        <v/>
      </c>
      <c r="L2919">
        <f>IF($G2919&lt;&gt;"ALCOHOL","",IF($K2919="","",$H2919*IFERROR(VLOOKUP($K2919,Drink_Templates!$A:$G,7,FALSE),0)))</f>
        <v/>
      </c>
    </row>
    <row r="2920" ht="15" customHeight="1">
      <c r="C2920">
        <f>IF($B2920="","",INT($B2920))</f>
        <v/>
      </c>
      <c r="D2920">
        <f>IF($C2920="","",$C2920-WEEKDAY($C2920,2)+1)</f>
        <v/>
      </c>
      <c r="E2920">
        <f>IF($C2920="","",DATE(YEAR($C2920),MONTH($C2920),1))</f>
        <v/>
      </c>
      <c r="F2920">
        <f>IF($C2920="","",YEAR($C2920)&amp;"-Q"&amp;ROUNDUP(MONTH($C2920)/3,0))</f>
        <v/>
      </c>
      <c r="L2920">
        <f>IF($G2920&lt;&gt;"ALCOHOL","",IF($K2920="","",$H2920*IFERROR(VLOOKUP($K2920,Drink_Templates!$A:$G,7,FALSE),0)))</f>
        <v/>
      </c>
    </row>
    <row r="2921" ht="15" customHeight="1">
      <c r="C2921">
        <f>IF($B2921="","",INT($B2921))</f>
        <v/>
      </c>
      <c r="D2921">
        <f>IF($C2921="","",$C2921-WEEKDAY($C2921,2)+1)</f>
        <v/>
      </c>
      <c r="E2921">
        <f>IF($C2921="","",DATE(YEAR($C2921),MONTH($C2921),1))</f>
        <v/>
      </c>
      <c r="F2921">
        <f>IF($C2921="","",YEAR($C2921)&amp;"-Q"&amp;ROUNDUP(MONTH($C2921)/3,0))</f>
        <v/>
      </c>
      <c r="L2921">
        <f>IF($G2921&lt;&gt;"ALCOHOL","",IF($K2921="","",$H2921*IFERROR(VLOOKUP($K2921,Drink_Templates!$A:$G,7,FALSE),0)))</f>
        <v/>
      </c>
    </row>
    <row r="2922" ht="15" customHeight="1">
      <c r="C2922">
        <f>IF($B2922="","",INT($B2922))</f>
        <v/>
      </c>
      <c r="D2922">
        <f>IF($C2922="","",$C2922-WEEKDAY($C2922,2)+1)</f>
        <v/>
      </c>
      <c r="E2922">
        <f>IF($C2922="","",DATE(YEAR($C2922),MONTH($C2922),1))</f>
        <v/>
      </c>
      <c r="F2922">
        <f>IF($C2922="","",YEAR($C2922)&amp;"-Q"&amp;ROUNDUP(MONTH($C2922)/3,0))</f>
        <v/>
      </c>
      <c r="L2922">
        <f>IF($G2922&lt;&gt;"ALCOHOL","",IF($K2922="","",$H2922*IFERROR(VLOOKUP($K2922,Drink_Templates!$A:$G,7,FALSE),0)))</f>
        <v/>
      </c>
    </row>
    <row r="2923" ht="15" customHeight="1">
      <c r="C2923">
        <f>IF($B2923="","",INT($B2923))</f>
        <v/>
      </c>
      <c r="D2923">
        <f>IF($C2923="","",$C2923-WEEKDAY($C2923,2)+1)</f>
        <v/>
      </c>
      <c r="E2923">
        <f>IF($C2923="","",DATE(YEAR($C2923),MONTH($C2923),1))</f>
        <v/>
      </c>
      <c r="F2923">
        <f>IF($C2923="","",YEAR($C2923)&amp;"-Q"&amp;ROUNDUP(MONTH($C2923)/3,0))</f>
        <v/>
      </c>
      <c r="L2923">
        <f>IF($G2923&lt;&gt;"ALCOHOL","",IF($K2923="","",$H2923*IFERROR(VLOOKUP($K2923,Drink_Templates!$A:$G,7,FALSE),0)))</f>
        <v/>
      </c>
    </row>
    <row r="2924" ht="15" customHeight="1">
      <c r="C2924">
        <f>IF($B2924="","",INT($B2924))</f>
        <v/>
      </c>
      <c r="D2924">
        <f>IF($C2924="","",$C2924-WEEKDAY($C2924,2)+1)</f>
        <v/>
      </c>
      <c r="E2924">
        <f>IF($C2924="","",DATE(YEAR($C2924),MONTH($C2924),1))</f>
        <v/>
      </c>
      <c r="F2924">
        <f>IF($C2924="","",YEAR($C2924)&amp;"-Q"&amp;ROUNDUP(MONTH($C2924)/3,0))</f>
        <v/>
      </c>
      <c r="L2924">
        <f>IF($G2924&lt;&gt;"ALCOHOL","",IF($K2924="","",$H2924*IFERROR(VLOOKUP($K2924,Drink_Templates!$A:$G,7,FALSE),0)))</f>
        <v/>
      </c>
    </row>
    <row r="2925" ht="15" customHeight="1">
      <c r="C2925">
        <f>IF($B2925="","",INT($B2925))</f>
        <v/>
      </c>
      <c r="D2925">
        <f>IF($C2925="","",$C2925-WEEKDAY($C2925,2)+1)</f>
        <v/>
      </c>
      <c r="E2925">
        <f>IF($C2925="","",DATE(YEAR($C2925),MONTH($C2925),1))</f>
        <v/>
      </c>
      <c r="F2925">
        <f>IF($C2925="","",YEAR($C2925)&amp;"-Q"&amp;ROUNDUP(MONTH($C2925)/3,0))</f>
        <v/>
      </c>
      <c r="L2925">
        <f>IF($G2925&lt;&gt;"ALCOHOL","",IF($K2925="","",$H2925*IFERROR(VLOOKUP($K2925,Drink_Templates!$A:$G,7,FALSE),0)))</f>
        <v/>
      </c>
    </row>
    <row r="2926" ht="15" customHeight="1">
      <c r="C2926">
        <f>IF($B2926="","",INT($B2926))</f>
        <v/>
      </c>
      <c r="D2926">
        <f>IF($C2926="","",$C2926-WEEKDAY($C2926,2)+1)</f>
        <v/>
      </c>
      <c r="E2926">
        <f>IF($C2926="","",DATE(YEAR($C2926),MONTH($C2926),1))</f>
        <v/>
      </c>
      <c r="F2926">
        <f>IF($C2926="","",YEAR($C2926)&amp;"-Q"&amp;ROUNDUP(MONTH($C2926)/3,0))</f>
        <v/>
      </c>
      <c r="L2926">
        <f>IF($G2926&lt;&gt;"ALCOHOL","",IF($K2926="","",$H2926*IFERROR(VLOOKUP($K2926,Drink_Templates!$A:$G,7,FALSE),0)))</f>
        <v/>
      </c>
    </row>
    <row r="2927" ht="15" customHeight="1">
      <c r="C2927">
        <f>IF($B2927="","",INT($B2927))</f>
        <v/>
      </c>
      <c r="D2927">
        <f>IF($C2927="","",$C2927-WEEKDAY($C2927,2)+1)</f>
        <v/>
      </c>
      <c r="E2927">
        <f>IF($C2927="","",DATE(YEAR($C2927),MONTH($C2927),1))</f>
        <v/>
      </c>
      <c r="F2927">
        <f>IF($C2927="","",YEAR($C2927)&amp;"-Q"&amp;ROUNDUP(MONTH($C2927)/3,0))</f>
        <v/>
      </c>
      <c r="L2927">
        <f>IF($G2927&lt;&gt;"ALCOHOL","",IF($K2927="","",$H2927*IFERROR(VLOOKUP($K2927,Drink_Templates!$A:$G,7,FALSE),0)))</f>
        <v/>
      </c>
    </row>
    <row r="2928" ht="15" customHeight="1">
      <c r="C2928">
        <f>IF($B2928="","",INT($B2928))</f>
        <v/>
      </c>
      <c r="D2928">
        <f>IF($C2928="","",$C2928-WEEKDAY($C2928,2)+1)</f>
        <v/>
      </c>
      <c r="E2928">
        <f>IF($C2928="","",DATE(YEAR($C2928),MONTH($C2928),1))</f>
        <v/>
      </c>
      <c r="F2928">
        <f>IF($C2928="","",YEAR($C2928)&amp;"-Q"&amp;ROUNDUP(MONTH($C2928)/3,0))</f>
        <v/>
      </c>
      <c r="L2928">
        <f>IF($G2928&lt;&gt;"ALCOHOL","",IF($K2928="","",$H2928*IFERROR(VLOOKUP($K2928,Drink_Templates!$A:$G,7,FALSE),0)))</f>
        <v/>
      </c>
    </row>
    <row r="2929" ht="15" customHeight="1">
      <c r="C2929">
        <f>IF($B2929="","",INT($B2929))</f>
        <v/>
      </c>
      <c r="D2929">
        <f>IF($C2929="","",$C2929-WEEKDAY($C2929,2)+1)</f>
        <v/>
      </c>
      <c r="E2929">
        <f>IF($C2929="","",DATE(YEAR($C2929),MONTH($C2929),1))</f>
        <v/>
      </c>
      <c r="F2929">
        <f>IF($C2929="","",YEAR($C2929)&amp;"-Q"&amp;ROUNDUP(MONTH($C2929)/3,0))</f>
        <v/>
      </c>
      <c r="L2929">
        <f>IF($G2929&lt;&gt;"ALCOHOL","",IF($K2929="","",$H2929*IFERROR(VLOOKUP($K2929,Drink_Templates!$A:$G,7,FALSE),0)))</f>
        <v/>
      </c>
    </row>
    <row r="2930" ht="15" customHeight="1">
      <c r="C2930">
        <f>IF($B2930="","",INT($B2930))</f>
        <v/>
      </c>
      <c r="D2930">
        <f>IF($C2930="","",$C2930-WEEKDAY($C2930,2)+1)</f>
        <v/>
      </c>
      <c r="E2930">
        <f>IF($C2930="","",DATE(YEAR($C2930),MONTH($C2930),1))</f>
        <v/>
      </c>
      <c r="F2930">
        <f>IF($C2930="","",YEAR($C2930)&amp;"-Q"&amp;ROUNDUP(MONTH($C2930)/3,0))</f>
        <v/>
      </c>
      <c r="L2930">
        <f>IF($G2930&lt;&gt;"ALCOHOL","",IF($K2930="","",$H2930*IFERROR(VLOOKUP($K2930,Drink_Templates!$A:$G,7,FALSE),0)))</f>
        <v/>
      </c>
    </row>
    <row r="2931" ht="15" customHeight="1">
      <c r="C2931">
        <f>IF($B2931="","",INT($B2931))</f>
        <v/>
      </c>
      <c r="D2931">
        <f>IF($C2931="","",$C2931-WEEKDAY($C2931,2)+1)</f>
        <v/>
      </c>
      <c r="E2931">
        <f>IF($C2931="","",DATE(YEAR($C2931),MONTH($C2931),1))</f>
        <v/>
      </c>
      <c r="F2931">
        <f>IF($C2931="","",YEAR($C2931)&amp;"-Q"&amp;ROUNDUP(MONTH($C2931)/3,0))</f>
        <v/>
      </c>
      <c r="L2931">
        <f>IF($G2931&lt;&gt;"ALCOHOL","",IF($K2931="","",$H2931*IFERROR(VLOOKUP($K2931,Drink_Templates!$A:$G,7,FALSE),0)))</f>
        <v/>
      </c>
    </row>
    <row r="2932" ht="15" customHeight="1">
      <c r="C2932">
        <f>IF($B2932="","",INT($B2932))</f>
        <v/>
      </c>
      <c r="D2932">
        <f>IF($C2932="","",$C2932-WEEKDAY($C2932,2)+1)</f>
        <v/>
      </c>
      <c r="E2932">
        <f>IF($C2932="","",DATE(YEAR($C2932),MONTH($C2932),1))</f>
        <v/>
      </c>
      <c r="F2932">
        <f>IF($C2932="","",YEAR($C2932)&amp;"-Q"&amp;ROUNDUP(MONTH($C2932)/3,0))</f>
        <v/>
      </c>
      <c r="L2932">
        <f>IF($G2932&lt;&gt;"ALCOHOL","",IF($K2932="","",$H2932*IFERROR(VLOOKUP($K2932,Drink_Templates!$A:$G,7,FALSE),0)))</f>
        <v/>
      </c>
    </row>
    <row r="2933" ht="15" customHeight="1">
      <c r="C2933">
        <f>IF($B2933="","",INT($B2933))</f>
        <v/>
      </c>
      <c r="D2933">
        <f>IF($C2933="","",$C2933-WEEKDAY($C2933,2)+1)</f>
        <v/>
      </c>
      <c r="E2933">
        <f>IF($C2933="","",DATE(YEAR($C2933),MONTH($C2933),1))</f>
        <v/>
      </c>
      <c r="F2933">
        <f>IF($C2933="","",YEAR($C2933)&amp;"-Q"&amp;ROUNDUP(MONTH($C2933)/3,0))</f>
        <v/>
      </c>
      <c r="L2933">
        <f>IF($G2933&lt;&gt;"ALCOHOL","",IF($K2933="","",$H2933*IFERROR(VLOOKUP($K2933,Drink_Templates!$A:$G,7,FALSE),0)))</f>
        <v/>
      </c>
    </row>
    <row r="2934" ht="15" customHeight="1">
      <c r="C2934">
        <f>IF($B2934="","",INT($B2934))</f>
        <v/>
      </c>
      <c r="D2934">
        <f>IF($C2934="","",$C2934-WEEKDAY($C2934,2)+1)</f>
        <v/>
      </c>
      <c r="E2934">
        <f>IF($C2934="","",DATE(YEAR($C2934),MONTH($C2934),1))</f>
        <v/>
      </c>
      <c r="F2934">
        <f>IF($C2934="","",YEAR($C2934)&amp;"-Q"&amp;ROUNDUP(MONTH($C2934)/3,0))</f>
        <v/>
      </c>
      <c r="L2934">
        <f>IF($G2934&lt;&gt;"ALCOHOL","",IF($K2934="","",$H2934*IFERROR(VLOOKUP($K2934,Drink_Templates!$A:$G,7,FALSE),0)))</f>
        <v/>
      </c>
    </row>
    <row r="2935" ht="15" customHeight="1">
      <c r="C2935">
        <f>IF($B2935="","",INT($B2935))</f>
        <v/>
      </c>
      <c r="D2935">
        <f>IF($C2935="","",$C2935-WEEKDAY($C2935,2)+1)</f>
        <v/>
      </c>
      <c r="E2935">
        <f>IF($C2935="","",DATE(YEAR($C2935),MONTH($C2935),1))</f>
        <v/>
      </c>
      <c r="F2935">
        <f>IF($C2935="","",YEAR($C2935)&amp;"-Q"&amp;ROUNDUP(MONTH($C2935)/3,0))</f>
        <v/>
      </c>
      <c r="L2935">
        <f>IF($G2935&lt;&gt;"ALCOHOL","",IF($K2935="","",$H2935*IFERROR(VLOOKUP($K2935,Drink_Templates!$A:$G,7,FALSE),0)))</f>
        <v/>
      </c>
    </row>
    <row r="2936" ht="15" customHeight="1">
      <c r="C2936">
        <f>IF($B2936="","",INT($B2936))</f>
        <v/>
      </c>
      <c r="D2936">
        <f>IF($C2936="","",$C2936-WEEKDAY($C2936,2)+1)</f>
        <v/>
      </c>
      <c r="E2936">
        <f>IF($C2936="","",DATE(YEAR($C2936),MONTH($C2936),1))</f>
        <v/>
      </c>
      <c r="F2936">
        <f>IF($C2936="","",YEAR($C2936)&amp;"-Q"&amp;ROUNDUP(MONTH($C2936)/3,0))</f>
        <v/>
      </c>
      <c r="L2936">
        <f>IF($G2936&lt;&gt;"ALCOHOL","",IF($K2936="","",$H2936*IFERROR(VLOOKUP($K2936,Drink_Templates!$A:$G,7,FALSE),0)))</f>
        <v/>
      </c>
    </row>
    <row r="2937" ht="15" customHeight="1">
      <c r="C2937">
        <f>IF($B2937="","",INT($B2937))</f>
        <v/>
      </c>
      <c r="D2937">
        <f>IF($C2937="","",$C2937-WEEKDAY($C2937,2)+1)</f>
        <v/>
      </c>
      <c r="E2937">
        <f>IF($C2937="","",DATE(YEAR($C2937),MONTH($C2937),1))</f>
        <v/>
      </c>
      <c r="F2937">
        <f>IF($C2937="","",YEAR($C2937)&amp;"-Q"&amp;ROUNDUP(MONTH($C2937)/3,0))</f>
        <v/>
      </c>
      <c r="L2937">
        <f>IF($G2937&lt;&gt;"ALCOHOL","",IF($K2937="","",$H2937*IFERROR(VLOOKUP($K2937,Drink_Templates!$A:$G,7,FALSE),0)))</f>
        <v/>
      </c>
    </row>
    <row r="2938" ht="15" customHeight="1">
      <c r="C2938">
        <f>IF($B2938="","",INT($B2938))</f>
        <v/>
      </c>
      <c r="D2938">
        <f>IF($C2938="","",$C2938-WEEKDAY($C2938,2)+1)</f>
        <v/>
      </c>
      <c r="E2938">
        <f>IF($C2938="","",DATE(YEAR($C2938),MONTH($C2938),1))</f>
        <v/>
      </c>
      <c r="F2938">
        <f>IF($C2938="","",YEAR($C2938)&amp;"-Q"&amp;ROUNDUP(MONTH($C2938)/3,0))</f>
        <v/>
      </c>
      <c r="L2938">
        <f>IF($G2938&lt;&gt;"ALCOHOL","",IF($K2938="","",$H2938*IFERROR(VLOOKUP($K2938,Drink_Templates!$A:$G,7,FALSE),0)))</f>
        <v/>
      </c>
    </row>
    <row r="2939" ht="15" customHeight="1">
      <c r="C2939">
        <f>IF($B2939="","",INT($B2939))</f>
        <v/>
      </c>
      <c r="D2939">
        <f>IF($C2939="","",$C2939-WEEKDAY($C2939,2)+1)</f>
        <v/>
      </c>
      <c r="E2939">
        <f>IF($C2939="","",DATE(YEAR($C2939),MONTH($C2939),1))</f>
        <v/>
      </c>
      <c r="F2939">
        <f>IF($C2939="","",YEAR($C2939)&amp;"-Q"&amp;ROUNDUP(MONTH($C2939)/3,0))</f>
        <v/>
      </c>
      <c r="L2939">
        <f>IF($G2939&lt;&gt;"ALCOHOL","",IF($K2939="","",$H2939*IFERROR(VLOOKUP($K2939,Drink_Templates!$A:$G,7,FALSE),0)))</f>
        <v/>
      </c>
    </row>
    <row r="2940" ht="15" customHeight="1">
      <c r="C2940">
        <f>IF($B2940="","",INT($B2940))</f>
        <v/>
      </c>
      <c r="D2940">
        <f>IF($C2940="","",$C2940-WEEKDAY($C2940,2)+1)</f>
        <v/>
      </c>
      <c r="E2940">
        <f>IF($C2940="","",DATE(YEAR($C2940),MONTH($C2940),1))</f>
        <v/>
      </c>
      <c r="F2940">
        <f>IF($C2940="","",YEAR($C2940)&amp;"-Q"&amp;ROUNDUP(MONTH($C2940)/3,0))</f>
        <v/>
      </c>
      <c r="L2940">
        <f>IF($G2940&lt;&gt;"ALCOHOL","",IF($K2940="","",$H2940*IFERROR(VLOOKUP($K2940,Drink_Templates!$A:$G,7,FALSE),0)))</f>
        <v/>
      </c>
    </row>
    <row r="2941" ht="15" customHeight="1">
      <c r="C2941">
        <f>IF($B2941="","",INT($B2941))</f>
        <v/>
      </c>
      <c r="D2941">
        <f>IF($C2941="","",$C2941-WEEKDAY($C2941,2)+1)</f>
        <v/>
      </c>
      <c r="E2941">
        <f>IF($C2941="","",DATE(YEAR($C2941),MONTH($C2941),1))</f>
        <v/>
      </c>
      <c r="F2941">
        <f>IF($C2941="","",YEAR($C2941)&amp;"-Q"&amp;ROUNDUP(MONTH($C2941)/3,0))</f>
        <v/>
      </c>
      <c r="L2941">
        <f>IF($G2941&lt;&gt;"ALCOHOL","",IF($K2941="","",$H2941*IFERROR(VLOOKUP($K2941,Drink_Templates!$A:$G,7,FALSE),0)))</f>
        <v/>
      </c>
    </row>
    <row r="2942" ht="15" customHeight="1">
      <c r="C2942">
        <f>IF($B2942="","",INT($B2942))</f>
        <v/>
      </c>
      <c r="D2942">
        <f>IF($C2942="","",$C2942-WEEKDAY($C2942,2)+1)</f>
        <v/>
      </c>
      <c r="E2942">
        <f>IF($C2942="","",DATE(YEAR($C2942),MONTH($C2942),1))</f>
        <v/>
      </c>
      <c r="F2942">
        <f>IF($C2942="","",YEAR($C2942)&amp;"-Q"&amp;ROUNDUP(MONTH($C2942)/3,0))</f>
        <v/>
      </c>
      <c r="L2942">
        <f>IF($G2942&lt;&gt;"ALCOHOL","",IF($K2942="","",$H2942*IFERROR(VLOOKUP($K2942,Drink_Templates!$A:$G,7,FALSE),0)))</f>
        <v/>
      </c>
    </row>
    <row r="2943" ht="15" customHeight="1">
      <c r="C2943">
        <f>IF($B2943="","",INT($B2943))</f>
        <v/>
      </c>
      <c r="D2943">
        <f>IF($C2943="","",$C2943-WEEKDAY($C2943,2)+1)</f>
        <v/>
      </c>
      <c r="E2943">
        <f>IF($C2943="","",DATE(YEAR($C2943),MONTH($C2943),1))</f>
        <v/>
      </c>
      <c r="F2943">
        <f>IF($C2943="","",YEAR($C2943)&amp;"-Q"&amp;ROUNDUP(MONTH($C2943)/3,0))</f>
        <v/>
      </c>
      <c r="L2943">
        <f>IF($G2943&lt;&gt;"ALCOHOL","",IF($K2943="","",$H2943*IFERROR(VLOOKUP($K2943,Drink_Templates!$A:$G,7,FALSE),0)))</f>
        <v/>
      </c>
    </row>
    <row r="2944" ht="15" customHeight="1">
      <c r="C2944">
        <f>IF($B2944="","",INT($B2944))</f>
        <v/>
      </c>
      <c r="D2944">
        <f>IF($C2944="","",$C2944-WEEKDAY($C2944,2)+1)</f>
        <v/>
      </c>
      <c r="E2944">
        <f>IF($C2944="","",DATE(YEAR($C2944),MONTH($C2944),1))</f>
        <v/>
      </c>
      <c r="F2944">
        <f>IF($C2944="","",YEAR($C2944)&amp;"-Q"&amp;ROUNDUP(MONTH($C2944)/3,0))</f>
        <v/>
      </c>
      <c r="L2944">
        <f>IF($G2944&lt;&gt;"ALCOHOL","",IF($K2944="","",$H2944*IFERROR(VLOOKUP($K2944,Drink_Templates!$A:$G,7,FALSE),0)))</f>
        <v/>
      </c>
    </row>
    <row r="2945" ht="15" customHeight="1">
      <c r="C2945">
        <f>IF($B2945="","",INT($B2945))</f>
        <v/>
      </c>
      <c r="D2945">
        <f>IF($C2945="","",$C2945-WEEKDAY($C2945,2)+1)</f>
        <v/>
      </c>
      <c r="E2945">
        <f>IF($C2945="","",DATE(YEAR($C2945),MONTH($C2945),1))</f>
        <v/>
      </c>
      <c r="F2945">
        <f>IF($C2945="","",YEAR($C2945)&amp;"-Q"&amp;ROUNDUP(MONTH($C2945)/3,0))</f>
        <v/>
      </c>
      <c r="L2945">
        <f>IF($G2945&lt;&gt;"ALCOHOL","",IF($K2945="","",$H2945*IFERROR(VLOOKUP($K2945,Drink_Templates!$A:$G,7,FALSE),0)))</f>
        <v/>
      </c>
    </row>
    <row r="2946" ht="15" customHeight="1">
      <c r="C2946">
        <f>IF($B2946="","",INT($B2946))</f>
        <v/>
      </c>
      <c r="D2946">
        <f>IF($C2946="","",$C2946-WEEKDAY($C2946,2)+1)</f>
        <v/>
      </c>
      <c r="E2946">
        <f>IF($C2946="","",DATE(YEAR($C2946),MONTH($C2946),1))</f>
        <v/>
      </c>
      <c r="F2946">
        <f>IF($C2946="","",YEAR($C2946)&amp;"-Q"&amp;ROUNDUP(MONTH($C2946)/3,0))</f>
        <v/>
      </c>
      <c r="L2946">
        <f>IF($G2946&lt;&gt;"ALCOHOL","",IF($K2946="","",$H2946*IFERROR(VLOOKUP($K2946,Drink_Templates!$A:$G,7,FALSE),0)))</f>
        <v/>
      </c>
    </row>
    <row r="2947" ht="15" customHeight="1">
      <c r="C2947">
        <f>IF($B2947="","",INT($B2947))</f>
        <v/>
      </c>
      <c r="D2947">
        <f>IF($C2947="","",$C2947-WEEKDAY($C2947,2)+1)</f>
        <v/>
      </c>
      <c r="E2947">
        <f>IF($C2947="","",DATE(YEAR($C2947),MONTH($C2947),1))</f>
        <v/>
      </c>
      <c r="F2947">
        <f>IF($C2947="","",YEAR($C2947)&amp;"-Q"&amp;ROUNDUP(MONTH($C2947)/3,0))</f>
        <v/>
      </c>
      <c r="L2947">
        <f>IF($G2947&lt;&gt;"ALCOHOL","",IF($K2947="","",$H2947*IFERROR(VLOOKUP($K2947,Drink_Templates!$A:$G,7,FALSE),0)))</f>
        <v/>
      </c>
    </row>
    <row r="2948" ht="15" customHeight="1">
      <c r="C2948">
        <f>IF($B2948="","",INT($B2948))</f>
        <v/>
      </c>
      <c r="D2948">
        <f>IF($C2948="","",$C2948-WEEKDAY($C2948,2)+1)</f>
        <v/>
      </c>
      <c r="E2948">
        <f>IF($C2948="","",DATE(YEAR($C2948),MONTH($C2948),1))</f>
        <v/>
      </c>
      <c r="F2948">
        <f>IF($C2948="","",YEAR($C2948)&amp;"-Q"&amp;ROUNDUP(MONTH($C2948)/3,0))</f>
        <v/>
      </c>
      <c r="L2948">
        <f>IF($G2948&lt;&gt;"ALCOHOL","",IF($K2948="","",$H2948*IFERROR(VLOOKUP($K2948,Drink_Templates!$A:$G,7,FALSE),0)))</f>
        <v/>
      </c>
    </row>
    <row r="2949" ht="15" customHeight="1">
      <c r="C2949">
        <f>IF($B2949="","",INT($B2949))</f>
        <v/>
      </c>
      <c r="D2949">
        <f>IF($C2949="","",$C2949-WEEKDAY($C2949,2)+1)</f>
        <v/>
      </c>
      <c r="E2949">
        <f>IF($C2949="","",DATE(YEAR($C2949),MONTH($C2949),1))</f>
        <v/>
      </c>
      <c r="F2949">
        <f>IF($C2949="","",YEAR($C2949)&amp;"-Q"&amp;ROUNDUP(MONTH($C2949)/3,0))</f>
        <v/>
      </c>
      <c r="L2949">
        <f>IF($G2949&lt;&gt;"ALCOHOL","",IF($K2949="","",$H2949*IFERROR(VLOOKUP($K2949,Drink_Templates!$A:$G,7,FALSE),0)))</f>
        <v/>
      </c>
    </row>
    <row r="2950" ht="15" customHeight="1">
      <c r="C2950">
        <f>IF($B2950="","",INT($B2950))</f>
        <v/>
      </c>
      <c r="D2950">
        <f>IF($C2950="","",$C2950-WEEKDAY($C2950,2)+1)</f>
        <v/>
      </c>
      <c r="E2950">
        <f>IF($C2950="","",DATE(YEAR($C2950),MONTH($C2950),1))</f>
        <v/>
      </c>
      <c r="F2950">
        <f>IF($C2950="","",YEAR($C2950)&amp;"-Q"&amp;ROUNDUP(MONTH($C2950)/3,0))</f>
        <v/>
      </c>
      <c r="L2950">
        <f>IF($G2950&lt;&gt;"ALCOHOL","",IF($K2950="","",$H2950*IFERROR(VLOOKUP($K2950,Drink_Templates!$A:$G,7,FALSE),0)))</f>
        <v/>
      </c>
    </row>
    <row r="2951" ht="15" customHeight="1">
      <c r="C2951">
        <f>IF($B2951="","",INT($B2951))</f>
        <v/>
      </c>
      <c r="D2951">
        <f>IF($C2951="","",$C2951-WEEKDAY($C2951,2)+1)</f>
        <v/>
      </c>
      <c r="E2951">
        <f>IF($C2951="","",DATE(YEAR($C2951),MONTH($C2951),1))</f>
        <v/>
      </c>
      <c r="F2951">
        <f>IF($C2951="","",YEAR($C2951)&amp;"-Q"&amp;ROUNDUP(MONTH($C2951)/3,0))</f>
        <v/>
      </c>
      <c r="L2951">
        <f>IF($G2951&lt;&gt;"ALCOHOL","",IF($K2951="","",$H2951*IFERROR(VLOOKUP($K2951,Drink_Templates!$A:$G,7,FALSE),0)))</f>
        <v/>
      </c>
    </row>
    <row r="2952" ht="15" customHeight="1">
      <c r="C2952">
        <f>IF($B2952="","",INT($B2952))</f>
        <v/>
      </c>
      <c r="D2952">
        <f>IF($C2952="","",$C2952-WEEKDAY($C2952,2)+1)</f>
        <v/>
      </c>
      <c r="E2952">
        <f>IF($C2952="","",DATE(YEAR($C2952),MONTH($C2952),1))</f>
        <v/>
      </c>
      <c r="F2952">
        <f>IF($C2952="","",YEAR($C2952)&amp;"-Q"&amp;ROUNDUP(MONTH($C2952)/3,0))</f>
        <v/>
      </c>
      <c r="L2952">
        <f>IF($G2952&lt;&gt;"ALCOHOL","",IF($K2952="","",$H2952*IFERROR(VLOOKUP($K2952,Drink_Templates!$A:$G,7,FALSE),0)))</f>
        <v/>
      </c>
    </row>
    <row r="2953" ht="15" customHeight="1">
      <c r="C2953">
        <f>IF($B2953="","",INT($B2953))</f>
        <v/>
      </c>
      <c r="D2953">
        <f>IF($C2953="","",$C2953-WEEKDAY($C2953,2)+1)</f>
        <v/>
      </c>
      <c r="E2953">
        <f>IF($C2953="","",DATE(YEAR($C2953),MONTH($C2953),1))</f>
        <v/>
      </c>
      <c r="F2953">
        <f>IF($C2953="","",YEAR($C2953)&amp;"-Q"&amp;ROUNDUP(MONTH($C2953)/3,0))</f>
        <v/>
      </c>
      <c r="L2953">
        <f>IF($G2953&lt;&gt;"ALCOHOL","",IF($K2953="","",$H2953*IFERROR(VLOOKUP($K2953,Drink_Templates!$A:$G,7,FALSE),0)))</f>
        <v/>
      </c>
    </row>
    <row r="2954" ht="15" customHeight="1">
      <c r="C2954">
        <f>IF($B2954="","",INT($B2954))</f>
        <v/>
      </c>
      <c r="D2954">
        <f>IF($C2954="","",$C2954-WEEKDAY($C2954,2)+1)</f>
        <v/>
      </c>
      <c r="E2954">
        <f>IF($C2954="","",DATE(YEAR($C2954),MONTH($C2954),1))</f>
        <v/>
      </c>
      <c r="F2954">
        <f>IF($C2954="","",YEAR($C2954)&amp;"-Q"&amp;ROUNDUP(MONTH($C2954)/3,0))</f>
        <v/>
      </c>
      <c r="L2954">
        <f>IF($G2954&lt;&gt;"ALCOHOL","",IF($K2954="","",$H2954*IFERROR(VLOOKUP($K2954,Drink_Templates!$A:$G,7,FALSE),0)))</f>
        <v/>
      </c>
    </row>
    <row r="2955" ht="15" customHeight="1">
      <c r="C2955">
        <f>IF($B2955="","",INT($B2955))</f>
        <v/>
      </c>
      <c r="D2955">
        <f>IF($C2955="","",$C2955-WEEKDAY($C2955,2)+1)</f>
        <v/>
      </c>
      <c r="E2955">
        <f>IF($C2955="","",DATE(YEAR($C2955),MONTH($C2955),1))</f>
        <v/>
      </c>
      <c r="F2955">
        <f>IF($C2955="","",YEAR($C2955)&amp;"-Q"&amp;ROUNDUP(MONTH($C2955)/3,0))</f>
        <v/>
      </c>
      <c r="L2955">
        <f>IF($G2955&lt;&gt;"ALCOHOL","",IF($K2955="","",$H2955*IFERROR(VLOOKUP($K2955,Drink_Templates!$A:$G,7,FALSE),0)))</f>
        <v/>
      </c>
    </row>
    <row r="2956" ht="15" customHeight="1">
      <c r="C2956">
        <f>IF($B2956="","",INT($B2956))</f>
        <v/>
      </c>
      <c r="D2956">
        <f>IF($C2956="","",$C2956-WEEKDAY($C2956,2)+1)</f>
        <v/>
      </c>
      <c r="E2956">
        <f>IF($C2956="","",DATE(YEAR($C2956),MONTH($C2956),1))</f>
        <v/>
      </c>
      <c r="F2956">
        <f>IF($C2956="","",YEAR($C2956)&amp;"-Q"&amp;ROUNDUP(MONTH($C2956)/3,0))</f>
        <v/>
      </c>
      <c r="L2956">
        <f>IF($G2956&lt;&gt;"ALCOHOL","",IF($K2956="","",$H2956*IFERROR(VLOOKUP($K2956,Drink_Templates!$A:$G,7,FALSE),0)))</f>
        <v/>
      </c>
    </row>
    <row r="2957" ht="15" customHeight="1">
      <c r="C2957">
        <f>IF($B2957="","",INT($B2957))</f>
        <v/>
      </c>
      <c r="D2957">
        <f>IF($C2957="","",$C2957-WEEKDAY($C2957,2)+1)</f>
        <v/>
      </c>
      <c r="E2957">
        <f>IF($C2957="","",DATE(YEAR($C2957),MONTH($C2957),1))</f>
        <v/>
      </c>
      <c r="F2957">
        <f>IF($C2957="","",YEAR($C2957)&amp;"-Q"&amp;ROUNDUP(MONTH($C2957)/3,0))</f>
        <v/>
      </c>
      <c r="L2957">
        <f>IF($G2957&lt;&gt;"ALCOHOL","",IF($K2957="","",$H2957*IFERROR(VLOOKUP($K2957,Drink_Templates!$A:$G,7,FALSE),0)))</f>
        <v/>
      </c>
    </row>
    <row r="2958" ht="15" customHeight="1">
      <c r="C2958">
        <f>IF($B2958="","",INT($B2958))</f>
        <v/>
      </c>
      <c r="D2958">
        <f>IF($C2958="","",$C2958-WEEKDAY($C2958,2)+1)</f>
        <v/>
      </c>
      <c r="E2958">
        <f>IF($C2958="","",DATE(YEAR($C2958),MONTH($C2958),1))</f>
        <v/>
      </c>
      <c r="F2958">
        <f>IF($C2958="","",YEAR($C2958)&amp;"-Q"&amp;ROUNDUP(MONTH($C2958)/3,0))</f>
        <v/>
      </c>
      <c r="L2958">
        <f>IF($G2958&lt;&gt;"ALCOHOL","",IF($K2958="","",$H2958*IFERROR(VLOOKUP($K2958,Drink_Templates!$A:$G,7,FALSE),0)))</f>
        <v/>
      </c>
    </row>
    <row r="2959" ht="15" customHeight="1">
      <c r="C2959">
        <f>IF($B2959="","",INT($B2959))</f>
        <v/>
      </c>
      <c r="D2959">
        <f>IF($C2959="","",$C2959-WEEKDAY($C2959,2)+1)</f>
        <v/>
      </c>
      <c r="E2959">
        <f>IF($C2959="","",DATE(YEAR($C2959),MONTH($C2959),1))</f>
        <v/>
      </c>
      <c r="F2959">
        <f>IF($C2959="","",YEAR($C2959)&amp;"-Q"&amp;ROUNDUP(MONTH($C2959)/3,0))</f>
        <v/>
      </c>
      <c r="L2959">
        <f>IF($G2959&lt;&gt;"ALCOHOL","",IF($K2959="","",$H2959*IFERROR(VLOOKUP($K2959,Drink_Templates!$A:$G,7,FALSE),0)))</f>
        <v/>
      </c>
    </row>
    <row r="2960" ht="15" customHeight="1">
      <c r="C2960">
        <f>IF($B2960="","",INT($B2960))</f>
        <v/>
      </c>
      <c r="D2960">
        <f>IF($C2960="","",$C2960-WEEKDAY($C2960,2)+1)</f>
        <v/>
      </c>
      <c r="E2960">
        <f>IF($C2960="","",DATE(YEAR($C2960),MONTH($C2960),1))</f>
        <v/>
      </c>
      <c r="F2960">
        <f>IF($C2960="","",YEAR($C2960)&amp;"-Q"&amp;ROUNDUP(MONTH($C2960)/3,0))</f>
        <v/>
      </c>
      <c r="L2960">
        <f>IF($G2960&lt;&gt;"ALCOHOL","",IF($K2960="","",$H2960*IFERROR(VLOOKUP($K2960,Drink_Templates!$A:$G,7,FALSE),0)))</f>
        <v/>
      </c>
    </row>
    <row r="2961" ht="15" customHeight="1">
      <c r="C2961">
        <f>IF($B2961="","",INT($B2961))</f>
        <v/>
      </c>
      <c r="D2961">
        <f>IF($C2961="","",$C2961-WEEKDAY($C2961,2)+1)</f>
        <v/>
      </c>
      <c r="E2961">
        <f>IF($C2961="","",DATE(YEAR($C2961),MONTH($C2961),1))</f>
        <v/>
      </c>
      <c r="F2961">
        <f>IF($C2961="","",YEAR($C2961)&amp;"-Q"&amp;ROUNDUP(MONTH($C2961)/3,0))</f>
        <v/>
      </c>
      <c r="L2961">
        <f>IF($G2961&lt;&gt;"ALCOHOL","",IF($K2961="","",$H2961*IFERROR(VLOOKUP($K2961,Drink_Templates!$A:$G,7,FALSE),0)))</f>
        <v/>
      </c>
    </row>
    <row r="2962" ht="15" customHeight="1">
      <c r="C2962">
        <f>IF($B2962="","",INT($B2962))</f>
        <v/>
      </c>
      <c r="D2962">
        <f>IF($C2962="","",$C2962-WEEKDAY($C2962,2)+1)</f>
        <v/>
      </c>
      <c r="E2962">
        <f>IF($C2962="","",DATE(YEAR($C2962),MONTH($C2962),1))</f>
        <v/>
      </c>
      <c r="F2962">
        <f>IF($C2962="","",YEAR($C2962)&amp;"-Q"&amp;ROUNDUP(MONTH($C2962)/3,0))</f>
        <v/>
      </c>
      <c r="L2962">
        <f>IF($G2962&lt;&gt;"ALCOHOL","",IF($K2962="","",$H2962*IFERROR(VLOOKUP($K2962,Drink_Templates!$A:$G,7,FALSE),0)))</f>
        <v/>
      </c>
    </row>
    <row r="2963" ht="15" customHeight="1">
      <c r="C2963">
        <f>IF($B2963="","",INT($B2963))</f>
        <v/>
      </c>
      <c r="D2963">
        <f>IF($C2963="","",$C2963-WEEKDAY($C2963,2)+1)</f>
        <v/>
      </c>
      <c r="E2963">
        <f>IF($C2963="","",DATE(YEAR($C2963),MONTH($C2963),1))</f>
        <v/>
      </c>
      <c r="F2963">
        <f>IF($C2963="","",YEAR($C2963)&amp;"-Q"&amp;ROUNDUP(MONTH($C2963)/3,0))</f>
        <v/>
      </c>
      <c r="L2963">
        <f>IF($G2963&lt;&gt;"ALCOHOL","",IF($K2963="","",$H2963*IFERROR(VLOOKUP($K2963,Drink_Templates!$A:$G,7,FALSE),0)))</f>
        <v/>
      </c>
    </row>
    <row r="2964" ht="15" customHeight="1">
      <c r="C2964">
        <f>IF($B2964="","",INT($B2964))</f>
        <v/>
      </c>
      <c r="D2964">
        <f>IF($C2964="","",$C2964-WEEKDAY($C2964,2)+1)</f>
        <v/>
      </c>
      <c r="E2964">
        <f>IF($C2964="","",DATE(YEAR($C2964),MONTH($C2964),1))</f>
        <v/>
      </c>
      <c r="F2964">
        <f>IF($C2964="","",YEAR($C2964)&amp;"-Q"&amp;ROUNDUP(MONTH($C2964)/3,0))</f>
        <v/>
      </c>
      <c r="L2964">
        <f>IF($G2964&lt;&gt;"ALCOHOL","",IF($K2964="","",$H2964*IFERROR(VLOOKUP($K2964,Drink_Templates!$A:$G,7,FALSE),0)))</f>
        <v/>
      </c>
    </row>
    <row r="2965" ht="15" customHeight="1">
      <c r="C2965">
        <f>IF($B2965="","",INT($B2965))</f>
        <v/>
      </c>
      <c r="D2965">
        <f>IF($C2965="","",$C2965-WEEKDAY($C2965,2)+1)</f>
        <v/>
      </c>
      <c r="E2965">
        <f>IF($C2965="","",DATE(YEAR($C2965),MONTH($C2965),1))</f>
        <v/>
      </c>
      <c r="F2965">
        <f>IF($C2965="","",YEAR($C2965)&amp;"-Q"&amp;ROUNDUP(MONTH($C2965)/3,0))</f>
        <v/>
      </c>
      <c r="L2965">
        <f>IF($G2965&lt;&gt;"ALCOHOL","",IF($K2965="","",$H2965*IFERROR(VLOOKUP($K2965,Drink_Templates!$A:$G,7,FALSE),0)))</f>
        <v/>
      </c>
    </row>
    <row r="2966" ht="15" customHeight="1">
      <c r="C2966">
        <f>IF($B2966="","",INT($B2966))</f>
        <v/>
      </c>
      <c r="D2966">
        <f>IF($C2966="","",$C2966-WEEKDAY($C2966,2)+1)</f>
        <v/>
      </c>
      <c r="E2966">
        <f>IF($C2966="","",DATE(YEAR($C2966),MONTH($C2966),1))</f>
        <v/>
      </c>
      <c r="F2966">
        <f>IF($C2966="","",YEAR($C2966)&amp;"-Q"&amp;ROUNDUP(MONTH($C2966)/3,0))</f>
        <v/>
      </c>
      <c r="L2966">
        <f>IF($G2966&lt;&gt;"ALCOHOL","",IF($K2966="","",$H2966*IFERROR(VLOOKUP($K2966,Drink_Templates!$A:$G,7,FALSE),0)))</f>
        <v/>
      </c>
    </row>
    <row r="2967" ht="15" customHeight="1">
      <c r="C2967">
        <f>IF($B2967="","",INT($B2967))</f>
        <v/>
      </c>
      <c r="D2967">
        <f>IF($C2967="","",$C2967-WEEKDAY($C2967,2)+1)</f>
        <v/>
      </c>
      <c r="E2967">
        <f>IF($C2967="","",DATE(YEAR($C2967),MONTH($C2967),1))</f>
        <v/>
      </c>
      <c r="F2967">
        <f>IF($C2967="","",YEAR($C2967)&amp;"-Q"&amp;ROUNDUP(MONTH($C2967)/3,0))</f>
        <v/>
      </c>
      <c r="L2967">
        <f>IF($G2967&lt;&gt;"ALCOHOL","",IF($K2967="","",$H2967*IFERROR(VLOOKUP($K2967,Drink_Templates!$A:$G,7,FALSE),0)))</f>
        <v/>
      </c>
    </row>
    <row r="2968" ht="15" customHeight="1">
      <c r="C2968">
        <f>IF($B2968="","",INT($B2968))</f>
        <v/>
      </c>
      <c r="D2968">
        <f>IF($C2968="","",$C2968-WEEKDAY($C2968,2)+1)</f>
        <v/>
      </c>
      <c r="E2968">
        <f>IF($C2968="","",DATE(YEAR($C2968),MONTH($C2968),1))</f>
        <v/>
      </c>
      <c r="F2968">
        <f>IF($C2968="","",YEAR($C2968)&amp;"-Q"&amp;ROUNDUP(MONTH($C2968)/3,0))</f>
        <v/>
      </c>
      <c r="L2968">
        <f>IF($G2968&lt;&gt;"ALCOHOL","",IF($K2968="","",$H2968*IFERROR(VLOOKUP($K2968,Drink_Templates!$A:$G,7,FALSE),0)))</f>
        <v/>
      </c>
    </row>
    <row r="2969" ht="15" customHeight="1">
      <c r="C2969">
        <f>IF($B2969="","",INT($B2969))</f>
        <v/>
      </c>
      <c r="D2969">
        <f>IF($C2969="","",$C2969-WEEKDAY($C2969,2)+1)</f>
        <v/>
      </c>
      <c r="E2969">
        <f>IF($C2969="","",DATE(YEAR($C2969),MONTH($C2969),1))</f>
        <v/>
      </c>
      <c r="F2969">
        <f>IF($C2969="","",YEAR($C2969)&amp;"-Q"&amp;ROUNDUP(MONTH($C2969)/3,0))</f>
        <v/>
      </c>
      <c r="L2969">
        <f>IF($G2969&lt;&gt;"ALCOHOL","",IF($K2969="","",$H2969*IFERROR(VLOOKUP($K2969,Drink_Templates!$A:$G,7,FALSE),0)))</f>
        <v/>
      </c>
    </row>
    <row r="2970" ht="15" customHeight="1">
      <c r="C2970">
        <f>IF($B2970="","",INT($B2970))</f>
        <v/>
      </c>
      <c r="D2970">
        <f>IF($C2970="","",$C2970-WEEKDAY($C2970,2)+1)</f>
        <v/>
      </c>
      <c r="E2970">
        <f>IF($C2970="","",DATE(YEAR($C2970),MONTH($C2970),1))</f>
        <v/>
      </c>
      <c r="F2970">
        <f>IF($C2970="","",YEAR($C2970)&amp;"-Q"&amp;ROUNDUP(MONTH($C2970)/3,0))</f>
        <v/>
      </c>
      <c r="L2970">
        <f>IF($G2970&lt;&gt;"ALCOHOL","",IF($K2970="","",$H2970*IFERROR(VLOOKUP($K2970,Drink_Templates!$A:$G,7,FALSE),0)))</f>
        <v/>
      </c>
    </row>
    <row r="2971" ht="15" customHeight="1">
      <c r="C2971">
        <f>IF($B2971="","",INT($B2971))</f>
        <v/>
      </c>
      <c r="D2971">
        <f>IF($C2971="","",$C2971-WEEKDAY($C2971,2)+1)</f>
        <v/>
      </c>
      <c r="E2971">
        <f>IF($C2971="","",DATE(YEAR($C2971),MONTH($C2971),1))</f>
        <v/>
      </c>
      <c r="F2971">
        <f>IF($C2971="","",YEAR($C2971)&amp;"-Q"&amp;ROUNDUP(MONTH($C2971)/3,0))</f>
        <v/>
      </c>
      <c r="L2971">
        <f>IF($G2971&lt;&gt;"ALCOHOL","",IF($K2971="","",$H2971*IFERROR(VLOOKUP($K2971,Drink_Templates!$A:$G,7,FALSE),0)))</f>
        <v/>
      </c>
    </row>
    <row r="2972" ht="15" customHeight="1">
      <c r="C2972">
        <f>IF($B2972="","",INT($B2972))</f>
        <v/>
      </c>
      <c r="D2972">
        <f>IF($C2972="","",$C2972-WEEKDAY($C2972,2)+1)</f>
        <v/>
      </c>
      <c r="E2972">
        <f>IF($C2972="","",DATE(YEAR($C2972),MONTH($C2972),1))</f>
        <v/>
      </c>
      <c r="F2972">
        <f>IF($C2972="","",YEAR($C2972)&amp;"-Q"&amp;ROUNDUP(MONTH($C2972)/3,0))</f>
        <v/>
      </c>
      <c r="L2972">
        <f>IF($G2972&lt;&gt;"ALCOHOL","",IF($K2972="","",$H2972*IFERROR(VLOOKUP($K2972,Drink_Templates!$A:$G,7,FALSE),0)))</f>
        <v/>
      </c>
    </row>
    <row r="2973" ht="15" customHeight="1">
      <c r="C2973">
        <f>IF($B2973="","",INT($B2973))</f>
        <v/>
      </c>
      <c r="D2973">
        <f>IF($C2973="","",$C2973-WEEKDAY($C2973,2)+1)</f>
        <v/>
      </c>
      <c r="E2973">
        <f>IF($C2973="","",DATE(YEAR($C2973),MONTH($C2973),1))</f>
        <v/>
      </c>
      <c r="F2973">
        <f>IF($C2973="","",YEAR($C2973)&amp;"-Q"&amp;ROUNDUP(MONTH($C2973)/3,0))</f>
        <v/>
      </c>
      <c r="L2973">
        <f>IF($G2973&lt;&gt;"ALCOHOL","",IF($K2973="","",$H2973*IFERROR(VLOOKUP($K2973,Drink_Templates!$A:$G,7,FALSE),0)))</f>
        <v/>
      </c>
    </row>
    <row r="2974" ht="15" customHeight="1">
      <c r="C2974">
        <f>IF($B2974="","",INT($B2974))</f>
        <v/>
      </c>
      <c r="D2974">
        <f>IF($C2974="","",$C2974-WEEKDAY($C2974,2)+1)</f>
        <v/>
      </c>
      <c r="E2974">
        <f>IF($C2974="","",DATE(YEAR($C2974),MONTH($C2974),1))</f>
        <v/>
      </c>
      <c r="F2974">
        <f>IF($C2974="","",YEAR($C2974)&amp;"-Q"&amp;ROUNDUP(MONTH($C2974)/3,0))</f>
        <v/>
      </c>
      <c r="L2974">
        <f>IF($G2974&lt;&gt;"ALCOHOL","",IF($K2974="","",$H2974*IFERROR(VLOOKUP($K2974,Drink_Templates!$A:$G,7,FALSE),0)))</f>
        <v/>
      </c>
    </row>
    <row r="2975" ht="15" customHeight="1">
      <c r="C2975">
        <f>IF($B2975="","",INT($B2975))</f>
        <v/>
      </c>
      <c r="D2975">
        <f>IF($C2975="","",$C2975-WEEKDAY($C2975,2)+1)</f>
        <v/>
      </c>
      <c r="E2975">
        <f>IF($C2975="","",DATE(YEAR($C2975),MONTH($C2975),1))</f>
        <v/>
      </c>
      <c r="F2975">
        <f>IF($C2975="","",YEAR($C2975)&amp;"-Q"&amp;ROUNDUP(MONTH($C2975)/3,0))</f>
        <v/>
      </c>
      <c r="L2975">
        <f>IF($G2975&lt;&gt;"ALCOHOL","",IF($K2975="","",$H2975*IFERROR(VLOOKUP($K2975,Drink_Templates!$A:$G,7,FALSE),0)))</f>
        <v/>
      </c>
    </row>
    <row r="2976" ht="15" customHeight="1">
      <c r="C2976">
        <f>IF($B2976="","",INT($B2976))</f>
        <v/>
      </c>
      <c r="D2976">
        <f>IF($C2976="","",$C2976-WEEKDAY($C2976,2)+1)</f>
        <v/>
      </c>
      <c r="E2976">
        <f>IF($C2976="","",DATE(YEAR($C2976),MONTH($C2976),1))</f>
        <v/>
      </c>
      <c r="F2976">
        <f>IF($C2976="","",YEAR($C2976)&amp;"-Q"&amp;ROUNDUP(MONTH($C2976)/3,0))</f>
        <v/>
      </c>
      <c r="L2976">
        <f>IF($G2976&lt;&gt;"ALCOHOL","",IF($K2976="","",$H2976*IFERROR(VLOOKUP($K2976,Drink_Templates!$A:$G,7,FALSE),0)))</f>
        <v/>
      </c>
    </row>
    <row r="2977" ht="15" customHeight="1">
      <c r="C2977">
        <f>IF($B2977="","",INT($B2977))</f>
        <v/>
      </c>
      <c r="D2977">
        <f>IF($C2977="","",$C2977-WEEKDAY($C2977,2)+1)</f>
        <v/>
      </c>
      <c r="E2977">
        <f>IF($C2977="","",DATE(YEAR($C2977),MONTH($C2977),1))</f>
        <v/>
      </c>
      <c r="F2977">
        <f>IF($C2977="","",YEAR($C2977)&amp;"-Q"&amp;ROUNDUP(MONTH($C2977)/3,0))</f>
        <v/>
      </c>
      <c r="L2977">
        <f>IF($G2977&lt;&gt;"ALCOHOL","",IF($K2977="","",$H2977*IFERROR(VLOOKUP($K2977,Drink_Templates!$A:$G,7,FALSE),0)))</f>
        <v/>
      </c>
    </row>
    <row r="2978" ht="15" customHeight="1">
      <c r="C2978">
        <f>IF($B2978="","",INT($B2978))</f>
        <v/>
      </c>
      <c r="D2978">
        <f>IF($C2978="","",$C2978-WEEKDAY($C2978,2)+1)</f>
        <v/>
      </c>
      <c r="E2978">
        <f>IF($C2978="","",DATE(YEAR($C2978),MONTH($C2978),1))</f>
        <v/>
      </c>
      <c r="F2978">
        <f>IF($C2978="","",YEAR($C2978)&amp;"-Q"&amp;ROUNDUP(MONTH($C2978)/3,0))</f>
        <v/>
      </c>
      <c r="L2978">
        <f>IF($G2978&lt;&gt;"ALCOHOL","",IF($K2978="","",$H2978*IFERROR(VLOOKUP($K2978,Drink_Templates!$A:$G,7,FALSE),0)))</f>
        <v/>
      </c>
    </row>
    <row r="2979" ht="15" customHeight="1">
      <c r="C2979">
        <f>IF($B2979="","",INT($B2979))</f>
        <v/>
      </c>
      <c r="D2979">
        <f>IF($C2979="","",$C2979-WEEKDAY($C2979,2)+1)</f>
        <v/>
      </c>
      <c r="E2979">
        <f>IF($C2979="","",DATE(YEAR($C2979),MONTH($C2979),1))</f>
        <v/>
      </c>
      <c r="F2979">
        <f>IF($C2979="","",YEAR($C2979)&amp;"-Q"&amp;ROUNDUP(MONTH($C2979)/3,0))</f>
        <v/>
      </c>
      <c r="L2979">
        <f>IF($G2979&lt;&gt;"ALCOHOL","",IF($K2979="","",$H2979*IFERROR(VLOOKUP($K2979,Drink_Templates!$A:$G,7,FALSE),0)))</f>
        <v/>
      </c>
    </row>
    <row r="2980" ht="15" customHeight="1">
      <c r="C2980">
        <f>IF($B2980="","",INT($B2980))</f>
        <v/>
      </c>
      <c r="D2980">
        <f>IF($C2980="","",$C2980-WEEKDAY($C2980,2)+1)</f>
        <v/>
      </c>
      <c r="E2980">
        <f>IF($C2980="","",DATE(YEAR($C2980),MONTH($C2980),1))</f>
        <v/>
      </c>
      <c r="F2980">
        <f>IF($C2980="","",YEAR($C2980)&amp;"-Q"&amp;ROUNDUP(MONTH($C2980)/3,0))</f>
        <v/>
      </c>
      <c r="L2980">
        <f>IF($G2980&lt;&gt;"ALCOHOL","",IF($K2980="","",$H2980*IFERROR(VLOOKUP($K2980,Drink_Templates!$A:$G,7,FALSE),0)))</f>
        <v/>
      </c>
    </row>
    <row r="2981" ht="15" customHeight="1">
      <c r="C2981">
        <f>IF($B2981="","",INT($B2981))</f>
        <v/>
      </c>
      <c r="D2981">
        <f>IF($C2981="","",$C2981-WEEKDAY($C2981,2)+1)</f>
        <v/>
      </c>
      <c r="E2981">
        <f>IF($C2981="","",DATE(YEAR($C2981),MONTH($C2981),1))</f>
        <v/>
      </c>
      <c r="F2981">
        <f>IF($C2981="","",YEAR($C2981)&amp;"-Q"&amp;ROUNDUP(MONTH($C2981)/3,0))</f>
        <v/>
      </c>
      <c r="L2981">
        <f>IF($G2981&lt;&gt;"ALCOHOL","",IF($K2981="","",$H2981*IFERROR(VLOOKUP($K2981,Drink_Templates!$A:$G,7,FALSE),0)))</f>
        <v/>
      </c>
    </row>
    <row r="2982" ht="15" customHeight="1">
      <c r="C2982">
        <f>IF($B2982="","",INT($B2982))</f>
        <v/>
      </c>
      <c r="D2982">
        <f>IF($C2982="","",$C2982-WEEKDAY($C2982,2)+1)</f>
        <v/>
      </c>
      <c r="E2982">
        <f>IF($C2982="","",DATE(YEAR($C2982),MONTH($C2982),1))</f>
        <v/>
      </c>
      <c r="F2982">
        <f>IF($C2982="","",YEAR($C2982)&amp;"-Q"&amp;ROUNDUP(MONTH($C2982)/3,0))</f>
        <v/>
      </c>
      <c r="L2982">
        <f>IF($G2982&lt;&gt;"ALCOHOL","",IF($K2982="","",$H2982*IFERROR(VLOOKUP($K2982,Drink_Templates!$A:$G,7,FALSE),0)))</f>
        <v/>
      </c>
    </row>
    <row r="2983" ht="15" customHeight="1">
      <c r="C2983">
        <f>IF($B2983="","",INT($B2983))</f>
        <v/>
      </c>
      <c r="D2983">
        <f>IF($C2983="","",$C2983-WEEKDAY($C2983,2)+1)</f>
        <v/>
      </c>
      <c r="E2983">
        <f>IF($C2983="","",DATE(YEAR($C2983),MONTH($C2983),1))</f>
        <v/>
      </c>
      <c r="F2983">
        <f>IF($C2983="","",YEAR($C2983)&amp;"-Q"&amp;ROUNDUP(MONTH($C2983)/3,0))</f>
        <v/>
      </c>
      <c r="L2983">
        <f>IF($G2983&lt;&gt;"ALCOHOL","",IF($K2983="","",$H2983*IFERROR(VLOOKUP($K2983,Drink_Templates!$A:$G,7,FALSE),0)))</f>
        <v/>
      </c>
    </row>
    <row r="2984" ht="15" customHeight="1">
      <c r="C2984">
        <f>IF($B2984="","",INT($B2984))</f>
        <v/>
      </c>
      <c r="D2984">
        <f>IF($C2984="","",$C2984-WEEKDAY($C2984,2)+1)</f>
        <v/>
      </c>
      <c r="E2984">
        <f>IF($C2984="","",DATE(YEAR($C2984),MONTH($C2984),1))</f>
        <v/>
      </c>
      <c r="F2984">
        <f>IF($C2984="","",YEAR($C2984)&amp;"-Q"&amp;ROUNDUP(MONTH($C2984)/3,0))</f>
        <v/>
      </c>
      <c r="L2984">
        <f>IF($G2984&lt;&gt;"ALCOHOL","",IF($K2984="","",$H2984*IFERROR(VLOOKUP($K2984,Drink_Templates!$A:$G,7,FALSE),0)))</f>
        <v/>
      </c>
    </row>
    <row r="2985" ht="15" customHeight="1">
      <c r="C2985">
        <f>IF($B2985="","",INT($B2985))</f>
        <v/>
      </c>
      <c r="D2985">
        <f>IF($C2985="","",$C2985-WEEKDAY($C2985,2)+1)</f>
        <v/>
      </c>
      <c r="E2985">
        <f>IF($C2985="","",DATE(YEAR($C2985),MONTH($C2985),1))</f>
        <v/>
      </c>
      <c r="F2985">
        <f>IF($C2985="","",YEAR($C2985)&amp;"-Q"&amp;ROUNDUP(MONTH($C2985)/3,0))</f>
        <v/>
      </c>
      <c r="L2985">
        <f>IF($G2985&lt;&gt;"ALCOHOL","",IF($K2985="","",$H2985*IFERROR(VLOOKUP($K2985,Drink_Templates!$A:$G,7,FALSE),0)))</f>
        <v/>
      </c>
    </row>
    <row r="2986" ht="15" customHeight="1">
      <c r="C2986">
        <f>IF($B2986="","",INT($B2986))</f>
        <v/>
      </c>
      <c r="D2986">
        <f>IF($C2986="","",$C2986-WEEKDAY($C2986,2)+1)</f>
        <v/>
      </c>
      <c r="E2986">
        <f>IF($C2986="","",DATE(YEAR($C2986),MONTH($C2986),1))</f>
        <v/>
      </c>
      <c r="F2986">
        <f>IF($C2986="","",YEAR($C2986)&amp;"-Q"&amp;ROUNDUP(MONTH($C2986)/3,0))</f>
        <v/>
      </c>
      <c r="L2986">
        <f>IF($G2986&lt;&gt;"ALCOHOL","",IF($K2986="","",$H2986*IFERROR(VLOOKUP($K2986,Drink_Templates!$A:$G,7,FALSE),0)))</f>
        <v/>
      </c>
    </row>
    <row r="2987" ht="15" customHeight="1">
      <c r="C2987">
        <f>IF($B2987="","",INT($B2987))</f>
        <v/>
      </c>
      <c r="D2987">
        <f>IF($C2987="","",$C2987-WEEKDAY($C2987,2)+1)</f>
        <v/>
      </c>
      <c r="E2987">
        <f>IF($C2987="","",DATE(YEAR($C2987),MONTH($C2987),1))</f>
        <v/>
      </c>
      <c r="F2987">
        <f>IF($C2987="","",YEAR($C2987)&amp;"-Q"&amp;ROUNDUP(MONTH($C2987)/3,0))</f>
        <v/>
      </c>
      <c r="L2987">
        <f>IF($G2987&lt;&gt;"ALCOHOL","",IF($K2987="","",$H2987*IFERROR(VLOOKUP($K2987,Drink_Templates!$A:$G,7,FALSE),0)))</f>
        <v/>
      </c>
    </row>
    <row r="2988" ht="15" customHeight="1">
      <c r="C2988">
        <f>IF($B2988="","",INT($B2988))</f>
        <v/>
      </c>
      <c r="D2988">
        <f>IF($C2988="","",$C2988-WEEKDAY($C2988,2)+1)</f>
        <v/>
      </c>
      <c r="E2988">
        <f>IF($C2988="","",DATE(YEAR($C2988),MONTH($C2988),1))</f>
        <v/>
      </c>
      <c r="F2988">
        <f>IF($C2988="","",YEAR($C2988)&amp;"-Q"&amp;ROUNDUP(MONTH($C2988)/3,0))</f>
        <v/>
      </c>
      <c r="L2988">
        <f>IF($G2988&lt;&gt;"ALCOHOL","",IF($K2988="","",$H2988*IFERROR(VLOOKUP($K2988,Drink_Templates!$A:$G,7,FALSE),0)))</f>
        <v/>
      </c>
    </row>
    <row r="2989" ht="15" customHeight="1">
      <c r="C2989">
        <f>IF($B2989="","",INT($B2989))</f>
        <v/>
      </c>
      <c r="D2989">
        <f>IF($C2989="","",$C2989-WEEKDAY($C2989,2)+1)</f>
        <v/>
      </c>
      <c r="E2989">
        <f>IF($C2989="","",DATE(YEAR($C2989),MONTH($C2989),1))</f>
        <v/>
      </c>
      <c r="F2989">
        <f>IF($C2989="","",YEAR($C2989)&amp;"-Q"&amp;ROUNDUP(MONTH($C2989)/3,0))</f>
        <v/>
      </c>
      <c r="L2989">
        <f>IF($G2989&lt;&gt;"ALCOHOL","",IF($K2989="","",$H2989*IFERROR(VLOOKUP($K2989,Drink_Templates!$A:$G,7,FALSE),0)))</f>
        <v/>
      </c>
    </row>
    <row r="2990" ht="15" customHeight="1">
      <c r="C2990">
        <f>IF($B2990="","",INT($B2990))</f>
        <v/>
      </c>
      <c r="D2990">
        <f>IF($C2990="","",$C2990-WEEKDAY($C2990,2)+1)</f>
        <v/>
      </c>
      <c r="E2990">
        <f>IF($C2990="","",DATE(YEAR($C2990),MONTH($C2990),1))</f>
        <v/>
      </c>
      <c r="F2990">
        <f>IF($C2990="","",YEAR($C2990)&amp;"-Q"&amp;ROUNDUP(MONTH($C2990)/3,0))</f>
        <v/>
      </c>
      <c r="L2990">
        <f>IF($G2990&lt;&gt;"ALCOHOL","",IF($K2990="","",$H2990*IFERROR(VLOOKUP($K2990,Drink_Templates!$A:$G,7,FALSE),0)))</f>
        <v/>
      </c>
    </row>
    <row r="2991" ht="15" customHeight="1">
      <c r="C2991">
        <f>IF($B2991="","",INT($B2991))</f>
        <v/>
      </c>
      <c r="D2991">
        <f>IF($C2991="","",$C2991-WEEKDAY($C2991,2)+1)</f>
        <v/>
      </c>
      <c r="E2991">
        <f>IF($C2991="","",DATE(YEAR($C2991),MONTH($C2991),1))</f>
        <v/>
      </c>
      <c r="F2991">
        <f>IF($C2991="","",YEAR($C2991)&amp;"-Q"&amp;ROUNDUP(MONTH($C2991)/3,0))</f>
        <v/>
      </c>
      <c r="L2991">
        <f>IF($G2991&lt;&gt;"ALCOHOL","",IF($K2991="","",$H2991*IFERROR(VLOOKUP($K2991,Drink_Templates!$A:$G,7,FALSE),0)))</f>
        <v/>
      </c>
    </row>
    <row r="2992" ht="15" customHeight="1">
      <c r="C2992">
        <f>IF($B2992="","",INT($B2992))</f>
        <v/>
      </c>
      <c r="D2992">
        <f>IF($C2992="","",$C2992-WEEKDAY($C2992,2)+1)</f>
        <v/>
      </c>
      <c r="E2992">
        <f>IF($C2992="","",DATE(YEAR($C2992),MONTH($C2992),1))</f>
        <v/>
      </c>
      <c r="F2992">
        <f>IF($C2992="","",YEAR($C2992)&amp;"-Q"&amp;ROUNDUP(MONTH($C2992)/3,0))</f>
        <v/>
      </c>
      <c r="L2992">
        <f>IF($G2992&lt;&gt;"ALCOHOL","",IF($K2992="","",$H2992*IFERROR(VLOOKUP($K2992,Drink_Templates!$A:$G,7,FALSE),0)))</f>
        <v/>
      </c>
    </row>
    <row r="2993" ht="15" customHeight="1">
      <c r="C2993">
        <f>IF($B2993="","",INT($B2993))</f>
        <v/>
      </c>
      <c r="D2993">
        <f>IF($C2993="","",$C2993-WEEKDAY($C2993,2)+1)</f>
        <v/>
      </c>
      <c r="E2993">
        <f>IF($C2993="","",DATE(YEAR($C2993),MONTH($C2993),1))</f>
        <v/>
      </c>
      <c r="F2993">
        <f>IF($C2993="","",YEAR($C2993)&amp;"-Q"&amp;ROUNDUP(MONTH($C2993)/3,0))</f>
        <v/>
      </c>
      <c r="L2993">
        <f>IF($G2993&lt;&gt;"ALCOHOL","",IF($K2993="","",$H2993*IFERROR(VLOOKUP($K2993,Drink_Templates!$A:$G,7,FALSE),0)))</f>
        <v/>
      </c>
    </row>
    <row r="2994" ht="15" customHeight="1">
      <c r="C2994">
        <f>IF($B2994="","",INT($B2994))</f>
        <v/>
      </c>
      <c r="D2994">
        <f>IF($C2994="","",$C2994-WEEKDAY($C2994,2)+1)</f>
        <v/>
      </c>
      <c r="E2994">
        <f>IF($C2994="","",DATE(YEAR($C2994),MONTH($C2994),1))</f>
        <v/>
      </c>
      <c r="F2994">
        <f>IF($C2994="","",YEAR($C2994)&amp;"-Q"&amp;ROUNDUP(MONTH($C2994)/3,0))</f>
        <v/>
      </c>
      <c r="L2994">
        <f>IF($G2994&lt;&gt;"ALCOHOL","",IF($K2994="","",$H2994*IFERROR(VLOOKUP($K2994,Drink_Templates!$A:$G,7,FALSE),0)))</f>
        <v/>
      </c>
    </row>
    <row r="2995" ht="15" customHeight="1">
      <c r="C2995">
        <f>IF($B2995="","",INT($B2995))</f>
        <v/>
      </c>
      <c r="D2995">
        <f>IF($C2995="","",$C2995-WEEKDAY($C2995,2)+1)</f>
        <v/>
      </c>
      <c r="E2995">
        <f>IF($C2995="","",DATE(YEAR($C2995),MONTH($C2995),1))</f>
        <v/>
      </c>
      <c r="F2995">
        <f>IF($C2995="","",YEAR($C2995)&amp;"-Q"&amp;ROUNDUP(MONTH($C2995)/3,0))</f>
        <v/>
      </c>
      <c r="L2995">
        <f>IF($G2995&lt;&gt;"ALCOHOL","",IF($K2995="","",$H2995*IFERROR(VLOOKUP($K2995,Drink_Templates!$A:$G,7,FALSE),0)))</f>
        <v/>
      </c>
    </row>
    <row r="2996" ht="15" customHeight="1">
      <c r="C2996">
        <f>IF($B2996="","",INT($B2996))</f>
        <v/>
      </c>
      <c r="D2996">
        <f>IF($C2996="","",$C2996-WEEKDAY($C2996,2)+1)</f>
        <v/>
      </c>
      <c r="E2996">
        <f>IF($C2996="","",DATE(YEAR($C2996),MONTH($C2996),1))</f>
        <v/>
      </c>
      <c r="F2996">
        <f>IF($C2996="","",YEAR($C2996)&amp;"-Q"&amp;ROUNDUP(MONTH($C2996)/3,0))</f>
        <v/>
      </c>
      <c r="L2996">
        <f>IF($G2996&lt;&gt;"ALCOHOL","",IF($K2996="","",$H2996*IFERROR(VLOOKUP($K2996,Drink_Templates!$A:$G,7,FALSE),0)))</f>
        <v/>
      </c>
    </row>
    <row r="2997" ht="15" customHeight="1">
      <c r="C2997">
        <f>IF($B2997="","",INT($B2997))</f>
        <v/>
      </c>
      <c r="D2997">
        <f>IF($C2997="","",$C2997-WEEKDAY($C2997,2)+1)</f>
        <v/>
      </c>
      <c r="E2997">
        <f>IF($C2997="","",DATE(YEAR($C2997),MONTH($C2997),1))</f>
        <v/>
      </c>
      <c r="F2997">
        <f>IF($C2997="","",YEAR($C2997)&amp;"-Q"&amp;ROUNDUP(MONTH($C2997)/3,0))</f>
        <v/>
      </c>
      <c r="L2997">
        <f>IF($G2997&lt;&gt;"ALCOHOL","",IF($K2997="","",$H2997*IFERROR(VLOOKUP($K2997,Drink_Templates!$A:$G,7,FALSE),0)))</f>
        <v/>
      </c>
    </row>
    <row r="2998" ht="15" customHeight="1">
      <c r="C2998">
        <f>IF($B2998="","",INT($B2998))</f>
        <v/>
      </c>
      <c r="D2998">
        <f>IF($C2998="","",$C2998-WEEKDAY($C2998,2)+1)</f>
        <v/>
      </c>
      <c r="E2998">
        <f>IF($C2998="","",DATE(YEAR($C2998),MONTH($C2998),1))</f>
        <v/>
      </c>
      <c r="F2998">
        <f>IF($C2998="","",YEAR($C2998)&amp;"-Q"&amp;ROUNDUP(MONTH($C2998)/3,0))</f>
        <v/>
      </c>
      <c r="L2998">
        <f>IF($G2998&lt;&gt;"ALCOHOL","",IF($K2998="","",$H2998*IFERROR(VLOOKUP($K2998,Drink_Templates!$A:$G,7,FALSE),0)))</f>
        <v/>
      </c>
    </row>
    <row r="2999" ht="15" customHeight="1">
      <c r="C2999">
        <f>IF($B2999="","",INT($B2999))</f>
        <v/>
      </c>
      <c r="D2999">
        <f>IF($C2999="","",$C2999-WEEKDAY($C2999,2)+1)</f>
        <v/>
      </c>
      <c r="E2999">
        <f>IF($C2999="","",DATE(YEAR($C2999),MONTH($C2999),1))</f>
        <v/>
      </c>
      <c r="F2999">
        <f>IF($C2999="","",YEAR($C2999)&amp;"-Q"&amp;ROUNDUP(MONTH($C2999)/3,0))</f>
        <v/>
      </c>
      <c r="L2999">
        <f>IF($G2999&lt;&gt;"ALCOHOL","",IF($K2999="","",$H2999*IFERROR(VLOOKUP($K2999,Drink_Templates!$A:$G,7,FALSE),0)))</f>
        <v/>
      </c>
    </row>
    <row r="3000" ht="15" customHeight="1">
      <c r="C3000">
        <f>IF($B3000="","",INT($B3000))</f>
        <v/>
      </c>
      <c r="D3000">
        <f>IF($C3000="","",$C3000-WEEKDAY($C3000,2)+1)</f>
        <v/>
      </c>
      <c r="E3000">
        <f>IF($C3000="","",DATE(YEAR($C3000),MONTH($C3000),1))</f>
        <v/>
      </c>
      <c r="F3000">
        <f>IF($C3000="","",YEAR($C3000)&amp;"-Q"&amp;ROUNDUP(MONTH($C3000)/3,0))</f>
        <v/>
      </c>
      <c r="L3000">
        <f>IF($G3000&lt;&gt;"ALCOHOL","",IF($K3000="","",$H3000*IFERROR(VLOOKUP($K3000,Drink_Templates!$A:$G,7,FALSE),0)))</f>
        <v/>
      </c>
    </row>
    <row r="3001" ht="15" customHeight="1">
      <c r="C3001">
        <f>IF($B3001="","",INT($B3001))</f>
        <v/>
      </c>
      <c r="D3001">
        <f>IF($C3001="","",$C3001-WEEKDAY($C3001,2)+1)</f>
        <v/>
      </c>
      <c r="E3001">
        <f>IF($C3001="","",DATE(YEAR($C3001),MONTH($C3001),1))</f>
        <v/>
      </c>
      <c r="F3001">
        <f>IF($C3001="","",YEAR($C3001)&amp;"-Q"&amp;ROUNDUP(MONTH($C3001)/3,0))</f>
        <v/>
      </c>
      <c r="L3001">
        <f>IF($G3001&lt;&gt;"ALCOHOL","",IF($K3001="","",$H3001*IFERROR(VLOOKUP($K3001,Drink_Templates!$A:$G,7,FALSE),0)))</f>
        <v/>
      </c>
    </row>
    <row r="3002" ht="15" customHeight="1">
      <c r="C3002">
        <f>IF($B3002="","",INT($B3002))</f>
        <v/>
      </c>
      <c r="D3002">
        <f>IF($C3002="","",$C3002-WEEKDAY($C3002,2)+1)</f>
        <v/>
      </c>
      <c r="E3002">
        <f>IF($C3002="","",DATE(YEAR($C3002),MONTH($C3002),1))</f>
        <v/>
      </c>
      <c r="F3002">
        <f>IF($C3002="","",YEAR($C3002)&amp;"-Q"&amp;ROUNDUP(MONTH($C3002)/3,0))</f>
        <v/>
      </c>
      <c r="L3002">
        <f>IF($G3002&lt;&gt;"ALCOHOL","",IF($K3002="","",$H3002*IFERROR(VLOOKUP($K3002,Drink_Templates!$A:$G,7,FALSE),0)))</f>
        <v/>
      </c>
    </row>
    <row r="3003" ht="15" customHeight="1">
      <c r="C3003">
        <f>IF($B3003="","",INT($B3003))</f>
        <v/>
      </c>
      <c r="D3003">
        <f>IF($C3003="","",$C3003-WEEKDAY($C3003,2)+1)</f>
        <v/>
      </c>
      <c r="E3003">
        <f>IF($C3003="","",DATE(YEAR($C3003),MONTH($C3003),1))</f>
        <v/>
      </c>
      <c r="F3003">
        <f>IF($C3003="","",YEAR($C3003)&amp;"-Q"&amp;ROUNDUP(MONTH($C3003)/3,0))</f>
        <v/>
      </c>
      <c r="L3003">
        <f>IF($G3003&lt;&gt;"ALCOHOL","",IF($K3003="","",$H3003*IFERROR(VLOOKUP($K3003,Drink_Templates!$A:$G,7,FALSE),0)))</f>
        <v/>
      </c>
    </row>
    <row r="3004" ht="15" customHeight="1">
      <c r="C3004">
        <f>IF($B3004="","",INT($B3004))</f>
        <v/>
      </c>
      <c r="D3004">
        <f>IF($C3004="","",$C3004-WEEKDAY($C3004,2)+1)</f>
        <v/>
      </c>
      <c r="E3004">
        <f>IF($C3004="","",DATE(YEAR($C3004),MONTH($C3004),1))</f>
        <v/>
      </c>
      <c r="F3004">
        <f>IF($C3004="","",YEAR($C3004)&amp;"-Q"&amp;ROUNDUP(MONTH($C3004)/3,0))</f>
        <v/>
      </c>
      <c r="L3004">
        <f>IF($G3004&lt;&gt;"ALCOHOL","",IF($K3004="","",$H3004*IFERROR(VLOOKUP($K3004,Drink_Templates!$A:$G,7,FALSE),0)))</f>
        <v/>
      </c>
    </row>
    <row r="3005" ht="15" customHeight="1">
      <c r="C3005">
        <f>IF($B3005="","",INT($B3005))</f>
        <v/>
      </c>
      <c r="D3005">
        <f>IF($C3005="","",$C3005-WEEKDAY($C3005,2)+1)</f>
        <v/>
      </c>
      <c r="E3005">
        <f>IF($C3005="","",DATE(YEAR($C3005),MONTH($C3005),1))</f>
        <v/>
      </c>
      <c r="F3005">
        <f>IF($C3005="","",YEAR($C3005)&amp;"-Q"&amp;ROUNDUP(MONTH($C3005)/3,0))</f>
        <v/>
      </c>
      <c r="L3005">
        <f>IF($G3005&lt;&gt;"ALCOHOL","",IF($K3005="","",$H3005*IFERROR(VLOOKUP($K3005,Drink_Templates!$A:$G,7,FALSE),0)))</f>
        <v/>
      </c>
    </row>
    <row r="3006" ht="15" customHeight="1">
      <c r="C3006">
        <f>IF($B3006="","",INT($B3006))</f>
        <v/>
      </c>
      <c r="D3006">
        <f>IF($C3006="","",$C3006-WEEKDAY($C3006,2)+1)</f>
        <v/>
      </c>
      <c r="E3006">
        <f>IF($C3006="","",DATE(YEAR($C3006),MONTH($C3006),1))</f>
        <v/>
      </c>
      <c r="F3006">
        <f>IF($C3006="","",YEAR($C3006)&amp;"-Q"&amp;ROUNDUP(MONTH($C3006)/3,0))</f>
        <v/>
      </c>
      <c r="L3006">
        <f>IF($G3006&lt;&gt;"ALCOHOL","",IF($K3006="","",$H3006*IFERROR(VLOOKUP($K3006,Drink_Templates!$A:$G,7,FALSE),0)))</f>
        <v/>
      </c>
    </row>
    <row r="3007" ht="15" customHeight="1">
      <c r="C3007">
        <f>IF($B3007="","",INT($B3007))</f>
        <v/>
      </c>
      <c r="D3007">
        <f>IF($C3007="","",$C3007-WEEKDAY($C3007,2)+1)</f>
        <v/>
      </c>
      <c r="E3007">
        <f>IF($C3007="","",DATE(YEAR($C3007),MONTH($C3007),1))</f>
        <v/>
      </c>
      <c r="F3007">
        <f>IF($C3007="","",YEAR($C3007)&amp;"-Q"&amp;ROUNDUP(MONTH($C3007)/3,0))</f>
        <v/>
      </c>
      <c r="L3007">
        <f>IF($G3007&lt;&gt;"ALCOHOL","",IF($K3007="","",$H3007*IFERROR(VLOOKUP($K3007,Drink_Templates!$A:$G,7,FALSE),0)))</f>
        <v/>
      </c>
    </row>
    <row r="3008" ht="15" customHeight="1">
      <c r="C3008">
        <f>IF($B3008="","",INT($B3008))</f>
        <v/>
      </c>
      <c r="D3008">
        <f>IF($C3008="","",$C3008-WEEKDAY($C3008,2)+1)</f>
        <v/>
      </c>
      <c r="E3008">
        <f>IF($C3008="","",DATE(YEAR($C3008),MONTH($C3008),1))</f>
        <v/>
      </c>
      <c r="F3008">
        <f>IF($C3008="","",YEAR($C3008)&amp;"-Q"&amp;ROUNDUP(MONTH($C3008)/3,0))</f>
        <v/>
      </c>
      <c r="L3008">
        <f>IF($G3008&lt;&gt;"ALCOHOL","",IF($K3008="","",$H3008*IFERROR(VLOOKUP($K3008,Drink_Templates!$A:$G,7,FALSE),0)))</f>
        <v/>
      </c>
    </row>
    <row r="3009" ht="15" customHeight="1">
      <c r="C3009">
        <f>IF($B3009="","",INT($B3009))</f>
        <v/>
      </c>
      <c r="D3009">
        <f>IF($C3009="","",$C3009-WEEKDAY($C3009,2)+1)</f>
        <v/>
      </c>
      <c r="E3009">
        <f>IF($C3009="","",DATE(YEAR($C3009),MONTH($C3009),1))</f>
        <v/>
      </c>
      <c r="F3009">
        <f>IF($C3009="","",YEAR($C3009)&amp;"-Q"&amp;ROUNDUP(MONTH($C3009)/3,0))</f>
        <v/>
      </c>
      <c r="L3009">
        <f>IF($G3009&lt;&gt;"ALCOHOL","",IF($K3009="","",$H3009*IFERROR(VLOOKUP($K3009,Drink_Templates!$A:$G,7,FALSE),0)))</f>
        <v/>
      </c>
    </row>
    <row r="3010" ht="15" customHeight="1">
      <c r="C3010">
        <f>IF($B3010="","",INT($B3010))</f>
        <v/>
      </c>
      <c r="D3010">
        <f>IF($C3010="","",$C3010-WEEKDAY($C3010,2)+1)</f>
        <v/>
      </c>
      <c r="E3010">
        <f>IF($C3010="","",DATE(YEAR($C3010),MONTH($C3010),1))</f>
        <v/>
      </c>
      <c r="F3010">
        <f>IF($C3010="","",YEAR($C3010)&amp;"-Q"&amp;ROUNDUP(MONTH($C3010)/3,0))</f>
        <v/>
      </c>
      <c r="L3010">
        <f>IF($G3010&lt;&gt;"ALCOHOL","",IF($K3010="","",$H3010*IFERROR(VLOOKUP($K3010,Drink_Templates!$A:$G,7,FALSE),0)))</f>
        <v/>
      </c>
    </row>
    <row r="3011" ht="15" customHeight="1">
      <c r="C3011">
        <f>IF($B3011="","",INT($B3011))</f>
        <v/>
      </c>
      <c r="D3011">
        <f>IF($C3011="","",$C3011-WEEKDAY($C3011,2)+1)</f>
        <v/>
      </c>
      <c r="E3011">
        <f>IF($C3011="","",DATE(YEAR($C3011),MONTH($C3011),1))</f>
        <v/>
      </c>
      <c r="F3011">
        <f>IF($C3011="","",YEAR($C3011)&amp;"-Q"&amp;ROUNDUP(MONTH($C3011)/3,0))</f>
        <v/>
      </c>
      <c r="L3011">
        <f>IF($G3011&lt;&gt;"ALCOHOL","",IF($K3011="","",$H3011*IFERROR(VLOOKUP($K3011,Drink_Templates!$A:$G,7,FALSE),0)))</f>
        <v/>
      </c>
    </row>
    <row r="3012" ht="15" customHeight="1">
      <c r="C3012">
        <f>IF($B3012="","",INT($B3012))</f>
        <v/>
      </c>
      <c r="D3012">
        <f>IF($C3012="","",$C3012-WEEKDAY($C3012,2)+1)</f>
        <v/>
      </c>
      <c r="E3012">
        <f>IF($C3012="","",DATE(YEAR($C3012),MONTH($C3012),1))</f>
        <v/>
      </c>
      <c r="F3012">
        <f>IF($C3012="","",YEAR($C3012)&amp;"-Q"&amp;ROUNDUP(MONTH($C3012)/3,0))</f>
        <v/>
      </c>
      <c r="L3012">
        <f>IF($G3012&lt;&gt;"ALCOHOL","",IF($K3012="","",$H3012*IFERROR(VLOOKUP($K3012,Drink_Templates!$A:$G,7,FALSE),0)))</f>
        <v/>
      </c>
    </row>
    <row r="3013" ht="15" customHeight="1">
      <c r="C3013">
        <f>IF($B3013="","",INT($B3013))</f>
        <v/>
      </c>
      <c r="D3013">
        <f>IF($C3013="","",$C3013-WEEKDAY($C3013,2)+1)</f>
        <v/>
      </c>
      <c r="E3013">
        <f>IF($C3013="","",DATE(YEAR($C3013),MONTH($C3013),1))</f>
        <v/>
      </c>
      <c r="F3013">
        <f>IF($C3013="","",YEAR($C3013)&amp;"-Q"&amp;ROUNDUP(MONTH($C3013)/3,0))</f>
        <v/>
      </c>
      <c r="L3013">
        <f>IF($G3013&lt;&gt;"ALCOHOL","",IF($K3013="","",$H3013*IFERROR(VLOOKUP($K3013,Drink_Templates!$A:$G,7,FALSE),0)))</f>
        <v/>
      </c>
    </row>
    <row r="3014" ht="15" customHeight="1">
      <c r="C3014">
        <f>IF($B3014="","",INT($B3014))</f>
        <v/>
      </c>
      <c r="D3014">
        <f>IF($C3014="","",$C3014-WEEKDAY($C3014,2)+1)</f>
        <v/>
      </c>
      <c r="E3014">
        <f>IF($C3014="","",DATE(YEAR($C3014),MONTH($C3014),1))</f>
        <v/>
      </c>
      <c r="F3014">
        <f>IF($C3014="","",YEAR($C3014)&amp;"-Q"&amp;ROUNDUP(MONTH($C3014)/3,0))</f>
        <v/>
      </c>
      <c r="L3014">
        <f>IF($G3014&lt;&gt;"ALCOHOL","",IF($K3014="","",$H3014*IFERROR(VLOOKUP($K3014,Drink_Templates!$A:$G,7,FALSE),0)))</f>
        <v/>
      </c>
    </row>
    <row r="3015" ht="15" customHeight="1">
      <c r="C3015">
        <f>IF($B3015="","",INT($B3015))</f>
        <v/>
      </c>
      <c r="D3015">
        <f>IF($C3015="","",$C3015-WEEKDAY($C3015,2)+1)</f>
        <v/>
      </c>
      <c r="E3015">
        <f>IF($C3015="","",DATE(YEAR($C3015),MONTH($C3015),1))</f>
        <v/>
      </c>
      <c r="F3015">
        <f>IF($C3015="","",YEAR($C3015)&amp;"-Q"&amp;ROUNDUP(MONTH($C3015)/3,0))</f>
        <v/>
      </c>
      <c r="L3015">
        <f>IF($G3015&lt;&gt;"ALCOHOL","",IF($K3015="","",$H3015*IFERROR(VLOOKUP($K3015,Drink_Templates!$A:$G,7,FALSE),0)))</f>
        <v/>
      </c>
    </row>
    <row r="3016" ht="15" customHeight="1">
      <c r="C3016">
        <f>IF($B3016="","",INT($B3016))</f>
        <v/>
      </c>
      <c r="D3016">
        <f>IF($C3016="","",$C3016-WEEKDAY($C3016,2)+1)</f>
        <v/>
      </c>
      <c r="E3016">
        <f>IF($C3016="","",DATE(YEAR($C3016),MONTH($C3016),1))</f>
        <v/>
      </c>
      <c r="F3016">
        <f>IF($C3016="","",YEAR($C3016)&amp;"-Q"&amp;ROUNDUP(MONTH($C3016)/3,0))</f>
        <v/>
      </c>
      <c r="L3016">
        <f>IF($G3016&lt;&gt;"ALCOHOL","",IF($K3016="","",$H3016*IFERROR(VLOOKUP($K3016,Drink_Templates!$A:$G,7,FALSE),0)))</f>
        <v/>
      </c>
    </row>
    <row r="3017" ht="15" customHeight="1">
      <c r="C3017">
        <f>IF($B3017="","",INT($B3017))</f>
        <v/>
      </c>
      <c r="D3017">
        <f>IF($C3017="","",$C3017-WEEKDAY($C3017,2)+1)</f>
        <v/>
      </c>
      <c r="E3017">
        <f>IF($C3017="","",DATE(YEAR($C3017),MONTH($C3017),1))</f>
        <v/>
      </c>
      <c r="F3017">
        <f>IF($C3017="","",YEAR($C3017)&amp;"-Q"&amp;ROUNDUP(MONTH($C3017)/3,0))</f>
        <v/>
      </c>
      <c r="L3017">
        <f>IF($G3017&lt;&gt;"ALCOHOL","",IF($K3017="","",$H3017*IFERROR(VLOOKUP($K3017,Drink_Templates!$A:$G,7,FALSE),0)))</f>
        <v/>
      </c>
    </row>
    <row r="3018" ht="15" customHeight="1">
      <c r="C3018">
        <f>IF($B3018="","",INT($B3018))</f>
        <v/>
      </c>
      <c r="D3018">
        <f>IF($C3018="","",$C3018-WEEKDAY($C3018,2)+1)</f>
        <v/>
      </c>
      <c r="E3018">
        <f>IF($C3018="","",DATE(YEAR($C3018),MONTH($C3018),1))</f>
        <v/>
      </c>
      <c r="F3018">
        <f>IF($C3018="","",YEAR($C3018)&amp;"-Q"&amp;ROUNDUP(MONTH($C3018)/3,0))</f>
        <v/>
      </c>
      <c r="L3018">
        <f>IF($G3018&lt;&gt;"ALCOHOL","",IF($K3018="","",$H3018*IFERROR(VLOOKUP($K3018,Drink_Templates!$A:$G,7,FALSE),0)))</f>
        <v/>
      </c>
    </row>
    <row r="3019" ht="15" customHeight="1">
      <c r="C3019">
        <f>IF($B3019="","",INT($B3019))</f>
        <v/>
      </c>
      <c r="D3019">
        <f>IF($C3019="","",$C3019-WEEKDAY($C3019,2)+1)</f>
        <v/>
      </c>
      <c r="E3019">
        <f>IF($C3019="","",DATE(YEAR($C3019),MONTH($C3019),1))</f>
        <v/>
      </c>
      <c r="F3019">
        <f>IF($C3019="","",YEAR($C3019)&amp;"-Q"&amp;ROUNDUP(MONTH($C3019)/3,0))</f>
        <v/>
      </c>
      <c r="L3019">
        <f>IF($G3019&lt;&gt;"ALCOHOL","",IF($K3019="","",$H3019*IFERROR(VLOOKUP($K3019,Drink_Templates!$A:$G,7,FALSE),0)))</f>
        <v/>
      </c>
    </row>
    <row r="3020" ht="15" customHeight="1">
      <c r="C3020">
        <f>IF($B3020="","",INT($B3020))</f>
        <v/>
      </c>
      <c r="D3020">
        <f>IF($C3020="","",$C3020-WEEKDAY($C3020,2)+1)</f>
        <v/>
      </c>
      <c r="E3020">
        <f>IF($C3020="","",DATE(YEAR($C3020),MONTH($C3020),1))</f>
        <v/>
      </c>
      <c r="F3020">
        <f>IF($C3020="","",YEAR($C3020)&amp;"-Q"&amp;ROUNDUP(MONTH($C3020)/3,0))</f>
        <v/>
      </c>
      <c r="L3020">
        <f>IF($G3020&lt;&gt;"ALCOHOL","",IF($K3020="","",$H3020*IFERROR(VLOOKUP($K3020,Drink_Templates!$A:$G,7,FALSE),0)))</f>
        <v/>
      </c>
    </row>
    <row r="3021" ht="15" customHeight="1">
      <c r="C3021">
        <f>IF($B3021="","",INT($B3021))</f>
        <v/>
      </c>
      <c r="D3021">
        <f>IF($C3021="","",$C3021-WEEKDAY($C3021,2)+1)</f>
        <v/>
      </c>
      <c r="E3021">
        <f>IF($C3021="","",DATE(YEAR($C3021),MONTH($C3021),1))</f>
        <v/>
      </c>
      <c r="F3021">
        <f>IF($C3021="","",YEAR($C3021)&amp;"-Q"&amp;ROUNDUP(MONTH($C3021)/3,0))</f>
        <v/>
      </c>
      <c r="L3021">
        <f>IF($G3021&lt;&gt;"ALCOHOL","",IF($K3021="","",$H3021*IFERROR(VLOOKUP($K3021,Drink_Templates!$A:$G,7,FALSE),0)))</f>
        <v/>
      </c>
    </row>
    <row r="3022" ht="15" customHeight="1">
      <c r="C3022">
        <f>IF($B3022="","",INT($B3022))</f>
        <v/>
      </c>
      <c r="D3022">
        <f>IF($C3022="","",$C3022-WEEKDAY($C3022,2)+1)</f>
        <v/>
      </c>
      <c r="E3022">
        <f>IF($C3022="","",DATE(YEAR($C3022),MONTH($C3022),1))</f>
        <v/>
      </c>
      <c r="F3022">
        <f>IF($C3022="","",YEAR($C3022)&amp;"-Q"&amp;ROUNDUP(MONTH($C3022)/3,0))</f>
        <v/>
      </c>
      <c r="L3022">
        <f>IF($G3022&lt;&gt;"ALCOHOL","",IF($K3022="","",$H3022*IFERROR(VLOOKUP($K3022,Drink_Templates!$A:$G,7,FALSE),0)))</f>
        <v/>
      </c>
    </row>
    <row r="3023" ht="15" customHeight="1">
      <c r="C3023">
        <f>IF($B3023="","",INT($B3023))</f>
        <v/>
      </c>
      <c r="D3023">
        <f>IF($C3023="","",$C3023-WEEKDAY($C3023,2)+1)</f>
        <v/>
      </c>
      <c r="E3023">
        <f>IF($C3023="","",DATE(YEAR($C3023),MONTH($C3023),1))</f>
        <v/>
      </c>
      <c r="F3023">
        <f>IF($C3023="","",YEAR($C3023)&amp;"-Q"&amp;ROUNDUP(MONTH($C3023)/3,0))</f>
        <v/>
      </c>
      <c r="L3023">
        <f>IF($G3023&lt;&gt;"ALCOHOL","",IF($K3023="","",$H3023*IFERROR(VLOOKUP($K3023,Drink_Templates!$A:$G,7,FALSE),0)))</f>
        <v/>
      </c>
    </row>
    <row r="3024" ht="15" customHeight="1">
      <c r="C3024">
        <f>IF($B3024="","",INT($B3024))</f>
        <v/>
      </c>
      <c r="D3024">
        <f>IF($C3024="","",$C3024-WEEKDAY($C3024,2)+1)</f>
        <v/>
      </c>
      <c r="E3024">
        <f>IF($C3024="","",DATE(YEAR($C3024),MONTH($C3024),1))</f>
        <v/>
      </c>
      <c r="F3024">
        <f>IF($C3024="","",YEAR($C3024)&amp;"-Q"&amp;ROUNDUP(MONTH($C3024)/3,0))</f>
        <v/>
      </c>
      <c r="L3024">
        <f>IF($G3024&lt;&gt;"ALCOHOL","",IF($K3024="","",$H3024*IFERROR(VLOOKUP($K3024,Drink_Templates!$A:$G,7,FALSE),0)))</f>
        <v/>
      </c>
    </row>
    <row r="3025" ht="15" customHeight="1">
      <c r="C3025">
        <f>IF($B3025="","",INT($B3025))</f>
        <v/>
      </c>
      <c r="D3025">
        <f>IF($C3025="","",$C3025-WEEKDAY($C3025,2)+1)</f>
        <v/>
      </c>
      <c r="E3025">
        <f>IF($C3025="","",DATE(YEAR($C3025),MONTH($C3025),1))</f>
        <v/>
      </c>
      <c r="F3025">
        <f>IF($C3025="","",YEAR($C3025)&amp;"-Q"&amp;ROUNDUP(MONTH($C3025)/3,0))</f>
        <v/>
      </c>
      <c r="L3025">
        <f>IF($G3025&lt;&gt;"ALCOHOL","",IF($K3025="","",$H3025*IFERROR(VLOOKUP($K3025,Drink_Templates!$A:$G,7,FALSE),0)))</f>
        <v/>
      </c>
    </row>
    <row r="3026" ht="15" customHeight="1">
      <c r="C3026">
        <f>IF($B3026="","",INT($B3026))</f>
        <v/>
      </c>
      <c r="D3026">
        <f>IF($C3026="","",$C3026-WEEKDAY($C3026,2)+1)</f>
        <v/>
      </c>
      <c r="E3026">
        <f>IF($C3026="","",DATE(YEAR($C3026),MONTH($C3026),1))</f>
        <v/>
      </c>
      <c r="F3026">
        <f>IF($C3026="","",YEAR($C3026)&amp;"-Q"&amp;ROUNDUP(MONTH($C3026)/3,0))</f>
        <v/>
      </c>
      <c r="L3026">
        <f>IF($G3026&lt;&gt;"ALCOHOL","",IF($K3026="","",$H3026*IFERROR(VLOOKUP($K3026,Drink_Templates!$A:$G,7,FALSE),0)))</f>
        <v/>
      </c>
    </row>
    <row r="3027" ht="15" customHeight="1">
      <c r="C3027">
        <f>IF($B3027="","",INT($B3027))</f>
        <v/>
      </c>
      <c r="D3027">
        <f>IF($C3027="","",$C3027-WEEKDAY($C3027,2)+1)</f>
        <v/>
      </c>
      <c r="E3027">
        <f>IF($C3027="","",DATE(YEAR($C3027),MONTH($C3027),1))</f>
        <v/>
      </c>
      <c r="F3027">
        <f>IF($C3027="","",YEAR($C3027)&amp;"-Q"&amp;ROUNDUP(MONTH($C3027)/3,0))</f>
        <v/>
      </c>
      <c r="L3027">
        <f>IF($G3027&lt;&gt;"ALCOHOL","",IF($K3027="","",$H3027*IFERROR(VLOOKUP($K3027,Drink_Templates!$A:$G,7,FALSE),0)))</f>
        <v/>
      </c>
    </row>
    <row r="3028" ht="15" customHeight="1">
      <c r="C3028">
        <f>IF($B3028="","",INT($B3028))</f>
        <v/>
      </c>
      <c r="D3028">
        <f>IF($C3028="","",$C3028-WEEKDAY($C3028,2)+1)</f>
        <v/>
      </c>
      <c r="E3028">
        <f>IF($C3028="","",DATE(YEAR($C3028),MONTH($C3028),1))</f>
        <v/>
      </c>
      <c r="F3028">
        <f>IF($C3028="","",YEAR($C3028)&amp;"-Q"&amp;ROUNDUP(MONTH($C3028)/3,0))</f>
        <v/>
      </c>
      <c r="L3028">
        <f>IF($G3028&lt;&gt;"ALCOHOL","",IF($K3028="","",$H3028*IFERROR(VLOOKUP($K3028,Drink_Templates!$A:$G,7,FALSE),0)))</f>
        <v/>
      </c>
    </row>
    <row r="3029" ht="15" customHeight="1">
      <c r="C3029">
        <f>IF($B3029="","",INT($B3029))</f>
        <v/>
      </c>
      <c r="D3029">
        <f>IF($C3029="","",$C3029-WEEKDAY($C3029,2)+1)</f>
        <v/>
      </c>
      <c r="E3029">
        <f>IF($C3029="","",DATE(YEAR($C3029),MONTH($C3029),1))</f>
        <v/>
      </c>
      <c r="F3029">
        <f>IF($C3029="","",YEAR($C3029)&amp;"-Q"&amp;ROUNDUP(MONTH($C3029)/3,0))</f>
        <v/>
      </c>
      <c r="L3029">
        <f>IF($G3029&lt;&gt;"ALCOHOL","",IF($K3029="","",$H3029*IFERROR(VLOOKUP($K3029,Drink_Templates!$A:$G,7,FALSE),0)))</f>
        <v/>
      </c>
    </row>
    <row r="3030" ht="15" customHeight="1">
      <c r="C3030">
        <f>IF($B3030="","",INT($B3030))</f>
        <v/>
      </c>
      <c r="D3030">
        <f>IF($C3030="","",$C3030-WEEKDAY($C3030,2)+1)</f>
        <v/>
      </c>
      <c r="E3030">
        <f>IF($C3030="","",DATE(YEAR($C3030),MONTH($C3030),1))</f>
        <v/>
      </c>
      <c r="F3030">
        <f>IF($C3030="","",YEAR($C3030)&amp;"-Q"&amp;ROUNDUP(MONTH($C3030)/3,0))</f>
        <v/>
      </c>
      <c r="L3030">
        <f>IF($G3030&lt;&gt;"ALCOHOL","",IF($K3030="","",$H3030*IFERROR(VLOOKUP($K3030,Drink_Templates!$A:$G,7,FALSE),0)))</f>
        <v/>
      </c>
    </row>
    <row r="3031" ht="15" customHeight="1">
      <c r="C3031">
        <f>IF($B3031="","",INT($B3031))</f>
        <v/>
      </c>
      <c r="D3031">
        <f>IF($C3031="","",$C3031-WEEKDAY($C3031,2)+1)</f>
        <v/>
      </c>
      <c r="E3031">
        <f>IF($C3031="","",DATE(YEAR($C3031),MONTH($C3031),1))</f>
        <v/>
      </c>
      <c r="F3031">
        <f>IF($C3031="","",YEAR($C3031)&amp;"-Q"&amp;ROUNDUP(MONTH($C3031)/3,0))</f>
        <v/>
      </c>
      <c r="L3031">
        <f>IF($G3031&lt;&gt;"ALCOHOL","",IF($K3031="","",$H3031*IFERROR(VLOOKUP($K3031,Drink_Templates!$A:$G,7,FALSE),0)))</f>
        <v/>
      </c>
    </row>
    <row r="3032" ht="15" customHeight="1">
      <c r="C3032">
        <f>IF($B3032="","",INT($B3032))</f>
        <v/>
      </c>
      <c r="D3032">
        <f>IF($C3032="","",$C3032-WEEKDAY($C3032,2)+1)</f>
        <v/>
      </c>
      <c r="E3032">
        <f>IF($C3032="","",DATE(YEAR($C3032),MONTH($C3032),1))</f>
        <v/>
      </c>
      <c r="F3032">
        <f>IF($C3032="","",YEAR($C3032)&amp;"-Q"&amp;ROUNDUP(MONTH($C3032)/3,0))</f>
        <v/>
      </c>
      <c r="L3032">
        <f>IF($G3032&lt;&gt;"ALCOHOL","",IF($K3032="","",$H3032*IFERROR(VLOOKUP($K3032,Drink_Templates!$A:$G,7,FALSE),0)))</f>
        <v/>
      </c>
    </row>
    <row r="3033" ht="15" customHeight="1">
      <c r="C3033">
        <f>IF($B3033="","",INT($B3033))</f>
        <v/>
      </c>
      <c r="D3033">
        <f>IF($C3033="","",$C3033-WEEKDAY($C3033,2)+1)</f>
        <v/>
      </c>
      <c r="E3033">
        <f>IF($C3033="","",DATE(YEAR($C3033),MONTH($C3033),1))</f>
        <v/>
      </c>
      <c r="F3033">
        <f>IF($C3033="","",YEAR($C3033)&amp;"-Q"&amp;ROUNDUP(MONTH($C3033)/3,0))</f>
        <v/>
      </c>
      <c r="L3033">
        <f>IF($G3033&lt;&gt;"ALCOHOL","",IF($K3033="","",$H3033*IFERROR(VLOOKUP($K3033,Drink_Templates!$A:$G,7,FALSE),0)))</f>
        <v/>
      </c>
    </row>
    <row r="3034" ht="15" customHeight="1">
      <c r="C3034">
        <f>IF($B3034="","",INT($B3034))</f>
        <v/>
      </c>
      <c r="D3034">
        <f>IF($C3034="","",$C3034-WEEKDAY($C3034,2)+1)</f>
        <v/>
      </c>
      <c r="E3034">
        <f>IF($C3034="","",DATE(YEAR($C3034),MONTH($C3034),1))</f>
        <v/>
      </c>
      <c r="F3034">
        <f>IF($C3034="","",YEAR($C3034)&amp;"-Q"&amp;ROUNDUP(MONTH($C3034)/3,0))</f>
        <v/>
      </c>
      <c r="L3034">
        <f>IF($G3034&lt;&gt;"ALCOHOL","",IF($K3034="","",$H3034*IFERROR(VLOOKUP($K3034,Drink_Templates!$A:$G,7,FALSE),0)))</f>
        <v/>
      </c>
    </row>
    <row r="3035" ht="15" customHeight="1">
      <c r="C3035">
        <f>IF($B3035="","",INT($B3035))</f>
        <v/>
      </c>
      <c r="D3035">
        <f>IF($C3035="","",$C3035-WEEKDAY($C3035,2)+1)</f>
        <v/>
      </c>
      <c r="E3035">
        <f>IF($C3035="","",DATE(YEAR($C3035),MONTH($C3035),1))</f>
        <v/>
      </c>
      <c r="F3035">
        <f>IF($C3035="","",YEAR($C3035)&amp;"-Q"&amp;ROUNDUP(MONTH($C3035)/3,0))</f>
        <v/>
      </c>
      <c r="L3035">
        <f>IF($G3035&lt;&gt;"ALCOHOL","",IF($K3035="","",$H3035*IFERROR(VLOOKUP($K3035,Drink_Templates!$A:$G,7,FALSE),0)))</f>
        <v/>
      </c>
    </row>
    <row r="3036" ht="15" customHeight="1">
      <c r="C3036">
        <f>IF($B3036="","",INT($B3036))</f>
        <v/>
      </c>
      <c r="D3036">
        <f>IF($C3036="","",$C3036-WEEKDAY($C3036,2)+1)</f>
        <v/>
      </c>
      <c r="E3036">
        <f>IF($C3036="","",DATE(YEAR($C3036),MONTH($C3036),1))</f>
        <v/>
      </c>
      <c r="F3036">
        <f>IF($C3036="","",YEAR($C3036)&amp;"-Q"&amp;ROUNDUP(MONTH($C3036)/3,0))</f>
        <v/>
      </c>
      <c r="L3036">
        <f>IF($G3036&lt;&gt;"ALCOHOL","",IF($K3036="","",$H3036*IFERROR(VLOOKUP($K3036,Drink_Templates!$A:$G,7,FALSE),0)))</f>
        <v/>
      </c>
    </row>
    <row r="3037" ht="15" customHeight="1">
      <c r="C3037">
        <f>IF($B3037="","",INT($B3037))</f>
        <v/>
      </c>
      <c r="D3037">
        <f>IF($C3037="","",$C3037-WEEKDAY($C3037,2)+1)</f>
        <v/>
      </c>
      <c r="E3037">
        <f>IF($C3037="","",DATE(YEAR($C3037),MONTH($C3037),1))</f>
        <v/>
      </c>
      <c r="F3037">
        <f>IF($C3037="","",YEAR($C3037)&amp;"-Q"&amp;ROUNDUP(MONTH($C3037)/3,0))</f>
        <v/>
      </c>
      <c r="L3037">
        <f>IF($G3037&lt;&gt;"ALCOHOL","",IF($K3037="","",$H3037*IFERROR(VLOOKUP($K3037,Drink_Templates!$A:$G,7,FALSE),0)))</f>
        <v/>
      </c>
    </row>
    <row r="3038" ht="15" customHeight="1">
      <c r="C3038">
        <f>IF($B3038="","",INT($B3038))</f>
        <v/>
      </c>
      <c r="D3038">
        <f>IF($C3038="","",$C3038-WEEKDAY($C3038,2)+1)</f>
        <v/>
      </c>
      <c r="E3038">
        <f>IF($C3038="","",DATE(YEAR($C3038),MONTH($C3038),1))</f>
        <v/>
      </c>
      <c r="F3038">
        <f>IF($C3038="","",YEAR($C3038)&amp;"-Q"&amp;ROUNDUP(MONTH($C3038)/3,0))</f>
        <v/>
      </c>
      <c r="L3038">
        <f>IF($G3038&lt;&gt;"ALCOHOL","",IF($K3038="","",$H3038*IFERROR(VLOOKUP($K3038,Drink_Templates!$A:$G,7,FALSE),0)))</f>
        <v/>
      </c>
    </row>
    <row r="3039" ht="15" customHeight="1">
      <c r="C3039">
        <f>IF($B3039="","",INT($B3039))</f>
        <v/>
      </c>
      <c r="D3039">
        <f>IF($C3039="","",$C3039-WEEKDAY($C3039,2)+1)</f>
        <v/>
      </c>
      <c r="E3039">
        <f>IF($C3039="","",DATE(YEAR($C3039),MONTH($C3039),1))</f>
        <v/>
      </c>
      <c r="F3039">
        <f>IF($C3039="","",YEAR($C3039)&amp;"-Q"&amp;ROUNDUP(MONTH($C3039)/3,0))</f>
        <v/>
      </c>
      <c r="L3039">
        <f>IF($G3039&lt;&gt;"ALCOHOL","",IF($K3039="","",$H3039*IFERROR(VLOOKUP($K3039,Drink_Templates!$A:$G,7,FALSE),0)))</f>
        <v/>
      </c>
    </row>
    <row r="3040" ht="15" customHeight="1">
      <c r="C3040">
        <f>IF($B3040="","",INT($B3040))</f>
        <v/>
      </c>
      <c r="D3040">
        <f>IF($C3040="","",$C3040-WEEKDAY($C3040,2)+1)</f>
        <v/>
      </c>
      <c r="E3040">
        <f>IF($C3040="","",DATE(YEAR($C3040),MONTH($C3040),1))</f>
        <v/>
      </c>
      <c r="F3040">
        <f>IF($C3040="","",YEAR($C3040)&amp;"-Q"&amp;ROUNDUP(MONTH($C3040)/3,0))</f>
        <v/>
      </c>
      <c r="L3040">
        <f>IF($G3040&lt;&gt;"ALCOHOL","",IF($K3040="","",$H3040*IFERROR(VLOOKUP($K3040,Drink_Templates!$A:$G,7,FALSE),0)))</f>
        <v/>
      </c>
    </row>
    <row r="3041" ht="15" customHeight="1">
      <c r="C3041">
        <f>IF($B3041="","",INT($B3041))</f>
        <v/>
      </c>
      <c r="D3041">
        <f>IF($C3041="","",$C3041-WEEKDAY($C3041,2)+1)</f>
        <v/>
      </c>
      <c r="E3041">
        <f>IF($C3041="","",DATE(YEAR($C3041),MONTH($C3041),1))</f>
        <v/>
      </c>
      <c r="F3041">
        <f>IF($C3041="","",YEAR($C3041)&amp;"-Q"&amp;ROUNDUP(MONTH($C3041)/3,0))</f>
        <v/>
      </c>
      <c r="L3041">
        <f>IF($G3041&lt;&gt;"ALCOHOL","",IF($K3041="","",$H3041*IFERROR(VLOOKUP($K3041,Drink_Templates!$A:$G,7,FALSE),0)))</f>
        <v/>
      </c>
    </row>
    <row r="3042" ht="15" customHeight="1">
      <c r="C3042">
        <f>IF($B3042="","",INT($B3042))</f>
        <v/>
      </c>
      <c r="D3042">
        <f>IF($C3042="","",$C3042-WEEKDAY($C3042,2)+1)</f>
        <v/>
      </c>
      <c r="E3042">
        <f>IF($C3042="","",DATE(YEAR($C3042),MONTH($C3042),1))</f>
        <v/>
      </c>
      <c r="F3042">
        <f>IF($C3042="","",YEAR($C3042)&amp;"-Q"&amp;ROUNDUP(MONTH($C3042)/3,0))</f>
        <v/>
      </c>
      <c r="L3042">
        <f>IF($G3042&lt;&gt;"ALCOHOL","",IF($K3042="","",$H3042*IFERROR(VLOOKUP($K3042,Drink_Templates!$A:$G,7,FALSE),0)))</f>
        <v/>
      </c>
    </row>
    <row r="3043" ht="15" customHeight="1">
      <c r="C3043">
        <f>IF($B3043="","",INT($B3043))</f>
        <v/>
      </c>
      <c r="D3043">
        <f>IF($C3043="","",$C3043-WEEKDAY($C3043,2)+1)</f>
        <v/>
      </c>
      <c r="E3043">
        <f>IF($C3043="","",DATE(YEAR($C3043),MONTH($C3043),1))</f>
        <v/>
      </c>
      <c r="F3043">
        <f>IF($C3043="","",YEAR($C3043)&amp;"-Q"&amp;ROUNDUP(MONTH($C3043)/3,0))</f>
        <v/>
      </c>
      <c r="L3043">
        <f>IF($G3043&lt;&gt;"ALCOHOL","",IF($K3043="","",$H3043*IFERROR(VLOOKUP($K3043,Drink_Templates!$A:$G,7,FALSE),0)))</f>
        <v/>
      </c>
    </row>
    <row r="3044" ht="15" customHeight="1">
      <c r="C3044">
        <f>IF($B3044="","",INT($B3044))</f>
        <v/>
      </c>
      <c r="D3044">
        <f>IF($C3044="","",$C3044-WEEKDAY($C3044,2)+1)</f>
        <v/>
      </c>
      <c r="E3044">
        <f>IF($C3044="","",DATE(YEAR($C3044),MONTH($C3044),1))</f>
        <v/>
      </c>
      <c r="F3044">
        <f>IF($C3044="","",YEAR($C3044)&amp;"-Q"&amp;ROUNDUP(MONTH($C3044)/3,0))</f>
        <v/>
      </c>
      <c r="L3044">
        <f>IF($G3044&lt;&gt;"ALCOHOL","",IF($K3044="","",$H3044*IFERROR(VLOOKUP($K3044,Drink_Templates!$A:$G,7,FALSE),0)))</f>
        <v/>
      </c>
    </row>
    <row r="3045" ht="15" customHeight="1">
      <c r="C3045">
        <f>IF($B3045="","",INT($B3045))</f>
        <v/>
      </c>
      <c r="D3045">
        <f>IF($C3045="","",$C3045-WEEKDAY($C3045,2)+1)</f>
        <v/>
      </c>
      <c r="E3045">
        <f>IF($C3045="","",DATE(YEAR($C3045),MONTH($C3045),1))</f>
        <v/>
      </c>
      <c r="F3045">
        <f>IF($C3045="","",YEAR($C3045)&amp;"-Q"&amp;ROUNDUP(MONTH($C3045)/3,0))</f>
        <v/>
      </c>
      <c r="L3045">
        <f>IF($G3045&lt;&gt;"ALCOHOL","",IF($K3045="","",$H3045*IFERROR(VLOOKUP($K3045,Drink_Templates!$A:$G,7,FALSE),0)))</f>
        <v/>
      </c>
    </row>
    <row r="3046" ht="15" customHeight="1">
      <c r="C3046">
        <f>IF($B3046="","",INT($B3046))</f>
        <v/>
      </c>
      <c r="D3046">
        <f>IF($C3046="","",$C3046-WEEKDAY($C3046,2)+1)</f>
        <v/>
      </c>
      <c r="E3046">
        <f>IF($C3046="","",DATE(YEAR($C3046),MONTH($C3046),1))</f>
        <v/>
      </c>
      <c r="F3046">
        <f>IF($C3046="","",YEAR($C3046)&amp;"-Q"&amp;ROUNDUP(MONTH($C3046)/3,0))</f>
        <v/>
      </c>
      <c r="L3046">
        <f>IF($G3046&lt;&gt;"ALCOHOL","",IF($K3046="","",$H3046*IFERROR(VLOOKUP($K3046,Drink_Templates!$A:$G,7,FALSE),0)))</f>
        <v/>
      </c>
    </row>
    <row r="3047" ht="15" customHeight="1">
      <c r="C3047">
        <f>IF($B3047="","",INT($B3047))</f>
        <v/>
      </c>
      <c r="D3047">
        <f>IF($C3047="","",$C3047-WEEKDAY($C3047,2)+1)</f>
        <v/>
      </c>
      <c r="E3047">
        <f>IF($C3047="","",DATE(YEAR($C3047),MONTH($C3047),1))</f>
        <v/>
      </c>
      <c r="F3047">
        <f>IF($C3047="","",YEAR($C3047)&amp;"-Q"&amp;ROUNDUP(MONTH($C3047)/3,0))</f>
        <v/>
      </c>
      <c r="L3047">
        <f>IF($G3047&lt;&gt;"ALCOHOL","",IF($K3047="","",$H3047*IFERROR(VLOOKUP($K3047,Drink_Templates!$A:$G,7,FALSE),0)))</f>
        <v/>
      </c>
    </row>
    <row r="3048" ht="15" customHeight="1">
      <c r="C3048">
        <f>IF($B3048="","",INT($B3048))</f>
        <v/>
      </c>
      <c r="D3048">
        <f>IF($C3048="","",$C3048-WEEKDAY($C3048,2)+1)</f>
        <v/>
      </c>
      <c r="E3048">
        <f>IF($C3048="","",DATE(YEAR($C3048),MONTH($C3048),1))</f>
        <v/>
      </c>
      <c r="F3048">
        <f>IF($C3048="","",YEAR($C3048)&amp;"-Q"&amp;ROUNDUP(MONTH($C3048)/3,0))</f>
        <v/>
      </c>
      <c r="L3048">
        <f>IF($G3048&lt;&gt;"ALCOHOL","",IF($K3048="","",$H3048*IFERROR(VLOOKUP($K3048,Drink_Templates!$A:$G,7,FALSE),0)))</f>
        <v/>
      </c>
    </row>
    <row r="3049" ht="15" customHeight="1">
      <c r="C3049">
        <f>IF($B3049="","",INT($B3049))</f>
        <v/>
      </c>
      <c r="D3049">
        <f>IF($C3049="","",$C3049-WEEKDAY($C3049,2)+1)</f>
        <v/>
      </c>
      <c r="E3049">
        <f>IF($C3049="","",DATE(YEAR($C3049),MONTH($C3049),1))</f>
        <v/>
      </c>
      <c r="F3049">
        <f>IF($C3049="","",YEAR($C3049)&amp;"-Q"&amp;ROUNDUP(MONTH($C3049)/3,0))</f>
        <v/>
      </c>
      <c r="L3049">
        <f>IF($G3049&lt;&gt;"ALCOHOL","",IF($K3049="","",$H3049*IFERROR(VLOOKUP($K3049,Drink_Templates!$A:$G,7,FALSE),0)))</f>
        <v/>
      </c>
    </row>
    <row r="3050" ht="15" customHeight="1">
      <c r="C3050">
        <f>IF($B3050="","",INT($B3050))</f>
        <v/>
      </c>
      <c r="D3050">
        <f>IF($C3050="","",$C3050-WEEKDAY($C3050,2)+1)</f>
        <v/>
      </c>
      <c r="E3050">
        <f>IF($C3050="","",DATE(YEAR($C3050),MONTH($C3050),1))</f>
        <v/>
      </c>
      <c r="F3050">
        <f>IF($C3050="","",YEAR($C3050)&amp;"-Q"&amp;ROUNDUP(MONTH($C3050)/3,0))</f>
        <v/>
      </c>
      <c r="L3050">
        <f>IF($G3050&lt;&gt;"ALCOHOL","",IF($K3050="","",$H3050*IFERROR(VLOOKUP($K3050,Drink_Templates!$A:$G,7,FALSE),0)))</f>
        <v/>
      </c>
    </row>
    <row r="3051" ht="15" customHeight="1">
      <c r="C3051">
        <f>IF($B3051="","",INT($B3051))</f>
        <v/>
      </c>
      <c r="D3051">
        <f>IF($C3051="","",$C3051-WEEKDAY($C3051,2)+1)</f>
        <v/>
      </c>
      <c r="E3051">
        <f>IF($C3051="","",DATE(YEAR($C3051),MONTH($C3051),1))</f>
        <v/>
      </c>
      <c r="F3051">
        <f>IF($C3051="","",YEAR($C3051)&amp;"-Q"&amp;ROUNDUP(MONTH($C3051)/3,0))</f>
        <v/>
      </c>
      <c r="L3051">
        <f>IF($G3051&lt;&gt;"ALCOHOL","",IF($K3051="","",$H3051*IFERROR(VLOOKUP($K3051,Drink_Templates!$A:$G,7,FALSE),0)))</f>
        <v/>
      </c>
    </row>
    <row r="3052" ht="15" customHeight="1">
      <c r="C3052">
        <f>IF($B3052="","",INT($B3052))</f>
        <v/>
      </c>
      <c r="D3052">
        <f>IF($C3052="","",$C3052-WEEKDAY($C3052,2)+1)</f>
        <v/>
      </c>
      <c r="E3052">
        <f>IF($C3052="","",DATE(YEAR($C3052),MONTH($C3052),1))</f>
        <v/>
      </c>
      <c r="F3052">
        <f>IF($C3052="","",YEAR($C3052)&amp;"-Q"&amp;ROUNDUP(MONTH($C3052)/3,0))</f>
        <v/>
      </c>
      <c r="L3052">
        <f>IF($G3052&lt;&gt;"ALCOHOL","",IF($K3052="","",$H3052*IFERROR(VLOOKUP($K3052,Drink_Templates!$A:$G,7,FALSE),0)))</f>
        <v/>
      </c>
    </row>
    <row r="3053" ht="15" customHeight="1">
      <c r="C3053">
        <f>IF($B3053="","",INT($B3053))</f>
        <v/>
      </c>
      <c r="D3053">
        <f>IF($C3053="","",$C3053-WEEKDAY($C3053,2)+1)</f>
        <v/>
      </c>
      <c r="E3053">
        <f>IF($C3053="","",DATE(YEAR($C3053),MONTH($C3053),1))</f>
        <v/>
      </c>
      <c r="F3053">
        <f>IF($C3053="","",YEAR($C3053)&amp;"-Q"&amp;ROUNDUP(MONTH($C3053)/3,0))</f>
        <v/>
      </c>
      <c r="L3053">
        <f>IF($G3053&lt;&gt;"ALCOHOL","",IF($K3053="","",$H3053*IFERROR(VLOOKUP($K3053,Drink_Templates!$A:$G,7,FALSE),0)))</f>
        <v/>
      </c>
    </row>
    <row r="3054" ht="15" customHeight="1">
      <c r="C3054">
        <f>IF($B3054="","",INT($B3054))</f>
        <v/>
      </c>
      <c r="D3054">
        <f>IF($C3054="","",$C3054-WEEKDAY($C3054,2)+1)</f>
        <v/>
      </c>
      <c r="E3054">
        <f>IF($C3054="","",DATE(YEAR($C3054),MONTH($C3054),1))</f>
        <v/>
      </c>
      <c r="F3054">
        <f>IF($C3054="","",YEAR($C3054)&amp;"-Q"&amp;ROUNDUP(MONTH($C3054)/3,0))</f>
        <v/>
      </c>
      <c r="L3054">
        <f>IF($G3054&lt;&gt;"ALCOHOL","",IF($K3054="","",$H3054*IFERROR(VLOOKUP($K3054,Drink_Templates!$A:$G,7,FALSE),0)))</f>
        <v/>
      </c>
    </row>
    <row r="3055" ht="15" customHeight="1">
      <c r="C3055">
        <f>IF($B3055="","",INT($B3055))</f>
        <v/>
      </c>
      <c r="D3055">
        <f>IF($C3055="","",$C3055-WEEKDAY($C3055,2)+1)</f>
        <v/>
      </c>
      <c r="E3055">
        <f>IF($C3055="","",DATE(YEAR($C3055),MONTH($C3055),1))</f>
        <v/>
      </c>
      <c r="F3055">
        <f>IF($C3055="","",YEAR($C3055)&amp;"-Q"&amp;ROUNDUP(MONTH($C3055)/3,0))</f>
        <v/>
      </c>
      <c r="L3055">
        <f>IF($G3055&lt;&gt;"ALCOHOL","",IF($K3055="","",$H3055*IFERROR(VLOOKUP($K3055,Drink_Templates!$A:$G,7,FALSE),0)))</f>
        <v/>
      </c>
    </row>
    <row r="3056" ht="15" customHeight="1">
      <c r="C3056">
        <f>IF($B3056="","",INT($B3056))</f>
        <v/>
      </c>
      <c r="D3056">
        <f>IF($C3056="","",$C3056-WEEKDAY($C3056,2)+1)</f>
        <v/>
      </c>
      <c r="E3056">
        <f>IF($C3056="","",DATE(YEAR($C3056),MONTH($C3056),1))</f>
        <v/>
      </c>
      <c r="F3056">
        <f>IF($C3056="","",YEAR($C3056)&amp;"-Q"&amp;ROUNDUP(MONTH($C3056)/3,0))</f>
        <v/>
      </c>
      <c r="L3056">
        <f>IF($G3056&lt;&gt;"ALCOHOL","",IF($K3056="","",$H3056*IFERROR(VLOOKUP($K3056,Drink_Templates!$A:$G,7,FALSE),0)))</f>
        <v/>
      </c>
    </row>
    <row r="3057" ht="15" customHeight="1">
      <c r="C3057">
        <f>IF($B3057="","",INT($B3057))</f>
        <v/>
      </c>
      <c r="D3057">
        <f>IF($C3057="","",$C3057-WEEKDAY($C3057,2)+1)</f>
        <v/>
      </c>
      <c r="E3057">
        <f>IF($C3057="","",DATE(YEAR($C3057),MONTH($C3057),1))</f>
        <v/>
      </c>
      <c r="F3057">
        <f>IF($C3057="","",YEAR($C3057)&amp;"-Q"&amp;ROUNDUP(MONTH($C3057)/3,0))</f>
        <v/>
      </c>
      <c r="L3057">
        <f>IF($G3057&lt;&gt;"ALCOHOL","",IF($K3057="","",$H3057*IFERROR(VLOOKUP($K3057,Drink_Templates!$A:$G,7,FALSE),0)))</f>
        <v/>
      </c>
    </row>
    <row r="3058" ht="15" customHeight="1">
      <c r="C3058">
        <f>IF($B3058="","",INT($B3058))</f>
        <v/>
      </c>
      <c r="D3058">
        <f>IF($C3058="","",$C3058-WEEKDAY($C3058,2)+1)</f>
        <v/>
      </c>
      <c r="E3058">
        <f>IF($C3058="","",DATE(YEAR($C3058),MONTH($C3058),1))</f>
        <v/>
      </c>
      <c r="F3058">
        <f>IF($C3058="","",YEAR($C3058)&amp;"-Q"&amp;ROUNDUP(MONTH($C3058)/3,0))</f>
        <v/>
      </c>
      <c r="L3058">
        <f>IF($G3058&lt;&gt;"ALCOHOL","",IF($K3058="","",$H3058*IFERROR(VLOOKUP($K3058,Drink_Templates!$A:$G,7,FALSE),0)))</f>
        <v/>
      </c>
    </row>
    <row r="3059" ht="15" customHeight="1">
      <c r="C3059">
        <f>IF($B3059="","",INT($B3059))</f>
        <v/>
      </c>
      <c r="D3059">
        <f>IF($C3059="","",$C3059-WEEKDAY($C3059,2)+1)</f>
        <v/>
      </c>
      <c r="E3059">
        <f>IF($C3059="","",DATE(YEAR($C3059),MONTH($C3059),1))</f>
        <v/>
      </c>
      <c r="F3059">
        <f>IF($C3059="","",YEAR($C3059)&amp;"-Q"&amp;ROUNDUP(MONTH($C3059)/3,0))</f>
        <v/>
      </c>
      <c r="L3059">
        <f>IF($G3059&lt;&gt;"ALCOHOL","",IF($K3059="","",$H3059*IFERROR(VLOOKUP($K3059,Drink_Templates!$A:$G,7,FALSE),0)))</f>
        <v/>
      </c>
    </row>
    <row r="3060" ht="15" customHeight="1">
      <c r="C3060">
        <f>IF($B3060="","",INT($B3060))</f>
        <v/>
      </c>
      <c r="D3060">
        <f>IF($C3060="","",$C3060-WEEKDAY($C3060,2)+1)</f>
        <v/>
      </c>
      <c r="E3060">
        <f>IF($C3060="","",DATE(YEAR($C3060),MONTH($C3060),1))</f>
        <v/>
      </c>
      <c r="F3060">
        <f>IF($C3060="","",YEAR($C3060)&amp;"-Q"&amp;ROUNDUP(MONTH($C3060)/3,0))</f>
        <v/>
      </c>
      <c r="L3060">
        <f>IF($G3060&lt;&gt;"ALCOHOL","",IF($K3060="","",$H3060*IFERROR(VLOOKUP($K3060,Drink_Templates!$A:$G,7,FALSE),0)))</f>
        <v/>
      </c>
    </row>
    <row r="3061" ht="15" customHeight="1">
      <c r="C3061">
        <f>IF($B3061="","",INT($B3061))</f>
        <v/>
      </c>
      <c r="D3061">
        <f>IF($C3061="","",$C3061-WEEKDAY($C3061,2)+1)</f>
        <v/>
      </c>
      <c r="E3061">
        <f>IF($C3061="","",DATE(YEAR($C3061),MONTH($C3061),1))</f>
        <v/>
      </c>
      <c r="F3061">
        <f>IF($C3061="","",YEAR($C3061)&amp;"-Q"&amp;ROUNDUP(MONTH($C3061)/3,0))</f>
        <v/>
      </c>
      <c r="L3061">
        <f>IF($G3061&lt;&gt;"ALCOHOL","",IF($K3061="","",$H3061*IFERROR(VLOOKUP($K3061,Drink_Templates!$A:$G,7,FALSE),0)))</f>
        <v/>
      </c>
    </row>
    <row r="3062" ht="15" customHeight="1">
      <c r="C3062">
        <f>IF($B3062="","",INT($B3062))</f>
        <v/>
      </c>
      <c r="D3062">
        <f>IF($C3062="","",$C3062-WEEKDAY($C3062,2)+1)</f>
        <v/>
      </c>
      <c r="E3062">
        <f>IF($C3062="","",DATE(YEAR($C3062),MONTH($C3062),1))</f>
        <v/>
      </c>
      <c r="F3062">
        <f>IF($C3062="","",YEAR($C3062)&amp;"-Q"&amp;ROUNDUP(MONTH($C3062)/3,0))</f>
        <v/>
      </c>
      <c r="L3062">
        <f>IF($G3062&lt;&gt;"ALCOHOL","",IF($K3062="","",$H3062*IFERROR(VLOOKUP($K3062,Drink_Templates!$A:$G,7,FALSE),0)))</f>
        <v/>
      </c>
    </row>
    <row r="3063" ht="15" customHeight="1">
      <c r="C3063">
        <f>IF($B3063="","",INT($B3063))</f>
        <v/>
      </c>
      <c r="D3063">
        <f>IF($C3063="","",$C3063-WEEKDAY($C3063,2)+1)</f>
        <v/>
      </c>
      <c r="E3063">
        <f>IF($C3063="","",DATE(YEAR($C3063),MONTH($C3063),1))</f>
        <v/>
      </c>
      <c r="F3063">
        <f>IF($C3063="","",YEAR($C3063)&amp;"-Q"&amp;ROUNDUP(MONTH($C3063)/3,0))</f>
        <v/>
      </c>
      <c r="L3063">
        <f>IF($G3063&lt;&gt;"ALCOHOL","",IF($K3063="","",$H3063*IFERROR(VLOOKUP($K3063,Drink_Templates!$A:$G,7,FALSE),0)))</f>
        <v/>
      </c>
    </row>
    <row r="3064" ht="15" customHeight="1">
      <c r="C3064">
        <f>IF($B3064="","",INT($B3064))</f>
        <v/>
      </c>
      <c r="D3064">
        <f>IF($C3064="","",$C3064-WEEKDAY($C3064,2)+1)</f>
        <v/>
      </c>
      <c r="E3064">
        <f>IF($C3064="","",DATE(YEAR($C3064),MONTH($C3064),1))</f>
        <v/>
      </c>
      <c r="F3064">
        <f>IF($C3064="","",YEAR($C3064)&amp;"-Q"&amp;ROUNDUP(MONTH($C3064)/3,0))</f>
        <v/>
      </c>
      <c r="L3064">
        <f>IF($G3064&lt;&gt;"ALCOHOL","",IF($K3064="","",$H3064*IFERROR(VLOOKUP($K3064,Drink_Templates!$A:$G,7,FALSE),0)))</f>
        <v/>
      </c>
    </row>
    <row r="3065" ht="15" customHeight="1">
      <c r="C3065">
        <f>IF($B3065="","",INT($B3065))</f>
        <v/>
      </c>
      <c r="D3065">
        <f>IF($C3065="","",$C3065-WEEKDAY($C3065,2)+1)</f>
        <v/>
      </c>
      <c r="E3065">
        <f>IF($C3065="","",DATE(YEAR($C3065),MONTH($C3065),1))</f>
        <v/>
      </c>
      <c r="F3065">
        <f>IF($C3065="","",YEAR($C3065)&amp;"-Q"&amp;ROUNDUP(MONTH($C3065)/3,0))</f>
        <v/>
      </c>
      <c r="L3065">
        <f>IF($G3065&lt;&gt;"ALCOHOL","",IF($K3065="","",$H3065*IFERROR(VLOOKUP($K3065,Drink_Templates!$A:$G,7,FALSE),0)))</f>
        <v/>
      </c>
    </row>
    <row r="3066" ht="15" customHeight="1">
      <c r="C3066">
        <f>IF($B3066="","",INT($B3066))</f>
        <v/>
      </c>
      <c r="D3066">
        <f>IF($C3066="","",$C3066-WEEKDAY($C3066,2)+1)</f>
        <v/>
      </c>
      <c r="E3066">
        <f>IF($C3066="","",DATE(YEAR($C3066),MONTH($C3066),1))</f>
        <v/>
      </c>
      <c r="F3066">
        <f>IF($C3066="","",YEAR($C3066)&amp;"-Q"&amp;ROUNDUP(MONTH($C3066)/3,0))</f>
        <v/>
      </c>
      <c r="L3066">
        <f>IF($G3066&lt;&gt;"ALCOHOL","",IF($K3066="","",$H3066*IFERROR(VLOOKUP($K3066,Drink_Templates!$A:$G,7,FALSE),0)))</f>
        <v/>
      </c>
    </row>
    <row r="3067" ht="15" customHeight="1">
      <c r="C3067">
        <f>IF($B3067="","",INT($B3067))</f>
        <v/>
      </c>
      <c r="D3067">
        <f>IF($C3067="","",$C3067-WEEKDAY($C3067,2)+1)</f>
        <v/>
      </c>
      <c r="E3067">
        <f>IF($C3067="","",DATE(YEAR($C3067),MONTH($C3067),1))</f>
        <v/>
      </c>
      <c r="F3067">
        <f>IF($C3067="","",YEAR($C3067)&amp;"-Q"&amp;ROUNDUP(MONTH($C3067)/3,0))</f>
        <v/>
      </c>
      <c r="L3067">
        <f>IF($G3067&lt;&gt;"ALCOHOL","",IF($K3067="","",$H3067*IFERROR(VLOOKUP($K3067,Drink_Templates!$A:$G,7,FALSE),0)))</f>
        <v/>
      </c>
    </row>
    <row r="3068" ht="15" customHeight="1">
      <c r="C3068">
        <f>IF($B3068="","",INT($B3068))</f>
        <v/>
      </c>
      <c r="D3068">
        <f>IF($C3068="","",$C3068-WEEKDAY($C3068,2)+1)</f>
        <v/>
      </c>
      <c r="E3068">
        <f>IF($C3068="","",DATE(YEAR($C3068),MONTH($C3068),1))</f>
        <v/>
      </c>
      <c r="F3068">
        <f>IF($C3068="","",YEAR($C3068)&amp;"-Q"&amp;ROUNDUP(MONTH($C3068)/3,0))</f>
        <v/>
      </c>
      <c r="L3068">
        <f>IF($G3068&lt;&gt;"ALCOHOL","",IF($K3068="","",$H3068*IFERROR(VLOOKUP($K3068,Drink_Templates!$A:$G,7,FALSE),0)))</f>
        <v/>
      </c>
    </row>
    <row r="3069" ht="15" customHeight="1">
      <c r="C3069">
        <f>IF($B3069="","",INT($B3069))</f>
        <v/>
      </c>
      <c r="D3069">
        <f>IF($C3069="","",$C3069-WEEKDAY($C3069,2)+1)</f>
        <v/>
      </c>
      <c r="E3069">
        <f>IF($C3069="","",DATE(YEAR($C3069),MONTH($C3069),1))</f>
        <v/>
      </c>
      <c r="F3069">
        <f>IF($C3069="","",YEAR($C3069)&amp;"-Q"&amp;ROUNDUP(MONTH($C3069)/3,0))</f>
        <v/>
      </c>
      <c r="L3069">
        <f>IF($G3069&lt;&gt;"ALCOHOL","",IF($K3069="","",$H3069*IFERROR(VLOOKUP($K3069,Drink_Templates!$A:$G,7,FALSE),0)))</f>
        <v/>
      </c>
    </row>
    <row r="3070" ht="15" customHeight="1">
      <c r="C3070">
        <f>IF($B3070="","",INT($B3070))</f>
        <v/>
      </c>
      <c r="D3070">
        <f>IF($C3070="","",$C3070-WEEKDAY($C3070,2)+1)</f>
        <v/>
      </c>
      <c r="E3070">
        <f>IF($C3070="","",DATE(YEAR($C3070),MONTH($C3070),1))</f>
        <v/>
      </c>
      <c r="F3070">
        <f>IF($C3070="","",YEAR($C3070)&amp;"-Q"&amp;ROUNDUP(MONTH($C3070)/3,0))</f>
        <v/>
      </c>
      <c r="L3070">
        <f>IF($G3070&lt;&gt;"ALCOHOL","",IF($K3070="","",$H3070*IFERROR(VLOOKUP($K3070,Drink_Templates!$A:$G,7,FALSE),0)))</f>
        <v/>
      </c>
    </row>
    <row r="3071" ht="15" customHeight="1">
      <c r="C3071">
        <f>IF($B3071="","",INT($B3071))</f>
        <v/>
      </c>
      <c r="D3071">
        <f>IF($C3071="","",$C3071-WEEKDAY($C3071,2)+1)</f>
        <v/>
      </c>
      <c r="E3071">
        <f>IF($C3071="","",DATE(YEAR($C3071),MONTH($C3071),1))</f>
        <v/>
      </c>
      <c r="F3071">
        <f>IF($C3071="","",YEAR($C3071)&amp;"-Q"&amp;ROUNDUP(MONTH($C3071)/3,0))</f>
        <v/>
      </c>
      <c r="L3071">
        <f>IF($G3071&lt;&gt;"ALCOHOL","",IF($K3071="","",$H3071*IFERROR(VLOOKUP($K3071,Drink_Templates!$A:$G,7,FALSE),0)))</f>
        <v/>
      </c>
    </row>
    <row r="3072" ht="15" customHeight="1">
      <c r="C3072">
        <f>IF($B3072="","",INT($B3072))</f>
        <v/>
      </c>
      <c r="D3072">
        <f>IF($C3072="","",$C3072-WEEKDAY($C3072,2)+1)</f>
        <v/>
      </c>
      <c r="E3072">
        <f>IF($C3072="","",DATE(YEAR($C3072),MONTH($C3072),1))</f>
        <v/>
      </c>
      <c r="F3072">
        <f>IF($C3072="","",YEAR($C3072)&amp;"-Q"&amp;ROUNDUP(MONTH($C3072)/3,0))</f>
        <v/>
      </c>
      <c r="L3072">
        <f>IF($G3072&lt;&gt;"ALCOHOL","",IF($K3072="","",$H3072*IFERROR(VLOOKUP($K3072,Drink_Templates!$A:$G,7,FALSE),0)))</f>
        <v/>
      </c>
    </row>
    <row r="3073" ht="15" customHeight="1">
      <c r="C3073">
        <f>IF($B3073="","",INT($B3073))</f>
        <v/>
      </c>
      <c r="D3073">
        <f>IF($C3073="","",$C3073-WEEKDAY($C3073,2)+1)</f>
        <v/>
      </c>
      <c r="E3073">
        <f>IF($C3073="","",DATE(YEAR($C3073),MONTH($C3073),1))</f>
        <v/>
      </c>
      <c r="F3073">
        <f>IF($C3073="","",YEAR($C3073)&amp;"-Q"&amp;ROUNDUP(MONTH($C3073)/3,0))</f>
        <v/>
      </c>
      <c r="L3073">
        <f>IF($G3073&lt;&gt;"ALCOHOL","",IF($K3073="","",$H3073*IFERROR(VLOOKUP($K3073,Drink_Templates!$A:$G,7,FALSE),0)))</f>
        <v/>
      </c>
    </row>
    <row r="3074" ht="15" customHeight="1">
      <c r="C3074">
        <f>IF($B3074="","",INT($B3074))</f>
        <v/>
      </c>
      <c r="D3074">
        <f>IF($C3074="","",$C3074-WEEKDAY($C3074,2)+1)</f>
        <v/>
      </c>
      <c r="E3074">
        <f>IF($C3074="","",DATE(YEAR($C3074),MONTH($C3074),1))</f>
        <v/>
      </c>
      <c r="F3074">
        <f>IF($C3074="","",YEAR($C3074)&amp;"-Q"&amp;ROUNDUP(MONTH($C3074)/3,0))</f>
        <v/>
      </c>
      <c r="L3074">
        <f>IF($G3074&lt;&gt;"ALCOHOL","",IF($K3074="","",$H3074*IFERROR(VLOOKUP($K3074,Drink_Templates!$A:$G,7,FALSE),0)))</f>
        <v/>
      </c>
    </row>
    <row r="3075" ht="15" customHeight="1">
      <c r="C3075">
        <f>IF($B3075="","",INT($B3075))</f>
        <v/>
      </c>
      <c r="D3075">
        <f>IF($C3075="","",$C3075-WEEKDAY($C3075,2)+1)</f>
        <v/>
      </c>
      <c r="E3075">
        <f>IF($C3075="","",DATE(YEAR($C3075),MONTH($C3075),1))</f>
        <v/>
      </c>
      <c r="F3075">
        <f>IF($C3075="","",YEAR($C3075)&amp;"-Q"&amp;ROUNDUP(MONTH($C3075)/3,0))</f>
        <v/>
      </c>
      <c r="L3075">
        <f>IF($G3075&lt;&gt;"ALCOHOL","",IF($K3075="","",$H3075*IFERROR(VLOOKUP($K3075,Drink_Templates!$A:$G,7,FALSE),0)))</f>
        <v/>
      </c>
    </row>
    <row r="3076" ht="15" customHeight="1">
      <c r="C3076">
        <f>IF($B3076="","",INT($B3076))</f>
        <v/>
      </c>
      <c r="D3076">
        <f>IF($C3076="","",$C3076-WEEKDAY($C3076,2)+1)</f>
        <v/>
      </c>
      <c r="E3076">
        <f>IF($C3076="","",DATE(YEAR($C3076),MONTH($C3076),1))</f>
        <v/>
      </c>
      <c r="F3076">
        <f>IF($C3076="","",YEAR($C3076)&amp;"-Q"&amp;ROUNDUP(MONTH($C3076)/3,0))</f>
        <v/>
      </c>
      <c r="L3076">
        <f>IF($G3076&lt;&gt;"ALCOHOL","",IF($K3076="","",$H3076*IFERROR(VLOOKUP($K3076,Drink_Templates!$A:$G,7,FALSE),0)))</f>
        <v/>
      </c>
    </row>
    <row r="3077" ht="15" customHeight="1">
      <c r="C3077">
        <f>IF($B3077="","",INT($B3077))</f>
        <v/>
      </c>
      <c r="D3077">
        <f>IF($C3077="","",$C3077-WEEKDAY($C3077,2)+1)</f>
        <v/>
      </c>
      <c r="E3077">
        <f>IF($C3077="","",DATE(YEAR($C3077),MONTH($C3077),1))</f>
        <v/>
      </c>
      <c r="F3077">
        <f>IF($C3077="","",YEAR($C3077)&amp;"-Q"&amp;ROUNDUP(MONTH($C3077)/3,0))</f>
        <v/>
      </c>
      <c r="L3077">
        <f>IF($G3077&lt;&gt;"ALCOHOL","",IF($K3077="","",$H3077*IFERROR(VLOOKUP($K3077,Drink_Templates!$A:$G,7,FALSE),0)))</f>
        <v/>
      </c>
    </row>
    <row r="3078" ht="15" customHeight="1">
      <c r="C3078">
        <f>IF($B3078="","",INT($B3078))</f>
        <v/>
      </c>
      <c r="D3078">
        <f>IF($C3078="","",$C3078-WEEKDAY($C3078,2)+1)</f>
        <v/>
      </c>
      <c r="E3078">
        <f>IF($C3078="","",DATE(YEAR($C3078),MONTH($C3078),1))</f>
        <v/>
      </c>
      <c r="F3078">
        <f>IF($C3078="","",YEAR($C3078)&amp;"-Q"&amp;ROUNDUP(MONTH($C3078)/3,0))</f>
        <v/>
      </c>
      <c r="L3078">
        <f>IF($G3078&lt;&gt;"ALCOHOL","",IF($K3078="","",$H3078*IFERROR(VLOOKUP($K3078,Drink_Templates!$A:$G,7,FALSE),0)))</f>
        <v/>
      </c>
    </row>
    <row r="3079" ht="15" customHeight="1">
      <c r="C3079">
        <f>IF($B3079="","",INT($B3079))</f>
        <v/>
      </c>
      <c r="D3079">
        <f>IF($C3079="","",$C3079-WEEKDAY($C3079,2)+1)</f>
        <v/>
      </c>
      <c r="E3079">
        <f>IF($C3079="","",DATE(YEAR($C3079),MONTH($C3079),1))</f>
        <v/>
      </c>
      <c r="F3079">
        <f>IF($C3079="","",YEAR($C3079)&amp;"-Q"&amp;ROUNDUP(MONTH($C3079)/3,0))</f>
        <v/>
      </c>
      <c r="L3079">
        <f>IF($G3079&lt;&gt;"ALCOHOL","",IF($K3079="","",$H3079*IFERROR(VLOOKUP($K3079,Drink_Templates!$A:$G,7,FALSE),0)))</f>
        <v/>
      </c>
    </row>
    <row r="3080" ht="15" customHeight="1">
      <c r="C3080">
        <f>IF($B3080="","",INT($B3080))</f>
        <v/>
      </c>
      <c r="D3080">
        <f>IF($C3080="","",$C3080-WEEKDAY($C3080,2)+1)</f>
        <v/>
      </c>
      <c r="E3080">
        <f>IF($C3080="","",DATE(YEAR($C3080),MONTH($C3080),1))</f>
        <v/>
      </c>
      <c r="F3080">
        <f>IF($C3080="","",YEAR($C3080)&amp;"-Q"&amp;ROUNDUP(MONTH($C3080)/3,0))</f>
        <v/>
      </c>
      <c r="L3080">
        <f>IF($G3080&lt;&gt;"ALCOHOL","",IF($K3080="","",$H3080*IFERROR(VLOOKUP($K3080,Drink_Templates!$A:$G,7,FALSE),0)))</f>
        <v/>
      </c>
    </row>
    <row r="3081" ht="15" customHeight="1">
      <c r="C3081">
        <f>IF($B3081="","",INT($B3081))</f>
        <v/>
      </c>
      <c r="D3081">
        <f>IF($C3081="","",$C3081-WEEKDAY($C3081,2)+1)</f>
        <v/>
      </c>
      <c r="E3081">
        <f>IF($C3081="","",DATE(YEAR($C3081),MONTH($C3081),1))</f>
        <v/>
      </c>
      <c r="F3081">
        <f>IF($C3081="","",YEAR($C3081)&amp;"-Q"&amp;ROUNDUP(MONTH($C3081)/3,0))</f>
        <v/>
      </c>
      <c r="L3081">
        <f>IF($G3081&lt;&gt;"ALCOHOL","",IF($K3081="","",$H3081*IFERROR(VLOOKUP($K3081,Drink_Templates!$A:$G,7,FALSE),0)))</f>
        <v/>
      </c>
    </row>
    <row r="3082" ht="15" customHeight="1">
      <c r="C3082">
        <f>IF($B3082="","",INT($B3082))</f>
        <v/>
      </c>
      <c r="D3082">
        <f>IF($C3082="","",$C3082-WEEKDAY($C3082,2)+1)</f>
        <v/>
      </c>
      <c r="E3082">
        <f>IF($C3082="","",DATE(YEAR($C3082),MONTH($C3082),1))</f>
        <v/>
      </c>
      <c r="F3082">
        <f>IF($C3082="","",YEAR($C3082)&amp;"-Q"&amp;ROUNDUP(MONTH($C3082)/3,0))</f>
        <v/>
      </c>
      <c r="L3082">
        <f>IF($G3082&lt;&gt;"ALCOHOL","",IF($K3082="","",$H3082*IFERROR(VLOOKUP($K3082,Drink_Templates!$A:$G,7,FALSE),0)))</f>
        <v/>
      </c>
    </row>
    <row r="3083" ht="15" customHeight="1">
      <c r="C3083">
        <f>IF($B3083="","",INT($B3083))</f>
        <v/>
      </c>
      <c r="D3083">
        <f>IF($C3083="","",$C3083-WEEKDAY($C3083,2)+1)</f>
        <v/>
      </c>
      <c r="E3083">
        <f>IF($C3083="","",DATE(YEAR($C3083),MONTH($C3083),1))</f>
        <v/>
      </c>
      <c r="F3083">
        <f>IF($C3083="","",YEAR($C3083)&amp;"-Q"&amp;ROUNDUP(MONTH($C3083)/3,0))</f>
        <v/>
      </c>
      <c r="L3083">
        <f>IF($G3083&lt;&gt;"ALCOHOL","",IF($K3083="","",$H3083*IFERROR(VLOOKUP($K3083,Drink_Templates!$A:$G,7,FALSE),0)))</f>
        <v/>
      </c>
    </row>
    <row r="3084" ht="15" customHeight="1">
      <c r="C3084">
        <f>IF($B3084="","",INT($B3084))</f>
        <v/>
      </c>
      <c r="D3084">
        <f>IF($C3084="","",$C3084-WEEKDAY($C3084,2)+1)</f>
        <v/>
      </c>
      <c r="E3084">
        <f>IF($C3084="","",DATE(YEAR($C3084),MONTH($C3084),1))</f>
        <v/>
      </c>
      <c r="F3084">
        <f>IF($C3084="","",YEAR($C3084)&amp;"-Q"&amp;ROUNDUP(MONTH($C3084)/3,0))</f>
        <v/>
      </c>
      <c r="L3084">
        <f>IF($G3084&lt;&gt;"ALCOHOL","",IF($K3084="","",$H3084*IFERROR(VLOOKUP($K3084,Drink_Templates!$A:$G,7,FALSE),0)))</f>
        <v/>
      </c>
    </row>
    <row r="3085" ht="15" customHeight="1">
      <c r="C3085">
        <f>IF($B3085="","",INT($B3085))</f>
        <v/>
      </c>
      <c r="D3085">
        <f>IF($C3085="","",$C3085-WEEKDAY($C3085,2)+1)</f>
        <v/>
      </c>
      <c r="E3085">
        <f>IF($C3085="","",DATE(YEAR($C3085),MONTH($C3085),1))</f>
        <v/>
      </c>
      <c r="F3085">
        <f>IF($C3085="","",YEAR($C3085)&amp;"-Q"&amp;ROUNDUP(MONTH($C3085)/3,0))</f>
        <v/>
      </c>
      <c r="L3085">
        <f>IF($G3085&lt;&gt;"ALCOHOL","",IF($K3085="","",$H3085*IFERROR(VLOOKUP($K3085,Drink_Templates!$A:$G,7,FALSE),0)))</f>
        <v/>
      </c>
    </row>
    <row r="3086" ht="15" customHeight="1">
      <c r="C3086">
        <f>IF($B3086="","",INT($B3086))</f>
        <v/>
      </c>
      <c r="D3086">
        <f>IF($C3086="","",$C3086-WEEKDAY($C3086,2)+1)</f>
        <v/>
      </c>
      <c r="E3086">
        <f>IF($C3086="","",DATE(YEAR($C3086),MONTH($C3086),1))</f>
        <v/>
      </c>
      <c r="F3086">
        <f>IF($C3086="","",YEAR($C3086)&amp;"-Q"&amp;ROUNDUP(MONTH($C3086)/3,0))</f>
        <v/>
      </c>
      <c r="L3086">
        <f>IF($G3086&lt;&gt;"ALCOHOL","",IF($K3086="","",$H3086*IFERROR(VLOOKUP($K3086,Drink_Templates!$A:$G,7,FALSE),0)))</f>
        <v/>
      </c>
    </row>
    <row r="3087" ht="15" customHeight="1">
      <c r="C3087">
        <f>IF($B3087="","",INT($B3087))</f>
        <v/>
      </c>
      <c r="D3087">
        <f>IF($C3087="","",$C3087-WEEKDAY($C3087,2)+1)</f>
        <v/>
      </c>
      <c r="E3087">
        <f>IF($C3087="","",DATE(YEAR($C3087),MONTH($C3087),1))</f>
        <v/>
      </c>
      <c r="F3087">
        <f>IF($C3087="","",YEAR($C3087)&amp;"-Q"&amp;ROUNDUP(MONTH($C3087)/3,0))</f>
        <v/>
      </c>
      <c r="L3087">
        <f>IF($G3087&lt;&gt;"ALCOHOL","",IF($K3087="","",$H3087*IFERROR(VLOOKUP($K3087,Drink_Templates!$A:$G,7,FALSE),0)))</f>
        <v/>
      </c>
    </row>
    <row r="3088" ht="15" customHeight="1">
      <c r="C3088">
        <f>IF($B3088="","",INT($B3088))</f>
        <v/>
      </c>
      <c r="D3088">
        <f>IF($C3088="","",$C3088-WEEKDAY($C3088,2)+1)</f>
        <v/>
      </c>
      <c r="E3088">
        <f>IF($C3088="","",DATE(YEAR($C3088),MONTH($C3088),1))</f>
        <v/>
      </c>
      <c r="F3088">
        <f>IF($C3088="","",YEAR($C3088)&amp;"-Q"&amp;ROUNDUP(MONTH($C3088)/3,0))</f>
        <v/>
      </c>
      <c r="L3088">
        <f>IF($G3088&lt;&gt;"ALCOHOL","",IF($K3088="","",$H3088*IFERROR(VLOOKUP($K3088,Drink_Templates!$A:$G,7,FALSE),0)))</f>
        <v/>
      </c>
    </row>
    <row r="3089" ht="15" customHeight="1">
      <c r="C3089">
        <f>IF($B3089="","",INT($B3089))</f>
        <v/>
      </c>
      <c r="D3089">
        <f>IF($C3089="","",$C3089-WEEKDAY($C3089,2)+1)</f>
        <v/>
      </c>
      <c r="E3089">
        <f>IF($C3089="","",DATE(YEAR($C3089),MONTH($C3089),1))</f>
        <v/>
      </c>
      <c r="F3089">
        <f>IF($C3089="","",YEAR($C3089)&amp;"-Q"&amp;ROUNDUP(MONTH($C3089)/3,0))</f>
        <v/>
      </c>
      <c r="L3089">
        <f>IF($G3089&lt;&gt;"ALCOHOL","",IF($K3089="","",$H3089*IFERROR(VLOOKUP($K3089,Drink_Templates!$A:$G,7,FALSE),0)))</f>
        <v/>
      </c>
    </row>
    <row r="3090" ht="15" customHeight="1">
      <c r="C3090">
        <f>IF($B3090="","",INT($B3090))</f>
        <v/>
      </c>
      <c r="D3090">
        <f>IF($C3090="","",$C3090-WEEKDAY($C3090,2)+1)</f>
        <v/>
      </c>
      <c r="E3090">
        <f>IF($C3090="","",DATE(YEAR($C3090),MONTH($C3090),1))</f>
        <v/>
      </c>
      <c r="F3090">
        <f>IF($C3090="","",YEAR($C3090)&amp;"-Q"&amp;ROUNDUP(MONTH($C3090)/3,0))</f>
        <v/>
      </c>
      <c r="L3090">
        <f>IF($G3090&lt;&gt;"ALCOHOL","",IF($K3090="","",$H3090*IFERROR(VLOOKUP($K3090,Drink_Templates!$A:$G,7,FALSE),0)))</f>
        <v/>
      </c>
    </row>
    <row r="3091" ht="15" customHeight="1">
      <c r="C3091">
        <f>IF($B3091="","",INT($B3091))</f>
        <v/>
      </c>
      <c r="D3091">
        <f>IF($C3091="","",$C3091-WEEKDAY($C3091,2)+1)</f>
        <v/>
      </c>
      <c r="E3091">
        <f>IF($C3091="","",DATE(YEAR($C3091),MONTH($C3091),1))</f>
        <v/>
      </c>
      <c r="F3091">
        <f>IF($C3091="","",YEAR($C3091)&amp;"-Q"&amp;ROUNDUP(MONTH($C3091)/3,0))</f>
        <v/>
      </c>
      <c r="L3091">
        <f>IF($G3091&lt;&gt;"ALCOHOL","",IF($K3091="","",$H3091*IFERROR(VLOOKUP($K3091,Drink_Templates!$A:$G,7,FALSE),0)))</f>
        <v/>
      </c>
    </row>
    <row r="3092" ht="15" customHeight="1">
      <c r="C3092">
        <f>IF($B3092="","",INT($B3092))</f>
        <v/>
      </c>
      <c r="D3092">
        <f>IF($C3092="","",$C3092-WEEKDAY($C3092,2)+1)</f>
        <v/>
      </c>
      <c r="E3092">
        <f>IF($C3092="","",DATE(YEAR($C3092),MONTH($C3092),1))</f>
        <v/>
      </c>
      <c r="F3092">
        <f>IF($C3092="","",YEAR($C3092)&amp;"-Q"&amp;ROUNDUP(MONTH($C3092)/3,0))</f>
        <v/>
      </c>
      <c r="L3092">
        <f>IF($G3092&lt;&gt;"ALCOHOL","",IF($K3092="","",$H3092*IFERROR(VLOOKUP($K3092,Drink_Templates!$A:$G,7,FALSE),0)))</f>
        <v/>
      </c>
    </row>
    <row r="3093" ht="15" customHeight="1">
      <c r="C3093">
        <f>IF($B3093="","",INT($B3093))</f>
        <v/>
      </c>
      <c r="D3093">
        <f>IF($C3093="","",$C3093-WEEKDAY($C3093,2)+1)</f>
        <v/>
      </c>
      <c r="E3093">
        <f>IF($C3093="","",DATE(YEAR($C3093),MONTH($C3093),1))</f>
        <v/>
      </c>
      <c r="F3093">
        <f>IF($C3093="","",YEAR($C3093)&amp;"-Q"&amp;ROUNDUP(MONTH($C3093)/3,0))</f>
        <v/>
      </c>
      <c r="L3093">
        <f>IF($G3093&lt;&gt;"ALCOHOL","",IF($K3093="","",$H3093*IFERROR(VLOOKUP($K3093,Drink_Templates!$A:$G,7,FALSE),0)))</f>
        <v/>
      </c>
    </row>
    <row r="3094" ht="15" customHeight="1">
      <c r="C3094">
        <f>IF($B3094="","",INT($B3094))</f>
        <v/>
      </c>
      <c r="D3094">
        <f>IF($C3094="","",$C3094-WEEKDAY($C3094,2)+1)</f>
        <v/>
      </c>
      <c r="E3094">
        <f>IF($C3094="","",DATE(YEAR($C3094),MONTH($C3094),1))</f>
        <v/>
      </c>
      <c r="F3094">
        <f>IF($C3094="","",YEAR($C3094)&amp;"-Q"&amp;ROUNDUP(MONTH($C3094)/3,0))</f>
        <v/>
      </c>
      <c r="L3094">
        <f>IF($G3094&lt;&gt;"ALCOHOL","",IF($K3094="","",$H3094*IFERROR(VLOOKUP($K3094,Drink_Templates!$A:$G,7,FALSE),0)))</f>
        <v/>
      </c>
    </row>
    <row r="3095" ht="15" customHeight="1">
      <c r="C3095">
        <f>IF($B3095="","",INT($B3095))</f>
        <v/>
      </c>
      <c r="D3095">
        <f>IF($C3095="","",$C3095-WEEKDAY($C3095,2)+1)</f>
        <v/>
      </c>
      <c r="E3095">
        <f>IF($C3095="","",DATE(YEAR($C3095),MONTH($C3095),1))</f>
        <v/>
      </c>
      <c r="F3095">
        <f>IF($C3095="","",YEAR($C3095)&amp;"-Q"&amp;ROUNDUP(MONTH($C3095)/3,0))</f>
        <v/>
      </c>
      <c r="L3095">
        <f>IF($G3095&lt;&gt;"ALCOHOL","",IF($K3095="","",$H3095*IFERROR(VLOOKUP($K3095,Drink_Templates!$A:$G,7,FALSE),0)))</f>
        <v/>
      </c>
    </row>
    <row r="3096" ht="15" customHeight="1">
      <c r="C3096">
        <f>IF($B3096="","",INT($B3096))</f>
        <v/>
      </c>
      <c r="D3096">
        <f>IF($C3096="","",$C3096-WEEKDAY($C3096,2)+1)</f>
        <v/>
      </c>
      <c r="E3096">
        <f>IF($C3096="","",DATE(YEAR($C3096),MONTH($C3096),1))</f>
        <v/>
      </c>
      <c r="F3096">
        <f>IF($C3096="","",YEAR($C3096)&amp;"-Q"&amp;ROUNDUP(MONTH($C3096)/3,0))</f>
        <v/>
      </c>
      <c r="L3096">
        <f>IF($G3096&lt;&gt;"ALCOHOL","",IF($K3096="","",$H3096*IFERROR(VLOOKUP($K3096,Drink_Templates!$A:$G,7,FALSE),0)))</f>
        <v/>
      </c>
    </row>
    <row r="3097" ht="15" customHeight="1">
      <c r="C3097">
        <f>IF($B3097="","",INT($B3097))</f>
        <v/>
      </c>
      <c r="D3097">
        <f>IF($C3097="","",$C3097-WEEKDAY($C3097,2)+1)</f>
        <v/>
      </c>
      <c r="E3097">
        <f>IF($C3097="","",DATE(YEAR($C3097),MONTH($C3097),1))</f>
        <v/>
      </c>
      <c r="F3097">
        <f>IF($C3097="","",YEAR($C3097)&amp;"-Q"&amp;ROUNDUP(MONTH($C3097)/3,0))</f>
        <v/>
      </c>
      <c r="L3097">
        <f>IF($G3097&lt;&gt;"ALCOHOL","",IF($K3097="","",$H3097*IFERROR(VLOOKUP($K3097,Drink_Templates!$A:$G,7,FALSE),0)))</f>
        <v/>
      </c>
    </row>
    <row r="3098" ht="15" customHeight="1">
      <c r="C3098">
        <f>IF($B3098="","",INT($B3098))</f>
        <v/>
      </c>
      <c r="D3098">
        <f>IF($C3098="","",$C3098-WEEKDAY($C3098,2)+1)</f>
        <v/>
      </c>
      <c r="E3098">
        <f>IF($C3098="","",DATE(YEAR($C3098),MONTH($C3098),1))</f>
        <v/>
      </c>
      <c r="F3098">
        <f>IF($C3098="","",YEAR($C3098)&amp;"-Q"&amp;ROUNDUP(MONTH($C3098)/3,0))</f>
        <v/>
      </c>
      <c r="L3098">
        <f>IF($G3098&lt;&gt;"ALCOHOL","",IF($K3098="","",$H3098*IFERROR(VLOOKUP($K3098,Drink_Templates!$A:$G,7,FALSE),0)))</f>
        <v/>
      </c>
    </row>
    <row r="3099" ht="15" customHeight="1">
      <c r="C3099">
        <f>IF($B3099="","",INT($B3099))</f>
        <v/>
      </c>
      <c r="D3099">
        <f>IF($C3099="","",$C3099-WEEKDAY($C3099,2)+1)</f>
        <v/>
      </c>
      <c r="E3099">
        <f>IF($C3099="","",DATE(YEAR($C3099),MONTH($C3099),1))</f>
        <v/>
      </c>
      <c r="F3099">
        <f>IF($C3099="","",YEAR($C3099)&amp;"-Q"&amp;ROUNDUP(MONTH($C3099)/3,0))</f>
        <v/>
      </c>
      <c r="L3099">
        <f>IF($G3099&lt;&gt;"ALCOHOL","",IF($K3099="","",$H3099*IFERROR(VLOOKUP($K3099,Drink_Templates!$A:$G,7,FALSE),0)))</f>
        <v/>
      </c>
    </row>
    <row r="3100" ht="15" customHeight="1">
      <c r="C3100">
        <f>IF($B3100="","",INT($B3100))</f>
        <v/>
      </c>
      <c r="D3100">
        <f>IF($C3100="","",$C3100-WEEKDAY($C3100,2)+1)</f>
        <v/>
      </c>
      <c r="E3100">
        <f>IF($C3100="","",DATE(YEAR($C3100),MONTH($C3100),1))</f>
        <v/>
      </c>
      <c r="F3100">
        <f>IF($C3100="","",YEAR($C3100)&amp;"-Q"&amp;ROUNDUP(MONTH($C3100)/3,0))</f>
        <v/>
      </c>
      <c r="L3100">
        <f>IF($G3100&lt;&gt;"ALCOHOL","",IF($K3100="","",$H3100*IFERROR(VLOOKUP($K3100,Drink_Templates!$A:$G,7,FALSE),0)))</f>
        <v/>
      </c>
    </row>
    <row r="3101" ht="15" customHeight="1">
      <c r="C3101">
        <f>IF($B3101="","",INT($B3101))</f>
        <v/>
      </c>
      <c r="D3101">
        <f>IF($C3101="","",$C3101-WEEKDAY($C3101,2)+1)</f>
        <v/>
      </c>
      <c r="E3101">
        <f>IF($C3101="","",DATE(YEAR($C3101),MONTH($C3101),1))</f>
        <v/>
      </c>
      <c r="F3101">
        <f>IF($C3101="","",YEAR($C3101)&amp;"-Q"&amp;ROUNDUP(MONTH($C3101)/3,0))</f>
        <v/>
      </c>
      <c r="L3101">
        <f>IF($G3101&lt;&gt;"ALCOHOL","",IF($K3101="","",$H3101*IFERROR(VLOOKUP($K3101,Drink_Templates!$A:$G,7,FALSE),0)))</f>
        <v/>
      </c>
    </row>
    <row r="3102" ht="15" customHeight="1">
      <c r="C3102">
        <f>IF($B3102="","",INT($B3102))</f>
        <v/>
      </c>
      <c r="D3102">
        <f>IF($C3102="","",$C3102-WEEKDAY($C3102,2)+1)</f>
        <v/>
      </c>
      <c r="E3102">
        <f>IF($C3102="","",DATE(YEAR($C3102),MONTH($C3102),1))</f>
        <v/>
      </c>
      <c r="F3102">
        <f>IF($C3102="","",YEAR($C3102)&amp;"-Q"&amp;ROUNDUP(MONTH($C3102)/3,0))</f>
        <v/>
      </c>
      <c r="L3102">
        <f>IF($G3102&lt;&gt;"ALCOHOL","",IF($K3102="","",$H3102*IFERROR(VLOOKUP($K3102,Drink_Templates!$A:$G,7,FALSE),0)))</f>
        <v/>
      </c>
    </row>
    <row r="3103" ht="15" customHeight="1">
      <c r="C3103">
        <f>IF($B3103="","",INT($B3103))</f>
        <v/>
      </c>
      <c r="D3103">
        <f>IF($C3103="","",$C3103-WEEKDAY($C3103,2)+1)</f>
        <v/>
      </c>
      <c r="E3103">
        <f>IF($C3103="","",DATE(YEAR($C3103),MONTH($C3103),1))</f>
        <v/>
      </c>
      <c r="F3103">
        <f>IF($C3103="","",YEAR($C3103)&amp;"-Q"&amp;ROUNDUP(MONTH($C3103)/3,0))</f>
        <v/>
      </c>
      <c r="L3103">
        <f>IF($G3103&lt;&gt;"ALCOHOL","",IF($K3103="","",$H3103*IFERROR(VLOOKUP($K3103,Drink_Templates!$A:$G,7,FALSE),0)))</f>
        <v/>
      </c>
    </row>
    <row r="3104" ht="15" customHeight="1">
      <c r="C3104">
        <f>IF($B3104="","",INT($B3104))</f>
        <v/>
      </c>
      <c r="D3104">
        <f>IF($C3104="","",$C3104-WEEKDAY($C3104,2)+1)</f>
        <v/>
      </c>
      <c r="E3104">
        <f>IF($C3104="","",DATE(YEAR($C3104),MONTH($C3104),1))</f>
        <v/>
      </c>
      <c r="F3104">
        <f>IF($C3104="","",YEAR($C3104)&amp;"-Q"&amp;ROUNDUP(MONTH($C3104)/3,0))</f>
        <v/>
      </c>
      <c r="L3104">
        <f>IF($G3104&lt;&gt;"ALCOHOL","",IF($K3104="","",$H3104*IFERROR(VLOOKUP($K3104,Drink_Templates!$A:$G,7,FALSE),0)))</f>
        <v/>
      </c>
    </row>
    <row r="3105" ht="15" customHeight="1">
      <c r="C3105">
        <f>IF($B3105="","",INT($B3105))</f>
        <v/>
      </c>
      <c r="D3105">
        <f>IF($C3105="","",$C3105-WEEKDAY($C3105,2)+1)</f>
        <v/>
      </c>
      <c r="E3105">
        <f>IF($C3105="","",DATE(YEAR($C3105),MONTH($C3105),1))</f>
        <v/>
      </c>
      <c r="F3105">
        <f>IF($C3105="","",YEAR($C3105)&amp;"-Q"&amp;ROUNDUP(MONTH($C3105)/3,0))</f>
        <v/>
      </c>
      <c r="L3105">
        <f>IF($G3105&lt;&gt;"ALCOHOL","",IF($K3105="","",$H3105*IFERROR(VLOOKUP($K3105,Drink_Templates!$A:$G,7,FALSE),0)))</f>
        <v/>
      </c>
    </row>
    <row r="3106" ht="15" customHeight="1">
      <c r="C3106">
        <f>IF($B3106="","",INT($B3106))</f>
        <v/>
      </c>
      <c r="D3106">
        <f>IF($C3106="","",$C3106-WEEKDAY($C3106,2)+1)</f>
        <v/>
      </c>
      <c r="E3106">
        <f>IF($C3106="","",DATE(YEAR($C3106),MONTH($C3106),1))</f>
        <v/>
      </c>
      <c r="F3106">
        <f>IF($C3106="","",YEAR($C3106)&amp;"-Q"&amp;ROUNDUP(MONTH($C3106)/3,0))</f>
        <v/>
      </c>
      <c r="L3106">
        <f>IF($G3106&lt;&gt;"ALCOHOL","",IF($K3106="","",$H3106*IFERROR(VLOOKUP($K3106,Drink_Templates!$A:$G,7,FALSE),0)))</f>
        <v/>
      </c>
    </row>
    <row r="3107" ht="15" customHeight="1">
      <c r="C3107">
        <f>IF($B3107="","",INT($B3107))</f>
        <v/>
      </c>
      <c r="D3107">
        <f>IF($C3107="","",$C3107-WEEKDAY($C3107,2)+1)</f>
        <v/>
      </c>
      <c r="E3107">
        <f>IF($C3107="","",DATE(YEAR($C3107),MONTH($C3107),1))</f>
        <v/>
      </c>
      <c r="F3107">
        <f>IF($C3107="","",YEAR($C3107)&amp;"-Q"&amp;ROUNDUP(MONTH($C3107)/3,0))</f>
        <v/>
      </c>
      <c r="L3107">
        <f>IF($G3107&lt;&gt;"ALCOHOL","",IF($K3107="","",$H3107*IFERROR(VLOOKUP($K3107,Drink_Templates!$A:$G,7,FALSE),0)))</f>
        <v/>
      </c>
    </row>
    <row r="3108" ht="15" customHeight="1">
      <c r="C3108">
        <f>IF($B3108="","",INT($B3108))</f>
        <v/>
      </c>
      <c r="D3108">
        <f>IF($C3108="","",$C3108-WEEKDAY($C3108,2)+1)</f>
        <v/>
      </c>
      <c r="E3108">
        <f>IF($C3108="","",DATE(YEAR($C3108),MONTH($C3108),1))</f>
        <v/>
      </c>
      <c r="F3108">
        <f>IF($C3108="","",YEAR($C3108)&amp;"-Q"&amp;ROUNDUP(MONTH($C3108)/3,0))</f>
        <v/>
      </c>
      <c r="L3108">
        <f>IF($G3108&lt;&gt;"ALCOHOL","",IF($K3108="","",$H3108*IFERROR(VLOOKUP($K3108,Drink_Templates!$A:$G,7,FALSE),0)))</f>
        <v/>
      </c>
    </row>
    <row r="3109" ht="15" customHeight="1">
      <c r="C3109">
        <f>IF($B3109="","",INT($B3109))</f>
        <v/>
      </c>
      <c r="D3109">
        <f>IF($C3109="","",$C3109-WEEKDAY($C3109,2)+1)</f>
        <v/>
      </c>
      <c r="E3109">
        <f>IF($C3109="","",DATE(YEAR($C3109),MONTH($C3109),1))</f>
        <v/>
      </c>
      <c r="F3109">
        <f>IF($C3109="","",YEAR($C3109)&amp;"-Q"&amp;ROUNDUP(MONTH($C3109)/3,0))</f>
        <v/>
      </c>
      <c r="L3109">
        <f>IF($G3109&lt;&gt;"ALCOHOL","",IF($K3109="","",$H3109*IFERROR(VLOOKUP($K3109,Drink_Templates!$A:$G,7,FALSE),0)))</f>
        <v/>
      </c>
    </row>
    <row r="3110" ht="15" customHeight="1">
      <c r="C3110">
        <f>IF($B3110="","",INT($B3110))</f>
        <v/>
      </c>
      <c r="D3110">
        <f>IF($C3110="","",$C3110-WEEKDAY($C3110,2)+1)</f>
        <v/>
      </c>
      <c r="E3110">
        <f>IF($C3110="","",DATE(YEAR($C3110),MONTH($C3110),1))</f>
        <v/>
      </c>
      <c r="F3110">
        <f>IF($C3110="","",YEAR($C3110)&amp;"-Q"&amp;ROUNDUP(MONTH($C3110)/3,0))</f>
        <v/>
      </c>
      <c r="L3110">
        <f>IF($G3110&lt;&gt;"ALCOHOL","",IF($K3110="","",$H3110*IFERROR(VLOOKUP($K3110,Drink_Templates!$A:$G,7,FALSE),0)))</f>
        <v/>
      </c>
    </row>
    <row r="3111" ht="15" customHeight="1">
      <c r="C3111">
        <f>IF($B3111="","",INT($B3111))</f>
        <v/>
      </c>
      <c r="D3111">
        <f>IF($C3111="","",$C3111-WEEKDAY($C3111,2)+1)</f>
        <v/>
      </c>
      <c r="E3111">
        <f>IF($C3111="","",DATE(YEAR($C3111),MONTH($C3111),1))</f>
        <v/>
      </c>
      <c r="F3111">
        <f>IF($C3111="","",YEAR($C3111)&amp;"-Q"&amp;ROUNDUP(MONTH($C3111)/3,0))</f>
        <v/>
      </c>
      <c r="L3111">
        <f>IF($G3111&lt;&gt;"ALCOHOL","",IF($K3111="","",$H3111*IFERROR(VLOOKUP($K3111,Drink_Templates!$A:$G,7,FALSE),0)))</f>
        <v/>
      </c>
    </row>
    <row r="3112" ht="15" customHeight="1">
      <c r="C3112">
        <f>IF($B3112="","",INT($B3112))</f>
        <v/>
      </c>
      <c r="D3112">
        <f>IF($C3112="","",$C3112-WEEKDAY($C3112,2)+1)</f>
        <v/>
      </c>
      <c r="E3112">
        <f>IF($C3112="","",DATE(YEAR($C3112),MONTH($C3112),1))</f>
        <v/>
      </c>
      <c r="F3112">
        <f>IF($C3112="","",YEAR($C3112)&amp;"-Q"&amp;ROUNDUP(MONTH($C3112)/3,0))</f>
        <v/>
      </c>
      <c r="L3112">
        <f>IF($G3112&lt;&gt;"ALCOHOL","",IF($K3112="","",$H3112*IFERROR(VLOOKUP($K3112,Drink_Templates!$A:$G,7,FALSE),0)))</f>
        <v/>
      </c>
    </row>
    <row r="3113" ht="15" customHeight="1">
      <c r="C3113">
        <f>IF($B3113="","",INT($B3113))</f>
        <v/>
      </c>
      <c r="D3113">
        <f>IF($C3113="","",$C3113-WEEKDAY($C3113,2)+1)</f>
        <v/>
      </c>
      <c r="E3113">
        <f>IF($C3113="","",DATE(YEAR($C3113),MONTH($C3113),1))</f>
        <v/>
      </c>
      <c r="F3113">
        <f>IF($C3113="","",YEAR($C3113)&amp;"-Q"&amp;ROUNDUP(MONTH($C3113)/3,0))</f>
        <v/>
      </c>
      <c r="L3113">
        <f>IF($G3113&lt;&gt;"ALCOHOL","",IF($K3113="","",$H3113*IFERROR(VLOOKUP($K3113,Drink_Templates!$A:$G,7,FALSE),0)))</f>
        <v/>
      </c>
    </row>
    <row r="3114" ht="15" customHeight="1">
      <c r="C3114">
        <f>IF($B3114="","",INT($B3114))</f>
        <v/>
      </c>
      <c r="D3114">
        <f>IF($C3114="","",$C3114-WEEKDAY($C3114,2)+1)</f>
        <v/>
      </c>
      <c r="E3114">
        <f>IF($C3114="","",DATE(YEAR($C3114),MONTH($C3114),1))</f>
        <v/>
      </c>
      <c r="F3114">
        <f>IF($C3114="","",YEAR($C3114)&amp;"-Q"&amp;ROUNDUP(MONTH($C3114)/3,0))</f>
        <v/>
      </c>
      <c r="L3114">
        <f>IF($G3114&lt;&gt;"ALCOHOL","",IF($K3114="","",$H3114*IFERROR(VLOOKUP($K3114,Drink_Templates!$A:$G,7,FALSE),0)))</f>
        <v/>
      </c>
    </row>
    <row r="3115" ht="15" customHeight="1">
      <c r="C3115">
        <f>IF($B3115="","",INT($B3115))</f>
        <v/>
      </c>
      <c r="D3115">
        <f>IF($C3115="","",$C3115-WEEKDAY($C3115,2)+1)</f>
        <v/>
      </c>
      <c r="E3115">
        <f>IF($C3115="","",DATE(YEAR($C3115),MONTH($C3115),1))</f>
        <v/>
      </c>
      <c r="F3115">
        <f>IF($C3115="","",YEAR($C3115)&amp;"-Q"&amp;ROUNDUP(MONTH($C3115)/3,0))</f>
        <v/>
      </c>
      <c r="L3115">
        <f>IF($G3115&lt;&gt;"ALCOHOL","",IF($K3115="","",$H3115*IFERROR(VLOOKUP($K3115,Drink_Templates!$A:$G,7,FALSE),0)))</f>
        <v/>
      </c>
    </row>
    <row r="3116" ht="15" customHeight="1">
      <c r="C3116">
        <f>IF($B3116="","",INT($B3116))</f>
        <v/>
      </c>
      <c r="D3116">
        <f>IF($C3116="","",$C3116-WEEKDAY($C3116,2)+1)</f>
        <v/>
      </c>
      <c r="E3116">
        <f>IF($C3116="","",DATE(YEAR($C3116),MONTH($C3116),1))</f>
        <v/>
      </c>
      <c r="F3116">
        <f>IF($C3116="","",YEAR($C3116)&amp;"-Q"&amp;ROUNDUP(MONTH($C3116)/3,0))</f>
        <v/>
      </c>
      <c r="L3116">
        <f>IF($G3116&lt;&gt;"ALCOHOL","",IF($K3116="","",$H3116*IFERROR(VLOOKUP($K3116,Drink_Templates!$A:$G,7,FALSE),0)))</f>
        <v/>
      </c>
    </row>
    <row r="3117" ht="15" customHeight="1">
      <c r="C3117">
        <f>IF($B3117="","",INT($B3117))</f>
        <v/>
      </c>
      <c r="D3117">
        <f>IF($C3117="","",$C3117-WEEKDAY($C3117,2)+1)</f>
        <v/>
      </c>
      <c r="E3117">
        <f>IF($C3117="","",DATE(YEAR($C3117),MONTH($C3117),1))</f>
        <v/>
      </c>
      <c r="F3117">
        <f>IF($C3117="","",YEAR($C3117)&amp;"-Q"&amp;ROUNDUP(MONTH($C3117)/3,0))</f>
        <v/>
      </c>
      <c r="L3117">
        <f>IF($G3117&lt;&gt;"ALCOHOL","",IF($K3117="","",$H3117*IFERROR(VLOOKUP($K3117,Drink_Templates!$A:$G,7,FALSE),0)))</f>
        <v/>
      </c>
    </row>
    <row r="3118" ht="15" customHeight="1">
      <c r="C3118">
        <f>IF($B3118="","",INT($B3118))</f>
        <v/>
      </c>
      <c r="D3118">
        <f>IF($C3118="","",$C3118-WEEKDAY($C3118,2)+1)</f>
        <v/>
      </c>
      <c r="E3118">
        <f>IF($C3118="","",DATE(YEAR($C3118),MONTH($C3118),1))</f>
        <v/>
      </c>
      <c r="F3118">
        <f>IF($C3118="","",YEAR($C3118)&amp;"-Q"&amp;ROUNDUP(MONTH($C3118)/3,0))</f>
        <v/>
      </c>
      <c r="L3118">
        <f>IF($G3118&lt;&gt;"ALCOHOL","",IF($K3118="","",$H3118*IFERROR(VLOOKUP($K3118,Drink_Templates!$A:$G,7,FALSE),0)))</f>
        <v/>
      </c>
    </row>
    <row r="3119" ht="15" customHeight="1">
      <c r="C3119">
        <f>IF($B3119="","",INT($B3119))</f>
        <v/>
      </c>
      <c r="D3119">
        <f>IF($C3119="","",$C3119-WEEKDAY($C3119,2)+1)</f>
        <v/>
      </c>
      <c r="E3119">
        <f>IF($C3119="","",DATE(YEAR($C3119),MONTH($C3119),1))</f>
        <v/>
      </c>
      <c r="F3119">
        <f>IF($C3119="","",YEAR($C3119)&amp;"-Q"&amp;ROUNDUP(MONTH($C3119)/3,0))</f>
        <v/>
      </c>
      <c r="L3119">
        <f>IF($G3119&lt;&gt;"ALCOHOL","",IF($K3119="","",$H3119*IFERROR(VLOOKUP($K3119,Drink_Templates!$A:$G,7,FALSE),0)))</f>
        <v/>
      </c>
    </row>
    <row r="3120" ht="15" customHeight="1">
      <c r="C3120">
        <f>IF($B3120="","",INT($B3120))</f>
        <v/>
      </c>
      <c r="D3120">
        <f>IF($C3120="","",$C3120-WEEKDAY($C3120,2)+1)</f>
        <v/>
      </c>
      <c r="E3120">
        <f>IF($C3120="","",DATE(YEAR($C3120),MONTH($C3120),1))</f>
        <v/>
      </c>
      <c r="F3120">
        <f>IF($C3120="","",YEAR($C3120)&amp;"-Q"&amp;ROUNDUP(MONTH($C3120)/3,0))</f>
        <v/>
      </c>
      <c r="L3120">
        <f>IF($G3120&lt;&gt;"ALCOHOL","",IF($K3120="","",$H3120*IFERROR(VLOOKUP($K3120,Drink_Templates!$A:$G,7,FALSE),0)))</f>
        <v/>
      </c>
    </row>
    <row r="3121" ht="15" customHeight="1">
      <c r="C3121">
        <f>IF($B3121="","",INT($B3121))</f>
        <v/>
      </c>
      <c r="D3121">
        <f>IF($C3121="","",$C3121-WEEKDAY($C3121,2)+1)</f>
        <v/>
      </c>
      <c r="E3121">
        <f>IF($C3121="","",DATE(YEAR($C3121),MONTH($C3121),1))</f>
        <v/>
      </c>
      <c r="F3121">
        <f>IF($C3121="","",YEAR($C3121)&amp;"-Q"&amp;ROUNDUP(MONTH($C3121)/3,0))</f>
        <v/>
      </c>
      <c r="L3121">
        <f>IF($G3121&lt;&gt;"ALCOHOL","",IF($K3121="","",$H3121*IFERROR(VLOOKUP($K3121,Drink_Templates!$A:$G,7,FALSE),0)))</f>
        <v/>
      </c>
    </row>
    <row r="3122" ht="15" customHeight="1">
      <c r="C3122">
        <f>IF($B3122="","",INT($B3122))</f>
        <v/>
      </c>
      <c r="D3122">
        <f>IF($C3122="","",$C3122-WEEKDAY($C3122,2)+1)</f>
        <v/>
      </c>
      <c r="E3122">
        <f>IF($C3122="","",DATE(YEAR($C3122),MONTH($C3122),1))</f>
        <v/>
      </c>
      <c r="F3122">
        <f>IF($C3122="","",YEAR($C3122)&amp;"-Q"&amp;ROUNDUP(MONTH($C3122)/3,0))</f>
        <v/>
      </c>
      <c r="L3122">
        <f>IF($G3122&lt;&gt;"ALCOHOL","",IF($K3122="","",$H3122*IFERROR(VLOOKUP($K3122,Drink_Templates!$A:$G,7,FALSE),0)))</f>
        <v/>
      </c>
    </row>
    <row r="3123" ht="15" customHeight="1">
      <c r="C3123">
        <f>IF($B3123="","",INT($B3123))</f>
        <v/>
      </c>
      <c r="D3123">
        <f>IF($C3123="","",$C3123-WEEKDAY($C3123,2)+1)</f>
        <v/>
      </c>
      <c r="E3123">
        <f>IF($C3123="","",DATE(YEAR($C3123),MONTH($C3123),1))</f>
        <v/>
      </c>
      <c r="F3123">
        <f>IF($C3123="","",YEAR($C3123)&amp;"-Q"&amp;ROUNDUP(MONTH($C3123)/3,0))</f>
        <v/>
      </c>
      <c r="L3123">
        <f>IF($G3123&lt;&gt;"ALCOHOL","",IF($K3123="","",$H3123*IFERROR(VLOOKUP($K3123,Drink_Templates!$A:$G,7,FALSE),0)))</f>
        <v/>
      </c>
    </row>
    <row r="3124" ht="15" customHeight="1">
      <c r="C3124">
        <f>IF($B3124="","",INT($B3124))</f>
        <v/>
      </c>
      <c r="D3124">
        <f>IF($C3124="","",$C3124-WEEKDAY($C3124,2)+1)</f>
        <v/>
      </c>
      <c r="E3124">
        <f>IF($C3124="","",DATE(YEAR($C3124),MONTH($C3124),1))</f>
        <v/>
      </c>
      <c r="F3124">
        <f>IF($C3124="","",YEAR($C3124)&amp;"-Q"&amp;ROUNDUP(MONTH($C3124)/3,0))</f>
        <v/>
      </c>
      <c r="L3124">
        <f>IF($G3124&lt;&gt;"ALCOHOL","",IF($K3124="","",$H3124*IFERROR(VLOOKUP($K3124,Drink_Templates!$A:$G,7,FALSE),0)))</f>
        <v/>
      </c>
    </row>
    <row r="3125" ht="15" customHeight="1">
      <c r="C3125">
        <f>IF($B3125="","",INT($B3125))</f>
        <v/>
      </c>
      <c r="D3125">
        <f>IF($C3125="","",$C3125-WEEKDAY($C3125,2)+1)</f>
        <v/>
      </c>
      <c r="E3125">
        <f>IF($C3125="","",DATE(YEAR($C3125),MONTH($C3125),1))</f>
        <v/>
      </c>
      <c r="F3125">
        <f>IF($C3125="","",YEAR($C3125)&amp;"-Q"&amp;ROUNDUP(MONTH($C3125)/3,0))</f>
        <v/>
      </c>
      <c r="L3125">
        <f>IF($G3125&lt;&gt;"ALCOHOL","",IF($K3125="","",$H3125*IFERROR(VLOOKUP($K3125,Drink_Templates!$A:$G,7,FALSE),0)))</f>
        <v/>
      </c>
    </row>
    <row r="3126" ht="15" customHeight="1">
      <c r="C3126">
        <f>IF($B3126="","",INT($B3126))</f>
        <v/>
      </c>
      <c r="D3126">
        <f>IF($C3126="","",$C3126-WEEKDAY($C3126,2)+1)</f>
        <v/>
      </c>
      <c r="E3126">
        <f>IF($C3126="","",DATE(YEAR($C3126),MONTH($C3126),1))</f>
        <v/>
      </c>
      <c r="F3126">
        <f>IF($C3126="","",YEAR($C3126)&amp;"-Q"&amp;ROUNDUP(MONTH($C3126)/3,0))</f>
        <v/>
      </c>
      <c r="L3126">
        <f>IF($G3126&lt;&gt;"ALCOHOL","",IF($K3126="","",$H3126*IFERROR(VLOOKUP($K3126,Drink_Templates!$A:$G,7,FALSE),0)))</f>
        <v/>
      </c>
    </row>
    <row r="3127" ht="15" customHeight="1">
      <c r="C3127">
        <f>IF($B3127="","",INT($B3127))</f>
        <v/>
      </c>
      <c r="D3127">
        <f>IF($C3127="","",$C3127-WEEKDAY($C3127,2)+1)</f>
        <v/>
      </c>
      <c r="E3127">
        <f>IF($C3127="","",DATE(YEAR($C3127),MONTH($C3127),1))</f>
        <v/>
      </c>
      <c r="F3127">
        <f>IF($C3127="","",YEAR($C3127)&amp;"-Q"&amp;ROUNDUP(MONTH($C3127)/3,0))</f>
        <v/>
      </c>
      <c r="L3127">
        <f>IF($G3127&lt;&gt;"ALCOHOL","",IF($K3127="","",$H3127*IFERROR(VLOOKUP($K3127,Drink_Templates!$A:$G,7,FALSE),0)))</f>
        <v/>
      </c>
    </row>
    <row r="3128" ht="15" customHeight="1">
      <c r="C3128">
        <f>IF($B3128="","",INT($B3128))</f>
        <v/>
      </c>
      <c r="D3128">
        <f>IF($C3128="","",$C3128-WEEKDAY($C3128,2)+1)</f>
        <v/>
      </c>
      <c r="E3128">
        <f>IF($C3128="","",DATE(YEAR($C3128),MONTH($C3128),1))</f>
        <v/>
      </c>
      <c r="F3128">
        <f>IF($C3128="","",YEAR($C3128)&amp;"-Q"&amp;ROUNDUP(MONTH($C3128)/3,0))</f>
        <v/>
      </c>
      <c r="L3128">
        <f>IF($G3128&lt;&gt;"ALCOHOL","",IF($K3128="","",$H3128*IFERROR(VLOOKUP($K3128,Drink_Templates!$A:$G,7,FALSE),0)))</f>
        <v/>
      </c>
    </row>
    <row r="3129" ht="15" customHeight="1">
      <c r="C3129">
        <f>IF($B3129="","",INT($B3129))</f>
        <v/>
      </c>
      <c r="D3129">
        <f>IF($C3129="","",$C3129-WEEKDAY($C3129,2)+1)</f>
        <v/>
      </c>
      <c r="E3129">
        <f>IF($C3129="","",DATE(YEAR($C3129),MONTH($C3129),1))</f>
        <v/>
      </c>
      <c r="F3129">
        <f>IF($C3129="","",YEAR($C3129)&amp;"-Q"&amp;ROUNDUP(MONTH($C3129)/3,0))</f>
        <v/>
      </c>
      <c r="L3129">
        <f>IF($G3129&lt;&gt;"ALCOHOL","",IF($K3129="","",$H3129*IFERROR(VLOOKUP($K3129,Drink_Templates!$A:$G,7,FALSE),0)))</f>
        <v/>
      </c>
    </row>
    <row r="3130" ht="15" customHeight="1">
      <c r="C3130">
        <f>IF($B3130="","",INT($B3130))</f>
        <v/>
      </c>
      <c r="D3130">
        <f>IF($C3130="","",$C3130-WEEKDAY($C3130,2)+1)</f>
        <v/>
      </c>
      <c r="E3130">
        <f>IF($C3130="","",DATE(YEAR($C3130),MONTH($C3130),1))</f>
        <v/>
      </c>
      <c r="F3130">
        <f>IF($C3130="","",YEAR($C3130)&amp;"-Q"&amp;ROUNDUP(MONTH($C3130)/3,0))</f>
        <v/>
      </c>
      <c r="L3130">
        <f>IF($G3130&lt;&gt;"ALCOHOL","",IF($K3130="","",$H3130*IFERROR(VLOOKUP($K3130,Drink_Templates!$A:$G,7,FALSE),0)))</f>
        <v/>
      </c>
    </row>
    <row r="3131" ht="15" customHeight="1">
      <c r="C3131">
        <f>IF($B3131="","",INT($B3131))</f>
        <v/>
      </c>
      <c r="D3131">
        <f>IF($C3131="","",$C3131-WEEKDAY($C3131,2)+1)</f>
        <v/>
      </c>
      <c r="E3131">
        <f>IF($C3131="","",DATE(YEAR($C3131),MONTH($C3131),1))</f>
        <v/>
      </c>
      <c r="F3131">
        <f>IF($C3131="","",YEAR($C3131)&amp;"-Q"&amp;ROUNDUP(MONTH($C3131)/3,0))</f>
        <v/>
      </c>
      <c r="L3131">
        <f>IF($G3131&lt;&gt;"ALCOHOL","",IF($K3131="","",$H3131*IFERROR(VLOOKUP($K3131,Drink_Templates!$A:$G,7,FALSE),0)))</f>
        <v/>
      </c>
    </row>
    <row r="3132" ht="15" customHeight="1">
      <c r="C3132">
        <f>IF($B3132="","",INT($B3132))</f>
        <v/>
      </c>
      <c r="D3132">
        <f>IF($C3132="","",$C3132-WEEKDAY($C3132,2)+1)</f>
        <v/>
      </c>
      <c r="E3132">
        <f>IF($C3132="","",DATE(YEAR($C3132),MONTH($C3132),1))</f>
        <v/>
      </c>
      <c r="F3132">
        <f>IF($C3132="","",YEAR($C3132)&amp;"-Q"&amp;ROUNDUP(MONTH($C3132)/3,0))</f>
        <v/>
      </c>
      <c r="L3132">
        <f>IF($G3132&lt;&gt;"ALCOHOL","",IF($K3132="","",$H3132*IFERROR(VLOOKUP($K3132,Drink_Templates!$A:$G,7,FALSE),0)))</f>
        <v/>
      </c>
    </row>
    <row r="3133" ht="15" customHeight="1">
      <c r="C3133">
        <f>IF($B3133="","",INT($B3133))</f>
        <v/>
      </c>
      <c r="D3133">
        <f>IF($C3133="","",$C3133-WEEKDAY($C3133,2)+1)</f>
        <v/>
      </c>
      <c r="E3133">
        <f>IF($C3133="","",DATE(YEAR($C3133),MONTH($C3133),1))</f>
        <v/>
      </c>
      <c r="F3133">
        <f>IF($C3133="","",YEAR($C3133)&amp;"-Q"&amp;ROUNDUP(MONTH($C3133)/3,0))</f>
        <v/>
      </c>
      <c r="L3133">
        <f>IF($G3133&lt;&gt;"ALCOHOL","",IF($K3133="","",$H3133*IFERROR(VLOOKUP($K3133,Drink_Templates!$A:$G,7,FALSE),0)))</f>
        <v/>
      </c>
    </row>
    <row r="3134" ht="15" customHeight="1">
      <c r="C3134">
        <f>IF($B3134="","",INT($B3134))</f>
        <v/>
      </c>
      <c r="D3134">
        <f>IF($C3134="","",$C3134-WEEKDAY($C3134,2)+1)</f>
        <v/>
      </c>
      <c r="E3134">
        <f>IF($C3134="","",DATE(YEAR($C3134),MONTH($C3134),1))</f>
        <v/>
      </c>
      <c r="F3134">
        <f>IF($C3134="","",YEAR($C3134)&amp;"-Q"&amp;ROUNDUP(MONTH($C3134)/3,0))</f>
        <v/>
      </c>
      <c r="L3134">
        <f>IF($G3134&lt;&gt;"ALCOHOL","",IF($K3134="","",$H3134*IFERROR(VLOOKUP($K3134,Drink_Templates!$A:$G,7,FALSE),0)))</f>
        <v/>
      </c>
    </row>
    <row r="3135" ht="15" customHeight="1">
      <c r="C3135">
        <f>IF($B3135="","",INT($B3135))</f>
        <v/>
      </c>
      <c r="D3135">
        <f>IF($C3135="","",$C3135-WEEKDAY($C3135,2)+1)</f>
        <v/>
      </c>
      <c r="E3135">
        <f>IF($C3135="","",DATE(YEAR($C3135),MONTH($C3135),1))</f>
        <v/>
      </c>
      <c r="F3135">
        <f>IF($C3135="","",YEAR($C3135)&amp;"-Q"&amp;ROUNDUP(MONTH($C3135)/3,0))</f>
        <v/>
      </c>
      <c r="L3135">
        <f>IF($G3135&lt;&gt;"ALCOHOL","",IF($K3135="","",$H3135*IFERROR(VLOOKUP($K3135,Drink_Templates!$A:$G,7,FALSE),0)))</f>
        <v/>
      </c>
    </row>
    <row r="3136" ht="15" customHeight="1">
      <c r="C3136">
        <f>IF($B3136="","",INT($B3136))</f>
        <v/>
      </c>
      <c r="D3136">
        <f>IF($C3136="","",$C3136-WEEKDAY($C3136,2)+1)</f>
        <v/>
      </c>
      <c r="E3136">
        <f>IF($C3136="","",DATE(YEAR($C3136),MONTH($C3136),1))</f>
        <v/>
      </c>
      <c r="F3136">
        <f>IF($C3136="","",YEAR($C3136)&amp;"-Q"&amp;ROUNDUP(MONTH($C3136)/3,0))</f>
        <v/>
      </c>
      <c r="L3136">
        <f>IF($G3136&lt;&gt;"ALCOHOL","",IF($K3136="","",$H3136*IFERROR(VLOOKUP($K3136,Drink_Templates!$A:$G,7,FALSE),0)))</f>
        <v/>
      </c>
    </row>
    <row r="3137" ht="15" customHeight="1">
      <c r="C3137">
        <f>IF($B3137="","",INT($B3137))</f>
        <v/>
      </c>
      <c r="D3137">
        <f>IF($C3137="","",$C3137-WEEKDAY($C3137,2)+1)</f>
        <v/>
      </c>
      <c r="E3137">
        <f>IF($C3137="","",DATE(YEAR($C3137),MONTH($C3137),1))</f>
        <v/>
      </c>
      <c r="F3137">
        <f>IF($C3137="","",YEAR($C3137)&amp;"-Q"&amp;ROUNDUP(MONTH($C3137)/3,0))</f>
        <v/>
      </c>
      <c r="L3137">
        <f>IF($G3137&lt;&gt;"ALCOHOL","",IF($K3137="","",$H3137*IFERROR(VLOOKUP($K3137,Drink_Templates!$A:$G,7,FALSE),0)))</f>
        <v/>
      </c>
    </row>
    <row r="3138" ht="15" customHeight="1">
      <c r="C3138">
        <f>IF($B3138="","",INT($B3138))</f>
        <v/>
      </c>
      <c r="D3138">
        <f>IF($C3138="","",$C3138-WEEKDAY($C3138,2)+1)</f>
        <v/>
      </c>
      <c r="E3138">
        <f>IF($C3138="","",DATE(YEAR($C3138),MONTH($C3138),1))</f>
        <v/>
      </c>
      <c r="F3138">
        <f>IF($C3138="","",YEAR($C3138)&amp;"-Q"&amp;ROUNDUP(MONTH($C3138)/3,0))</f>
        <v/>
      </c>
      <c r="L3138">
        <f>IF($G3138&lt;&gt;"ALCOHOL","",IF($K3138="","",$H3138*IFERROR(VLOOKUP($K3138,Drink_Templates!$A:$G,7,FALSE),0)))</f>
        <v/>
      </c>
    </row>
    <row r="3139" ht="15" customHeight="1">
      <c r="C3139">
        <f>IF($B3139="","",INT($B3139))</f>
        <v/>
      </c>
      <c r="D3139">
        <f>IF($C3139="","",$C3139-WEEKDAY($C3139,2)+1)</f>
        <v/>
      </c>
      <c r="E3139">
        <f>IF($C3139="","",DATE(YEAR($C3139),MONTH($C3139),1))</f>
        <v/>
      </c>
      <c r="F3139">
        <f>IF($C3139="","",YEAR($C3139)&amp;"-Q"&amp;ROUNDUP(MONTH($C3139)/3,0))</f>
        <v/>
      </c>
      <c r="L3139">
        <f>IF($G3139&lt;&gt;"ALCOHOL","",IF($K3139="","",$H3139*IFERROR(VLOOKUP($K3139,Drink_Templates!$A:$G,7,FALSE),0)))</f>
        <v/>
      </c>
    </row>
    <row r="3140" ht="15" customHeight="1">
      <c r="C3140">
        <f>IF($B3140="","",INT($B3140))</f>
        <v/>
      </c>
      <c r="D3140">
        <f>IF($C3140="","",$C3140-WEEKDAY($C3140,2)+1)</f>
        <v/>
      </c>
      <c r="E3140">
        <f>IF($C3140="","",DATE(YEAR($C3140),MONTH($C3140),1))</f>
        <v/>
      </c>
      <c r="F3140">
        <f>IF($C3140="","",YEAR($C3140)&amp;"-Q"&amp;ROUNDUP(MONTH($C3140)/3,0))</f>
        <v/>
      </c>
      <c r="L3140">
        <f>IF($G3140&lt;&gt;"ALCOHOL","",IF($K3140="","",$H3140*IFERROR(VLOOKUP($K3140,Drink_Templates!$A:$G,7,FALSE),0)))</f>
        <v/>
      </c>
    </row>
    <row r="3141" ht="15" customHeight="1">
      <c r="C3141">
        <f>IF($B3141="","",INT($B3141))</f>
        <v/>
      </c>
      <c r="D3141">
        <f>IF($C3141="","",$C3141-WEEKDAY($C3141,2)+1)</f>
        <v/>
      </c>
      <c r="E3141">
        <f>IF($C3141="","",DATE(YEAR($C3141),MONTH($C3141),1))</f>
        <v/>
      </c>
      <c r="F3141">
        <f>IF($C3141="","",YEAR($C3141)&amp;"-Q"&amp;ROUNDUP(MONTH($C3141)/3,0))</f>
        <v/>
      </c>
      <c r="L3141">
        <f>IF($G3141&lt;&gt;"ALCOHOL","",IF($K3141="","",$H3141*IFERROR(VLOOKUP($K3141,Drink_Templates!$A:$G,7,FALSE),0)))</f>
        <v/>
      </c>
    </row>
    <row r="3142" ht="15" customHeight="1">
      <c r="C3142">
        <f>IF($B3142="","",INT($B3142))</f>
        <v/>
      </c>
      <c r="D3142">
        <f>IF($C3142="","",$C3142-WEEKDAY($C3142,2)+1)</f>
        <v/>
      </c>
      <c r="E3142">
        <f>IF($C3142="","",DATE(YEAR($C3142),MONTH($C3142),1))</f>
        <v/>
      </c>
      <c r="F3142">
        <f>IF($C3142="","",YEAR($C3142)&amp;"-Q"&amp;ROUNDUP(MONTH($C3142)/3,0))</f>
        <v/>
      </c>
      <c r="L3142">
        <f>IF($G3142&lt;&gt;"ALCOHOL","",IF($K3142="","",$H3142*IFERROR(VLOOKUP($K3142,Drink_Templates!$A:$G,7,FALSE),0)))</f>
        <v/>
      </c>
    </row>
    <row r="3143" ht="15" customHeight="1">
      <c r="C3143">
        <f>IF($B3143="","",INT($B3143))</f>
        <v/>
      </c>
      <c r="D3143">
        <f>IF($C3143="","",$C3143-WEEKDAY($C3143,2)+1)</f>
        <v/>
      </c>
      <c r="E3143">
        <f>IF($C3143="","",DATE(YEAR($C3143),MONTH($C3143),1))</f>
        <v/>
      </c>
      <c r="F3143">
        <f>IF($C3143="","",YEAR($C3143)&amp;"-Q"&amp;ROUNDUP(MONTH($C3143)/3,0))</f>
        <v/>
      </c>
      <c r="L3143">
        <f>IF($G3143&lt;&gt;"ALCOHOL","",IF($K3143="","",$H3143*IFERROR(VLOOKUP($K3143,Drink_Templates!$A:$G,7,FALSE),0)))</f>
        <v/>
      </c>
    </row>
    <row r="3144" ht="15" customHeight="1">
      <c r="C3144">
        <f>IF($B3144="","",INT($B3144))</f>
        <v/>
      </c>
      <c r="D3144">
        <f>IF($C3144="","",$C3144-WEEKDAY($C3144,2)+1)</f>
        <v/>
      </c>
      <c r="E3144">
        <f>IF($C3144="","",DATE(YEAR($C3144),MONTH($C3144),1))</f>
        <v/>
      </c>
      <c r="F3144">
        <f>IF($C3144="","",YEAR($C3144)&amp;"-Q"&amp;ROUNDUP(MONTH($C3144)/3,0))</f>
        <v/>
      </c>
      <c r="L3144">
        <f>IF($G3144&lt;&gt;"ALCOHOL","",IF($K3144="","",$H3144*IFERROR(VLOOKUP($K3144,Drink_Templates!$A:$G,7,FALSE),0)))</f>
        <v/>
      </c>
    </row>
    <row r="3145" ht="15" customHeight="1">
      <c r="C3145">
        <f>IF($B3145="","",INT($B3145))</f>
        <v/>
      </c>
      <c r="D3145">
        <f>IF($C3145="","",$C3145-WEEKDAY($C3145,2)+1)</f>
        <v/>
      </c>
      <c r="E3145">
        <f>IF($C3145="","",DATE(YEAR($C3145),MONTH($C3145),1))</f>
        <v/>
      </c>
      <c r="F3145">
        <f>IF($C3145="","",YEAR($C3145)&amp;"-Q"&amp;ROUNDUP(MONTH($C3145)/3,0))</f>
        <v/>
      </c>
      <c r="L3145">
        <f>IF($G3145&lt;&gt;"ALCOHOL","",IF($K3145="","",$H3145*IFERROR(VLOOKUP($K3145,Drink_Templates!$A:$G,7,FALSE),0)))</f>
        <v/>
      </c>
    </row>
    <row r="3146" ht="15" customHeight="1">
      <c r="C3146">
        <f>IF($B3146="","",INT($B3146))</f>
        <v/>
      </c>
      <c r="D3146">
        <f>IF($C3146="","",$C3146-WEEKDAY($C3146,2)+1)</f>
        <v/>
      </c>
      <c r="E3146">
        <f>IF($C3146="","",DATE(YEAR($C3146),MONTH($C3146),1))</f>
        <v/>
      </c>
      <c r="F3146">
        <f>IF($C3146="","",YEAR($C3146)&amp;"-Q"&amp;ROUNDUP(MONTH($C3146)/3,0))</f>
        <v/>
      </c>
      <c r="L3146">
        <f>IF($G3146&lt;&gt;"ALCOHOL","",IF($K3146="","",$H3146*IFERROR(VLOOKUP($K3146,Drink_Templates!$A:$G,7,FALSE),0)))</f>
        <v/>
      </c>
    </row>
    <row r="3147" ht="15" customHeight="1">
      <c r="C3147">
        <f>IF($B3147="","",INT($B3147))</f>
        <v/>
      </c>
      <c r="D3147">
        <f>IF($C3147="","",$C3147-WEEKDAY($C3147,2)+1)</f>
        <v/>
      </c>
      <c r="E3147">
        <f>IF($C3147="","",DATE(YEAR($C3147),MONTH($C3147),1))</f>
        <v/>
      </c>
      <c r="F3147">
        <f>IF($C3147="","",YEAR($C3147)&amp;"-Q"&amp;ROUNDUP(MONTH($C3147)/3,0))</f>
        <v/>
      </c>
      <c r="L3147">
        <f>IF($G3147&lt;&gt;"ALCOHOL","",IF($K3147="","",$H3147*IFERROR(VLOOKUP($K3147,Drink_Templates!$A:$G,7,FALSE),0)))</f>
        <v/>
      </c>
    </row>
    <row r="3148" ht="15" customHeight="1">
      <c r="C3148">
        <f>IF($B3148="","",INT($B3148))</f>
        <v/>
      </c>
      <c r="D3148">
        <f>IF($C3148="","",$C3148-WEEKDAY($C3148,2)+1)</f>
        <v/>
      </c>
      <c r="E3148">
        <f>IF($C3148="","",DATE(YEAR($C3148),MONTH($C3148),1))</f>
        <v/>
      </c>
      <c r="F3148">
        <f>IF($C3148="","",YEAR($C3148)&amp;"-Q"&amp;ROUNDUP(MONTH($C3148)/3,0))</f>
        <v/>
      </c>
      <c r="L3148">
        <f>IF($G3148&lt;&gt;"ALCOHOL","",IF($K3148="","",$H3148*IFERROR(VLOOKUP($K3148,Drink_Templates!$A:$G,7,FALSE),0)))</f>
        <v/>
      </c>
    </row>
    <row r="3149" ht="15" customHeight="1">
      <c r="C3149">
        <f>IF($B3149="","",INT($B3149))</f>
        <v/>
      </c>
      <c r="D3149">
        <f>IF($C3149="","",$C3149-WEEKDAY($C3149,2)+1)</f>
        <v/>
      </c>
      <c r="E3149">
        <f>IF($C3149="","",DATE(YEAR($C3149),MONTH($C3149),1))</f>
        <v/>
      </c>
      <c r="F3149">
        <f>IF($C3149="","",YEAR($C3149)&amp;"-Q"&amp;ROUNDUP(MONTH($C3149)/3,0))</f>
        <v/>
      </c>
      <c r="L3149">
        <f>IF($G3149&lt;&gt;"ALCOHOL","",IF($K3149="","",$H3149*IFERROR(VLOOKUP($K3149,Drink_Templates!$A:$G,7,FALSE),0)))</f>
        <v/>
      </c>
    </row>
    <row r="3150" ht="15" customHeight="1">
      <c r="C3150">
        <f>IF($B3150="","",INT($B3150))</f>
        <v/>
      </c>
      <c r="D3150">
        <f>IF($C3150="","",$C3150-WEEKDAY($C3150,2)+1)</f>
        <v/>
      </c>
      <c r="E3150">
        <f>IF($C3150="","",DATE(YEAR($C3150),MONTH($C3150),1))</f>
        <v/>
      </c>
      <c r="F3150">
        <f>IF($C3150="","",YEAR($C3150)&amp;"-Q"&amp;ROUNDUP(MONTH($C3150)/3,0))</f>
        <v/>
      </c>
      <c r="L3150">
        <f>IF($G3150&lt;&gt;"ALCOHOL","",IF($K3150="","",$H3150*IFERROR(VLOOKUP($K3150,Drink_Templates!$A:$G,7,FALSE),0)))</f>
        <v/>
      </c>
    </row>
    <row r="3151" ht="15" customHeight="1">
      <c r="C3151">
        <f>IF($B3151="","",INT($B3151))</f>
        <v/>
      </c>
      <c r="D3151">
        <f>IF($C3151="","",$C3151-WEEKDAY($C3151,2)+1)</f>
        <v/>
      </c>
      <c r="E3151">
        <f>IF($C3151="","",DATE(YEAR($C3151),MONTH($C3151),1))</f>
        <v/>
      </c>
      <c r="F3151">
        <f>IF($C3151="","",YEAR($C3151)&amp;"-Q"&amp;ROUNDUP(MONTH($C3151)/3,0))</f>
        <v/>
      </c>
      <c r="L3151">
        <f>IF($G3151&lt;&gt;"ALCOHOL","",IF($K3151="","",$H3151*IFERROR(VLOOKUP($K3151,Drink_Templates!$A:$G,7,FALSE),0)))</f>
        <v/>
      </c>
    </row>
    <row r="3152" ht="15" customHeight="1">
      <c r="C3152">
        <f>IF($B3152="","",INT($B3152))</f>
        <v/>
      </c>
      <c r="D3152">
        <f>IF($C3152="","",$C3152-WEEKDAY($C3152,2)+1)</f>
        <v/>
      </c>
      <c r="E3152">
        <f>IF($C3152="","",DATE(YEAR($C3152),MONTH($C3152),1))</f>
        <v/>
      </c>
      <c r="F3152">
        <f>IF($C3152="","",YEAR($C3152)&amp;"-Q"&amp;ROUNDUP(MONTH($C3152)/3,0))</f>
        <v/>
      </c>
      <c r="L3152">
        <f>IF($G3152&lt;&gt;"ALCOHOL","",IF($K3152="","",$H3152*IFERROR(VLOOKUP($K3152,Drink_Templates!$A:$G,7,FALSE),0)))</f>
        <v/>
      </c>
    </row>
    <row r="3153" ht="15" customHeight="1">
      <c r="C3153">
        <f>IF($B3153="","",INT($B3153))</f>
        <v/>
      </c>
      <c r="D3153">
        <f>IF($C3153="","",$C3153-WEEKDAY($C3153,2)+1)</f>
        <v/>
      </c>
      <c r="E3153">
        <f>IF($C3153="","",DATE(YEAR($C3153),MONTH($C3153),1))</f>
        <v/>
      </c>
      <c r="F3153">
        <f>IF($C3153="","",YEAR($C3153)&amp;"-Q"&amp;ROUNDUP(MONTH($C3153)/3,0))</f>
        <v/>
      </c>
      <c r="L3153">
        <f>IF($G3153&lt;&gt;"ALCOHOL","",IF($K3153="","",$H3153*IFERROR(VLOOKUP($K3153,Drink_Templates!$A:$G,7,FALSE),0)))</f>
        <v/>
      </c>
    </row>
    <row r="3154" ht="15" customHeight="1">
      <c r="C3154">
        <f>IF($B3154="","",INT($B3154))</f>
        <v/>
      </c>
      <c r="D3154">
        <f>IF($C3154="","",$C3154-WEEKDAY($C3154,2)+1)</f>
        <v/>
      </c>
      <c r="E3154">
        <f>IF($C3154="","",DATE(YEAR($C3154),MONTH($C3154),1))</f>
        <v/>
      </c>
      <c r="F3154">
        <f>IF($C3154="","",YEAR($C3154)&amp;"-Q"&amp;ROUNDUP(MONTH($C3154)/3,0))</f>
        <v/>
      </c>
      <c r="L3154">
        <f>IF($G3154&lt;&gt;"ALCOHOL","",IF($K3154="","",$H3154*IFERROR(VLOOKUP($K3154,Drink_Templates!$A:$G,7,FALSE),0)))</f>
        <v/>
      </c>
    </row>
    <row r="3155" ht="15" customHeight="1">
      <c r="C3155">
        <f>IF($B3155="","",INT($B3155))</f>
        <v/>
      </c>
      <c r="D3155">
        <f>IF($C3155="","",$C3155-WEEKDAY($C3155,2)+1)</f>
        <v/>
      </c>
      <c r="E3155">
        <f>IF($C3155="","",DATE(YEAR($C3155),MONTH($C3155),1))</f>
        <v/>
      </c>
      <c r="F3155">
        <f>IF($C3155="","",YEAR($C3155)&amp;"-Q"&amp;ROUNDUP(MONTH($C3155)/3,0))</f>
        <v/>
      </c>
      <c r="L3155">
        <f>IF($G3155&lt;&gt;"ALCOHOL","",IF($K3155="","",$H3155*IFERROR(VLOOKUP($K3155,Drink_Templates!$A:$G,7,FALSE),0)))</f>
        <v/>
      </c>
    </row>
    <row r="3156" ht="15" customHeight="1">
      <c r="C3156">
        <f>IF($B3156="","",INT($B3156))</f>
        <v/>
      </c>
      <c r="D3156">
        <f>IF($C3156="","",$C3156-WEEKDAY($C3156,2)+1)</f>
        <v/>
      </c>
      <c r="E3156">
        <f>IF($C3156="","",DATE(YEAR($C3156),MONTH($C3156),1))</f>
        <v/>
      </c>
      <c r="F3156">
        <f>IF($C3156="","",YEAR($C3156)&amp;"-Q"&amp;ROUNDUP(MONTH($C3156)/3,0))</f>
        <v/>
      </c>
      <c r="L3156">
        <f>IF($G3156&lt;&gt;"ALCOHOL","",IF($K3156="","",$H3156*IFERROR(VLOOKUP($K3156,Drink_Templates!$A:$G,7,FALSE),0)))</f>
        <v/>
      </c>
    </row>
    <row r="3157" ht="15" customHeight="1">
      <c r="C3157">
        <f>IF($B3157="","",INT($B3157))</f>
        <v/>
      </c>
      <c r="D3157">
        <f>IF($C3157="","",$C3157-WEEKDAY($C3157,2)+1)</f>
        <v/>
      </c>
      <c r="E3157">
        <f>IF($C3157="","",DATE(YEAR($C3157),MONTH($C3157),1))</f>
        <v/>
      </c>
      <c r="F3157">
        <f>IF($C3157="","",YEAR($C3157)&amp;"-Q"&amp;ROUNDUP(MONTH($C3157)/3,0))</f>
        <v/>
      </c>
      <c r="L3157">
        <f>IF($G3157&lt;&gt;"ALCOHOL","",IF($K3157="","",$H3157*IFERROR(VLOOKUP($K3157,Drink_Templates!$A:$G,7,FALSE),0)))</f>
        <v/>
      </c>
    </row>
    <row r="3158" ht="15" customHeight="1">
      <c r="C3158">
        <f>IF($B3158="","",INT($B3158))</f>
        <v/>
      </c>
      <c r="D3158">
        <f>IF($C3158="","",$C3158-WEEKDAY($C3158,2)+1)</f>
        <v/>
      </c>
      <c r="E3158">
        <f>IF($C3158="","",DATE(YEAR($C3158),MONTH($C3158),1))</f>
        <v/>
      </c>
      <c r="F3158">
        <f>IF($C3158="","",YEAR($C3158)&amp;"-Q"&amp;ROUNDUP(MONTH($C3158)/3,0))</f>
        <v/>
      </c>
      <c r="L3158">
        <f>IF($G3158&lt;&gt;"ALCOHOL","",IF($K3158="","",$H3158*IFERROR(VLOOKUP($K3158,Drink_Templates!$A:$G,7,FALSE),0)))</f>
        <v/>
      </c>
    </row>
    <row r="3159" ht="15" customHeight="1">
      <c r="C3159">
        <f>IF($B3159="","",INT($B3159))</f>
        <v/>
      </c>
      <c r="D3159">
        <f>IF($C3159="","",$C3159-WEEKDAY($C3159,2)+1)</f>
        <v/>
      </c>
      <c r="E3159">
        <f>IF($C3159="","",DATE(YEAR($C3159),MONTH($C3159),1))</f>
        <v/>
      </c>
      <c r="F3159">
        <f>IF($C3159="","",YEAR($C3159)&amp;"-Q"&amp;ROUNDUP(MONTH($C3159)/3,0))</f>
        <v/>
      </c>
      <c r="L3159">
        <f>IF($G3159&lt;&gt;"ALCOHOL","",IF($K3159="","",$H3159*IFERROR(VLOOKUP($K3159,Drink_Templates!$A:$G,7,FALSE),0)))</f>
        <v/>
      </c>
    </row>
    <row r="3160" ht="15" customHeight="1">
      <c r="C3160">
        <f>IF($B3160="","",INT($B3160))</f>
        <v/>
      </c>
      <c r="D3160">
        <f>IF($C3160="","",$C3160-WEEKDAY($C3160,2)+1)</f>
        <v/>
      </c>
      <c r="E3160">
        <f>IF($C3160="","",DATE(YEAR($C3160),MONTH($C3160),1))</f>
        <v/>
      </c>
      <c r="F3160">
        <f>IF($C3160="","",YEAR($C3160)&amp;"-Q"&amp;ROUNDUP(MONTH($C3160)/3,0))</f>
        <v/>
      </c>
      <c r="L3160">
        <f>IF($G3160&lt;&gt;"ALCOHOL","",IF($K3160="","",$H3160*IFERROR(VLOOKUP($K3160,Drink_Templates!$A:$G,7,FALSE),0)))</f>
        <v/>
      </c>
    </row>
    <row r="3161" ht="15" customHeight="1">
      <c r="C3161">
        <f>IF($B3161="","",INT($B3161))</f>
        <v/>
      </c>
      <c r="D3161">
        <f>IF($C3161="","",$C3161-WEEKDAY($C3161,2)+1)</f>
        <v/>
      </c>
      <c r="E3161">
        <f>IF($C3161="","",DATE(YEAR($C3161),MONTH($C3161),1))</f>
        <v/>
      </c>
      <c r="F3161">
        <f>IF($C3161="","",YEAR($C3161)&amp;"-Q"&amp;ROUNDUP(MONTH($C3161)/3,0))</f>
        <v/>
      </c>
      <c r="L3161">
        <f>IF($G3161&lt;&gt;"ALCOHOL","",IF($K3161="","",$H3161*IFERROR(VLOOKUP($K3161,Drink_Templates!$A:$G,7,FALSE),0)))</f>
        <v/>
      </c>
    </row>
    <row r="3162" ht="15" customHeight="1">
      <c r="C3162">
        <f>IF($B3162="","",INT($B3162))</f>
        <v/>
      </c>
      <c r="D3162">
        <f>IF($C3162="","",$C3162-WEEKDAY($C3162,2)+1)</f>
        <v/>
      </c>
      <c r="E3162">
        <f>IF($C3162="","",DATE(YEAR($C3162),MONTH($C3162),1))</f>
        <v/>
      </c>
      <c r="F3162">
        <f>IF($C3162="","",YEAR($C3162)&amp;"-Q"&amp;ROUNDUP(MONTH($C3162)/3,0))</f>
        <v/>
      </c>
      <c r="L3162">
        <f>IF($G3162&lt;&gt;"ALCOHOL","",IF($K3162="","",$H3162*IFERROR(VLOOKUP($K3162,Drink_Templates!$A:$G,7,FALSE),0)))</f>
        <v/>
      </c>
    </row>
    <row r="3163" ht="15" customHeight="1">
      <c r="C3163">
        <f>IF($B3163="","",INT($B3163))</f>
        <v/>
      </c>
      <c r="D3163">
        <f>IF($C3163="","",$C3163-WEEKDAY($C3163,2)+1)</f>
        <v/>
      </c>
      <c r="E3163">
        <f>IF($C3163="","",DATE(YEAR($C3163),MONTH($C3163),1))</f>
        <v/>
      </c>
      <c r="F3163">
        <f>IF($C3163="","",YEAR($C3163)&amp;"-Q"&amp;ROUNDUP(MONTH($C3163)/3,0))</f>
        <v/>
      </c>
      <c r="L3163">
        <f>IF($G3163&lt;&gt;"ALCOHOL","",IF($K3163="","",$H3163*IFERROR(VLOOKUP($K3163,Drink_Templates!$A:$G,7,FALSE),0)))</f>
        <v/>
      </c>
    </row>
    <row r="3164" ht="15" customHeight="1">
      <c r="C3164">
        <f>IF($B3164="","",INT($B3164))</f>
        <v/>
      </c>
      <c r="D3164">
        <f>IF($C3164="","",$C3164-WEEKDAY($C3164,2)+1)</f>
        <v/>
      </c>
      <c r="E3164">
        <f>IF($C3164="","",DATE(YEAR($C3164),MONTH($C3164),1))</f>
        <v/>
      </c>
      <c r="F3164">
        <f>IF($C3164="","",YEAR($C3164)&amp;"-Q"&amp;ROUNDUP(MONTH($C3164)/3,0))</f>
        <v/>
      </c>
      <c r="L3164">
        <f>IF($G3164&lt;&gt;"ALCOHOL","",IF($K3164="","",$H3164*IFERROR(VLOOKUP($K3164,Drink_Templates!$A:$G,7,FALSE),0)))</f>
        <v/>
      </c>
    </row>
    <row r="3165" ht="15" customHeight="1">
      <c r="C3165">
        <f>IF($B3165="","",INT($B3165))</f>
        <v/>
      </c>
      <c r="D3165">
        <f>IF($C3165="","",$C3165-WEEKDAY($C3165,2)+1)</f>
        <v/>
      </c>
      <c r="E3165">
        <f>IF($C3165="","",DATE(YEAR($C3165),MONTH($C3165),1))</f>
        <v/>
      </c>
      <c r="F3165">
        <f>IF($C3165="","",YEAR($C3165)&amp;"-Q"&amp;ROUNDUP(MONTH($C3165)/3,0))</f>
        <v/>
      </c>
      <c r="L3165">
        <f>IF($G3165&lt;&gt;"ALCOHOL","",IF($K3165="","",$H3165*IFERROR(VLOOKUP($K3165,Drink_Templates!$A:$G,7,FALSE),0)))</f>
        <v/>
      </c>
    </row>
    <row r="3166" ht="15" customHeight="1">
      <c r="C3166">
        <f>IF($B3166="","",INT($B3166))</f>
        <v/>
      </c>
      <c r="D3166">
        <f>IF($C3166="","",$C3166-WEEKDAY($C3166,2)+1)</f>
        <v/>
      </c>
      <c r="E3166">
        <f>IF($C3166="","",DATE(YEAR($C3166),MONTH($C3166),1))</f>
        <v/>
      </c>
      <c r="F3166">
        <f>IF($C3166="","",YEAR($C3166)&amp;"-Q"&amp;ROUNDUP(MONTH($C3166)/3,0))</f>
        <v/>
      </c>
      <c r="L3166">
        <f>IF($G3166&lt;&gt;"ALCOHOL","",IF($K3166="","",$H3166*IFERROR(VLOOKUP($K3166,Drink_Templates!$A:$G,7,FALSE),0)))</f>
        <v/>
      </c>
    </row>
    <row r="3167" ht="15" customHeight="1">
      <c r="C3167">
        <f>IF($B3167="","",INT($B3167))</f>
        <v/>
      </c>
      <c r="D3167">
        <f>IF($C3167="","",$C3167-WEEKDAY($C3167,2)+1)</f>
        <v/>
      </c>
      <c r="E3167">
        <f>IF($C3167="","",DATE(YEAR($C3167),MONTH($C3167),1))</f>
        <v/>
      </c>
      <c r="F3167">
        <f>IF($C3167="","",YEAR($C3167)&amp;"-Q"&amp;ROUNDUP(MONTH($C3167)/3,0))</f>
        <v/>
      </c>
      <c r="L3167">
        <f>IF($G3167&lt;&gt;"ALCOHOL","",IF($K3167="","",$H3167*IFERROR(VLOOKUP($K3167,Drink_Templates!$A:$G,7,FALSE),0)))</f>
        <v/>
      </c>
    </row>
    <row r="3168" ht="15" customHeight="1">
      <c r="C3168">
        <f>IF($B3168="","",INT($B3168))</f>
        <v/>
      </c>
      <c r="D3168">
        <f>IF($C3168="","",$C3168-WEEKDAY($C3168,2)+1)</f>
        <v/>
      </c>
      <c r="E3168">
        <f>IF($C3168="","",DATE(YEAR($C3168),MONTH($C3168),1))</f>
        <v/>
      </c>
      <c r="F3168">
        <f>IF($C3168="","",YEAR($C3168)&amp;"-Q"&amp;ROUNDUP(MONTH($C3168)/3,0))</f>
        <v/>
      </c>
      <c r="L3168">
        <f>IF($G3168&lt;&gt;"ALCOHOL","",IF($K3168="","",$H3168*IFERROR(VLOOKUP($K3168,Drink_Templates!$A:$G,7,FALSE),0)))</f>
        <v/>
      </c>
    </row>
    <row r="3169" ht="15" customHeight="1">
      <c r="C3169">
        <f>IF($B3169="","",INT($B3169))</f>
        <v/>
      </c>
      <c r="D3169">
        <f>IF($C3169="","",$C3169-WEEKDAY($C3169,2)+1)</f>
        <v/>
      </c>
      <c r="E3169">
        <f>IF($C3169="","",DATE(YEAR($C3169),MONTH($C3169),1))</f>
        <v/>
      </c>
      <c r="F3169">
        <f>IF($C3169="","",YEAR($C3169)&amp;"-Q"&amp;ROUNDUP(MONTH($C3169)/3,0))</f>
        <v/>
      </c>
      <c r="L3169">
        <f>IF($G3169&lt;&gt;"ALCOHOL","",IF($K3169="","",$H3169*IFERROR(VLOOKUP($K3169,Drink_Templates!$A:$G,7,FALSE),0)))</f>
        <v/>
      </c>
    </row>
    <row r="3170" ht="15" customHeight="1">
      <c r="C3170">
        <f>IF($B3170="","",INT($B3170))</f>
        <v/>
      </c>
      <c r="D3170">
        <f>IF($C3170="","",$C3170-WEEKDAY($C3170,2)+1)</f>
        <v/>
      </c>
      <c r="E3170">
        <f>IF($C3170="","",DATE(YEAR($C3170),MONTH($C3170),1))</f>
        <v/>
      </c>
      <c r="F3170">
        <f>IF($C3170="","",YEAR($C3170)&amp;"-Q"&amp;ROUNDUP(MONTH($C3170)/3,0))</f>
        <v/>
      </c>
      <c r="L3170">
        <f>IF($G3170&lt;&gt;"ALCOHOL","",IF($K3170="","",$H3170*IFERROR(VLOOKUP($K3170,Drink_Templates!$A:$G,7,FALSE),0)))</f>
        <v/>
      </c>
    </row>
    <row r="3171" ht="15" customHeight="1">
      <c r="C3171">
        <f>IF($B3171="","",INT($B3171))</f>
        <v/>
      </c>
      <c r="D3171">
        <f>IF($C3171="","",$C3171-WEEKDAY($C3171,2)+1)</f>
        <v/>
      </c>
      <c r="E3171">
        <f>IF($C3171="","",DATE(YEAR($C3171),MONTH($C3171),1))</f>
        <v/>
      </c>
      <c r="F3171">
        <f>IF($C3171="","",YEAR($C3171)&amp;"-Q"&amp;ROUNDUP(MONTH($C3171)/3,0))</f>
        <v/>
      </c>
      <c r="L3171">
        <f>IF($G3171&lt;&gt;"ALCOHOL","",IF($K3171="","",$H3171*IFERROR(VLOOKUP($K3171,Drink_Templates!$A:$G,7,FALSE),0)))</f>
        <v/>
      </c>
    </row>
    <row r="3172" ht="15" customHeight="1">
      <c r="C3172">
        <f>IF($B3172="","",INT($B3172))</f>
        <v/>
      </c>
      <c r="D3172">
        <f>IF($C3172="","",$C3172-WEEKDAY($C3172,2)+1)</f>
        <v/>
      </c>
      <c r="E3172">
        <f>IF($C3172="","",DATE(YEAR($C3172),MONTH($C3172),1))</f>
        <v/>
      </c>
      <c r="F3172">
        <f>IF($C3172="","",YEAR($C3172)&amp;"-Q"&amp;ROUNDUP(MONTH($C3172)/3,0))</f>
        <v/>
      </c>
      <c r="L3172">
        <f>IF($G3172&lt;&gt;"ALCOHOL","",IF($K3172="","",$H3172*IFERROR(VLOOKUP($K3172,Drink_Templates!$A:$G,7,FALSE),0)))</f>
        <v/>
      </c>
    </row>
    <row r="3173" ht="15" customHeight="1">
      <c r="C3173">
        <f>IF($B3173="","",INT($B3173))</f>
        <v/>
      </c>
      <c r="D3173">
        <f>IF($C3173="","",$C3173-WEEKDAY($C3173,2)+1)</f>
        <v/>
      </c>
      <c r="E3173">
        <f>IF($C3173="","",DATE(YEAR($C3173),MONTH($C3173),1))</f>
        <v/>
      </c>
      <c r="F3173">
        <f>IF($C3173="","",YEAR($C3173)&amp;"-Q"&amp;ROUNDUP(MONTH($C3173)/3,0))</f>
        <v/>
      </c>
      <c r="L3173">
        <f>IF($G3173&lt;&gt;"ALCOHOL","",IF($K3173="","",$H3173*IFERROR(VLOOKUP($K3173,Drink_Templates!$A:$G,7,FALSE),0)))</f>
        <v/>
      </c>
    </row>
    <row r="3174" ht="15" customHeight="1">
      <c r="C3174">
        <f>IF($B3174="","",INT($B3174))</f>
        <v/>
      </c>
      <c r="D3174">
        <f>IF($C3174="","",$C3174-WEEKDAY($C3174,2)+1)</f>
        <v/>
      </c>
      <c r="E3174">
        <f>IF($C3174="","",DATE(YEAR($C3174),MONTH($C3174),1))</f>
        <v/>
      </c>
      <c r="F3174">
        <f>IF($C3174="","",YEAR($C3174)&amp;"-Q"&amp;ROUNDUP(MONTH($C3174)/3,0))</f>
        <v/>
      </c>
      <c r="L3174">
        <f>IF($G3174&lt;&gt;"ALCOHOL","",IF($K3174="","",$H3174*IFERROR(VLOOKUP($K3174,Drink_Templates!$A:$G,7,FALSE),0)))</f>
        <v/>
      </c>
    </row>
    <row r="3175" ht="15" customHeight="1">
      <c r="C3175">
        <f>IF($B3175="","",INT($B3175))</f>
        <v/>
      </c>
      <c r="D3175">
        <f>IF($C3175="","",$C3175-WEEKDAY($C3175,2)+1)</f>
        <v/>
      </c>
      <c r="E3175">
        <f>IF($C3175="","",DATE(YEAR($C3175),MONTH($C3175),1))</f>
        <v/>
      </c>
      <c r="F3175">
        <f>IF($C3175="","",YEAR($C3175)&amp;"-Q"&amp;ROUNDUP(MONTH($C3175)/3,0))</f>
        <v/>
      </c>
      <c r="L3175">
        <f>IF($G3175&lt;&gt;"ALCOHOL","",IF($K3175="","",$H3175*IFERROR(VLOOKUP($K3175,Drink_Templates!$A:$G,7,FALSE),0)))</f>
        <v/>
      </c>
    </row>
    <row r="3176" ht="15" customHeight="1">
      <c r="C3176">
        <f>IF($B3176="","",INT($B3176))</f>
        <v/>
      </c>
      <c r="D3176">
        <f>IF($C3176="","",$C3176-WEEKDAY($C3176,2)+1)</f>
        <v/>
      </c>
      <c r="E3176">
        <f>IF($C3176="","",DATE(YEAR($C3176),MONTH($C3176),1))</f>
        <v/>
      </c>
      <c r="F3176">
        <f>IF($C3176="","",YEAR($C3176)&amp;"-Q"&amp;ROUNDUP(MONTH($C3176)/3,0))</f>
        <v/>
      </c>
      <c r="L3176">
        <f>IF($G3176&lt;&gt;"ALCOHOL","",IF($K3176="","",$H3176*IFERROR(VLOOKUP($K3176,Drink_Templates!$A:$G,7,FALSE),0)))</f>
        <v/>
      </c>
    </row>
    <row r="3177" ht="15" customHeight="1">
      <c r="C3177">
        <f>IF($B3177="","",INT($B3177))</f>
        <v/>
      </c>
      <c r="D3177">
        <f>IF($C3177="","",$C3177-WEEKDAY($C3177,2)+1)</f>
        <v/>
      </c>
      <c r="E3177">
        <f>IF($C3177="","",DATE(YEAR($C3177),MONTH($C3177),1))</f>
        <v/>
      </c>
      <c r="F3177">
        <f>IF($C3177="","",YEAR($C3177)&amp;"-Q"&amp;ROUNDUP(MONTH($C3177)/3,0))</f>
        <v/>
      </c>
      <c r="L3177">
        <f>IF($G3177&lt;&gt;"ALCOHOL","",IF($K3177="","",$H3177*IFERROR(VLOOKUP($K3177,Drink_Templates!$A:$G,7,FALSE),0)))</f>
        <v/>
      </c>
    </row>
    <row r="3178" ht="15" customHeight="1">
      <c r="C3178">
        <f>IF($B3178="","",INT($B3178))</f>
        <v/>
      </c>
      <c r="D3178">
        <f>IF($C3178="","",$C3178-WEEKDAY($C3178,2)+1)</f>
        <v/>
      </c>
      <c r="E3178">
        <f>IF($C3178="","",DATE(YEAR($C3178),MONTH($C3178),1))</f>
        <v/>
      </c>
      <c r="F3178">
        <f>IF($C3178="","",YEAR($C3178)&amp;"-Q"&amp;ROUNDUP(MONTH($C3178)/3,0))</f>
        <v/>
      </c>
      <c r="L3178">
        <f>IF($G3178&lt;&gt;"ALCOHOL","",IF($K3178="","",$H3178*IFERROR(VLOOKUP($K3178,Drink_Templates!$A:$G,7,FALSE),0)))</f>
        <v/>
      </c>
    </row>
    <row r="3179" ht="15" customHeight="1">
      <c r="C3179">
        <f>IF($B3179="","",INT($B3179))</f>
        <v/>
      </c>
      <c r="D3179">
        <f>IF($C3179="","",$C3179-WEEKDAY($C3179,2)+1)</f>
        <v/>
      </c>
      <c r="E3179">
        <f>IF($C3179="","",DATE(YEAR($C3179),MONTH($C3179),1))</f>
        <v/>
      </c>
      <c r="F3179">
        <f>IF($C3179="","",YEAR($C3179)&amp;"-Q"&amp;ROUNDUP(MONTH($C3179)/3,0))</f>
        <v/>
      </c>
      <c r="L3179">
        <f>IF($G3179&lt;&gt;"ALCOHOL","",IF($K3179="","",$H3179*IFERROR(VLOOKUP($K3179,Drink_Templates!$A:$G,7,FALSE),0)))</f>
        <v/>
      </c>
    </row>
    <row r="3180" ht="15" customHeight="1">
      <c r="C3180">
        <f>IF($B3180="","",INT($B3180))</f>
        <v/>
      </c>
      <c r="D3180">
        <f>IF($C3180="","",$C3180-WEEKDAY($C3180,2)+1)</f>
        <v/>
      </c>
      <c r="E3180">
        <f>IF($C3180="","",DATE(YEAR($C3180),MONTH($C3180),1))</f>
        <v/>
      </c>
      <c r="F3180">
        <f>IF($C3180="","",YEAR($C3180)&amp;"-Q"&amp;ROUNDUP(MONTH($C3180)/3,0))</f>
        <v/>
      </c>
      <c r="L3180">
        <f>IF($G3180&lt;&gt;"ALCOHOL","",IF($K3180="","",$H3180*IFERROR(VLOOKUP($K3180,Drink_Templates!$A:$G,7,FALSE),0)))</f>
        <v/>
      </c>
    </row>
    <row r="3181" ht="15" customHeight="1">
      <c r="C3181">
        <f>IF($B3181="","",INT($B3181))</f>
        <v/>
      </c>
      <c r="D3181">
        <f>IF($C3181="","",$C3181-WEEKDAY($C3181,2)+1)</f>
        <v/>
      </c>
      <c r="E3181">
        <f>IF($C3181="","",DATE(YEAR($C3181),MONTH($C3181),1))</f>
        <v/>
      </c>
      <c r="F3181">
        <f>IF($C3181="","",YEAR($C3181)&amp;"-Q"&amp;ROUNDUP(MONTH($C3181)/3,0))</f>
        <v/>
      </c>
      <c r="L3181">
        <f>IF($G3181&lt;&gt;"ALCOHOL","",IF($K3181="","",$H3181*IFERROR(VLOOKUP($K3181,Drink_Templates!$A:$G,7,FALSE),0)))</f>
        <v/>
      </c>
    </row>
    <row r="3182" ht="15" customHeight="1">
      <c r="C3182">
        <f>IF($B3182="","",INT($B3182))</f>
        <v/>
      </c>
      <c r="D3182">
        <f>IF($C3182="","",$C3182-WEEKDAY($C3182,2)+1)</f>
        <v/>
      </c>
      <c r="E3182">
        <f>IF($C3182="","",DATE(YEAR($C3182),MONTH($C3182),1))</f>
        <v/>
      </c>
      <c r="F3182">
        <f>IF($C3182="","",YEAR($C3182)&amp;"-Q"&amp;ROUNDUP(MONTH($C3182)/3,0))</f>
        <v/>
      </c>
      <c r="L3182">
        <f>IF($G3182&lt;&gt;"ALCOHOL","",IF($K3182="","",$H3182*IFERROR(VLOOKUP($K3182,Drink_Templates!$A:$G,7,FALSE),0)))</f>
        <v/>
      </c>
    </row>
    <row r="3183" ht="15" customHeight="1">
      <c r="C3183">
        <f>IF($B3183="","",INT($B3183))</f>
        <v/>
      </c>
      <c r="D3183">
        <f>IF($C3183="","",$C3183-WEEKDAY($C3183,2)+1)</f>
        <v/>
      </c>
      <c r="E3183">
        <f>IF($C3183="","",DATE(YEAR($C3183),MONTH($C3183),1))</f>
        <v/>
      </c>
      <c r="F3183">
        <f>IF($C3183="","",YEAR($C3183)&amp;"-Q"&amp;ROUNDUP(MONTH($C3183)/3,0))</f>
        <v/>
      </c>
      <c r="L3183">
        <f>IF($G3183&lt;&gt;"ALCOHOL","",IF($K3183="","",$H3183*IFERROR(VLOOKUP($K3183,Drink_Templates!$A:$G,7,FALSE),0)))</f>
        <v/>
      </c>
    </row>
    <row r="3184" ht="15" customHeight="1">
      <c r="C3184">
        <f>IF($B3184="","",INT($B3184))</f>
        <v/>
      </c>
      <c r="D3184">
        <f>IF($C3184="","",$C3184-WEEKDAY($C3184,2)+1)</f>
        <v/>
      </c>
      <c r="E3184">
        <f>IF($C3184="","",DATE(YEAR($C3184),MONTH($C3184),1))</f>
        <v/>
      </c>
      <c r="F3184">
        <f>IF($C3184="","",YEAR($C3184)&amp;"-Q"&amp;ROUNDUP(MONTH($C3184)/3,0))</f>
        <v/>
      </c>
      <c r="L3184">
        <f>IF($G3184&lt;&gt;"ALCOHOL","",IF($K3184="","",$H3184*IFERROR(VLOOKUP($K3184,Drink_Templates!$A:$G,7,FALSE),0)))</f>
        <v/>
      </c>
    </row>
    <row r="3185" ht="15" customHeight="1">
      <c r="C3185">
        <f>IF($B3185="","",INT($B3185))</f>
        <v/>
      </c>
      <c r="D3185">
        <f>IF($C3185="","",$C3185-WEEKDAY($C3185,2)+1)</f>
        <v/>
      </c>
      <c r="E3185">
        <f>IF($C3185="","",DATE(YEAR($C3185),MONTH($C3185),1))</f>
        <v/>
      </c>
      <c r="F3185">
        <f>IF($C3185="","",YEAR($C3185)&amp;"-Q"&amp;ROUNDUP(MONTH($C3185)/3,0))</f>
        <v/>
      </c>
      <c r="L3185">
        <f>IF($G3185&lt;&gt;"ALCOHOL","",IF($K3185="","",$H3185*IFERROR(VLOOKUP($K3185,Drink_Templates!$A:$G,7,FALSE),0)))</f>
        <v/>
      </c>
    </row>
    <row r="3186" ht="15" customHeight="1">
      <c r="C3186">
        <f>IF($B3186="","",INT($B3186))</f>
        <v/>
      </c>
      <c r="D3186">
        <f>IF($C3186="","",$C3186-WEEKDAY($C3186,2)+1)</f>
        <v/>
      </c>
      <c r="E3186">
        <f>IF($C3186="","",DATE(YEAR($C3186),MONTH($C3186),1))</f>
        <v/>
      </c>
      <c r="F3186">
        <f>IF($C3186="","",YEAR($C3186)&amp;"-Q"&amp;ROUNDUP(MONTH($C3186)/3,0))</f>
        <v/>
      </c>
      <c r="L3186">
        <f>IF($G3186&lt;&gt;"ALCOHOL","",IF($K3186="","",$H3186*IFERROR(VLOOKUP($K3186,Drink_Templates!$A:$G,7,FALSE),0)))</f>
        <v/>
      </c>
    </row>
    <row r="3187" ht="15" customHeight="1">
      <c r="C3187">
        <f>IF($B3187="","",INT($B3187))</f>
        <v/>
      </c>
      <c r="D3187">
        <f>IF($C3187="","",$C3187-WEEKDAY($C3187,2)+1)</f>
        <v/>
      </c>
      <c r="E3187">
        <f>IF($C3187="","",DATE(YEAR($C3187),MONTH($C3187),1))</f>
        <v/>
      </c>
      <c r="F3187">
        <f>IF($C3187="","",YEAR($C3187)&amp;"-Q"&amp;ROUNDUP(MONTH($C3187)/3,0))</f>
        <v/>
      </c>
      <c r="L3187">
        <f>IF($G3187&lt;&gt;"ALCOHOL","",IF($K3187="","",$H3187*IFERROR(VLOOKUP($K3187,Drink_Templates!$A:$G,7,FALSE),0)))</f>
        <v/>
      </c>
    </row>
    <row r="3188" ht="15" customHeight="1">
      <c r="C3188">
        <f>IF($B3188="","",INT($B3188))</f>
        <v/>
      </c>
      <c r="D3188">
        <f>IF($C3188="","",$C3188-WEEKDAY($C3188,2)+1)</f>
        <v/>
      </c>
      <c r="E3188">
        <f>IF($C3188="","",DATE(YEAR($C3188),MONTH($C3188),1))</f>
        <v/>
      </c>
      <c r="F3188">
        <f>IF($C3188="","",YEAR($C3188)&amp;"-Q"&amp;ROUNDUP(MONTH($C3188)/3,0))</f>
        <v/>
      </c>
      <c r="L3188">
        <f>IF($G3188&lt;&gt;"ALCOHOL","",IF($K3188="","",$H3188*IFERROR(VLOOKUP($K3188,Drink_Templates!$A:$G,7,FALSE),0)))</f>
        <v/>
      </c>
    </row>
    <row r="3189" ht="15" customHeight="1">
      <c r="C3189">
        <f>IF($B3189="","",INT($B3189))</f>
        <v/>
      </c>
      <c r="D3189">
        <f>IF($C3189="","",$C3189-WEEKDAY($C3189,2)+1)</f>
        <v/>
      </c>
      <c r="E3189">
        <f>IF($C3189="","",DATE(YEAR($C3189),MONTH($C3189),1))</f>
        <v/>
      </c>
      <c r="F3189">
        <f>IF($C3189="","",YEAR($C3189)&amp;"-Q"&amp;ROUNDUP(MONTH($C3189)/3,0))</f>
        <v/>
      </c>
      <c r="L3189">
        <f>IF($G3189&lt;&gt;"ALCOHOL","",IF($K3189="","",$H3189*IFERROR(VLOOKUP($K3189,Drink_Templates!$A:$G,7,FALSE),0)))</f>
        <v/>
      </c>
    </row>
    <row r="3190" ht="15" customHeight="1">
      <c r="C3190">
        <f>IF($B3190="","",INT($B3190))</f>
        <v/>
      </c>
      <c r="D3190">
        <f>IF($C3190="","",$C3190-WEEKDAY($C3190,2)+1)</f>
        <v/>
      </c>
      <c r="E3190">
        <f>IF($C3190="","",DATE(YEAR($C3190),MONTH($C3190),1))</f>
        <v/>
      </c>
      <c r="F3190">
        <f>IF($C3190="","",YEAR($C3190)&amp;"-Q"&amp;ROUNDUP(MONTH($C3190)/3,0))</f>
        <v/>
      </c>
      <c r="L3190">
        <f>IF($G3190&lt;&gt;"ALCOHOL","",IF($K3190="","",$H3190*IFERROR(VLOOKUP($K3190,Drink_Templates!$A:$G,7,FALSE),0)))</f>
        <v/>
      </c>
    </row>
    <row r="3191" ht="15" customHeight="1">
      <c r="C3191">
        <f>IF($B3191="","",INT($B3191))</f>
        <v/>
      </c>
      <c r="D3191">
        <f>IF($C3191="","",$C3191-WEEKDAY($C3191,2)+1)</f>
        <v/>
      </c>
      <c r="E3191">
        <f>IF($C3191="","",DATE(YEAR($C3191),MONTH($C3191),1))</f>
        <v/>
      </c>
      <c r="F3191">
        <f>IF($C3191="","",YEAR($C3191)&amp;"-Q"&amp;ROUNDUP(MONTH($C3191)/3,0))</f>
        <v/>
      </c>
      <c r="L3191">
        <f>IF($G3191&lt;&gt;"ALCOHOL","",IF($K3191="","",$H3191*IFERROR(VLOOKUP($K3191,Drink_Templates!$A:$G,7,FALSE),0)))</f>
        <v/>
      </c>
    </row>
    <row r="3192" ht="15" customHeight="1">
      <c r="C3192">
        <f>IF($B3192="","",INT($B3192))</f>
        <v/>
      </c>
      <c r="D3192">
        <f>IF($C3192="","",$C3192-WEEKDAY($C3192,2)+1)</f>
        <v/>
      </c>
      <c r="E3192">
        <f>IF($C3192="","",DATE(YEAR($C3192),MONTH($C3192),1))</f>
        <v/>
      </c>
      <c r="F3192">
        <f>IF($C3192="","",YEAR($C3192)&amp;"-Q"&amp;ROUNDUP(MONTH($C3192)/3,0))</f>
        <v/>
      </c>
      <c r="L3192">
        <f>IF($G3192&lt;&gt;"ALCOHOL","",IF($K3192="","",$H3192*IFERROR(VLOOKUP($K3192,Drink_Templates!$A:$G,7,FALSE),0)))</f>
        <v/>
      </c>
    </row>
    <row r="3193" ht="15" customHeight="1">
      <c r="C3193">
        <f>IF($B3193="","",INT($B3193))</f>
        <v/>
      </c>
      <c r="D3193">
        <f>IF($C3193="","",$C3193-WEEKDAY($C3193,2)+1)</f>
        <v/>
      </c>
      <c r="E3193">
        <f>IF($C3193="","",DATE(YEAR($C3193),MONTH($C3193),1))</f>
        <v/>
      </c>
      <c r="F3193">
        <f>IF($C3193="","",YEAR($C3193)&amp;"-Q"&amp;ROUNDUP(MONTH($C3193)/3,0))</f>
        <v/>
      </c>
      <c r="L3193">
        <f>IF($G3193&lt;&gt;"ALCOHOL","",IF($K3193="","",$H3193*IFERROR(VLOOKUP($K3193,Drink_Templates!$A:$G,7,FALSE),0)))</f>
        <v/>
      </c>
    </row>
    <row r="3194" ht="15" customHeight="1">
      <c r="C3194">
        <f>IF($B3194="","",INT($B3194))</f>
        <v/>
      </c>
      <c r="D3194">
        <f>IF($C3194="","",$C3194-WEEKDAY($C3194,2)+1)</f>
        <v/>
      </c>
      <c r="E3194">
        <f>IF($C3194="","",DATE(YEAR($C3194),MONTH($C3194),1))</f>
        <v/>
      </c>
      <c r="F3194">
        <f>IF($C3194="","",YEAR($C3194)&amp;"-Q"&amp;ROUNDUP(MONTH($C3194)/3,0))</f>
        <v/>
      </c>
      <c r="L3194">
        <f>IF($G3194&lt;&gt;"ALCOHOL","",IF($K3194="","",$H3194*IFERROR(VLOOKUP($K3194,Drink_Templates!$A:$G,7,FALSE),0)))</f>
        <v/>
      </c>
    </row>
    <row r="3195" ht="15" customHeight="1">
      <c r="C3195">
        <f>IF($B3195="","",INT($B3195))</f>
        <v/>
      </c>
      <c r="D3195">
        <f>IF($C3195="","",$C3195-WEEKDAY($C3195,2)+1)</f>
        <v/>
      </c>
      <c r="E3195">
        <f>IF($C3195="","",DATE(YEAR($C3195),MONTH($C3195),1))</f>
        <v/>
      </c>
      <c r="F3195">
        <f>IF($C3195="","",YEAR($C3195)&amp;"-Q"&amp;ROUNDUP(MONTH($C3195)/3,0))</f>
        <v/>
      </c>
      <c r="L3195">
        <f>IF($G3195&lt;&gt;"ALCOHOL","",IF($K3195="","",$H3195*IFERROR(VLOOKUP($K3195,Drink_Templates!$A:$G,7,FALSE),0)))</f>
        <v/>
      </c>
    </row>
    <row r="3196" ht="15" customHeight="1">
      <c r="C3196">
        <f>IF($B3196="","",INT($B3196))</f>
        <v/>
      </c>
      <c r="D3196">
        <f>IF($C3196="","",$C3196-WEEKDAY($C3196,2)+1)</f>
        <v/>
      </c>
      <c r="E3196">
        <f>IF($C3196="","",DATE(YEAR($C3196),MONTH($C3196),1))</f>
        <v/>
      </c>
      <c r="F3196">
        <f>IF($C3196="","",YEAR($C3196)&amp;"-Q"&amp;ROUNDUP(MONTH($C3196)/3,0))</f>
        <v/>
      </c>
      <c r="L3196">
        <f>IF($G3196&lt;&gt;"ALCOHOL","",IF($K3196="","",$H3196*IFERROR(VLOOKUP($K3196,Drink_Templates!$A:$G,7,FALSE),0)))</f>
        <v/>
      </c>
    </row>
    <row r="3197" ht="15" customHeight="1">
      <c r="C3197">
        <f>IF($B3197="","",INT($B3197))</f>
        <v/>
      </c>
      <c r="D3197">
        <f>IF($C3197="","",$C3197-WEEKDAY($C3197,2)+1)</f>
        <v/>
      </c>
      <c r="E3197">
        <f>IF($C3197="","",DATE(YEAR($C3197),MONTH($C3197),1))</f>
        <v/>
      </c>
      <c r="F3197">
        <f>IF($C3197="","",YEAR($C3197)&amp;"-Q"&amp;ROUNDUP(MONTH($C3197)/3,0))</f>
        <v/>
      </c>
      <c r="L3197">
        <f>IF($G3197&lt;&gt;"ALCOHOL","",IF($K3197="","",$H3197*IFERROR(VLOOKUP($K3197,Drink_Templates!$A:$G,7,FALSE),0)))</f>
        <v/>
      </c>
    </row>
    <row r="3198" ht="15" customHeight="1">
      <c r="C3198">
        <f>IF($B3198="","",INT($B3198))</f>
        <v/>
      </c>
      <c r="D3198">
        <f>IF($C3198="","",$C3198-WEEKDAY($C3198,2)+1)</f>
        <v/>
      </c>
      <c r="E3198">
        <f>IF($C3198="","",DATE(YEAR($C3198),MONTH($C3198),1))</f>
        <v/>
      </c>
      <c r="F3198">
        <f>IF($C3198="","",YEAR($C3198)&amp;"-Q"&amp;ROUNDUP(MONTH($C3198)/3,0))</f>
        <v/>
      </c>
      <c r="L3198">
        <f>IF($G3198&lt;&gt;"ALCOHOL","",IF($K3198="","",$H3198*IFERROR(VLOOKUP($K3198,Drink_Templates!$A:$G,7,FALSE),0)))</f>
        <v/>
      </c>
    </row>
    <row r="3199" ht="15" customHeight="1">
      <c r="C3199">
        <f>IF($B3199="","",INT($B3199))</f>
        <v/>
      </c>
      <c r="D3199">
        <f>IF($C3199="","",$C3199-WEEKDAY($C3199,2)+1)</f>
        <v/>
      </c>
      <c r="E3199">
        <f>IF($C3199="","",DATE(YEAR($C3199),MONTH($C3199),1))</f>
        <v/>
      </c>
      <c r="F3199">
        <f>IF($C3199="","",YEAR($C3199)&amp;"-Q"&amp;ROUNDUP(MONTH($C3199)/3,0))</f>
        <v/>
      </c>
      <c r="L3199">
        <f>IF($G3199&lt;&gt;"ALCOHOL","",IF($K3199="","",$H3199*IFERROR(VLOOKUP($K3199,Drink_Templates!$A:$G,7,FALSE),0)))</f>
        <v/>
      </c>
    </row>
    <row r="3200" ht="15" customHeight="1">
      <c r="C3200">
        <f>IF($B3200="","",INT($B3200))</f>
        <v/>
      </c>
      <c r="D3200">
        <f>IF($C3200="","",$C3200-WEEKDAY($C3200,2)+1)</f>
        <v/>
      </c>
      <c r="E3200">
        <f>IF($C3200="","",DATE(YEAR($C3200),MONTH($C3200),1))</f>
        <v/>
      </c>
      <c r="F3200">
        <f>IF($C3200="","",YEAR($C3200)&amp;"-Q"&amp;ROUNDUP(MONTH($C3200)/3,0))</f>
        <v/>
      </c>
      <c r="L3200">
        <f>IF($G3200&lt;&gt;"ALCOHOL","",IF($K3200="","",$H3200*IFERROR(VLOOKUP($K3200,Drink_Templates!$A:$G,7,FALSE),0)))</f>
        <v/>
      </c>
    </row>
    <row r="3201" ht="15" customHeight="1">
      <c r="C3201">
        <f>IF($B3201="","",INT($B3201))</f>
        <v/>
      </c>
      <c r="D3201">
        <f>IF($C3201="","",$C3201-WEEKDAY($C3201,2)+1)</f>
        <v/>
      </c>
      <c r="E3201">
        <f>IF($C3201="","",DATE(YEAR($C3201),MONTH($C3201),1))</f>
        <v/>
      </c>
      <c r="F3201">
        <f>IF($C3201="","",YEAR($C3201)&amp;"-Q"&amp;ROUNDUP(MONTH($C3201)/3,0))</f>
        <v/>
      </c>
      <c r="L3201">
        <f>IF($G3201&lt;&gt;"ALCOHOL","",IF($K3201="","",$H3201*IFERROR(VLOOKUP($K3201,Drink_Templates!$A:$G,7,FALSE),0)))</f>
        <v/>
      </c>
    </row>
    <row r="3202" ht="15" customHeight="1">
      <c r="C3202">
        <f>IF($B3202="","",INT($B3202))</f>
        <v/>
      </c>
      <c r="D3202">
        <f>IF($C3202="","",$C3202-WEEKDAY($C3202,2)+1)</f>
        <v/>
      </c>
      <c r="E3202">
        <f>IF($C3202="","",DATE(YEAR($C3202),MONTH($C3202),1))</f>
        <v/>
      </c>
      <c r="F3202">
        <f>IF($C3202="","",YEAR($C3202)&amp;"-Q"&amp;ROUNDUP(MONTH($C3202)/3,0))</f>
        <v/>
      </c>
      <c r="L3202">
        <f>IF($G3202&lt;&gt;"ALCOHOL","",IF($K3202="","",$H3202*IFERROR(VLOOKUP($K3202,Drink_Templates!$A:$G,7,FALSE),0)))</f>
        <v/>
      </c>
    </row>
    <row r="3203" ht="15" customHeight="1">
      <c r="C3203">
        <f>IF($B3203="","",INT($B3203))</f>
        <v/>
      </c>
      <c r="D3203">
        <f>IF($C3203="","",$C3203-WEEKDAY($C3203,2)+1)</f>
        <v/>
      </c>
      <c r="E3203">
        <f>IF($C3203="","",DATE(YEAR($C3203),MONTH($C3203),1))</f>
        <v/>
      </c>
      <c r="F3203">
        <f>IF($C3203="","",YEAR($C3203)&amp;"-Q"&amp;ROUNDUP(MONTH($C3203)/3,0))</f>
        <v/>
      </c>
      <c r="L3203">
        <f>IF($G3203&lt;&gt;"ALCOHOL","",IF($K3203="","",$H3203*IFERROR(VLOOKUP($K3203,Drink_Templates!$A:$G,7,FALSE),0)))</f>
        <v/>
      </c>
    </row>
    <row r="3204" ht="15" customHeight="1">
      <c r="C3204">
        <f>IF($B3204="","",INT($B3204))</f>
        <v/>
      </c>
      <c r="D3204">
        <f>IF($C3204="","",$C3204-WEEKDAY($C3204,2)+1)</f>
        <v/>
      </c>
      <c r="E3204">
        <f>IF($C3204="","",DATE(YEAR($C3204),MONTH($C3204),1))</f>
        <v/>
      </c>
      <c r="F3204">
        <f>IF($C3204="","",YEAR($C3204)&amp;"-Q"&amp;ROUNDUP(MONTH($C3204)/3,0))</f>
        <v/>
      </c>
      <c r="L3204">
        <f>IF($G3204&lt;&gt;"ALCOHOL","",IF($K3204="","",$H3204*IFERROR(VLOOKUP($K3204,Drink_Templates!$A:$G,7,FALSE),0)))</f>
        <v/>
      </c>
    </row>
    <row r="3205" ht="15" customHeight="1">
      <c r="C3205">
        <f>IF($B3205="","",INT($B3205))</f>
        <v/>
      </c>
      <c r="D3205">
        <f>IF($C3205="","",$C3205-WEEKDAY($C3205,2)+1)</f>
        <v/>
      </c>
      <c r="E3205">
        <f>IF($C3205="","",DATE(YEAR($C3205),MONTH($C3205),1))</f>
        <v/>
      </c>
      <c r="F3205">
        <f>IF($C3205="","",YEAR($C3205)&amp;"-Q"&amp;ROUNDUP(MONTH($C3205)/3,0))</f>
        <v/>
      </c>
      <c r="L3205">
        <f>IF($G3205&lt;&gt;"ALCOHOL","",IF($K3205="","",$H3205*IFERROR(VLOOKUP($K3205,Drink_Templates!$A:$G,7,FALSE),0)))</f>
        <v/>
      </c>
    </row>
    <row r="3206" ht="15" customHeight="1">
      <c r="C3206">
        <f>IF($B3206="","",INT($B3206))</f>
        <v/>
      </c>
      <c r="D3206">
        <f>IF($C3206="","",$C3206-WEEKDAY($C3206,2)+1)</f>
        <v/>
      </c>
      <c r="E3206">
        <f>IF($C3206="","",DATE(YEAR($C3206),MONTH($C3206),1))</f>
        <v/>
      </c>
      <c r="F3206">
        <f>IF($C3206="","",YEAR($C3206)&amp;"-Q"&amp;ROUNDUP(MONTH($C3206)/3,0))</f>
        <v/>
      </c>
      <c r="L3206">
        <f>IF($G3206&lt;&gt;"ALCOHOL","",IF($K3206="","",$H3206*IFERROR(VLOOKUP($K3206,Drink_Templates!$A:$G,7,FALSE),0)))</f>
        <v/>
      </c>
    </row>
    <row r="3207" ht="15" customHeight="1">
      <c r="C3207">
        <f>IF($B3207="","",INT($B3207))</f>
        <v/>
      </c>
      <c r="D3207">
        <f>IF($C3207="","",$C3207-WEEKDAY($C3207,2)+1)</f>
        <v/>
      </c>
      <c r="E3207">
        <f>IF($C3207="","",DATE(YEAR($C3207),MONTH($C3207),1))</f>
        <v/>
      </c>
      <c r="F3207">
        <f>IF($C3207="","",YEAR($C3207)&amp;"-Q"&amp;ROUNDUP(MONTH($C3207)/3,0))</f>
        <v/>
      </c>
      <c r="L3207">
        <f>IF($G3207&lt;&gt;"ALCOHOL","",IF($K3207="","",$H3207*IFERROR(VLOOKUP($K3207,Drink_Templates!$A:$G,7,FALSE),0)))</f>
        <v/>
      </c>
    </row>
    <row r="3208" ht="15" customHeight="1">
      <c r="C3208">
        <f>IF($B3208="","",INT($B3208))</f>
        <v/>
      </c>
      <c r="D3208">
        <f>IF($C3208="","",$C3208-WEEKDAY($C3208,2)+1)</f>
        <v/>
      </c>
      <c r="E3208">
        <f>IF($C3208="","",DATE(YEAR($C3208),MONTH($C3208),1))</f>
        <v/>
      </c>
      <c r="F3208">
        <f>IF($C3208="","",YEAR($C3208)&amp;"-Q"&amp;ROUNDUP(MONTH($C3208)/3,0))</f>
        <v/>
      </c>
      <c r="L3208">
        <f>IF($G3208&lt;&gt;"ALCOHOL","",IF($K3208="","",$H3208*IFERROR(VLOOKUP($K3208,Drink_Templates!$A:$G,7,FALSE),0)))</f>
        <v/>
      </c>
    </row>
    <row r="3209" ht="15" customHeight="1">
      <c r="C3209">
        <f>IF($B3209="","",INT($B3209))</f>
        <v/>
      </c>
      <c r="D3209">
        <f>IF($C3209="","",$C3209-WEEKDAY($C3209,2)+1)</f>
        <v/>
      </c>
      <c r="E3209">
        <f>IF($C3209="","",DATE(YEAR($C3209),MONTH($C3209),1))</f>
        <v/>
      </c>
      <c r="F3209">
        <f>IF($C3209="","",YEAR($C3209)&amp;"-Q"&amp;ROUNDUP(MONTH($C3209)/3,0))</f>
        <v/>
      </c>
      <c r="L3209">
        <f>IF($G3209&lt;&gt;"ALCOHOL","",IF($K3209="","",$H3209*IFERROR(VLOOKUP($K3209,Drink_Templates!$A:$G,7,FALSE),0)))</f>
        <v/>
      </c>
    </row>
    <row r="3210" ht="15" customHeight="1">
      <c r="C3210">
        <f>IF($B3210="","",INT($B3210))</f>
        <v/>
      </c>
      <c r="D3210">
        <f>IF($C3210="","",$C3210-WEEKDAY($C3210,2)+1)</f>
        <v/>
      </c>
      <c r="E3210">
        <f>IF($C3210="","",DATE(YEAR($C3210),MONTH($C3210),1))</f>
        <v/>
      </c>
      <c r="F3210">
        <f>IF($C3210="","",YEAR($C3210)&amp;"-Q"&amp;ROUNDUP(MONTH($C3210)/3,0))</f>
        <v/>
      </c>
      <c r="L3210">
        <f>IF($G3210&lt;&gt;"ALCOHOL","",IF($K3210="","",$H3210*IFERROR(VLOOKUP($K3210,Drink_Templates!$A:$G,7,FALSE),0)))</f>
        <v/>
      </c>
    </row>
    <row r="3211" ht="15" customHeight="1">
      <c r="C3211">
        <f>IF($B3211="","",INT($B3211))</f>
        <v/>
      </c>
      <c r="D3211">
        <f>IF($C3211="","",$C3211-WEEKDAY($C3211,2)+1)</f>
        <v/>
      </c>
      <c r="E3211">
        <f>IF($C3211="","",DATE(YEAR($C3211),MONTH($C3211),1))</f>
        <v/>
      </c>
      <c r="F3211">
        <f>IF($C3211="","",YEAR($C3211)&amp;"-Q"&amp;ROUNDUP(MONTH($C3211)/3,0))</f>
        <v/>
      </c>
      <c r="L3211">
        <f>IF($G3211&lt;&gt;"ALCOHOL","",IF($K3211="","",$H3211*IFERROR(VLOOKUP($K3211,Drink_Templates!$A:$G,7,FALSE),0)))</f>
        <v/>
      </c>
    </row>
    <row r="3212" ht="15" customHeight="1">
      <c r="C3212">
        <f>IF($B3212="","",INT($B3212))</f>
        <v/>
      </c>
      <c r="D3212">
        <f>IF($C3212="","",$C3212-WEEKDAY($C3212,2)+1)</f>
        <v/>
      </c>
      <c r="E3212">
        <f>IF($C3212="","",DATE(YEAR($C3212),MONTH($C3212),1))</f>
        <v/>
      </c>
      <c r="F3212">
        <f>IF($C3212="","",YEAR($C3212)&amp;"-Q"&amp;ROUNDUP(MONTH($C3212)/3,0))</f>
        <v/>
      </c>
      <c r="L3212">
        <f>IF($G3212&lt;&gt;"ALCOHOL","",IF($K3212="","",$H3212*IFERROR(VLOOKUP($K3212,Drink_Templates!$A:$G,7,FALSE),0)))</f>
        <v/>
      </c>
    </row>
    <row r="3213" ht="15" customHeight="1">
      <c r="C3213">
        <f>IF($B3213="","",INT($B3213))</f>
        <v/>
      </c>
      <c r="D3213">
        <f>IF($C3213="","",$C3213-WEEKDAY($C3213,2)+1)</f>
        <v/>
      </c>
      <c r="E3213">
        <f>IF($C3213="","",DATE(YEAR($C3213),MONTH($C3213),1))</f>
        <v/>
      </c>
      <c r="F3213">
        <f>IF($C3213="","",YEAR($C3213)&amp;"-Q"&amp;ROUNDUP(MONTH($C3213)/3,0))</f>
        <v/>
      </c>
      <c r="L3213">
        <f>IF($G3213&lt;&gt;"ALCOHOL","",IF($K3213="","",$H3213*IFERROR(VLOOKUP($K3213,Drink_Templates!$A:$G,7,FALSE),0)))</f>
        <v/>
      </c>
    </row>
    <row r="3214" ht="15" customHeight="1">
      <c r="C3214">
        <f>IF($B3214="","",INT($B3214))</f>
        <v/>
      </c>
      <c r="D3214">
        <f>IF($C3214="","",$C3214-WEEKDAY($C3214,2)+1)</f>
        <v/>
      </c>
      <c r="E3214">
        <f>IF($C3214="","",DATE(YEAR($C3214),MONTH($C3214),1))</f>
        <v/>
      </c>
      <c r="F3214">
        <f>IF($C3214="","",YEAR($C3214)&amp;"-Q"&amp;ROUNDUP(MONTH($C3214)/3,0))</f>
        <v/>
      </c>
      <c r="L3214">
        <f>IF($G3214&lt;&gt;"ALCOHOL","",IF($K3214="","",$H3214*IFERROR(VLOOKUP($K3214,Drink_Templates!$A:$G,7,FALSE),0)))</f>
        <v/>
      </c>
    </row>
    <row r="3215" ht="15" customHeight="1">
      <c r="C3215">
        <f>IF($B3215="","",INT($B3215))</f>
        <v/>
      </c>
      <c r="D3215">
        <f>IF($C3215="","",$C3215-WEEKDAY($C3215,2)+1)</f>
        <v/>
      </c>
      <c r="E3215">
        <f>IF($C3215="","",DATE(YEAR($C3215),MONTH($C3215),1))</f>
        <v/>
      </c>
      <c r="F3215">
        <f>IF($C3215="","",YEAR($C3215)&amp;"-Q"&amp;ROUNDUP(MONTH($C3215)/3,0))</f>
        <v/>
      </c>
      <c r="L3215">
        <f>IF($G3215&lt;&gt;"ALCOHOL","",IF($K3215="","",$H3215*IFERROR(VLOOKUP($K3215,Drink_Templates!$A:$G,7,FALSE),0)))</f>
        <v/>
      </c>
    </row>
    <row r="3216" ht="15" customHeight="1">
      <c r="C3216">
        <f>IF($B3216="","",INT($B3216))</f>
        <v/>
      </c>
      <c r="D3216">
        <f>IF($C3216="","",$C3216-WEEKDAY($C3216,2)+1)</f>
        <v/>
      </c>
      <c r="E3216">
        <f>IF($C3216="","",DATE(YEAR($C3216),MONTH($C3216),1))</f>
        <v/>
      </c>
      <c r="F3216">
        <f>IF($C3216="","",YEAR($C3216)&amp;"-Q"&amp;ROUNDUP(MONTH($C3216)/3,0))</f>
        <v/>
      </c>
      <c r="L3216">
        <f>IF($G3216&lt;&gt;"ALCOHOL","",IF($K3216="","",$H3216*IFERROR(VLOOKUP($K3216,Drink_Templates!$A:$G,7,FALSE),0)))</f>
        <v/>
      </c>
    </row>
    <row r="3217" ht="15" customHeight="1">
      <c r="C3217">
        <f>IF($B3217="","",INT($B3217))</f>
        <v/>
      </c>
      <c r="D3217">
        <f>IF($C3217="","",$C3217-WEEKDAY($C3217,2)+1)</f>
        <v/>
      </c>
      <c r="E3217">
        <f>IF($C3217="","",DATE(YEAR($C3217),MONTH($C3217),1))</f>
        <v/>
      </c>
      <c r="F3217">
        <f>IF($C3217="","",YEAR($C3217)&amp;"-Q"&amp;ROUNDUP(MONTH($C3217)/3,0))</f>
        <v/>
      </c>
      <c r="L3217">
        <f>IF($G3217&lt;&gt;"ALCOHOL","",IF($K3217="","",$H3217*IFERROR(VLOOKUP($K3217,Drink_Templates!$A:$G,7,FALSE),0)))</f>
        <v/>
      </c>
    </row>
    <row r="3218" ht="15" customHeight="1">
      <c r="C3218">
        <f>IF($B3218="","",INT($B3218))</f>
        <v/>
      </c>
      <c r="D3218">
        <f>IF($C3218="","",$C3218-WEEKDAY($C3218,2)+1)</f>
        <v/>
      </c>
      <c r="E3218">
        <f>IF($C3218="","",DATE(YEAR($C3218),MONTH($C3218),1))</f>
        <v/>
      </c>
      <c r="F3218">
        <f>IF($C3218="","",YEAR($C3218)&amp;"-Q"&amp;ROUNDUP(MONTH($C3218)/3,0))</f>
        <v/>
      </c>
      <c r="L3218">
        <f>IF($G3218&lt;&gt;"ALCOHOL","",IF($K3218="","",$H3218*IFERROR(VLOOKUP($K3218,Drink_Templates!$A:$G,7,FALSE),0)))</f>
        <v/>
      </c>
    </row>
    <row r="3219" ht="15" customHeight="1">
      <c r="C3219">
        <f>IF($B3219="","",INT($B3219))</f>
        <v/>
      </c>
      <c r="D3219">
        <f>IF($C3219="","",$C3219-WEEKDAY($C3219,2)+1)</f>
        <v/>
      </c>
      <c r="E3219">
        <f>IF($C3219="","",DATE(YEAR($C3219),MONTH($C3219),1))</f>
        <v/>
      </c>
      <c r="F3219">
        <f>IF($C3219="","",YEAR($C3219)&amp;"-Q"&amp;ROUNDUP(MONTH($C3219)/3,0))</f>
        <v/>
      </c>
      <c r="L3219">
        <f>IF($G3219&lt;&gt;"ALCOHOL","",IF($K3219="","",$H3219*IFERROR(VLOOKUP($K3219,Drink_Templates!$A:$G,7,FALSE),0)))</f>
        <v/>
      </c>
    </row>
    <row r="3220" ht="15" customHeight="1">
      <c r="C3220">
        <f>IF($B3220="","",INT($B3220))</f>
        <v/>
      </c>
      <c r="D3220">
        <f>IF($C3220="","",$C3220-WEEKDAY($C3220,2)+1)</f>
        <v/>
      </c>
      <c r="E3220">
        <f>IF($C3220="","",DATE(YEAR($C3220),MONTH($C3220),1))</f>
        <v/>
      </c>
      <c r="F3220">
        <f>IF($C3220="","",YEAR($C3220)&amp;"-Q"&amp;ROUNDUP(MONTH($C3220)/3,0))</f>
        <v/>
      </c>
      <c r="L3220">
        <f>IF($G3220&lt;&gt;"ALCOHOL","",IF($K3220="","",$H3220*IFERROR(VLOOKUP($K3220,Drink_Templates!$A:$G,7,FALSE),0)))</f>
        <v/>
      </c>
    </row>
    <row r="3221" ht="15" customHeight="1">
      <c r="C3221">
        <f>IF($B3221="","",INT($B3221))</f>
        <v/>
      </c>
      <c r="D3221">
        <f>IF($C3221="","",$C3221-WEEKDAY($C3221,2)+1)</f>
        <v/>
      </c>
      <c r="E3221">
        <f>IF($C3221="","",DATE(YEAR($C3221),MONTH($C3221),1))</f>
        <v/>
      </c>
      <c r="F3221">
        <f>IF($C3221="","",YEAR($C3221)&amp;"-Q"&amp;ROUNDUP(MONTH($C3221)/3,0))</f>
        <v/>
      </c>
      <c r="L3221">
        <f>IF($G3221&lt;&gt;"ALCOHOL","",IF($K3221="","",$H3221*IFERROR(VLOOKUP($K3221,Drink_Templates!$A:$G,7,FALSE),0)))</f>
        <v/>
      </c>
    </row>
    <row r="3222" ht="15" customHeight="1">
      <c r="C3222">
        <f>IF($B3222="","",INT($B3222))</f>
        <v/>
      </c>
      <c r="D3222">
        <f>IF($C3222="","",$C3222-WEEKDAY($C3222,2)+1)</f>
        <v/>
      </c>
      <c r="E3222">
        <f>IF($C3222="","",DATE(YEAR($C3222),MONTH($C3222),1))</f>
        <v/>
      </c>
      <c r="F3222">
        <f>IF($C3222="","",YEAR($C3222)&amp;"-Q"&amp;ROUNDUP(MONTH($C3222)/3,0))</f>
        <v/>
      </c>
      <c r="L3222">
        <f>IF($G3222&lt;&gt;"ALCOHOL","",IF($K3222="","",$H3222*IFERROR(VLOOKUP($K3222,Drink_Templates!$A:$G,7,FALSE),0)))</f>
        <v/>
      </c>
    </row>
    <row r="3223" ht="15" customHeight="1">
      <c r="C3223">
        <f>IF($B3223="","",INT($B3223))</f>
        <v/>
      </c>
      <c r="D3223">
        <f>IF($C3223="","",$C3223-WEEKDAY($C3223,2)+1)</f>
        <v/>
      </c>
      <c r="E3223">
        <f>IF($C3223="","",DATE(YEAR($C3223),MONTH($C3223),1))</f>
        <v/>
      </c>
      <c r="F3223">
        <f>IF($C3223="","",YEAR($C3223)&amp;"-Q"&amp;ROUNDUP(MONTH($C3223)/3,0))</f>
        <v/>
      </c>
      <c r="L3223">
        <f>IF($G3223&lt;&gt;"ALCOHOL","",IF($K3223="","",$H3223*IFERROR(VLOOKUP($K3223,Drink_Templates!$A:$G,7,FALSE),0)))</f>
        <v/>
      </c>
    </row>
    <row r="3224" ht="15" customHeight="1">
      <c r="C3224">
        <f>IF($B3224="","",INT($B3224))</f>
        <v/>
      </c>
      <c r="D3224">
        <f>IF($C3224="","",$C3224-WEEKDAY($C3224,2)+1)</f>
        <v/>
      </c>
      <c r="E3224">
        <f>IF($C3224="","",DATE(YEAR($C3224),MONTH($C3224),1))</f>
        <v/>
      </c>
      <c r="F3224">
        <f>IF($C3224="","",YEAR($C3224)&amp;"-Q"&amp;ROUNDUP(MONTH($C3224)/3,0))</f>
        <v/>
      </c>
      <c r="L3224">
        <f>IF($G3224&lt;&gt;"ALCOHOL","",IF($K3224="","",$H3224*IFERROR(VLOOKUP($K3224,Drink_Templates!$A:$G,7,FALSE),0)))</f>
        <v/>
      </c>
    </row>
    <row r="3225" ht="15" customHeight="1">
      <c r="C3225">
        <f>IF($B3225="","",INT($B3225))</f>
        <v/>
      </c>
      <c r="D3225">
        <f>IF($C3225="","",$C3225-WEEKDAY($C3225,2)+1)</f>
        <v/>
      </c>
      <c r="E3225">
        <f>IF($C3225="","",DATE(YEAR($C3225),MONTH($C3225),1))</f>
        <v/>
      </c>
      <c r="F3225">
        <f>IF($C3225="","",YEAR($C3225)&amp;"-Q"&amp;ROUNDUP(MONTH($C3225)/3,0))</f>
        <v/>
      </c>
      <c r="L3225">
        <f>IF($G3225&lt;&gt;"ALCOHOL","",IF($K3225="","",$H3225*IFERROR(VLOOKUP($K3225,Drink_Templates!$A:$G,7,FALSE),0)))</f>
        <v/>
      </c>
    </row>
    <row r="3226" ht="15" customHeight="1">
      <c r="C3226">
        <f>IF($B3226="","",INT($B3226))</f>
        <v/>
      </c>
      <c r="D3226">
        <f>IF($C3226="","",$C3226-WEEKDAY($C3226,2)+1)</f>
        <v/>
      </c>
      <c r="E3226">
        <f>IF($C3226="","",DATE(YEAR($C3226),MONTH($C3226),1))</f>
        <v/>
      </c>
      <c r="F3226">
        <f>IF($C3226="","",YEAR($C3226)&amp;"-Q"&amp;ROUNDUP(MONTH($C3226)/3,0))</f>
        <v/>
      </c>
      <c r="L3226">
        <f>IF($G3226&lt;&gt;"ALCOHOL","",IF($K3226="","",$H3226*IFERROR(VLOOKUP($K3226,Drink_Templates!$A:$G,7,FALSE),0)))</f>
        <v/>
      </c>
    </row>
    <row r="3227" ht="15" customHeight="1">
      <c r="C3227">
        <f>IF($B3227="","",INT($B3227))</f>
        <v/>
      </c>
      <c r="D3227">
        <f>IF($C3227="","",$C3227-WEEKDAY($C3227,2)+1)</f>
        <v/>
      </c>
      <c r="E3227">
        <f>IF($C3227="","",DATE(YEAR($C3227),MONTH($C3227),1))</f>
        <v/>
      </c>
      <c r="F3227">
        <f>IF($C3227="","",YEAR($C3227)&amp;"-Q"&amp;ROUNDUP(MONTH($C3227)/3,0))</f>
        <v/>
      </c>
      <c r="L3227">
        <f>IF($G3227&lt;&gt;"ALCOHOL","",IF($K3227="","",$H3227*IFERROR(VLOOKUP($K3227,Drink_Templates!$A:$G,7,FALSE),0)))</f>
        <v/>
      </c>
    </row>
    <row r="3228" ht="15" customHeight="1">
      <c r="C3228">
        <f>IF($B3228="","",INT($B3228))</f>
        <v/>
      </c>
      <c r="D3228">
        <f>IF($C3228="","",$C3228-WEEKDAY($C3228,2)+1)</f>
        <v/>
      </c>
      <c r="E3228">
        <f>IF($C3228="","",DATE(YEAR($C3228),MONTH($C3228),1))</f>
        <v/>
      </c>
      <c r="F3228">
        <f>IF($C3228="","",YEAR($C3228)&amp;"-Q"&amp;ROUNDUP(MONTH($C3228)/3,0))</f>
        <v/>
      </c>
      <c r="L3228">
        <f>IF($G3228&lt;&gt;"ALCOHOL","",IF($K3228="","",$H3228*IFERROR(VLOOKUP($K3228,Drink_Templates!$A:$G,7,FALSE),0)))</f>
        <v/>
      </c>
    </row>
    <row r="3229" ht="15" customHeight="1">
      <c r="C3229">
        <f>IF($B3229="","",INT($B3229))</f>
        <v/>
      </c>
      <c r="D3229">
        <f>IF($C3229="","",$C3229-WEEKDAY($C3229,2)+1)</f>
        <v/>
      </c>
      <c r="E3229">
        <f>IF($C3229="","",DATE(YEAR($C3229),MONTH($C3229),1))</f>
        <v/>
      </c>
      <c r="F3229">
        <f>IF($C3229="","",YEAR($C3229)&amp;"-Q"&amp;ROUNDUP(MONTH($C3229)/3,0))</f>
        <v/>
      </c>
      <c r="L3229">
        <f>IF($G3229&lt;&gt;"ALCOHOL","",IF($K3229="","",$H3229*IFERROR(VLOOKUP($K3229,Drink_Templates!$A:$G,7,FALSE),0)))</f>
        <v/>
      </c>
    </row>
    <row r="3230" ht="15" customHeight="1">
      <c r="C3230">
        <f>IF($B3230="","",INT($B3230))</f>
        <v/>
      </c>
      <c r="D3230">
        <f>IF($C3230="","",$C3230-WEEKDAY($C3230,2)+1)</f>
        <v/>
      </c>
      <c r="E3230">
        <f>IF($C3230="","",DATE(YEAR($C3230),MONTH($C3230),1))</f>
        <v/>
      </c>
      <c r="F3230">
        <f>IF($C3230="","",YEAR($C3230)&amp;"-Q"&amp;ROUNDUP(MONTH($C3230)/3,0))</f>
        <v/>
      </c>
      <c r="L3230">
        <f>IF($G3230&lt;&gt;"ALCOHOL","",IF($K3230="","",$H3230*IFERROR(VLOOKUP($K3230,Drink_Templates!$A:$G,7,FALSE),0)))</f>
        <v/>
      </c>
    </row>
    <row r="3231" ht="15" customHeight="1">
      <c r="C3231">
        <f>IF($B3231="","",INT($B3231))</f>
        <v/>
      </c>
      <c r="D3231">
        <f>IF($C3231="","",$C3231-WEEKDAY($C3231,2)+1)</f>
        <v/>
      </c>
      <c r="E3231">
        <f>IF($C3231="","",DATE(YEAR($C3231),MONTH($C3231),1))</f>
        <v/>
      </c>
      <c r="F3231">
        <f>IF($C3231="","",YEAR($C3231)&amp;"-Q"&amp;ROUNDUP(MONTH($C3231)/3,0))</f>
        <v/>
      </c>
      <c r="L3231">
        <f>IF($G3231&lt;&gt;"ALCOHOL","",IF($K3231="","",$H3231*IFERROR(VLOOKUP($K3231,Drink_Templates!$A:$G,7,FALSE),0)))</f>
        <v/>
      </c>
    </row>
    <row r="3232" ht="15" customHeight="1">
      <c r="C3232">
        <f>IF($B3232="","",INT($B3232))</f>
        <v/>
      </c>
      <c r="D3232">
        <f>IF($C3232="","",$C3232-WEEKDAY($C3232,2)+1)</f>
        <v/>
      </c>
      <c r="E3232">
        <f>IF($C3232="","",DATE(YEAR($C3232),MONTH($C3232),1))</f>
        <v/>
      </c>
      <c r="F3232">
        <f>IF($C3232="","",YEAR($C3232)&amp;"-Q"&amp;ROUNDUP(MONTH($C3232)/3,0))</f>
        <v/>
      </c>
      <c r="L3232">
        <f>IF($G3232&lt;&gt;"ALCOHOL","",IF($K3232="","",$H3232*IFERROR(VLOOKUP($K3232,Drink_Templates!$A:$G,7,FALSE),0)))</f>
        <v/>
      </c>
    </row>
    <row r="3233" ht="15" customHeight="1">
      <c r="C3233">
        <f>IF($B3233="","",INT($B3233))</f>
        <v/>
      </c>
      <c r="D3233">
        <f>IF($C3233="","",$C3233-WEEKDAY($C3233,2)+1)</f>
        <v/>
      </c>
      <c r="E3233">
        <f>IF($C3233="","",DATE(YEAR($C3233),MONTH($C3233),1))</f>
        <v/>
      </c>
      <c r="F3233">
        <f>IF($C3233="","",YEAR($C3233)&amp;"-Q"&amp;ROUNDUP(MONTH($C3233)/3,0))</f>
        <v/>
      </c>
      <c r="L3233">
        <f>IF($G3233&lt;&gt;"ALCOHOL","",IF($K3233="","",$H3233*IFERROR(VLOOKUP($K3233,Drink_Templates!$A:$G,7,FALSE),0)))</f>
        <v/>
      </c>
    </row>
    <row r="3234" ht="15" customHeight="1">
      <c r="C3234">
        <f>IF($B3234="","",INT($B3234))</f>
        <v/>
      </c>
      <c r="D3234">
        <f>IF($C3234="","",$C3234-WEEKDAY($C3234,2)+1)</f>
        <v/>
      </c>
      <c r="E3234">
        <f>IF($C3234="","",DATE(YEAR($C3234),MONTH($C3234),1))</f>
        <v/>
      </c>
      <c r="F3234">
        <f>IF($C3234="","",YEAR($C3234)&amp;"-Q"&amp;ROUNDUP(MONTH($C3234)/3,0))</f>
        <v/>
      </c>
      <c r="L3234">
        <f>IF($G3234&lt;&gt;"ALCOHOL","",IF($K3234="","",$H3234*IFERROR(VLOOKUP($K3234,Drink_Templates!$A:$G,7,FALSE),0)))</f>
        <v/>
      </c>
    </row>
    <row r="3235" ht="15" customHeight="1">
      <c r="C3235">
        <f>IF($B3235="","",INT($B3235))</f>
        <v/>
      </c>
      <c r="D3235">
        <f>IF($C3235="","",$C3235-WEEKDAY($C3235,2)+1)</f>
        <v/>
      </c>
      <c r="E3235">
        <f>IF($C3235="","",DATE(YEAR($C3235),MONTH($C3235),1))</f>
        <v/>
      </c>
      <c r="F3235">
        <f>IF($C3235="","",YEAR($C3235)&amp;"-Q"&amp;ROUNDUP(MONTH($C3235)/3,0))</f>
        <v/>
      </c>
      <c r="L3235">
        <f>IF($G3235&lt;&gt;"ALCOHOL","",IF($K3235="","",$H3235*IFERROR(VLOOKUP($K3235,Drink_Templates!$A:$G,7,FALSE),0)))</f>
        <v/>
      </c>
    </row>
    <row r="3236" ht="15" customHeight="1">
      <c r="C3236">
        <f>IF($B3236="","",INT($B3236))</f>
        <v/>
      </c>
      <c r="D3236">
        <f>IF($C3236="","",$C3236-WEEKDAY($C3236,2)+1)</f>
        <v/>
      </c>
      <c r="E3236">
        <f>IF($C3236="","",DATE(YEAR($C3236),MONTH($C3236),1))</f>
        <v/>
      </c>
      <c r="F3236">
        <f>IF($C3236="","",YEAR($C3236)&amp;"-Q"&amp;ROUNDUP(MONTH($C3236)/3,0))</f>
        <v/>
      </c>
      <c r="L3236">
        <f>IF($G3236&lt;&gt;"ALCOHOL","",IF($K3236="","",$H3236*IFERROR(VLOOKUP($K3236,Drink_Templates!$A:$G,7,FALSE),0)))</f>
        <v/>
      </c>
    </row>
    <row r="3237" ht="15" customHeight="1">
      <c r="C3237">
        <f>IF($B3237="","",INT($B3237))</f>
        <v/>
      </c>
      <c r="D3237">
        <f>IF($C3237="","",$C3237-WEEKDAY($C3237,2)+1)</f>
        <v/>
      </c>
      <c r="E3237">
        <f>IF($C3237="","",DATE(YEAR($C3237),MONTH($C3237),1))</f>
        <v/>
      </c>
      <c r="F3237">
        <f>IF($C3237="","",YEAR($C3237)&amp;"-Q"&amp;ROUNDUP(MONTH($C3237)/3,0))</f>
        <v/>
      </c>
      <c r="L3237">
        <f>IF($G3237&lt;&gt;"ALCOHOL","",IF($K3237="","",$H3237*IFERROR(VLOOKUP($K3237,Drink_Templates!$A:$G,7,FALSE),0)))</f>
        <v/>
      </c>
    </row>
    <row r="3238" ht="15" customHeight="1">
      <c r="C3238">
        <f>IF($B3238="","",INT($B3238))</f>
        <v/>
      </c>
      <c r="D3238">
        <f>IF($C3238="","",$C3238-WEEKDAY($C3238,2)+1)</f>
        <v/>
      </c>
      <c r="E3238">
        <f>IF($C3238="","",DATE(YEAR($C3238),MONTH($C3238),1))</f>
        <v/>
      </c>
      <c r="F3238">
        <f>IF($C3238="","",YEAR($C3238)&amp;"-Q"&amp;ROUNDUP(MONTH($C3238)/3,0))</f>
        <v/>
      </c>
      <c r="L3238">
        <f>IF($G3238&lt;&gt;"ALCOHOL","",IF($K3238="","",$H3238*IFERROR(VLOOKUP($K3238,Drink_Templates!$A:$G,7,FALSE),0)))</f>
        <v/>
      </c>
    </row>
    <row r="3239" ht="15" customHeight="1">
      <c r="C3239">
        <f>IF($B3239="","",INT($B3239))</f>
        <v/>
      </c>
      <c r="D3239">
        <f>IF($C3239="","",$C3239-WEEKDAY($C3239,2)+1)</f>
        <v/>
      </c>
      <c r="E3239">
        <f>IF($C3239="","",DATE(YEAR($C3239),MONTH($C3239),1))</f>
        <v/>
      </c>
      <c r="F3239">
        <f>IF($C3239="","",YEAR($C3239)&amp;"-Q"&amp;ROUNDUP(MONTH($C3239)/3,0))</f>
        <v/>
      </c>
      <c r="L3239">
        <f>IF($G3239&lt;&gt;"ALCOHOL","",IF($K3239="","",$H3239*IFERROR(VLOOKUP($K3239,Drink_Templates!$A:$G,7,FALSE),0)))</f>
        <v/>
      </c>
    </row>
    <row r="3240" ht="15" customHeight="1">
      <c r="C3240">
        <f>IF($B3240="","",INT($B3240))</f>
        <v/>
      </c>
      <c r="D3240">
        <f>IF($C3240="","",$C3240-WEEKDAY($C3240,2)+1)</f>
        <v/>
      </c>
      <c r="E3240">
        <f>IF($C3240="","",DATE(YEAR($C3240),MONTH($C3240),1))</f>
        <v/>
      </c>
      <c r="F3240">
        <f>IF($C3240="","",YEAR($C3240)&amp;"-Q"&amp;ROUNDUP(MONTH($C3240)/3,0))</f>
        <v/>
      </c>
      <c r="L3240">
        <f>IF($G3240&lt;&gt;"ALCOHOL","",IF($K3240="","",$H3240*IFERROR(VLOOKUP($K3240,Drink_Templates!$A:$G,7,FALSE),0)))</f>
        <v/>
      </c>
    </row>
    <row r="3241" ht="15" customHeight="1">
      <c r="C3241">
        <f>IF($B3241="","",INT($B3241))</f>
        <v/>
      </c>
      <c r="D3241">
        <f>IF($C3241="","",$C3241-WEEKDAY($C3241,2)+1)</f>
        <v/>
      </c>
      <c r="E3241">
        <f>IF($C3241="","",DATE(YEAR($C3241),MONTH($C3241),1))</f>
        <v/>
      </c>
      <c r="F3241">
        <f>IF($C3241="","",YEAR($C3241)&amp;"-Q"&amp;ROUNDUP(MONTH($C3241)/3,0))</f>
        <v/>
      </c>
      <c r="L3241">
        <f>IF($G3241&lt;&gt;"ALCOHOL","",IF($K3241="","",$H3241*IFERROR(VLOOKUP($K3241,Drink_Templates!$A:$G,7,FALSE),0)))</f>
        <v/>
      </c>
    </row>
    <row r="3242" ht="15" customHeight="1">
      <c r="C3242">
        <f>IF($B3242="","",INT($B3242))</f>
        <v/>
      </c>
      <c r="D3242">
        <f>IF($C3242="","",$C3242-WEEKDAY($C3242,2)+1)</f>
        <v/>
      </c>
      <c r="E3242">
        <f>IF($C3242="","",DATE(YEAR($C3242),MONTH($C3242),1))</f>
        <v/>
      </c>
      <c r="F3242">
        <f>IF($C3242="","",YEAR($C3242)&amp;"-Q"&amp;ROUNDUP(MONTH($C3242)/3,0))</f>
        <v/>
      </c>
      <c r="L3242">
        <f>IF($G3242&lt;&gt;"ALCOHOL","",IF($K3242="","",$H3242*IFERROR(VLOOKUP($K3242,Drink_Templates!$A:$G,7,FALSE),0)))</f>
        <v/>
      </c>
    </row>
    <row r="3243" ht="15" customHeight="1">
      <c r="C3243">
        <f>IF($B3243="","",INT($B3243))</f>
        <v/>
      </c>
      <c r="D3243">
        <f>IF($C3243="","",$C3243-WEEKDAY($C3243,2)+1)</f>
        <v/>
      </c>
      <c r="E3243">
        <f>IF($C3243="","",DATE(YEAR($C3243),MONTH($C3243),1))</f>
        <v/>
      </c>
      <c r="F3243">
        <f>IF($C3243="","",YEAR($C3243)&amp;"-Q"&amp;ROUNDUP(MONTH($C3243)/3,0))</f>
        <v/>
      </c>
      <c r="L3243">
        <f>IF($G3243&lt;&gt;"ALCOHOL","",IF($K3243="","",$H3243*IFERROR(VLOOKUP($K3243,Drink_Templates!$A:$G,7,FALSE),0)))</f>
        <v/>
      </c>
    </row>
    <row r="3244" ht="15" customHeight="1">
      <c r="C3244">
        <f>IF($B3244="","",INT($B3244))</f>
        <v/>
      </c>
      <c r="D3244">
        <f>IF($C3244="","",$C3244-WEEKDAY($C3244,2)+1)</f>
        <v/>
      </c>
      <c r="E3244">
        <f>IF($C3244="","",DATE(YEAR($C3244),MONTH($C3244),1))</f>
        <v/>
      </c>
      <c r="F3244">
        <f>IF($C3244="","",YEAR($C3244)&amp;"-Q"&amp;ROUNDUP(MONTH($C3244)/3,0))</f>
        <v/>
      </c>
      <c r="L3244">
        <f>IF($G3244&lt;&gt;"ALCOHOL","",IF($K3244="","",$H3244*IFERROR(VLOOKUP($K3244,Drink_Templates!$A:$G,7,FALSE),0)))</f>
        <v/>
      </c>
    </row>
    <row r="3245" ht="15" customHeight="1">
      <c r="C3245">
        <f>IF($B3245="","",INT($B3245))</f>
        <v/>
      </c>
      <c r="D3245">
        <f>IF($C3245="","",$C3245-WEEKDAY($C3245,2)+1)</f>
        <v/>
      </c>
      <c r="E3245">
        <f>IF($C3245="","",DATE(YEAR($C3245),MONTH($C3245),1))</f>
        <v/>
      </c>
      <c r="F3245">
        <f>IF($C3245="","",YEAR($C3245)&amp;"-Q"&amp;ROUNDUP(MONTH($C3245)/3,0))</f>
        <v/>
      </c>
      <c r="L3245">
        <f>IF($G3245&lt;&gt;"ALCOHOL","",IF($K3245="","",$H3245*IFERROR(VLOOKUP($K3245,Drink_Templates!$A:$G,7,FALSE),0)))</f>
        <v/>
      </c>
    </row>
    <row r="3246" ht="15" customHeight="1">
      <c r="C3246">
        <f>IF($B3246="","",INT($B3246))</f>
        <v/>
      </c>
      <c r="D3246">
        <f>IF($C3246="","",$C3246-WEEKDAY($C3246,2)+1)</f>
        <v/>
      </c>
      <c r="E3246">
        <f>IF($C3246="","",DATE(YEAR($C3246),MONTH($C3246),1))</f>
        <v/>
      </c>
      <c r="F3246">
        <f>IF($C3246="","",YEAR($C3246)&amp;"-Q"&amp;ROUNDUP(MONTH($C3246)/3,0))</f>
        <v/>
      </c>
      <c r="L3246">
        <f>IF($G3246&lt;&gt;"ALCOHOL","",IF($K3246="","",$H3246*IFERROR(VLOOKUP($K3246,Drink_Templates!$A:$G,7,FALSE),0)))</f>
        <v/>
      </c>
    </row>
    <row r="3247" ht="15" customHeight="1">
      <c r="C3247">
        <f>IF($B3247="","",INT($B3247))</f>
        <v/>
      </c>
      <c r="D3247">
        <f>IF($C3247="","",$C3247-WEEKDAY($C3247,2)+1)</f>
        <v/>
      </c>
      <c r="E3247">
        <f>IF($C3247="","",DATE(YEAR($C3247),MONTH($C3247),1))</f>
        <v/>
      </c>
      <c r="F3247">
        <f>IF($C3247="","",YEAR($C3247)&amp;"-Q"&amp;ROUNDUP(MONTH($C3247)/3,0))</f>
        <v/>
      </c>
      <c r="L3247">
        <f>IF($G3247&lt;&gt;"ALCOHOL","",IF($K3247="","",$H3247*IFERROR(VLOOKUP($K3247,Drink_Templates!$A:$G,7,FALSE),0)))</f>
        <v/>
      </c>
    </row>
    <row r="3248" ht="15" customHeight="1">
      <c r="C3248">
        <f>IF($B3248="","",INT($B3248))</f>
        <v/>
      </c>
      <c r="D3248">
        <f>IF($C3248="","",$C3248-WEEKDAY($C3248,2)+1)</f>
        <v/>
      </c>
      <c r="E3248">
        <f>IF($C3248="","",DATE(YEAR($C3248),MONTH($C3248),1))</f>
        <v/>
      </c>
      <c r="F3248">
        <f>IF($C3248="","",YEAR($C3248)&amp;"-Q"&amp;ROUNDUP(MONTH($C3248)/3,0))</f>
        <v/>
      </c>
      <c r="L3248">
        <f>IF($G3248&lt;&gt;"ALCOHOL","",IF($K3248="","",$H3248*IFERROR(VLOOKUP($K3248,Drink_Templates!$A:$G,7,FALSE),0)))</f>
        <v/>
      </c>
    </row>
    <row r="3249" ht="15" customHeight="1">
      <c r="C3249">
        <f>IF($B3249="","",INT($B3249))</f>
        <v/>
      </c>
      <c r="D3249">
        <f>IF($C3249="","",$C3249-WEEKDAY($C3249,2)+1)</f>
        <v/>
      </c>
      <c r="E3249">
        <f>IF($C3249="","",DATE(YEAR($C3249),MONTH($C3249),1))</f>
        <v/>
      </c>
      <c r="F3249">
        <f>IF($C3249="","",YEAR($C3249)&amp;"-Q"&amp;ROUNDUP(MONTH($C3249)/3,0))</f>
        <v/>
      </c>
      <c r="L3249">
        <f>IF($G3249&lt;&gt;"ALCOHOL","",IF($K3249="","",$H3249*IFERROR(VLOOKUP($K3249,Drink_Templates!$A:$G,7,FALSE),0)))</f>
        <v/>
      </c>
    </row>
    <row r="3250" ht="15" customHeight="1">
      <c r="C3250">
        <f>IF($B3250="","",INT($B3250))</f>
        <v/>
      </c>
      <c r="D3250">
        <f>IF($C3250="","",$C3250-WEEKDAY($C3250,2)+1)</f>
        <v/>
      </c>
      <c r="E3250">
        <f>IF($C3250="","",DATE(YEAR($C3250),MONTH($C3250),1))</f>
        <v/>
      </c>
      <c r="F3250">
        <f>IF($C3250="","",YEAR($C3250)&amp;"-Q"&amp;ROUNDUP(MONTH($C3250)/3,0))</f>
        <v/>
      </c>
      <c r="L3250">
        <f>IF($G3250&lt;&gt;"ALCOHOL","",IF($K3250="","",$H3250*IFERROR(VLOOKUP($K3250,Drink_Templates!$A:$G,7,FALSE),0)))</f>
        <v/>
      </c>
    </row>
    <row r="3251" ht="15" customHeight="1">
      <c r="C3251">
        <f>IF($B3251="","",INT($B3251))</f>
        <v/>
      </c>
      <c r="D3251">
        <f>IF($C3251="","",$C3251-WEEKDAY($C3251,2)+1)</f>
        <v/>
      </c>
      <c r="E3251">
        <f>IF($C3251="","",DATE(YEAR($C3251),MONTH($C3251),1))</f>
        <v/>
      </c>
      <c r="F3251">
        <f>IF($C3251="","",YEAR($C3251)&amp;"-Q"&amp;ROUNDUP(MONTH($C3251)/3,0))</f>
        <v/>
      </c>
      <c r="L3251">
        <f>IF($G3251&lt;&gt;"ALCOHOL","",IF($K3251="","",$H3251*IFERROR(VLOOKUP($K3251,Drink_Templates!$A:$G,7,FALSE),0)))</f>
        <v/>
      </c>
    </row>
    <row r="3252" ht="15" customHeight="1">
      <c r="C3252">
        <f>IF($B3252="","",INT($B3252))</f>
        <v/>
      </c>
      <c r="D3252">
        <f>IF($C3252="","",$C3252-WEEKDAY($C3252,2)+1)</f>
        <v/>
      </c>
      <c r="E3252">
        <f>IF($C3252="","",DATE(YEAR($C3252),MONTH($C3252),1))</f>
        <v/>
      </c>
      <c r="F3252">
        <f>IF($C3252="","",YEAR($C3252)&amp;"-Q"&amp;ROUNDUP(MONTH($C3252)/3,0))</f>
        <v/>
      </c>
      <c r="L3252">
        <f>IF($G3252&lt;&gt;"ALCOHOL","",IF($K3252="","",$H3252*IFERROR(VLOOKUP($K3252,Drink_Templates!$A:$G,7,FALSE),0)))</f>
        <v/>
      </c>
    </row>
    <row r="3253" ht="15" customHeight="1">
      <c r="C3253">
        <f>IF($B3253="","",INT($B3253))</f>
        <v/>
      </c>
      <c r="D3253">
        <f>IF($C3253="","",$C3253-WEEKDAY($C3253,2)+1)</f>
        <v/>
      </c>
      <c r="E3253">
        <f>IF($C3253="","",DATE(YEAR($C3253),MONTH($C3253),1))</f>
        <v/>
      </c>
      <c r="F3253">
        <f>IF($C3253="","",YEAR($C3253)&amp;"-Q"&amp;ROUNDUP(MONTH($C3253)/3,0))</f>
        <v/>
      </c>
      <c r="L3253">
        <f>IF($G3253&lt;&gt;"ALCOHOL","",IF($K3253="","",$H3253*IFERROR(VLOOKUP($K3253,Drink_Templates!$A:$G,7,FALSE),0)))</f>
        <v/>
      </c>
    </row>
    <row r="3254" ht="15" customHeight="1">
      <c r="C3254">
        <f>IF($B3254="","",INT($B3254))</f>
        <v/>
      </c>
      <c r="D3254">
        <f>IF($C3254="","",$C3254-WEEKDAY($C3254,2)+1)</f>
        <v/>
      </c>
      <c r="E3254">
        <f>IF($C3254="","",DATE(YEAR($C3254),MONTH($C3254),1))</f>
        <v/>
      </c>
      <c r="F3254">
        <f>IF($C3254="","",YEAR($C3254)&amp;"-Q"&amp;ROUNDUP(MONTH($C3254)/3,0))</f>
        <v/>
      </c>
      <c r="L3254">
        <f>IF($G3254&lt;&gt;"ALCOHOL","",IF($K3254="","",$H3254*IFERROR(VLOOKUP($K3254,Drink_Templates!$A:$G,7,FALSE),0)))</f>
        <v/>
      </c>
    </row>
    <row r="3255" ht="15" customHeight="1">
      <c r="C3255">
        <f>IF($B3255="","",INT($B3255))</f>
        <v/>
      </c>
      <c r="D3255">
        <f>IF($C3255="","",$C3255-WEEKDAY($C3255,2)+1)</f>
        <v/>
      </c>
      <c r="E3255">
        <f>IF($C3255="","",DATE(YEAR($C3255),MONTH($C3255),1))</f>
        <v/>
      </c>
      <c r="F3255">
        <f>IF($C3255="","",YEAR($C3255)&amp;"-Q"&amp;ROUNDUP(MONTH($C3255)/3,0))</f>
        <v/>
      </c>
      <c r="L3255">
        <f>IF($G3255&lt;&gt;"ALCOHOL","",IF($K3255="","",$H3255*IFERROR(VLOOKUP($K3255,Drink_Templates!$A:$G,7,FALSE),0)))</f>
        <v/>
      </c>
    </row>
    <row r="3256" ht="15" customHeight="1">
      <c r="C3256">
        <f>IF($B3256="","",INT($B3256))</f>
        <v/>
      </c>
      <c r="D3256">
        <f>IF($C3256="","",$C3256-WEEKDAY($C3256,2)+1)</f>
        <v/>
      </c>
      <c r="E3256">
        <f>IF($C3256="","",DATE(YEAR($C3256),MONTH($C3256),1))</f>
        <v/>
      </c>
      <c r="F3256">
        <f>IF($C3256="","",YEAR($C3256)&amp;"-Q"&amp;ROUNDUP(MONTH($C3256)/3,0))</f>
        <v/>
      </c>
      <c r="L3256">
        <f>IF($G3256&lt;&gt;"ALCOHOL","",IF($K3256="","",$H3256*IFERROR(VLOOKUP($K3256,Drink_Templates!$A:$G,7,FALSE),0)))</f>
        <v/>
      </c>
    </row>
    <row r="3257" ht="15" customHeight="1">
      <c r="C3257">
        <f>IF($B3257="","",INT($B3257))</f>
        <v/>
      </c>
      <c r="D3257">
        <f>IF($C3257="","",$C3257-WEEKDAY($C3257,2)+1)</f>
        <v/>
      </c>
      <c r="E3257">
        <f>IF($C3257="","",DATE(YEAR($C3257),MONTH($C3257),1))</f>
        <v/>
      </c>
      <c r="F3257">
        <f>IF($C3257="","",YEAR($C3257)&amp;"-Q"&amp;ROUNDUP(MONTH($C3257)/3,0))</f>
        <v/>
      </c>
      <c r="L3257">
        <f>IF($G3257&lt;&gt;"ALCOHOL","",IF($K3257="","",$H3257*IFERROR(VLOOKUP($K3257,Drink_Templates!$A:$G,7,FALSE),0)))</f>
        <v/>
      </c>
    </row>
    <row r="3258" ht="15" customHeight="1">
      <c r="C3258">
        <f>IF($B3258="","",INT($B3258))</f>
        <v/>
      </c>
      <c r="D3258">
        <f>IF($C3258="","",$C3258-WEEKDAY($C3258,2)+1)</f>
        <v/>
      </c>
      <c r="E3258">
        <f>IF($C3258="","",DATE(YEAR($C3258),MONTH($C3258),1))</f>
        <v/>
      </c>
      <c r="F3258">
        <f>IF($C3258="","",YEAR($C3258)&amp;"-Q"&amp;ROUNDUP(MONTH($C3258)/3,0))</f>
        <v/>
      </c>
      <c r="L3258">
        <f>IF($G3258&lt;&gt;"ALCOHOL","",IF($K3258="","",$H3258*IFERROR(VLOOKUP($K3258,Drink_Templates!$A:$G,7,FALSE),0)))</f>
        <v/>
      </c>
    </row>
    <row r="3259" ht="15" customHeight="1">
      <c r="C3259">
        <f>IF($B3259="","",INT($B3259))</f>
        <v/>
      </c>
      <c r="D3259">
        <f>IF($C3259="","",$C3259-WEEKDAY($C3259,2)+1)</f>
        <v/>
      </c>
      <c r="E3259">
        <f>IF($C3259="","",DATE(YEAR($C3259),MONTH($C3259),1))</f>
        <v/>
      </c>
      <c r="F3259">
        <f>IF($C3259="","",YEAR($C3259)&amp;"-Q"&amp;ROUNDUP(MONTH($C3259)/3,0))</f>
        <v/>
      </c>
      <c r="L3259">
        <f>IF($G3259&lt;&gt;"ALCOHOL","",IF($K3259="","",$H3259*IFERROR(VLOOKUP($K3259,Drink_Templates!$A:$G,7,FALSE),0)))</f>
        <v/>
      </c>
    </row>
    <row r="3260" ht="15" customHeight="1">
      <c r="C3260">
        <f>IF($B3260="","",INT($B3260))</f>
        <v/>
      </c>
      <c r="D3260">
        <f>IF($C3260="","",$C3260-WEEKDAY($C3260,2)+1)</f>
        <v/>
      </c>
      <c r="E3260">
        <f>IF($C3260="","",DATE(YEAR($C3260),MONTH($C3260),1))</f>
        <v/>
      </c>
      <c r="F3260">
        <f>IF($C3260="","",YEAR($C3260)&amp;"-Q"&amp;ROUNDUP(MONTH($C3260)/3,0))</f>
        <v/>
      </c>
      <c r="L3260">
        <f>IF($G3260&lt;&gt;"ALCOHOL","",IF($K3260="","",$H3260*IFERROR(VLOOKUP($K3260,Drink_Templates!$A:$G,7,FALSE),0)))</f>
        <v/>
      </c>
    </row>
    <row r="3261" ht="15" customHeight="1">
      <c r="C3261">
        <f>IF($B3261="","",INT($B3261))</f>
        <v/>
      </c>
      <c r="D3261">
        <f>IF($C3261="","",$C3261-WEEKDAY($C3261,2)+1)</f>
        <v/>
      </c>
      <c r="E3261">
        <f>IF($C3261="","",DATE(YEAR($C3261),MONTH($C3261),1))</f>
        <v/>
      </c>
      <c r="F3261">
        <f>IF($C3261="","",YEAR($C3261)&amp;"-Q"&amp;ROUNDUP(MONTH($C3261)/3,0))</f>
        <v/>
      </c>
      <c r="L3261">
        <f>IF($G3261&lt;&gt;"ALCOHOL","",IF($K3261="","",$H3261*IFERROR(VLOOKUP($K3261,Drink_Templates!$A:$G,7,FALSE),0)))</f>
        <v/>
      </c>
    </row>
    <row r="3262" ht="15" customHeight="1">
      <c r="C3262">
        <f>IF($B3262="","",INT($B3262))</f>
        <v/>
      </c>
      <c r="D3262">
        <f>IF($C3262="","",$C3262-WEEKDAY($C3262,2)+1)</f>
        <v/>
      </c>
      <c r="E3262">
        <f>IF($C3262="","",DATE(YEAR($C3262),MONTH($C3262),1))</f>
        <v/>
      </c>
      <c r="F3262">
        <f>IF($C3262="","",YEAR($C3262)&amp;"-Q"&amp;ROUNDUP(MONTH($C3262)/3,0))</f>
        <v/>
      </c>
      <c r="L3262">
        <f>IF($G3262&lt;&gt;"ALCOHOL","",IF($K3262="","",$H3262*IFERROR(VLOOKUP($K3262,Drink_Templates!$A:$G,7,FALSE),0)))</f>
        <v/>
      </c>
    </row>
    <row r="3263" ht="15" customHeight="1">
      <c r="C3263">
        <f>IF($B3263="","",INT($B3263))</f>
        <v/>
      </c>
      <c r="D3263">
        <f>IF($C3263="","",$C3263-WEEKDAY($C3263,2)+1)</f>
        <v/>
      </c>
      <c r="E3263">
        <f>IF($C3263="","",DATE(YEAR($C3263),MONTH($C3263),1))</f>
        <v/>
      </c>
      <c r="F3263">
        <f>IF($C3263="","",YEAR($C3263)&amp;"-Q"&amp;ROUNDUP(MONTH($C3263)/3,0))</f>
        <v/>
      </c>
      <c r="L3263">
        <f>IF($G3263&lt;&gt;"ALCOHOL","",IF($K3263="","",$H3263*IFERROR(VLOOKUP($K3263,Drink_Templates!$A:$G,7,FALSE),0)))</f>
        <v/>
      </c>
    </row>
    <row r="3264" ht="15" customHeight="1">
      <c r="C3264">
        <f>IF($B3264="","",INT($B3264))</f>
        <v/>
      </c>
      <c r="D3264">
        <f>IF($C3264="","",$C3264-WEEKDAY($C3264,2)+1)</f>
        <v/>
      </c>
      <c r="E3264">
        <f>IF($C3264="","",DATE(YEAR($C3264),MONTH($C3264),1))</f>
        <v/>
      </c>
      <c r="F3264">
        <f>IF($C3264="","",YEAR($C3264)&amp;"-Q"&amp;ROUNDUP(MONTH($C3264)/3,0))</f>
        <v/>
      </c>
      <c r="L3264">
        <f>IF($G3264&lt;&gt;"ALCOHOL","",IF($K3264="","",$H3264*IFERROR(VLOOKUP($K3264,Drink_Templates!$A:$G,7,FALSE),0)))</f>
        <v/>
      </c>
    </row>
    <row r="3265" ht="15" customHeight="1">
      <c r="C3265">
        <f>IF($B3265="","",INT($B3265))</f>
        <v/>
      </c>
      <c r="D3265">
        <f>IF($C3265="","",$C3265-WEEKDAY($C3265,2)+1)</f>
        <v/>
      </c>
      <c r="E3265">
        <f>IF($C3265="","",DATE(YEAR($C3265),MONTH($C3265),1))</f>
        <v/>
      </c>
      <c r="F3265">
        <f>IF($C3265="","",YEAR($C3265)&amp;"-Q"&amp;ROUNDUP(MONTH($C3265)/3,0))</f>
        <v/>
      </c>
      <c r="L3265">
        <f>IF($G3265&lt;&gt;"ALCOHOL","",IF($K3265="","",$H3265*IFERROR(VLOOKUP($K3265,Drink_Templates!$A:$G,7,FALSE),0)))</f>
        <v/>
      </c>
    </row>
    <row r="3266" ht="15" customHeight="1">
      <c r="C3266">
        <f>IF($B3266="","",INT($B3266))</f>
        <v/>
      </c>
      <c r="D3266">
        <f>IF($C3266="","",$C3266-WEEKDAY($C3266,2)+1)</f>
        <v/>
      </c>
      <c r="E3266">
        <f>IF($C3266="","",DATE(YEAR($C3266),MONTH($C3266),1))</f>
        <v/>
      </c>
      <c r="F3266">
        <f>IF($C3266="","",YEAR($C3266)&amp;"-Q"&amp;ROUNDUP(MONTH($C3266)/3,0))</f>
        <v/>
      </c>
      <c r="L3266">
        <f>IF($G3266&lt;&gt;"ALCOHOL","",IF($K3266="","",$H3266*IFERROR(VLOOKUP($K3266,Drink_Templates!$A:$G,7,FALSE),0)))</f>
        <v/>
      </c>
    </row>
    <row r="3267" ht="15" customHeight="1">
      <c r="C3267">
        <f>IF($B3267="","",INT($B3267))</f>
        <v/>
      </c>
      <c r="D3267">
        <f>IF($C3267="","",$C3267-WEEKDAY($C3267,2)+1)</f>
        <v/>
      </c>
      <c r="E3267">
        <f>IF($C3267="","",DATE(YEAR($C3267),MONTH($C3267),1))</f>
        <v/>
      </c>
      <c r="F3267">
        <f>IF($C3267="","",YEAR($C3267)&amp;"-Q"&amp;ROUNDUP(MONTH($C3267)/3,0))</f>
        <v/>
      </c>
      <c r="L3267">
        <f>IF($G3267&lt;&gt;"ALCOHOL","",IF($K3267="","",$H3267*IFERROR(VLOOKUP($K3267,Drink_Templates!$A:$G,7,FALSE),0)))</f>
        <v/>
      </c>
    </row>
    <row r="3268" ht="15" customHeight="1">
      <c r="C3268">
        <f>IF($B3268="","",INT($B3268))</f>
        <v/>
      </c>
      <c r="D3268">
        <f>IF($C3268="","",$C3268-WEEKDAY($C3268,2)+1)</f>
        <v/>
      </c>
      <c r="E3268">
        <f>IF($C3268="","",DATE(YEAR($C3268),MONTH($C3268),1))</f>
        <v/>
      </c>
      <c r="F3268">
        <f>IF($C3268="","",YEAR($C3268)&amp;"-Q"&amp;ROUNDUP(MONTH($C3268)/3,0))</f>
        <v/>
      </c>
      <c r="L3268">
        <f>IF($G3268&lt;&gt;"ALCOHOL","",IF($K3268="","",$H3268*IFERROR(VLOOKUP($K3268,Drink_Templates!$A:$G,7,FALSE),0)))</f>
        <v/>
      </c>
    </row>
    <row r="3269" ht="15" customHeight="1">
      <c r="C3269">
        <f>IF($B3269="","",INT($B3269))</f>
        <v/>
      </c>
      <c r="D3269">
        <f>IF($C3269="","",$C3269-WEEKDAY($C3269,2)+1)</f>
        <v/>
      </c>
      <c r="E3269">
        <f>IF($C3269="","",DATE(YEAR($C3269),MONTH($C3269),1))</f>
        <v/>
      </c>
      <c r="F3269">
        <f>IF($C3269="","",YEAR($C3269)&amp;"-Q"&amp;ROUNDUP(MONTH($C3269)/3,0))</f>
        <v/>
      </c>
      <c r="L3269">
        <f>IF($G3269&lt;&gt;"ALCOHOL","",IF($K3269="","",$H3269*IFERROR(VLOOKUP($K3269,Drink_Templates!$A:$G,7,FALSE),0)))</f>
        <v/>
      </c>
    </row>
    <row r="3270" ht="15" customHeight="1">
      <c r="C3270">
        <f>IF($B3270="","",INT($B3270))</f>
        <v/>
      </c>
      <c r="D3270">
        <f>IF($C3270="","",$C3270-WEEKDAY($C3270,2)+1)</f>
        <v/>
      </c>
      <c r="E3270">
        <f>IF($C3270="","",DATE(YEAR($C3270),MONTH($C3270),1))</f>
        <v/>
      </c>
      <c r="F3270">
        <f>IF($C3270="","",YEAR($C3270)&amp;"-Q"&amp;ROUNDUP(MONTH($C3270)/3,0))</f>
        <v/>
      </c>
      <c r="L3270">
        <f>IF($G3270&lt;&gt;"ALCOHOL","",IF($K3270="","",$H3270*IFERROR(VLOOKUP($K3270,Drink_Templates!$A:$G,7,FALSE),0)))</f>
        <v/>
      </c>
    </row>
    <row r="3271" ht="15" customHeight="1">
      <c r="C3271">
        <f>IF($B3271="","",INT($B3271))</f>
        <v/>
      </c>
      <c r="D3271">
        <f>IF($C3271="","",$C3271-WEEKDAY($C3271,2)+1)</f>
        <v/>
      </c>
      <c r="E3271">
        <f>IF($C3271="","",DATE(YEAR($C3271),MONTH($C3271),1))</f>
        <v/>
      </c>
      <c r="F3271">
        <f>IF($C3271="","",YEAR($C3271)&amp;"-Q"&amp;ROUNDUP(MONTH($C3271)/3,0))</f>
        <v/>
      </c>
      <c r="L3271">
        <f>IF($G3271&lt;&gt;"ALCOHOL","",IF($K3271="","",$H3271*IFERROR(VLOOKUP($K3271,Drink_Templates!$A:$G,7,FALSE),0)))</f>
        <v/>
      </c>
    </row>
    <row r="3272" ht="15" customHeight="1">
      <c r="C3272">
        <f>IF($B3272="","",INT($B3272))</f>
        <v/>
      </c>
      <c r="D3272">
        <f>IF($C3272="","",$C3272-WEEKDAY($C3272,2)+1)</f>
        <v/>
      </c>
      <c r="E3272">
        <f>IF($C3272="","",DATE(YEAR($C3272),MONTH($C3272),1))</f>
        <v/>
      </c>
      <c r="F3272">
        <f>IF($C3272="","",YEAR($C3272)&amp;"-Q"&amp;ROUNDUP(MONTH($C3272)/3,0))</f>
        <v/>
      </c>
      <c r="L3272">
        <f>IF($G3272&lt;&gt;"ALCOHOL","",IF($K3272="","",$H3272*IFERROR(VLOOKUP($K3272,Drink_Templates!$A:$G,7,FALSE),0)))</f>
        <v/>
      </c>
    </row>
    <row r="3273" ht="15" customHeight="1">
      <c r="C3273">
        <f>IF($B3273="","",INT($B3273))</f>
        <v/>
      </c>
      <c r="D3273">
        <f>IF($C3273="","",$C3273-WEEKDAY($C3273,2)+1)</f>
        <v/>
      </c>
      <c r="E3273">
        <f>IF($C3273="","",DATE(YEAR($C3273),MONTH($C3273),1))</f>
        <v/>
      </c>
      <c r="F3273">
        <f>IF($C3273="","",YEAR($C3273)&amp;"-Q"&amp;ROUNDUP(MONTH($C3273)/3,0))</f>
        <v/>
      </c>
      <c r="L3273">
        <f>IF($G3273&lt;&gt;"ALCOHOL","",IF($K3273="","",$H3273*IFERROR(VLOOKUP($K3273,Drink_Templates!$A:$G,7,FALSE),0)))</f>
        <v/>
      </c>
    </row>
    <row r="3274" ht="15" customHeight="1">
      <c r="C3274">
        <f>IF($B3274="","",INT($B3274))</f>
        <v/>
      </c>
      <c r="D3274">
        <f>IF($C3274="","",$C3274-WEEKDAY($C3274,2)+1)</f>
        <v/>
      </c>
      <c r="E3274">
        <f>IF($C3274="","",DATE(YEAR($C3274),MONTH($C3274),1))</f>
        <v/>
      </c>
      <c r="F3274">
        <f>IF($C3274="","",YEAR($C3274)&amp;"-Q"&amp;ROUNDUP(MONTH($C3274)/3,0))</f>
        <v/>
      </c>
      <c r="L3274">
        <f>IF($G3274&lt;&gt;"ALCOHOL","",IF($K3274="","",$H3274*IFERROR(VLOOKUP($K3274,Drink_Templates!$A:$G,7,FALSE),0)))</f>
        <v/>
      </c>
    </row>
    <row r="3275" ht="15" customHeight="1">
      <c r="C3275">
        <f>IF($B3275="","",INT($B3275))</f>
        <v/>
      </c>
      <c r="D3275">
        <f>IF($C3275="","",$C3275-WEEKDAY($C3275,2)+1)</f>
        <v/>
      </c>
      <c r="E3275">
        <f>IF($C3275="","",DATE(YEAR($C3275),MONTH($C3275),1))</f>
        <v/>
      </c>
      <c r="F3275">
        <f>IF($C3275="","",YEAR($C3275)&amp;"-Q"&amp;ROUNDUP(MONTH($C3275)/3,0))</f>
        <v/>
      </c>
      <c r="L3275">
        <f>IF($G3275&lt;&gt;"ALCOHOL","",IF($K3275="","",$H3275*IFERROR(VLOOKUP($K3275,Drink_Templates!$A:$G,7,FALSE),0)))</f>
        <v/>
      </c>
    </row>
    <row r="3276" ht="15" customHeight="1">
      <c r="C3276">
        <f>IF($B3276="","",INT($B3276))</f>
        <v/>
      </c>
      <c r="D3276">
        <f>IF($C3276="","",$C3276-WEEKDAY($C3276,2)+1)</f>
        <v/>
      </c>
      <c r="E3276">
        <f>IF($C3276="","",DATE(YEAR($C3276),MONTH($C3276),1))</f>
        <v/>
      </c>
      <c r="F3276">
        <f>IF($C3276="","",YEAR($C3276)&amp;"-Q"&amp;ROUNDUP(MONTH($C3276)/3,0))</f>
        <v/>
      </c>
      <c r="L3276">
        <f>IF($G3276&lt;&gt;"ALCOHOL","",IF($K3276="","",$H3276*IFERROR(VLOOKUP($K3276,Drink_Templates!$A:$G,7,FALSE),0)))</f>
        <v/>
      </c>
    </row>
    <row r="3277" ht="15" customHeight="1">
      <c r="C3277">
        <f>IF($B3277="","",INT($B3277))</f>
        <v/>
      </c>
      <c r="D3277">
        <f>IF($C3277="","",$C3277-WEEKDAY($C3277,2)+1)</f>
        <v/>
      </c>
      <c r="E3277">
        <f>IF($C3277="","",DATE(YEAR($C3277),MONTH($C3277),1))</f>
        <v/>
      </c>
      <c r="F3277">
        <f>IF($C3277="","",YEAR($C3277)&amp;"-Q"&amp;ROUNDUP(MONTH($C3277)/3,0))</f>
        <v/>
      </c>
      <c r="L3277">
        <f>IF($G3277&lt;&gt;"ALCOHOL","",IF($K3277="","",$H3277*IFERROR(VLOOKUP($K3277,Drink_Templates!$A:$G,7,FALSE),0)))</f>
        <v/>
      </c>
    </row>
    <row r="3278" ht="15" customHeight="1">
      <c r="C3278">
        <f>IF($B3278="","",INT($B3278))</f>
        <v/>
      </c>
      <c r="D3278">
        <f>IF($C3278="","",$C3278-WEEKDAY($C3278,2)+1)</f>
        <v/>
      </c>
      <c r="E3278">
        <f>IF($C3278="","",DATE(YEAR($C3278),MONTH($C3278),1))</f>
        <v/>
      </c>
      <c r="F3278">
        <f>IF($C3278="","",YEAR($C3278)&amp;"-Q"&amp;ROUNDUP(MONTH($C3278)/3,0))</f>
        <v/>
      </c>
      <c r="L3278">
        <f>IF($G3278&lt;&gt;"ALCOHOL","",IF($K3278="","",$H3278*IFERROR(VLOOKUP($K3278,Drink_Templates!$A:$G,7,FALSE),0)))</f>
        <v/>
      </c>
    </row>
    <row r="3279" ht="15" customHeight="1">
      <c r="C3279">
        <f>IF($B3279="","",INT($B3279))</f>
        <v/>
      </c>
      <c r="D3279">
        <f>IF($C3279="","",$C3279-WEEKDAY($C3279,2)+1)</f>
        <v/>
      </c>
      <c r="E3279">
        <f>IF($C3279="","",DATE(YEAR($C3279),MONTH($C3279),1))</f>
        <v/>
      </c>
      <c r="F3279">
        <f>IF($C3279="","",YEAR($C3279)&amp;"-Q"&amp;ROUNDUP(MONTH($C3279)/3,0))</f>
        <v/>
      </c>
      <c r="L3279">
        <f>IF($G3279&lt;&gt;"ALCOHOL","",IF($K3279="","",$H3279*IFERROR(VLOOKUP($K3279,Drink_Templates!$A:$G,7,FALSE),0)))</f>
        <v/>
      </c>
    </row>
    <row r="3280" ht="15" customHeight="1">
      <c r="C3280">
        <f>IF($B3280="","",INT($B3280))</f>
        <v/>
      </c>
      <c r="D3280">
        <f>IF($C3280="","",$C3280-WEEKDAY($C3280,2)+1)</f>
        <v/>
      </c>
      <c r="E3280">
        <f>IF($C3280="","",DATE(YEAR($C3280),MONTH($C3280),1))</f>
        <v/>
      </c>
      <c r="F3280">
        <f>IF($C3280="","",YEAR($C3280)&amp;"-Q"&amp;ROUNDUP(MONTH($C3280)/3,0))</f>
        <v/>
      </c>
      <c r="L3280">
        <f>IF($G3280&lt;&gt;"ALCOHOL","",IF($K3280="","",$H3280*IFERROR(VLOOKUP($K3280,Drink_Templates!$A:$G,7,FALSE),0)))</f>
        <v/>
      </c>
    </row>
    <row r="3281" ht="15" customHeight="1">
      <c r="C3281">
        <f>IF($B3281="","",INT($B3281))</f>
        <v/>
      </c>
      <c r="D3281">
        <f>IF($C3281="","",$C3281-WEEKDAY($C3281,2)+1)</f>
        <v/>
      </c>
      <c r="E3281">
        <f>IF($C3281="","",DATE(YEAR($C3281),MONTH($C3281),1))</f>
        <v/>
      </c>
      <c r="F3281">
        <f>IF($C3281="","",YEAR($C3281)&amp;"-Q"&amp;ROUNDUP(MONTH($C3281)/3,0))</f>
        <v/>
      </c>
      <c r="L3281">
        <f>IF($G3281&lt;&gt;"ALCOHOL","",IF($K3281="","",$H3281*IFERROR(VLOOKUP($K3281,Drink_Templates!$A:$G,7,FALSE),0)))</f>
        <v/>
      </c>
    </row>
    <row r="3282" ht="15" customHeight="1">
      <c r="C3282">
        <f>IF($B3282="","",INT($B3282))</f>
        <v/>
      </c>
      <c r="D3282">
        <f>IF($C3282="","",$C3282-WEEKDAY($C3282,2)+1)</f>
        <v/>
      </c>
      <c r="E3282">
        <f>IF($C3282="","",DATE(YEAR($C3282),MONTH($C3282),1))</f>
        <v/>
      </c>
      <c r="F3282">
        <f>IF($C3282="","",YEAR($C3282)&amp;"-Q"&amp;ROUNDUP(MONTH($C3282)/3,0))</f>
        <v/>
      </c>
      <c r="L3282">
        <f>IF($G3282&lt;&gt;"ALCOHOL","",IF($K3282="","",$H3282*IFERROR(VLOOKUP($K3282,Drink_Templates!$A:$G,7,FALSE),0)))</f>
        <v/>
      </c>
    </row>
    <row r="3283" ht="15" customHeight="1">
      <c r="C3283">
        <f>IF($B3283="","",INT($B3283))</f>
        <v/>
      </c>
      <c r="D3283">
        <f>IF($C3283="","",$C3283-WEEKDAY($C3283,2)+1)</f>
        <v/>
      </c>
      <c r="E3283">
        <f>IF($C3283="","",DATE(YEAR($C3283),MONTH($C3283),1))</f>
        <v/>
      </c>
      <c r="F3283">
        <f>IF($C3283="","",YEAR($C3283)&amp;"-Q"&amp;ROUNDUP(MONTH($C3283)/3,0))</f>
        <v/>
      </c>
      <c r="L3283">
        <f>IF($G3283&lt;&gt;"ALCOHOL","",IF($K3283="","",$H3283*IFERROR(VLOOKUP($K3283,Drink_Templates!$A:$G,7,FALSE),0)))</f>
        <v/>
      </c>
    </row>
    <row r="3284" ht="15" customHeight="1">
      <c r="C3284">
        <f>IF($B3284="","",INT($B3284))</f>
        <v/>
      </c>
      <c r="D3284">
        <f>IF($C3284="","",$C3284-WEEKDAY($C3284,2)+1)</f>
        <v/>
      </c>
      <c r="E3284">
        <f>IF($C3284="","",DATE(YEAR($C3284),MONTH($C3284),1))</f>
        <v/>
      </c>
      <c r="F3284">
        <f>IF($C3284="","",YEAR($C3284)&amp;"-Q"&amp;ROUNDUP(MONTH($C3284)/3,0))</f>
        <v/>
      </c>
      <c r="L3284">
        <f>IF($G3284&lt;&gt;"ALCOHOL","",IF($K3284="","",$H3284*IFERROR(VLOOKUP($K3284,Drink_Templates!$A:$G,7,FALSE),0)))</f>
        <v/>
      </c>
    </row>
    <row r="3285" ht="15" customHeight="1">
      <c r="C3285">
        <f>IF($B3285="","",INT($B3285))</f>
        <v/>
      </c>
      <c r="D3285">
        <f>IF($C3285="","",$C3285-WEEKDAY($C3285,2)+1)</f>
        <v/>
      </c>
      <c r="E3285">
        <f>IF($C3285="","",DATE(YEAR($C3285),MONTH($C3285),1))</f>
        <v/>
      </c>
      <c r="F3285">
        <f>IF($C3285="","",YEAR($C3285)&amp;"-Q"&amp;ROUNDUP(MONTH($C3285)/3,0))</f>
        <v/>
      </c>
      <c r="L3285">
        <f>IF($G3285&lt;&gt;"ALCOHOL","",IF($K3285="","",$H3285*IFERROR(VLOOKUP($K3285,Drink_Templates!$A:$G,7,FALSE),0)))</f>
        <v/>
      </c>
    </row>
    <row r="3286" ht="15" customHeight="1">
      <c r="C3286">
        <f>IF($B3286="","",INT($B3286))</f>
        <v/>
      </c>
      <c r="D3286">
        <f>IF($C3286="","",$C3286-WEEKDAY($C3286,2)+1)</f>
        <v/>
      </c>
      <c r="E3286">
        <f>IF($C3286="","",DATE(YEAR($C3286),MONTH($C3286),1))</f>
        <v/>
      </c>
      <c r="F3286">
        <f>IF($C3286="","",YEAR($C3286)&amp;"-Q"&amp;ROUNDUP(MONTH($C3286)/3,0))</f>
        <v/>
      </c>
      <c r="L3286">
        <f>IF($G3286&lt;&gt;"ALCOHOL","",IF($K3286="","",$H3286*IFERROR(VLOOKUP($K3286,Drink_Templates!$A:$G,7,FALSE),0)))</f>
        <v/>
      </c>
    </row>
    <row r="3287" ht="15" customHeight="1">
      <c r="C3287">
        <f>IF($B3287="","",INT($B3287))</f>
        <v/>
      </c>
      <c r="D3287">
        <f>IF($C3287="","",$C3287-WEEKDAY($C3287,2)+1)</f>
        <v/>
      </c>
      <c r="E3287">
        <f>IF($C3287="","",DATE(YEAR($C3287),MONTH($C3287),1))</f>
        <v/>
      </c>
      <c r="F3287">
        <f>IF($C3287="","",YEAR($C3287)&amp;"-Q"&amp;ROUNDUP(MONTH($C3287)/3,0))</f>
        <v/>
      </c>
      <c r="L3287">
        <f>IF($G3287&lt;&gt;"ALCOHOL","",IF($K3287="","",$H3287*IFERROR(VLOOKUP($K3287,Drink_Templates!$A:$G,7,FALSE),0)))</f>
        <v/>
      </c>
    </row>
    <row r="3288" ht="15" customHeight="1">
      <c r="C3288">
        <f>IF($B3288="","",INT($B3288))</f>
        <v/>
      </c>
      <c r="D3288">
        <f>IF($C3288="","",$C3288-WEEKDAY($C3288,2)+1)</f>
        <v/>
      </c>
      <c r="E3288">
        <f>IF($C3288="","",DATE(YEAR($C3288),MONTH($C3288),1))</f>
        <v/>
      </c>
      <c r="F3288">
        <f>IF($C3288="","",YEAR($C3288)&amp;"-Q"&amp;ROUNDUP(MONTH($C3288)/3,0))</f>
        <v/>
      </c>
      <c r="L3288">
        <f>IF($G3288&lt;&gt;"ALCOHOL","",IF($K3288="","",$H3288*IFERROR(VLOOKUP($K3288,Drink_Templates!$A:$G,7,FALSE),0)))</f>
        <v/>
      </c>
    </row>
    <row r="3289" ht="15" customHeight="1">
      <c r="C3289">
        <f>IF($B3289="","",INT($B3289))</f>
        <v/>
      </c>
      <c r="D3289">
        <f>IF($C3289="","",$C3289-WEEKDAY($C3289,2)+1)</f>
        <v/>
      </c>
      <c r="E3289">
        <f>IF($C3289="","",DATE(YEAR($C3289),MONTH($C3289),1))</f>
        <v/>
      </c>
      <c r="F3289">
        <f>IF($C3289="","",YEAR($C3289)&amp;"-Q"&amp;ROUNDUP(MONTH($C3289)/3,0))</f>
        <v/>
      </c>
      <c r="L3289">
        <f>IF($G3289&lt;&gt;"ALCOHOL","",IF($K3289="","",$H3289*IFERROR(VLOOKUP($K3289,Drink_Templates!$A:$G,7,FALSE),0)))</f>
        <v/>
      </c>
    </row>
    <row r="3290" ht="15" customHeight="1">
      <c r="C3290">
        <f>IF($B3290="","",INT($B3290))</f>
        <v/>
      </c>
      <c r="D3290">
        <f>IF($C3290="","",$C3290-WEEKDAY($C3290,2)+1)</f>
        <v/>
      </c>
      <c r="E3290">
        <f>IF($C3290="","",DATE(YEAR($C3290),MONTH($C3290),1))</f>
        <v/>
      </c>
      <c r="F3290">
        <f>IF($C3290="","",YEAR($C3290)&amp;"-Q"&amp;ROUNDUP(MONTH($C3290)/3,0))</f>
        <v/>
      </c>
      <c r="L3290">
        <f>IF($G3290&lt;&gt;"ALCOHOL","",IF($K3290="","",$H3290*IFERROR(VLOOKUP($K3290,Drink_Templates!$A:$G,7,FALSE),0)))</f>
        <v/>
      </c>
    </row>
    <row r="3291" ht="15" customHeight="1">
      <c r="C3291">
        <f>IF($B3291="","",INT($B3291))</f>
        <v/>
      </c>
      <c r="D3291">
        <f>IF($C3291="","",$C3291-WEEKDAY($C3291,2)+1)</f>
        <v/>
      </c>
      <c r="E3291">
        <f>IF($C3291="","",DATE(YEAR($C3291),MONTH($C3291),1))</f>
        <v/>
      </c>
      <c r="F3291">
        <f>IF($C3291="","",YEAR($C3291)&amp;"-Q"&amp;ROUNDUP(MONTH($C3291)/3,0))</f>
        <v/>
      </c>
      <c r="L3291">
        <f>IF($G3291&lt;&gt;"ALCOHOL","",IF($K3291="","",$H3291*IFERROR(VLOOKUP($K3291,Drink_Templates!$A:$G,7,FALSE),0)))</f>
        <v/>
      </c>
    </row>
    <row r="3292" ht="15" customHeight="1">
      <c r="C3292">
        <f>IF($B3292="","",INT($B3292))</f>
        <v/>
      </c>
      <c r="D3292">
        <f>IF($C3292="","",$C3292-WEEKDAY($C3292,2)+1)</f>
        <v/>
      </c>
      <c r="E3292">
        <f>IF($C3292="","",DATE(YEAR($C3292),MONTH($C3292),1))</f>
        <v/>
      </c>
      <c r="F3292">
        <f>IF($C3292="","",YEAR($C3292)&amp;"-Q"&amp;ROUNDUP(MONTH($C3292)/3,0))</f>
        <v/>
      </c>
      <c r="L3292">
        <f>IF($G3292&lt;&gt;"ALCOHOL","",IF($K3292="","",$H3292*IFERROR(VLOOKUP($K3292,Drink_Templates!$A:$G,7,FALSE),0)))</f>
        <v/>
      </c>
    </row>
    <row r="3293" ht="15" customHeight="1">
      <c r="C3293">
        <f>IF($B3293="","",INT($B3293))</f>
        <v/>
      </c>
      <c r="D3293">
        <f>IF($C3293="","",$C3293-WEEKDAY($C3293,2)+1)</f>
        <v/>
      </c>
      <c r="E3293">
        <f>IF($C3293="","",DATE(YEAR($C3293),MONTH($C3293),1))</f>
        <v/>
      </c>
      <c r="F3293">
        <f>IF($C3293="","",YEAR($C3293)&amp;"-Q"&amp;ROUNDUP(MONTH($C3293)/3,0))</f>
        <v/>
      </c>
      <c r="L3293">
        <f>IF($G3293&lt;&gt;"ALCOHOL","",IF($K3293="","",$H3293*IFERROR(VLOOKUP($K3293,Drink_Templates!$A:$G,7,FALSE),0)))</f>
        <v/>
      </c>
    </row>
    <row r="3294" ht="15" customHeight="1">
      <c r="C3294">
        <f>IF($B3294="","",INT($B3294))</f>
        <v/>
      </c>
      <c r="D3294">
        <f>IF($C3294="","",$C3294-WEEKDAY($C3294,2)+1)</f>
        <v/>
      </c>
      <c r="E3294">
        <f>IF($C3294="","",DATE(YEAR($C3294),MONTH($C3294),1))</f>
        <v/>
      </c>
      <c r="F3294">
        <f>IF($C3294="","",YEAR($C3294)&amp;"-Q"&amp;ROUNDUP(MONTH($C3294)/3,0))</f>
        <v/>
      </c>
      <c r="L3294">
        <f>IF($G3294&lt;&gt;"ALCOHOL","",IF($K3294="","",$H3294*IFERROR(VLOOKUP($K3294,Drink_Templates!$A:$G,7,FALSE),0)))</f>
        <v/>
      </c>
    </row>
    <row r="3295" ht="15" customHeight="1">
      <c r="C3295">
        <f>IF($B3295="","",INT($B3295))</f>
        <v/>
      </c>
      <c r="D3295">
        <f>IF($C3295="","",$C3295-WEEKDAY($C3295,2)+1)</f>
        <v/>
      </c>
      <c r="E3295">
        <f>IF($C3295="","",DATE(YEAR($C3295),MONTH($C3295),1))</f>
        <v/>
      </c>
      <c r="F3295">
        <f>IF($C3295="","",YEAR($C3295)&amp;"-Q"&amp;ROUNDUP(MONTH($C3295)/3,0))</f>
        <v/>
      </c>
      <c r="L3295">
        <f>IF($G3295&lt;&gt;"ALCOHOL","",IF($K3295="","",$H3295*IFERROR(VLOOKUP($K3295,Drink_Templates!$A:$G,7,FALSE),0)))</f>
        <v/>
      </c>
    </row>
    <row r="3296" ht="15" customHeight="1">
      <c r="C3296">
        <f>IF($B3296="","",INT($B3296))</f>
        <v/>
      </c>
      <c r="D3296">
        <f>IF($C3296="","",$C3296-WEEKDAY($C3296,2)+1)</f>
        <v/>
      </c>
      <c r="E3296">
        <f>IF($C3296="","",DATE(YEAR($C3296),MONTH($C3296),1))</f>
        <v/>
      </c>
      <c r="F3296">
        <f>IF($C3296="","",YEAR($C3296)&amp;"-Q"&amp;ROUNDUP(MONTH($C3296)/3,0))</f>
        <v/>
      </c>
      <c r="L3296">
        <f>IF($G3296&lt;&gt;"ALCOHOL","",IF($K3296="","",$H3296*IFERROR(VLOOKUP($K3296,Drink_Templates!$A:$G,7,FALSE),0)))</f>
        <v/>
      </c>
    </row>
    <row r="3297" ht="15" customHeight="1">
      <c r="C3297">
        <f>IF($B3297="","",INT($B3297))</f>
        <v/>
      </c>
      <c r="D3297">
        <f>IF($C3297="","",$C3297-WEEKDAY($C3297,2)+1)</f>
        <v/>
      </c>
      <c r="E3297">
        <f>IF($C3297="","",DATE(YEAR($C3297),MONTH($C3297),1))</f>
        <v/>
      </c>
      <c r="F3297">
        <f>IF($C3297="","",YEAR($C3297)&amp;"-Q"&amp;ROUNDUP(MONTH($C3297)/3,0))</f>
        <v/>
      </c>
      <c r="L3297">
        <f>IF($G3297&lt;&gt;"ALCOHOL","",IF($K3297="","",$H3297*IFERROR(VLOOKUP($K3297,Drink_Templates!$A:$G,7,FALSE),0)))</f>
        <v/>
      </c>
    </row>
    <row r="3298" ht="15" customHeight="1">
      <c r="C3298">
        <f>IF($B3298="","",INT($B3298))</f>
        <v/>
      </c>
      <c r="D3298">
        <f>IF($C3298="","",$C3298-WEEKDAY($C3298,2)+1)</f>
        <v/>
      </c>
      <c r="E3298">
        <f>IF($C3298="","",DATE(YEAR($C3298),MONTH($C3298),1))</f>
        <v/>
      </c>
      <c r="F3298">
        <f>IF($C3298="","",YEAR($C3298)&amp;"-Q"&amp;ROUNDUP(MONTH($C3298)/3,0))</f>
        <v/>
      </c>
      <c r="L3298">
        <f>IF($G3298&lt;&gt;"ALCOHOL","",IF($K3298="","",$H3298*IFERROR(VLOOKUP($K3298,Drink_Templates!$A:$G,7,FALSE),0)))</f>
        <v/>
      </c>
    </row>
    <row r="3299" ht="15" customHeight="1">
      <c r="C3299">
        <f>IF($B3299="","",INT($B3299))</f>
        <v/>
      </c>
      <c r="D3299">
        <f>IF($C3299="","",$C3299-WEEKDAY($C3299,2)+1)</f>
        <v/>
      </c>
      <c r="E3299">
        <f>IF($C3299="","",DATE(YEAR($C3299),MONTH($C3299),1))</f>
        <v/>
      </c>
      <c r="F3299">
        <f>IF($C3299="","",YEAR($C3299)&amp;"-Q"&amp;ROUNDUP(MONTH($C3299)/3,0))</f>
        <v/>
      </c>
      <c r="L3299">
        <f>IF($G3299&lt;&gt;"ALCOHOL","",IF($K3299="","",$H3299*IFERROR(VLOOKUP($K3299,Drink_Templates!$A:$G,7,FALSE),0)))</f>
        <v/>
      </c>
    </row>
    <row r="3300" ht="15" customHeight="1">
      <c r="C3300">
        <f>IF($B3300="","",INT($B3300))</f>
        <v/>
      </c>
      <c r="D3300">
        <f>IF($C3300="","",$C3300-WEEKDAY($C3300,2)+1)</f>
        <v/>
      </c>
      <c r="E3300">
        <f>IF($C3300="","",DATE(YEAR($C3300),MONTH($C3300),1))</f>
        <v/>
      </c>
      <c r="F3300">
        <f>IF($C3300="","",YEAR($C3300)&amp;"-Q"&amp;ROUNDUP(MONTH($C3300)/3,0))</f>
        <v/>
      </c>
      <c r="L3300">
        <f>IF($G3300&lt;&gt;"ALCOHOL","",IF($K3300="","",$H3300*IFERROR(VLOOKUP($K3300,Drink_Templates!$A:$G,7,FALSE),0)))</f>
        <v/>
      </c>
    </row>
    <row r="3301" ht="15" customHeight="1">
      <c r="C3301">
        <f>IF($B3301="","",INT($B3301))</f>
        <v/>
      </c>
      <c r="D3301">
        <f>IF($C3301="","",$C3301-WEEKDAY($C3301,2)+1)</f>
        <v/>
      </c>
      <c r="E3301">
        <f>IF($C3301="","",DATE(YEAR($C3301),MONTH($C3301),1))</f>
        <v/>
      </c>
      <c r="F3301">
        <f>IF($C3301="","",YEAR($C3301)&amp;"-Q"&amp;ROUNDUP(MONTH($C3301)/3,0))</f>
        <v/>
      </c>
      <c r="L3301">
        <f>IF($G3301&lt;&gt;"ALCOHOL","",IF($K3301="","",$H3301*IFERROR(VLOOKUP($K3301,Drink_Templates!$A:$G,7,FALSE),0)))</f>
        <v/>
      </c>
    </row>
    <row r="3302" ht="15" customHeight="1">
      <c r="C3302">
        <f>IF($B3302="","",INT($B3302))</f>
        <v/>
      </c>
      <c r="D3302">
        <f>IF($C3302="","",$C3302-WEEKDAY($C3302,2)+1)</f>
        <v/>
      </c>
      <c r="E3302">
        <f>IF($C3302="","",DATE(YEAR($C3302),MONTH($C3302),1))</f>
        <v/>
      </c>
      <c r="F3302">
        <f>IF($C3302="","",YEAR($C3302)&amp;"-Q"&amp;ROUNDUP(MONTH($C3302)/3,0))</f>
        <v/>
      </c>
      <c r="L3302">
        <f>IF($G3302&lt;&gt;"ALCOHOL","",IF($K3302="","",$H3302*IFERROR(VLOOKUP($K3302,Drink_Templates!$A:$G,7,FALSE),0)))</f>
        <v/>
      </c>
    </row>
    <row r="3303" ht="15" customHeight="1">
      <c r="C3303">
        <f>IF($B3303="","",INT($B3303))</f>
        <v/>
      </c>
      <c r="D3303">
        <f>IF($C3303="","",$C3303-WEEKDAY($C3303,2)+1)</f>
        <v/>
      </c>
      <c r="E3303">
        <f>IF($C3303="","",DATE(YEAR($C3303),MONTH($C3303),1))</f>
        <v/>
      </c>
      <c r="F3303">
        <f>IF($C3303="","",YEAR($C3303)&amp;"-Q"&amp;ROUNDUP(MONTH($C3303)/3,0))</f>
        <v/>
      </c>
      <c r="L3303">
        <f>IF($G3303&lt;&gt;"ALCOHOL","",IF($K3303="","",$H3303*IFERROR(VLOOKUP($K3303,Drink_Templates!$A:$G,7,FALSE),0)))</f>
        <v/>
      </c>
    </row>
    <row r="3304" ht="15" customHeight="1">
      <c r="C3304">
        <f>IF($B3304="","",INT($B3304))</f>
        <v/>
      </c>
      <c r="D3304">
        <f>IF($C3304="","",$C3304-WEEKDAY($C3304,2)+1)</f>
        <v/>
      </c>
      <c r="E3304">
        <f>IF($C3304="","",DATE(YEAR($C3304),MONTH($C3304),1))</f>
        <v/>
      </c>
      <c r="F3304">
        <f>IF($C3304="","",YEAR($C3304)&amp;"-Q"&amp;ROUNDUP(MONTH($C3304)/3,0))</f>
        <v/>
      </c>
      <c r="L3304">
        <f>IF($G3304&lt;&gt;"ALCOHOL","",IF($K3304="","",$H3304*IFERROR(VLOOKUP($K3304,Drink_Templates!$A:$G,7,FALSE),0)))</f>
        <v/>
      </c>
    </row>
    <row r="3305" ht="15" customHeight="1">
      <c r="C3305">
        <f>IF($B3305="","",INT($B3305))</f>
        <v/>
      </c>
      <c r="D3305">
        <f>IF($C3305="","",$C3305-WEEKDAY($C3305,2)+1)</f>
        <v/>
      </c>
      <c r="E3305">
        <f>IF($C3305="","",DATE(YEAR($C3305),MONTH($C3305),1))</f>
        <v/>
      </c>
      <c r="F3305">
        <f>IF($C3305="","",YEAR($C3305)&amp;"-Q"&amp;ROUNDUP(MONTH($C3305)/3,0))</f>
        <v/>
      </c>
      <c r="L3305">
        <f>IF($G3305&lt;&gt;"ALCOHOL","",IF($K3305="","",$H3305*IFERROR(VLOOKUP($K3305,Drink_Templates!$A:$G,7,FALSE),0)))</f>
        <v/>
      </c>
    </row>
    <row r="3306" ht="15" customHeight="1">
      <c r="C3306">
        <f>IF($B3306="","",INT($B3306))</f>
        <v/>
      </c>
      <c r="D3306">
        <f>IF($C3306="","",$C3306-WEEKDAY($C3306,2)+1)</f>
        <v/>
      </c>
      <c r="E3306">
        <f>IF($C3306="","",DATE(YEAR($C3306),MONTH($C3306),1))</f>
        <v/>
      </c>
      <c r="F3306">
        <f>IF($C3306="","",YEAR($C3306)&amp;"-Q"&amp;ROUNDUP(MONTH($C3306)/3,0))</f>
        <v/>
      </c>
      <c r="L3306">
        <f>IF($G3306&lt;&gt;"ALCOHOL","",IF($K3306="","",$H3306*IFERROR(VLOOKUP($K3306,Drink_Templates!$A:$G,7,FALSE),0)))</f>
        <v/>
      </c>
    </row>
    <row r="3307" ht="15" customHeight="1">
      <c r="C3307">
        <f>IF($B3307="","",INT($B3307))</f>
        <v/>
      </c>
      <c r="D3307">
        <f>IF($C3307="","",$C3307-WEEKDAY($C3307,2)+1)</f>
        <v/>
      </c>
      <c r="E3307">
        <f>IF($C3307="","",DATE(YEAR($C3307),MONTH($C3307),1))</f>
        <v/>
      </c>
      <c r="F3307">
        <f>IF($C3307="","",YEAR($C3307)&amp;"-Q"&amp;ROUNDUP(MONTH($C3307)/3,0))</f>
        <v/>
      </c>
      <c r="L3307">
        <f>IF($G3307&lt;&gt;"ALCOHOL","",IF($K3307="","",$H3307*IFERROR(VLOOKUP($K3307,Drink_Templates!$A:$G,7,FALSE),0)))</f>
        <v/>
      </c>
    </row>
    <row r="3308" ht="15" customHeight="1">
      <c r="C3308">
        <f>IF($B3308="","",INT($B3308))</f>
        <v/>
      </c>
      <c r="D3308">
        <f>IF($C3308="","",$C3308-WEEKDAY($C3308,2)+1)</f>
        <v/>
      </c>
      <c r="E3308">
        <f>IF($C3308="","",DATE(YEAR($C3308),MONTH($C3308),1))</f>
        <v/>
      </c>
      <c r="F3308">
        <f>IF($C3308="","",YEAR($C3308)&amp;"-Q"&amp;ROUNDUP(MONTH($C3308)/3,0))</f>
        <v/>
      </c>
      <c r="L3308">
        <f>IF($G3308&lt;&gt;"ALCOHOL","",IF($K3308="","",$H3308*IFERROR(VLOOKUP($K3308,Drink_Templates!$A:$G,7,FALSE),0)))</f>
        <v/>
      </c>
    </row>
    <row r="3309" ht="15" customHeight="1">
      <c r="C3309">
        <f>IF($B3309="","",INT($B3309))</f>
        <v/>
      </c>
      <c r="D3309">
        <f>IF($C3309="","",$C3309-WEEKDAY($C3309,2)+1)</f>
        <v/>
      </c>
      <c r="E3309">
        <f>IF($C3309="","",DATE(YEAR($C3309),MONTH($C3309),1))</f>
        <v/>
      </c>
      <c r="F3309">
        <f>IF($C3309="","",YEAR($C3309)&amp;"-Q"&amp;ROUNDUP(MONTH($C3309)/3,0))</f>
        <v/>
      </c>
      <c r="L3309">
        <f>IF($G3309&lt;&gt;"ALCOHOL","",IF($K3309="","",$H3309*IFERROR(VLOOKUP($K3309,Drink_Templates!$A:$G,7,FALSE),0)))</f>
        <v/>
      </c>
    </row>
    <row r="3310" ht="15" customHeight="1">
      <c r="C3310">
        <f>IF($B3310="","",INT($B3310))</f>
        <v/>
      </c>
      <c r="D3310">
        <f>IF($C3310="","",$C3310-WEEKDAY($C3310,2)+1)</f>
        <v/>
      </c>
      <c r="E3310">
        <f>IF($C3310="","",DATE(YEAR($C3310),MONTH($C3310),1))</f>
        <v/>
      </c>
      <c r="F3310">
        <f>IF($C3310="","",YEAR($C3310)&amp;"-Q"&amp;ROUNDUP(MONTH($C3310)/3,0))</f>
        <v/>
      </c>
      <c r="L3310">
        <f>IF($G3310&lt;&gt;"ALCOHOL","",IF($K3310="","",$H3310*IFERROR(VLOOKUP($K3310,Drink_Templates!$A:$G,7,FALSE),0)))</f>
        <v/>
      </c>
    </row>
    <row r="3311" ht="15" customHeight="1">
      <c r="C3311">
        <f>IF($B3311="","",INT($B3311))</f>
        <v/>
      </c>
      <c r="D3311">
        <f>IF($C3311="","",$C3311-WEEKDAY($C3311,2)+1)</f>
        <v/>
      </c>
      <c r="E3311">
        <f>IF($C3311="","",DATE(YEAR($C3311),MONTH($C3311),1))</f>
        <v/>
      </c>
      <c r="F3311">
        <f>IF($C3311="","",YEAR($C3311)&amp;"-Q"&amp;ROUNDUP(MONTH($C3311)/3,0))</f>
        <v/>
      </c>
      <c r="L3311">
        <f>IF($G3311&lt;&gt;"ALCOHOL","",IF($K3311="","",$H3311*IFERROR(VLOOKUP($K3311,Drink_Templates!$A:$G,7,FALSE),0)))</f>
        <v/>
      </c>
    </row>
    <row r="3312" ht="15" customHeight="1">
      <c r="C3312">
        <f>IF($B3312="","",INT($B3312))</f>
        <v/>
      </c>
      <c r="D3312">
        <f>IF($C3312="","",$C3312-WEEKDAY($C3312,2)+1)</f>
        <v/>
      </c>
      <c r="E3312">
        <f>IF($C3312="","",DATE(YEAR($C3312),MONTH($C3312),1))</f>
        <v/>
      </c>
      <c r="F3312">
        <f>IF($C3312="","",YEAR($C3312)&amp;"-Q"&amp;ROUNDUP(MONTH($C3312)/3,0))</f>
        <v/>
      </c>
      <c r="L3312">
        <f>IF($G3312&lt;&gt;"ALCOHOL","",IF($K3312="","",$H3312*IFERROR(VLOOKUP($K3312,Drink_Templates!$A:$G,7,FALSE),0)))</f>
        <v/>
      </c>
    </row>
    <row r="3313" ht="15" customHeight="1">
      <c r="C3313">
        <f>IF($B3313="","",INT($B3313))</f>
        <v/>
      </c>
      <c r="D3313">
        <f>IF($C3313="","",$C3313-WEEKDAY($C3313,2)+1)</f>
        <v/>
      </c>
      <c r="E3313">
        <f>IF($C3313="","",DATE(YEAR($C3313),MONTH($C3313),1))</f>
        <v/>
      </c>
      <c r="F3313">
        <f>IF($C3313="","",YEAR($C3313)&amp;"-Q"&amp;ROUNDUP(MONTH($C3313)/3,0))</f>
        <v/>
      </c>
      <c r="L3313">
        <f>IF($G3313&lt;&gt;"ALCOHOL","",IF($K3313="","",$H3313*IFERROR(VLOOKUP($K3313,Drink_Templates!$A:$G,7,FALSE),0)))</f>
        <v/>
      </c>
    </row>
    <row r="3314" ht="15" customHeight="1">
      <c r="C3314">
        <f>IF($B3314="","",INT($B3314))</f>
        <v/>
      </c>
      <c r="D3314">
        <f>IF($C3314="","",$C3314-WEEKDAY($C3314,2)+1)</f>
        <v/>
      </c>
      <c r="E3314">
        <f>IF($C3314="","",DATE(YEAR($C3314),MONTH($C3314),1))</f>
        <v/>
      </c>
      <c r="F3314">
        <f>IF($C3314="","",YEAR($C3314)&amp;"-Q"&amp;ROUNDUP(MONTH($C3314)/3,0))</f>
        <v/>
      </c>
      <c r="L3314">
        <f>IF($G3314&lt;&gt;"ALCOHOL","",IF($K3314="","",$H3314*IFERROR(VLOOKUP($K3314,Drink_Templates!$A:$G,7,FALSE),0)))</f>
        <v/>
      </c>
    </row>
    <row r="3315" ht="15" customHeight="1">
      <c r="C3315">
        <f>IF($B3315="","",INT($B3315))</f>
        <v/>
      </c>
      <c r="D3315">
        <f>IF($C3315="","",$C3315-WEEKDAY($C3315,2)+1)</f>
        <v/>
      </c>
      <c r="E3315">
        <f>IF($C3315="","",DATE(YEAR($C3315),MONTH($C3315),1))</f>
        <v/>
      </c>
      <c r="F3315">
        <f>IF($C3315="","",YEAR($C3315)&amp;"-Q"&amp;ROUNDUP(MONTH($C3315)/3,0))</f>
        <v/>
      </c>
      <c r="L3315">
        <f>IF($G3315&lt;&gt;"ALCOHOL","",IF($K3315="","",$H3315*IFERROR(VLOOKUP($K3315,Drink_Templates!$A:$G,7,FALSE),0)))</f>
        <v/>
      </c>
    </row>
    <row r="3316" ht="15" customHeight="1">
      <c r="C3316">
        <f>IF($B3316="","",INT($B3316))</f>
        <v/>
      </c>
      <c r="D3316">
        <f>IF($C3316="","",$C3316-WEEKDAY($C3316,2)+1)</f>
        <v/>
      </c>
      <c r="E3316">
        <f>IF($C3316="","",DATE(YEAR($C3316),MONTH($C3316),1))</f>
        <v/>
      </c>
      <c r="F3316">
        <f>IF($C3316="","",YEAR($C3316)&amp;"-Q"&amp;ROUNDUP(MONTH($C3316)/3,0))</f>
        <v/>
      </c>
      <c r="L3316">
        <f>IF($G3316&lt;&gt;"ALCOHOL","",IF($K3316="","",$H3316*IFERROR(VLOOKUP($K3316,Drink_Templates!$A:$G,7,FALSE),0)))</f>
        <v/>
      </c>
    </row>
    <row r="3317" ht="15" customHeight="1">
      <c r="C3317">
        <f>IF($B3317="","",INT($B3317))</f>
        <v/>
      </c>
      <c r="D3317">
        <f>IF($C3317="","",$C3317-WEEKDAY($C3317,2)+1)</f>
        <v/>
      </c>
      <c r="E3317">
        <f>IF($C3317="","",DATE(YEAR($C3317),MONTH($C3317),1))</f>
        <v/>
      </c>
      <c r="F3317">
        <f>IF($C3317="","",YEAR($C3317)&amp;"-Q"&amp;ROUNDUP(MONTH($C3317)/3,0))</f>
        <v/>
      </c>
      <c r="L3317">
        <f>IF($G3317&lt;&gt;"ALCOHOL","",IF($K3317="","",$H3317*IFERROR(VLOOKUP($K3317,Drink_Templates!$A:$G,7,FALSE),0)))</f>
        <v/>
      </c>
    </row>
    <row r="3318" ht="15" customHeight="1">
      <c r="C3318">
        <f>IF($B3318="","",INT($B3318))</f>
        <v/>
      </c>
      <c r="D3318">
        <f>IF($C3318="","",$C3318-WEEKDAY($C3318,2)+1)</f>
        <v/>
      </c>
      <c r="E3318">
        <f>IF($C3318="","",DATE(YEAR($C3318),MONTH($C3318),1))</f>
        <v/>
      </c>
      <c r="F3318">
        <f>IF($C3318="","",YEAR($C3318)&amp;"-Q"&amp;ROUNDUP(MONTH($C3318)/3,0))</f>
        <v/>
      </c>
      <c r="L3318">
        <f>IF($G3318&lt;&gt;"ALCOHOL","",IF($K3318="","",$H3318*IFERROR(VLOOKUP($K3318,Drink_Templates!$A:$G,7,FALSE),0)))</f>
        <v/>
      </c>
    </row>
    <row r="3319" ht="15" customHeight="1">
      <c r="C3319">
        <f>IF($B3319="","",INT($B3319))</f>
        <v/>
      </c>
      <c r="D3319">
        <f>IF($C3319="","",$C3319-WEEKDAY($C3319,2)+1)</f>
        <v/>
      </c>
      <c r="E3319">
        <f>IF($C3319="","",DATE(YEAR($C3319),MONTH($C3319),1))</f>
        <v/>
      </c>
      <c r="F3319">
        <f>IF($C3319="","",YEAR($C3319)&amp;"-Q"&amp;ROUNDUP(MONTH($C3319)/3,0))</f>
        <v/>
      </c>
      <c r="L3319">
        <f>IF($G3319&lt;&gt;"ALCOHOL","",IF($K3319="","",$H3319*IFERROR(VLOOKUP($K3319,Drink_Templates!$A:$G,7,FALSE),0)))</f>
        <v/>
      </c>
    </row>
    <row r="3320" ht="15" customHeight="1">
      <c r="C3320">
        <f>IF($B3320="","",INT($B3320))</f>
        <v/>
      </c>
      <c r="D3320">
        <f>IF($C3320="","",$C3320-WEEKDAY($C3320,2)+1)</f>
        <v/>
      </c>
      <c r="E3320">
        <f>IF($C3320="","",DATE(YEAR($C3320),MONTH($C3320),1))</f>
        <v/>
      </c>
      <c r="F3320">
        <f>IF($C3320="","",YEAR($C3320)&amp;"-Q"&amp;ROUNDUP(MONTH($C3320)/3,0))</f>
        <v/>
      </c>
      <c r="L3320">
        <f>IF($G3320&lt;&gt;"ALCOHOL","",IF($K3320="","",$H3320*IFERROR(VLOOKUP($K3320,Drink_Templates!$A:$G,7,FALSE),0)))</f>
        <v/>
      </c>
    </row>
    <row r="3321" ht="15" customHeight="1">
      <c r="C3321">
        <f>IF($B3321="","",INT($B3321))</f>
        <v/>
      </c>
      <c r="D3321">
        <f>IF($C3321="","",$C3321-WEEKDAY($C3321,2)+1)</f>
        <v/>
      </c>
      <c r="E3321">
        <f>IF($C3321="","",DATE(YEAR($C3321),MONTH($C3321),1))</f>
        <v/>
      </c>
      <c r="F3321">
        <f>IF($C3321="","",YEAR($C3321)&amp;"-Q"&amp;ROUNDUP(MONTH($C3321)/3,0))</f>
        <v/>
      </c>
      <c r="L3321">
        <f>IF($G3321&lt;&gt;"ALCOHOL","",IF($K3321="","",$H3321*IFERROR(VLOOKUP($K3321,Drink_Templates!$A:$G,7,FALSE),0)))</f>
        <v/>
      </c>
    </row>
    <row r="3322" ht="15" customHeight="1">
      <c r="C3322">
        <f>IF($B3322="","",INT($B3322))</f>
        <v/>
      </c>
      <c r="D3322">
        <f>IF($C3322="","",$C3322-WEEKDAY($C3322,2)+1)</f>
        <v/>
      </c>
      <c r="E3322">
        <f>IF($C3322="","",DATE(YEAR($C3322),MONTH($C3322),1))</f>
        <v/>
      </c>
      <c r="F3322">
        <f>IF($C3322="","",YEAR($C3322)&amp;"-Q"&amp;ROUNDUP(MONTH($C3322)/3,0))</f>
        <v/>
      </c>
      <c r="L3322">
        <f>IF($G3322&lt;&gt;"ALCOHOL","",IF($K3322="","",$H3322*IFERROR(VLOOKUP($K3322,Drink_Templates!$A:$G,7,FALSE),0)))</f>
        <v/>
      </c>
    </row>
    <row r="3323" ht="15" customHeight="1">
      <c r="C3323">
        <f>IF($B3323="","",INT($B3323))</f>
        <v/>
      </c>
      <c r="D3323">
        <f>IF($C3323="","",$C3323-WEEKDAY($C3323,2)+1)</f>
        <v/>
      </c>
      <c r="E3323">
        <f>IF($C3323="","",DATE(YEAR($C3323),MONTH($C3323),1))</f>
        <v/>
      </c>
      <c r="F3323">
        <f>IF($C3323="","",YEAR($C3323)&amp;"-Q"&amp;ROUNDUP(MONTH($C3323)/3,0))</f>
        <v/>
      </c>
      <c r="L3323">
        <f>IF($G3323&lt;&gt;"ALCOHOL","",IF($K3323="","",$H3323*IFERROR(VLOOKUP($K3323,Drink_Templates!$A:$G,7,FALSE),0)))</f>
        <v/>
      </c>
    </row>
    <row r="3324" ht="15" customHeight="1">
      <c r="C3324">
        <f>IF($B3324="","",INT($B3324))</f>
        <v/>
      </c>
      <c r="D3324">
        <f>IF($C3324="","",$C3324-WEEKDAY($C3324,2)+1)</f>
        <v/>
      </c>
      <c r="E3324">
        <f>IF($C3324="","",DATE(YEAR($C3324),MONTH($C3324),1))</f>
        <v/>
      </c>
      <c r="F3324">
        <f>IF($C3324="","",YEAR($C3324)&amp;"-Q"&amp;ROUNDUP(MONTH($C3324)/3,0))</f>
        <v/>
      </c>
      <c r="L3324">
        <f>IF($G3324&lt;&gt;"ALCOHOL","",IF($K3324="","",$H3324*IFERROR(VLOOKUP($K3324,Drink_Templates!$A:$G,7,FALSE),0)))</f>
        <v/>
      </c>
    </row>
    <row r="3325" ht="15" customHeight="1">
      <c r="C3325">
        <f>IF($B3325="","",INT($B3325))</f>
        <v/>
      </c>
      <c r="D3325">
        <f>IF($C3325="","",$C3325-WEEKDAY($C3325,2)+1)</f>
        <v/>
      </c>
      <c r="E3325">
        <f>IF($C3325="","",DATE(YEAR($C3325),MONTH($C3325),1))</f>
        <v/>
      </c>
      <c r="F3325">
        <f>IF($C3325="","",YEAR($C3325)&amp;"-Q"&amp;ROUNDUP(MONTH($C3325)/3,0))</f>
        <v/>
      </c>
      <c r="L3325">
        <f>IF($G3325&lt;&gt;"ALCOHOL","",IF($K3325="","",$H3325*IFERROR(VLOOKUP($K3325,Drink_Templates!$A:$G,7,FALSE),0)))</f>
        <v/>
      </c>
    </row>
    <row r="3326" ht="15" customHeight="1">
      <c r="C3326">
        <f>IF($B3326="","",INT($B3326))</f>
        <v/>
      </c>
      <c r="D3326">
        <f>IF($C3326="","",$C3326-WEEKDAY($C3326,2)+1)</f>
        <v/>
      </c>
      <c r="E3326">
        <f>IF($C3326="","",DATE(YEAR($C3326),MONTH($C3326),1))</f>
        <v/>
      </c>
      <c r="F3326">
        <f>IF($C3326="","",YEAR($C3326)&amp;"-Q"&amp;ROUNDUP(MONTH($C3326)/3,0))</f>
        <v/>
      </c>
      <c r="L3326">
        <f>IF($G3326&lt;&gt;"ALCOHOL","",IF($K3326="","",$H3326*IFERROR(VLOOKUP($K3326,Drink_Templates!$A:$G,7,FALSE),0)))</f>
        <v/>
      </c>
    </row>
    <row r="3327" ht="15" customHeight="1">
      <c r="C3327">
        <f>IF($B3327="","",INT($B3327))</f>
        <v/>
      </c>
      <c r="D3327">
        <f>IF($C3327="","",$C3327-WEEKDAY($C3327,2)+1)</f>
        <v/>
      </c>
      <c r="E3327">
        <f>IF($C3327="","",DATE(YEAR($C3327),MONTH($C3327),1))</f>
        <v/>
      </c>
      <c r="F3327">
        <f>IF($C3327="","",YEAR($C3327)&amp;"-Q"&amp;ROUNDUP(MONTH($C3327)/3,0))</f>
        <v/>
      </c>
      <c r="L3327">
        <f>IF($G3327&lt;&gt;"ALCOHOL","",IF($K3327="","",$H3327*IFERROR(VLOOKUP($K3327,Drink_Templates!$A:$G,7,FALSE),0)))</f>
        <v/>
      </c>
    </row>
    <row r="3328" ht="15" customHeight="1">
      <c r="C3328">
        <f>IF($B3328="","",INT($B3328))</f>
        <v/>
      </c>
      <c r="D3328">
        <f>IF($C3328="","",$C3328-WEEKDAY($C3328,2)+1)</f>
        <v/>
      </c>
      <c r="E3328">
        <f>IF($C3328="","",DATE(YEAR($C3328),MONTH($C3328),1))</f>
        <v/>
      </c>
      <c r="F3328">
        <f>IF($C3328="","",YEAR($C3328)&amp;"-Q"&amp;ROUNDUP(MONTH($C3328)/3,0))</f>
        <v/>
      </c>
      <c r="L3328">
        <f>IF($G3328&lt;&gt;"ALCOHOL","",IF($K3328="","",$H3328*IFERROR(VLOOKUP($K3328,Drink_Templates!$A:$G,7,FALSE),0)))</f>
        <v/>
      </c>
    </row>
    <row r="3329" ht="15" customHeight="1">
      <c r="C3329">
        <f>IF($B3329="","",INT($B3329))</f>
        <v/>
      </c>
      <c r="D3329">
        <f>IF($C3329="","",$C3329-WEEKDAY($C3329,2)+1)</f>
        <v/>
      </c>
      <c r="E3329">
        <f>IF($C3329="","",DATE(YEAR($C3329),MONTH($C3329),1))</f>
        <v/>
      </c>
      <c r="F3329">
        <f>IF($C3329="","",YEAR($C3329)&amp;"-Q"&amp;ROUNDUP(MONTH($C3329)/3,0))</f>
        <v/>
      </c>
      <c r="L3329">
        <f>IF($G3329&lt;&gt;"ALCOHOL","",IF($K3329="","",$H3329*IFERROR(VLOOKUP($K3329,Drink_Templates!$A:$G,7,FALSE),0)))</f>
        <v/>
      </c>
    </row>
    <row r="3330" ht="15" customHeight="1">
      <c r="C3330">
        <f>IF($B3330="","",INT($B3330))</f>
        <v/>
      </c>
      <c r="D3330">
        <f>IF($C3330="","",$C3330-WEEKDAY($C3330,2)+1)</f>
        <v/>
      </c>
      <c r="E3330">
        <f>IF($C3330="","",DATE(YEAR($C3330),MONTH($C3330),1))</f>
        <v/>
      </c>
      <c r="F3330">
        <f>IF($C3330="","",YEAR($C3330)&amp;"-Q"&amp;ROUNDUP(MONTH($C3330)/3,0))</f>
        <v/>
      </c>
      <c r="L3330">
        <f>IF($G3330&lt;&gt;"ALCOHOL","",IF($K3330="","",$H3330*IFERROR(VLOOKUP($K3330,Drink_Templates!$A:$G,7,FALSE),0)))</f>
        <v/>
      </c>
    </row>
    <row r="3331" ht="15" customHeight="1">
      <c r="C3331">
        <f>IF($B3331="","",INT($B3331))</f>
        <v/>
      </c>
      <c r="D3331">
        <f>IF($C3331="","",$C3331-WEEKDAY($C3331,2)+1)</f>
        <v/>
      </c>
      <c r="E3331">
        <f>IF($C3331="","",DATE(YEAR($C3331),MONTH($C3331),1))</f>
        <v/>
      </c>
      <c r="F3331">
        <f>IF($C3331="","",YEAR($C3331)&amp;"-Q"&amp;ROUNDUP(MONTH($C3331)/3,0))</f>
        <v/>
      </c>
      <c r="L3331">
        <f>IF($G3331&lt;&gt;"ALCOHOL","",IF($K3331="","",$H3331*IFERROR(VLOOKUP($K3331,Drink_Templates!$A:$G,7,FALSE),0)))</f>
        <v/>
      </c>
    </row>
    <row r="3332" ht="15" customHeight="1">
      <c r="C3332">
        <f>IF($B3332="","",INT($B3332))</f>
        <v/>
      </c>
      <c r="D3332">
        <f>IF($C3332="","",$C3332-WEEKDAY($C3332,2)+1)</f>
        <v/>
      </c>
      <c r="E3332">
        <f>IF($C3332="","",DATE(YEAR($C3332),MONTH($C3332),1))</f>
        <v/>
      </c>
      <c r="F3332">
        <f>IF($C3332="","",YEAR($C3332)&amp;"-Q"&amp;ROUNDUP(MONTH($C3332)/3,0))</f>
        <v/>
      </c>
      <c r="L3332">
        <f>IF($G3332&lt;&gt;"ALCOHOL","",IF($K3332="","",$H3332*IFERROR(VLOOKUP($K3332,Drink_Templates!$A:$G,7,FALSE),0)))</f>
        <v/>
      </c>
    </row>
    <row r="3333" ht="15" customHeight="1">
      <c r="C3333">
        <f>IF($B3333="","",INT($B3333))</f>
        <v/>
      </c>
      <c r="D3333">
        <f>IF($C3333="","",$C3333-WEEKDAY($C3333,2)+1)</f>
        <v/>
      </c>
      <c r="E3333">
        <f>IF($C3333="","",DATE(YEAR($C3333),MONTH($C3333),1))</f>
        <v/>
      </c>
      <c r="F3333">
        <f>IF($C3333="","",YEAR($C3333)&amp;"-Q"&amp;ROUNDUP(MONTH($C3333)/3,0))</f>
        <v/>
      </c>
      <c r="L3333">
        <f>IF($G3333&lt;&gt;"ALCOHOL","",IF($K3333="","",$H3333*IFERROR(VLOOKUP($K3333,Drink_Templates!$A:$G,7,FALSE),0)))</f>
        <v/>
      </c>
    </row>
    <row r="3334" ht="15" customHeight="1">
      <c r="C3334">
        <f>IF($B3334="","",INT($B3334))</f>
        <v/>
      </c>
      <c r="D3334">
        <f>IF($C3334="","",$C3334-WEEKDAY($C3334,2)+1)</f>
        <v/>
      </c>
      <c r="E3334">
        <f>IF($C3334="","",DATE(YEAR($C3334),MONTH($C3334),1))</f>
        <v/>
      </c>
      <c r="F3334">
        <f>IF($C3334="","",YEAR($C3334)&amp;"-Q"&amp;ROUNDUP(MONTH($C3334)/3,0))</f>
        <v/>
      </c>
      <c r="L3334">
        <f>IF($G3334&lt;&gt;"ALCOHOL","",IF($K3334="","",$H3334*IFERROR(VLOOKUP($K3334,Drink_Templates!$A:$G,7,FALSE),0)))</f>
        <v/>
      </c>
    </row>
    <row r="3335" ht="15" customHeight="1">
      <c r="C3335">
        <f>IF($B3335="","",INT($B3335))</f>
        <v/>
      </c>
      <c r="D3335">
        <f>IF($C3335="","",$C3335-WEEKDAY($C3335,2)+1)</f>
        <v/>
      </c>
      <c r="E3335">
        <f>IF($C3335="","",DATE(YEAR($C3335),MONTH($C3335),1))</f>
        <v/>
      </c>
      <c r="F3335">
        <f>IF($C3335="","",YEAR($C3335)&amp;"-Q"&amp;ROUNDUP(MONTH($C3335)/3,0))</f>
        <v/>
      </c>
      <c r="L3335">
        <f>IF($G3335&lt;&gt;"ALCOHOL","",IF($K3335="","",$H3335*IFERROR(VLOOKUP($K3335,Drink_Templates!$A:$G,7,FALSE),0)))</f>
        <v/>
      </c>
    </row>
    <row r="3336" ht="15" customHeight="1">
      <c r="C3336">
        <f>IF($B3336="","",INT($B3336))</f>
        <v/>
      </c>
      <c r="D3336">
        <f>IF($C3336="","",$C3336-WEEKDAY($C3336,2)+1)</f>
        <v/>
      </c>
      <c r="E3336">
        <f>IF($C3336="","",DATE(YEAR($C3336),MONTH($C3336),1))</f>
        <v/>
      </c>
      <c r="F3336">
        <f>IF($C3336="","",YEAR($C3336)&amp;"-Q"&amp;ROUNDUP(MONTH($C3336)/3,0))</f>
        <v/>
      </c>
      <c r="L3336">
        <f>IF($G3336&lt;&gt;"ALCOHOL","",IF($K3336="","",$H3336*IFERROR(VLOOKUP($K3336,Drink_Templates!$A:$G,7,FALSE),0)))</f>
        <v/>
      </c>
    </row>
    <row r="3337" ht="15" customHeight="1">
      <c r="C3337">
        <f>IF($B3337="","",INT($B3337))</f>
        <v/>
      </c>
      <c r="D3337">
        <f>IF($C3337="","",$C3337-WEEKDAY($C3337,2)+1)</f>
        <v/>
      </c>
      <c r="E3337">
        <f>IF($C3337="","",DATE(YEAR($C3337),MONTH($C3337),1))</f>
        <v/>
      </c>
      <c r="F3337">
        <f>IF($C3337="","",YEAR($C3337)&amp;"-Q"&amp;ROUNDUP(MONTH($C3337)/3,0))</f>
        <v/>
      </c>
      <c r="L3337">
        <f>IF($G3337&lt;&gt;"ALCOHOL","",IF($K3337="","",$H3337*IFERROR(VLOOKUP($K3337,Drink_Templates!$A:$G,7,FALSE),0)))</f>
        <v/>
      </c>
    </row>
    <row r="3338" ht="15" customHeight="1">
      <c r="C3338">
        <f>IF($B3338="","",INT($B3338))</f>
        <v/>
      </c>
      <c r="D3338">
        <f>IF($C3338="","",$C3338-WEEKDAY($C3338,2)+1)</f>
        <v/>
      </c>
      <c r="E3338">
        <f>IF($C3338="","",DATE(YEAR($C3338),MONTH($C3338),1))</f>
        <v/>
      </c>
      <c r="F3338">
        <f>IF($C3338="","",YEAR($C3338)&amp;"-Q"&amp;ROUNDUP(MONTH($C3338)/3,0))</f>
        <v/>
      </c>
      <c r="L3338">
        <f>IF($G3338&lt;&gt;"ALCOHOL","",IF($K3338="","",$H3338*IFERROR(VLOOKUP($K3338,Drink_Templates!$A:$G,7,FALSE),0)))</f>
        <v/>
      </c>
    </row>
    <row r="3339" ht="15" customHeight="1">
      <c r="C3339">
        <f>IF($B3339="","",INT($B3339))</f>
        <v/>
      </c>
      <c r="D3339">
        <f>IF($C3339="","",$C3339-WEEKDAY($C3339,2)+1)</f>
        <v/>
      </c>
      <c r="E3339">
        <f>IF($C3339="","",DATE(YEAR($C3339),MONTH($C3339),1))</f>
        <v/>
      </c>
      <c r="F3339">
        <f>IF($C3339="","",YEAR($C3339)&amp;"-Q"&amp;ROUNDUP(MONTH($C3339)/3,0))</f>
        <v/>
      </c>
      <c r="L3339">
        <f>IF($G3339&lt;&gt;"ALCOHOL","",IF($K3339="","",$H3339*IFERROR(VLOOKUP($K3339,Drink_Templates!$A:$G,7,FALSE),0)))</f>
        <v/>
      </c>
    </row>
    <row r="3340" ht="15" customHeight="1">
      <c r="C3340">
        <f>IF($B3340="","",INT($B3340))</f>
        <v/>
      </c>
      <c r="D3340">
        <f>IF($C3340="","",$C3340-WEEKDAY($C3340,2)+1)</f>
        <v/>
      </c>
      <c r="E3340">
        <f>IF($C3340="","",DATE(YEAR($C3340),MONTH($C3340),1))</f>
        <v/>
      </c>
      <c r="F3340">
        <f>IF($C3340="","",YEAR($C3340)&amp;"-Q"&amp;ROUNDUP(MONTH($C3340)/3,0))</f>
        <v/>
      </c>
      <c r="L3340">
        <f>IF($G3340&lt;&gt;"ALCOHOL","",IF($K3340="","",$H3340*IFERROR(VLOOKUP($K3340,Drink_Templates!$A:$G,7,FALSE),0)))</f>
        <v/>
      </c>
    </row>
    <row r="3341" ht="15" customHeight="1">
      <c r="C3341">
        <f>IF($B3341="","",INT($B3341))</f>
        <v/>
      </c>
      <c r="D3341">
        <f>IF($C3341="","",$C3341-WEEKDAY($C3341,2)+1)</f>
        <v/>
      </c>
      <c r="E3341">
        <f>IF($C3341="","",DATE(YEAR($C3341),MONTH($C3341),1))</f>
        <v/>
      </c>
      <c r="F3341">
        <f>IF($C3341="","",YEAR($C3341)&amp;"-Q"&amp;ROUNDUP(MONTH($C3341)/3,0))</f>
        <v/>
      </c>
      <c r="L3341">
        <f>IF($G3341&lt;&gt;"ALCOHOL","",IF($K3341="","",$H3341*IFERROR(VLOOKUP($K3341,Drink_Templates!$A:$G,7,FALSE),0)))</f>
        <v/>
      </c>
    </row>
    <row r="3342" ht="15" customHeight="1">
      <c r="C3342">
        <f>IF($B3342="","",INT($B3342))</f>
        <v/>
      </c>
      <c r="D3342">
        <f>IF($C3342="","",$C3342-WEEKDAY($C3342,2)+1)</f>
        <v/>
      </c>
      <c r="E3342">
        <f>IF($C3342="","",DATE(YEAR($C3342),MONTH($C3342),1))</f>
        <v/>
      </c>
      <c r="F3342">
        <f>IF($C3342="","",YEAR($C3342)&amp;"-Q"&amp;ROUNDUP(MONTH($C3342)/3,0))</f>
        <v/>
      </c>
      <c r="L3342">
        <f>IF($G3342&lt;&gt;"ALCOHOL","",IF($K3342="","",$H3342*IFERROR(VLOOKUP($K3342,Drink_Templates!$A:$G,7,FALSE),0)))</f>
        <v/>
      </c>
    </row>
    <row r="3343" ht="15" customHeight="1">
      <c r="C3343">
        <f>IF($B3343="","",INT($B3343))</f>
        <v/>
      </c>
      <c r="D3343">
        <f>IF($C3343="","",$C3343-WEEKDAY($C3343,2)+1)</f>
        <v/>
      </c>
      <c r="E3343">
        <f>IF($C3343="","",DATE(YEAR($C3343),MONTH($C3343),1))</f>
        <v/>
      </c>
      <c r="F3343">
        <f>IF($C3343="","",YEAR($C3343)&amp;"-Q"&amp;ROUNDUP(MONTH($C3343)/3,0))</f>
        <v/>
      </c>
      <c r="L3343">
        <f>IF($G3343&lt;&gt;"ALCOHOL","",IF($K3343="","",$H3343*IFERROR(VLOOKUP($K3343,Drink_Templates!$A:$G,7,FALSE),0)))</f>
        <v/>
      </c>
    </row>
    <row r="3344" ht="15" customHeight="1">
      <c r="C3344">
        <f>IF($B3344="","",INT($B3344))</f>
        <v/>
      </c>
      <c r="D3344">
        <f>IF($C3344="","",$C3344-WEEKDAY($C3344,2)+1)</f>
        <v/>
      </c>
      <c r="E3344">
        <f>IF($C3344="","",DATE(YEAR($C3344),MONTH($C3344),1))</f>
        <v/>
      </c>
      <c r="F3344">
        <f>IF($C3344="","",YEAR($C3344)&amp;"-Q"&amp;ROUNDUP(MONTH($C3344)/3,0))</f>
        <v/>
      </c>
      <c r="L3344">
        <f>IF($G3344&lt;&gt;"ALCOHOL","",IF($K3344="","",$H3344*IFERROR(VLOOKUP($K3344,Drink_Templates!$A:$G,7,FALSE),0)))</f>
        <v/>
      </c>
    </row>
    <row r="3345" ht="15" customHeight="1">
      <c r="C3345">
        <f>IF($B3345="","",INT($B3345))</f>
        <v/>
      </c>
      <c r="D3345">
        <f>IF($C3345="","",$C3345-WEEKDAY($C3345,2)+1)</f>
        <v/>
      </c>
      <c r="E3345">
        <f>IF($C3345="","",DATE(YEAR($C3345),MONTH($C3345),1))</f>
        <v/>
      </c>
      <c r="F3345">
        <f>IF($C3345="","",YEAR($C3345)&amp;"-Q"&amp;ROUNDUP(MONTH($C3345)/3,0))</f>
        <v/>
      </c>
      <c r="L3345">
        <f>IF($G3345&lt;&gt;"ALCOHOL","",IF($K3345="","",$H3345*IFERROR(VLOOKUP($K3345,Drink_Templates!$A:$G,7,FALSE),0)))</f>
        <v/>
      </c>
    </row>
    <row r="3346" ht="15" customHeight="1">
      <c r="C3346">
        <f>IF($B3346="","",INT($B3346))</f>
        <v/>
      </c>
      <c r="D3346">
        <f>IF($C3346="","",$C3346-WEEKDAY($C3346,2)+1)</f>
        <v/>
      </c>
      <c r="E3346">
        <f>IF($C3346="","",DATE(YEAR($C3346),MONTH($C3346),1))</f>
        <v/>
      </c>
      <c r="F3346">
        <f>IF($C3346="","",YEAR($C3346)&amp;"-Q"&amp;ROUNDUP(MONTH($C3346)/3,0))</f>
        <v/>
      </c>
      <c r="L3346">
        <f>IF($G3346&lt;&gt;"ALCOHOL","",IF($K3346="","",$H3346*IFERROR(VLOOKUP($K3346,Drink_Templates!$A:$G,7,FALSE),0)))</f>
        <v/>
      </c>
    </row>
    <row r="3347" ht="15" customHeight="1">
      <c r="C3347">
        <f>IF($B3347="","",INT($B3347))</f>
        <v/>
      </c>
      <c r="D3347">
        <f>IF($C3347="","",$C3347-WEEKDAY($C3347,2)+1)</f>
        <v/>
      </c>
      <c r="E3347">
        <f>IF($C3347="","",DATE(YEAR($C3347),MONTH($C3347),1))</f>
        <v/>
      </c>
      <c r="F3347">
        <f>IF($C3347="","",YEAR($C3347)&amp;"-Q"&amp;ROUNDUP(MONTH($C3347)/3,0))</f>
        <v/>
      </c>
      <c r="L3347">
        <f>IF($G3347&lt;&gt;"ALCOHOL","",IF($K3347="","",$H3347*IFERROR(VLOOKUP($K3347,Drink_Templates!$A:$G,7,FALSE),0)))</f>
        <v/>
      </c>
    </row>
    <row r="3348" ht="15" customHeight="1">
      <c r="C3348">
        <f>IF($B3348="","",INT($B3348))</f>
        <v/>
      </c>
      <c r="D3348">
        <f>IF($C3348="","",$C3348-WEEKDAY($C3348,2)+1)</f>
        <v/>
      </c>
      <c r="E3348">
        <f>IF($C3348="","",DATE(YEAR($C3348),MONTH($C3348),1))</f>
        <v/>
      </c>
      <c r="F3348">
        <f>IF($C3348="","",YEAR($C3348)&amp;"-Q"&amp;ROUNDUP(MONTH($C3348)/3,0))</f>
        <v/>
      </c>
      <c r="L3348">
        <f>IF($G3348&lt;&gt;"ALCOHOL","",IF($K3348="","",$H3348*IFERROR(VLOOKUP($K3348,Drink_Templates!$A:$G,7,FALSE),0)))</f>
        <v/>
      </c>
    </row>
    <row r="3349" ht="15" customHeight="1">
      <c r="C3349">
        <f>IF($B3349="","",INT($B3349))</f>
        <v/>
      </c>
      <c r="D3349">
        <f>IF($C3349="","",$C3349-WEEKDAY($C3349,2)+1)</f>
        <v/>
      </c>
      <c r="E3349">
        <f>IF($C3349="","",DATE(YEAR($C3349),MONTH($C3349),1))</f>
        <v/>
      </c>
      <c r="F3349">
        <f>IF($C3349="","",YEAR($C3349)&amp;"-Q"&amp;ROUNDUP(MONTH($C3349)/3,0))</f>
        <v/>
      </c>
      <c r="L3349">
        <f>IF($G3349&lt;&gt;"ALCOHOL","",IF($K3349="","",$H3349*IFERROR(VLOOKUP($K3349,Drink_Templates!$A:$G,7,FALSE),0)))</f>
        <v/>
      </c>
    </row>
    <row r="3350" ht="15" customHeight="1">
      <c r="C3350">
        <f>IF($B3350="","",INT($B3350))</f>
        <v/>
      </c>
      <c r="D3350">
        <f>IF($C3350="","",$C3350-WEEKDAY($C3350,2)+1)</f>
        <v/>
      </c>
      <c r="E3350">
        <f>IF($C3350="","",DATE(YEAR($C3350),MONTH($C3350),1))</f>
        <v/>
      </c>
      <c r="F3350">
        <f>IF($C3350="","",YEAR($C3350)&amp;"-Q"&amp;ROUNDUP(MONTH($C3350)/3,0))</f>
        <v/>
      </c>
      <c r="L3350">
        <f>IF($G3350&lt;&gt;"ALCOHOL","",IF($K3350="","",$H3350*IFERROR(VLOOKUP($K3350,Drink_Templates!$A:$G,7,FALSE),0)))</f>
        <v/>
      </c>
    </row>
    <row r="3351" ht="15" customHeight="1">
      <c r="C3351">
        <f>IF($B3351="","",INT($B3351))</f>
        <v/>
      </c>
      <c r="D3351">
        <f>IF($C3351="","",$C3351-WEEKDAY($C3351,2)+1)</f>
        <v/>
      </c>
      <c r="E3351">
        <f>IF($C3351="","",DATE(YEAR($C3351),MONTH($C3351),1))</f>
        <v/>
      </c>
      <c r="F3351">
        <f>IF($C3351="","",YEAR($C3351)&amp;"-Q"&amp;ROUNDUP(MONTH($C3351)/3,0))</f>
        <v/>
      </c>
      <c r="L3351">
        <f>IF($G3351&lt;&gt;"ALCOHOL","",IF($K3351="","",$H3351*IFERROR(VLOOKUP($K3351,Drink_Templates!$A:$G,7,FALSE),0)))</f>
        <v/>
      </c>
    </row>
    <row r="3352" ht="15" customHeight="1">
      <c r="C3352">
        <f>IF($B3352="","",INT($B3352))</f>
        <v/>
      </c>
      <c r="D3352">
        <f>IF($C3352="","",$C3352-WEEKDAY($C3352,2)+1)</f>
        <v/>
      </c>
      <c r="E3352">
        <f>IF($C3352="","",DATE(YEAR($C3352),MONTH($C3352),1))</f>
        <v/>
      </c>
      <c r="F3352">
        <f>IF($C3352="","",YEAR($C3352)&amp;"-Q"&amp;ROUNDUP(MONTH($C3352)/3,0))</f>
        <v/>
      </c>
      <c r="L3352">
        <f>IF($G3352&lt;&gt;"ALCOHOL","",IF($K3352="","",$H3352*IFERROR(VLOOKUP($K3352,Drink_Templates!$A:$G,7,FALSE),0)))</f>
        <v/>
      </c>
    </row>
    <row r="3353" ht="15" customHeight="1">
      <c r="C3353">
        <f>IF($B3353="","",INT($B3353))</f>
        <v/>
      </c>
      <c r="D3353">
        <f>IF($C3353="","",$C3353-WEEKDAY($C3353,2)+1)</f>
        <v/>
      </c>
      <c r="E3353">
        <f>IF($C3353="","",DATE(YEAR($C3353),MONTH($C3353),1))</f>
        <v/>
      </c>
      <c r="F3353">
        <f>IF($C3353="","",YEAR($C3353)&amp;"-Q"&amp;ROUNDUP(MONTH($C3353)/3,0))</f>
        <v/>
      </c>
      <c r="L3353">
        <f>IF($G3353&lt;&gt;"ALCOHOL","",IF($K3353="","",$H3353*IFERROR(VLOOKUP($K3353,Drink_Templates!$A:$G,7,FALSE),0)))</f>
        <v/>
      </c>
    </row>
    <row r="3354" ht="15" customHeight="1">
      <c r="C3354">
        <f>IF($B3354="","",INT($B3354))</f>
        <v/>
      </c>
      <c r="D3354">
        <f>IF($C3354="","",$C3354-WEEKDAY($C3354,2)+1)</f>
        <v/>
      </c>
      <c r="E3354">
        <f>IF($C3354="","",DATE(YEAR($C3354),MONTH($C3354),1))</f>
        <v/>
      </c>
      <c r="F3354">
        <f>IF($C3354="","",YEAR($C3354)&amp;"-Q"&amp;ROUNDUP(MONTH($C3354)/3,0))</f>
        <v/>
      </c>
      <c r="L3354">
        <f>IF($G3354&lt;&gt;"ALCOHOL","",IF($K3354="","",$H3354*IFERROR(VLOOKUP($K3354,Drink_Templates!$A:$G,7,FALSE),0)))</f>
        <v/>
      </c>
    </row>
    <row r="3355" ht="15" customHeight="1">
      <c r="C3355">
        <f>IF($B3355="","",INT($B3355))</f>
        <v/>
      </c>
      <c r="D3355">
        <f>IF($C3355="","",$C3355-WEEKDAY($C3355,2)+1)</f>
        <v/>
      </c>
      <c r="E3355">
        <f>IF($C3355="","",DATE(YEAR($C3355),MONTH($C3355),1))</f>
        <v/>
      </c>
      <c r="F3355">
        <f>IF($C3355="","",YEAR($C3355)&amp;"-Q"&amp;ROUNDUP(MONTH($C3355)/3,0))</f>
        <v/>
      </c>
      <c r="L3355">
        <f>IF($G3355&lt;&gt;"ALCOHOL","",IF($K3355="","",$H3355*IFERROR(VLOOKUP($K3355,Drink_Templates!$A:$G,7,FALSE),0)))</f>
        <v/>
      </c>
    </row>
    <row r="3356" ht="15" customHeight="1">
      <c r="C3356">
        <f>IF($B3356="","",INT($B3356))</f>
        <v/>
      </c>
      <c r="D3356">
        <f>IF($C3356="","",$C3356-WEEKDAY($C3356,2)+1)</f>
        <v/>
      </c>
      <c r="E3356">
        <f>IF($C3356="","",DATE(YEAR($C3356),MONTH($C3356),1))</f>
        <v/>
      </c>
      <c r="F3356">
        <f>IF($C3356="","",YEAR($C3356)&amp;"-Q"&amp;ROUNDUP(MONTH($C3356)/3,0))</f>
        <v/>
      </c>
      <c r="L3356">
        <f>IF($G3356&lt;&gt;"ALCOHOL","",IF($K3356="","",$H3356*IFERROR(VLOOKUP($K3356,Drink_Templates!$A:$G,7,FALSE),0)))</f>
        <v/>
      </c>
    </row>
    <row r="3357" ht="15" customHeight="1">
      <c r="C3357">
        <f>IF($B3357="","",INT($B3357))</f>
        <v/>
      </c>
      <c r="D3357">
        <f>IF($C3357="","",$C3357-WEEKDAY($C3357,2)+1)</f>
        <v/>
      </c>
      <c r="E3357">
        <f>IF($C3357="","",DATE(YEAR($C3357),MONTH($C3357),1))</f>
        <v/>
      </c>
      <c r="F3357">
        <f>IF($C3357="","",YEAR($C3357)&amp;"-Q"&amp;ROUNDUP(MONTH($C3357)/3,0))</f>
        <v/>
      </c>
      <c r="L3357">
        <f>IF($G3357&lt;&gt;"ALCOHOL","",IF($K3357="","",$H3357*IFERROR(VLOOKUP($K3357,Drink_Templates!$A:$G,7,FALSE),0)))</f>
        <v/>
      </c>
    </row>
    <row r="3358" ht="15" customHeight="1">
      <c r="C3358">
        <f>IF($B3358="","",INT($B3358))</f>
        <v/>
      </c>
      <c r="D3358">
        <f>IF($C3358="","",$C3358-WEEKDAY($C3358,2)+1)</f>
        <v/>
      </c>
      <c r="E3358">
        <f>IF($C3358="","",DATE(YEAR($C3358),MONTH($C3358),1))</f>
        <v/>
      </c>
      <c r="F3358">
        <f>IF($C3358="","",YEAR($C3358)&amp;"-Q"&amp;ROUNDUP(MONTH($C3358)/3,0))</f>
        <v/>
      </c>
      <c r="L3358">
        <f>IF($G3358&lt;&gt;"ALCOHOL","",IF($K3358="","",$H3358*IFERROR(VLOOKUP($K3358,Drink_Templates!$A:$G,7,FALSE),0)))</f>
        <v/>
      </c>
    </row>
    <row r="3359" ht="15" customHeight="1">
      <c r="C3359">
        <f>IF($B3359="","",INT($B3359))</f>
        <v/>
      </c>
      <c r="D3359">
        <f>IF($C3359="","",$C3359-WEEKDAY($C3359,2)+1)</f>
        <v/>
      </c>
      <c r="E3359">
        <f>IF($C3359="","",DATE(YEAR($C3359),MONTH($C3359),1))</f>
        <v/>
      </c>
      <c r="F3359">
        <f>IF($C3359="","",YEAR($C3359)&amp;"-Q"&amp;ROUNDUP(MONTH($C3359)/3,0))</f>
        <v/>
      </c>
      <c r="L3359">
        <f>IF($G3359&lt;&gt;"ALCOHOL","",IF($K3359="","",$H3359*IFERROR(VLOOKUP($K3359,Drink_Templates!$A:$G,7,FALSE),0)))</f>
        <v/>
      </c>
    </row>
    <row r="3360" ht="15" customHeight="1">
      <c r="C3360">
        <f>IF($B3360="","",INT($B3360))</f>
        <v/>
      </c>
      <c r="D3360">
        <f>IF($C3360="","",$C3360-WEEKDAY($C3360,2)+1)</f>
        <v/>
      </c>
      <c r="E3360">
        <f>IF($C3360="","",DATE(YEAR($C3360),MONTH($C3360),1))</f>
        <v/>
      </c>
      <c r="F3360">
        <f>IF($C3360="","",YEAR($C3360)&amp;"-Q"&amp;ROUNDUP(MONTH($C3360)/3,0))</f>
        <v/>
      </c>
      <c r="L3360">
        <f>IF($G3360&lt;&gt;"ALCOHOL","",IF($K3360="","",$H3360*IFERROR(VLOOKUP($K3360,Drink_Templates!$A:$G,7,FALSE),0)))</f>
        <v/>
      </c>
    </row>
    <row r="3361" ht="15" customHeight="1">
      <c r="C3361">
        <f>IF($B3361="","",INT($B3361))</f>
        <v/>
      </c>
      <c r="D3361">
        <f>IF($C3361="","",$C3361-WEEKDAY($C3361,2)+1)</f>
        <v/>
      </c>
      <c r="E3361">
        <f>IF($C3361="","",DATE(YEAR($C3361),MONTH($C3361),1))</f>
        <v/>
      </c>
      <c r="F3361">
        <f>IF($C3361="","",YEAR($C3361)&amp;"-Q"&amp;ROUNDUP(MONTH($C3361)/3,0))</f>
        <v/>
      </c>
      <c r="L3361">
        <f>IF($G3361&lt;&gt;"ALCOHOL","",IF($K3361="","",$H3361*IFERROR(VLOOKUP($K3361,Drink_Templates!$A:$G,7,FALSE),0)))</f>
        <v/>
      </c>
    </row>
    <row r="3362" ht="15" customHeight="1">
      <c r="C3362">
        <f>IF($B3362="","",INT($B3362))</f>
        <v/>
      </c>
      <c r="D3362">
        <f>IF($C3362="","",$C3362-WEEKDAY($C3362,2)+1)</f>
        <v/>
      </c>
      <c r="E3362">
        <f>IF($C3362="","",DATE(YEAR($C3362),MONTH($C3362),1))</f>
        <v/>
      </c>
      <c r="F3362">
        <f>IF($C3362="","",YEAR($C3362)&amp;"-Q"&amp;ROUNDUP(MONTH($C3362)/3,0))</f>
        <v/>
      </c>
      <c r="L3362">
        <f>IF($G3362&lt;&gt;"ALCOHOL","",IF($K3362="","",$H3362*IFERROR(VLOOKUP($K3362,Drink_Templates!$A:$G,7,FALSE),0)))</f>
        <v/>
      </c>
    </row>
    <row r="3363" ht="15" customHeight="1">
      <c r="C3363">
        <f>IF($B3363="","",INT($B3363))</f>
        <v/>
      </c>
      <c r="D3363">
        <f>IF($C3363="","",$C3363-WEEKDAY($C3363,2)+1)</f>
        <v/>
      </c>
      <c r="E3363">
        <f>IF($C3363="","",DATE(YEAR($C3363),MONTH($C3363),1))</f>
        <v/>
      </c>
      <c r="F3363">
        <f>IF($C3363="","",YEAR($C3363)&amp;"-Q"&amp;ROUNDUP(MONTH($C3363)/3,0))</f>
        <v/>
      </c>
      <c r="L3363">
        <f>IF($G3363&lt;&gt;"ALCOHOL","",IF($K3363="","",$H3363*IFERROR(VLOOKUP($K3363,Drink_Templates!$A:$G,7,FALSE),0)))</f>
        <v/>
      </c>
    </row>
    <row r="3364" ht="15" customHeight="1">
      <c r="C3364">
        <f>IF($B3364="","",INT($B3364))</f>
        <v/>
      </c>
      <c r="D3364">
        <f>IF($C3364="","",$C3364-WEEKDAY($C3364,2)+1)</f>
        <v/>
      </c>
      <c r="E3364">
        <f>IF($C3364="","",DATE(YEAR($C3364),MONTH($C3364),1))</f>
        <v/>
      </c>
      <c r="F3364">
        <f>IF($C3364="","",YEAR($C3364)&amp;"-Q"&amp;ROUNDUP(MONTH($C3364)/3,0))</f>
        <v/>
      </c>
      <c r="L3364">
        <f>IF($G3364&lt;&gt;"ALCOHOL","",IF($K3364="","",$H3364*IFERROR(VLOOKUP($K3364,Drink_Templates!$A:$G,7,FALSE),0)))</f>
        <v/>
      </c>
    </row>
    <row r="3365" ht="15" customHeight="1">
      <c r="C3365">
        <f>IF($B3365="","",INT($B3365))</f>
        <v/>
      </c>
      <c r="D3365">
        <f>IF($C3365="","",$C3365-WEEKDAY($C3365,2)+1)</f>
        <v/>
      </c>
      <c r="E3365">
        <f>IF($C3365="","",DATE(YEAR($C3365),MONTH($C3365),1))</f>
        <v/>
      </c>
      <c r="F3365">
        <f>IF($C3365="","",YEAR($C3365)&amp;"-Q"&amp;ROUNDUP(MONTH($C3365)/3,0))</f>
        <v/>
      </c>
      <c r="L3365">
        <f>IF($G3365&lt;&gt;"ALCOHOL","",IF($K3365="","",$H3365*IFERROR(VLOOKUP($K3365,Drink_Templates!$A:$G,7,FALSE),0)))</f>
        <v/>
      </c>
    </row>
    <row r="3366" ht="15" customHeight="1">
      <c r="C3366">
        <f>IF($B3366="","",INT($B3366))</f>
        <v/>
      </c>
      <c r="D3366">
        <f>IF($C3366="","",$C3366-WEEKDAY($C3366,2)+1)</f>
        <v/>
      </c>
      <c r="E3366">
        <f>IF($C3366="","",DATE(YEAR($C3366),MONTH($C3366),1))</f>
        <v/>
      </c>
      <c r="F3366">
        <f>IF($C3366="","",YEAR($C3366)&amp;"-Q"&amp;ROUNDUP(MONTH($C3366)/3,0))</f>
        <v/>
      </c>
      <c r="L3366">
        <f>IF($G3366&lt;&gt;"ALCOHOL","",IF($K3366="","",$H3366*IFERROR(VLOOKUP($K3366,Drink_Templates!$A:$G,7,FALSE),0)))</f>
        <v/>
      </c>
    </row>
    <row r="3367" ht="15" customHeight="1">
      <c r="C3367">
        <f>IF($B3367="","",INT($B3367))</f>
        <v/>
      </c>
      <c r="D3367">
        <f>IF($C3367="","",$C3367-WEEKDAY($C3367,2)+1)</f>
        <v/>
      </c>
      <c r="E3367">
        <f>IF($C3367="","",DATE(YEAR($C3367),MONTH($C3367),1))</f>
        <v/>
      </c>
      <c r="F3367">
        <f>IF($C3367="","",YEAR($C3367)&amp;"-Q"&amp;ROUNDUP(MONTH($C3367)/3,0))</f>
        <v/>
      </c>
      <c r="L3367">
        <f>IF($G3367&lt;&gt;"ALCOHOL","",IF($K3367="","",$H3367*IFERROR(VLOOKUP($K3367,Drink_Templates!$A:$G,7,FALSE),0)))</f>
        <v/>
      </c>
    </row>
    <row r="3368" ht="15" customHeight="1">
      <c r="C3368">
        <f>IF($B3368="","",INT($B3368))</f>
        <v/>
      </c>
      <c r="D3368">
        <f>IF($C3368="","",$C3368-WEEKDAY($C3368,2)+1)</f>
        <v/>
      </c>
      <c r="E3368">
        <f>IF($C3368="","",DATE(YEAR($C3368),MONTH($C3368),1))</f>
        <v/>
      </c>
      <c r="F3368">
        <f>IF($C3368="","",YEAR($C3368)&amp;"-Q"&amp;ROUNDUP(MONTH($C3368)/3,0))</f>
        <v/>
      </c>
      <c r="L3368">
        <f>IF($G3368&lt;&gt;"ALCOHOL","",IF($K3368="","",$H3368*IFERROR(VLOOKUP($K3368,Drink_Templates!$A:$G,7,FALSE),0)))</f>
        <v/>
      </c>
    </row>
    <row r="3369" ht="15" customHeight="1">
      <c r="C3369">
        <f>IF($B3369="","",INT($B3369))</f>
        <v/>
      </c>
      <c r="D3369">
        <f>IF($C3369="","",$C3369-WEEKDAY($C3369,2)+1)</f>
        <v/>
      </c>
      <c r="E3369">
        <f>IF($C3369="","",DATE(YEAR($C3369),MONTH($C3369),1))</f>
        <v/>
      </c>
      <c r="F3369">
        <f>IF($C3369="","",YEAR($C3369)&amp;"-Q"&amp;ROUNDUP(MONTH($C3369)/3,0))</f>
        <v/>
      </c>
      <c r="L3369">
        <f>IF($G3369&lt;&gt;"ALCOHOL","",IF($K3369="","",$H3369*IFERROR(VLOOKUP($K3369,Drink_Templates!$A:$G,7,FALSE),0)))</f>
        <v/>
      </c>
    </row>
    <row r="3370" ht="15" customHeight="1">
      <c r="C3370">
        <f>IF($B3370="","",INT($B3370))</f>
        <v/>
      </c>
      <c r="D3370">
        <f>IF($C3370="","",$C3370-WEEKDAY($C3370,2)+1)</f>
        <v/>
      </c>
      <c r="E3370">
        <f>IF($C3370="","",DATE(YEAR($C3370),MONTH($C3370),1))</f>
        <v/>
      </c>
      <c r="F3370">
        <f>IF($C3370="","",YEAR($C3370)&amp;"-Q"&amp;ROUNDUP(MONTH($C3370)/3,0))</f>
        <v/>
      </c>
      <c r="L3370">
        <f>IF($G3370&lt;&gt;"ALCOHOL","",IF($K3370="","",$H3370*IFERROR(VLOOKUP($K3370,Drink_Templates!$A:$G,7,FALSE),0)))</f>
        <v/>
      </c>
    </row>
    <row r="3371" ht="15" customHeight="1">
      <c r="C3371">
        <f>IF($B3371="","",INT($B3371))</f>
        <v/>
      </c>
      <c r="D3371">
        <f>IF($C3371="","",$C3371-WEEKDAY($C3371,2)+1)</f>
        <v/>
      </c>
      <c r="E3371">
        <f>IF($C3371="","",DATE(YEAR($C3371),MONTH($C3371),1))</f>
        <v/>
      </c>
      <c r="F3371">
        <f>IF($C3371="","",YEAR($C3371)&amp;"-Q"&amp;ROUNDUP(MONTH($C3371)/3,0))</f>
        <v/>
      </c>
      <c r="L3371">
        <f>IF($G3371&lt;&gt;"ALCOHOL","",IF($K3371="","",$H3371*IFERROR(VLOOKUP($K3371,Drink_Templates!$A:$G,7,FALSE),0)))</f>
        <v/>
      </c>
    </row>
    <row r="3372" ht="15" customHeight="1">
      <c r="C3372">
        <f>IF($B3372="","",INT($B3372))</f>
        <v/>
      </c>
      <c r="D3372">
        <f>IF($C3372="","",$C3372-WEEKDAY($C3372,2)+1)</f>
        <v/>
      </c>
      <c r="E3372">
        <f>IF($C3372="","",DATE(YEAR($C3372),MONTH($C3372),1))</f>
        <v/>
      </c>
      <c r="F3372">
        <f>IF($C3372="","",YEAR($C3372)&amp;"-Q"&amp;ROUNDUP(MONTH($C3372)/3,0))</f>
        <v/>
      </c>
      <c r="L3372">
        <f>IF($G3372&lt;&gt;"ALCOHOL","",IF($K3372="","",$H3372*IFERROR(VLOOKUP($K3372,Drink_Templates!$A:$G,7,FALSE),0)))</f>
        <v/>
      </c>
    </row>
    <row r="3373" ht="15" customHeight="1">
      <c r="C3373">
        <f>IF($B3373="","",INT($B3373))</f>
        <v/>
      </c>
      <c r="D3373">
        <f>IF($C3373="","",$C3373-WEEKDAY($C3373,2)+1)</f>
        <v/>
      </c>
      <c r="E3373">
        <f>IF($C3373="","",DATE(YEAR($C3373),MONTH($C3373),1))</f>
        <v/>
      </c>
      <c r="F3373">
        <f>IF($C3373="","",YEAR($C3373)&amp;"-Q"&amp;ROUNDUP(MONTH($C3373)/3,0))</f>
        <v/>
      </c>
      <c r="L3373">
        <f>IF($G3373&lt;&gt;"ALCOHOL","",IF($K3373="","",$H3373*IFERROR(VLOOKUP($K3373,Drink_Templates!$A:$G,7,FALSE),0)))</f>
        <v/>
      </c>
    </row>
    <row r="3374" ht="15" customHeight="1">
      <c r="C3374">
        <f>IF($B3374="","",INT($B3374))</f>
        <v/>
      </c>
      <c r="D3374">
        <f>IF($C3374="","",$C3374-WEEKDAY($C3374,2)+1)</f>
        <v/>
      </c>
      <c r="E3374">
        <f>IF($C3374="","",DATE(YEAR($C3374),MONTH($C3374),1))</f>
        <v/>
      </c>
      <c r="F3374">
        <f>IF($C3374="","",YEAR($C3374)&amp;"-Q"&amp;ROUNDUP(MONTH($C3374)/3,0))</f>
        <v/>
      </c>
      <c r="L3374">
        <f>IF($G3374&lt;&gt;"ALCOHOL","",IF($K3374="","",$H3374*IFERROR(VLOOKUP($K3374,Drink_Templates!$A:$G,7,FALSE),0)))</f>
        <v/>
      </c>
    </row>
    <row r="3375" ht="15" customHeight="1">
      <c r="C3375">
        <f>IF($B3375="","",INT($B3375))</f>
        <v/>
      </c>
      <c r="D3375">
        <f>IF($C3375="","",$C3375-WEEKDAY($C3375,2)+1)</f>
        <v/>
      </c>
      <c r="E3375">
        <f>IF($C3375="","",DATE(YEAR($C3375),MONTH($C3375),1))</f>
        <v/>
      </c>
      <c r="F3375">
        <f>IF($C3375="","",YEAR($C3375)&amp;"-Q"&amp;ROUNDUP(MONTH($C3375)/3,0))</f>
        <v/>
      </c>
      <c r="L3375">
        <f>IF($G3375&lt;&gt;"ALCOHOL","",IF($K3375="","",$H3375*IFERROR(VLOOKUP($K3375,Drink_Templates!$A:$G,7,FALSE),0)))</f>
        <v/>
      </c>
    </row>
    <row r="3376" ht="15" customHeight="1">
      <c r="C3376">
        <f>IF($B3376="","",INT($B3376))</f>
        <v/>
      </c>
      <c r="D3376">
        <f>IF($C3376="","",$C3376-WEEKDAY($C3376,2)+1)</f>
        <v/>
      </c>
      <c r="E3376">
        <f>IF($C3376="","",DATE(YEAR($C3376),MONTH($C3376),1))</f>
        <v/>
      </c>
      <c r="F3376">
        <f>IF($C3376="","",YEAR($C3376)&amp;"-Q"&amp;ROUNDUP(MONTH($C3376)/3,0))</f>
        <v/>
      </c>
      <c r="L3376">
        <f>IF($G3376&lt;&gt;"ALCOHOL","",IF($K3376="","",$H3376*IFERROR(VLOOKUP($K3376,Drink_Templates!$A:$G,7,FALSE),0)))</f>
        <v/>
      </c>
    </row>
    <row r="3377" ht="15" customHeight="1">
      <c r="C3377">
        <f>IF($B3377="","",INT($B3377))</f>
        <v/>
      </c>
      <c r="D3377">
        <f>IF($C3377="","",$C3377-WEEKDAY($C3377,2)+1)</f>
        <v/>
      </c>
      <c r="E3377">
        <f>IF($C3377="","",DATE(YEAR($C3377),MONTH($C3377),1))</f>
        <v/>
      </c>
      <c r="F3377">
        <f>IF($C3377="","",YEAR($C3377)&amp;"-Q"&amp;ROUNDUP(MONTH($C3377)/3,0))</f>
        <v/>
      </c>
      <c r="L3377">
        <f>IF($G3377&lt;&gt;"ALCOHOL","",IF($K3377="","",$H3377*IFERROR(VLOOKUP($K3377,Drink_Templates!$A:$G,7,FALSE),0)))</f>
        <v/>
      </c>
    </row>
    <row r="3378" ht="15" customHeight="1">
      <c r="C3378">
        <f>IF($B3378="","",INT($B3378))</f>
        <v/>
      </c>
      <c r="D3378">
        <f>IF($C3378="","",$C3378-WEEKDAY($C3378,2)+1)</f>
        <v/>
      </c>
      <c r="E3378">
        <f>IF($C3378="","",DATE(YEAR($C3378),MONTH($C3378),1))</f>
        <v/>
      </c>
      <c r="F3378">
        <f>IF($C3378="","",YEAR($C3378)&amp;"-Q"&amp;ROUNDUP(MONTH($C3378)/3,0))</f>
        <v/>
      </c>
      <c r="L3378">
        <f>IF($G3378&lt;&gt;"ALCOHOL","",IF($K3378="","",$H3378*IFERROR(VLOOKUP($K3378,Drink_Templates!$A:$G,7,FALSE),0)))</f>
        <v/>
      </c>
    </row>
    <row r="3379" ht="15" customHeight="1">
      <c r="C3379">
        <f>IF($B3379="","",INT($B3379))</f>
        <v/>
      </c>
      <c r="D3379">
        <f>IF($C3379="","",$C3379-WEEKDAY($C3379,2)+1)</f>
        <v/>
      </c>
      <c r="E3379">
        <f>IF($C3379="","",DATE(YEAR($C3379),MONTH($C3379),1))</f>
        <v/>
      </c>
      <c r="F3379">
        <f>IF($C3379="","",YEAR($C3379)&amp;"-Q"&amp;ROUNDUP(MONTH($C3379)/3,0))</f>
        <v/>
      </c>
      <c r="L3379">
        <f>IF($G3379&lt;&gt;"ALCOHOL","",IF($K3379="","",$H3379*IFERROR(VLOOKUP($K3379,Drink_Templates!$A:$G,7,FALSE),0)))</f>
        <v/>
      </c>
    </row>
    <row r="3380" ht="15" customHeight="1">
      <c r="C3380">
        <f>IF($B3380="","",INT($B3380))</f>
        <v/>
      </c>
      <c r="D3380">
        <f>IF($C3380="","",$C3380-WEEKDAY($C3380,2)+1)</f>
        <v/>
      </c>
      <c r="E3380">
        <f>IF($C3380="","",DATE(YEAR($C3380),MONTH($C3380),1))</f>
        <v/>
      </c>
      <c r="F3380">
        <f>IF($C3380="","",YEAR($C3380)&amp;"-Q"&amp;ROUNDUP(MONTH($C3380)/3,0))</f>
        <v/>
      </c>
      <c r="L3380">
        <f>IF($G3380&lt;&gt;"ALCOHOL","",IF($K3380="","",$H3380*IFERROR(VLOOKUP($K3380,Drink_Templates!$A:$G,7,FALSE),0)))</f>
        <v/>
      </c>
    </row>
    <row r="3381" ht="15" customHeight="1">
      <c r="C3381">
        <f>IF($B3381="","",INT($B3381))</f>
        <v/>
      </c>
      <c r="D3381">
        <f>IF($C3381="","",$C3381-WEEKDAY($C3381,2)+1)</f>
        <v/>
      </c>
      <c r="E3381">
        <f>IF($C3381="","",DATE(YEAR($C3381),MONTH($C3381),1))</f>
        <v/>
      </c>
      <c r="F3381">
        <f>IF($C3381="","",YEAR($C3381)&amp;"-Q"&amp;ROUNDUP(MONTH($C3381)/3,0))</f>
        <v/>
      </c>
      <c r="L3381">
        <f>IF($G3381&lt;&gt;"ALCOHOL","",IF($K3381="","",$H3381*IFERROR(VLOOKUP($K3381,Drink_Templates!$A:$G,7,FALSE),0)))</f>
        <v/>
      </c>
    </row>
    <row r="3382" ht="15" customHeight="1">
      <c r="C3382">
        <f>IF($B3382="","",INT($B3382))</f>
        <v/>
      </c>
      <c r="D3382">
        <f>IF($C3382="","",$C3382-WEEKDAY($C3382,2)+1)</f>
        <v/>
      </c>
      <c r="E3382">
        <f>IF($C3382="","",DATE(YEAR($C3382),MONTH($C3382),1))</f>
        <v/>
      </c>
      <c r="F3382">
        <f>IF($C3382="","",YEAR($C3382)&amp;"-Q"&amp;ROUNDUP(MONTH($C3382)/3,0))</f>
        <v/>
      </c>
      <c r="L3382">
        <f>IF($G3382&lt;&gt;"ALCOHOL","",IF($K3382="","",$H3382*IFERROR(VLOOKUP($K3382,Drink_Templates!$A:$G,7,FALSE),0)))</f>
        <v/>
      </c>
    </row>
    <row r="3383" ht="15" customHeight="1">
      <c r="C3383">
        <f>IF($B3383="","",INT($B3383))</f>
        <v/>
      </c>
      <c r="D3383">
        <f>IF($C3383="","",$C3383-WEEKDAY($C3383,2)+1)</f>
        <v/>
      </c>
      <c r="E3383">
        <f>IF($C3383="","",DATE(YEAR($C3383),MONTH($C3383),1))</f>
        <v/>
      </c>
      <c r="F3383">
        <f>IF($C3383="","",YEAR($C3383)&amp;"-Q"&amp;ROUNDUP(MONTH($C3383)/3,0))</f>
        <v/>
      </c>
      <c r="L3383">
        <f>IF($G3383&lt;&gt;"ALCOHOL","",IF($K3383="","",$H3383*IFERROR(VLOOKUP($K3383,Drink_Templates!$A:$G,7,FALSE),0)))</f>
        <v/>
      </c>
    </row>
    <row r="3384" ht="15" customHeight="1">
      <c r="C3384">
        <f>IF($B3384="","",INT($B3384))</f>
        <v/>
      </c>
      <c r="D3384">
        <f>IF($C3384="","",$C3384-WEEKDAY($C3384,2)+1)</f>
        <v/>
      </c>
      <c r="E3384">
        <f>IF($C3384="","",DATE(YEAR($C3384),MONTH($C3384),1))</f>
        <v/>
      </c>
      <c r="F3384">
        <f>IF($C3384="","",YEAR($C3384)&amp;"-Q"&amp;ROUNDUP(MONTH($C3384)/3,0))</f>
        <v/>
      </c>
      <c r="L3384">
        <f>IF($G3384&lt;&gt;"ALCOHOL","",IF($K3384="","",$H3384*IFERROR(VLOOKUP($K3384,Drink_Templates!$A:$G,7,FALSE),0)))</f>
        <v/>
      </c>
    </row>
    <row r="3385" ht="15" customHeight="1">
      <c r="C3385">
        <f>IF($B3385="","",INT($B3385))</f>
        <v/>
      </c>
      <c r="D3385">
        <f>IF($C3385="","",$C3385-WEEKDAY($C3385,2)+1)</f>
        <v/>
      </c>
      <c r="E3385">
        <f>IF($C3385="","",DATE(YEAR($C3385),MONTH($C3385),1))</f>
        <v/>
      </c>
      <c r="F3385">
        <f>IF($C3385="","",YEAR($C3385)&amp;"-Q"&amp;ROUNDUP(MONTH($C3385)/3,0))</f>
        <v/>
      </c>
      <c r="L3385">
        <f>IF($G3385&lt;&gt;"ALCOHOL","",IF($K3385="","",$H3385*IFERROR(VLOOKUP($K3385,Drink_Templates!$A:$G,7,FALSE),0)))</f>
        <v/>
      </c>
    </row>
    <row r="3386" ht="15" customHeight="1">
      <c r="C3386">
        <f>IF($B3386="","",INT($B3386))</f>
        <v/>
      </c>
      <c r="D3386">
        <f>IF($C3386="","",$C3386-WEEKDAY($C3386,2)+1)</f>
        <v/>
      </c>
      <c r="E3386">
        <f>IF($C3386="","",DATE(YEAR($C3386),MONTH($C3386),1))</f>
        <v/>
      </c>
      <c r="F3386">
        <f>IF($C3386="","",YEAR($C3386)&amp;"-Q"&amp;ROUNDUP(MONTH($C3386)/3,0))</f>
        <v/>
      </c>
      <c r="L3386">
        <f>IF($G3386&lt;&gt;"ALCOHOL","",IF($K3386="","",$H3386*IFERROR(VLOOKUP($K3386,Drink_Templates!$A:$G,7,FALSE),0)))</f>
        <v/>
      </c>
    </row>
    <row r="3387" ht="15" customHeight="1">
      <c r="C3387">
        <f>IF($B3387="","",INT($B3387))</f>
        <v/>
      </c>
      <c r="D3387">
        <f>IF($C3387="","",$C3387-WEEKDAY($C3387,2)+1)</f>
        <v/>
      </c>
      <c r="E3387">
        <f>IF($C3387="","",DATE(YEAR($C3387),MONTH($C3387),1))</f>
        <v/>
      </c>
      <c r="F3387">
        <f>IF($C3387="","",YEAR($C3387)&amp;"-Q"&amp;ROUNDUP(MONTH($C3387)/3,0))</f>
        <v/>
      </c>
      <c r="L3387">
        <f>IF($G3387&lt;&gt;"ALCOHOL","",IF($K3387="","",$H3387*IFERROR(VLOOKUP($K3387,Drink_Templates!$A:$G,7,FALSE),0)))</f>
        <v/>
      </c>
    </row>
    <row r="3388" ht="15" customHeight="1">
      <c r="C3388">
        <f>IF($B3388="","",INT($B3388))</f>
        <v/>
      </c>
      <c r="D3388">
        <f>IF($C3388="","",$C3388-WEEKDAY($C3388,2)+1)</f>
        <v/>
      </c>
      <c r="E3388">
        <f>IF($C3388="","",DATE(YEAR($C3388),MONTH($C3388),1))</f>
        <v/>
      </c>
      <c r="F3388">
        <f>IF($C3388="","",YEAR($C3388)&amp;"-Q"&amp;ROUNDUP(MONTH($C3388)/3,0))</f>
        <v/>
      </c>
      <c r="L3388">
        <f>IF($G3388&lt;&gt;"ALCOHOL","",IF($K3388="","",$H3388*IFERROR(VLOOKUP($K3388,Drink_Templates!$A:$G,7,FALSE),0)))</f>
        <v/>
      </c>
    </row>
    <row r="3389" ht="15" customHeight="1">
      <c r="C3389">
        <f>IF($B3389="","",INT($B3389))</f>
        <v/>
      </c>
      <c r="D3389">
        <f>IF($C3389="","",$C3389-WEEKDAY($C3389,2)+1)</f>
        <v/>
      </c>
      <c r="E3389">
        <f>IF($C3389="","",DATE(YEAR($C3389),MONTH($C3389),1))</f>
        <v/>
      </c>
      <c r="F3389">
        <f>IF($C3389="","",YEAR($C3389)&amp;"-Q"&amp;ROUNDUP(MONTH($C3389)/3,0))</f>
        <v/>
      </c>
      <c r="L3389">
        <f>IF($G3389&lt;&gt;"ALCOHOL","",IF($K3389="","",$H3389*IFERROR(VLOOKUP($K3389,Drink_Templates!$A:$G,7,FALSE),0)))</f>
        <v/>
      </c>
    </row>
    <row r="3390" ht="15" customHeight="1">
      <c r="C3390">
        <f>IF($B3390="","",INT($B3390))</f>
        <v/>
      </c>
      <c r="D3390">
        <f>IF($C3390="","",$C3390-WEEKDAY($C3390,2)+1)</f>
        <v/>
      </c>
      <c r="E3390">
        <f>IF($C3390="","",DATE(YEAR($C3390),MONTH($C3390),1))</f>
        <v/>
      </c>
      <c r="F3390">
        <f>IF($C3390="","",YEAR($C3390)&amp;"-Q"&amp;ROUNDUP(MONTH($C3390)/3,0))</f>
        <v/>
      </c>
      <c r="L3390">
        <f>IF($G3390&lt;&gt;"ALCOHOL","",IF($K3390="","",$H3390*IFERROR(VLOOKUP($K3390,Drink_Templates!$A:$G,7,FALSE),0)))</f>
        <v/>
      </c>
    </row>
    <row r="3391" ht="15" customHeight="1">
      <c r="C3391">
        <f>IF($B3391="","",INT($B3391))</f>
        <v/>
      </c>
      <c r="D3391">
        <f>IF($C3391="","",$C3391-WEEKDAY($C3391,2)+1)</f>
        <v/>
      </c>
      <c r="E3391">
        <f>IF($C3391="","",DATE(YEAR($C3391),MONTH($C3391),1))</f>
        <v/>
      </c>
      <c r="F3391">
        <f>IF($C3391="","",YEAR($C3391)&amp;"-Q"&amp;ROUNDUP(MONTH($C3391)/3,0))</f>
        <v/>
      </c>
      <c r="L3391">
        <f>IF($G3391&lt;&gt;"ALCOHOL","",IF($K3391="","",$H3391*IFERROR(VLOOKUP($K3391,Drink_Templates!$A:$G,7,FALSE),0)))</f>
        <v/>
      </c>
    </row>
    <row r="3392" ht="15" customHeight="1">
      <c r="C3392">
        <f>IF($B3392="","",INT($B3392))</f>
        <v/>
      </c>
      <c r="D3392">
        <f>IF($C3392="","",$C3392-WEEKDAY($C3392,2)+1)</f>
        <v/>
      </c>
      <c r="E3392">
        <f>IF($C3392="","",DATE(YEAR($C3392),MONTH($C3392),1))</f>
        <v/>
      </c>
      <c r="F3392">
        <f>IF($C3392="","",YEAR($C3392)&amp;"-Q"&amp;ROUNDUP(MONTH($C3392)/3,0))</f>
        <v/>
      </c>
      <c r="L3392">
        <f>IF($G3392&lt;&gt;"ALCOHOL","",IF($K3392="","",$H3392*IFERROR(VLOOKUP($K3392,Drink_Templates!$A:$G,7,FALSE),0)))</f>
        <v/>
      </c>
    </row>
    <row r="3393" ht="15" customHeight="1">
      <c r="C3393">
        <f>IF($B3393="","",INT($B3393))</f>
        <v/>
      </c>
      <c r="D3393">
        <f>IF($C3393="","",$C3393-WEEKDAY($C3393,2)+1)</f>
        <v/>
      </c>
      <c r="E3393">
        <f>IF($C3393="","",DATE(YEAR($C3393),MONTH($C3393),1))</f>
        <v/>
      </c>
      <c r="F3393">
        <f>IF($C3393="","",YEAR($C3393)&amp;"-Q"&amp;ROUNDUP(MONTH($C3393)/3,0))</f>
        <v/>
      </c>
      <c r="L3393">
        <f>IF($G3393&lt;&gt;"ALCOHOL","",IF($K3393="","",$H3393*IFERROR(VLOOKUP($K3393,Drink_Templates!$A:$G,7,FALSE),0)))</f>
        <v/>
      </c>
    </row>
    <row r="3394" ht="15" customHeight="1">
      <c r="C3394">
        <f>IF($B3394="","",INT($B3394))</f>
        <v/>
      </c>
      <c r="D3394">
        <f>IF($C3394="","",$C3394-WEEKDAY($C3394,2)+1)</f>
        <v/>
      </c>
      <c r="E3394">
        <f>IF($C3394="","",DATE(YEAR($C3394),MONTH($C3394),1))</f>
        <v/>
      </c>
      <c r="F3394">
        <f>IF($C3394="","",YEAR($C3394)&amp;"-Q"&amp;ROUNDUP(MONTH($C3394)/3,0))</f>
        <v/>
      </c>
      <c r="L3394">
        <f>IF($G3394&lt;&gt;"ALCOHOL","",IF($K3394="","",$H3394*IFERROR(VLOOKUP($K3394,Drink_Templates!$A:$G,7,FALSE),0)))</f>
        <v/>
      </c>
    </row>
    <row r="3395" ht="15" customHeight="1">
      <c r="C3395">
        <f>IF($B3395="","",INT($B3395))</f>
        <v/>
      </c>
      <c r="D3395">
        <f>IF($C3395="","",$C3395-WEEKDAY($C3395,2)+1)</f>
        <v/>
      </c>
      <c r="E3395">
        <f>IF($C3395="","",DATE(YEAR($C3395),MONTH($C3395),1))</f>
        <v/>
      </c>
      <c r="F3395">
        <f>IF($C3395="","",YEAR($C3395)&amp;"-Q"&amp;ROUNDUP(MONTH($C3395)/3,0))</f>
        <v/>
      </c>
      <c r="L3395">
        <f>IF($G3395&lt;&gt;"ALCOHOL","",IF($K3395="","",$H3395*IFERROR(VLOOKUP($K3395,Drink_Templates!$A:$G,7,FALSE),0)))</f>
        <v/>
      </c>
    </row>
    <row r="3396" ht="15" customHeight="1">
      <c r="C3396">
        <f>IF($B3396="","",INT($B3396))</f>
        <v/>
      </c>
      <c r="D3396">
        <f>IF($C3396="","",$C3396-WEEKDAY($C3396,2)+1)</f>
        <v/>
      </c>
      <c r="E3396">
        <f>IF($C3396="","",DATE(YEAR($C3396),MONTH($C3396),1))</f>
        <v/>
      </c>
      <c r="F3396">
        <f>IF($C3396="","",YEAR($C3396)&amp;"-Q"&amp;ROUNDUP(MONTH($C3396)/3,0))</f>
        <v/>
      </c>
      <c r="L3396">
        <f>IF($G3396&lt;&gt;"ALCOHOL","",IF($K3396="","",$H3396*IFERROR(VLOOKUP($K3396,Drink_Templates!$A:$G,7,FALSE),0)))</f>
        <v/>
      </c>
    </row>
    <row r="3397" ht="15" customHeight="1">
      <c r="C3397">
        <f>IF($B3397="","",INT($B3397))</f>
        <v/>
      </c>
      <c r="D3397">
        <f>IF($C3397="","",$C3397-WEEKDAY($C3397,2)+1)</f>
        <v/>
      </c>
      <c r="E3397">
        <f>IF($C3397="","",DATE(YEAR($C3397),MONTH($C3397),1))</f>
        <v/>
      </c>
      <c r="F3397">
        <f>IF($C3397="","",YEAR($C3397)&amp;"-Q"&amp;ROUNDUP(MONTH($C3397)/3,0))</f>
        <v/>
      </c>
      <c r="L3397">
        <f>IF($G3397&lt;&gt;"ALCOHOL","",IF($K3397="","",$H3397*IFERROR(VLOOKUP($K3397,Drink_Templates!$A:$G,7,FALSE),0)))</f>
        <v/>
      </c>
    </row>
    <row r="3398" ht="15" customHeight="1">
      <c r="C3398">
        <f>IF($B3398="","",INT($B3398))</f>
        <v/>
      </c>
      <c r="D3398">
        <f>IF($C3398="","",$C3398-WEEKDAY($C3398,2)+1)</f>
        <v/>
      </c>
      <c r="E3398">
        <f>IF($C3398="","",DATE(YEAR($C3398),MONTH($C3398),1))</f>
        <v/>
      </c>
      <c r="F3398">
        <f>IF($C3398="","",YEAR($C3398)&amp;"-Q"&amp;ROUNDUP(MONTH($C3398)/3,0))</f>
        <v/>
      </c>
      <c r="L3398">
        <f>IF($G3398&lt;&gt;"ALCOHOL","",IF($K3398="","",$H3398*IFERROR(VLOOKUP($K3398,Drink_Templates!$A:$G,7,FALSE),0)))</f>
        <v/>
      </c>
    </row>
    <row r="3399" ht="15" customHeight="1">
      <c r="C3399">
        <f>IF($B3399="","",INT($B3399))</f>
        <v/>
      </c>
      <c r="D3399">
        <f>IF($C3399="","",$C3399-WEEKDAY($C3399,2)+1)</f>
        <v/>
      </c>
      <c r="E3399">
        <f>IF($C3399="","",DATE(YEAR($C3399),MONTH($C3399),1))</f>
        <v/>
      </c>
      <c r="F3399">
        <f>IF($C3399="","",YEAR($C3399)&amp;"-Q"&amp;ROUNDUP(MONTH($C3399)/3,0))</f>
        <v/>
      </c>
      <c r="L3399">
        <f>IF($G3399&lt;&gt;"ALCOHOL","",IF($K3399="","",$H3399*IFERROR(VLOOKUP($K3399,Drink_Templates!$A:$G,7,FALSE),0)))</f>
        <v/>
      </c>
    </row>
    <row r="3400" ht="15" customHeight="1">
      <c r="C3400">
        <f>IF($B3400="","",INT($B3400))</f>
        <v/>
      </c>
      <c r="D3400">
        <f>IF($C3400="","",$C3400-WEEKDAY($C3400,2)+1)</f>
        <v/>
      </c>
      <c r="E3400">
        <f>IF($C3400="","",DATE(YEAR($C3400),MONTH($C3400),1))</f>
        <v/>
      </c>
      <c r="F3400">
        <f>IF($C3400="","",YEAR($C3400)&amp;"-Q"&amp;ROUNDUP(MONTH($C3400)/3,0))</f>
        <v/>
      </c>
      <c r="L3400">
        <f>IF($G3400&lt;&gt;"ALCOHOL","",IF($K3400="","",$H3400*IFERROR(VLOOKUP($K3400,Drink_Templates!$A:$G,7,FALSE),0)))</f>
        <v/>
      </c>
    </row>
    <row r="3401" ht="15" customHeight="1">
      <c r="C3401">
        <f>IF($B3401="","",INT($B3401))</f>
        <v/>
      </c>
      <c r="D3401">
        <f>IF($C3401="","",$C3401-WEEKDAY($C3401,2)+1)</f>
        <v/>
      </c>
      <c r="E3401">
        <f>IF($C3401="","",DATE(YEAR($C3401),MONTH($C3401),1))</f>
        <v/>
      </c>
      <c r="F3401">
        <f>IF($C3401="","",YEAR($C3401)&amp;"-Q"&amp;ROUNDUP(MONTH($C3401)/3,0))</f>
        <v/>
      </c>
      <c r="L3401">
        <f>IF($G3401&lt;&gt;"ALCOHOL","",IF($K3401="","",$H3401*IFERROR(VLOOKUP($K3401,Drink_Templates!$A:$G,7,FALSE),0)))</f>
        <v/>
      </c>
    </row>
    <row r="3402" ht="15" customHeight="1">
      <c r="C3402">
        <f>IF($B3402="","",INT($B3402))</f>
        <v/>
      </c>
      <c r="D3402">
        <f>IF($C3402="","",$C3402-WEEKDAY($C3402,2)+1)</f>
        <v/>
      </c>
      <c r="E3402">
        <f>IF($C3402="","",DATE(YEAR($C3402),MONTH($C3402),1))</f>
        <v/>
      </c>
      <c r="F3402">
        <f>IF($C3402="","",YEAR($C3402)&amp;"-Q"&amp;ROUNDUP(MONTH($C3402)/3,0))</f>
        <v/>
      </c>
      <c r="L3402">
        <f>IF($G3402&lt;&gt;"ALCOHOL","",IF($K3402="","",$H3402*IFERROR(VLOOKUP($K3402,Drink_Templates!$A:$G,7,FALSE),0)))</f>
        <v/>
      </c>
    </row>
    <row r="3403" ht="15" customHeight="1">
      <c r="C3403">
        <f>IF($B3403="","",INT($B3403))</f>
        <v/>
      </c>
      <c r="D3403">
        <f>IF($C3403="","",$C3403-WEEKDAY($C3403,2)+1)</f>
        <v/>
      </c>
      <c r="E3403">
        <f>IF($C3403="","",DATE(YEAR($C3403),MONTH($C3403),1))</f>
        <v/>
      </c>
      <c r="F3403">
        <f>IF($C3403="","",YEAR($C3403)&amp;"-Q"&amp;ROUNDUP(MONTH($C3403)/3,0))</f>
        <v/>
      </c>
      <c r="L3403">
        <f>IF($G3403&lt;&gt;"ALCOHOL","",IF($K3403="","",$H3403*IFERROR(VLOOKUP($K3403,Drink_Templates!$A:$G,7,FALSE),0)))</f>
        <v/>
      </c>
    </row>
    <row r="3404" ht="15" customHeight="1">
      <c r="C3404">
        <f>IF($B3404="","",INT($B3404))</f>
        <v/>
      </c>
      <c r="D3404">
        <f>IF($C3404="","",$C3404-WEEKDAY($C3404,2)+1)</f>
        <v/>
      </c>
      <c r="E3404">
        <f>IF($C3404="","",DATE(YEAR($C3404),MONTH($C3404),1))</f>
        <v/>
      </c>
      <c r="F3404">
        <f>IF($C3404="","",YEAR($C3404)&amp;"-Q"&amp;ROUNDUP(MONTH($C3404)/3,0))</f>
        <v/>
      </c>
      <c r="L3404">
        <f>IF($G3404&lt;&gt;"ALCOHOL","",IF($K3404="","",$H3404*IFERROR(VLOOKUP($K3404,Drink_Templates!$A:$G,7,FALSE),0)))</f>
        <v/>
      </c>
    </row>
    <row r="3405" ht="15" customHeight="1">
      <c r="C3405">
        <f>IF($B3405="","",INT($B3405))</f>
        <v/>
      </c>
      <c r="D3405">
        <f>IF($C3405="","",$C3405-WEEKDAY($C3405,2)+1)</f>
        <v/>
      </c>
      <c r="E3405">
        <f>IF($C3405="","",DATE(YEAR($C3405),MONTH($C3405),1))</f>
        <v/>
      </c>
      <c r="F3405">
        <f>IF($C3405="","",YEAR($C3405)&amp;"-Q"&amp;ROUNDUP(MONTH($C3405)/3,0))</f>
        <v/>
      </c>
      <c r="L3405">
        <f>IF($G3405&lt;&gt;"ALCOHOL","",IF($K3405="","",$H3405*IFERROR(VLOOKUP($K3405,Drink_Templates!$A:$G,7,FALSE),0)))</f>
        <v/>
      </c>
    </row>
    <row r="3406" ht="15" customHeight="1">
      <c r="C3406">
        <f>IF($B3406="","",INT($B3406))</f>
        <v/>
      </c>
      <c r="D3406">
        <f>IF($C3406="","",$C3406-WEEKDAY($C3406,2)+1)</f>
        <v/>
      </c>
      <c r="E3406">
        <f>IF($C3406="","",DATE(YEAR($C3406),MONTH($C3406),1))</f>
        <v/>
      </c>
      <c r="F3406">
        <f>IF($C3406="","",YEAR($C3406)&amp;"-Q"&amp;ROUNDUP(MONTH($C3406)/3,0))</f>
        <v/>
      </c>
      <c r="L3406">
        <f>IF($G3406&lt;&gt;"ALCOHOL","",IF($K3406="","",$H3406*IFERROR(VLOOKUP($K3406,Drink_Templates!$A:$G,7,FALSE),0)))</f>
        <v/>
      </c>
    </row>
    <row r="3407" ht="15" customHeight="1">
      <c r="C3407">
        <f>IF($B3407="","",INT($B3407))</f>
        <v/>
      </c>
      <c r="D3407">
        <f>IF($C3407="","",$C3407-WEEKDAY($C3407,2)+1)</f>
        <v/>
      </c>
      <c r="E3407">
        <f>IF($C3407="","",DATE(YEAR($C3407),MONTH($C3407),1))</f>
        <v/>
      </c>
      <c r="F3407">
        <f>IF($C3407="","",YEAR($C3407)&amp;"-Q"&amp;ROUNDUP(MONTH($C3407)/3,0))</f>
        <v/>
      </c>
      <c r="L3407">
        <f>IF($G3407&lt;&gt;"ALCOHOL","",IF($K3407="","",$H3407*IFERROR(VLOOKUP($K3407,Drink_Templates!$A:$G,7,FALSE),0)))</f>
        <v/>
      </c>
    </row>
    <row r="3408" ht="15" customHeight="1">
      <c r="C3408">
        <f>IF($B3408="","",INT($B3408))</f>
        <v/>
      </c>
      <c r="D3408">
        <f>IF($C3408="","",$C3408-WEEKDAY($C3408,2)+1)</f>
        <v/>
      </c>
      <c r="E3408">
        <f>IF($C3408="","",DATE(YEAR($C3408),MONTH($C3408),1))</f>
        <v/>
      </c>
      <c r="F3408">
        <f>IF($C3408="","",YEAR($C3408)&amp;"-Q"&amp;ROUNDUP(MONTH($C3408)/3,0))</f>
        <v/>
      </c>
      <c r="L3408">
        <f>IF($G3408&lt;&gt;"ALCOHOL","",IF($K3408="","",$H3408*IFERROR(VLOOKUP($K3408,Drink_Templates!$A:$G,7,FALSE),0)))</f>
        <v/>
      </c>
    </row>
    <row r="3409" ht="15" customHeight="1">
      <c r="C3409">
        <f>IF($B3409="","",INT($B3409))</f>
        <v/>
      </c>
      <c r="D3409">
        <f>IF($C3409="","",$C3409-WEEKDAY($C3409,2)+1)</f>
        <v/>
      </c>
      <c r="E3409">
        <f>IF($C3409="","",DATE(YEAR($C3409),MONTH($C3409),1))</f>
        <v/>
      </c>
      <c r="F3409">
        <f>IF($C3409="","",YEAR($C3409)&amp;"-Q"&amp;ROUNDUP(MONTH($C3409)/3,0))</f>
        <v/>
      </c>
      <c r="L3409">
        <f>IF($G3409&lt;&gt;"ALCOHOL","",IF($K3409="","",$H3409*IFERROR(VLOOKUP($K3409,Drink_Templates!$A:$G,7,FALSE),0)))</f>
        <v/>
      </c>
    </row>
    <row r="3410" ht="15" customHeight="1">
      <c r="C3410">
        <f>IF($B3410="","",INT($B3410))</f>
        <v/>
      </c>
      <c r="D3410">
        <f>IF($C3410="","",$C3410-WEEKDAY($C3410,2)+1)</f>
        <v/>
      </c>
      <c r="E3410">
        <f>IF($C3410="","",DATE(YEAR($C3410),MONTH($C3410),1))</f>
        <v/>
      </c>
      <c r="F3410">
        <f>IF($C3410="","",YEAR($C3410)&amp;"-Q"&amp;ROUNDUP(MONTH($C3410)/3,0))</f>
        <v/>
      </c>
      <c r="L3410">
        <f>IF($G3410&lt;&gt;"ALCOHOL","",IF($K3410="","",$H3410*IFERROR(VLOOKUP($K3410,Drink_Templates!$A:$G,7,FALSE),0)))</f>
        <v/>
      </c>
    </row>
    <row r="3411" ht="15" customHeight="1">
      <c r="C3411">
        <f>IF($B3411="","",INT($B3411))</f>
        <v/>
      </c>
      <c r="D3411">
        <f>IF($C3411="","",$C3411-WEEKDAY($C3411,2)+1)</f>
        <v/>
      </c>
      <c r="E3411">
        <f>IF($C3411="","",DATE(YEAR($C3411),MONTH($C3411),1))</f>
        <v/>
      </c>
      <c r="F3411">
        <f>IF($C3411="","",YEAR($C3411)&amp;"-Q"&amp;ROUNDUP(MONTH($C3411)/3,0))</f>
        <v/>
      </c>
      <c r="L3411">
        <f>IF($G3411&lt;&gt;"ALCOHOL","",IF($K3411="","",$H3411*IFERROR(VLOOKUP($K3411,Drink_Templates!$A:$G,7,FALSE),0)))</f>
        <v/>
      </c>
    </row>
    <row r="3412" ht="15" customHeight="1">
      <c r="C3412">
        <f>IF($B3412="","",INT($B3412))</f>
        <v/>
      </c>
      <c r="D3412">
        <f>IF($C3412="","",$C3412-WEEKDAY($C3412,2)+1)</f>
        <v/>
      </c>
      <c r="E3412">
        <f>IF($C3412="","",DATE(YEAR($C3412),MONTH($C3412),1))</f>
        <v/>
      </c>
      <c r="F3412">
        <f>IF($C3412="","",YEAR($C3412)&amp;"-Q"&amp;ROUNDUP(MONTH($C3412)/3,0))</f>
        <v/>
      </c>
      <c r="L3412">
        <f>IF($G3412&lt;&gt;"ALCOHOL","",IF($K3412="","",$H3412*IFERROR(VLOOKUP($K3412,Drink_Templates!$A:$G,7,FALSE),0)))</f>
        <v/>
      </c>
    </row>
    <row r="3413" ht="15" customHeight="1">
      <c r="C3413">
        <f>IF($B3413="","",INT($B3413))</f>
        <v/>
      </c>
      <c r="D3413">
        <f>IF($C3413="","",$C3413-WEEKDAY($C3413,2)+1)</f>
        <v/>
      </c>
      <c r="E3413">
        <f>IF($C3413="","",DATE(YEAR($C3413),MONTH($C3413),1))</f>
        <v/>
      </c>
      <c r="F3413">
        <f>IF($C3413="","",YEAR($C3413)&amp;"-Q"&amp;ROUNDUP(MONTH($C3413)/3,0))</f>
        <v/>
      </c>
      <c r="L3413">
        <f>IF($G3413&lt;&gt;"ALCOHOL","",IF($K3413="","",$H3413*IFERROR(VLOOKUP($K3413,Drink_Templates!$A:$G,7,FALSE),0)))</f>
        <v/>
      </c>
    </row>
    <row r="3414" ht="15" customHeight="1">
      <c r="C3414">
        <f>IF($B3414="","",INT($B3414))</f>
        <v/>
      </c>
      <c r="D3414">
        <f>IF($C3414="","",$C3414-WEEKDAY($C3414,2)+1)</f>
        <v/>
      </c>
      <c r="E3414">
        <f>IF($C3414="","",DATE(YEAR($C3414),MONTH($C3414),1))</f>
        <v/>
      </c>
      <c r="F3414">
        <f>IF($C3414="","",YEAR($C3414)&amp;"-Q"&amp;ROUNDUP(MONTH($C3414)/3,0))</f>
        <v/>
      </c>
      <c r="L3414">
        <f>IF($G3414&lt;&gt;"ALCOHOL","",IF($K3414="","",$H3414*IFERROR(VLOOKUP($K3414,Drink_Templates!$A:$G,7,FALSE),0)))</f>
        <v/>
      </c>
    </row>
    <row r="3415" ht="15" customHeight="1">
      <c r="C3415">
        <f>IF($B3415="","",INT($B3415))</f>
        <v/>
      </c>
      <c r="D3415">
        <f>IF($C3415="","",$C3415-WEEKDAY($C3415,2)+1)</f>
        <v/>
      </c>
      <c r="E3415">
        <f>IF($C3415="","",DATE(YEAR($C3415),MONTH($C3415),1))</f>
        <v/>
      </c>
      <c r="F3415">
        <f>IF($C3415="","",YEAR($C3415)&amp;"-Q"&amp;ROUNDUP(MONTH($C3415)/3,0))</f>
        <v/>
      </c>
      <c r="L3415">
        <f>IF($G3415&lt;&gt;"ALCOHOL","",IF($K3415="","",$H3415*IFERROR(VLOOKUP($K3415,Drink_Templates!$A:$G,7,FALSE),0)))</f>
        <v/>
      </c>
    </row>
    <row r="3416" ht="15" customHeight="1">
      <c r="C3416">
        <f>IF($B3416="","",INT($B3416))</f>
        <v/>
      </c>
      <c r="D3416">
        <f>IF($C3416="","",$C3416-WEEKDAY($C3416,2)+1)</f>
        <v/>
      </c>
      <c r="E3416">
        <f>IF($C3416="","",DATE(YEAR($C3416),MONTH($C3416),1))</f>
        <v/>
      </c>
      <c r="F3416">
        <f>IF($C3416="","",YEAR($C3416)&amp;"-Q"&amp;ROUNDUP(MONTH($C3416)/3,0))</f>
        <v/>
      </c>
      <c r="L3416">
        <f>IF($G3416&lt;&gt;"ALCOHOL","",IF($K3416="","",$H3416*IFERROR(VLOOKUP($K3416,Drink_Templates!$A:$G,7,FALSE),0)))</f>
        <v/>
      </c>
    </row>
    <row r="3417" ht="15" customHeight="1">
      <c r="C3417">
        <f>IF($B3417="","",INT($B3417))</f>
        <v/>
      </c>
      <c r="D3417">
        <f>IF($C3417="","",$C3417-WEEKDAY($C3417,2)+1)</f>
        <v/>
      </c>
      <c r="E3417">
        <f>IF($C3417="","",DATE(YEAR($C3417),MONTH($C3417),1))</f>
        <v/>
      </c>
      <c r="F3417">
        <f>IF($C3417="","",YEAR($C3417)&amp;"-Q"&amp;ROUNDUP(MONTH($C3417)/3,0))</f>
        <v/>
      </c>
      <c r="L3417">
        <f>IF($G3417&lt;&gt;"ALCOHOL","",IF($K3417="","",$H3417*IFERROR(VLOOKUP($K3417,Drink_Templates!$A:$G,7,FALSE),0)))</f>
        <v/>
      </c>
    </row>
    <row r="3418" ht="15" customHeight="1">
      <c r="C3418">
        <f>IF($B3418="","",INT($B3418))</f>
        <v/>
      </c>
      <c r="D3418">
        <f>IF($C3418="","",$C3418-WEEKDAY($C3418,2)+1)</f>
        <v/>
      </c>
      <c r="E3418">
        <f>IF($C3418="","",DATE(YEAR($C3418),MONTH($C3418),1))</f>
        <v/>
      </c>
      <c r="F3418">
        <f>IF($C3418="","",YEAR($C3418)&amp;"-Q"&amp;ROUNDUP(MONTH($C3418)/3,0))</f>
        <v/>
      </c>
      <c r="L3418">
        <f>IF($G3418&lt;&gt;"ALCOHOL","",IF($K3418="","",$H3418*IFERROR(VLOOKUP($K3418,Drink_Templates!$A:$G,7,FALSE),0)))</f>
        <v/>
      </c>
    </row>
    <row r="3419" ht="15" customHeight="1">
      <c r="C3419">
        <f>IF($B3419="","",INT($B3419))</f>
        <v/>
      </c>
      <c r="D3419">
        <f>IF($C3419="","",$C3419-WEEKDAY($C3419,2)+1)</f>
        <v/>
      </c>
      <c r="E3419">
        <f>IF($C3419="","",DATE(YEAR($C3419),MONTH($C3419),1))</f>
        <v/>
      </c>
      <c r="F3419">
        <f>IF($C3419="","",YEAR($C3419)&amp;"-Q"&amp;ROUNDUP(MONTH($C3419)/3,0))</f>
        <v/>
      </c>
      <c r="L3419">
        <f>IF($G3419&lt;&gt;"ALCOHOL","",IF($K3419="","",$H3419*IFERROR(VLOOKUP($K3419,Drink_Templates!$A:$G,7,FALSE),0)))</f>
        <v/>
      </c>
    </row>
    <row r="3420" ht="15" customHeight="1">
      <c r="C3420">
        <f>IF($B3420="","",INT($B3420))</f>
        <v/>
      </c>
      <c r="D3420">
        <f>IF($C3420="","",$C3420-WEEKDAY($C3420,2)+1)</f>
        <v/>
      </c>
      <c r="E3420">
        <f>IF($C3420="","",DATE(YEAR($C3420),MONTH($C3420),1))</f>
        <v/>
      </c>
      <c r="F3420">
        <f>IF($C3420="","",YEAR($C3420)&amp;"-Q"&amp;ROUNDUP(MONTH($C3420)/3,0))</f>
        <v/>
      </c>
      <c r="L3420">
        <f>IF($G3420&lt;&gt;"ALCOHOL","",IF($K3420="","",$H3420*IFERROR(VLOOKUP($K3420,Drink_Templates!$A:$G,7,FALSE),0)))</f>
        <v/>
      </c>
    </row>
    <row r="3421" ht="15" customHeight="1">
      <c r="C3421">
        <f>IF($B3421="","",INT($B3421))</f>
        <v/>
      </c>
      <c r="D3421">
        <f>IF($C3421="","",$C3421-WEEKDAY($C3421,2)+1)</f>
        <v/>
      </c>
      <c r="E3421">
        <f>IF($C3421="","",DATE(YEAR($C3421),MONTH($C3421),1))</f>
        <v/>
      </c>
      <c r="F3421">
        <f>IF($C3421="","",YEAR($C3421)&amp;"-Q"&amp;ROUNDUP(MONTH($C3421)/3,0))</f>
        <v/>
      </c>
      <c r="L3421">
        <f>IF($G3421&lt;&gt;"ALCOHOL","",IF($K3421="","",$H3421*IFERROR(VLOOKUP($K3421,Drink_Templates!$A:$G,7,FALSE),0)))</f>
        <v/>
      </c>
    </row>
    <row r="3422" ht="15" customHeight="1">
      <c r="C3422">
        <f>IF($B3422="","",INT($B3422))</f>
        <v/>
      </c>
      <c r="D3422">
        <f>IF($C3422="","",$C3422-WEEKDAY($C3422,2)+1)</f>
        <v/>
      </c>
      <c r="E3422">
        <f>IF($C3422="","",DATE(YEAR($C3422),MONTH($C3422),1))</f>
        <v/>
      </c>
      <c r="F3422">
        <f>IF($C3422="","",YEAR($C3422)&amp;"-Q"&amp;ROUNDUP(MONTH($C3422)/3,0))</f>
        <v/>
      </c>
      <c r="L3422">
        <f>IF($G3422&lt;&gt;"ALCOHOL","",IF($K3422="","",$H3422*IFERROR(VLOOKUP($K3422,Drink_Templates!$A:$G,7,FALSE),0)))</f>
        <v/>
      </c>
    </row>
    <row r="3423" ht="15" customHeight="1">
      <c r="C3423">
        <f>IF($B3423="","",INT($B3423))</f>
        <v/>
      </c>
      <c r="D3423">
        <f>IF($C3423="","",$C3423-WEEKDAY($C3423,2)+1)</f>
        <v/>
      </c>
      <c r="E3423">
        <f>IF($C3423="","",DATE(YEAR($C3423),MONTH($C3423),1))</f>
        <v/>
      </c>
      <c r="F3423">
        <f>IF($C3423="","",YEAR($C3423)&amp;"-Q"&amp;ROUNDUP(MONTH($C3423)/3,0))</f>
        <v/>
      </c>
      <c r="L3423">
        <f>IF($G3423&lt;&gt;"ALCOHOL","",IF($K3423="","",$H3423*IFERROR(VLOOKUP($K3423,Drink_Templates!$A:$G,7,FALSE),0)))</f>
        <v/>
      </c>
    </row>
    <row r="3424" ht="15" customHeight="1">
      <c r="C3424">
        <f>IF($B3424="","",INT($B3424))</f>
        <v/>
      </c>
      <c r="D3424">
        <f>IF($C3424="","",$C3424-WEEKDAY($C3424,2)+1)</f>
        <v/>
      </c>
      <c r="E3424">
        <f>IF($C3424="","",DATE(YEAR($C3424),MONTH($C3424),1))</f>
        <v/>
      </c>
      <c r="F3424">
        <f>IF($C3424="","",YEAR($C3424)&amp;"-Q"&amp;ROUNDUP(MONTH($C3424)/3,0))</f>
        <v/>
      </c>
      <c r="L3424">
        <f>IF($G3424&lt;&gt;"ALCOHOL","",IF($K3424="","",$H3424*IFERROR(VLOOKUP($K3424,Drink_Templates!$A:$G,7,FALSE),0)))</f>
        <v/>
      </c>
    </row>
    <row r="3425" ht="15" customHeight="1">
      <c r="C3425">
        <f>IF($B3425="","",INT($B3425))</f>
        <v/>
      </c>
      <c r="D3425">
        <f>IF($C3425="","",$C3425-WEEKDAY($C3425,2)+1)</f>
        <v/>
      </c>
      <c r="E3425">
        <f>IF($C3425="","",DATE(YEAR($C3425),MONTH($C3425),1))</f>
        <v/>
      </c>
      <c r="F3425">
        <f>IF($C3425="","",YEAR($C3425)&amp;"-Q"&amp;ROUNDUP(MONTH($C3425)/3,0))</f>
        <v/>
      </c>
      <c r="L3425">
        <f>IF($G3425&lt;&gt;"ALCOHOL","",IF($K3425="","",$H3425*IFERROR(VLOOKUP($K3425,Drink_Templates!$A:$G,7,FALSE),0)))</f>
        <v/>
      </c>
    </row>
    <row r="3426" ht="15" customHeight="1">
      <c r="C3426">
        <f>IF($B3426="","",INT($B3426))</f>
        <v/>
      </c>
      <c r="D3426">
        <f>IF($C3426="","",$C3426-WEEKDAY($C3426,2)+1)</f>
        <v/>
      </c>
      <c r="E3426">
        <f>IF($C3426="","",DATE(YEAR($C3426),MONTH($C3426),1))</f>
        <v/>
      </c>
      <c r="F3426">
        <f>IF($C3426="","",YEAR($C3426)&amp;"-Q"&amp;ROUNDUP(MONTH($C3426)/3,0))</f>
        <v/>
      </c>
      <c r="L3426">
        <f>IF($G3426&lt;&gt;"ALCOHOL","",IF($K3426="","",$H3426*IFERROR(VLOOKUP($K3426,Drink_Templates!$A:$G,7,FALSE),0)))</f>
        <v/>
      </c>
    </row>
    <row r="3427" ht="15" customHeight="1">
      <c r="C3427">
        <f>IF($B3427="","",INT($B3427))</f>
        <v/>
      </c>
      <c r="D3427">
        <f>IF($C3427="","",$C3427-WEEKDAY($C3427,2)+1)</f>
        <v/>
      </c>
      <c r="E3427">
        <f>IF($C3427="","",DATE(YEAR($C3427),MONTH($C3427),1))</f>
        <v/>
      </c>
      <c r="F3427">
        <f>IF($C3427="","",YEAR($C3427)&amp;"-Q"&amp;ROUNDUP(MONTH($C3427)/3,0))</f>
        <v/>
      </c>
      <c r="L3427">
        <f>IF($G3427&lt;&gt;"ALCOHOL","",IF($K3427="","",$H3427*IFERROR(VLOOKUP($K3427,Drink_Templates!$A:$G,7,FALSE),0)))</f>
        <v/>
      </c>
    </row>
    <row r="3428" ht="15" customHeight="1">
      <c r="C3428">
        <f>IF($B3428="","",INT($B3428))</f>
        <v/>
      </c>
      <c r="D3428">
        <f>IF($C3428="","",$C3428-WEEKDAY($C3428,2)+1)</f>
        <v/>
      </c>
      <c r="E3428">
        <f>IF($C3428="","",DATE(YEAR($C3428),MONTH($C3428),1))</f>
        <v/>
      </c>
      <c r="F3428">
        <f>IF($C3428="","",YEAR($C3428)&amp;"-Q"&amp;ROUNDUP(MONTH($C3428)/3,0))</f>
        <v/>
      </c>
      <c r="L3428">
        <f>IF($G3428&lt;&gt;"ALCOHOL","",IF($K3428="","",$H3428*IFERROR(VLOOKUP($K3428,Drink_Templates!$A:$G,7,FALSE),0)))</f>
        <v/>
      </c>
    </row>
    <row r="3429" ht="15" customHeight="1">
      <c r="C3429">
        <f>IF($B3429="","",INT($B3429))</f>
        <v/>
      </c>
      <c r="D3429">
        <f>IF($C3429="","",$C3429-WEEKDAY($C3429,2)+1)</f>
        <v/>
      </c>
      <c r="E3429">
        <f>IF($C3429="","",DATE(YEAR($C3429),MONTH($C3429),1))</f>
        <v/>
      </c>
      <c r="F3429">
        <f>IF($C3429="","",YEAR($C3429)&amp;"-Q"&amp;ROUNDUP(MONTH($C3429)/3,0))</f>
        <v/>
      </c>
      <c r="L3429">
        <f>IF($G3429&lt;&gt;"ALCOHOL","",IF($K3429="","",$H3429*IFERROR(VLOOKUP($K3429,Drink_Templates!$A:$G,7,FALSE),0)))</f>
        <v/>
      </c>
    </row>
    <row r="3430" ht="15" customHeight="1">
      <c r="C3430">
        <f>IF($B3430="","",INT($B3430))</f>
        <v/>
      </c>
      <c r="D3430">
        <f>IF($C3430="","",$C3430-WEEKDAY($C3430,2)+1)</f>
        <v/>
      </c>
      <c r="E3430">
        <f>IF($C3430="","",DATE(YEAR($C3430),MONTH($C3430),1))</f>
        <v/>
      </c>
      <c r="F3430">
        <f>IF($C3430="","",YEAR($C3430)&amp;"-Q"&amp;ROUNDUP(MONTH($C3430)/3,0))</f>
        <v/>
      </c>
      <c r="L3430">
        <f>IF($G3430&lt;&gt;"ALCOHOL","",IF($K3430="","",$H3430*IFERROR(VLOOKUP($K3430,Drink_Templates!$A:$G,7,FALSE),0)))</f>
        <v/>
      </c>
    </row>
    <row r="3431" ht="15" customHeight="1">
      <c r="C3431">
        <f>IF($B3431="","",INT($B3431))</f>
        <v/>
      </c>
      <c r="D3431">
        <f>IF($C3431="","",$C3431-WEEKDAY($C3431,2)+1)</f>
        <v/>
      </c>
      <c r="E3431">
        <f>IF($C3431="","",DATE(YEAR($C3431),MONTH($C3431),1))</f>
        <v/>
      </c>
      <c r="F3431">
        <f>IF($C3431="","",YEAR($C3431)&amp;"-Q"&amp;ROUNDUP(MONTH($C3431)/3,0))</f>
        <v/>
      </c>
      <c r="L3431">
        <f>IF($G3431&lt;&gt;"ALCOHOL","",IF($K3431="","",$H3431*IFERROR(VLOOKUP($K3431,Drink_Templates!$A:$G,7,FALSE),0)))</f>
        <v/>
      </c>
    </row>
    <row r="3432" ht="15" customHeight="1">
      <c r="C3432">
        <f>IF($B3432="","",INT($B3432))</f>
        <v/>
      </c>
      <c r="D3432">
        <f>IF($C3432="","",$C3432-WEEKDAY($C3432,2)+1)</f>
        <v/>
      </c>
      <c r="E3432">
        <f>IF($C3432="","",DATE(YEAR($C3432),MONTH($C3432),1))</f>
        <v/>
      </c>
      <c r="F3432">
        <f>IF($C3432="","",YEAR($C3432)&amp;"-Q"&amp;ROUNDUP(MONTH($C3432)/3,0))</f>
        <v/>
      </c>
      <c r="L3432">
        <f>IF($G3432&lt;&gt;"ALCOHOL","",IF($K3432="","",$H3432*IFERROR(VLOOKUP($K3432,Drink_Templates!$A:$G,7,FALSE),0)))</f>
        <v/>
      </c>
    </row>
    <row r="3433" ht="15" customHeight="1">
      <c r="C3433">
        <f>IF($B3433="","",INT($B3433))</f>
        <v/>
      </c>
      <c r="D3433">
        <f>IF($C3433="","",$C3433-WEEKDAY($C3433,2)+1)</f>
        <v/>
      </c>
      <c r="E3433">
        <f>IF($C3433="","",DATE(YEAR($C3433),MONTH($C3433),1))</f>
        <v/>
      </c>
      <c r="F3433">
        <f>IF($C3433="","",YEAR($C3433)&amp;"-Q"&amp;ROUNDUP(MONTH($C3433)/3,0))</f>
        <v/>
      </c>
      <c r="L3433">
        <f>IF($G3433&lt;&gt;"ALCOHOL","",IF($K3433="","",$H3433*IFERROR(VLOOKUP($K3433,Drink_Templates!$A:$G,7,FALSE),0)))</f>
        <v/>
      </c>
    </row>
    <row r="3434" ht="15" customHeight="1">
      <c r="C3434">
        <f>IF($B3434="","",INT($B3434))</f>
        <v/>
      </c>
      <c r="D3434">
        <f>IF($C3434="","",$C3434-WEEKDAY($C3434,2)+1)</f>
        <v/>
      </c>
      <c r="E3434">
        <f>IF($C3434="","",DATE(YEAR($C3434),MONTH($C3434),1))</f>
        <v/>
      </c>
      <c r="F3434">
        <f>IF($C3434="","",YEAR($C3434)&amp;"-Q"&amp;ROUNDUP(MONTH($C3434)/3,0))</f>
        <v/>
      </c>
      <c r="L3434">
        <f>IF($G3434&lt;&gt;"ALCOHOL","",IF($K3434="","",$H3434*IFERROR(VLOOKUP($K3434,Drink_Templates!$A:$G,7,FALSE),0)))</f>
        <v/>
      </c>
    </row>
    <row r="3435" ht="15" customHeight="1">
      <c r="C3435">
        <f>IF($B3435="","",INT($B3435))</f>
        <v/>
      </c>
      <c r="D3435">
        <f>IF($C3435="","",$C3435-WEEKDAY($C3435,2)+1)</f>
        <v/>
      </c>
      <c r="E3435">
        <f>IF($C3435="","",DATE(YEAR($C3435),MONTH($C3435),1))</f>
        <v/>
      </c>
      <c r="F3435">
        <f>IF($C3435="","",YEAR($C3435)&amp;"-Q"&amp;ROUNDUP(MONTH($C3435)/3,0))</f>
        <v/>
      </c>
      <c r="L3435">
        <f>IF($G3435&lt;&gt;"ALCOHOL","",IF($K3435="","",$H3435*IFERROR(VLOOKUP($K3435,Drink_Templates!$A:$G,7,FALSE),0)))</f>
        <v/>
      </c>
    </row>
    <row r="3436" ht="15" customHeight="1">
      <c r="C3436">
        <f>IF($B3436="","",INT($B3436))</f>
        <v/>
      </c>
      <c r="D3436">
        <f>IF($C3436="","",$C3436-WEEKDAY($C3436,2)+1)</f>
        <v/>
      </c>
      <c r="E3436">
        <f>IF($C3436="","",DATE(YEAR($C3436),MONTH($C3436),1))</f>
        <v/>
      </c>
      <c r="F3436">
        <f>IF($C3436="","",YEAR($C3436)&amp;"-Q"&amp;ROUNDUP(MONTH($C3436)/3,0))</f>
        <v/>
      </c>
      <c r="L3436">
        <f>IF($G3436&lt;&gt;"ALCOHOL","",IF($K3436="","",$H3436*IFERROR(VLOOKUP($K3436,Drink_Templates!$A:$G,7,FALSE),0)))</f>
        <v/>
      </c>
    </row>
    <row r="3437" ht="15" customHeight="1">
      <c r="C3437">
        <f>IF($B3437="","",INT($B3437))</f>
        <v/>
      </c>
      <c r="D3437">
        <f>IF($C3437="","",$C3437-WEEKDAY($C3437,2)+1)</f>
        <v/>
      </c>
      <c r="E3437">
        <f>IF($C3437="","",DATE(YEAR($C3437),MONTH($C3437),1))</f>
        <v/>
      </c>
      <c r="F3437">
        <f>IF($C3437="","",YEAR($C3437)&amp;"-Q"&amp;ROUNDUP(MONTH($C3437)/3,0))</f>
        <v/>
      </c>
      <c r="L3437">
        <f>IF($G3437&lt;&gt;"ALCOHOL","",IF($K3437="","",$H3437*IFERROR(VLOOKUP($K3437,Drink_Templates!$A:$G,7,FALSE),0)))</f>
        <v/>
      </c>
    </row>
    <row r="3438" ht="15" customHeight="1">
      <c r="C3438">
        <f>IF($B3438="","",INT($B3438))</f>
        <v/>
      </c>
      <c r="D3438">
        <f>IF($C3438="","",$C3438-WEEKDAY($C3438,2)+1)</f>
        <v/>
      </c>
      <c r="E3438">
        <f>IF($C3438="","",DATE(YEAR($C3438),MONTH($C3438),1))</f>
        <v/>
      </c>
      <c r="F3438">
        <f>IF($C3438="","",YEAR($C3438)&amp;"-Q"&amp;ROUNDUP(MONTH($C3438)/3,0))</f>
        <v/>
      </c>
      <c r="L3438">
        <f>IF($G3438&lt;&gt;"ALCOHOL","",IF($K3438="","",$H3438*IFERROR(VLOOKUP($K3438,Drink_Templates!$A:$G,7,FALSE),0)))</f>
        <v/>
      </c>
    </row>
    <row r="3439" ht="15" customHeight="1">
      <c r="C3439">
        <f>IF($B3439="","",INT($B3439))</f>
        <v/>
      </c>
      <c r="D3439">
        <f>IF($C3439="","",$C3439-WEEKDAY($C3439,2)+1)</f>
        <v/>
      </c>
      <c r="E3439">
        <f>IF($C3439="","",DATE(YEAR($C3439),MONTH($C3439),1))</f>
        <v/>
      </c>
      <c r="F3439">
        <f>IF($C3439="","",YEAR($C3439)&amp;"-Q"&amp;ROUNDUP(MONTH($C3439)/3,0))</f>
        <v/>
      </c>
      <c r="L3439">
        <f>IF($G3439&lt;&gt;"ALCOHOL","",IF($K3439="","",$H3439*IFERROR(VLOOKUP($K3439,Drink_Templates!$A:$G,7,FALSE),0)))</f>
        <v/>
      </c>
    </row>
    <row r="3440" ht="15" customHeight="1">
      <c r="C3440">
        <f>IF($B3440="","",INT($B3440))</f>
        <v/>
      </c>
      <c r="D3440">
        <f>IF($C3440="","",$C3440-WEEKDAY($C3440,2)+1)</f>
        <v/>
      </c>
      <c r="E3440">
        <f>IF($C3440="","",DATE(YEAR($C3440),MONTH($C3440),1))</f>
        <v/>
      </c>
      <c r="F3440">
        <f>IF($C3440="","",YEAR($C3440)&amp;"-Q"&amp;ROUNDUP(MONTH($C3440)/3,0))</f>
        <v/>
      </c>
      <c r="L3440">
        <f>IF($G3440&lt;&gt;"ALCOHOL","",IF($K3440="","",$H3440*IFERROR(VLOOKUP($K3440,Drink_Templates!$A:$G,7,FALSE),0)))</f>
        <v/>
      </c>
    </row>
    <row r="3441" ht="15" customHeight="1">
      <c r="C3441">
        <f>IF($B3441="","",INT($B3441))</f>
        <v/>
      </c>
      <c r="D3441">
        <f>IF($C3441="","",$C3441-WEEKDAY($C3441,2)+1)</f>
        <v/>
      </c>
      <c r="E3441">
        <f>IF($C3441="","",DATE(YEAR($C3441),MONTH($C3441),1))</f>
        <v/>
      </c>
      <c r="F3441">
        <f>IF($C3441="","",YEAR($C3441)&amp;"-Q"&amp;ROUNDUP(MONTH($C3441)/3,0))</f>
        <v/>
      </c>
      <c r="L3441">
        <f>IF($G3441&lt;&gt;"ALCOHOL","",IF($K3441="","",$H3441*IFERROR(VLOOKUP($K3441,Drink_Templates!$A:$G,7,FALSE),0)))</f>
        <v/>
      </c>
    </row>
    <row r="3442" ht="15" customHeight="1">
      <c r="C3442">
        <f>IF($B3442="","",INT($B3442))</f>
        <v/>
      </c>
      <c r="D3442">
        <f>IF($C3442="","",$C3442-WEEKDAY($C3442,2)+1)</f>
        <v/>
      </c>
      <c r="E3442">
        <f>IF($C3442="","",DATE(YEAR($C3442),MONTH($C3442),1))</f>
        <v/>
      </c>
      <c r="F3442">
        <f>IF($C3442="","",YEAR($C3442)&amp;"-Q"&amp;ROUNDUP(MONTH($C3442)/3,0))</f>
        <v/>
      </c>
      <c r="L3442">
        <f>IF($G3442&lt;&gt;"ALCOHOL","",IF($K3442="","",$H3442*IFERROR(VLOOKUP($K3442,Drink_Templates!$A:$G,7,FALSE),0)))</f>
        <v/>
      </c>
    </row>
    <row r="3443" ht="15" customHeight="1">
      <c r="C3443">
        <f>IF($B3443="","",INT($B3443))</f>
        <v/>
      </c>
      <c r="D3443">
        <f>IF($C3443="","",$C3443-WEEKDAY($C3443,2)+1)</f>
        <v/>
      </c>
      <c r="E3443">
        <f>IF($C3443="","",DATE(YEAR($C3443),MONTH($C3443),1))</f>
        <v/>
      </c>
      <c r="F3443">
        <f>IF($C3443="","",YEAR($C3443)&amp;"-Q"&amp;ROUNDUP(MONTH($C3443)/3,0))</f>
        <v/>
      </c>
      <c r="L3443">
        <f>IF($G3443&lt;&gt;"ALCOHOL","",IF($K3443="","",$H3443*IFERROR(VLOOKUP($K3443,Drink_Templates!$A:$G,7,FALSE),0)))</f>
        <v/>
      </c>
    </row>
    <row r="3444" ht="15" customHeight="1">
      <c r="C3444">
        <f>IF($B3444="","",INT($B3444))</f>
        <v/>
      </c>
      <c r="D3444">
        <f>IF($C3444="","",$C3444-WEEKDAY($C3444,2)+1)</f>
        <v/>
      </c>
      <c r="E3444">
        <f>IF($C3444="","",DATE(YEAR($C3444),MONTH($C3444),1))</f>
        <v/>
      </c>
      <c r="F3444">
        <f>IF($C3444="","",YEAR($C3444)&amp;"-Q"&amp;ROUNDUP(MONTH($C3444)/3,0))</f>
        <v/>
      </c>
      <c r="L3444">
        <f>IF($G3444&lt;&gt;"ALCOHOL","",IF($K3444="","",$H3444*IFERROR(VLOOKUP($K3444,Drink_Templates!$A:$G,7,FALSE),0)))</f>
        <v/>
      </c>
    </row>
    <row r="3445" ht="15" customHeight="1">
      <c r="C3445">
        <f>IF($B3445="","",INT($B3445))</f>
        <v/>
      </c>
      <c r="D3445">
        <f>IF($C3445="","",$C3445-WEEKDAY($C3445,2)+1)</f>
        <v/>
      </c>
      <c r="E3445">
        <f>IF($C3445="","",DATE(YEAR($C3445),MONTH($C3445),1))</f>
        <v/>
      </c>
      <c r="F3445">
        <f>IF($C3445="","",YEAR($C3445)&amp;"-Q"&amp;ROUNDUP(MONTH($C3445)/3,0))</f>
        <v/>
      </c>
      <c r="L3445">
        <f>IF($G3445&lt;&gt;"ALCOHOL","",IF($K3445="","",$H3445*IFERROR(VLOOKUP($K3445,Drink_Templates!$A:$G,7,FALSE),0)))</f>
        <v/>
      </c>
    </row>
    <row r="3446" ht="15" customHeight="1">
      <c r="C3446">
        <f>IF($B3446="","",INT($B3446))</f>
        <v/>
      </c>
      <c r="D3446">
        <f>IF($C3446="","",$C3446-WEEKDAY($C3446,2)+1)</f>
        <v/>
      </c>
      <c r="E3446">
        <f>IF($C3446="","",DATE(YEAR($C3446),MONTH($C3446),1))</f>
        <v/>
      </c>
      <c r="F3446">
        <f>IF($C3446="","",YEAR($C3446)&amp;"-Q"&amp;ROUNDUP(MONTH($C3446)/3,0))</f>
        <v/>
      </c>
      <c r="L3446">
        <f>IF($G3446&lt;&gt;"ALCOHOL","",IF($K3446="","",$H3446*IFERROR(VLOOKUP($K3446,Drink_Templates!$A:$G,7,FALSE),0)))</f>
        <v/>
      </c>
    </row>
    <row r="3447" ht="15" customHeight="1">
      <c r="C3447">
        <f>IF($B3447="","",INT($B3447))</f>
        <v/>
      </c>
      <c r="D3447">
        <f>IF($C3447="","",$C3447-WEEKDAY($C3447,2)+1)</f>
        <v/>
      </c>
      <c r="E3447">
        <f>IF($C3447="","",DATE(YEAR($C3447),MONTH($C3447),1))</f>
        <v/>
      </c>
      <c r="F3447">
        <f>IF($C3447="","",YEAR($C3447)&amp;"-Q"&amp;ROUNDUP(MONTH($C3447)/3,0))</f>
        <v/>
      </c>
      <c r="L3447">
        <f>IF($G3447&lt;&gt;"ALCOHOL","",IF($K3447="","",$H3447*IFERROR(VLOOKUP($K3447,Drink_Templates!$A:$G,7,FALSE),0)))</f>
        <v/>
      </c>
    </row>
    <row r="3448" ht="15" customHeight="1">
      <c r="C3448">
        <f>IF($B3448="","",INT($B3448))</f>
        <v/>
      </c>
      <c r="D3448">
        <f>IF($C3448="","",$C3448-WEEKDAY($C3448,2)+1)</f>
        <v/>
      </c>
      <c r="E3448">
        <f>IF($C3448="","",DATE(YEAR($C3448),MONTH($C3448),1))</f>
        <v/>
      </c>
      <c r="F3448">
        <f>IF($C3448="","",YEAR($C3448)&amp;"-Q"&amp;ROUNDUP(MONTH($C3448)/3,0))</f>
        <v/>
      </c>
      <c r="L3448">
        <f>IF($G3448&lt;&gt;"ALCOHOL","",IF($K3448="","",$H3448*IFERROR(VLOOKUP($K3448,Drink_Templates!$A:$G,7,FALSE),0)))</f>
        <v/>
      </c>
    </row>
    <row r="3449" ht="15" customHeight="1">
      <c r="C3449">
        <f>IF($B3449="","",INT($B3449))</f>
        <v/>
      </c>
      <c r="D3449">
        <f>IF($C3449="","",$C3449-WEEKDAY($C3449,2)+1)</f>
        <v/>
      </c>
      <c r="E3449">
        <f>IF($C3449="","",DATE(YEAR($C3449),MONTH($C3449),1))</f>
        <v/>
      </c>
      <c r="F3449">
        <f>IF($C3449="","",YEAR($C3449)&amp;"-Q"&amp;ROUNDUP(MONTH($C3449)/3,0))</f>
        <v/>
      </c>
      <c r="L3449">
        <f>IF($G3449&lt;&gt;"ALCOHOL","",IF($K3449="","",$H3449*IFERROR(VLOOKUP($K3449,Drink_Templates!$A:$G,7,FALSE),0)))</f>
        <v/>
      </c>
    </row>
    <row r="3450" ht="15" customHeight="1">
      <c r="C3450">
        <f>IF($B3450="","",INT($B3450))</f>
        <v/>
      </c>
      <c r="D3450">
        <f>IF($C3450="","",$C3450-WEEKDAY($C3450,2)+1)</f>
        <v/>
      </c>
      <c r="E3450">
        <f>IF($C3450="","",DATE(YEAR($C3450),MONTH($C3450),1))</f>
        <v/>
      </c>
      <c r="F3450">
        <f>IF($C3450="","",YEAR($C3450)&amp;"-Q"&amp;ROUNDUP(MONTH($C3450)/3,0))</f>
        <v/>
      </c>
      <c r="L3450">
        <f>IF($G3450&lt;&gt;"ALCOHOL","",IF($K3450="","",$H3450*IFERROR(VLOOKUP($K3450,Drink_Templates!$A:$G,7,FALSE),0)))</f>
        <v/>
      </c>
    </row>
    <row r="3451" ht="15" customHeight="1">
      <c r="C3451">
        <f>IF($B3451="","",INT($B3451))</f>
        <v/>
      </c>
      <c r="D3451">
        <f>IF($C3451="","",$C3451-WEEKDAY($C3451,2)+1)</f>
        <v/>
      </c>
      <c r="E3451">
        <f>IF($C3451="","",DATE(YEAR($C3451),MONTH($C3451),1))</f>
        <v/>
      </c>
      <c r="F3451">
        <f>IF($C3451="","",YEAR($C3451)&amp;"-Q"&amp;ROUNDUP(MONTH($C3451)/3,0))</f>
        <v/>
      </c>
      <c r="L3451">
        <f>IF($G3451&lt;&gt;"ALCOHOL","",IF($K3451="","",$H3451*IFERROR(VLOOKUP($K3451,Drink_Templates!$A:$G,7,FALSE),0)))</f>
        <v/>
      </c>
    </row>
    <row r="3452" ht="15" customHeight="1">
      <c r="C3452">
        <f>IF($B3452="","",INT($B3452))</f>
        <v/>
      </c>
      <c r="D3452">
        <f>IF($C3452="","",$C3452-WEEKDAY($C3452,2)+1)</f>
        <v/>
      </c>
      <c r="E3452">
        <f>IF($C3452="","",DATE(YEAR($C3452),MONTH($C3452),1))</f>
        <v/>
      </c>
      <c r="F3452">
        <f>IF($C3452="","",YEAR($C3452)&amp;"-Q"&amp;ROUNDUP(MONTH($C3452)/3,0))</f>
        <v/>
      </c>
      <c r="L3452">
        <f>IF($G3452&lt;&gt;"ALCOHOL","",IF($K3452="","",$H3452*IFERROR(VLOOKUP($K3452,Drink_Templates!$A:$G,7,FALSE),0)))</f>
        <v/>
      </c>
    </row>
    <row r="3453" ht="15" customHeight="1">
      <c r="C3453">
        <f>IF($B3453="","",INT($B3453))</f>
        <v/>
      </c>
      <c r="D3453">
        <f>IF($C3453="","",$C3453-WEEKDAY($C3453,2)+1)</f>
        <v/>
      </c>
      <c r="E3453">
        <f>IF($C3453="","",DATE(YEAR($C3453),MONTH($C3453),1))</f>
        <v/>
      </c>
      <c r="F3453">
        <f>IF($C3453="","",YEAR($C3453)&amp;"-Q"&amp;ROUNDUP(MONTH($C3453)/3,0))</f>
        <v/>
      </c>
      <c r="L3453">
        <f>IF($G3453&lt;&gt;"ALCOHOL","",IF($K3453="","",$H3453*IFERROR(VLOOKUP($K3453,Drink_Templates!$A:$G,7,FALSE),0)))</f>
        <v/>
      </c>
    </row>
    <row r="3454" ht="15" customHeight="1">
      <c r="C3454">
        <f>IF($B3454="","",INT($B3454))</f>
        <v/>
      </c>
      <c r="D3454">
        <f>IF($C3454="","",$C3454-WEEKDAY($C3454,2)+1)</f>
        <v/>
      </c>
      <c r="E3454">
        <f>IF($C3454="","",DATE(YEAR($C3454),MONTH($C3454),1))</f>
        <v/>
      </c>
      <c r="F3454">
        <f>IF($C3454="","",YEAR($C3454)&amp;"-Q"&amp;ROUNDUP(MONTH($C3454)/3,0))</f>
        <v/>
      </c>
      <c r="L3454">
        <f>IF($G3454&lt;&gt;"ALCOHOL","",IF($K3454="","",$H3454*IFERROR(VLOOKUP($K3454,Drink_Templates!$A:$G,7,FALSE),0)))</f>
        <v/>
      </c>
    </row>
    <row r="3455" ht="15" customHeight="1">
      <c r="C3455">
        <f>IF($B3455="","",INT($B3455))</f>
        <v/>
      </c>
      <c r="D3455">
        <f>IF($C3455="","",$C3455-WEEKDAY($C3455,2)+1)</f>
        <v/>
      </c>
      <c r="E3455">
        <f>IF($C3455="","",DATE(YEAR($C3455),MONTH($C3455),1))</f>
        <v/>
      </c>
      <c r="F3455">
        <f>IF($C3455="","",YEAR($C3455)&amp;"-Q"&amp;ROUNDUP(MONTH($C3455)/3,0))</f>
        <v/>
      </c>
      <c r="L3455">
        <f>IF($G3455&lt;&gt;"ALCOHOL","",IF($K3455="","",$H3455*IFERROR(VLOOKUP($K3455,Drink_Templates!$A:$G,7,FALSE),0)))</f>
        <v/>
      </c>
    </row>
    <row r="3456" ht="15" customHeight="1">
      <c r="C3456">
        <f>IF($B3456="","",INT($B3456))</f>
        <v/>
      </c>
      <c r="D3456">
        <f>IF($C3456="","",$C3456-WEEKDAY($C3456,2)+1)</f>
        <v/>
      </c>
      <c r="E3456">
        <f>IF($C3456="","",DATE(YEAR($C3456),MONTH($C3456),1))</f>
        <v/>
      </c>
      <c r="F3456">
        <f>IF($C3456="","",YEAR($C3456)&amp;"-Q"&amp;ROUNDUP(MONTH($C3456)/3,0))</f>
        <v/>
      </c>
      <c r="L3456">
        <f>IF($G3456&lt;&gt;"ALCOHOL","",IF($K3456="","",$H3456*IFERROR(VLOOKUP($K3456,Drink_Templates!$A:$G,7,FALSE),0)))</f>
        <v/>
      </c>
    </row>
    <row r="3457" ht="15" customHeight="1">
      <c r="C3457">
        <f>IF($B3457="","",INT($B3457))</f>
        <v/>
      </c>
      <c r="D3457">
        <f>IF($C3457="","",$C3457-WEEKDAY($C3457,2)+1)</f>
        <v/>
      </c>
      <c r="E3457">
        <f>IF($C3457="","",DATE(YEAR($C3457),MONTH($C3457),1))</f>
        <v/>
      </c>
      <c r="F3457">
        <f>IF($C3457="","",YEAR($C3457)&amp;"-Q"&amp;ROUNDUP(MONTH($C3457)/3,0))</f>
        <v/>
      </c>
      <c r="L3457">
        <f>IF($G3457&lt;&gt;"ALCOHOL","",IF($K3457="","",$H3457*IFERROR(VLOOKUP($K3457,Drink_Templates!$A:$G,7,FALSE),0)))</f>
        <v/>
      </c>
    </row>
    <row r="3458" ht="15" customHeight="1">
      <c r="C3458">
        <f>IF($B3458="","",INT($B3458))</f>
        <v/>
      </c>
      <c r="D3458">
        <f>IF($C3458="","",$C3458-WEEKDAY($C3458,2)+1)</f>
        <v/>
      </c>
      <c r="E3458">
        <f>IF($C3458="","",DATE(YEAR($C3458),MONTH($C3458),1))</f>
        <v/>
      </c>
      <c r="F3458">
        <f>IF($C3458="","",YEAR($C3458)&amp;"-Q"&amp;ROUNDUP(MONTH($C3458)/3,0))</f>
        <v/>
      </c>
      <c r="L3458">
        <f>IF($G3458&lt;&gt;"ALCOHOL","",IF($K3458="","",$H3458*IFERROR(VLOOKUP($K3458,Drink_Templates!$A:$G,7,FALSE),0)))</f>
        <v/>
      </c>
    </row>
    <row r="3459" ht="15" customHeight="1">
      <c r="C3459">
        <f>IF($B3459="","",INT($B3459))</f>
        <v/>
      </c>
      <c r="D3459">
        <f>IF($C3459="","",$C3459-WEEKDAY($C3459,2)+1)</f>
        <v/>
      </c>
      <c r="E3459">
        <f>IF($C3459="","",DATE(YEAR($C3459),MONTH($C3459),1))</f>
        <v/>
      </c>
      <c r="F3459">
        <f>IF($C3459="","",YEAR($C3459)&amp;"-Q"&amp;ROUNDUP(MONTH($C3459)/3,0))</f>
        <v/>
      </c>
      <c r="L3459">
        <f>IF($G3459&lt;&gt;"ALCOHOL","",IF($K3459="","",$H3459*IFERROR(VLOOKUP($K3459,Drink_Templates!$A:$G,7,FALSE),0)))</f>
        <v/>
      </c>
    </row>
    <row r="3460" ht="15" customHeight="1">
      <c r="C3460">
        <f>IF($B3460="","",INT($B3460))</f>
        <v/>
      </c>
      <c r="D3460">
        <f>IF($C3460="","",$C3460-WEEKDAY($C3460,2)+1)</f>
        <v/>
      </c>
      <c r="E3460">
        <f>IF($C3460="","",DATE(YEAR($C3460),MONTH($C3460),1))</f>
        <v/>
      </c>
      <c r="F3460">
        <f>IF($C3460="","",YEAR($C3460)&amp;"-Q"&amp;ROUNDUP(MONTH($C3460)/3,0))</f>
        <v/>
      </c>
      <c r="L3460">
        <f>IF($G3460&lt;&gt;"ALCOHOL","",IF($K3460="","",$H3460*IFERROR(VLOOKUP($K3460,Drink_Templates!$A:$G,7,FALSE),0)))</f>
        <v/>
      </c>
    </row>
    <row r="3461" ht="15" customHeight="1">
      <c r="C3461">
        <f>IF($B3461="","",INT($B3461))</f>
        <v/>
      </c>
      <c r="D3461">
        <f>IF($C3461="","",$C3461-WEEKDAY($C3461,2)+1)</f>
        <v/>
      </c>
      <c r="E3461">
        <f>IF($C3461="","",DATE(YEAR($C3461),MONTH($C3461),1))</f>
        <v/>
      </c>
      <c r="F3461">
        <f>IF($C3461="","",YEAR($C3461)&amp;"-Q"&amp;ROUNDUP(MONTH($C3461)/3,0))</f>
        <v/>
      </c>
      <c r="L3461">
        <f>IF($G3461&lt;&gt;"ALCOHOL","",IF($K3461="","",$H3461*IFERROR(VLOOKUP($K3461,Drink_Templates!$A:$G,7,FALSE),0)))</f>
        <v/>
      </c>
    </row>
    <row r="3462" ht="15" customHeight="1">
      <c r="C3462">
        <f>IF($B3462="","",INT($B3462))</f>
        <v/>
      </c>
      <c r="D3462">
        <f>IF($C3462="","",$C3462-WEEKDAY($C3462,2)+1)</f>
        <v/>
      </c>
      <c r="E3462">
        <f>IF($C3462="","",DATE(YEAR($C3462),MONTH($C3462),1))</f>
        <v/>
      </c>
      <c r="F3462">
        <f>IF($C3462="","",YEAR($C3462)&amp;"-Q"&amp;ROUNDUP(MONTH($C3462)/3,0))</f>
        <v/>
      </c>
      <c r="L3462">
        <f>IF($G3462&lt;&gt;"ALCOHOL","",IF($K3462="","",$H3462*IFERROR(VLOOKUP($K3462,Drink_Templates!$A:$G,7,FALSE),0)))</f>
        <v/>
      </c>
    </row>
    <row r="3463" ht="15" customHeight="1">
      <c r="C3463">
        <f>IF($B3463="","",INT($B3463))</f>
        <v/>
      </c>
      <c r="D3463">
        <f>IF($C3463="","",$C3463-WEEKDAY($C3463,2)+1)</f>
        <v/>
      </c>
      <c r="E3463">
        <f>IF($C3463="","",DATE(YEAR($C3463),MONTH($C3463),1))</f>
        <v/>
      </c>
      <c r="F3463">
        <f>IF($C3463="","",YEAR($C3463)&amp;"-Q"&amp;ROUNDUP(MONTH($C3463)/3,0))</f>
        <v/>
      </c>
      <c r="L3463">
        <f>IF($G3463&lt;&gt;"ALCOHOL","",IF($K3463="","",$H3463*IFERROR(VLOOKUP($K3463,Drink_Templates!$A:$G,7,FALSE),0)))</f>
        <v/>
      </c>
    </row>
    <row r="3464" ht="15" customHeight="1">
      <c r="C3464">
        <f>IF($B3464="","",INT($B3464))</f>
        <v/>
      </c>
      <c r="D3464">
        <f>IF($C3464="","",$C3464-WEEKDAY($C3464,2)+1)</f>
        <v/>
      </c>
      <c r="E3464">
        <f>IF($C3464="","",DATE(YEAR($C3464),MONTH($C3464),1))</f>
        <v/>
      </c>
      <c r="F3464">
        <f>IF($C3464="","",YEAR($C3464)&amp;"-Q"&amp;ROUNDUP(MONTH($C3464)/3,0))</f>
        <v/>
      </c>
      <c r="L3464">
        <f>IF($G3464&lt;&gt;"ALCOHOL","",IF($K3464="","",$H3464*IFERROR(VLOOKUP($K3464,Drink_Templates!$A:$G,7,FALSE),0)))</f>
        <v/>
      </c>
    </row>
    <row r="3465" ht="15" customHeight="1">
      <c r="C3465">
        <f>IF($B3465="","",INT($B3465))</f>
        <v/>
      </c>
      <c r="D3465">
        <f>IF($C3465="","",$C3465-WEEKDAY($C3465,2)+1)</f>
        <v/>
      </c>
      <c r="E3465">
        <f>IF($C3465="","",DATE(YEAR($C3465),MONTH($C3465),1))</f>
        <v/>
      </c>
      <c r="F3465">
        <f>IF($C3465="","",YEAR($C3465)&amp;"-Q"&amp;ROUNDUP(MONTH($C3465)/3,0))</f>
        <v/>
      </c>
      <c r="L3465">
        <f>IF($G3465&lt;&gt;"ALCOHOL","",IF($K3465="","",$H3465*IFERROR(VLOOKUP($K3465,Drink_Templates!$A:$G,7,FALSE),0)))</f>
        <v/>
      </c>
    </row>
    <row r="3466" ht="15" customHeight="1">
      <c r="C3466">
        <f>IF($B3466="","",INT($B3466))</f>
        <v/>
      </c>
      <c r="D3466">
        <f>IF($C3466="","",$C3466-WEEKDAY($C3466,2)+1)</f>
        <v/>
      </c>
      <c r="E3466">
        <f>IF($C3466="","",DATE(YEAR($C3466),MONTH($C3466),1))</f>
        <v/>
      </c>
      <c r="F3466">
        <f>IF($C3466="","",YEAR($C3466)&amp;"-Q"&amp;ROUNDUP(MONTH($C3466)/3,0))</f>
        <v/>
      </c>
      <c r="L3466">
        <f>IF($G3466&lt;&gt;"ALCOHOL","",IF($K3466="","",$H3466*IFERROR(VLOOKUP($K3466,Drink_Templates!$A:$G,7,FALSE),0)))</f>
        <v/>
      </c>
    </row>
    <row r="3467" ht="15" customHeight="1">
      <c r="C3467">
        <f>IF($B3467="","",INT($B3467))</f>
        <v/>
      </c>
      <c r="D3467">
        <f>IF($C3467="","",$C3467-WEEKDAY($C3467,2)+1)</f>
        <v/>
      </c>
      <c r="E3467">
        <f>IF($C3467="","",DATE(YEAR($C3467),MONTH($C3467),1))</f>
        <v/>
      </c>
      <c r="F3467">
        <f>IF($C3467="","",YEAR($C3467)&amp;"-Q"&amp;ROUNDUP(MONTH($C3467)/3,0))</f>
        <v/>
      </c>
      <c r="L3467">
        <f>IF($G3467&lt;&gt;"ALCOHOL","",IF($K3467="","",$H3467*IFERROR(VLOOKUP($K3467,Drink_Templates!$A:$G,7,FALSE),0)))</f>
        <v/>
      </c>
    </row>
    <row r="3468" ht="15" customHeight="1">
      <c r="C3468">
        <f>IF($B3468="","",INT($B3468))</f>
        <v/>
      </c>
      <c r="D3468">
        <f>IF($C3468="","",$C3468-WEEKDAY($C3468,2)+1)</f>
        <v/>
      </c>
      <c r="E3468">
        <f>IF($C3468="","",DATE(YEAR($C3468),MONTH($C3468),1))</f>
        <v/>
      </c>
      <c r="F3468">
        <f>IF($C3468="","",YEAR($C3468)&amp;"-Q"&amp;ROUNDUP(MONTH($C3468)/3,0))</f>
        <v/>
      </c>
      <c r="L3468">
        <f>IF($G3468&lt;&gt;"ALCOHOL","",IF($K3468="","",$H3468*IFERROR(VLOOKUP($K3468,Drink_Templates!$A:$G,7,FALSE),0)))</f>
        <v/>
      </c>
    </row>
    <row r="3469" ht="15" customHeight="1">
      <c r="C3469">
        <f>IF($B3469="","",INT($B3469))</f>
        <v/>
      </c>
      <c r="D3469">
        <f>IF($C3469="","",$C3469-WEEKDAY($C3469,2)+1)</f>
        <v/>
      </c>
      <c r="E3469">
        <f>IF($C3469="","",DATE(YEAR($C3469),MONTH($C3469),1))</f>
        <v/>
      </c>
      <c r="F3469">
        <f>IF($C3469="","",YEAR($C3469)&amp;"-Q"&amp;ROUNDUP(MONTH($C3469)/3,0))</f>
        <v/>
      </c>
      <c r="L3469">
        <f>IF($G3469&lt;&gt;"ALCOHOL","",IF($K3469="","",$H3469*IFERROR(VLOOKUP($K3469,Drink_Templates!$A:$G,7,FALSE),0)))</f>
        <v/>
      </c>
    </row>
    <row r="3470" ht="15" customHeight="1">
      <c r="C3470">
        <f>IF($B3470="","",INT($B3470))</f>
        <v/>
      </c>
      <c r="D3470">
        <f>IF($C3470="","",$C3470-WEEKDAY($C3470,2)+1)</f>
        <v/>
      </c>
      <c r="E3470">
        <f>IF($C3470="","",DATE(YEAR($C3470),MONTH($C3470),1))</f>
        <v/>
      </c>
      <c r="F3470">
        <f>IF($C3470="","",YEAR($C3470)&amp;"-Q"&amp;ROUNDUP(MONTH($C3470)/3,0))</f>
        <v/>
      </c>
      <c r="L3470">
        <f>IF($G3470&lt;&gt;"ALCOHOL","",IF($K3470="","",$H3470*IFERROR(VLOOKUP($K3470,Drink_Templates!$A:$G,7,FALSE),0)))</f>
        <v/>
      </c>
    </row>
    <row r="3471" ht="15" customHeight="1">
      <c r="C3471">
        <f>IF($B3471="","",INT($B3471))</f>
        <v/>
      </c>
      <c r="D3471">
        <f>IF($C3471="","",$C3471-WEEKDAY($C3471,2)+1)</f>
        <v/>
      </c>
      <c r="E3471">
        <f>IF($C3471="","",DATE(YEAR($C3471),MONTH($C3471),1))</f>
        <v/>
      </c>
      <c r="F3471">
        <f>IF($C3471="","",YEAR($C3471)&amp;"-Q"&amp;ROUNDUP(MONTH($C3471)/3,0))</f>
        <v/>
      </c>
      <c r="L3471">
        <f>IF($G3471&lt;&gt;"ALCOHOL","",IF($K3471="","",$H3471*IFERROR(VLOOKUP($K3471,Drink_Templates!$A:$G,7,FALSE),0)))</f>
        <v/>
      </c>
    </row>
    <row r="3472" ht="15" customHeight="1">
      <c r="C3472">
        <f>IF($B3472="","",INT($B3472))</f>
        <v/>
      </c>
      <c r="D3472">
        <f>IF($C3472="","",$C3472-WEEKDAY($C3472,2)+1)</f>
        <v/>
      </c>
      <c r="E3472">
        <f>IF($C3472="","",DATE(YEAR($C3472),MONTH($C3472),1))</f>
        <v/>
      </c>
      <c r="F3472">
        <f>IF($C3472="","",YEAR($C3472)&amp;"-Q"&amp;ROUNDUP(MONTH($C3472)/3,0))</f>
        <v/>
      </c>
      <c r="L3472">
        <f>IF($G3472&lt;&gt;"ALCOHOL","",IF($K3472="","",$H3472*IFERROR(VLOOKUP($K3472,Drink_Templates!$A:$G,7,FALSE),0)))</f>
        <v/>
      </c>
    </row>
    <row r="3473" ht="15" customHeight="1">
      <c r="C3473">
        <f>IF($B3473="","",INT($B3473))</f>
        <v/>
      </c>
      <c r="D3473">
        <f>IF($C3473="","",$C3473-WEEKDAY($C3473,2)+1)</f>
        <v/>
      </c>
      <c r="E3473">
        <f>IF($C3473="","",DATE(YEAR($C3473),MONTH($C3473),1))</f>
        <v/>
      </c>
      <c r="F3473">
        <f>IF($C3473="","",YEAR($C3473)&amp;"-Q"&amp;ROUNDUP(MONTH($C3473)/3,0))</f>
        <v/>
      </c>
      <c r="L3473">
        <f>IF($G3473&lt;&gt;"ALCOHOL","",IF($K3473="","",$H3473*IFERROR(VLOOKUP($K3473,Drink_Templates!$A:$G,7,FALSE),0)))</f>
        <v/>
      </c>
    </row>
    <row r="3474" ht="15" customHeight="1">
      <c r="C3474">
        <f>IF($B3474="","",INT($B3474))</f>
        <v/>
      </c>
      <c r="D3474">
        <f>IF($C3474="","",$C3474-WEEKDAY($C3474,2)+1)</f>
        <v/>
      </c>
      <c r="E3474">
        <f>IF($C3474="","",DATE(YEAR($C3474),MONTH($C3474),1))</f>
        <v/>
      </c>
      <c r="F3474">
        <f>IF($C3474="","",YEAR($C3474)&amp;"-Q"&amp;ROUNDUP(MONTH($C3474)/3,0))</f>
        <v/>
      </c>
      <c r="L3474">
        <f>IF($G3474&lt;&gt;"ALCOHOL","",IF($K3474="","",$H3474*IFERROR(VLOOKUP($K3474,Drink_Templates!$A:$G,7,FALSE),0)))</f>
        <v/>
      </c>
    </row>
    <row r="3475" ht="15" customHeight="1">
      <c r="C3475">
        <f>IF($B3475="","",INT($B3475))</f>
        <v/>
      </c>
      <c r="D3475">
        <f>IF($C3475="","",$C3475-WEEKDAY($C3475,2)+1)</f>
        <v/>
      </c>
      <c r="E3475">
        <f>IF($C3475="","",DATE(YEAR($C3475),MONTH($C3475),1))</f>
        <v/>
      </c>
      <c r="F3475">
        <f>IF($C3475="","",YEAR($C3475)&amp;"-Q"&amp;ROUNDUP(MONTH($C3475)/3,0))</f>
        <v/>
      </c>
      <c r="L3475">
        <f>IF($G3475&lt;&gt;"ALCOHOL","",IF($K3475="","",$H3475*IFERROR(VLOOKUP($K3475,Drink_Templates!$A:$G,7,FALSE),0)))</f>
        <v/>
      </c>
    </row>
    <row r="3476" ht="15" customHeight="1">
      <c r="C3476">
        <f>IF($B3476="","",INT($B3476))</f>
        <v/>
      </c>
      <c r="D3476">
        <f>IF($C3476="","",$C3476-WEEKDAY($C3476,2)+1)</f>
        <v/>
      </c>
      <c r="E3476">
        <f>IF($C3476="","",DATE(YEAR($C3476),MONTH($C3476),1))</f>
        <v/>
      </c>
      <c r="F3476">
        <f>IF($C3476="","",YEAR($C3476)&amp;"-Q"&amp;ROUNDUP(MONTH($C3476)/3,0))</f>
        <v/>
      </c>
      <c r="L3476">
        <f>IF($G3476&lt;&gt;"ALCOHOL","",IF($K3476="","",$H3476*IFERROR(VLOOKUP($K3476,Drink_Templates!$A:$G,7,FALSE),0)))</f>
        <v/>
      </c>
    </row>
    <row r="3477" ht="15" customHeight="1">
      <c r="C3477">
        <f>IF($B3477="","",INT($B3477))</f>
        <v/>
      </c>
      <c r="D3477">
        <f>IF($C3477="","",$C3477-WEEKDAY($C3477,2)+1)</f>
        <v/>
      </c>
      <c r="E3477">
        <f>IF($C3477="","",DATE(YEAR($C3477),MONTH($C3477),1))</f>
        <v/>
      </c>
      <c r="F3477">
        <f>IF($C3477="","",YEAR($C3477)&amp;"-Q"&amp;ROUNDUP(MONTH($C3477)/3,0))</f>
        <v/>
      </c>
      <c r="L3477">
        <f>IF($G3477&lt;&gt;"ALCOHOL","",IF($K3477="","",$H3477*IFERROR(VLOOKUP($K3477,Drink_Templates!$A:$G,7,FALSE),0)))</f>
        <v/>
      </c>
    </row>
    <row r="3478" ht="15" customHeight="1">
      <c r="C3478">
        <f>IF($B3478="","",INT($B3478))</f>
        <v/>
      </c>
      <c r="D3478">
        <f>IF($C3478="","",$C3478-WEEKDAY($C3478,2)+1)</f>
        <v/>
      </c>
      <c r="E3478">
        <f>IF($C3478="","",DATE(YEAR($C3478),MONTH($C3478),1))</f>
        <v/>
      </c>
      <c r="F3478">
        <f>IF($C3478="","",YEAR($C3478)&amp;"-Q"&amp;ROUNDUP(MONTH($C3478)/3,0))</f>
        <v/>
      </c>
      <c r="L3478">
        <f>IF($G3478&lt;&gt;"ALCOHOL","",IF($K3478="","",$H3478*IFERROR(VLOOKUP($K3478,Drink_Templates!$A:$G,7,FALSE),0)))</f>
        <v/>
      </c>
    </row>
    <row r="3479" ht="15" customHeight="1">
      <c r="C3479">
        <f>IF($B3479="","",INT($B3479))</f>
        <v/>
      </c>
      <c r="D3479">
        <f>IF($C3479="","",$C3479-WEEKDAY($C3479,2)+1)</f>
        <v/>
      </c>
      <c r="E3479">
        <f>IF($C3479="","",DATE(YEAR($C3479),MONTH($C3479),1))</f>
        <v/>
      </c>
      <c r="F3479">
        <f>IF($C3479="","",YEAR($C3479)&amp;"-Q"&amp;ROUNDUP(MONTH($C3479)/3,0))</f>
        <v/>
      </c>
      <c r="L3479">
        <f>IF($G3479&lt;&gt;"ALCOHOL","",IF($K3479="","",$H3479*IFERROR(VLOOKUP($K3479,Drink_Templates!$A:$G,7,FALSE),0)))</f>
        <v/>
      </c>
    </row>
    <row r="3480" ht="15" customHeight="1">
      <c r="C3480">
        <f>IF($B3480="","",INT($B3480))</f>
        <v/>
      </c>
      <c r="D3480">
        <f>IF($C3480="","",$C3480-WEEKDAY($C3480,2)+1)</f>
        <v/>
      </c>
      <c r="E3480">
        <f>IF($C3480="","",DATE(YEAR($C3480),MONTH($C3480),1))</f>
        <v/>
      </c>
      <c r="F3480">
        <f>IF($C3480="","",YEAR($C3480)&amp;"-Q"&amp;ROUNDUP(MONTH($C3480)/3,0))</f>
        <v/>
      </c>
      <c r="L3480">
        <f>IF($G3480&lt;&gt;"ALCOHOL","",IF($K3480="","",$H3480*IFERROR(VLOOKUP($K3480,Drink_Templates!$A:$G,7,FALSE),0)))</f>
        <v/>
      </c>
    </row>
    <row r="3481" ht="15" customHeight="1">
      <c r="C3481">
        <f>IF($B3481="","",INT($B3481))</f>
        <v/>
      </c>
      <c r="D3481">
        <f>IF($C3481="","",$C3481-WEEKDAY($C3481,2)+1)</f>
        <v/>
      </c>
      <c r="E3481">
        <f>IF($C3481="","",DATE(YEAR($C3481),MONTH($C3481),1))</f>
        <v/>
      </c>
      <c r="F3481">
        <f>IF($C3481="","",YEAR($C3481)&amp;"-Q"&amp;ROUNDUP(MONTH($C3481)/3,0))</f>
        <v/>
      </c>
      <c r="L3481">
        <f>IF($G3481&lt;&gt;"ALCOHOL","",IF($K3481="","",$H3481*IFERROR(VLOOKUP($K3481,Drink_Templates!$A:$G,7,FALSE),0)))</f>
        <v/>
      </c>
    </row>
    <row r="3482" ht="15" customHeight="1">
      <c r="C3482">
        <f>IF($B3482="","",INT($B3482))</f>
        <v/>
      </c>
      <c r="D3482">
        <f>IF($C3482="","",$C3482-WEEKDAY($C3482,2)+1)</f>
        <v/>
      </c>
      <c r="E3482">
        <f>IF($C3482="","",DATE(YEAR($C3482),MONTH($C3482),1))</f>
        <v/>
      </c>
      <c r="F3482">
        <f>IF($C3482="","",YEAR($C3482)&amp;"-Q"&amp;ROUNDUP(MONTH($C3482)/3,0))</f>
        <v/>
      </c>
      <c r="L3482">
        <f>IF($G3482&lt;&gt;"ALCOHOL","",IF($K3482="","",$H3482*IFERROR(VLOOKUP($K3482,Drink_Templates!$A:$G,7,FALSE),0)))</f>
        <v/>
      </c>
    </row>
    <row r="3483" ht="15" customHeight="1">
      <c r="C3483">
        <f>IF($B3483="","",INT($B3483))</f>
        <v/>
      </c>
      <c r="D3483">
        <f>IF($C3483="","",$C3483-WEEKDAY($C3483,2)+1)</f>
        <v/>
      </c>
      <c r="E3483">
        <f>IF($C3483="","",DATE(YEAR($C3483),MONTH($C3483),1))</f>
        <v/>
      </c>
      <c r="F3483">
        <f>IF($C3483="","",YEAR($C3483)&amp;"-Q"&amp;ROUNDUP(MONTH($C3483)/3,0))</f>
        <v/>
      </c>
      <c r="L3483">
        <f>IF($G3483&lt;&gt;"ALCOHOL","",IF($K3483="","",$H3483*IFERROR(VLOOKUP($K3483,Drink_Templates!$A:$G,7,FALSE),0)))</f>
        <v/>
      </c>
    </row>
    <row r="3484" ht="15" customHeight="1">
      <c r="C3484">
        <f>IF($B3484="","",INT($B3484))</f>
        <v/>
      </c>
      <c r="D3484">
        <f>IF($C3484="","",$C3484-WEEKDAY($C3484,2)+1)</f>
        <v/>
      </c>
      <c r="E3484">
        <f>IF($C3484="","",DATE(YEAR($C3484),MONTH($C3484),1))</f>
        <v/>
      </c>
      <c r="F3484">
        <f>IF($C3484="","",YEAR($C3484)&amp;"-Q"&amp;ROUNDUP(MONTH($C3484)/3,0))</f>
        <v/>
      </c>
      <c r="L3484">
        <f>IF($G3484&lt;&gt;"ALCOHOL","",IF($K3484="","",$H3484*IFERROR(VLOOKUP($K3484,Drink_Templates!$A:$G,7,FALSE),0)))</f>
        <v/>
      </c>
    </row>
    <row r="3485" ht="15" customHeight="1">
      <c r="C3485">
        <f>IF($B3485="","",INT($B3485))</f>
        <v/>
      </c>
      <c r="D3485">
        <f>IF($C3485="","",$C3485-WEEKDAY($C3485,2)+1)</f>
        <v/>
      </c>
      <c r="E3485">
        <f>IF($C3485="","",DATE(YEAR($C3485),MONTH($C3485),1))</f>
        <v/>
      </c>
      <c r="F3485">
        <f>IF($C3485="","",YEAR($C3485)&amp;"-Q"&amp;ROUNDUP(MONTH($C3485)/3,0))</f>
        <v/>
      </c>
      <c r="L3485">
        <f>IF($G3485&lt;&gt;"ALCOHOL","",IF($K3485="","",$H3485*IFERROR(VLOOKUP($K3485,Drink_Templates!$A:$G,7,FALSE),0)))</f>
        <v/>
      </c>
    </row>
    <row r="3486" ht="15" customHeight="1">
      <c r="C3486">
        <f>IF($B3486="","",INT($B3486))</f>
        <v/>
      </c>
      <c r="D3486">
        <f>IF($C3486="","",$C3486-WEEKDAY($C3486,2)+1)</f>
        <v/>
      </c>
      <c r="E3486">
        <f>IF($C3486="","",DATE(YEAR($C3486),MONTH($C3486),1))</f>
        <v/>
      </c>
      <c r="F3486">
        <f>IF($C3486="","",YEAR($C3486)&amp;"-Q"&amp;ROUNDUP(MONTH($C3486)/3,0))</f>
        <v/>
      </c>
      <c r="L3486">
        <f>IF($G3486&lt;&gt;"ALCOHOL","",IF($K3486="","",$H3486*IFERROR(VLOOKUP($K3486,Drink_Templates!$A:$G,7,FALSE),0)))</f>
        <v/>
      </c>
    </row>
    <row r="3487" ht="15" customHeight="1">
      <c r="C3487">
        <f>IF($B3487="","",INT($B3487))</f>
        <v/>
      </c>
      <c r="D3487">
        <f>IF($C3487="","",$C3487-WEEKDAY($C3487,2)+1)</f>
        <v/>
      </c>
      <c r="E3487">
        <f>IF($C3487="","",DATE(YEAR($C3487),MONTH($C3487),1))</f>
        <v/>
      </c>
      <c r="F3487">
        <f>IF($C3487="","",YEAR($C3487)&amp;"-Q"&amp;ROUNDUP(MONTH($C3487)/3,0))</f>
        <v/>
      </c>
      <c r="L3487">
        <f>IF($G3487&lt;&gt;"ALCOHOL","",IF($K3487="","",$H3487*IFERROR(VLOOKUP($K3487,Drink_Templates!$A:$G,7,FALSE),0)))</f>
        <v/>
      </c>
    </row>
    <row r="3488" ht="15" customHeight="1">
      <c r="C3488">
        <f>IF($B3488="","",INT($B3488))</f>
        <v/>
      </c>
      <c r="D3488">
        <f>IF($C3488="","",$C3488-WEEKDAY($C3488,2)+1)</f>
        <v/>
      </c>
      <c r="E3488">
        <f>IF($C3488="","",DATE(YEAR($C3488),MONTH($C3488),1))</f>
        <v/>
      </c>
      <c r="F3488">
        <f>IF($C3488="","",YEAR($C3488)&amp;"-Q"&amp;ROUNDUP(MONTH($C3488)/3,0))</f>
        <v/>
      </c>
      <c r="L3488">
        <f>IF($G3488&lt;&gt;"ALCOHOL","",IF($K3488="","",$H3488*IFERROR(VLOOKUP($K3488,Drink_Templates!$A:$G,7,FALSE),0)))</f>
        <v/>
      </c>
    </row>
    <row r="3489" ht="15" customHeight="1">
      <c r="C3489">
        <f>IF($B3489="","",INT($B3489))</f>
        <v/>
      </c>
      <c r="D3489">
        <f>IF($C3489="","",$C3489-WEEKDAY($C3489,2)+1)</f>
        <v/>
      </c>
      <c r="E3489">
        <f>IF($C3489="","",DATE(YEAR($C3489),MONTH($C3489),1))</f>
        <v/>
      </c>
      <c r="F3489">
        <f>IF($C3489="","",YEAR($C3489)&amp;"-Q"&amp;ROUNDUP(MONTH($C3489)/3,0))</f>
        <v/>
      </c>
      <c r="L3489">
        <f>IF($G3489&lt;&gt;"ALCOHOL","",IF($K3489="","",$H3489*IFERROR(VLOOKUP($K3489,Drink_Templates!$A:$G,7,FALSE),0)))</f>
        <v/>
      </c>
    </row>
    <row r="3490" ht="15" customHeight="1">
      <c r="C3490">
        <f>IF($B3490="","",INT($B3490))</f>
        <v/>
      </c>
      <c r="D3490">
        <f>IF($C3490="","",$C3490-WEEKDAY($C3490,2)+1)</f>
        <v/>
      </c>
      <c r="E3490">
        <f>IF($C3490="","",DATE(YEAR($C3490),MONTH($C3490),1))</f>
        <v/>
      </c>
      <c r="F3490">
        <f>IF($C3490="","",YEAR($C3490)&amp;"-Q"&amp;ROUNDUP(MONTH($C3490)/3,0))</f>
        <v/>
      </c>
      <c r="L3490">
        <f>IF($G3490&lt;&gt;"ALCOHOL","",IF($K3490="","",$H3490*IFERROR(VLOOKUP($K3490,Drink_Templates!$A:$G,7,FALSE),0)))</f>
        <v/>
      </c>
    </row>
    <row r="3491" ht="15" customHeight="1">
      <c r="C3491">
        <f>IF($B3491="","",INT($B3491))</f>
        <v/>
      </c>
      <c r="D3491">
        <f>IF($C3491="","",$C3491-WEEKDAY($C3491,2)+1)</f>
        <v/>
      </c>
      <c r="E3491">
        <f>IF($C3491="","",DATE(YEAR($C3491),MONTH($C3491),1))</f>
        <v/>
      </c>
      <c r="F3491">
        <f>IF($C3491="","",YEAR($C3491)&amp;"-Q"&amp;ROUNDUP(MONTH($C3491)/3,0))</f>
        <v/>
      </c>
      <c r="L3491">
        <f>IF($G3491&lt;&gt;"ALCOHOL","",IF($K3491="","",$H3491*IFERROR(VLOOKUP($K3491,Drink_Templates!$A:$G,7,FALSE),0)))</f>
        <v/>
      </c>
    </row>
    <row r="3492" ht="15" customHeight="1">
      <c r="C3492">
        <f>IF($B3492="","",INT($B3492))</f>
        <v/>
      </c>
      <c r="D3492">
        <f>IF($C3492="","",$C3492-WEEKDAY($C3492,2)+1)</f>
        <v/>
      </c>
      <c r="E3492">
        <f>IF($C3492="","",DATE(YEAR($C3492),MONTH($C3492),1))</f>
        <v/>
      </c>
      <c r="F3492">
        <f>IF($C3492="","",YEAR($C3492)&amp;"-Q"&amp;ROUNDUP(MONTH($C3492)/3,0))</f>
        <v/>
      </c>
      <c r="L3492">
        <f>IF($G3492&lt;&gt;"ALCOHOL","",IF($K3492="","",$H3492*IFERROR(VLOOKUP($K3492,Drink_Templates!$A:$G,7,FALSE),0)))</f>
        <v/>
      </c>
    </row>
    <row r="3493" ht="15" customHeight="1">
      <c r="C3493">
        <f>IF($B3493="","",INT($B3493))</f>
        <v/>
      </c>
      <c r="D3493">
        <f>IF($C3493="","",$C3493-WEEKDAY($C3493,2)+1)</f>
        <v/>
      </c>
      <c r="E3493">
        <f>IF($C3493="","",DATE(YEAR($C3493),MONTH($C3493),1))</f>
        <v/>
      </c>
      <c r="F3493">
        <f>IF($C3493="","",YEAR($C3493)&amp;"-Q"&amp;ROUNDUP(MONTH($C3493)/3,0))</f>
        <v/>
      </c>
      <c r="L3493">
        <f>IF($G3493&lt;&gt;"ALCOHOL","",IF($K3493="","",$H3493*IFERROR(VLOOKUP($K3493,Drink_Templates!$A:$G,7,FALSE),0)))</f>
        <v/>
      </c>
    </row>
    <row r="3494" ht="15" customHeight="1">
      <c r="C3494">
        <f>IF($B3494="","",INT($B3494))</f>
        <v/>
      </c>
      <c r="D3494">
        <f>IF($C3494="","",$C3494-WEEKDAY($C3494,2)+1)</f>
        <v/>
      </c>
      <c r="E3494">
        <f>IF($C3494="","",DATE(YEAR($C3494),MONTH($C3494),1))</f>
        <v/>
      </c>
      <c r="F3494">
        <f>IF($C3494="","",YEAR($C3494)&amp;"-Q"&amp;ROUNDUP(MONTH($C3494)/3,0))</f>
        <v/>
      </c>
      <c r="L3494">
        <f>IF($G3494&lt;&gt;"ALCOHOL","",IF($K3494="","",$H3494*IFERROR(VLOOKUP($K3494,Drink_Templates!$A:$G,7,FALSE),0)))</f>
        <v/>
      </c>
    </row>
    <row r="3495" ht="15" customHeight="1">
      <c r="C3495">
        <f>IF($B3495="","",INT($B3495))</f>
        <v/>
      </c>
      <c r="D3495">
        <f>IF($C3495="","",$C3495-WEEKDAY($C3495,2)+1)</f>
        <v/>
      </c>
      <c r="E3495">
        <f>IF($C3495="","",DATE(YEAR($C3495),MONTH($C3495),1))</f>
        <v/>
      </c>
      <c r="F3495">
        <f>IF($C3495="","",YEAR($C3495)&amp;"-Q"&amp;ROUNDUP(MONTH($C3495)/3,0))</f>
        <v/>
      </c>
      <c r="L3495">
        <f>IF($G3495&lt;&gt;"ALCOHOL","",IF($K3495="","",$H3495*IFERROR(VLOOKUP($K3495,Drink_Templates!$A:$G,7,FALSE),0)))</f>
        <v/>
      </c>
    </row>
    <row r="3496" ht="15" customHeight="1">
      <c r="C3496">
        <f>IF($B3496="","",INT($B3496))</f>
        <v/>
      </c>
      <c r="D3496">
        <f>IF($C3496="","",$C3496-WEEKDAY($C3496,2)+1)</f>
        <v/>
      </c>
      <c r="E3496">
        <f>IF($C3496="","",DATE(YEAR($C3496),MONTH($C3496),1))</f>
        <v/>
      </c>
      <c r="F3496">
        <f>IF($C3496="","",YEAR($C3496)&amp;"-Q"&amp;ROUNDUP(MONTH($C3496)/3,0))</f>
        <v/>
      </c>
      <c r="L3496">
        <f>IF($G3496&lt;&gt;"ALCOHOL","",IF($K3496="","",$H3496*IFERROR(VLOOKUP($K3496,Drink_Templates!$A:$G,7,FALSE),0)))</f>
        <v/>
      </c>
    </row>
    <row r="3497" ht="15" customHeight="1">
      <c r="C3497">
        <f>IF($B3497="","",INT($B3497))</f>
        <v/>
      </c>
      <c r="D3497">
        <f>IF($C3497="","",$C3497-WEEKDAY($C3497,2)+1)</f>
        <v/>
      </c>
      <c r="E3497">
        <f>IF($C3497="","",DATE(YEAR($C3497),MONTH($C3497),1))</f>
        <v/>
      </c>
      <c r="F3497">
        <f>IF($C3497="","",YEAR($C3497)&amp;"-Q"&amp;ROUNDUP(MONTH($C3497)/3,0))</f>
        <v/>
      </c>
      <c r="L3497">
        <f>IF($G3497&lt;&gt;"ALCOHOL","",IF($K3497="","",$H3497*IFERROR(VLOOKUP($K3497,Drink_Templates!$A:$G,7,FALSE),0)))</f>
        <v/>
      </c>
    </row>
    <row r="3498" ht="15" customHeight="1">
      <c r="C3498">
        <f>IF($B3498="","",INT($B3498))</f>
        <v/>
      </c>
      <c r="D3498">
        <f>IF($C3498="","",$C3498-WEEKDAY($C3498,2)+1)</f>
        <v/>
      </c>
      <c r="E3498">
        <f>IF($C3498="","",DATE(YEAR($C3498),MONTH($C3498),1))</f>
        <v/>
      </c>
      <c r="F3498">
        <f>IF($C3498="","",YEAR($C3498)&amp;"-Q"&amp;ROUNDUP(MONTH($C3498)/3,0))</f>
        <v/>
      </c>
      <c r="L3498">
        <f>IF($G3498&lt;&gt;"ALCOHOL","",IF($K3498="","",$H3498*IFERROR(VLOOKUP($K3498,Drink_Templates!$A:$G,7,FALSE),0)))</f>
        <v/>
      </c>
    </row>
    <row r="3499" ht="15" customHeight="1">
      <c r="C3499">
        <f>IF($B3499="","",INT($B3499))</f>
        <v/>
      </c>
      <c r="D3499">
        <f>IF($C3499="","",$C3499-WEEKDAY($C3499,2)+1)</f>
        <v/>
      </c>
      <c r="E3499">
        <f>IF($C3499="","",DATE(YEAR($C3499),MONTH($C3499),1))</f>
        <v/>
      </c>
      <c r="F3499">
        <f>IF($C3499="","",YEAR($C3499)&amp;"-Q"&amp;ROUNDUP(MONTH($C3499)/3,0))</f>
        <v/>
      </c>
      <c r="L3499">
        <f>IF($G3499&lt;&gt;"ALCOHOL","",IF($K3499="","",$H3499*IFERROR(VLOOKUP($K3499,Drink_Templates!$A:$G,7,FALSE),0)))</f>
        <v/>
      </c>
    </row>
    <row r="3500" ht="15" customHeight="1">
      <c r="C3500">
        <f>IF($B3500="","",INT($B3500))</f>
        <v/>
      </c>
      <c r="D3500">
        <f>IF($C3500="","",$C3500-WEEKDAY($C3500,2)+1)</f>
        <v/>
      </c>
      <c r="E3500">
        <f>IF($C3500="","",DATE(YEAR($C3500),MONTH($C3500),1))</f>
        <v/>
      </c>
      <c r="F3500">
        <f>IF($C3500="","",YEAR($C3500)&amp;"-Q"&amp;ROUNDUP(MONTH($C3500)/3,0))</f>
        <v/>
      </c>
      <c r="L3500">
        <f>IF($G3500&lt;&gt;"ALCOHOL","",IF($K3500="","",$H3500*IFERROR(VLOOKUP($K3500,Drink_Templates!$A:$G,7,FALSE),0)))</f>
        <v/>
      </c>
    </row>
    <row r="3501" ht="15" customHeight="1">
      <c r="C3501">
        <f>IF($B3501="","",INT($B3501))</f>
        <v/>
      </c>
      <c r="D3501">
        <f>IF($C3501="","",$C3501-WEEKDAY($C3501,2)+1)</f>
        <v/>
      </c>
      <c r="E3501">
        <f>IF($C3501="","",DATE(YEAR($C3501),MONTH($C3501),1))</f>
        <v/>
      </c>
      <c r="F3501">
        <f>IF($C3501="","",YEAR($C3501)&amp;"-Q"&amp;ROUNDUP(MONTH($C3501)/3,0))</f>
        <v/>
      </c>
      <c r="L3501">
        <f>IF($G3501&lt;&gt;"ALCOHOL","",IF($K3501="","",$H3501*IFERROR(VLOOKUP($K3501,Drink_Templates!$A:$G,7,FALSE),0)))</f>
        <v/>
      </c>
    </row>
    <row r="3502" ht="15" customHeight="1">
      <c r="C3502">
        <f>IF($B3502="","",INT($B3502))</f>
        <v/>
      </c>
      <c r="D3502">
        <f>IF($C3502="","",$C3502-WEEKDAY($C3502,2)+1)</f>
        <v/>
      </c>
      <c r="E3502">
        <f>IF($C3502="","",DATE(YEAR($C3502),MONTH($C3502),1))</f>
        <v/>
      </c>
      <c r="F3502">
        <f>IF($C3502="","",YEAR($C3502)&amp;"-Q"&amp;ROUNDUP(MONTH($C3502)/3,0))</f>
        <v/>
      </c>
      <c r="L3502">
        <f>IF($G3502&lt;&gt;"ALCOHOL","",IF($K3502="","",$H3502*IFERROR(VLOOKUP($K3502,Drink_Templates!$A:$G,7,FALSE),0)))</f>
        <v/>
      </c>
    </row>
    <row r="3503" ht="15" customHeight="1">
      <c r="C3503">
        <f>IF($B3503="","",INT($B3503))</f>
        <v/>
      </c>
      <c r="D3503">
        <f>IF($C3503="","",$C3503-WEEKDAY($C3503,2)+1)</f>
        <v/>
      </c>
      <c r="E3503">
        <f>IF($C3503="","",DATE(YEAR($C3503),MONTH($C3503),1))</f>
        <v/>
      </c>
      <c r="F3503">
        <f>IF($C3503="","",YEAR($C3503)&amp;"-Q"&amp;ROUNDUP(MONTH($C3503)/3,0))</f>
        <v/>
      </c>
      <c r="L3503">
        <f>IF($G3503&lt;&gt;"ALCOHOL","",IF($K3503="","",$H3503*IFERROR(VLOOKUP($K3503,Drink_Templates!$A:$G,7,FALSE),0)))</f>
        <v/>
      </c>
    </row>
    <row r="3504" ht="15" customHeight="1">
      <c r="C3504">
        <f>IF($B3504="","",INT($B3504))</f>
        <v/>
      </c>
      <c r="D3504">
        <f>IF($C3504="","",$C3504-WEEKDAY($C3504,2)+1)</f>
        <v/>
      </c>
      <c r="E3504">
        <f>IF($C3504="","",DATE(YEAR($C3504),MONTH($C3504),1))</f>
        <v/>
      </c>
      <c r="F3504">
        <f>IF($C3504="","",YEAR($C3504)&amp;"-Q"&amp;ROUNDUP(MONTH($C3504)/3,0))</f>
        <v/>
      </c>
      <c r="L3504">
        <f>IF($G3504&lt;&gt;"ALCOHOL","",IF($K3504="","",$H3504*IFERROR(VLOOKUP($K3504,Drink_Templates!$A:$G,7,FALSE),0)))</f>
        <v/>
      </c>
    </row>
    <row r="3505" ht="15" customHeight="1">
      <c r="C3505">
        <f>IF($B3505="","",INT($B3505))</f>
        <v/>
      </c>
      <c r="D3505">
        <f>IF($C3505="","",$C3505-WEEKDAY($C3505,2)+1)</f>
        <v/>
      </c>
      <c r="E3505">
        <f>IF($C3505="","",DATE(YEAR($C3505),MONTH($C3505),1))</f>
        <v/>
      </c>
      <c r="F3505">
        <f>IF($C3505="","",YEAR($C3505)&amp;"-Q"&amp;ROUNDUP(MONTH($C3505)/3,0))</f>
        <v/>
      </c>
      <c r="L3505">
        <f>IF($G3505&lt;&gt;"ALCOHOL","",IF($K3505="","",$H3505*IFERROR(VLOOKUP($K3505,Drink_Templates!$A:$G,7,FALSE),0)))</f>
        <v/>
      </c>
    </row>
    <row r="3506" ht="15" customHeight="1">
      <c r="C3506">
        <f>IF($B3506="","",INT($B3506))</f>
        <v/>
      </c>
      <c r="D3506">
        <f>IF($C3506="","",$C3506-WEEKDAY($C3506,2)+1)</f>
        <v/>
      </c>
      <c r="E3506">
        <f>IF($C3506="","",DATE(YEAR($C3506),MONTH($C3506),1))</f>
        <v/>
      </c>
      <c r="F3506">
        <f>IF($C3506="","",YEAR($C3506)&amp;"-Q"&amp;ROUNDUP(MONTH($C3506)/3,0))</f>
        <v/>
      </c>
      <c r="L3506">
        <f>IF($G3506&lt;&gt;"ALCOHOL","",IF($K3506="","",$H3506*IFERROR(VLOOKUP($K3506,Drink_Templates!$A:$G,7,FALSE),0)))</f>
        <v/>
      </c>
    </row>
    <row r="3507" ht="15" customHeight="1">
      <c r="C3507">
        <f>IF($B3507="","",INT($B3507))</f>
        <v/>
      </c>
      <c r="D3507">
        <f>IF($C3507="","",$C3507-WEEKDAY($C3507,2)+1)</f>
        <v/>
      </c>
      <c r="E3507">
        <f>IF($C3507="","",DATE(YEAR($C3507),MONTH($C3507),1))</f>
        <v/>
      </c>
      <c r="F3507">
        <f>IF($C3507="","",YEAR($C3507)&amp;"-Q"&amp;ROUNDUP(MONTH($C3507)/3,0))</f>
        <v/>
      </c>
      <c r="L3507">
        <f>IF($G3507&lt;&gt;"ALCOHOL","",IF($K3507="","",$H3507*IFERROR(VLOOKUP($K3507,Drink_Templates!$A:$G,7,FALSE),0)))</f>
        <v/>
      </c>
    </row>
    <row r="3508" ht="15" customHeight="1">
      <c r="C3508">
        <f>IF($B3508="","",INT($B3508))</f>
        <v/>
      </c>
      <c r="D3508">
        <f>IF($C3508="","",$C3508-WEEKDAY($C3508,2)+1)</f>
        <v/>
      </c>
      <c r="E3508">
        <f>IF($C3508="","",DATE(YEAR($C3508),MONTH($C3508),1))</f>
        <v/>
      </c>
      <c r="F3508">
        <f>IF($C3508="","",YEAR($C3508)&amp;"-Q"&amp;ROUNDUP(MONTH($C3508)/3,0))</f>
        <v/>
      </c>
      <c r="L3508">
        <f>IF($G3508&lt;&gt;"ALCOHOL","",IF($K3508="","",$H3508*IFERROR(VLOOKUP($K3508,Drink_Templates!$A:$G,7,FALSE),0)))</f>
        <v/>
      </c>
    </row>
    <row r="3509" ht="15" customHeight="1">
      <c r="C3509">
        <f>IF($B3509="","",INT($B3509))</f>
        <v/>
      </c>
      <c r="D3509">
        <f>IF($C3509="","",$C3509-WEEKDAY($C3509,2)+1)</f>
        <v/>
      </c>
      <c r="E3509">
        <f>IF($C3509="","",DATE(YEAR($C3509),MONTH($C3509),1))</f>
        <v/>
      </c>
      <c r="F3509">
        <f>IF($C3509="","",YEAR($C3509)&amp;"-Q"&amp;ROUNDUP(MONTH($C3509)/3,0))</f>
        <v/>
      </c>
      <c r="L3509">
        <f>IF($G3509&lt;&gt;"ALCOHOL","",IF($K3509="","",$H3509*IFERROR(VLOOKUP($K3509,Drink_Templates!$A:$G,7,FALSE),0)))</f>
        <v/>
      </c>
    </row>
    <row r="3510" ht="15" customHeight="1">
      <c r="C3510">
        <f>IF($B3510="","",INT($B3510))</f>
        <v/>
      </c>
      <c r="D3510">
        <f>IF($C3510="","",$C3510-WEEKDAY($C3510,2)+1)</f>
        <v/>
      </c>
      <c r="E3510">
        <f>IF($C3510="","",DATE(YEAR($C3510),MONTH($C3510),1))</f>
        <v/>
      </c>
      <c r="F3510">
        <f>IF($C3510="","",YEAR($C3510)&amp;"-Q"&amp;ROUNDUP(MONTH($C3510)/3,0))</f>
        <v/>
      </c>
      <c r="L3510">
        <f>IF($G3510&lt;&gt;"ALCOHOL","",IF($K3510="","",$H3510*IFERROR(VLOOKUP($K3510,Drink_Templates!$A:$G,7,FALSE),0)))</f>
        <v/>
      </c>
    </row>
    <row r="3511" ht="15" customHeight="1">
      <c r="C3511">
        <f>IF($B3511="","",INT($B3511))</f>
        <v/>
      </c>
      <c r="D3511">
        <f>IF($C3511="","",$C3511-WEEKDAY($C3511,2)+1)</f>
        <v/>
      </c>
      <c r="E3511">
        <f>IF($C3511="","",DATE(YEAR($C3511),MONTH($C3511),1))</f>
        <v/>
      </c>
      <c r="F3511">
        <f>IF($C3511="","",YEAR($C3511)&amp;"-Q"&amp;ROUNDUP(MONTH($C3511)/3,0))</f>
        <v/>
      </c>
      <c r="L3511">
        <f>IF($G3511&lt;&gt;"ALCOHOL","",IF($K3511="","",$H3511*IFERROR(VLOOKUP($K3511,Drink_Templates!$A:$G,7,FALSE),0)))</f>
        <v/>
      </c>
    </row>
    <row r="3512" ht="15" customHeight="1">
      <c r="C3512">
        <f>IF($B3512="","",INT($B3512))</f>
        <v/>
      </c>
      <c r="D3512">
        <f>IF($C3512="","",$C3512-WEEKDAY($C3512,2)+1)</f>
        <v/>
      </c>
      <c r="E3512">
        <f>IF($C3512="","",DATE(YEAR($C3512),MONTH($C3512),1))</f>
        <v/>
      </c>
      <c r="F3512">
        <f>IF($C3512="","",YEAR($C3512)&amp;"-Q"&amp;ROUNDUP(MONTH($C3512)/3,0))</f>
        <v/>
      </c>
      <c r="L3512">
        <f>IF($G3512&lt;&gt;"ALCOHOL","",IF($K3512="","",$H3512*IFERROR(VLOOKUP($K3512,Drink_Templates!$A:$G,7,FALSE),0)))</f>
        <v/>
      </c>
    </row>
    <row r="3513" ht="15" customHeight="1">
      <c r="C3513">
        <f>IF($B3513="","",INT($B3513))</f>
        <v/>
      </c>
      <c r="D3513">
        <f>IF($C3513="","",$C3513-WEEKDAY($C3513,2)+1)</f>
        <v/>
      </c>
      <c r="E3513">
        <f>IF($C3513="","",DATE(YEAR($C3513),MONTH($C3513),1))</f>
        <v/>
      </c>
      <c r="F3513">
        <f>IF($C3513="","",YEAR($C3513)&amp;"-Q"&amp;ROUNDUP(MONTH($C3513)/3,0))</f>
        <v/>
      </c>
      <c r="L3513">
        <f>IF($G3513&lt;&gt;"ALCOHOL","",IF($K3513="","",$H3513*IFERROR(VLOOKUP($K3513,Drink_Templates!$A:$G,7,FALSE),0)))</f>
        <v/>
      </c>
    </row>
    <row r="3514" ht="15" customHeight="1">
      <c r="C3514">
        <f>IF($B3514="","",INT($B3514))</f>
        <v/>
      </c>
      <c r="D3514">
        <f>IF($C3514="","",$C3514-WEEKDAY($C3514,2)+1)</f>
        <v/>
      </c>
      <c r="E3514">
        <f>IF($C3514="","",DATE(YEAR($C3514),MONTH($C3514),1))</f>
        <v/>
      </c>
      <c r="F3514">
        <f>IF($C3514="","",YEAR($C3514)&amp;"-Q"&amp;ROUNDUP(MONTH($C3514)/3,0))</f>
        <v/>
      </c>
      <c r="L3514">
        <f>IF($G3514&lt;&gt;"ALCOHOL","",IF($K3514="","",$H3514*IFERROR(VLOOKUP($K3514,Drink_Templates!$A:$G,7,FALSE),0)))</f>
        <v/>
      </c>
    </row>
    <row r="3515" ht="15" customHeight="1">
      <c r="C3515">
        <f>IF($B3515="","",INT($B3515))</f>
        <v/>
      </c>
      <c r="D3515">
        <f>IF($C3515="","",$C3515-WEEKDAY($C3515,2)+1)</f>
        <v/>
      </c>
      <c r="E3515">
        <f>IF($C3515="","",DATE(YEAR($C3515),MONTH($C3515),1))</f>
        <v/>
      </c>
      <c r="F3515">
        <f>IF($C3515="","",YEAR($C3515)&amp;"-Q"&amp;ROUNDUP(MONTH($C3515)/3,0))</f>
        <v/>
      </c>
      <c r="L3515">
        <f>IF($G3515&lt;&gt;"ALCOHOL","",IF($K3515="","",$H3515*IFERROR(VLOOKUP($K3515,Drink_Templates!$A:$G,7,FALSE),0)))</f>
        <v/>
      </c>
    </row>
    <row r="3516" ht="15" customHeight="1">
      <c r="C3516">
        <f>IF($B3516="","",INT($B3516))</f>
        <v/>
      </c>
      <c r="D3516">
        <f>IF($C3516="","",$C3516-WEEKDAY($C3516,2)+1)</f>
        <v/>
      </c>
      <c r="E3516">
        <f>IF($C3516="","",DATE(YEAR($C3516),MONTH($C3516),1))</f>
        <v/>
      </c>
      <c r="F3516">
        <f>IF($C3516="","",YEAR($C3516)&amp;"-Q"&amp;ROUNDUP(MONTH($C3516)/3,0))</f>
        <v/>
      </c>
      <c r="L3516">
        <f>IF($G3516&lt;&gt;"ALCOHOL","",IF($K3516="","",$H3516*IFERROR(VLOOKUP($K3516,Drink_Templates!$A:$G,7,FALSE),0)))</f>
        <v/>
      </c>
    </row>
    <row r="3517" ht="15" customHeight="1">
      <c r="C3517">
        <f>IF($B3517="","",INT($B3517))</f>
        <v/>
      </c>
      <c r="D3517">
        <f>IF($C3517="","",$C3517-WEEKDAY($C3517,2)+1)</f>
        <v/>
      </c>
      <c r="E3517">
        <f>IF($C3517="","",DATE(YEAR($C3517),MONTH($C3517),1))</f>
        <v/>
      </c>
      <c r="F3517">
        <f>IF($C3517="","",YEAR($C3517)&amp;"-Q"&amp;ROUNDUP(MONTH($C3517)/3,0))</f>
        <v/>
      </c>
      <c r="L3517">
        <f>IF($G3517&lt;&gt;"ALCOHOL","",IF($K3517="","",$H3517*IFERROR(VLOOKUP($K3517,Drink_Templates!$A:$G,7,FALSE),0)))</f>
        <v/>
      </c>
    </row>
    <row r="3518" ht="15" customHeight="1">
      <c r="C3518">
        <f>IF($B3518="","",INT($B3518))</f>
        <v/>
      </c>
      <c r="D3518">
        <f>IF($C3518="","",$C3518-WEEKDAY($C3518,2)+1)</f>
        <v/>
      </c>
      <c r="E3518">
        <f>IF($C3518="","",DATE(YEAR($C3518),MONTH($C3518),1))</f>
        <v/>
      </c>
      <c r="F3518">
        <f>IF($C3518="","",YEAR($C3518)&amp;"-Q"&amp;ROUNDUP(MONTH($C3518)/3,0))</f>
        <v/>
      </c>
      <c r="L3518">
        <f>IF($G3518&lt;&gt;"ALCOHOL","",IF($K3518="","",$H3518*IFERROR(VLOOKUP($K3518,Drink_Templates!$A:$G,7,FALSE),0)))</f>
        <v/>
      </c>
    </row>
    <row r="3519" ht="15" customHeight="1">
      <c r="C3519">
        <f>IF($B3519="","",INT($B3519))</f>
        <v/>
      </c>
      <c r="D3519">
        <f>IF($C3519="","",$C3519-WEEKDAY($C3519,2)+1)</f>
        <v/>
      </c>
      <c r="E3519">
        <f>IF($C3519="","",DATE(YEAR($C3519),MONTH($C3519),1))</f>
        <v/>
      </c>
      <c r="F3519">
        <f>IF($C3519="","",YEAR($C3519)&amp;"-Q"&amp;ROUNDUP(MONTH($C3519)/3,0))</f>
        <v/>
      </c>
      <c r="L3519">
        <f>IF($G3519&lt;&gt;"ALCOHOL","",IF($K3519="","",$H3519*IFERROR(VLOOKUP($K3519,Drink_Templates!$A:$G,7,FALSE),0)))</f>
        <v/>
      </c>
    </row>
    <row r="3520" ht="15" customHeight="1">
      <c r="C3520">
        <f>IF($B3520="","",INT($B3520))</f>
        <v/>
      </c>
      <c r="D3520">
        <f>IF($C3520="","",$C3520-WEEKDAY($C3520,2)+1)</f>
        <v/>
      </c>
      <c r="E3520">
        <f>IF($C3520="","",DATE(YEAR($C3520),MONTH($C3520),1))</f>
        <v/>
      </c>
      <c r="F3520">
        <f>IF($C3520="","",YEAR($C3520)&amp;"-Q"&amp;ROUNDUP(MONTH($C3520)/3,0))</f>
        <v/>
      </c>
      <c r="L3520">
        <f>IF($G3520&lt;&gt;"ALCOHOL","",IF($K3520="","",$H3520*IFERROR(VLOOKUP($K3520,Drink_Templates!$A:$G,7,FALSE),0)))</f>
        <v/>
      </c>
    </row>
    <row r="3521" ht="15" customHeight="1">
      <c r="C3521">
        <f>IF($B3521="","",INT($B3521))</f>
        <v/>
      </c>
      <c r="D3521">
        <f>IF($C3521="","",$C3521-WEEKDAY($C3521,2)+1)</f>
        <v/>
      </c>
      <c r="E3521">
        <f>IF($C3521="","",DATE(YEAR($C3521),MONTH($C3521),1))</f>
        <v/>
      </c>
      <c r="F3521">
        <f>IF($C3521="","",YEAR($C3521)&amp;"-Q"&amp;ROUNDUP(MONTH($C3521)/3,0))</f>
        <v/>
      </c>
      <c r="L3521">
        <f>IF($G3521&lt;&gt;"ALCOHOL","",IF($K3521="","",$H3521*IFERROR(VLOOKUP($K3521,Drink_Templates!$A:$G,7,FALSE),0)))</f>
        <v/>
      </c>
    </row>
    <row r="3522" ht="15" customHeight="1">
      <c r="C3522">
        <f>IF($B3522="","",INT($B3522))</f>
        <v/>
      </c>
      <c r="D3522">
        <f>IF($C3522="","",$C3522-WEEKDAY($C3522,2)+1)</f>
        <v/>
      </c>
      <c r="E3522">
        <f>IF($C3522="","",DATE(YEAR($C3522),MONTH($C3522),1))</f>
        <v/>
      </c>
      <c r="F3522">
        <f>IF($C3522="","",YEAR($C3522)&amp;"-Q"&amp;ROUNDUP(MONTH($C3522)/3,0))</f>
        <v/>
      </c>
      <c r="L3522">
        <f>IF($G3522&lt;&gt;"ALCOHOL","",IF($K3522="","",$H3522*IFERROR(VLOOKUP($K3522,Drink_Templates!$A:$G,7,FALSE),0)))</f>
        <v/>
      </c>
    </row>
    <row r="3523" ht="15" customHeight="1">
      <c r="C3523">
        <f>IF($B3523="","",INT($B3523))</f>
        <v/>
      </c>
      <c r="D3523">
        <f>IF($C3523="","",$C3523-WEEKDAY($C3523,2)+1)</f>
        <v/>
      </c>
      <c r="E3523">
        <f>IF($C3523="","",DATE(YEAR($C3523),MONTH($C3523),1))</f>
        <v/>
      </c>
      <c r="F3523">
        <f>IF($C3523="","",YEAR($C3523)&amp;"-Q"&amp;ROUNDUP(MONTH($C3523)/3,0))</f>
        <v/>
      </c>
      <c r="L3523">
        <f>IF($G3523&lt;&gt;"ALCOHOL","",IF($K3523="","",$H3523*IFERROR(VLOOKUP($K3523,Drink_Templates!$A:$G,7,FALSE),0)))</f>
        <v/>
      </c>
    </row>
    <row r="3524" ht="15" customHeight="1">
      <c r="C3524">
        <f>IF($B3524="","",INT($B3524))</f>
        <v/>
      </c>
      <c r="D3524">
        <f>IF($C3524="","",$C3524-WEEKDAY($C3524,2)+1)</f>
        <v/>
      </c>
      <c r="E3524">
        <f>IF($C3524="","",DATE(YEAR($C3524),MONTH($C3524),1))</f>
        <v/>
      </c>
      <c r="F3524">
        <f>IF($C3524="","",YEAR($C3524)&amp;"-Q"&amp;ROUNDUP(MONTH($C3524)/3,0))</f>
        <v/>
      </c>
      <c r="L3524">
        <f>IF($G3524&lt;&gt;"ALCOHOL","",IF($K3524="","",$H3524*IFERROR(VLOOKUP($K3524,Drink_Templates!$A:$G,7,FALSE),0)))</f>
        <v/>
      </c>
    </row>
    <row r="3525" ht="15" customHeight="1">
      <c r="C3525">
        <f>IF($B3525="","",INT($B3525))</f>
        <v/>
      </c>
      <c r="D3525">
        <f>IF($C3525="","",$C3525-WEEKDAY($C3525,2)+1)</f>
        <v/>
      </c>
      <c r="E3525">
        <f>IF($C3525="","",DATE(YEAR($C3525),MONTH($C3525),1))</f>
        <v/>
      </c>
      <c r="F3525">
        <f>IF($C3525="","",YEAR($C3525)&amp;"-Q"&amp;ROUNDUP(MONTH($C3525)/3,0))</f>
        <v/>
      </c>
      <c r="L3525">
        <f>IF($G3525&lt;&gt;"ALCOHOL","",IF($K3525="","",$H3525*IFERROR(VLOOKUP($K3525,Drink_Templates!$A:$G,7,FALSE),0)))</f>
        <v/>
      </c>
    </row>
    <row r="3526" ht="15" customHeight="1">
      <c r="C3526">
        <f>IF($B3526="","",INT($B3526))</f>
        <v/>
      </c>
      <c r="D3526">
        <f>IF($C3526="","",$C3526-WEEKDAY($C3526,2)+1)</f>
        <v/>
      </c>
      <c r="E3526">
        <f>IF($C3526="","",DATE(YEAR($C3526),MONTH($C3526),1))</f>
        <v/>
      </c>
      <c r="F3526">
        <f>IF($C3526="","",YEAR($C3526)&amp;"-Q"&amp;ROUNDUP(MONTH($C3526)/3,0))</f>
        <v/>
      </c>
      <c r="L3526">
        <f>IF($G3526&lt;&gt;"ALCOHOL","",IF($K3526="","",$H3526*IFERROR(VLOOKUP($K3526,Drink_Templates!$A:$G,7,FALSE),0)))</f>
        <v/>
      </c>
    </row>
    <row r="3527" ht="15" customHeight="1">
      <c r="C3527">
        <f>IF($B3527="","",INT($B3527))</f>
        <v/>
      </c>
      <c r="D3527">
        <f>IF($C3527="","",$C3527-WEEKDAY($C3527,2)+1)</f>
        <v/>
      </c>
      <c r="E3527">
        <f>IF($C3527="","",DATE(YEAR($C3527),MONTH($C3527),1))</f>
        <v/>
      </c>
      <c r="F3527">
        <f>IF($C3527="","",YEAR($C3527)&amp;"-Q"&amp;ROUNDUP(MONTH($C3527)/3,0))</f>
        <v/>
      </c>
      <c r="L3527">
        <f>IF($G3527&lt;&gt;"ALCOHOL","",IF($K3527="","",$H3527*IFERROR(VLOOKUP($K3527,Drink_Templates!$A:$G,7,FALSE),0)))</f>
        <v/>
      </c>
    </row>
    <row r="3528" ht="15" customHeight="1">
      <c r="C3528">
        <f>IF($B3528="","",INT($B3528))</f>
        <v/>
      </c>
      <c r="D3528">
        <f>IF($C3528="","",$C3528-WEEKDAY($C3528,2)+1)</f>
        <v/>
      </c>
      <c r="E3528">
        <f>IF($C3528="","",DATE(YEAR($C3528),MONTH($C3528),1))</f>
        <v/>
      </c>
      <c r="F3528">
        <f>IF($C3528="","",YEAR($C3528)&amp;"-Q"&amp;ROUNDUP(MONTH($C3528)/3,0))</f>
        <v/>
      </c>
      <c r="L3528">
        <f>IF($G3528&lt;&gt;"ALCOHOL","",IF($K3528="","",$H3528*IFERROR(VLOOKUP($K3528,Drink_Templates!$A:$G,7,FALSE),0)))</f>
        <v/>
      </c>
    </row>
    <row r="3529" ht="15" customHeight="1">
      <c r="C3529">
        <f>IF($B3529="","",INT($B3529))</f>
        <v/>
      </c>
      <c r="D3529">
        <f>IF($C3529="","",$C3529-WEEKDAY($C3529,2)+1)</f>
        <v/>
      </c>
      <c r="E3529">
        <f>IF($C3529="","",DATE(YEAR($C3529),MONTH($C3529),1))</f>
        <v/>
      </c>
      <c r="F3529">
        <f>IF($C3529="","",YEAR($C3529)&amp;"-Q"&amp;ROUNDUP(MONTH($C3529)/3,0))</f>
        <v/>
      </c>
      <c r="L3529">
        <f>IF($G3529&lt;&gt;"ALCOHOL","",IF($K3529="","",$H3529*IFERROR(VLOOKUP($K3529,Drink_Templates!$A:$G,7,FALSE),0)))</f>
        <v/>
      </c>
    </row>
    <row r="3530" ht="15" customHeight="1">
      <c r="C3530">
        <f>IF($B3530="","",INT($B3530))</f>
        <v/>
      </c>
      <c r="D3530">
        <f>IF($C3530="","",$C3530-WEEKDAY($C3530,2)+1)</f>
        <v/>
      </c>
      <c r="E3530">
        <f>IF($C3530="","",DATE(YEAR($C3530),MONTH($C3530),1))</f>
        <v/>
      </c>
      <c r="F3530">
        <f>IF($C3530="","",YEAR($C3530)&amp;"-Q"&amp;ROUNDUP(MONTH($C3530)/3,0))</f>
        <v/>
      </c>
      <c r="L3530">
        <f>IF($G3530&lt;&gt;"ALCOHOL","",IF($K3530="","",$H3530*IFERROR(VLOOKUP($K3530,Drink_Templates!$A:$G,7,FALSE),0)))</f>
        <v/>
      </c>
    </row>
    <row r="3531" ht="15" customHeight="1">
      <c r="C3531">
        <f>IF($B3531="","",INT($B3531))</f>
        <v/>
      </c>
      <c r="D3531">
        <f>IF($C3531="","",$C3531-WEEKDAY($C3531,2)+1)</f>
        <v/>
      </c>
      <c r="E3531">
        <f>IF($C3531="","",DATE(YEAR($C3531),MONTH($C3531),1))</f>
        <v/>
      </c>
      <c r="F3531">
        <f>IF($C3531="","",YEAR($C3531)&amp;"-Q"&amp;ROUNDUP(MONTH($C3531)/3,0))</f>
        <v/>
      </c>
      <c r="L3531">
        <f>IF($G3531&lt;&gt;"ALCOHOL","",IF($K3531="","",$H3531*IFERROR(VLOOKUP($K3531,Drink_Templates!$A:$G,7,FALSE),0)))</f>
        <v/>
      </c>
    </row>
    <row r="3532" ht="15" customHeight="1">
      <c r="C3532">
        <f>IF($B3532="","",INT($B3532))</f>
        <v/>
      </c>
      <c r="D3532">
        <f>IF($C3532="","",$C3532-WEEKDAY($C3532,2)+1)</f>
        <v/>
      </c>
      <c r="E3532">
        <f>IF($C3532="","",DATE(YEAR($C3532),MONTH($C3532),1))</f>
        <v/>
      </c>
      <c r="F3532">
        <f>IF($C3532="","",YEAR($C3532)&amp;"-Q"&amp;ROUNDUP(MONTH($C3532)/3,0))</f>
        <v/>
      </c>
      <c r="L3532">
        <f>IF($G3532&lt;&gt;"ALCOHOL","",IF($K3532="","",$H3532*IFERROR(VLOOKUP($K3532,Drink_Templates!$A:$G,7,FALSE),0)))</f>
        <v/>
      </c>
    </row>
    <row r="3533" ht="15" customHeight="1">
      <c r="C3533">
        <f>IF($B3533="","",INT($B3533))</f>
        <v/>
      </c>
      <c r="D3533">
        <f>IF($C3533="","",$C3533-WEEKDAY($C3533,2)+1)</f>
        <v/>
      </c>
      <c r="E3533">
        <f>IF($C3533="","",DATE(YEAR($C3533),MONTH($C3533),1))</f>
        <v/>
      </c>
      <c r="F3533">
        <f>IF($C3533="","",YEAR($C3533)&amp;"-Q"&amp;ROUNDUP(MONTH($C3533)/3,0))</f>
        <v/>
      </c>
      <c r="L3533">
        <f>IF($G3533&lt;&gt;"ALCOHOL","",IF($K3533="","",$H3533*IFERROR(VLOOKUP($K3533,Drink_Templates!$A:$G,7,FALSE),0)))</f>
        <v/>
      </c>
    </row>
    <row r="3534" ht="15" customHeight="1">
      <c r="C3534">
        <f>IF($B3534="","",INT($B3534))</f>
        <v/>
      </c>
      <c r="D3534">
        <f>IF($C3534="","",$C3534-WEEKDAY($C3534,2)+1)</f>
        <v/>
      </c>
      <c r="E3534">
        <f>IF($C3534="","",DATE(YEAR($C3534),MONTH($C3534),1))</f>
        <v/>
      </c>
      <c r="F3534">
        <f>IF($C3534="","",YEAR($C3534)&amp;"-Q"&amp;ROUNDUP(MONTH($C3534)/3,0))</f>
        <v/>
      </c>
      <c r="L3534">
        <f>IF($G3534&lt;&gt;"ALCOHOL","",IF($K3534="","",$H3534*IFERROR(VLOOKUP($K3534,Drink_Templates!$A:$G,7,FALSE),0)))</f>
        <v/>
      </c>
    </row>
    <row r="3535" ht="15" customHeight="1">
      <c r="C3535">
        <f>IF($B3535="","",INT($B3535))</f>
        <v/>
      </c>
      <c r="D3535">
        <f>IF($C3535="","",$C3535-WEEKDAY($C3535,2)+1)</f>
        <v/>
      </c>
      <c r="E3535">
        <f>IF($C3535="","",DATE(YEAR($C3535),MONTH($C3535),1))</f>
        <v/>
      </c>
      <c r="F3535">
        <f>IF($C3535="","",YEAR($C3535)&amp;"-Q"&amp;ROUNDUP(MONTH($C3535)/3,0))</f>
        <v/>
      </c>
      <c r="L3535">
        <f>IF($G3535&lt;&gt;"ALCOHOL","",IF($K3535="","",$H3535*IFERROR(VLOOKUP($K3535,Drink_Templates!$A:$G,7,FALSE),0)))</f>
        <v/>
      </c>
    </row>
    <row r="3536" ht="15" customHeight="1">
      <c r="C3536">
        <f>IF($B3536="","",INT($B3536))</f>
        <v/>
      </c>
      <c r="D3536">
        <f>IF($C3536="","",$C3536-WEEKDAY($C3536,2)+1)</f>
        <v/>
      </c>
      <c r="E3536">
        <f>IF($C3536="","",DATE(YEAR($C3536),MONTH($C3536),1))</f>
        <v/>
      </c>
      <c r="F3536">
        <f>IF($C3536="","",YEAR($C3536)&amp;"-Q"&amp;ROUNDUP(MONTH($C3536)/3,0))</f>
        <v/>
      </c>
      <c r="L3536">
        <f>IF($G3536&lt;&gt;"ALCOHOL","",IF($K3536="","",$H3536*IFERROR(VLOOKUP($K3536,Drink_Templates!$A:$G,7,FALSE),0)))</f>
        <v/>
      </c>
    </row>
    <row r="3537" ht="15" customHeight="1">
      <c r="C3537">
        <f>IF($B3537="","",INT($B3537))</f>
        <v/>
      </c>
      <c r="D3537">
        <f>IF($C3537="","",$C3537-WEEKDAY($C3537,2)+1)</f>
        <v/>
      </c>
      <c r="E3537">
        <f>IF($C3537="","",DATE(YEAR($C3537),MONTH($C3537),1))</f>
        <v/>
      </c>
      <c r="F3537">
        <f>IF($C3537="","",YEAR($C3537)&amp;"-Q"&amp;ROUNDUP(MONTH($C3537)/3,0))</f>
        <v/>
      </c>
      <c r="L3537">
        <f>IF($G3537&lt;&gt;"ALCOHOL","",IF($K3537="","",$H3537*IFERROR(VLOOKUP($K3537,Drink_Templates!$A:$G,7,FALSE),0)))</f>
        <v/>
      </c>
    </row>
    <row r="3538" ht="15" customHeight="1">
      <c r="C3538">
        <f>IF($B3538="","",INT($B3538))</f>
        <v/>
      </c>
      <c r="D3538">
        <f>IF($C3538="","",$C3538-WEEKDAY($C3538,2)+1)</f>
        <v/>
      </c>
      <c r="E3538">
        <f>IF($C3538="","",DATE(YEAR($C3538),MONTH($C3538),1))</f>
        <v/>
      </c>
      <c r="F3538">
        <f>IF($C3538="","",YEAR($C3538)&amp;"-Q"&amp;ROUNDUP(MONTH($C3538)/3,0))</f>
        <v/>
      </c>
      <c r="L3538">
        <f>IF($G3538&lt;&gt;"ALCOHOL","",IF($K3538="","",$H3538*IFERROR(VLOOKUP($K3538,Drink_Templates!$A:$G,7,FALSE),0)))</f>
        <v/>
      </c>
    </row>
    <row r="3539" ht="15" customHeight="1">
      <c r="C3539">
        <f>IF($B3539="","",INT($B3539))</f>
        <v/>
      </c>
      <c r="D3539">
        <f>IF($C3539="","",$C3539-WEEKDAY($C3539,2)+1)</f>
        <v/>
      </c>
      <c r="E3539">
        <f>IF($C3539="","",DATE(YEAR($C3539),MONTH($C3539),1))</f>
        <v/>
      </c>
      <c r="F3539">
        <f>IF($C3539="","",YEAR($C3539)&amp;"-Q"&amp;ROUNDUP(MONTH($C3539)/3,0))</f>
        <v/>
      </c>
      <c r="L3539">
        <f>IF($G3539&lt;&gt;"ALCOHOL","",IF($K3539="","",$H3539*IFERROR(VLOOKUP($K3539,Drink_Templates!$A:$G,7,FALSE),0)))</f>
        <v/>
      </c>
    </row>
    <row r="3540" ht="15" customHeight="1">
      <c r="C3540">
        <f>IF($B3540="","",INT($B3540))</f>
        <v/>
      </c>
      <c r="D3540">
        <f>IF($C3540="","",$C3540-WEEKDAY($C3540,2)+1)</f>
        <v/>
      </c>
      <c r="E3540">
        <f>IF($C3540="","",DATE(YEAR($C3540),MONTH($C3540),1))</f>
        <v/>
      </c>
      <c r="F3540">
        <f>IF($C3540="","",YEAR($C3540)&amp;"-Q"&amp;ROUNDUP(MONTH($C3540)/3,0))</f>
        <v/>
      </c>
      <c r="L3540">
        <f>IF($G3540&lt;&gt;"ALCOHOL","",IF($K3540="","",$H3540*IFERROR(VLOOKUP($K3540,Drink_Templates!$A:$G,7,FALSE),0)))</f>
        <v/>
      </c>
    </row>
    <row r="3541" ht="15" customHeight="1">
      <c r="C3541">
        <f>IF($B3541="","",INT($B3541))</f>
        <v/>
      </c>
      <c r="D3541">
        <f>IF($C3541="","",$C3541-WEEKDAY($C3541,2)+1)</f>
        <v/>
      </c>
      <c r="E3541">
        <f>IF($C3541="","",DATE(YEAR($C3541),MONTH($C3541),1))</f>
        <v/>
      </c>
      <c r="F3541">
        <f>IF($C3541="","",YEAR($C3541)&amp;"-Q"&amp;ROUNDUP(MONTH($C3541)/3,0))</f>
        <v/>
      </c>
      <c r="L3541">
        <f>IF($G3541&lt;&gt;"ALCOHOL","",IF($K3541="","",$H3541*IFERROR(VLOOKUP($K3541,Drink_Templates!$A:$G,7,FALSE),0)))</f>
        <v/>
      </c>
    </row>
    <row r="3542" ht="15" customHeight="1">
      <c r="C3542">
        <f>IF($B3542="","",INT($B3542))</f>
        <v/>
      </c>
      <c r="D3542">
        <f>IF($C3542="","",$C3542-WEEKDAY($C3542,2)+1)</f>
        <v/>
      </c>
      <c r="E3542">
        <f>IF($C3542="","",DATE(YEAR($C3542),MONTH($C3542),1))</f>
        <v/>
      </c>
      <c r="F3542">
        <f>IF($C3542="","",YEAR($C3542)&amp;"-Q"&amp;ROUNDUP(MONTH($C3542)/3,0))</f>
        <v/>
      </c>
      <c r="L3542">
        <f>IF($G3542&lt;&gt;"ALCOHOL","",IF($K3542="","",$H3542*IFERROR(VLOOKUP($K3542,Drink_Templates!$A:$G,7,FALSE),0)))</f>
        <v/>
      </c>
    </row>
    <row r="3543" ht="15" customHeight="1">
      <c r="C3543">
        <f>IF($B3543="","",INT($B3543))</f>
        <v/>
      </c>
      <c r="D3543">
        <f>IF($C3543="","",$C3543-WEEKDAY($C3543,2)+1)</f>
        <v/>
      </c>
      <c r="E3543">
        <f>IF($C3543="","",DATE(YEAR($C3543),MONTH($C3543),1))</f>
        <v/>
      </c>
      <c r="F3543">
        <f>IF($C3543="","",YEAR($C3543)&amp;"-Q"&amp;ROUNDUP(MONTH($C3543)/3,0))</f>
        <v/>
      </c>
      <c r="L3543">
        <f>IF($G3543&lt;&gt;"ALCOHOL","",IF($K3543="","",$H3543*IFERROR(VLOOKUP($K3543,Drink_Templates!$A:$G,7,FALSE),0)))</f>
        <v/>
      </c>
    </row>
    <row r="3544" ht="15" customHeight="1">
      <c r="C3544">
        <f>IF($B3544="","",INT($B3544))</f>
        <v/>
      </c>
      <c r="D3544">
        <f>IF($C3544="","",$C3544-WEEKDAY($C3544,2)+1)</f>
        <v/>
      </c>
      <c r="E3544">
        <f>IF($C3544="","",DATE(YEAR($C3544),MONTH($C3544),1))</f>
        <v/>
      </c>
      <c r="F3544">
        <f>IF($C3544="","",YEAR($C3544)&amp;"-Q"&amp;ROUNDUP(MONTH($C3544)/3,0))</f>
        <v/>
      </c>
      <c r="L3544">
        <f>IF($G3544&lt;&gt;"ALCOHOL","",IF($K3544="","",$H3544*IFERROR(VLOOKUP($K3544,Drink_Templates!$A:$G,7,FALSE),0)))</f>
        <v/>
      </c>
    </row>
    <row r="3545" ht="15" customHeight="1">
      <c r="C3545">
        <f>IF($B3545="","",INT($B3545))</f>
        <v/>
      </c>
      <c r="D3545">
        <f>IF($C3545="","",$C3545-WEEKDAY($C3545,2)+1)</f>
        <v/>
      </c>
      <c r="E3545">
        <f>IF($C3545="","",DATE(YEAR($C3545),MONTH($C3545),1))</f>
        <v/>
      </c>
      <c r="F3545">
        <f>IF($C3545="","",YEAR($C3545)&amp;"-Q"&amp;ROUNDUP(MONTH($C3545)/3,0))</f>
        <v/>
      </c>
      <c r="L3545">
        <f>IF($G3545&lt;&gt;"ALCOHOL","",IF($K3545="","",$H3545*IFERROR(VLOOKUP($K3545,Drink_Templates!$A:$G,7,FALSE),0)))</f>
        <v/>
      </c>
    </row>
    <row r="3546" ht="15" customHeight="1">
      <c r="C3546">
        <f>IF($B3546="","",INT($B3546))</f>
        <v/>
      </c>
      <c r="D3546">
        <f>IF($C3546="","",$C3546-WEEKDAY($C3546,2)+1)</f>
        <v/>
      </c>
      <c r="E3546">
        <f>IF($C3546="","",DATE(YEAR($C3546),MONTH($C3546),1))</f>
        <v/>
      </c>
      <c r="F3546">
        <f>IF($C3546="","",YEAR($C3546)&amp;"-Q"&amp;ROUNDUP(MONTH($C3546)/3,0))</f>
        <v/>
      </c>
      <c r="L3546">
        <f>IF($G3546&lt;&gt;"ALCOHOL","",IF($K3546="","",$H3546*IFERROR(VLOOKUP($K3546,Drink_Templates!$A:$G,7,FALSE),0)))</f>
        <v/>
      </c>
    </row>
    <row r="3547" ht="15" customHeight="1">
      <c r="C3547">
        <f>IF($B3547="","",INT($B3547))</f>
        <v/>
      </c>
      <c r="D3547">
        <f>IF($C3547="","",$C3547-WEEKDAY($C3547,2)+1)</f>
        <v/>
      </c>
      <c r="E3547">
        <f>IF($C3547="","",DATE(YEAR($C3547),MONTH($C3547),1))</f>
        <v/>
      </c>
      <c r="F3547">
        <f>IF($C3547="","",YEAR($C3547)&amp;"-Q"&amp;ROUNDUP(MONTH($C3547)/3,0))</f>
        <v/>
      </c>
      <c r="L3547">
        <f>IF($G3547&lt;&gt;"ALCOHOL","",IF($K3547="","",$H3547*IFERROR(VLOOKUP($K3547,Drink_Templates!$A:$G,7,FALSE),0)))</f>
        <v/>
      </c>
    </row>
    <row r="3548" ht="15" customHeight="1">
      <c r="C3548">
        <f>IF($B3548="","",INT($B3548))</f>
        <v/>
      </c>
      <c r="D3548">
        <f>IF($C3548="","",$C3548-WEEKDAY($C3548,2)+1)</f>
        <v/>
      </c>
      <c r="E3548">
        <f>IF($C3548="","",DATE(YEAR($C3548),MONTH($C3548),1))</f>
        <v/>
      </c>
      <c r="F3548">
        <f>IF($C3548="","",YEAR($C3548)&amp;"-Q"&amp;ROUNDUP(MONTH($C3548)/3,0))</f>
        <v/>
      </c>
      <c r="L3548">
        <f>IF($G3548&lt;&gt;"ALCOHOL","",IF($K3548="","",$H3548*IFERROR(VLOOKUP($K3548,Drink_Templates!$A:$G,7,FALSE),0)))</f>
        <v/>
      </c>
    </row>
    <row r="3549" ht="15" customHeight="1">
      <c r="C3549">
        <f>IF($B3549="","",INT($B3549))</f>
        <v/>
      </c>
      <c r="D3549">
        <f>IF($C3549="","",$C3549-WEEKDAY($C3549,2)+1)</f>
        <v/>
      </c>
      <c r="E3549">
        <f>IF($C3549="","",DATE(YEAR($C3549),MONTH($C3549),1))</f>
        <v/>
      </c>
      <c r="F3549">
        <f>IF($C3549="","",YEAR($C3549)&amp;"-Q"&amp;ROUNDUP(MONTH($C3549)/3,0))</f>
        <v/>
      </c>
      <c r="L3549">
        <f>IF($G3549&lt;&gt;"ALCOHOL","",IF($K3549="","",$H3549*IFERROR(VLOOKUP($K3549,Drink_Templates!$A:$G,7,FALSE),0)))</f>
        <v/>
      </c>
    </row>
    <row r="3550" ht="15" customHeight="1">
      <c r="C3550">
        <f>IF($B3550="","",INT($B3550))</f>
        <v/>
      </c>
      <c r="D3550">
        <f>IF($C3550="","",$C3550-WEEKDAY($C3550,2)+1)</f>
        <v/>
      </c>
      <c r="E3550">
        <f>IF($C3550="","",DATE(YEAR($C3550),MONTH($C3550),1))</f>
        <v/>
      </c>
      <c r="F3550">
        <f>IF($C3550="","",YEAR($C3550)&amp;"-Q"&amp;ROUNDUP(MONTH($C3550)/3,0))</f>
        <v/>
      </c>
      <c r="L3550">
        <f>IF($G3550&lt;&gt;"ALCOHOL","",IF($K3550="","",$H3550*IFERROR(VLOOKUP($K3550,Drink_Templates!$A:$G,7,FALSE),0)))</f>
        <v/>
      </c>
    </row>
    <row r="3551" ht="15" customHeight="1">
      <c r="C3551">
        <f>IF($B3551="","",INT($B3551))</f>
        <v/>
      </c>
      <c r="D3551">
        <f>IF($C3551="","",$C3551-WEEKDAY($C3551,2)+1)</f>
        <v/>
      </c>
      <c r="E3551">
        <f>IF($C3551="","",DATE(YEAR($C3551),MONTH($C3551),1))</f>
        <v/>
      </c>
      <c r="F3551">
        <f>IF($C3551="","",YEAR($C3551)&amp;"-Q"&amp;ROUNDUP(MONTH($C3551)/3,0))</f>
        <v/>
      </c>
      <c r="L3551">
        <f>IF($G3551&lt;&gt;"ALCOHOL","",IF($K3551="","",$H3551*IFERROR(VLOOKUP($K3551,Drink_Templates!$A:$G,7,FALSE),0)))</f>
        <v/>
      </c>
    </row>
    <row r="3552" ht="15" customHeight="1">
      <c r="C3552">
        <f>IF($B3552="","",INT($B3552))</f>
        <v/>
      </c>
      <c r="D3552">
        <f>IF($C3552="","",$C3552-WEEKDAY($C3552,2)+1)</f>
        <v/>
      </c>
      <c r="E3552">
        <f>IF($C3552="","",DATE(YEAR($C3552),MONTH($C3552),1))</f>
        <v/>
      </c>
      <c r="F3552">
        <f>IF($C3552="","",YEAR($C3552)&amp;"-Q"&amp;ROUNDUP(MONTH($C3552)/3,0))</f>
        <v/>
      </c>
      <c r="L3552">
        <f>IF($G3552&lt;&gt;"ALCOHOL","",IF($K3552="","",$H3552*IFERROR(VLOOKUP($K3552,Drink_Templates!$A:$G,7,FALSE),0)))</f>
        <v/>
      </c>
    </row>
    <row r="3553" ht="15" customHeight="1">
      <c r="C3553">
        <f>IF($B3553="","",INT($B3553))</f>
        <v/>
      </c>
      <c r="D3553">
        <f>IF($C3553="","",$C3553-WEEKDAY($C3553,2)+1)</f>
        <v/>
      </c>
      <c r="E3553">
        <f>IF($C3553="","",DATE(YEAR($C3553),MONTH($C3553),1))</f>
        <v/>
      </c>
      <c r="F3553">
        <f>IF($C3553="","",YEAR($C3553)&amp;"-Q"&amp;ROUNDUP(MONTH($C3553)/3,0))</f>
        <v/>
      </c>
      <c r="L3553">
        <f>IF($G3553&lt;&gt;"ALCOHOL","",IF($K3553="","",$H3553*IFERROR(VLOOKUP($K3553,Drink_Templates!$A:$G,7,FALSE),0)))</f>
        <v/>
      </c>
    </row>
    <row r="3554" ht="15" customHeight="1">
      <c r="C3554">
        <f>IF($B3554="","",INT($B3554))</f>
        <v/>
      </c>
      <c r="D3554">
        <f>IF($C3554="","",$C3554-WEEKDAY($C3554,2)+1)</f>
        <v/>
      </c>
      <c r="E3554">
        <f>IF($C3554="","",DATE(YEAR($C3554),MONTH($C3554),1))</f>
        <v/>
      </c>
      <c r="F3554">
        <f>IF($C3554="","",YEAR($C3554)&amp;"-Q"&amp;ROUNDUP(MONTH($C3554)/3,0))</f>
        <v/>
      </c>
      <c r="L3554">
        <f>IF($G3554&lt;&gt;"ALCOHOL","",IF($K3554="","",$H3554*IFERROR(VLOOKUP($K3554,Drink_Templates!$A:$G,7,FALSE),0)))</f>
        <v/>
      </c>
    </row>
    <row r="3555" ht="15" customHeight="1">
      <c r="C3555">
        <f>IF($B3555="","",INT($B3555))</f>
        <v/>
      </c>
      <c r="D3555">
        <f>IF($C3555="","",$C3555-WEEKDAY($C3555,2)+1)</f>
        <v/>
      </c>
      <c r="E3555">
        <f>IF($C3555="","",DATE(YEAR($C3555),MONTH($C3555),1))</f>
        <v/>
      </c>
      <c r="F3555">
        <f>IF($C3555="","",YEAR($C3555)&amp;"-Q"&amp;ROUNDUP(MONTH($C3555)/3,0))</f>
        <v/>
      </c>
      <c r="L3555">
        <f>IF($G3555&lt;&gt;"ALCOHOL","",IF($K3555="","",$H3555*IFERROR(VLOOKUP($K3555,Drink_Templates!$A:$G,7,FALSE),0)))</f>
        <v/>
      </c>
    </row>
    <row r="3556" ht="15" customHeight="1">
      <c r="C3556">
        <f>IF($B3556="","",INT($B3556))</f>
        <v/>
      </c>
      <c r="D3556">
        <f>IF($C3556="","",$C3556-WEEKDAY($C3556,2)+1)</f>
        <v/>
      </c>
      <c r="E3556">
        <f>IF($C3556="","",DATE(YEAR($C3556),MONTH($C3556),1))</f>
        <v/>
      </c>
      <c r="F3556">
        <f>IF($C3556="","",YEAR($C3556)&amp;"-Q"&amp;ROUNDUP(MONTH($C3556)/3,0))</f>
        <v/>
      </c>
      <c r="L3556">
        <f>IF($G3556&lt;&gt;"ALCOHOL","",IF($K3556="","",$H3556*IFERROR(VLOOKUP($K3556,Drink_Templates!$A:$G,7,FALSE),0)))</f>
        <v/>
      </c>
    </row>
    <row r="3557" ht="15" customHeight="1">
      <c r="C3557">
        <f>IF($B3557="","",INT($B3557))</f>
        <v/>
      </c>
      <c r="D3557">
        <f>IF($C3557="","",$C3557-WEEKDAY($C3557,2)+1)</f>
        <v/>
      </c>
      <c r="E3557">
        <f>IF($C3557="","",DATE(YEAR($C3557),MONTH($C3557),1))</f>
        <v/>
      </c>
      <c r="F3557">
        <f>IF($C3557="","",YEAR($C3557)&amp;"-Q"&amp;ROUNDUP(MONTH($C3557)/3,0))</f>
        <v/>
      </c>
      <c r="L3557">
        <f>IF($G3557&lt;&gt;"ALCOHOL","",IF($K3557="","",$H3557*IFERROR(VLOOKUP($K3557,Drink_Templates!$A:$G,7,FALSE),0)))</f>
        <v/>
      </c>
    </row>
    <row r="3558" ht="15" customHeight="1">
      <c r="C3558">
        <f>IF($B3558="","",INT($B3558))</f>
        <v/>
      </c>
      <c r="D3558">
        <f>IF($C3558="","",$C3558-WEEKDAY($C3558,2)+1)</f>
        <v/>
      </c>
      <c r="E3558">
        <f>IF($C3558="","",DATE(YEAR($C3558),MONTH($C3558),1))</f>
        <v/>
      </c>
      <c r="F3558">
        <f>IF($C3558="","",YEAR($C3558)&amp;"-Q"&amp;ROUNDUP(MONTH($C3558)/3,0))</f>
        <v/>
      </c>
      <c r="L3558">
        <f>IF($G3558&lt;&gt;"ALCOHOL","",IF($K3558="","",$H3558*IFERROR(VLOOKUP($K3558,Drink_Templates!$A:$G,7,FALSE),0)))</f>
        <v/>
      </c>
    </row>
    <row r="3559" ht="15" customHeight="1">
      <c r="C3559">
        <f>IF($B3559="","",INT($B3559))</f>
        <v/>
      </c>
      <c r="D3559">
        <f>IF($C3559="","",$C3559-WEEKDAY($C3559,2)+1)</f>
        <v/>
      </c>
      <c r="E3559">
        <f>IF($C3559="","",DATE(YEAR($C3559),MONTH($C3559),1))</f>
        <v/>
      </c>
      <c r="F3559">
        <f>IF($C3559="","",YEAR($C3559)&amp;"-Q"&amp;ROUNDUP(MONTH($C3559)/3,0))</f>
        <v/>
      </c>
      <c r="L3559">
        <f>IF($G3559&lt;&gt;"ALCOHOL","",IF($K3559="","",$H3559*IFERROR(VLOOKUP($K3559,Drink_Templates!$A:$G,7,FALSE),0)))</f>
        <v/>
      </c>
    </row>
    <row r="3560" ht="15" customHeight="1">
      <c r="C3560">
        <f>IF($B3560="","",INT($B3560))</f>
        <v/>
      </c>
      <c r="D3560">
        <f>IF($C3560="","",$C3560-WEEKDAY($C3560,2)+1)</f>
        <v/>
      </c>
      <c r="E3560">
        <f>IF($C3560="","",DATE(YEAR($C3560),MONTH($C3560),1))</f>
        <v/>
      </c>
      <c r="F3560">
        <f>IF($C3560="","",YEAR($C3560)&amp;"-Q"&amp;ROUNDUP(MONTH($C3560)/3,0))</f>
        <v/>
      </c>
      <c r="L3560">
        <f>IF($G3560&lt;&gt;"ALCOHOL","",IF($K3560="","",$H3560*IFERROR(VLOOKUP($K3560,Drink_Templates!$A:$G,7,FALSE),0)))</f>
        <v/>
      </c>
    </row>
    <row r="3561" ht="15" customHeight="1">
      <c r="C3561">
        <f>IF($B3561="","",INT($B3561))</f>
        <v/>
      </c>
      <c r="D3561">
        <f>IF($C3561="","",$C3561-WEEKDAY($C3561,2)+1)</f>
        <v/>
      </c>
      <c r="E3561">
        <f>IF($C3561="","",DATE(YEAR($C3561),MONTH($C3561),1))</f>
        <v/>
      </c>
      <c r="F3561">
        <f>IF($C3561="","",YEAR($C3561)&amp;"-Q"&amp;ROUNDUP(MONTH($C3561)/3,0))</f>
        <v/>
      </c>
      <c r="L3561">
        <f>IF($G3561&lt;&gt;"ALCOHOL","",IF($K3561="","",$H3561*IFERROR(VLOOKUP($K3561,Drink_Templates!$A:$G,7,FALSE),0)))</f>
        <v/>
      </c>
    </row>
    <row r="3562" ht="15" customHeight="1">
      <c r="C3562">
        <f>IF($B3562="","",INT($B3562))</f>
        <v/>
      </c>
      <c r="D3562">
        <f>IF($C3562="","",$C3562-WEEKDAY($C3562,2)+1)</f>
        <v/>
      </c>
      <c r="E3562">
        <f>IF($C3562="","",DATE(YEAR($C3562),MONTH($C3562),1))</f>
        <v/>
      </c>
      <c r="F3562">
        <f>IF($C3562="","",YEAR($C3562)&amp;"-Q"&amp;ROUNDUP(MONTH($C3562)/3,0))</f>
        <v/>
      </c>
      <c r="L3562">
        <f>IF($G3562&lt;&gt;"ALCOHOL","",IF($K3562="","",$H3562*IFERROR(VLOOKUP($K3562,Drink_Templates!$A:$G,7,FALSE),0)))</f>
        <v/>
      </c>
    </row>
    <row r="3563" ht="15" customHeight="1">
      <c r="C3563">
        <f>IF($B3563="","",INT($B3563))</f>
        <v/>
      </c>
      <c r="D3563">
        <f>IF($C3563="","",$C3563-WEEKDAY($C3563,2)+1)</f>
        <v/>
      </c>
      <c r="E3563">
        <f>IF($C3563="","",DATE(YEAR($C3563),MONTH($C3563),1))</f>
        <v/>
      </c>
      <c r="F3563">
        <f>IF($C3563="","",YEAR($C3563)&amp;"-Q"&amp;ROUNDUP(MONTH($C3563)/3,0))</f>
        <v/>
      </c>
      <c r="L3563">
        <f>IF($G3563&lt;&gt;"ALCOHOL","",IF($K3563="","",$H3563*IFERROR(VLOOKUP($K3563,Drink_Templates!$A:$G,7,FALSE),0)))</f>
        <v/>
      </c>
    </row>
    <row r="3564" ht="15" customHeight="1">
      <c r="C3564">
        <f>IF($B3564="","",INT($B3564))</f>
        <v/>
      </c>
      <c r="D3564">
        <f>IF($C3564="","",$C3564-WEEKDAY($C3564,2)+1)</f>
        <v/>
      </c>
      <c r="E3564">
        <f>IF($C3564="","",DATE(YEAR($C3564),MONTH($C3564),1))</f>
        <v/>
      </c>
      <c r="F3564">
        <f>IF($C3564="","",YEAR($C3564)&amp;"-Q"&amp;ROUNDUP(MONTH($C3564)/3,0))</f>
        <v/>
      </c>
      <c r="L3564">
        <f>IF($G3564&lt;&gt;"ALCOHOL","",IF($K3564="","",$H3564*IFERROR(VLOOKUP($K3564,Drink_Templates!$A:$G,7,FALSE),0)))</f>
        <v/>
      </c>
    </row>
    <row r="3565" ht="15" customHeight="1">
      <c r="C3565">
        <f>IF($B3565="","",INT($B3565))</f>
        <v/>
      </c>
      <c r="D3565">
        <f>IF($C3565="","",$C3565-WEEKDAY($C3565,2)+1)</f>
        <v/>
      </c>
      <c r="E3565">
        <f>IF($C3565="","",DATE(YEAR($C3565),MONTH($C3565),1))</f>
        <v/>
      </c>
      <c r="F3565">
        <f>IF($C3565="","",YEAR($C3565)&amp;"-Q"&amp;ROUNDUP(MONTH($C3565)/3,0))</f>
        <v/>
      </c>
      <c r="L3565">
        <f>IF($G3565&lt;&gt;"ALCOHOL","",IF($K3565="","",$H3565*IFERROR(VLOOKUP($K3565,Drink_Templates!$A:$G,7,FALSE),0)))</f>
        <v/>
      </c>
    </row>
    <row r="3566" ht="15" customHeight="1">
      <c r="C3566">
        <f>IF($B3566="","",INT($B3566))</f>
        <v/>
      </c>
      <c r="D3566">
        <f>IF($C3566="","",$C3566-WEEKDAY($C3566,2)+1)</f>
        <v/>
      </c>
      <c r="E3566">
        <f>IF($C3566="","",DATE(YEAR($C3566),MONTH($C3566),1))</f>
        <v/>
      </c>
      <c r="F3566">
        <f>IF($C3566="","",YEAR($C3566)&amp;"-Q"&amp;ROUNDUP(MONTH($C3566)/3,0))</f>
        <v/>
      </c>
      <c r="L3566">
        <f>IF($G3566&lt;&gt;"ALCOHOL","",IF($K3566="","",$H3566*IFERROR(VLOOKUP($K3566,Drink_Templates!$A:$G,7,FALSE),0)))</f>
        <v/>
      </c>
    </row>
    <row r="3567" ht="15" customHeight="1">
      <c r="C3567">
        <f>IF($B3567="","",INT($B3567))</f>
        <v/>
      </c>
      <c r="D3567">
        <f>IF($C3567="","",$C3567-WEEKDAY($C3567,2)+1)</f>
        <v/>
      </c>
      <c r="E3567">
        <f>IF($C3567="","",DATE(YEAR($C3567),MONTH($C3567),1))</f>
        <v/>
      </c>
      <c r="F3567">
        <f>IF($C3567="","",YEAR($C3567)&amp;"-Q"&amp;ROUNDUP(MONTH($C3567)/3,0))</f>
        <v/>
      </c>
      <c r="L3567">
        <f>IF($G3567&lt;&gt;"ALCOHOL","",IF($K3567="","",$H3567*IFERROR(VLOOKUP($K3567,Drink_Templates!$A:$G,7,FALSE),0)))</f>
        <v/>
      </c>
    </row>
    <row r="3568" ht="15" customHeight="1">
      <c r="C3568">
        <f>IF($B3568="","",INT($B3568))</f>
        <v/>
      </c>
      <c r="D3568">
        <f>IF($C3568="","",$C3568-WEEKDAY($C3568,2)+1)</f>
        <v/>
      </c>
      <c r="E3568">
        <f>IF($C3568="","",DATE(YEAR($C3568),MONTH($C3568),1))</f>
        <v/>
      </c>
      <c r="F3568">
        <f>IF($C3568="","",YEAR($C3568)&amp;"-Q"&amp;ROUNDUP(MONTH($C3568)/3,0))</f>
        <v/>
      </c>
      <c r="L3568">
        <f>IF($G3568&lt;&gt;"ALCOHOL","",IF($K3568="","",$H3568*IFERROR(VLOOKUP($K3568,Drink_Templates!$A:$G,7,FALSE),0)))</f>
        <v/>
      </c>
    </row>
    <row r="3569" ht="15" customHeight="1">
      <c r="C3569">
        <f>IF($B3569="","",INT($B3569))</f>
        <v/>
      </c>
      <c r="D3569">
        <f>IF($C3569="","",$C3569-WEEKDAY($C3569,2)+1)</f>
        <v/>
      </c>
      <c r="E3569">
        <f>IF($C3569="","",DATE(YEAR($C3569),MONTH($C3569),1))</f>
        <v/>
      </c>
      <c r="F3569">
        <f>IF($C3569="","",YEAR($C3569)&amp;"-Q"&amp;ROUNDUP(MONTH($C3569)/3,0))</f>
        <v/>
      </c>
      <c r="L3569">
        <f>IF($G3569&lt;&gt;"ALCOHOL","",IF($K3569="","",$H3569*IFERROR(VLOOKUP($K3569,Drink_Templates!$A:$G,7,FALSE),0)))</f>
        <v/>
      </c>
    </row>
    <row r="3570" ht="15" customHeight="1">
      <c r="C3570">
        <f>IF($B3570="","",INT($B3570))</f>
        <v/>
      </c>
      <c r="D3570">
        <f>IF($C3570="","",$C3570-WEEKDAY($C3570,2)+1)</f>
        <v/>
      </c>
      <c r="E3570">
        <f>IF($C3570="","",DATE(YEAR($C3570),MONTH($C3570),1))</f>
        <v/>
      </c>
      <c r="F3570">
        <f>IF($C3570="","",YEAR($C3570)&amp;"-Q"&amp;ROUNDUP(MONTH($C3570)/3,0))</f>
        <v/>
      </c>
      <c r="L3570">
        <f>IF($G3570&lt;&gt;"ALCOHOL","",IF($K3570="","",$H3570*IFERROR(VLOOKUP($K3570,Drink_Templates!$A:$G,7,FALSE),0)))</f>
        <v/>
      </c>
    </row>
    <row r="3571" ht="15" customHeight="1">
      <c r="C3571">
        <f>IF($B3571="","",INT($B3571))</f>
        <v/>
      </c>
      <c r="D3571">
        <f>IF($C3571="","",$C3571-WEEKDAY($C3571,2)+1)</f>
        <v/>
      </c>
      <c r="E3571">
        <f>IF($C3571="","",DATE(YEAR($C3571),MONTH($C3571),1))</f>
        <v/>
      </c>
      <c r="F3571">
        <f>IF($C3571="","",YEAR($C3571)&amp;"-Q"&amp;ROUNDUP(MONTH($C3571)/3,0))</f>
        <v/>
      </c>
      <c r="L3571">
        <f>IF($G3571&lt;&gt;"ALCOHOL","",IF($K3571="","",$H3571*IFERROR(VLOOKUP($K3571,Drink_Templates!$A:$G,7,FALSE),0)))</f>
        <v/>
      </c>
    </row>
    <row r="3572" ht="15" customHeight="1">
      <c r="C3572">
        <f>IF($B3572="","",INT($B3572))</f>
        <v/>
      </c>
      <c r="D3572">
        <f>IF($C3572="","",$C3572-WEEKDAY($C3572,2)+1)</f>
        <v/>
      </c>
      <c r="E3572">
        <f>IF($C3572="","",DATE(YEAR($C3572),MONTH($C3572),1))</f>
        <v/>
      </c>
      <c r="F3572">
        <f>IF($C3572="","",YEAR($C3572)&amp;"-Q"&amp;ROUNDUP(MONTH($C3572)/3,0))</f>
        <v/>
      </c>
      <c r="L3572">
        <f>IF($G3572&lt;&gt;"ALCOHOL","",IF($K3572="","",$H3572*IFERROR(VLOOKUP($K3572,Drink_Templates!$A:$G,7,FALSE),0)))</f>
        <v/>
      </c>
    </row>
    <row r="3573" ht="15" customHeight="1">
      <c r="C3573">
        <f>IF($B3573="","",INT($B3573))</f>
        <v/>
      </c>
      <c r="D3573">
        <f>IF($C3573="","",$C3573-WEEKDAY($C3573,2)+1)</f>
        <v/>
      </c>
      <c r="E3573">
        <f>IF($C3573="","",DATE(YEAR($C3573),MONTH($C3573),1))</f>
        <v/>
      </c>
      <c r="F3573">
        <f>IF($C3573="","",YEAR($C3573)&amp;"-Q"&amp;ROUNDUP(MONTH($C3573)/3,0))</f>
        <v/>
      </c>
      <c r="L3573">
        <f>IF($G3573&lt;&gt;"ALCOHOL","",IF($K3573="","",$H3573*IFERROR(VLOOKUP($K3573,Drink_Templates!$A:$G,7,FALSE),0)))</f>
        <v/>
      </c>
    </row>
    <row r="3574" ht="15" customHeight="1">
      <c r="C3574">
        <f>IF($B3574="","",INT($B3574))</f>
        <v/>
      </c>
      <c r="D3574">
        <f>IF($C3574="","",$C3574-WEEKDAY($C3574,2)+1)</f>
        <v/>
      </c>
      <c r="E3574">
        <f>IF($C3574="","",DATE(YEAR($C3574),MONTH($C3574),1))</f>
        <v/>
      </c>
      <c r="F3574">
        <f>IF($C3574="","",YEAR($C3574)&amp;"-Q"&amp;ROUNDUP(MONTH($C3574)/3,0))</f>
        <v/>
      </c>
      <c r="L3574">
        <f>IF($G3574&lt;&gt;"ALCOHOL","",IF($K3574="","",$H3574*IFERROR(VLOOKUP($K3574,Drink_Templates!$A:$G,7,FALSE),0)))</f>
        <v/>
      </c>
    </row>
    <row r="3575" ht="15" customHeight="1">
      <c r="C3575">
        <f>IF($B3575="","",INT($B3575))</f>
        <v/>
      </c>
      <c r="D3575">
        <f>IF($C3575="","",$C3575-WEEKDAY($C3575,2)+1)</f>
        <v/>
      </c>
      <c r="E3575">
        <f>IF($C3575="","",DATE(YEAR($C3575),MONTH($C3575),1))</f>
        <v/>
      </c>
      <c r="F3575">
        <f>IF($C3575="","",YEAR($C3575)&amp;"-Q"&amp;ROUNDUP(MONTH($C3575)/3,0))</f>
        <v/>
      </c>
      <c r="L3575">
        <f>IF($G3575&lt;&gt;"ALCOHOL","",IF($K3575="","",$H3575*IFERROR(VLOOKUP($K3575,Drink_Templates!$A:$G,7,FALSE),0)))</f>
        <v/>
      </c>
    </row>
    <row r="3576" ht="15" customHeight="1">
      <c r="C3576">
        <f>IF($B3576="","",INT($B3576))</f>
        <v/>
      </c>
      <c r="D3576">
        <f>IF($C3576="","",$C3576-WEEKDAY($C3576,2)+1)</f>
        <v/>
      </c>
      <c r="E3576">
        <f>IF($C3576="","",DATE(YEAR($C3576),MONTH($C3576),1))</f>
        <v/>
      </c>
      <c r="F3576">
        <f>IF($C3576="","",YEAR($C3576)&amp;"-Q"&amp;ROUNDUP(MONTH($C3576)/3,0))</f>
        <v/>
      </c>
      <c r="L3576">
        <f>IF($G3576&lt;&gt;"ALCOHOL","",IF($K3576="","",$H3576*IFERROR(VLOOKUP($K3576,Drink_Templates!$A:$G,7,FALSE),0)))</f>
        <v/>
      </c>
    </row>
    <row r="3577" ht="15" customHeight="1">
      <c r="C3577">
        <f>IF($B3577="","",INT($B3577))</f>
        <v/>
      </c>
      <c r="D3577">
        <f>IF($C3577="","",$C3577-WEEKDAY($C3577,2)+1)</f>
        <v/>
      </c>
      <c r="E3577">
        <f>IF($C3577="","",DATE(YEAR($C3577),MONTH($C3577),1))</f>
        <v/>
      </c>
      <c r="F3577">
        <f>IF($C3577="","",YEAR($C3577)&amp;"-Q"&amp;ROUNDUP(MONTH($C3577)/3,0))</f>
        <v/>
      </c>
      <c r="L3577">
        <f>IF($G3577&lt;&gt;"ALCOHOL","",IF($K3577="","",$H3577*IFERROR(VLOOKUP($K3577,Drink_Templates!$A:$G,7,FALSE),0)))</f>
        <v/>
      </c>
    </row>
    <row r="3578" ht="15" customHeight="1">
      <c r="C3578">
        <f>IF($B3578="","",INT($B3578))</f>
        <v/>
      </c>
      <c r="D3578">
        <f>IF($C3578="","",$C3578-WEEKDAY($C3578,2)+1)</f>
        <v/>
      </c>
      <c r="E3578">
        <f>IF($C3578="","",DATE(YEAR($C3578),MONTH($C3578),1))</f>
        <v/>
      </c>
      <c r="F3578">
        <f>IF($C3578="","",YEAR($C3578)&amp;"-Q"&amp;ROUNDUP(MONTH($C3578)/3,0))</f>
        <v/>
      </c>
      <c r="L3578">
        <f>IF($G3578&lt;&gt;"ALCOHOL","",IF($K3578="","",$H3578*IFERROR(VLOOKUP($K3578,Drink_Templates!$A:$G,7,FALSE),0)))</f>
        <v/>
      </c>
    </row>
    <row r="3579" ht="15" customHeight="1">
      <c r="C3579">
        <f>IF($B3579="","",INT($B3579))</f>
        <v/>
      </c>
      <c r="D3579">
        <f>IF($C3579="","",$C3579-WEEKDAY($C3579,2)+1)</f>
        <v/>
      </c>
      <c r="E3579">
        <f>IF($C3579="","",DATE(YEAR($C3579),MONTH($C3579),1))</f>
        <v/>
      </c>
      <c r="F3579">
        <f>IF($C3579="","",YEAR($C3579)&amp;"-Q"&amp;ROUNDUP(MONTH($C3579)/3,0))</f>
        <v/>
      </c>
      <c r="L3579">
        <f>IF($G3579&lt;&gt;"ALCOHOL","",IF($K3579="","",$H3579*IFERROR(VLOOKUP($K3579,Drink_Templates!$A:$G,7,FALSE),0)))</f>
        <v/>
      </c>
    </row>
    <row r="3580" ht="15" customHeight="1">
      <c r="C3580">
        <f>IF($B3580="","",INT($B3580))</f>
        <v/>
      </c>
      <c r="D3580">
        <f>IF($C3580="","",$C3580-WEEKDAY($C3580,2)+1)</f>
        <v/>
      </c>
      <c r="E3580">
        <f>IF($C3580="","",DATE(YEAR($C3580),MONTH($C3580),1))</f>
        <v/>
      </c>
      <c r="F3580">
        <f>IF($C3580="","",YEAR($C3580)&amp;"-Q"&amp;ROUNDUP(MONTH($C3580)/3,0))</f>
        <v/>
      </c>
      <c r="L3580">
        <f>IF($G3580&lt;&gt;"ALCOHOL","",IF($K3580="","",$H3580*IFERROR(VLOOKUP($K3580,Drink_Templates!$A:$G,7,FALSE),0)))</f>
        <v/>
      </c>
    </row>
    <row r="3581" ht="15" customHeight="1">
      <c r="C3581">
        <f>IF($B3581="","",INT($B3581))</f>
        <v/>
      </c>
      <c r="D3581">
        <f>IF($C3581="","",$C3581-WEEKDAY($C3581,2)+1)</f>
        <v/>
      </c>
      <c r="E3581">
        <f>IF($C3581="","",DATE(YEAR($C3581),MONTH($C3581),1))</f>
        <v/>
      </c>
      <c r="F3581">
        <f>IF($C3581="","",YEAR($C3581)&amp;"-Q"&amp;ROUNDUP(MONTH($C3581)/3,0))</f>
        <v/>
      </c>
      <c r="L3581">
        <f>IF($G3581&lt;&gt;"ALCOHOL","",IF($K3581="","",$H3581*IFERROR(VLOOKUP($K3581,Drink_Templates!$A:$G,7,FALSE),0)))</f>
        <v/>
      </c>
    </row>
    <row r="3582" ht="15" customHeight="1">
      <c r="C3582">
        <f>IF($B3582="","",INT($B3582))</f>
        <v/>
      </c>
      <c r="D3582">
        <f>IF($C3582="","",$C3582-WEEKDAY($C3582,2)+1)</f>
        <v/>
      </c>
      <c r="E3582">
        <f>IF($C3582="","",DATE(YEAR($C3582),MONTH($C3582),1))</f>
        <v/>
      </c>
      <c r="F3582">
        <f>IF($C3582="","",YEAR($C3582)&amp;"-Q"&amp;ROUNDUP(MONTH($C3582)/3,0))</f>
        <v/>
      </c>
      <c r="L3582">
        <f>IF($G3582&lt;&gt;"ALCOHOL","",IF($K3582="","",$H3582*IFERROR(VLOOKUP($K3582,Drink_Templates!$A:$G,7,FALSE),0)))</f>
        <v/>
      </c>
    </row>
    <row r="3583" ht="15" customHeight="1">
      <c r="C3583">
        <f>IF($B3583="","",INT($B3583))</f>
        <v/>
      </c>
      <c r="D3583">
        <f>IF($C3583="","",$C3583-WEEKDAY($C3583,2)+1)</f>
        <v/>
      </c>
      <c r="E3583">
        <f>IF($C3583="","",DATE(YEAR($C3583),MONTH($C3583),1))</f>
        <v/>
      </c>
      <c r="F3583">
        <f>IF($C3583="","",YEAR($C3583)&amp;"-Q"&amp;ROUNDUP(MONTH($C3583)/3,0))</f>
        <v/>
      </c>
      <c r="L3583">
        <f>IF($G3583&lt;&gt;"ALCOHOL","",IF($K3583="","",$H3583*IFERROR(VLOOKUP($K3583,Drink_Templates!$A:$G,7,FALSE),0)))</f>
        <v/>
      </c>
    </row>
    <row r="3584" ht="15" customHeight="1">
      <c r="C3584">
        <f>IF($B3584="","",INT($B3584))</f>
        <v/>
      </c>
      <c r="D3584">
        <f>IF($C3584="","",$C3584-WEEKDAY($C3584,2)+1)</f>
        <v/>
      </c>
      <c r="E3584">
        <f>IF($C3584="","",DATE(YEAR($C3584),MONTH($C3584),1))</f>
        <v/>
      </c>
      <c r="F3584">
        <f>IF($C3584="","",YEAR($C3584)&amp;"-Q"&amp;ROUNDUP(MONTH($C3584)/3,0))</f>
        <v/>
      </c>
      <c r="L3584">
        <f>IF($G3584&lt;&gt;"ALCOHOL","",IF($K3584="","",$H3584*IFERROR(VLOOKUP($K3584,Drink_Templates!$A:$G,7,FALSE),0)))</f>
        <v/>
      </c>
    </row>
    <row r="3585" ht="15" customHeight="1">
      <c r="C3585">
        <f>IF($B3585="","",INT($B3585))</f>
        <v/>
      </c>
      <c r="D3585">
        <f>IF($C3585="","",$C3585-WEEKDAY($C3585,2)+1)</f>
        <v/>
      </c>
      <c r="E3585">
        <f>IF($C3585="","",DATE(YEAR($C3585),MONTH($C3585),1))</f>
        <v/>
      </c>
      <c r="F3585">
        <f>IF($C3585="","",YEAR($C3585)&amp;"-Q"&amp;ROUNDUP(MONTH($C3585)/3,0))</f>
        <v/>
      </c>
      <c r="L3585">
        <f>IF($G3585&lt;&gt;"ALCOHOL","",IF($K3585="","",$H3585*IFERROR(VLOOKUP($K3585,Drink_Templates!$A:$G,7,FALSE),0)))</f>
        <v/>
      </c>
    </row>
    <row r="3586" ht="15" customHeight="1">
      <c r="C3586">
        <f>IF($B3586="","",INT($B3586))</f>
        <v/>
      </c>
      <c r="D3586">
        <f>IF($C3586="","",$C3586-WEEKDAY($C3586,2)+1)</f>
        <v/>
      </c>
      <c r="E3586">
        <f>IF($C3586="","",DATE(YEAR($C3586),MONTH($C3586),1))</f>
        <v/>
      </c>
      <c r="F3586">
        <f>IF($C3586="","",YEAR($C3586)&amp;"-Q"&amp;ROUNDUP(MONTH($C3586)/3,0))</f>
        <v/>
      </c>
      <c r="L3586">
        <f>IF($G3586&lt;&gt;"ALCOHOL","",IF($K3586="","",$H3586*IFERROR(VLOOKUP($K3586,Drink_Templates!$A:$G,7,FALSE),0)))</f>
        <v/>
      </c>
    </row>
    <row r="3587" ht="15" customHeight="1">
      <c r="C3587">
        <f>IF($B3587="","",INT($B3587))</f>
        <v/>
      </c>
      <c r="D3587">
        <f>IF($C3587="","",$C3587-WEEKDAY($C3587,2)+1)</f>
        <v/>
      </c>
      <c r="E3587">
        <f>IF($C3587="","",DATE(YEAR($C3587),MONTH($C3587),1))</f>
        <v/>
      </c>
      <c r="F3587">
        <f>IF($C3587="","",YEAR($C3587)&amp;"-Q"&amp;ROUNDUP(MONTH($C3587)/3,0))</f>
        <v/>
      </c>
      <c r="L3587">
        <f>IF($G3587&lt;&gt;"ALCOHOL","",IF($K3587="","",$H3587*IFERROR(VLOOKUP($K3587,Drink_Templates!$A:$G,7,FALSE),0)))</f>
        <v/>
      </c>
    </row>
    <row r="3588" ht="15" customHeight="1">
      <c r="C3588">
        <f>IF($B3588="","",INT($B3588))</f>
        <v/>
      </c>
      <c r="D3588">
        <f>IF($C3588="","",$C3588-WEEKDAY($C3588,2)+1)</f>
        <v/>
      </c>
      <c r="E3588">
        <f>IF($C3588="","",DATE(YEAR($C3588),MONTH($C3588),1))</f>
        <v/>
      </c>
      <c r="F3588">
        <f>IF($C3588="","",YEAR($C3588)&amp;"-Q"&amp;ROUNDUP(MONTH($C3588)/3,0))</f>
        <v/>
      </c>
      <c r="L3588">
        <f>IF($G3588&lt;&gt;"ALCOHOL","",IF($K3588="","",$H3588*IFERROR(VLOOKUP($K3588,Drink_Templates!$A:$G,7,FALSE),0)))</f>
        <v/>
      </c>
    </row>
    <row r="3589" ht="15" customHeight="1">
      <c r="C3589">
        <f>IF($B3589="","",INT($B3589))</f>
        <v/>
      </c>
      <c r="D3589">
        <f>IF($C3589="","",$C3589-WEEKDAY($C3589,2)+1)</f>
        <v/>
      </c>
      <c r="E3589">
        <f>IF($C3589="","",DATE(YEAR($C3589),MONTH($C3589),1))</f>
        <v/>
      </c>
      <c r="F3589">
        <f>IF($C3589="","",YEAR($C3589)&amp;"-Q"&amp;ROUNDUP(MONTH($C3589)/3,0))</f>
        <v/>
      </c>
      <c r="L3589">
        <f>IF($G3589&lt;&gt;"ALCOHOL","",IF($K3589="","",$H3589*IFERROR(VLOOKUP($K3589,Drink_Templates!$A:$G,7,FALSE),0)))</f>
        <v/>
      </c>
    </row>
    <row r="3590" ht="15" customHeight="1">
      <c r="C3590">
        <f>IF($B3590="","",INT($B3590))</f>
        <v/>
      </c>
      <c r="D3590">
        <f>IF($C3590="","",$C3590-WEEKDAY($C3590,2)+1)</f>
        <v/>
      </c>
      <c r="E3590">
        <f>IF($C3590="","",DATE(YEAR($C3590),MONTH($C3590),1))</f>
        <v/>
      </c>
      <c r="F3590">
        <f>IF($C3590="","",YEAR($C3590)&amp;"-Q"&amp;ROUNDUP(MONTH($C3590)/3,0))</f>
        <v/>
      </c>
      <c r="L3590">
        <f>IF($G3590&lt;&gt;"ALCOHOL","",IF($K3590="","",$H3590*IFERROR(VLOOKUP($K3590,Drink_Templates!$A:$G,7,FALSE),0)))</f>
        <v/>
      </c>
    </row>
    <row r="3591" ht="15" customHeight="1">
      <c r="C3591">
        <f>IF($B3591="","",INT($B3591))</f>
        <v/>
      </c>
      <c r="D3591">
        <f>IF($C3591="","",$C3591-WEEKDAY($C3591,2)+1)</f>
        <v/>
      </c>
      <c r="E3591">
        <f>IF($C3591="","",DATE(YEAR($C3591),MONTH($C3591),1))</f>
        <v/>
      </c>
      <c r="F3591">
        <f>IF($C3591="","",YEAR($C3591)&amp;"-Q"&amp;ROUNDUP(MONTH($C3591)/3,0))</f>
        <v/>
      </c>
      <c r="L3591">
        <f>IF($G3591&lt;&gt;"ALCOHOL","",IF($K3591="","",$H3591*IFERROR(VLOOKUP($K3591,Drink_Templates!$A:$G,7,FALSE),0)))</f>
        <v/>
      </c>
    </row>
    <row r="3592" ht="15" customHeight="1">
      <c r="C3592">
        <f>IF($B3592="","",INT($B3592))</f>
        <v/>
      </c>
      <c r="D3592">
        <f>IF($C3592="","",$C3592-WEEKDAY($C3592,2)+1)</f>
        <v/>
      </c>
      <c r="E3592">
        <f>IF($C3592="","",DATE(YEAR($C3592),MONTH($C3592),1))</f>
        <v/>
      </c>
      <c r="F3592">
        <f>IF($C3592="","",YEAR($C3592)&amp;"-Q"&amp;ROUNDUP(MONTH($C3592)/3,0))</f>
        <v/>
      </c>
      <c r="L3592">
        <f>IF($G3592&lt;&gt;"ALCOHOL","",IF($K3592="","",$H3592*IFERROR(VLOOKUP($K3592,Drink_Templates!$A:$G,7,FALSE),0)))</f>
        <v/>
      </c>
    </row>
    <row r="3593" ht="15" customHeight="1">
      <c r="C3593">
        <f>IF($B3593="","",INT($B3593))</f>
        <v/>
      </c>
      <c r="D3593">
        <f>IF($C3593="","",$C3593-WEEKDAY($C3593,2)+1)</f>
        <v/>
      </c>
      <c r="E3593">
        <f>IF($C3593="","",DATE(YEAR($C3593),MONTH($C3593),1))</f>
        <v/>
      </c>
      <c r="F3593">
        <f>IF($C3593="","",YEAR($C3593)&amp;"-Q"&amp;ROUNDUP(MONTH($C3593)/3,0))</f>
        <v/>
      </c>
      <c r="L3593">
        <f>IF($G3593&lt;&gt;"ALCOHOL","",IF($K3593="","",$H3593*IFERROR(VLOOKUP($K3593,Drink_Templates!$A:$G,7,FALSE),0)))</f>
        <v/>
      </c>
    </row>
    <row r="3594" ht="15" customHeight="1">
      <c r="C3594">
        <f>IF($B3594="","",INT($B3594))</f>
        <v/>
      </c>
      <c r="D3594">
        <f>IF($C3594="","",$C3594-WEEKDAY($C3594,2)+1)</f>
        <v/>
      </c>
      <c r="E3594">
        <f>IF($C3594="","",DATE(YEAR($C3594),MONTH($C3594),1))</f>
        <v/>
      </c>
      <c r="F3594">
        <f>IF($C3594="","",YEAR($C3594)&amp;"-Q"&amp;ROUNDUP(MONTH($C3594)/3,0))</f>
        <v/>
      </c>
      <c r="L3594">
        <f>IF($G3594&lt;&gt;"ALCOHOL","",IF($K3594="","",$H3594*IFERROR(VLOOKUP($K3594,Drink_Templates!$A:$G,7,FALSE),0)))</f>
        <v/>
      </c>
    </row>
    <row r="3595" ht="15" customHeight="1">
      <c r="C3595">
        <f>IF($B3595="","",INT($B3595))</f>
        <v/>
      </c>
      <c r="D3595">
        <f>IF($C3595="","",$C3595-WEEKDAY($C3595,2)+1)</f>
        <v/>
      </c>
      <c r="E3595">
        <f>IF($C3595="","",DATE(YEAR($C3595),MONTH($C3595),1))</f>
        <v/>
      </c>
      <c r="F3595">
        <f>IF($C3595="","",YEAR($C3595)&amp;"-Q"&amp;ROUNDUP(MONTH($C3595)/3,0))</f>
        <v/>
      </c>
      <c r="L3595">
        <f>IF($G3595&lt;&gt;"ALCOHOL","",IF($K3595="","",$H3595*IFERROR(VLOOKUP($K3595,Drink_Templates!$A:$G,7,FALSE),0)))</f>
        <v/>
      </c>
    </row>
    <row r="3596" ht="15" customHeight="1">
      <c r="C3596">
        <f>IF($B3596="","",INT($B3596))</f>
        <v/>
      </c>
      <c r="D3596">
        <f>IF($C3596="","",$C3596-WEEKDAY($C3596,2)+1)</f>
        <v/>
      </c>
      <c r="E3596">
        <f>IF($C3596="","",DATE(YEAR($C3596),MONTH($C3596),1))</f>
        <v/>
      </c>
      <c r="F3596">
        <f>IF($C3596="","",YEAR($C3596)&amp;"-Q"&amp;ROUNDUP(MONTH($C3596)/3,0))</f>
        <v/>
      </c>
      <c r="L3596">
        <f>IF($G3596&lt;&gt;"ALCOHOL","",IF($K3596="","",$H3596*IFERROR(VLOOKUP($K3596,Drink_Templates!$A:$G,7,FALSE),0)))</f>
        <v/>
      </c>
    </row>
    <row r="3597" ht="15" customHeight="1">
      <c r="C3597">
        <f>IF($B3597="","",INT($B3597))</f>
        <v/>
      </c>
      <c r="D3597">
        <f>IF($C3597="","",$C3597-WEEKDAY($C3597,2)+1)</f>
        <v/>
      </c>
      <c r="E3597">
        <f>IF($C3597="","",DATE(YEAR($C3597),MONTH($C3597),1))</f>
        <v/>
      </c>
      <c r="F3597">
        <f>IF($C3597="","",YEAR($C3597)&amp;"-Q"&amp;ROUNDUP(MONTH($C3597)/3,0))</f>
        <v/>
      </c>
      <c r="L3597">
        <f>IF($G3597&lt;&gt;"ALCOHOL","",IF($K3597="","",$H3597*IFERROR(VLOOKUP($K3597,Drink_Templates!$A:$G,7,FALSE),0)))</f>
        <v/>
      </c>
    </row>
    <row r="3598" ht="15" customHeight="1">
      <c r="C3598">
        <f>IF($B3598="","",INT($B3598))</f>
        <v/>
      </c>
      <c r="D3598">
        <f>IF($C3598="","",$C3598-WEEKDAY($C3598,2)+1)</f>
        <v/>
      </c>
      <c r="E3598">
        <f>IF($C3598="","",DATE(YEAR($C3598),MONTH($C3598),1))</f>
        <v/>
      </c>
      <c r="F3598">
        <f>IF($C3598="","",YEAR($C3598)&amp;"-Q"&amp;ROUNDUP(MONTH($C3598)/3,0))</f>
        <v/>
      </c>
      <c r="L3598">
        <f>IF($G3598&lt;&gt;"ALCOHOL","",IF($K3598="","",$H3598*IFERROR(VLOOKUP($K3598,Drink_Templates!$A:$G,7,FALSE),0)))</f>
        <v/>
      </c>
    </row>
    <row r="3599" ht="15" customHeight="1">
      <c r="C3599">
        <f>IF($B3599="","",INT($B3599))</f>
        <v/>
      </c>
      <c r="D3599">
        <f>IF($C3599="","",$C3599-WEEKDAY($C3599,2)+1)</f>
        <v/>
      </c>
      <c r="E3599">
        <f>IF($C3599="","",DATE(YEAR($C3599),MONTH($C3599),1))</f>
        <v/>
      </c>
      <c r="F3599">
        <f>IF($C3599="","",YEAR($C3599)&amp;"-Q"&amp;ROUNDUP(MONTH($C3599)/3,0))</f>
        <v/>
      </c>
      <c r="L3599">
        <f>IF($G3599&lt;&gt;"ALCOHOL","",IF($K3599="","",$H3599*IFERROR(VLOOKUP($K3599,Drink_Templates!$A:$G,7,FALSE),0)))</f>
        <v/>
      </c>
    </row>
    <row r="3600" ht="15" customHeight="1">
      <c r="C3600">
        <f>IF($B3600="","",INT($B3600))</f>
        <v/>
      </c>
      <c r="D3600">
        <f>IF($C3600="","",$C3600-WEEKDAY($C3600,2)+1)</f>
        <v/>
      </c>
      <c r="E3600">
        <f>IF($C3600="","",DATE(YEAR($C3600),MONTH($C3600),1))</f>
        <v/>
      </c>
      <c r="F3600">
        <f>IF($C3600="","",YEAR($C3600)&amp;"-Q"&amp;ROUNDUP(MONTH($C3600)/3,0))</f>
        <v/>
      </c>
      <c r="L3600">
        <f>IF($G3600&lt;&gt;"ALCOHOL","",IF($K3600="","",$H3600*IFERROR(VLOOKUP($K3600,Drink_Templates!$A:$G,7,FALSE),0)))</f>
        <v/>
      </c>
    </row>
    <row r="3601" ht="15" customHeight="1">
      <c r="C3601">
        <f>IF($B3601="","",INT($B3601))</f>
        <v/>
      </c>
      <c r="D3601">
        <f>IF($C3601="","",$C3601-WEEKDAY($C3601,2)+1)</f>
        <v/>
      </c>
      <c r="E3601">
        <f>IF($C3601="","",DATE(YEAR($C3601),MONTH($C3601),1))</f>
        <v/>
      </c>
      <c r="F3601">
        <f>IF($C3601="","",YEAR($C3601)&amp;"-Q"&amp;ROUNDUP(MONTH($C3601)/3,0))</f>
        <v/>
      </c>
      <c r="L3601">
        <f>IF($G3601&lt;&gt;"ALCOHOL","",IF($K3601="","",$H3601*IFERROR(VLOOKUP($K3601,Drink_Templates!$A:$G,7,FALSE),0)))</f>
        <v/>
      </c>
    </row>
    <row r="3602" ht="15" customHeight="1">
      <c r="C3602">
        <f>IF($B3602="","",INT($B3602))</f>
        <v/>
      </c>
      <c r="D3602">
        <f>IF($C3602="","",$C3602-WEEKDAY($C3602,2)+1)</f>
        <v/>
      </c>
      <c r="E3602">
        <f>IF($C3602="","",DATE(YEAR($C3602),MONTH($C3602),1))</f>
        <v/>
      </c>
      <c r="F3602">
        <f>IF($C3602="","",YEAR($C3602)&amp;"-Q"&amp;ROUNDUP(MONTH($C3602)/3,0))</f>
        <v/>
      </c>
      <c r="L3602">
        <f>IF($G3602&lt;&gt;"ALCOHOL","",IF($K3602="","",$H3602*IFERROR(VLOOKUP($K3602,Drink_Templates!$A:$G,7,FALSE),0)))</f>
        <v/>
      </c>
    </row>
    <row r="3603" ht="15" customHeight="1">
      <c r="C3603">
        <f>IF($B3603="","",INT($B3603))</f>
        <v/>
      </c>
      <c r="D3603">
        <f>IF($C3603="","",$C3603-WEEKDAY($C3603,2)+1)</f>
        <v/>
      </c>
      <c r="E3603">
        <f>IF($C3603="","",DATE(YEAR($C3603),MONTH($C3603),1))</f>
        <v/>
      </c>
      <c r="F3603">
        <f>IF($C3603="","",YEAR($C3603)&amp;"-Q"&amp;ROUNDUP(MONTH($C3603)/3,0))</f>
        <v/>
      </c>
      <c r="L3603">
        <f>IF($G3603&lt;&gt;"ALCOHOL","",IF($K3603="","",$H3603*IFERROR(VLOOKUP($K3603,Drink_Templates!$A:$G,7,FALSE),0)))</f>
        <v/>
      </c>
    </row>
    <row r="3604" ht="15" customHeight="1">
      <c r="C3604">
        <f>IF($B3604="","",INT($B3604))</f>
        <v/>
      </c>
      <c r="D3604">
        <f>IF($C3604="","",$C3604-WEEKDAY($C3604,2)+1)</f>
        <v/>
      </c>
      <c r="E3604">
        <f>IF($C3604="","",DATE(YEAR($C3604),MONTH($C3604),1))</f>
        <v/>
      </c>
      <c r="F3604">
        <f>IF($C3604="","",YEAR($C3604)&amp;"-Q"&amp;ROUNDUP(MONTH($C3604)/3,0))</f>
        <v/>
      </c>
      <c r="L3604">
        <f>IF($G3604&lt;&gt;"ALCOHOL","",IF($K3604="","",$H3604*IFERROR(VLOOKUP($K3604,Drink_Templates!$A:$G,7,FALSE),0)))</f>
        <v/>
      </c>
    </row>
    <row r="3605" ht="15" customHeight="1">
      <c r="C3605">
        <f>IF($B3605="","",INT($B3605))</f>
        <v/>
      </c>
      <c r="D3605">
        <f>IF($C3605="","",$C3605-WEEKDAY($C3605,2)+1)</f>
        <v/>
      </c>
      <c r="E3605">
        <f>IF($C3605="","",DATE(YEAR($C3605),MONTH($C3605),1))</f>
        <v/>
      </c>
      <c r="F3605">
        <f>IF($C3605="","",YEAR($C3605)&amp;"-Q"&amp;ROUNDUP(MONTH($C3605)/3,0))</f>
        <v/>
      </c>
      <c r="L3605">
        <f>IF($G3605&lt;&gt;"ALCOHOL","",IF($K3605="","",$H3605*IFERROR(VLOOKUP($K3605,Drink_Templates!$A:$G,7,FALSE),0)))</f>
        <v/>
      </c>
    </row>
    <row r="3606" ht="15" customHeight="1">
      <c r="C3606">
        <f>IF($B3606="","",INT($B3606))</f>
        <v/>
      </c>
      <c r="D3606">
        <f>IF($C3606="","",$C3606-WEEKDAY($C3606,2)+1)</f>
        <v/>
      </c>
      <c r="E3606">
        <f>IF($C3606="","",DATE(YEAR($C3606),MONTH($C3606),1))</f>
        <v/>
      </c>
      <c r="F3606">
        <f>IF($C3606="","",YEAR($C3606)&amp;"-Q"&amp;ROUNDUP(MONTH($C3606)/3,0))</f>
        <v/>
      </c>
      <c r="L3606">
        <f>IF($G3606&lt;&gt;"ALCOHOL","",IF($K3606="","",$H3606*IFERROR(VLOOKUP($K3606,Drink_Templates!$A:$G,7,FALSE),0)))</f>
        <v/>
      </c>
    </row>
    <row r="3607" ht="15" customHeight="1">
      <c r="C3607">
        <f>IF($B3607="","",INT($B3607))</f>
        <v/>
      </c>
      <c r="D3607">
        <f>IF($C3607="","",$C3607-WEEKDAY($C3607,2)+1)</f>
        <v/>
      </c>
      <c r="E3607">
        <f>IF($C3607="","",DATE(YEAR($C3607),MONTH($C3607),1))</f>
        <v/>
      </c>
      <c r="F3607">
        <f>IF($C3607="","",YEAR($C3607)&amp;"-Q"&amp;ROUNDUP(MONTH($C3607)/3,0))</f>
        <v/>
      </c>
      <c r="L3607">
        <f>IF($G3607&lt;&gt;"ALCOHOL","",IF($K3607="","",$H3607*IFERROR(VLOOKUP($K3607,Drink_Templates!$A:$G,7,FALSE),0)))</f>
        <v/>
      </c>
    </row>
    <row r="3608" ht="15" customHeight="1">
      <c r="C3608">
        <f>IF($B3608="","",INT($B3608))</f>
        <v/>
      </c>
      <c r="D3608">
        <f>IF($C3608="","",$C3608-WEEKDAY($C3608,2)+1)</f>
        <v/>
      </c>
      <c r="E3608">
        <f>IF($C3608="","",DATE(YEAR($C3608),MONTH($C3608),1))</f>
        <v/>
      </c>
      <c r="F3608">
        <f>IF($C3608="","",YEAR($C3608)&amp;"-Q"&amp;ROUNDUP(MONTH($C3608)/3,0))</f>
        <v/>
      </c>
      <c r="L3608">
        <f>IF($G3608&lt;&gt;"ALCOHOL","",IF($K3608="","",$H3608*IFERROR(VLOOKUP($K3608,Drink_Templates!$A:$G,7,FALSE),0)))</f>
        <v/>
      </c>
    </row>
    <row r="3609" ht="15" customHeight="1">
      <c r="C3609">
        <f>IF($B3609="","",INT($B3609))</f>
        <v/>
      </c>
      <c r="D3609">
        <f>IF($C3609="","",$C3609-WEEKDAY($C3609,2)+1)</f>
        <v/>
      </c>
      <c r="E3609">
        <f>IF($C3609="","",DATE(YEAR($C3609),MONTH($C3609),1))</f>
        <v/>
      </c>
      <c r="F3609">
        <f>IF($C3609="","",YEAR($C3609)&amp;"-Q"&amp;ROUNDUP(MONTH($C3609)/3,0))</f>
        <v/>
      </c>
      <c r="L3609">
        <f>IF($G3609&lt;&gt;"ALCOHOL","",IF($K3609="","",$H3609*IFERROR(VLOOKUP($K3609,Drink_Templates!$A:$G,7,FALSE),0)))</f>
        <v/>
      </c>
    </row>
    <row r="3610" ht="15" customHeight="1">
      <c r="C3610">
        <f>IF($B3610="","",INT($B3610))</f>
        <v/>
      </c>
      <c r="D3610">
        <f>IF($C3610="","",$C3610-WEEKDAY($C3610,2)+1)</f>
        <v/>
      </c>
      <c r="E3610">
        <f>IF($C3610="","",DATE(YEAR($C3610),MONTH($C3610),1))</f>
        <v/>
      </c>
      <c r="F3610">
        <f>IF($C3610="","",YEAR($C3610)&amp;"-Q"&amp;ROUNDUP(MONTH($C3610)/3,0))</f>
        <v/>
      </c>
      <c r="L3610">
        <f>IF($G3610&lt;&gt;"ALCOHOL","",IF($K3610="","",$H3610*IFERROR(VLOOKUP($K3610,Drink_Templates!$A:$G,7,FALSE),0)))</f>
        <v/>
      </c>
    </row>
    <row r="3611" ht="15" customHeight="1">
      <c r="C3611">
        <f>IF($B3611="","",INT($B3611))</f>
        <v/>
      </c>
      <c r="D3611">
        <f>IF($C3611="","",$C3611-WEEKDAY($C3611,2)+1)</f>
        <v/>
      </c>
      <c r="E3611">
        <f>IF($C3611="","",DATE(YEAR($C3611),MONTH($C3611),1))</f>
        <v/>
      </c>
      <c r="F3611">
        <f>IF($C3611="","",YEAR($C3611)&amp;"-Q"&amp;ROUNDUP(MONTH($C3611)/3,0))</f>
        <v/>
      </c>
      <c r="L3611">
        <f>IF($G3611&lt;&gt;"ALCOHOL","",IF($K3611="","",$H3611*IFERROR(VLOOKUP($K3611,Drink_Templates!$A:$G,7,FALSE),0)))</f>
        <v/>
      </c>
    </row>
    <row r="3612" ht="15" customHeight="1">
      <c r="C3612">
        <f>IF($B3612="","",INT($B3612))</f>
        <v/>
      </c>
      <c r="D3612">
        <f>IF($C3612="","",$C3612-WEEKDAY($C3612,2)+1)</f>
        <v/>
      </c>
      <c r="E3612">
        <f>IF($C3612="","",DATE(YEAR($C3612),MONTH($C3612),1))</f>
        <v/>
      </c>
      <c r="F3612">
        <f>IF($C3612="","",YEAR($C3612)&amp;"-Q"&amp;ROUNDUP(MONTH($C3612)/3,0))</f>
        <v/>
      </c>
      <c r="L3612">
        <f>IF($G3612&lt;&gt;"ALCOHOL","",IF($K3612="","",$H3612*IFERROR(VLOOKUP($K3612,Drink_Templates!$A:$G,7,FALSE),0)))</f>
        <v/>
      </c>
    </row>
    <row r="3613" ht="15" customHeight="1">
      <c r="C3613">
        <f>IF($B3613="","",INT($B3613))</f>
        <v/>
      </c>
      <c r="D3613">
        <f>IF($C3613="","",$C3613-WEEKDAY($C3613,2)+1)</f>
        <v/>
      </c>
      <c r="E3613">
        <f>IF($C3613="","",DATE(YEAR($C3613),MONTH($C3613),1))</f>
        <v/>
      </c>
      <c r="F3613">
        <f>IF($C3613="","",YEAR($C3613)&amp;"-Q"&amp;ROUNDUP(MONTH($C3613)/3,0))</f>
        <v/>
      </c>
      <c r="L3613">
        <f>IF($G3613&lt;&gt;"ALCOHOL","",IF($K3613="","",$H3613*IFERROR(VLOOKUP($K3613,Drink_Templates!$A:$G,7,FALSE),0)))</f>
        <v/>
      </c>
    </row>
    <row r="3614" ht="15" customHeight="1">
      <c r="C3614">
        <f>IF($B3614="","",INT($B3614))</f>
        <v/>
      </c>
      <c r="D3614">
        <f>IF($C3614="","",$C3614-WEEKDAY($C3614,2)+1)</f>
        <v/>
      </c>
      <c r="E3614">
        <f>IF($C3614="","",DATE(YEAR($C3614),MONTH($C3614),1))</f>
        <v/>
      </c>
      <c r="F3614">
        <f>IF($C3614="","",YEAR($C3614)&amp;"-Q"&amp;ROUNDUP(MONTH($C3614)/3,0))</f>
        <v/>
      </c>
      <c r="L3614">
        <f>IF($G3614&lt;&gt;"ALCOHOL","",IF($K3614="","",$H3614*IFERROR(VLOOKUP($K3614,Drink_Templates!$A:$G,7,FALSE),0)))</f>
        <v/>
      </c>
    </row>
    <row r="3615" ht="15" customHeight="1">
      <c r="C3615">
        <f>IF($B3615="","",INT($B3615))</f>
        <v/>
      </c>
      <c r="D3615">
        <f>IF($C3615="","",$C3615-WEEKDAY($C3615,2)+1)</f>
        <v/>
      </c>
      <c r="E3615">
        <f>IF($C3615="","",DATE(YEAR($C3615),MONTH($C3615),1))</f>
        <v/>
      </c>
      <c r="F3615">
        <f>IF($C3615="","",YEAR($C3615)&amp;"-Q"&amp;ROUNDUP(MONTH($C3615)/3,0))</f>
        <v/>
      </c>
      <c r="L3615">
        <f>IF($G3615&lt;&gt;"ALCOHOL","",IF($K3615="","",$H3615*IFERROR(VLOOKUP($K3615,Drink_Templates!$A:$G,7,FALSE),0)))</f>
        <v/>
      </c>
    </row>
    <row r="3616" ht="15" customHeight="1">
      <c r="C3616">
        <f>IF($B3616="","",INT($B3616))</f>
        <v/>
      </c>
      <c r="D3616">
        <f>IF($C3616="","",$C3616-WEEKDAY($C3616,2)+1)</f>
        <v/>
      </c>
      <c r="E3616">
        <f>IF($C3616="","",DATE(YEAR($C3616),MONTH($C3616),1))</f>
        <v/>
      </c>
      <c r="F3616">
        <f>IF($C3616="","",YEAR($C3616)&amp;"-Q"&amp;ROUNDUP(MONTH($C3616)/3,0))</f>
        <v/>
      </c>
      <c r="L3616">
        <f>IF($G3616&lt;&gt;"ALCOHOL","",IF($K3616="","",$H3616*IFERROR(VLOOKUP($K3616,Drink_Templates!$A:$G,7,FALSE),0)))</f>
        <v/>
      </c>
    </row>
    <row r="3617" ht="15" customHeight="1">
      <c r="C3617">
        <f>IF($B3617="","",INT($B3617))</f>
        <v/>
      </c>
      <c r="D3617">
        <f>IF($C3617="","",$C3617-WEEKDAY($C3617,2)+1)</f>
        <v/>
      </c>
      <c r="E3617">
        <f>IF($C3617="","",DATE(YEAR($C3617),MONTH($C3617),1))</f>
        <v/>
      </c>
      <c r="F3617">
        <f>IF($C3617="","",YEAR($C3617)&amp;"-Q"&amp;ROUNDUP(MONTH($C3617)/3,0))</f>
        <v/>
      </c>
      <c r="L3617">
        <f>IF($G3617&lt;&gt;"ALCOHOL","",IF($K3617="","",$H3617*IFERROR(VLOOKUP($K3617,Drink_Templates!$A:$G,7,FALSE),0)))</f>
        <v/>
      </c>
    </row>
    <row r="3618" ht="15" customHeight="1">
      <c r="C3618">
        <f>IF($B3618="","",INT($B3618))</f>
        <v/>
      </c>
      <c r="D3618">
        <f>IF($C3618="","",$C3618-WEEKDAY($C3618,2)+1)</f>
        <v/>
      </c>
      <c r="E3618">
        <f>IF($C3618="","",DATE(YEAR($C3618),MONTH($C3618),1))</f>
        <v/>
      </c>
      <c r="F3618">
        <f>IF($C3618="","",YEAR($C3618)&amp;"-Q"&amp;ROUNDUP(MONTH($C3618)/3,0))</f>
        <v/>
      </c>
      <c r="L3618">
        <f>IF($G3618&lt;&gt;"ALCOHOL","",IF($K3618="","",$H3618*IFERROR(VLOOKUP($K3618,Drink_Templates!$A:$G,7,FALSE),0)))</f>
        <v/>
      </c>
    </row>
    <row r="3619" ht="15" customHeight="1">
      <c r="C3619">
        <f>IF($B3619="","",INT($B3619))</f>
        <v/>
      </c>
      <c r="D3619">
        <f>IF($C3619="","",$C3619-WEEKDAY($C3619,2)+1)</f>
        <v/>
      </c>
      <c r="E3619">
        <f>IF($C3619="","",DATE(YEAR($C3619),MONTH($C3619),1))</f>
        <v/>
      </c>
      <c r="F3619">
        <f>IF($C3619="","",YEAR($C3619)&amp;"-Q"&amp;ROUNDUP(MONTH($C3619)/3,0))</f>
        <v/>
      </c>
      <c r="L3619">
        <f>IF($G3619&lt;&gt;"ALCOHOL","",IF($K3619="","",$H3619*IFERROR(VLOOKUP($K3619,Drink_Templates!$A:$G,7,FALSE),0)))</f>
        <v/>
      </c>
    </row>
    <row r="3620" ht="15" customHeight="1">
      <c r="C3620">
        <f>IF($B3620="","",INT($B3620))</f>
        <v/>
      </c>
      <c r="D3620">
        <f>IF($C3620="","",$C3620-WEEKDAY($C3620,2)+1)</f>
        <v/>
      </c>
      <c r="E3620">
        <f>IF($C3620="","",DATE(YEAR($C3620),MONTH($C3620),1))</f>
        <v/>
      </c>
      <c r="F3620">
        <f>IF($C3620="","",YEAR($C3620)&amp;"-Q"&amp;ROUNDUP(MONTH($C3620)/3,0))</f>
        <v/>
      </c>
      <c r="L3620">
        <f>IF($G3620&lt;&gt;"ALCOHOL","",IF($K3620="","",$H3620*IFERROR(VLOOKUP($K3620,Drink_Templates!$A:$G,7,FALSE),0)))</f>
        <v/>
      </c>
    </row>
    <row r="3621" ht="15" customHeight="1">
      <c r="C3621">
        <f>IF($B3621="","",INT($B3621))</f>
        <v/>
      </c>
      <c r="D3621">
        <f>IF($C3621="","",$C3621-WEEKDAY($C3621,2)+1)</f>
        <v/>
      </c>
      <c r="E3621">
        <f>IF($C3621="","",DATE(YEAR($C3621),MONTH($C3621),1))</f>
        <v/>
      </c>
      <c r="F3621">
        <f>IF($C3621="","",YEAR($C3621)&amp;"-Q"&amp;ROUNDUP(MONTH($C3621)/3,0))</f>
        <v/>
      </c>
      <c r="L3621">
        <f>IF($G3621&lt;&gt;"ALCOHOL","",IF($K3621="","",$H3621*IFERROR(VLOOKUP($K3621,Drink_Templates!$A:$G,7,FALSE),0)))</f>
        <v/>
      </c>
    </row>
    <row r="3622" ht="15" customHeight="1">
      <c r="C3622">
        <f>IF($B3622="","",INT($B3622))</f>
        <v/>
      </c>
      <c r="D3622">
        <f>IF($C3622="","",$C3622-WEEKDAY($C3622,2)+1)</f>
        <v/>
      </c>
      <c r="E3622">
        <f>IF($C3622="","",DATE(YEAR($C3622),MONTH($C3622),1))</f>
        <v/>
      </c>
      <c r="F3622">
        <f>IF($C3622="","",YEAR($C3622)&amp;"-Q"&amp;ROUNDUP(MONTH($C3622)/3,0))</f>
        <v/>
      </c>
      <c r="L3622">
        <f>IF($G3622&lt;&gt;"ALCOHOL","",IF($K3622="","",$H3622*IFERROR(VLOOKUP($K3622,Drink_Templates!$A:$G,7,FALSE),0)))</f>
        <v/>
      </c>
    </row>
    <row r="3623" ht="15" customHeight="1">
      <c r="C3623">
        <f>IF($B3623="","",INT($B3623))</f>
        <v/>
      </c>
      <c r="D3623">
        <f>IF($C3623="","",$C3623-WEEKDAY($C3623,2)+1)</f>
        <v/>
      </c>
      <c r="E3623">
        <f>IF($C3623="","",DATE(YEAR($C3623),MONTH($C3623),1))</f>
        <v/>
      </c>
      <c r="F3623">
        <f>IF($C3623="","",YEAR($C3623)&amp;"-Q"&amp;ROUNDUP(MONTH($C3623)/3,0))</f>
        <v/>
      </c>
      <c r="L3623">
        <f>IF($G3623&lt;&gt;"ALCOHOL","",IF($K3623="","",$H3623*IFERROR(VLOOKUP($K3623,Drink_Templates!$A:$G,7,FALSE),0)))</f>
        <v/>
      </c>
    </row>
    <row r="3624" ht="15" customHeight="1">
      <c r="C3624">
        <f>IF($B3624="","",INT($B3624))</f>
        <v/>
      </c>
      <c r="D3624">
        <f>IF($C3624="","",$C3624-WEEKDAY($C3624,2)+1)</f>
        <v/>
      </c>
      <c r="E3624">
        <f>IF($C3624="","",DATE(YEAR($C3624),MONTH($C3624),1))</f>
        <v/>
      </c>
      <c r="F3624">
        <f>IF($C3624="","",YEAR($C3624)&amp;"-Q"&amp;ROUNDUP(MONTH($C3624)/3,0))</f>
        <v/>
      </c>
      <c r="L3624">
        <f>IF($G3624&lt;&gt;"ALCOHOL","",IF($K3624="","",$H3624*IFERROR(VLOOKUP($K3624,Drink_Templates!$A:$G,7,FALSE),0)))</f>
        <v/>
      </c>
    </row>
    <row r="3625" ht="15" customHeight="1">
      <c r="C3625">
        <f>IF($B3625="","",INT($B3625))</f>
        <v/>
      </c>
      <c r="D3625">
        <f>IF($C3625="","",$C3625-WEEKDAY($C3625,2)+1)</f>
        <v/>
      </c>
      <c r="E3625">
        <f>IF($C3625="","",DATE(YEAR($C3625),MONTH($C3625),1))</f>
        <v/>
      </c>
      <c r="F3625">
        <f>IF($C3625="","",YEAR($C3625)&amp;"-Q"&amp;ROUNDUP(MONTH($C3625)/3,0))</f>
        <v/>
      </c>
      <c r="L3625">
        <f>IF($G3625&lt;&gt;"ALCOHOL","",IF($K3625="","",$H3625*IFERROR(VLOOKUP($K3625,Drink_Templates!$A:$G,7,FALSE),0)))</f>
        <v/>
      </c>
    </row>
    <row r="3626" ht="15" customHeight="1">
      <c r="C3626">
        <f>IF($B3626="","",INT($B3626))</f>
        <v/>
      </c>
      <c r="D3626">
        <f>IF($C3626="","",$C3626-WEEKDAY($C3626,2)+1)</f>
        <v/>
      </c>
      <c r="E3626">
        <f>IF($C3626="","",DATE(YEAR($C3626),MONTH($C3626),1))</f>
        <v/>
      </c>
      <c r="F3626">
        <f>IF($C3626="","",YEAR($C3626)&amp;"-Q"&amp;ROUNDUP(MONTH($C3626)/3,0))</f>
        <v/>
      </c>
      <c r="L3626">
        <f>IF($G3626&lt;&gt;"ALCOHOL","",IF($K3626="","",$H3626*IFERROR(VLOOKUP($K3626,Drink_Templates!$A:$G,7,FALSE),0)))</f>
        <v/>
      </c>
    </row>
    <row r="3627" ht="15" customHeight="1">
      <c r="C3627">
        <f>IF($B3627="","",INT($B3627))</f>
        <v/>
      </c>
      <c r="D3627">
        <f>IF($C3627="","",$C3627-WEEKDAY($C3627,2)+1)</f>
        <v/>
      </c>
      <c r="E3627">
        <f>IF($C3627="","",DATE(YEAR($C3627),MONTH($C3627),1))</f>
        <v/>
      </c>
      <c r="F3627">
        <f>IF($C3627="","",YEAR($C3627)&amp;"-Q"&amp;ROUNDUP(MONTH($C3627)/3,0))</f>
        <v/>
      </c>
      <c r="L3627">
        <f>IF($G3627&lt;&gt;"ALCOHOL","",IF($K3627="","",$H3627*IFERROR(VLOOKUP($K3627,Drink_Templates!$A:$G,7,FALSE),0)))</f>
        <v/>
      </c>
    </row>
    <row r="3628" ht="15" customHeight="1">
      <c r="C3628">
        <f>IF($B3628="","",INT($B3628))</f>
        <v/>
      </c>
      <c r="D3628">
        <f>IF($C3628="","",$C3628-WEEKDAY($C3628,2)+1)</f>
        <v/>
      </c>
      <c r="E3628">
        <f>IF($C3628="","",DATE(YEAR($C3628),MONTH($C3628),1))</f>
        <v/>
      </c>
      <c r="F3628">
        <f>IF($C3628="","",YEAR($C3628)&amp;"-Q"&amp;ROUNDUP(MONTH($C3628)/3,0))</f>
        <v/>
      </c>
      <c r="L3628">
        <f>IF($G3628&lt;&gt;"ALCOHOL","",IF($K3628="","",$H3628*IFERROR(VLOOKUP($K3628,Drink_Templates!$A:$G,7,FALSE),0)))</f>
        <v/>
      </c>
    </row>
    <row r="3629" ht="15" customHeight="1">
      <c r="C3629">
        <f>IF($B3629="","",INT($B3629))</f>
        <v/>
      </c>
      <c r="D3629">
        <f>IF($C3629="","",$C3629-WEEKDAY($C3629,2)+1)</f>
        <v/>
      </c>
      <c r="E3629">
        <f>IF($C3629="","",DATE(YEAR($C3629),MONTH($C3629),1))</f>
        <v/>
      </c>
      <c r="F3629">
        <f>IF($C3629="","",YEAR($C3629)&amp;"-Q"&amp;ROUNDUP(MONTH($C3629)/3,0))</f>
        <v/>
      </c>
      <c r="L3629">
        <f>IF($G3629&lt;&gt;"ALCOHOL","",IF($K3629="","",$H3629*IFERROR(VLOOKUP($K3629,Drink_Templates!$A:$G,7,FALSE),0)))</f>
        <v/>
      </c>
    </row>
    <row r="3630" ht="15" customHeight="1">
      <c r="C3630">
        <f>IF($B3630="","",INT($B3630))</f>
        <v/>
      </c>
      <c r="D3630">
        <f>IF($C3630="","",$C3630-WEEKDAY($C3630,2)+1)</f>
        <v/>
      </c>
      <c r="E3630">
        <f>IF($C3630="","",DATE(YEAR($C3630),MONTH($C3630),1))</f>
        <v/>
      </c>
      <c r="F3630">
        <f>IF($C3630="","",YEAR($C3630)&amp;"-Q"&amp;ROUNDUP(MONTH($C3630)/3,0))</f>
        <v/>
      </c>
      <c r="L3630">
        <f>IF($G3630&lt;&gt;"ALCOHOL","",IF($K3630="","",$H3630*IFERROR(VLOOKUP($K3630,Drink_Templates!$A:$G,7,FALSE),0)))</f>
        <v/>
      </c>
    </row>
    <row r="3631" ht="15" customHeight="1">
      <c r="C3631">
        <f>IF($B3631="","",INT($B3631))</f>
        <v/>
      </c>
      <c r="D3631">
        <f>IF($C3631="","",$C3631-WEEKDAY($C3631,2)+1)</f>
        <v/>
      </c>
      <c r="E3631">
        <f>IF($C3631="","",DATE(YEAR($C3631),MONTH($C3631),1))</f>
        <v/>
      </c>
      <c r="F3631">
        <f>IF($C3631="","",YEAR($C3631)&amp;"-Q"&amp;ROUNDUP(MONTH($C3631)/3,0))</f>
        <v/>
      </c>
      <c r="L3631">
        <f>IF($G3631&lt;&gt;"ALCOHOL","",IF($K3631="","",$H3631*IFERROR(VLOOKUP($K3631,Drink_Templates!$A:$G,7,FALSE),0)))</f>
        <v/>
      </c>
    </row>
    <row r="3632" ht="15" customHeight="1">
      <c r="C3632">
        <f>IF($B3632="","",INT($B3632))</f>
        <v/>
      </c>
      <c r="D3632">
        <f>IF($C3632="","",$C3632-WEEKDAY($C3632,2)+1)</f>
        <v/>
      </c>
      <c r="E3632">
        <f>IF($C3632="","",DATE(YEAR($C3632),MONTH($C3632),1))</f>
        <v/>
      </c>
      <c r="F3632">
        <f>IF($C3632="","",YEAR($C3632)&amp;"-Q"&amp;ROUNDUP(MONTH($C3632)/3,0))</f>
        <v/>
      </c>
      <c r="L3632">
        <f>IF($G3632&lt;&gt;"ALCOHOL","",IF($K3632="","",$H3632*IFERROR(VLOOKUP($K3632,Drink_Templates!$A:$G,7,FALSE),0)))</f>
        <v/>
      </c>
    </row>
    <row r="3633" ht="15" customHeight="1">
      <c r="C3633">
        <f>IF($B3633="","",INT($B3633))</f>
        <v/>
      </c>
      <c r="D3633">
        <f>IF($C3633="","",$C3633-WEEKDAY($C3633,2)+1)</f>
        <v/>
      </c>
      <c r="E3633">
        <f>IF($C3633="","",DATE(YEAR($C3633),MONTH($C3633),1))</f>
        <v/>
      </c>
      <c r="F3633">
        <f>IF($C3633="","",YEAR($C3633)&amp;"-Q"&amp;ROUNDUP(MONTH($C3633)/3,0))</f>
        <v/>
      </c>
      <c r="L3633">
        <f>IF($G3633&lt;&gt;"ALCOHOL","",IF($K3633="","",$H3633*IFERROR(VLOOKUP($K3633,Drink_Templates!$A:$G,7,FALSE),0)))</f>
        <v/>
      </c>
    </row>
    <row r="3634" ht="15" customHeight="1">
      <c r="C3634">
        <f>IF($B3634="","",INT($B3634))</f>
        <v/>
      </c>
      <c r="D3634">
        <f>IF($C3634="","",$C3634-WEEKDAY($C3634,2)+1)</f>
        <v/>
      </c>
      <c r="E3634">
        <f>IF($C3634="","",DATE(YEAR($C3634),MONTH($C3634),1))</f>
        <v/>
      </c>
      <c r="F3634">
        <f>IF($C3634="","",YEAR($C3634)&amp;"-Q"&amp;ROUNDUP(MONTH($C3634)/3,0))</f>
        <v/>
      </c>
      <c r="L3634">
        <f>IF($G3634&lt;&gt;"ALCOHOL","",IF($K3634="","",$H3634*IFERROR(VLOOKUP($K3634,Drink_Templates!$A:$G,7,FALSE),0)))</f>
        <v/>
      </c>
    </row>
    <row r="3635" ht="15" customHeight="1">
      <c r="C3635">
        <f>IF($B3635="","",INT($B3635))</f>
        <v/>
      </c>
      <c r="D3635">
        <f>IF($C3635="","",$C3635-WEEKDAY($C3635,2)+1)</f>
        <v/>
      </c>
      <c r="E3635">
        <f>IF($C3635="","",DATE(YEAR($C3635),MONTH($C3635),1))</f>
        <v/>
      </c>
      <c r="F3635">
        <f>IF($C3635="","",YEAR($C3635)&amp;"-Q"&amp;ROUNDUP(MONTH($C3635)/3,0))</f>
        <v/>
      </c>
      <c r="L3635">
        <f>IF($G3635&lt;&gt;"ALCOHOL","",IF($K3635="","",$H3635*IFERROR(VLOOKUP($K3635,Drink_Templates!$A:$G,7,FALSE),0)))</f>
        <v/>
      </c>
    </row>
    <row r="3636" ht="15" customHeight="1">
      <c r="C3636">
        <f>IF($B3636="","",INT($B3636))</f>
        <v/>
      </c>
      <c r="D3636">
        <f>IF($C3636="","",$C3636-WEEKDAY($C3636,2)+1)</f>
        <v/>
      </c>
      <c r="E3636">
        <f>IF($C3636="","",DATE(YEAR($C3636),MONTH($C3636),1))</f>
        <v/>
      </c>
      <c r="F3636">
        <f>IF($C3636="","",YEAR($C3636)&amp;"-Q"&amp;ROUNDUP(MONTH($C3636)/3,0))</f>
        <v/>
      </c>
      <c r="L3636">
        <f>IF($G3636&lt;&gt;"ALCOHOL","",IF($K3636="","",$H3636*IFERROR(VLOOKUP($K3636,Drink_Templates!$A:$G,7,FALSE),0)))</f>
        <v/>
      </c>
    </row>
    <row r="3637" ht="15" customHeight="1">
      <c r="C3637">
        <f>IF($B3637="","",INT($B3637))</f>
        <v/>
      </c>
      <c r="D3637">
        <f>IF($C3637="","",$C3637-WEEKDAY($C3637,2)+1)</f>
        <v/>
      </c>
      <c r="E3637">
        <f>IF($C3637="","",DATE(YEAR($C3637),MONTH($C3637),1))</f>
        <v/>
      </c>
      <c r="F3637">
        <f>IF($C3637="","",YEAR($C3637)&amp;"-Q"&amp;ROUNDUP(MONTH($C3637)/3,0))</f>
        <v/>
      </c>
      <c r="L3637">
        <f>IF($G3637&lt;&gt;"ALCOHOL","",IF($K3637="","",$H3637*IFERROR(VLOOKUP($K3637,Drink_Templates!$A:$G,7,FALSE),0)))</f>
        <v/>
      </c>
    </row>
    <row r="3638" ht="15" customHeight="1">
      <c r="C3638">
        <f>IF($B3638="","",INT($B3638))</f>
        <v/>
      </c>
      <c r="D3638">
        <f>IF($C3638="","",$C3638-WEEKDAY($C3638,2)+1)</f>
        <v/>
      </c>
      <c r="E3638">
        <f>IF($C3638="","",DATE(YEAR($C3638),MONTH($C3638),1))</f>
        <v/>
      </c>
      <c r="F3638">
        <f>IF($C3638="","",YEAR($C3638)&amp;"-Q"&amp;ROUNDUP(MONTH($C3638)/3,0))</f>
        <v/>
      </c>
      <c r="L3638">
        <f>IF($G3638&lt;&gt;"ALCOHOL","",IF($K3638="","",$H3638*IFERROR(VLOOKUP($K3638,Drink_Templates!$A:$G,7,FALSE),0)))</f>
        <v/>
      </c>
    </row>
    <row r="3639" ht="15" customHeight="1">
      <c r="C3639">
        <f>IF($B3639="","",INT($B3639))</f>
        <v/>
      </c>
      <c r="D3639">
        <f>IF($C3639="","",$C3639-WEEKDAY($C3639,2)+1)</f>
        <v/>
      </c>
      <c r="E3639">
        <f>IF($C3639="","",DATE(YEAR($C3639),MONTH($C3639),1))</f>
        <v/>
      </c>
      <c r="F3639">
        <f>IF($C3639="","",YEAR($C3639)&amp;"-Q"&amp;ROUNDUP(MONTH($C3639)/3,0))</f>
        <v/>
      </c>
      <c r="L3639">
        <f>IF($G3639&lt;&gt;"ALCOHOL","",IF($K3639="","",$H3639*IFERROR(VLOOKUP($K3639,Drink_Templates!$A:$G,7,FALSE),0)))</f>
        <v/>
      </c>
    </row>
    <row r="3640" ht="15" customHeight="1">
      <c r="C3640">
        <f>IF($B3640="","",INT($B3640))</f>
        <v/>
      </c>
      <c r="D3640">
        <f>IF($C3640="","",$C3640-WEEKDAY($C3640,2)+1)</f>
        <v/>
      </c>
      <c r="E3640">
        <f>IF($C3640="","",DATE(YEAR($C3640),MONTH($C3640),1))</f>
        <v/>
      </c>
      <c r="F3640">
        <f>IF($C3640="","",YEAR($C3640)&amp;"-Q"&amp;ROUNDUP(MONTH($C3640)/3,0))</f>
        <v/>
      </c>
      <c r="L3640">
        <f>IF($G3640&lt;&gt;"ALCOHOL","",IF($K3640="","",$H3640*IFERROR(VLOOKUP($K3640,Drink_Templates!$A:$G,7,FALSE),0)))</f>
        <v/>
      </c>
    </row>
    <row r="3641" ht="15" customHeight="1">
      <c r="C3641">
        <f>IF($B3641="","",INT($B3641))</f>
        <v/>
      </c>
      <c r="D3641">
        <f>IF($C3641="","",$C3641-WEEKDAY($C3641,2)+1)</f>
        <v/>
      </c>
      <c r="E3641">
        <f>IF($C3641="","",DATE(YEAR($C3641),MONTH($C3641),1))</f>
        <v/>
      </c>
      <c r="F3641">
        <f>IF($C3641="","",YEAR($C3641)&amp;"-Q"&amp;ROUNDUP(MONTH($C3641)/3,0))</f>
        <v/>
      </c>
      <c r="L3641">
        <f>IF($G3641&lt;&gt;"ALCOHOL","",IF($K3641="","",$H3641*IFERROR(VLOOKUP($K3641,Drink_Templates!$A:$G,7,FALSE),0)))</f>
        <v/>
      </c>
    </row>
    <row r="3642" ht="15" customHeight="1">
      <c r="C3642">
        <f>IF($B3642="","",INT($B3642))</f>
        <v/>
      </c>
      <c r="D3642">
        <f>IF($C3642="","",$C3642-WEEKDAY($C3642,2)+1)</f>
        <v/>
      </c>
      <c r="E3642">
        <f>IF($C3642="","",DATE(YEAR($C3642),MONTH($C3642),1))</f>
        <v/>
      </c>
      <c r="F3642">
        <f>IF($C3642="","",YEAR($C3642)&amp;"-Q"&amp;ROUNDUP(MONTH($C3642)/3,0))</f>
        <v/>
      </c>
      <c r="L3642">
        <f>IF($G3642&lt;&gt;"ALCOHOL","",IF($K3642="","",$H3642*IFERROR(VLOOKUP($K3642,Drink_Templates!$A:$G,7,FALSE),0)))</f>
        <v/>
      </c>
    </row>
    <row r="3643" ht="15" customHeight="1">
      <c r="C3643">
        <f>IF($B3643="","",INT($B3643))</f>
        <v/>
      </c>
      <c r="D3643">
        <f>IF($C3643="","",$C3643-WEEKDAY($C3643,2)+1)</f>
        <v/>
      </c>
      <c r="E3643">
        <f>IF($C3643="","",DATE(YEAR($C3643),MONTH($C3643),1))</f>
        <v/>
      </c>
      <c r="F3643">
        <f>IF($C3643="","",YEAR($C3643)&amp;"-Q"&amp;ROUNDUP(MONTH($C3643)/3,0))</f>
        <v/>
      </c>
      <c r="L3643">
        <f>IF($G3643&lt;&gt;"ALCOHOL","",IF($K3643="","",$H3643*IFERROR(VLOOKUP($K3643,Drink_Templates!$A:$G,7,FALSE),0)))</f>
        <v/>
      </c>
    </row>
    <row r="3644" ht="15" customHeight="1">
      <c r="C3644">
        <f>IF($B3644="","",INT($B3644))</f>
        <v/>
      </c>
      <c r="D3644">
        <f>IF($C3644="","",$C3644-WEEKDAY($C3644,2)+1)</f>
        <v/>
      </c>
      <c r="E3644">
        <f>IF($C3644="","",DATE(YEAR($C3644),MONTH($C3644),1))</f>
        <v/>
      </c>
      <c r="F3644">
        <f>IF($C3644="","",YEAR($C3644)&amp;"-Q"&amp;ROUNDUP(MONTH($C3644)/3,0))</f>
        <v/>
      </c>
      <c r="L3644">
        <f>IF($G3644&lt;&gt;"ALCOHOL","",IF($K3644="","",$H3644*IFERROR(VLOOKUP($K3644,Drink_Templates!$A:$G,7,FALSE),0)))</f>
        <v/>
      </c>
    </row>
    <row r="3645" ht="15" customHeight="1">
      <c r="C3645">
        <f>IF($B3645="","",INT($B3645))</f>
        <v/>
      </c>
      <c r="D3645">
        <f>IF($C3645="","",$C3645-WEEKDAY($C3645,2)+1)</f>
        <v/>
      </c>
      <c r="E3645">
        <f>IF($C3645="","",DATE(YEAR($C3645),MONTH($C3645),1))</f>
        <v/>
      </c>
      <c r="F3645">
        <f>IF($C3645="","",YEAR($C3645)&amp;"-Q"&amp;ROUNDUP(MONTH($C3645)/3,0))</f>
        <v/>
      </c>
      <c r="L3645">
        <f>IF($G3645&lt;&gt;"ALCOHOL","",IF($K3645="","",$H3645*IFERROR(VLOOKUP($K3645,Drink_Templates!$A:$G,7,FALSE),0)))</f>
        <v/>
      </c>
    </row>
    <row r="3646" ht="15" customHeight="1">
      <c r="C3646">
        <f>IF($B3646="","",INT($B3646))</f>
        <v/>
      </c>
      <c r="D3646">
        <f>IF($C3646="","",$C3646-WEEKDAY($C3646,2)+1)</f>
        <v/>
      </c>
      <c r="E3646">
        <f>IF($C3646="","",DATE(YEAR($C3646),MONTH($C3646),1))</f>
        <v/>
      </c>
      <c r="F3646">
        <f>IF($C3646="","",YEAR($C3646)&amp;"-Q"&amp;ROUNDUP(MONTH($C3646)/3,0))</f>
        <v/>
      </c>
      <c r="L3646">
        <f>IF($G3646&lt;&gt;"ALCOHOL","",IF($K3646="","",$H3646*IFERROR(VLOOKUP($K3646,Drink_Templates!$A:$G,7,FALSE),0)))</f>
        <v/>
      </c>
    </row>
    <row r="3647" ht="15" customHeight="1">
      <c r="C3647">
        <f>IF($B3647="","",INT($B3647))</f>
        <v/>
      </c>
      <c r="D3647">
        <f>IF($C3647="","",$C3647-WEEKDAY($C3647,2)+1)</f>
        <v/>
      </c>
      <c r="E3647">
        <f>IF($C3647="","",DATE(YEAR($C3647),MONTH($C3647),1))</f>
        <v/>
      </c>
      <c r="F3647">
        <f>IF($C3647="","",YEAR($C3647)&amp;"-Q"&amp;ROUNDUP(MONTH($C3647)/3,0))</f>
        <v/>
      </c>
      <c r="L3647">
        <f>IF($G3647&lt;&gt;"ALCOHOL","",IF($K3647="","",$H3647*IFERROR(VLOOKUP($K3647,Drink_Templates!$A:$G,7,FALSE),0)))</f>
        <v/>
      </c>
    </row>
    <row r="3648" ht="15" customHeight="1">
      <c r="C3648">
        <f>IF($B3648="","",INT($B3648))</f>
        <v/>
      </c>
      <c r="D3648">
        <f>IF($C3648="","",$C3648-WEEKDAY($C3648,2)+1)</f>
        <v/>
      </c>
      <c r="E3648">
        <f>IF($C3648="","",DATE(YEAR($C3648),MONTH($C3648),1))</f>
        <v/>
      </c>
      <c r="F3648">
        <f>IF($C3648="","",YEAR($C3648)&amp;"-Q"&amp;ROUNDUP(MONTH($C3648)/3,0))</f>
        <v/>
      </c>
      <c r="L3648">
        <f>IF($G3648&lt;&gt;"ALCOHOL","",IF($K3648="","",$H3648*IFERROR(VLOOKUP($K3648,Drink_Templates!$A:$G,7,FALSE),0)))</f>
        <v/>
      </c>
    </row>
    <row r="3649" ht="15" customHeight="1">
      <c r="C3649">
        <f>IF($B3649="","",INT($B3649))</f>
        <v/>
      </c>
      <c r="D3649">
        <f>IF($C3649="","",$C3649-WEEKDAY($C3649,2)+1)</f>
        <v/>
      </c>
      <c r="E3649">
        <f>IF($C3649="","",DATE(YEAR($C3649),MONTH($C3649),1))</f>
        <v/>
      </c>
      <c r="F3649">
        <f>IF($C3649="","",YEAR($C3649)&amp;"-Q"&amp;ROUNDUP(MONTH($C3649)/3,0))</f>
        <v/>
      </c>
      <c r="L3649">
        <f>IF($G3649&lt;&gt;"ALCOHOL","",IF($K3649="","",$H3649*IFERROR(VLOOKUP($K3649,Drink_Templates!$A:$G,7,FALSE),0)))</f>
        <v/>
      </c>
    </row>
    <row r="3650" ht="15" customHeight="1">
      <c r="C3650">
        <f>IF($B3650="","",INT($B3650))</f>
        <v/>
      </c>
      <c r="D3650">
        <f>IF($C3650="","",$C3650-WEEKDAY($C3650,2)+1)</f>
        <v/>
      </c>
      <c r="E3650">
        <f>IF($C3650="","",DATE(YEAR($C3650),MONTH($C3650),1))</f>
        <v/>
      </c>
      <c r="F3650">
        <f>IF($C3650="","",YEAR($C3650)&amp;"-Q"&amp;ROUNDUP(MONTH($C3650)/3,0))</f>
        <v/>
      </c>
      <c r="L3650">
        <f>IF($G3650&lt;&gt;"ALCOHOL","",IF($K3650="","",$H3650*IFERROR(VLOOKUP($K3650,Drink_Templates!$A:$G,7,FALSE),0)))</f>
        <v/>
      </c>
    </row>
    <row r="3651" ht="15" customHeight="1">
      <c r="C3651">
        <f>IF($B3651="","",INT($B3651))</f>
        <v/>
      </c>
      <c r="D3651">
        <f>IF($C3651="","",$C3651-WEEKDAY($C3651,2)+1)</f>
        <v/>
      </c>
      <c r="E3651">
        <f>IF($C3651="","",DATE(YEAR($C3651),MONTH($C3651),1))</f>
        <v/>
      </c>
      <c r="F3651">
        <f>IF($C3651="","",YEAR($C3651)&amp;"-Q"&amp;ROUNDUP(MONTH($C3651)/3,0))</f>
        <v/>
      </c>
      <c r="L3651">
        <f>IF($G3651&lt;&gt;"ALCOHOL","",IF($K3651="","",$H3651*IFERROR(VLOOKUP($K3651,Drink_Templates!$A:$G,7,FALSE),0)))</f>
        <v/>
      </c>
    </row>
    <row r="3652" ht="15" customHeight="1">
      <c r="C3652">
        <f>IF($B3652="","",INT($B3652))</f>
        <v/>
      </c>
      <c r="D3652">
        <f>IF($C3652="","",$C3652-WEEKDAY($C3652,2)+1)</f>
        <v/>
      </c>
      <c r="E3652">
        <f>IF($C3652="","",DATE(YEAR($C3652),MONTH($C3652),1))</f>
        <v/>
      </c>
      <c r="F3652">
        <f>IF($C3652="","",YEAR($C3652)&amp;"-Q"&amp;ROUNDUP(MONTH($C3652)/3,0))</f>
        <v/>
      </c>
      <c r="L3652">
        <f>IF($G3652&lt;&gt;"ALCOHOL","",IF($K3652="","",$H3652*IFERROR(VLOOKUP($K3652,Drink_Templates!$A:$G,7,FALSE),0)))</f>
        <v/>
      </c>
    </row>
    <row r="3653" ht="15" customHeight="1">
      <c r="C3653">
        <f>IF($B3653="","",INT($B3653))</f>
        <v/>
      </c>
      <c r="D3653">
        <f>IF($C3653="","",$C3653-WEEKDAY($C3653,2)+1)</f>
        <v/>
      </c>
      <c r="E3653">
        <f>IF($C3653="","",DATE(YEAR($C3653),MONTH($C3653),1))</f>
        <v/>
      </c>
      <c r="F3653">
        <f>IF($C3653="","",YEAR($C3653)&amp;"-Q"&amp;ROUNDUP(MONTH($C3653)/3,0))</f>
        <v/>
      </c>
      <c r="L3653">
        <f>IF($G3653&lt;&gt;"ALCOHOL","",IF($K3653="","",$H3653*IFERROR(VLOOKUP($K3653,Drink_Templates!$A:$G,7,FALSE),0)))</f>
        <v/>
      </c>
    </row>
    <row r="3654" ht="15" customHeight="1">
      <c r="C3654">
        <f>IF($B3654="","",INT($B3654))</f>
        <v/>
      </c>
      <c r="D3654">
        <f>IF($C3654="","",$C3654-WEEKDAY($C3654,2)+1)</f>
        <v/>
      </c>
      <c r="E3654">
        <f>IF($C3654="","",DATE(YEAR($C3654),MONTH($C3654),1))</f>
        <v/>
      </c>
      <c r="F3654">
        <f>IF($C3654="","",YEAR($C3654)&amp;"-Q"&amp;ROUNDUP(MONTH($C3654)/3,0))</f>
        <v/>
      </c>
      <c r="L3654">
        <f>IF($G3654&lt;&gt;"ALCOHOL","",IF($K3654="","",$H3654*IFERROR(VLOOKUP($K3654,Drink_Templates!$A:$G,7,FALSE),0)))</f>
        <v/>
      </c>
    </row>
    <row r="3655" ht="15" customHeight="1">
      <c r="C3655">
        <f>IF($B3655="","",INT($B3655))</f>
        <v/>
      </c>
      <c r="D3655">
        <f>IF($C3655="","",$C3655-WEEKDAY($C3655,2)+1)</f>
        <v/>
      </c>
      <c r="E3655">
        <f>IF($C3655="","",DATE(YEAR($C3655),MONTH($C3655),1))</f>
        <v/>
      </c>
      <c r="F3655">
        <f>IF($C3655="","",YEAR($C3655)&amp;"-Q"&amp;ROUNDUP(MONTH($C3655)/3,0))</f>
        <v/>
      </c>
      <c r="L3655">
        <f>IF($G3655&lt;&gt;"ALCOHOL","",IF($K3655="","",$H3655*IFERROR(VLOOKUP($K3655,Drink_Templates!$A:$G,7,FALSE),0)))</f>
        <v/>
      </c>
    </row>
    <row r="3656" ht="15" customHeight="1">
      <c r="C3656">
        <f>IF($B3656="","",INT($B3656))</f>
        <v/>
      </c>
      <c r="D3656">
        <f>IF($C3656="","",$C3656-WEEKDAY($C3656,2)+1)</f>
        <v/>
      </c>
      <c r="E3656">
        <f>IF($C3656="","",DATE(YEAR($C3656),MONTH($C3656),1))</f>
        <v/>
      </c>
      <c r="F3656">
        <f>IF($C3656="","",YEAR($C3656)&amp;"-Q"&amp;ROUNDUP(MONTH($C3656)/3,0))</f>
        <v/>
      </c>
      <c r="L3656">
        <f>IF($G3656&lt;&gt;"ALCOHOL","",IF($K3656="","",$H3656*IFERROR(VLOOKUP($K3656,Drink_Templates!$A:$G,7,FALSE),0)))</f>
        <v/>
      </c>
    </row>
    <row r="3657" ht="15" customHeight="1">
      <c r="C3657">
        <f>IF($B3657="","",INT($B3657))</f>
        <v/>
      </c>
      <c r="D3657">
        <f>IF($C3657="","",$C3657-WEEKDAY($C3657,2)+1)</f>
        <v/>
      </c>
      <c r="E3657">
        <f>IF($C3657="","",DATE(YEAR($C3657),MONTH($C3657),1))</f>
        <v/>
      </c>
      <c r="F3657">
        <f>IF($C3657="","",YEAR($C3657)&amp;"-Q"&amp;ROUNDUP(MONTH($C3657)/3,0))</f>
        <v/>
      </c>
      <c r="L3657">
        <f>IF($G3657&lt;&gt;"ALCOHOL","",IF($K3657="","",$H3657*IFERROR(VLOOKUP($K3657,Drink_Templates!$A:$G,7,FALSE),0)))</f>
        <v/>
      </c>
    </row>
    <row r="3658" ht="15" customHeight="1">
      <c r="C3658">
        <f>IF($B3658="","",INT($B3658))</f>
        <v/>
      </c>
      <c r="D3658">
        <f>IF($C3658="","",$C3658-WEEKDAY($C3658,2)+1)</f>
        <v/>
      </c>
      <c r="E3658">
        <f>IF($C3658="","",DATE(YEAR($C3658),MONTH($C3658),1))</f>
        <v/>
      </c>
      <c r="F3658">
        <f>IF($C3658="","",YEAR($C3658)&amp;"-Q"&amp;ROUNDUP(MONTH($C3658)/3,0))</f>
        <v/>
      </c>
      <c r="L3658">
        <f>IF($G3658&lt;&gt;"ALCOHOL","",IF($K3658="","",$H3658*IFERROR(VLOOKUP($K3658,Drink_Templates!$A:$G,7,FALSE),0)))</f>
        <v/>
      </c>
    </row>
    <row r="3659" ht="15" customHeight="1">
      <c r="C3659">
        <f>IF($B3659="","",INT($B3659))</f>
        <v/>
      </c>
      <c r="D3659">
        <f>IF($C3659="","",$C3659-WEEKDAY($C3659,2)+1)</f>
        <v/>
      </c>
      <c r="E3659">
        <f>IF($C3659="","",DATE(YEAR($C3659),MONTH($C3659),1))</f>
        <v/>
      </c>
      <c r="F3659">
        <f>IF($C3659="","",YEAR($C3659)&amp;"-Q"&amp;ROUNDUP(MONTH($C3659)/3,0))</f>
        <v/>
      </c>
      <c r="L3659">
        <f>IF($G3659&lt;&gt;"ALCOHOL","",IF($K3659="","",$H3659*IFERROR(VLOOKUP($K3659,Drink_Templates!$A:$G,7,FALSE),0)))</f>
        <v/>
      </c>
    </row>
    <row r="3660" ht="15" customHeight="1">
      <c r="C3660">
        <f>IF($B3660="","",INT($B3660))</f>
        <v/>
      </c>
      <c r="D3660">
        <f>IF($C3660="","",$C3660-WEEKDAY($C3660,2)+1)</f>
        <v/>
      </c>
      <c r="E3660">
        <f>IF($C3660="","",DATE(YEAR($C3660),MONTH($C3660),1))</f>
        <v/>
      </c>
      <c r="F3660">
        <f>IF($C3660="","",YEAR($C3660)&amp;"-Q"&amp;ROUNDUP(MONTH($C3660)/3,0))</f>
        <v/>
      </c>
      <c r="L3660">
        <f>IF($G3660&lt;&gt;"ALCOHOL","",IF($K3660="","",$H3660*IFERROR(VLOOKUP($K3660,Drink_Templates!$A:$G,7,FALSE),0)))</f>
        <v/>
      </c>
    </row>
    <row r="3661" ht="15" customHeight="1">
      <c r="C3661">
        <f>IF($B3661="","",INT($B3661))</f>
        <v/>
      </c>
      <c r="D3661">
        <f>IF($C3661="","",$C3661-WEEKDAY($C3661,2)+1)</f>
        <v/>
      </c>
      <c r="E3661">
        <f>IF($C3661="","",DATE(YEAR($C3661),MONTH($C3661),1))</f>
        <v/>
      </c>
      <c r="F3661">
        <f>IF($C3661="","",YEAR($C3661)&amp;"-Q"&amp;ROUNDUP(MONTH($C3661)/3,0))</f>
        <v/>
      </c>
      <c r="L3661">
        <f>IF($G3661&lt;&gt;"ALCOHOL","",IF($K3661="","",$H3661*IFERROR(VLOOKUP($K3661,Drink_Templates!$A:$G,7,FALSE),0)))</f>
        <v/>
      </c>
    </row>
    <row r="3662" ht="15" customHeight="1">
      <c r="C3662">
        <f>IF($B3662="","",INT($B3662))</f>
        <v/>
      </c>
      <c r="D3662">
        <f>IF($C3662="","",$C3662-WEEKDAY($C3662,2)+1)</f>
        <v/>
      </c>
      <c r="E3662">
        <f>IF($C3662="","",DATE(YEAR($C3662),MONTH($C3662),1))</f>
        <v/>
      </c>
      <c r="F3662">
        <f>IF($C3662="","",YEAR($C3662)&amp;"-Q"&amp;ROUNDUP(MONTH($C3662)/3,0))</f>
        <v/>
      </c>
      <c r="L3662">
        <f>IF($G3662&lt;&gt;"ALCOHOL","",IF($K3662="","",$H3662*IFERROR(VLOOKUP($K3662,Drink_Templates!$A:$G,7,FALSE),0)))</f>
        <v/>
      </c>
    </row>
    <row r="3663" ht="15" customHeight="1">
      <c r="C3663">
        <f>IF($B3663="","",INT($B3663))</f>
        <v/>
      </c>
      <c r="D3663">
        <f>IF($C3663="","",$C3663-WEEKDAY($C3663,2)+1)</f>
        <v/>
      </c>
      <c r="E3663">
        <f>IF($C3663="","",DATE(YEAR($C3663),MONTH($C3663),1))</f>
        <v/>
      </c>
      <c r="F3663">
        <f>IF($C3663="","",YEAR($C3663)&amp;"-Q"&amp;ROUNDUP(MONTH($C3663)/3,0))</f>
        <v/>
      </c>
      <c r="L3663">
        <f>IF($G3663&lt;&gt;"ALCOHOL","",IF($K3663="","",$H3663*IFERROR(VLOOKUP($K3663,Drink_Templates!$A:$G,7,FALSE),0)))</f>
        <v/>
      </c>
    </row>
    <row r="3664" ht="15" customHeight="1">
      <c r="C3664">
        <f>IF($B3664="","",INT($B3664))</f>
        <v/>
      </c>
      <c r="D3664">
        <f>IF($C3664="","",$C3664-WEEKDAY($C3664,2)+1)</f>
        <v/>
      </c>
      <c r="E3664">
        <f>IF($C3664="","",DATE(YEAR($C3664),MONTH($C3664),1))</f>
        <v/>
      </c>
      <c r="F3664">
        <f>IF($C3664="","",YEAR($C3664)&amp;"-Q"&amp;ROUNDUP(MONTH($C3664)/3,0))</f>
        <v/>
      </c>
      <c r="L3664">
        <f>IF($G3664&lt;&gt;"ALCOHOL","",IF($K3664="","",$H3664*IFERROR(VLOOKUP($K3664,Drink_Templates!$A:$G,7,FALSE),0)))</f>
        <v/>
      </c>
    </row>
    <row r="3665" ht="15" customHeight="1">
      <c r="C3665">
        <f>IF($B3665="","",INT($B3665))</f>
        <v/>
      </c>
      <c r="D3665">
        <f>IF($C3665="","",$C3665-WEEKDAY($C3665,2)+1)</f>
        <v/>
      </c>
      <c r="E3665">
        <f>IF($C3665="","",DATE(YEAR($C3665),MONTH($C3665),1))</f>
        <v/>
      </c>
      <c r="F3665">
        <f>IF($C3665="","",YEAR($C3665)&amp;"-Q"&amp;ROUNDUP(MONTH($C3665)/3,0))</f>
        <v/>
      </c>
      <c r="L3665">
        <f>IF($G3665&lt;&gt;"ALCOHOL","",IF($K3665="","",$H3665*IFERROR(VLOOKUP($K3665,Drink_Templates!$A:$G,7,FALSE),0)))</f>
        <v/>
      </c>
    </row>
    <row r="3666" ht="15" customHeight="1">
      <c r="C3666">
        <f>IF($B3666="","",INT($B3666))</f>
        <v/>
      </c>
      <c r="D3666">
        <f>IF($C3666="","",$C3666-WEEKDAY($C3666,2)+1)</f>
        <v/>
      </c>
      <c r="E3666">
        <f>IF($C3666="","",DATE(YEAR($C3666),MONTH($C3666),1))</f>
        <v/>
      </c>
      <c r="F3666">
        <f>IF($C3666="","",YEAR($C3666)&amp;"-Q"&amp;ROUNDUP(MONTH($C3666)/3,0))</f>
        <v/>
      </c>
      <c r="L3666">
        <f>IF($G3666&lt;&gt;"ALCOHOL","",IF($K3666="","",$H3666*IFERROR(VLOOKUP($K3666,Drink_Templates!$A:$G,7,FALSE),0)))</f>
        <v/>
      </c>
    </row>
    <row r="3667" ht="15" customHeight="1">
      <c r="C3667">
        <f>IF($B3667="","",INT($B3667))</f>
        <v/>
      </c>
      <c r="D3667">
        <f>IF($C3667="","",$C3667-WEEKDAY($C3667,2)+1)</f>
        <v/>
      </c>
      <c r="E3667">
        <f>IF($C3667="","",DATE(YEAR($C3667),MONTH($C3667),1))</f>
        <v/>
      </c>
      <c r="F3667">
        <f>IF($C3667="","",YEAR($C3667)&amp;"-Q"&amp;ROUNDUP(MONTH($C3667)/3,0))</f>
        <v/>
      </c>
      <c r="L3667">
        <f>IF($G3667&lt;&gt;"ALCOHOL","",IF($K3667="","",$H3667*IFERROR(VLOOKUP($K3667,Drink_Templates!$A:$G,7,FALSE),0)))</f>
        <v/>
      </c>
    </row>
    <row r="3668" ht="15" customHeight="1">
      <c r="C3668">
        <f>IF($B3668="","",INT($B3668))</f>
        <v/>
      </c>
      <c r="D3668">
        <f>IF($C3668="","",$C3668-WEEKDAY($C3668,2)+1)</f>
        <v/>
      </c>
      <c r="E3668">
        <f>IF($C3668="","",DATE(YEAR($C3668),MONTH($C3668),1))</f>
        <v/>
      </c>
      <c r="F3668">
        <f>IF($C3668="","",YEAR($C3668)&amp;"-Q"&amp;ROUNDUP(MONTH($C3668)/3,0))</f>
        <v/>
      </c>
      <c r="L3668">
        <f>IF($G3668&lt;&gt;"ALCOHOL","",IF($K3668="","",$H3668*IFERROR(VLOOKUP($K3668,Drink_Templates!$A:$G,7,FALSE),0)))</f>
        <v/>
      </c>
    </row>
    <row r="3669" ht="15" customHeight="1">
      <c r="C3669">
        <f>IF($B3669="","",INT($B3669))</f>
        <v/>
      </c>
      <c r="D3669">
        <f>IF($C3669="","",$C3669-WEEKDAY($C3669,2)+1)</f>
        <v/>
      </c>
      <c r="E3669">
        <f>IF($C3669="","",DATE(YEAR($C3669),MONTH($C3669),1))</f>
        <v/>
      </c>
      <c r="F3669">
        <f>IF($C3669="","",YEAR($C3669)&amp;"-Q"&amp;ROUNDUP(MONTH($C3669)/3,0))</f>
        <v/>
      </c>
      <c r="L3669">
        <f>IF($G3669&lt;&gt;"ALCOHOL","",IF($K3669="","",$H3669*IFERROR(VLOOKUP($K3669,Drink_Templates!$A:$G,7,FALSE),0)))</f>
        <v/>
      </c>
    </row>
    <row r="3670" ht="15" customHeight="1">
      <c r="C3670">
        <f>IF($B3670="","",INT($B3670))</f>
        <v/>
      </c>
      <c r="D3670">
        <f>IF($C3670="","",$C3670-WEEKDAY($C3670,2)+1)</f>
        <v/>
      </c>
      <c r="E3670">
        <f>IF($C3670="","",DATE(YEAR($C3670),MONTH($C3670),1))</f>
        <v/>
      </c>
      <c r="F3670">
        <f>IF($C3670="","",YEAR($C3670)&amp;"-Q"&amp;ROUNDUP(MONTH($C3670)/3,0))</f>
        <v/>
      </c>
      <c r="L3670">
        <f>IF($G3670&lt;&gt;"ALCOHOL","",IF($K3670="","",$H3670*IFERROR(VLOOKUP($K3670,Drink_Templates!$A:$G,7,FALSE),0)))</f>
        <v/>
      </c>
    </row>
    <row r="3671" ht="15" customHeight="1">
      <c r="C3671">
        <f>IF($B3671="","",INT($B3671))</f>
        <v/>
      </c>
      <c r="D3671">
        <f>IF($C3671="","",$C3671-WEEKDAY($C3671,2)+1)</f>
        <v/>
      </c>
      <c r="E3671">
        <f>IF($C3671="","",DATE(YEAR($C3671),MONTH($C3671),1))</f>
        <v/>
      </c>
      <c r="F3671">
        <f>IF($C3671="","",YEAR($C3671)&amp;"-Q"&amp;ROUNDUP(MONTH($C3671)/3,0))</f>
        <v/>
      </c>
      <c r="L3671">
        <f>IF($G3671&lt;&gt;"ALCOHOL","",IF($K3671="","",$H3671*IFERROR(VLOOKUP($K3671,Drink_Templates!$A:$G,7,FALSE),0)))</f>
        <v/>
      </c>
    </row>
    <row r="3672" ht="15" customHeight="1">
      <c r="C3672">
        <f>IF($B3672="","",INT($B3672))</f>
        <v/>
      </c>
      <c r="D3672">
        <f>IF($C3672="","",$C3672-WEEKDAY($C3672,2)+1)</f>
        <v/>
      </c>
      <c r="E3672">
        <f>IF($C3672="","",DATE(YEAR($C3672),MONTH($C3672),1))</f>
        <v/>
      </c>
      <c r="F3672">
        <f>IF($C3672="","",YEAR($C3672)&amp;"-Q"&amp;ROUNDUP(MONTH($C3672)/3,0))</f>
        <v/>
      </c>
      <c r="L3672">
        <f>IF($G3672&lt;&gt;"ALCOHOL","",IF($K3672="","",$H3672*IFERROR(VLOOKUP($K3672,Drink_Templates!$A:$G,7,FALSE),0)))</f>
        <v/>
      </c>
    </row>
    <row r="3673" ht="15" customHeight="1">
      <c r="C3673">
        <f>IF($B3673="","",INT($B3673))</f>
        <v/>
      </c>
      <c r="D3673">
        <f>IF($C3673="","",$C3673-WEEKDAY($C3673,2)+1)</f>
        <v/>
      </c>
      <c r="E3673">
        <f>IF($C3673="","",DATE(YEAR($C3673),MONTH($C3673),1))</f>
        <v/>
      </c>
      <c r="F3673">
        <f>IF($C3673="","",YEAR($C3673)&amp;"-Q"&amp;ROUNDUP(MONTH($C3673)/3,0))</f>
        <v/>
      </c>
      <c r="L3673">
        <f>IF($G3673&lt;&gt;"ALCOHOL","",IF($K3673="","",$H3673*IFERROR(VLOOKUP($K3673,Drink_Templates!$A:$G,7,FALSE),0)))</f>
        <v/>
      </c>
    </row>
    <row r="3674" ht="15" customHeight="1">
      <c r="C3674">
        <f>IF($B3674="","",INT($B3674))</f>
        <v/>
      </c>
      <c r="D3674">
        <f>IF($C3674="","",$C3674-WEEKDAY($C3674,2)+1)</f>
        <v/>
      </c>
      <c r="E3674">
        <f>IF($C3674="","",DATE(YEAR($C3674),MONTH($C3674),1))</f>
        <v/>
      </c>
      <c r="F3674">
        <f>IF($C3674="","",YEAR($C3674)&amp;"-Q"&amp;ROUNDUP(MONTH($C3674)/3,0))</f>
        <v/>
      </c>
      <c r="L3674">
        <f>IF($G3674&lt;&gt;"ALCOHOL","",IF($K3674="","",$H3674*IFERROR(VLOOKUP($K3674,Drink_Templates!$A:$G,7,FALSE),0)))</f>
        <v/>
      </c>
    </row>
    <row r="3675" ht="15" customHeight="1">
      <c r="C3675">
        <f>IF($B3675="","",INT($B3675))</f>
        <v/>
      </c>
      <c r="D3675">
        <f>IF($C3675="","",$C3675-WEEKDAY($C3675,2)+1)</f>
        <v/>
      </c>
      <c r="E3675">
        <f>IF($C3675="","",DATE(YEAR($C3675),MONTH($C3675),1))</f>
        <v/>
      </c>
      <c r="F3675">
        <f>IF($C3675="","",YEAR($C3675)&amp;"-Q"&amp;ROUNDUP(MONTH($C3675)/3,0))</f>
        <v/>
      </c>
      <c r="L3675">
        <f>IF($G3675&lt;&gt;"ALCOHOL","",IF($K3675="","",$H3675*IFERROR(VLOOKUP($K3675,Drink_Templates!$A:$G,7,FALSE),0)))</f>
        <v/>
      </c>
    </row>
    <row r="3676" ht="15" customHeight="1">
      <c r="C3676">
        <f>IF($B3676="","",INT($B3676))</f>
        <v/>
      </c>
      <c r="D3676">
        <f>IF($C3676="","",$C3676-WEEKDAY($C3676,2)+1)</f>
        <v/>
      </c>
      <c r="E3676">
        <f>IF($C3676="","",DATE(YEAR($C3676),MONTH($C3676),1))</f>
        <v/>
      </c>
      <c r="F3676">
        <f>IF($C3676="","",YEAR($C3676)&amp;"-Q"&amp;ROUNDUP(MONTH($C3676)/3,0))</f>
        <v/>
      </c>
      <c r="L3676">
        <f>IF($G3676&lt;&gt;"ALCOHOL","",IF($K3676="","",$H3676*IFERROR(VLOOKUP($K3676,Drink_Templates!$A:$G,7,FALSE),0)))</f>
        <v/>
      </c>
    </row>
    <row r="3677" ht="15" customHeight="1">
      <c r="C3677">
        <f>IF($B3677="","",INT($B3677))</f>
        <v/>
      </c>
      <c r="D3677">
        <f>IF($C3677="","",$C3677-WEEKDAY($C3677,2)+1)</f>
        <v/>
      </c>
      <c r="E3677">
        <f>IF($C3677="","",DATE(YEAR($C3677),MONTH($C3677),1))</f>
        <v/>
      </c>
      <c r="F3677">
        <f>IF($C3677="","",YEAR($C3677)&amp;"-Q"&amp;ROUNDUP(MONTH($C3677)/3,0))</f>
        <v/>
      </c>
      <c r="L3677">
        <f>IF($G3677&lt;&gt;"ALCOHOL","",IF($K3677="","",$H3677*IFERROR(VLOOKUP($K3677,Drink_Templates!$A:$G,7,FALSE),0)))</f>
        <v/>
      </c>
    </row>
    <row r="3678" ht="15" customHeight="1">
      <c r="C3678">
        <f>IF($B3678="","",INT($B3678))</f>
        <v/>
      </c>
      <c r="D3678">
        <f>IF($C3678="","",$C3678-WEEKDAY($C3678,2)+1)</f>
        <v/>
      </c>
      <c r="E3678">
        <f>IF($C3678="","",DATE(YEAR($C3678),MONTH($C3678),1))</f>
        <v/>
      </c>
      <c r="F3678">
        <f>IF($C3678="","",YEAR($C3678)&amp;"-Q"&amp;ROUNDUP(MONTH($C3678)/3,0))</f>
        <v/>
      </c>
      <c r="L3678">
        <f>IF($G3678&lt;&gt;"ALCOHOL","",IF($K3678="","",$H3678*IFERROR(VLOOKUP($K3678,Drink_Templates!$A:$G,7,FALSE),0)))</f>
        <v/>
      </c>
    </row>
    <row r="3679" ht="15" customHeight="1">
      <c r="C3679">
        <f>IF($B3679="","",INT($B3679))</f>
        <v/>
      </c>
      <c r="D3679">
        <f>IF($C3679="","",$C3679-WEEKDAY($C3679,2)+1)</f>
        <v/>
      </c>
      <c r="E3679">
        <f>IF($C3679="","",DATE(YEAR($C3679),MONTH($C3679),1))</f>
        <v/>
      </c>
      <c r="F3679">
        <f>IF($C3679="","",YEAR($C3679)&amp;"-Q"&amp;ROUNDUP(MONTH($C3679)/3,0))</f>
        <v/>
      </c>
      <c r="L3679">
        <f>IF($G3679&lt;&gt;"ALCOHOL","",IF($K3679="","",$H3679*IFERROR(VLOOKUP($K3679,Drink_Templates!$A:$G,7,FALSE),0)))</f>
        <v/>
      </c>
    </row>
    <row r="3680" ht="15" customHeight="1">
      <c r="C3680">
        <f>IF($B3680="","",INT($B3680))</f>
        <v/>
      </c>
      <c r="D3680">
        <f>IF($C3680="","",$C3680-WEEKDAY($C3680,2)+1)</f>
        <v/>
      </c>
      <c r="E3680">
        <f>IF($C3680="","",DATE(YEAR($C3680),MONTH($C3680),1))</f>
        <v/>
      </c>
      <c r="F3680">
        <f>IF($C3680="","",YEAR($C3680)&amp;"-Q"&amp;ROUNDUP(MONTH($C3680)/3,0))</f>
        <v/>
      </c>
      <c r="L3680">
        <f>IF($G3680&lt;&gt;"ALCOHOL","",IF($K3680="","",$H3680*IFERROR(VLOOKUP($K3680,Drink_Templates!$A:$G,7,FALSE),0)))</f>
        <v/>
      </c>
    </row>
    <row r="3681" ht="15" customHeight="1">
      <c r="C3681">
        <f>IF($B3681="","",INT($B3681))</f>
        <v/>
      </c>
      <c r="D3681">
        <f>IF($C3681="","",$C3681-WEEKDAY($C3681,2)+1)</f>
        <v/>
      </c>
      <c r="E3681">
        <f>IF($C3681="","",DATE(YEAR($C3681),MONTH($C3681),1))</f>
        <v/>
      </c>
      <c r="F3681">
        <f>IF($C3681="","",YEAR($C3681)&amp;"-Q"&amp;ROUNDUP(MONTH($C3681)/3,0))</f>
        <v/>
      </c>
      <c r="L3681">
        <f>IF($G3681&lt;&gt;"ALCOHOL","",IF($K3681="","",$H3681*IFERROR(VLOOKUP($K3681,Drink_Templates!$A:$G,7,FALSE),0)))</f>
        <v/>
      </c>
    </row>
    <row r="3682" ht="15" customHeight="1">
      <c r="C3682">
        <f>IF($B3682="","",INT($B3682))</f>
        <v/>
      </c>
      <c r="D3682">
        <f>IF($C3682="","",$C3682-WEEKDAY($C3682,2)+1)</f>
        <v/>
      </c>
      <c r="E3682">
        <f>IF($C3682="","",DATE(YEAR($C3682),MONTH($C3682),1))</f>
        <v/>
      </c>
      <c r="F3682">
        <f>IF($C3682="","",YEAR($C3682)&amp;"-Q"&amp;ROUNDUP(MONTH($C3682)/3,0))</f>
        <v/>
      </c>
      <c r="L3682">
        <f>IF($G3682&lt;&gt;"ALCOHOL","",IF($K3682="","",$H3682*IFERROR(VLOOKUP($K3682,Drink_Templates!$A:$G,7,FALSE),0)))</f>
        <v/>
      </c>
    </row>
    <row r="3683" ht="15" customHeight="1">
      <c r="C3683">
        <f>IF($B3683="","",INT($B3683))</f>
        <v/>
      </c>
      <c r="D3683">
        <f>IF($C3683="","",$C3683-WEEKDAY($C3683,2)+1)</f>
        <v/>
      </c>
      <c r="E3683">
        <f>IF($C3683="","",DATE(YEAR($C3683),MONTH($C3683),1))</f>
        <v/>
      </c>
      <c r="F3683">
        <f>IF($C3683="","",YEAR($C3683)&amp;"-Q"&amp;ROUNDUP(MONTH($C3683)/3,0))</f>
        <v/>
      </c>
      <c r="L3683">
        <f>IF($G3683&lt;&gt;"ALCOHOL","",IF($K3683="","",$H3683*IFERROR(VLOOKUP($K3683,Drink_Templates!$A:$G,7,FALSE),0)))</f>
        <v/>
      </c>
    </row>
    <row r="3684" ht="15" customHeight="1">
      <c r="C3684">
        <f>IF($B3684="","",INT($B3684))</f>
        <v/>
      </c>
      <c r="D3684">
        <f>IF($C3684="","",$C3684-WEEKDAY($C3684,2)+1)</f>
        <v/>
      </c>
      <c r="E3684">
        <f>IF($C3684="","",DATE(YEAR($C3684),MONTH($C3684),1))</f>
        <v/>
      </c>
      <c r="F3684">
        <f>IF($C3684="","",YEAR($C3684)&amp;"-Q"&amp;ROUNDUP(MONTH($C3684)/3,0))</f>
        <v/>
      </c>
      <c r="L3684">
        <f>IF($G3684&lt;&gt;"ALCOHOL","",IF($K3684="","",$H3684*IFERROR(VLOOKUP($K3684,Drink_Templates!$A:$G,7,FALSE),0)))</f>
        <v/>
      </c>
    </row>
    <row r="3685" ht="15" customHeight="1">
      <c r="C3685">
        <f>IF($B3685="","",INT($B3685))</f>
        <v/>
      </c>
      <c r="D3685">
        <f>IF($C3685="","",$C3685-WEEKDAY($C3685,2)+1)</f>
        <v/>
      </c>
      <c r="E3685">
        <f>IF($C3685="","",DATE(YEAR($C3685),MONTH($C3685),1))</f>
        <v/>
      </c>
      <c r="F3685">
        <f>IF($C3685="","",YEAR($C3685)&amp;"-Q"&amp;ROUNDUP(MONTH($C3685)/3,0))</f>
        <v/>
      </c>
      <c r="L3685">
        <f>IF($G3685&lt;&gt;"ALCOHOL","",IF($K3685="","",$H3685*IFERROR(VLOOKUP($K3685,Drink_Templates!$A:$G,7,FALSE),0)))</f>
        <v/>
      </c>
    </row>
    <row r="3686" ht="15" customHeight="1">
      <c r="C3686">
        <f>IF($B3686="","",INT($B3686))</f>
        <v/>
      </c>
      <c r="D3686">
        <f>IF($C3686="","",$C3686-WEEKDAY($C3686,2)+1)</f>
        <v/>
      </c>
      <c r="E3686">
        <f>IF($C3686="","",DATE(YEAR($C3686),MONTH($C3686),1))</f>
        <v/>
      </c>
      <c r="F3686">
        <f>IF($C3686="","",YEAR($C3686)&amp;"-Q"&amp;ROUNDUP(MONTH($C3686)/3,0))</f>
        <v/>
      </c>
      <c r="L3686">
        <f>IF($G3686&lt;&gt;"ALCOHOL","",IF($K3686="","",$H3686*IFERROR(VLOOKUP($K3686,Drink_Templates!$A:$G,7,FALSE),0)))</f>
        <v/>
      </c>
    </row>
    <row r="3687" ht="15" customHeight="1">
      <c r="C3687">
        <f>IF($B3687="","",INT($B3687))</f>
        <v/>
      </c>
      <c r="D3687">
        <f>IF($C3687="","",$C3687-WEEKDAY($C3687,2)+1)</f>
        <v/>
      </c>
      <c r="E3687">
        <f>IF($C3687="","",DATE(YEAR($C3687),MONTH($C3687),1))</f>
        <v/>
      </c>
      <c r="F3687">
        <f>IF($C3687="","",YEAR($C3687)&amp;"-Q"&amp;ROUNDUP(MONTH($C3687)/3,0))</f>
        <v/>
      </c>
      <c r="L3687">
        <f>IF($G3687&lt;&gt;"ALCOHOL","",IF($K3687="","",$H3687*IFERROR(VLOOKUP($K3687,Drink_Templates!$A:$G,7,FALSE),0)))</f>
        <v/>
      </c>
    </row>
    <row r="3688" ht="15" customHeight="1">
      <c r="C3688">
        <f>IF($B3688="","",INT($B3688))</f>
        <v/>
      </c>
      <c r="D3688">
        <f>IF($C3688="","",$C3688-WEEKDAY($C3688,2)+1)</f>
        <v/>
      </c>
      <c r="E3688">
        <f>IF($C3688="","",DATE(YEAR($C3688),MONTH($C3688),1))</f>
        <v/>
      </c>
      <c r="F3688">
        <f>IF($C3688="","",YEAR($C3688)&amp;"-Q"&amp;ROUNDUP(MONTH($C3688)/3,0))</f>
        <v/>
      </c>
      <c r="L3688">
        <f>IF($G3688&lt;&gt;"ALCOHOL","",IF($K3688="","",$H3688*IFERROR(VLOOKUP($K3688,Drink_Templates!$A:$G,7,FALSE),0)))</f>
        <v/>
      </c>
    </row>
    <row r="3689" ht="15" customHeight="1">
      <c r="C3689">
        <f>IF($B3689="","",INT($B3689))</f>
        <v/>
      </c>
      <c r="D3689">
        <f>IF($C3689="","",$C3689-WEEKDAY($C3689,2)+1)</f>
        <v/>
      </c>
      <c r="E3689">
        <f>IF($C3689="","",DATE(YEAR($C3689),MONTH($C3689),1))</f>
        <v/>
      </c>
      <c r="F3689">
        <f>IF($C3689="","",YEAR($C3689)&amp;"-Q"&amp;ROUNDUP(MONTH($C3689)/3,0))</f>
        <v/>
      </c>
      <c r="L3689">
        <f>IF($G3689&lt;&gt;"ALCOHOL","",IF($K3689="","",$H3689*IFERROR(VLOOKUP($K3689,Drink_Templates!$A:$G,7,FALSE),0)))</f>
        <v/>
      </c>
    </row>
    <row r="3690" ht="15" customHeight="1">
      <c r="C3690">
        <f>IF($B3690="","",INT($B3690))</f>
        <v/>
      </c>
      <c r="D3690">
        <f>IF($C3690="","",$C3690-WEEKDAY($C3690,2)+1)</f>
        <v/>
      </c>
      <c r="E3690">
        <f>IF($C3690="","",DATE(YEAR($C3690),MONTH($C3690),1))</f>
        <v/>
      </c>
      <c r="F3690">
        <f>IF($C3690="","",YEAR($C3690)&amp;"-Q"&amp;ROUNDUP(MONTH($C3690)/3,0))</f>
        <v/>
      </c>
      <c r="L3690">
        <f>IF($G3690&lt;&gt;"ALCOHOL","",IF($K3690="","",$H3690*IFERROR(VLOOKUP($K3690,Drink_Templates!$A:$G,7,FALSE),0)))</f>
        <v/>
      </c>
    </row>
    <row r="3691" ht="15" customHeight="1">
      <c r="C3691">
        <f>IF($B3691="","",INT($B3691))</f>
        <v/>
      </c>
      <c r="D3691">
        <f>IF($C3691="","",$C3691-WEEKDAY($C3691,2)+1)</f>
        <v/>
      </c>
      <c r="E3691">
        <f>IF($C3691="","",DATE(YEAR($C3691),MONTH($C3691),1))</f>
        <v/>
      </c>
      <c r="F3691">
        <f>IF($C3691="","",YEAR($C3691)&amp;"-Q"&amp;ROUNDUP(MONTH($C3691)/3,0))</f>
        <v/>
      </c>
      <c r="L3691">
        <f>IF($G3691&lt;&gt;"ALCOHOL","",IF($K3691="","",$H3691*IFERROR(VLOOKUP($K3691,Drink_Templates!$A:$G,7,FALSE),0)))</f>
        <v/>
      </c>
    </row>
    <row r="3692" ht="15" customHeight="1">
      <c r="C3692">
        <f>IF($B3692="","",INT($B3692))</f>
        <v/>
      </c>
      <c r="D3692">
        <f>IF($C3692="","",$C3692-WEEKDAY($C3692,2)+1)</f>
        <v/>
      </c>
      <c r="E3692">
        <f>IF($C3692="","",DATE(YEAR($C3692),MONTH($C3692),1))</f>
        <v/>
      </c>
      <c r="F3692">
        <f>IF($C3692="","",YEAR($C3692)&amp;"-Q"&amp;ROUNDUP(MONTH($C3692)/3,0))</f>
        <v/>
      </c>
      <c r="L3692">
        <f>IF($G3692&lt;&gt;"ALCOHOL","",IF($K3692="","",$H3692*IFERROR(VLOOKUP($K3692,Drink_Templates!$A:$G,7,FALSE),0)))</f>
        <v/>
      </c>
    </row>
    <row r="3693" ht="15" customHeight="1">
      <c r="C3693">
        <f>IF($B3693="","",INT($B3693))</f>
        <v/>
      </c>
      <c r="D3693">
        <f>IF($C3693="","",$C3693-WEEKDAY($C3693,2)+1)</f>
        <v/>
      </c>
      <c r="E3693">
        <f>IF($C3693="","",DATE(YEAR($C3693),MONTH($C3693),1))</f>
        <v/>
      </c>
      <c r="F3693">
        <f>IF($C3693="","",YEAR($C3693)&amp;"-Q"&amp;ROUNDUP(MONTH($C3693)/3,0))</f>
        <v/>
      </c>
      <c r="L3693">
        <f>IF($G3693&lt;&gt;"ALCOHOL","",IF($K3693="","",$H3693*IFERROR(VLOOKUP($K3693,Drink_Templates!$A:$G,7,FALSE),0)))</f>
        <v/>
      </c>
    </row>
    <row r="3694" ht="15" customHeight="1">
      <c r="C3694">
        <f>IF($B3694="","",INT($B3694))</f>
        <v/>
      </c>
      <c r="D3694">
        <f>IF($C3694="","",$C3694-WEEKDAY($C3694,2)+1)</f>
        <v/>
      </c>
      <c r="E3694">
        <f>IF($C3694="","",DATE(YEAR($C3694),MONTH($C3694),1))</f>
        <v/>
      </c>
      <c r="F3694">
        <f>IF($C3694="","",YEAR($C3694)&amp;"-Q"&amp;ROUNDUP(MONTH($C3694)/3,0))</f>
        <v/>
      </c>
      <c r="L3694">
        <f>IF($G3694&lt;&gt;"ALCOHOL","",IF($K3694="","",$H3694*IFERROR(VLOOKUP($K3694,Drink_Templates!$A:$G,7,FALSE),0)))</f>
        <v/>
      </c>
    </row>
    <row r="3695" ht="15" customHeight="1">
      <c r="C3695">
        <f>IF($B3695="","",INT($B3695))</f>
        <v/>
      </c>
      <c r="D3695">
        <f>IF($C3695="","",$C3695-WEEKDAY($C3695,2)+1)</f>
        <v/>
      </c>
      <c r="E3695">
        <f>IF($C3695="","",DATE(YEAR($C3695),MONTH($C3695),1))</f>
        <v/>
      </c>
      <c r="F3695">
        <f>IF($C3695="","",YEAR($C3695)&amp;"-Q"&amp;ROUNDUP(MONTH($C3695)/3,0))</f>
        <v/>
      </c>
      <c r="L3695">
        <f>IF($G3695&lt;&gt;"ALCOHOL","",IF($K3695="","",$H3695*IFERROR(VLOOKUP($K3695,Drink_Templates!$A:$G,7,FALSE),0)))</f>
        <v/>
      </c>
    </row>
    <row r="3696" ht="15" customHeight="1">
      <c r="C3696">
        <f>IF($B3696="","",INT($B3696))</f>
        <v/>
      </c>
      <c r="D3696">
        <f>IF($C3696="","",$C3696-WEEKDAY($C3696,2)+1)</f>
        <v/>
      </c>
      <c r="E3696">
        <f>IF($C3696="","",DATE(YEAR($C3696),MONTH($C3696),1))</f>
        <v/>
      </c>
      <c r="F3696">
        <f>IF($C3696="","",YEAR($C3696)&amp;"-Q"&amp;ROUNDUP(MONTH($C3696)/3,0))</f>
        <v/>
      </c>
      <c r="L3696">
        <f>IF($G3696&lt;&gt;"ALCOHOL","",IF($K3696="","",$H3696*IFERROR(VLOOKUP($K3696,Drink_Templates!$A:$G,7,FALSE),0)))</f>
        <v/>
      </c>
    </row>
    <row r="3697" ht="15" customHeight="1">
      <c r="C3697">
        <f>IF($B3697="","",INT($B3697))</f>
        <v/>
      </c>
      <c r="D3697">
        <f>IF($C3697="","",$C3697-WEEKDAY($C3697,2)+1)</f>
        <v/>
      </c>
      <c r="E3697">
        <f>IF($C3697="","",DATE(YEAR($C3697),MONTH($C3697),1))</f>
        <v/>
      </c>
      <c r="F3697">
        <f>IF($C3697="","",YEAR($C3697)&amp;"-Q"&amp;ROUNDUP(MONTH($C3697)/3,0))</f>
        <v/>
      </c>
      <c r="L3697">
        <f>IF($G3697&lt;&gt;"ALCOHOL","",IF($K3697="","",$H3697*IFERROR(VLOOKUP($K3697,Drink_Templates!$A:$G,7,FALSE),0)))</f>
        <v/>
      </c>
    </row>
    <row r="3698" ht="15" customHeight="1">
      <c r="C3698">
        <f>IF($B3698="","",INT($B3698))</f>
        <v/>
      </c>
      <c r="D3698">
        <f>IF($C3698="","",$C3698-WEEKDAY($C3698,2)+1)</f>
        <v/>
      </c>
      <c r="E3698">
        <f>IF($C3698="","",DATE(YEAR($C3698),MONTH($C3698),1))</f>
        <v/>
      </c>
      <c r="F3698">
        <f>IF($C3698="","",YEAR($C3698)&amp;"-Q"&amp;ROUNDUP(MONTH($C3698)/3,0))</f>
        <v/>
      </c>
      <c r="L3698">
        <f>IF($G3698&lt;&gt;"ALCOHOL","",IF($K3698="","",$H3698*IFERROR(VLOOKUP($K3698,Drink_Templates!$A:$G,7,FALSE),0)))</f>
        <v/>
      </c>
    </row>
    <row r="3699" ht="15" customHeight="1">
      <c r="C3699">
        <f>IF($B3699="","",INT($B3699))</f>
        <v/>
      </c>
      <c r="D3699">
        <f>IF($C3699="","",$C3699-WEEKDAY($C3699,2)+1)</f>
        <v/>
      </c>
      <c r="E3699">
        <f>IF($C3699="","",DATE(YEAR($C3699),MONTH($C3699),1))</f>
        <v/>
      </c>
      <c r="F3699">
        <f>IF($C3699="","",YEAR($C3699)&amp;"-Q"&amp;ROUNDUP(MONTH($C3699)/3,0))</f>
        <v/>
      </c>
      <c r="L3699">
        <f>IF($G3699&lt;&gt;"ALCOHOL","",IF($K3699="","",$H3699*IFERROR(VLOOKUP($K3699,Drink_Templates!$A:$G,7,FALSE),0)))</f>
        <v/>
      </c>
    </row>
    <row r="3700" ht="15" customHeight="1">
      <c r="C3700">
        <f>IF($B3700="","",INT($B3700))</f>
        <v/>
      </c>
      <c r="D3700">
        <f>IF($C3700="","",$C3700-WEEKDAY($C3700,2)+1)</f>
        <v/>
      </c>
      <c r="E3700">
        <f>IF($C3700="","",DATE(YEAR($C3700),MONTH($C3700),1))</f>
        <v/>
      </c>
      <c r="F3700">
        <f>IF($C3700="","",YEAR($C3700)&amp;"-Q"&amp;ROUNDUP(MONTH($C3700)/3,0))</f>
        <v/>
      </c>
      <c r="L3700">
        <f>IF($G3700&lt;&gt;"ALCOHOL","",IF($K3700="","",$H3700*IFERROR(VLOOKUP($K3700,Drink_Templates!$A:$G,7,FALSE),0)))</f>
        <v/>
      </c>
    </row>
    <row r="3701" ht="15" customHeight="1">
      <c r="C3701">
        <f>IF($B3701="","",INT($B3701))</f>
        <v/>
      </c>
      <c r="D3701">
        <f>IF($C3701="","",$C3701-WEEKDAY($C3701,2)+1)</f>
        <v/>
      </c>
      <c r="E3701">
        <f>IF($C3701="","",DATE(YEAR($C3701),MONTH($C3701),1))</f>
        <v/>
      </c>
      <c r="F3701">
        <f>IF($C3701="","",YEAR($C3701)&amp;"-Q"&amp;ROUNDUP(MONTH($C3701)/3,0))</f>
        <v/>
      </c>
      <c r="L3701">
        <f>IF($G3701&lt;&gt;"ALCOHOL","",IF($K3701="","",$H3701*IFERROR(VLOOKUP($K3701,Drink_Templates!$A:$G,7,FALSE),0)))</f>
        <v/>
      </c>
    </row>
    <row r="3702" ht="15" customHeight="1">
      <c r="C3702">
        <f>IF($B3702="","",INT($B3702))</f>
        <v/>
      </c>
      <c r="D3702">
        <f>IF($C3702="","",$C3702-WEEKDAY($C3702,2)+1)</f>
        <v/>
      </c>
      <c r="E3702">
        <f>IF($C3702="","",DATE(YEAR($C3702),MONTH($C3702),1))</f>
        <v/>
      </c>
      <c r="F3702">
        <f>IF($C3702="","",YEAR($C3702)&amp;"-Q"&amp;ROUNDUP(MONTH($C3702)/3,0))</f>
        <v/>
      </c>
      <c r="L3702">
        <f>IF($G3702&lt;&gt;"ALCOHOL","",IF($K3702="","",$H3702*IFERROR(VLOOKUP($K3702,Drink_Templates!$A:$G,7,FALSE),0)))</f>
        <v/>
      </c>
    </row>
    <row r="3703" ht="15" customHeight="1">
      <c r="C3703">
        <f>IF($B3703="","",INT($B3703))</f>
        <v/>
      </c>
      <c r="D3703">
        <f>IF($C3703="","",$C3703-WEEKDAY($C3703,2)+1)</f>
        <v/>
      </c>
      <c r="E3703">
        <f>IF($C3703="","",DATE(YEAR($C3703),MONTH($C3703),1))</f>
        <v/>
      </c>
      <c r="F3703">
        <f>IF($C3703="","",YEAR($C3703)&amp;"-Q"&amp;ROUNDUP(MONTH($C3703)/3,0))</f>
        <v/>
      </c>
      <c r="L3703">
        <f>IF($G3703&lt;&gt;"ALCOHOL","",IF($K3703="","",$H3703*IFERROR(VLOOKUP($K3703,Drink_Templates!$A:$G,7,FALSE),0)))</f>
        <v/>
      </c>
    </row>
    <row r="3704" ht="15" customHeight="1">
      <c r="C3704">
        <f>IF($B3704="","",INT($B3704))</f>
        <v/>
      </c>
      <c r="D3704">
        <f>IF($C3704="","",$C3704-WEEKDAY($C3704,2)+1)</f>
        <v/>
      </c>
      <c r="E3704">
        <f>IF($C3704="","",DATE(YEAR($C3704),MONTH($C3704),1))</f>
        <v/>
      </c>
      <c r="F3704">
        <f>IF($C3704="","",YEAR($C3704)&amp;"-Q"&amp;ROUNDUP(MONTH($C3704)/3,0))</f>
        <v/>
      </c>
      <c r="L3704">
        <f>IF($G3704&lt;&gt;"ALCOHOL","",IF($K3704="","",$H3704*IFERROR(VLOOKUP($K3704,Drink_Templates!$A:$G,7,FALSE),0)))</f>
        <v/>
      </c>
    </row>
    <row r="3705" ht="15" customHeight="1">
      <c r="C3705">
        <f>IF($B3705="","",INT($B3705))</f>
        <v/>
      </c>
      <c r="D3705">
        <f>IF($C3705="","",$C3705-WEEKDAY($C3705,2)+1)</f>
        <v/>
      </c>
      <c r="E3705">
        <f>IF($C3705="","",DATE(YEAR($C3705),MONTH($C3705),1))</f>
        <v/>
      </c>
      <c r="F3705">
        <f>IF($C3705="","",YEAR($C3705)&amp;"-Q"&amp;ROUNDUP(MONTH($C3705)/3,0))</f>
        <v/>
      </c>
      <c r="L3705">
        <f>IF($G3705&lt;&gt;"ALCOHOL","",IF($K3705="","",$H3705*IFERROR(VLOOKUP($K3705,Drink_Templates!$A:$G,7,FALSE),0)))</f>
        <v/>
      </c>
    </row>
    <row r="3706" ht="15" customHeight="1">
      <c r="C3706">
        <f>IF($B3706="","",INT($B3706))</f>
        <v/>
      </c>
      <c r="D3706">
        <f>IF($C3706="","",$C3706-WEEKDAY($C3706,2)+1)</f>
        <v/>
      </c>
      <c r="E3706">
        <f>IF($C3706="","",DATE(YEAR($C3706),MONTH($C3706),1))</f>
        <v/>
      </c>
      <c r="F3706">
        <f>IF($C3706="","",YEAR($C3706)&amp;"-Q"&amp;ROUNDUP(MONTH($C3706)/3,0))</f>
        <v/>
      </c>
      <c r="L3706">
        <f>IF($G3706&lt;&gt;"ALCOHOL","",IF($K3706="","",$H3706*IFERROR(VLOOKUP($K3706,Drink_Templates!$A:$G,7,FALSE),0)))</f>
        <v/>
      </c>
    </row>
    <row r="3707" ht="15" customHeight="1">
      <c r="C3707">
        <f>IF($B3707="","",INT($B3707))</f>
        <v/>
      </c>
      <c r="D3707">
        <f>IF($C3707="","",$C3707-WEEKDAY($C3707,2)+1)</f>
        <v/>
      </c>
      <c r="E3707">
        <f>IF($C3707="","",DATE(YEAR($C3707),MONTH($C3707),1))</f>
        <v/>
      </c>
      <c r="F3707">
        <f>IF($C3707="","",YEAR($C3707)&amp;"-Q"&amp;ROUNDUP(MONTH($C3707)/3,0))</f>
        <v/>
      </c>
      <c r="L3707">
        <f>IF($G3707&lt;&gt;"ALCOHOL","",IF($K3707="","",$H3707*IFERROR(VLOOKUP($K3707,Drink_Templates!$A:$G,7,FALSE),0)))</f>
        <v/>
      </c>
    </row>
    <row r="3708" ht="15" customHeight="1">
      <c r="C3708">
        <f>IF($B3708="","",INT($B3708))</f>
        <v/>
      </c>
      <c r="D3708">
        <f>IF($C3708="","",$C3708-WEEKDAY($C3708,2)+1)</f>
        <v/>
      </c>
      <c r="E3708">
        <f>IF($C3708="","",DATE(YEAR($C3708),MONTH($C3708),1))</f>
        <v/>
      </c>
      <c r="F3708">
        <f>IF($C3708="","",YEAR($C3708)&amp;"-Q"&amp;ROUNDUP(MONTH($C3708)/3,0))</f>
        <v/>
      </c>
      <c r="L3708">
        <f>IF($G3708&lt;&gt;"ALCOHOL","",IF($K3708="","",$H3708*IFERROR(VLOOKUP($K3708,Drink_Templates!$A:$G,7,FALSE),0)))</f>
        <v/>
      </c>
    </row>
    <row r="3709" ht="15" customHeight="1">
      <c r="C3709">
        <f>IF($B3709="","",INT($B3709))</f>
        <v/>
      </c>
      <c r="D3709">
        <f>IF($C3709="","",$C3709-WEEKDAY($C3709,2)+1)</f>
        <v/>
      </c>
      <c r="E3709">
        <f>IF($C3709="","",DATE(YEAR($C3709),MONTH($C3709),1))</f>
        <v/>
      </c>
      <c r="F3709">
        <f>IF($C3709="","",YEAR($C3709)&amp;"-Q"&amp;ROUNDUP(MONTH($C3709)/3,0))</f>
        <v/>
      </c>
      <c r="L3709">
        <f>IF($G3709&lt;&gt;"ALCOHOL","",IF($K3709="","",$H3709*IFERROR(VLOOKUP($K3709,Drink_Templates!$A:$G,7,FALSE),0)))</f>
        <v/>
      </c>
    </row>
    <row r="3710" ht="15" customHeight="1">
      <c r="C3710">
        <f>IF($B3710="","",INT($B3710))</f>
        <v/>
      </c>
      <c r="D3710">
        <f>IF($C3710="","",$C3710-WEEKDAY($C3710,2)+1)</f>
        <v/>
      </c>
      <c r="E3710">
        <f>IF($C3710="","",DATE(YEAR($C3710),MONTH($C3710),1))</f>
        <v/>
      </c>
      <c r="F3710">
        <f>IF($C3710="","",YEAR($C3710)&amp;"-Q"&amp;ROUNDUP(MONTH($C3710)/3,0))</f>
        <v/>
      </c>
      <c r="L3710">
        <f>IF($G3710&lt;&gt;"ALCOHOL","",IF($K3710="","",$H3710*IFERROR(VLOOKUP($K3710,Drink_Templates!$A:$G,7,FALSE),0)))</f>
        <v/>
      </c>
    </row>
    <row r="3711" ht="15" customHeight="1">
      <c r="C3711">
        <f>IF($B3711="","",INT($B3711))</f>
        <v/>
      </c>
      <c r="D3711">
        <f>IF($C3711="","",$C3711-WEEKDAY($C3711,2)+1)</f>
        <v/>
      </c>
      <c r="E3711">
        <f>IF($C3711="","",DATE(YEAR($C3711),MONTH($C3711),1))</f>
        <v/>
      </c>
      <c r="F3711">
        <f>IF($C3711="","",YEAR($C3711)&amp;"-Q"&amp;ROUNDUP(MONTH($C3711)/3,0))</f>
        <v/>
      </c>
      <c r="L3711">
        <f>IF($G3711&lt;&gt;"ALCOHOL","",IF($K3711="","",$H3711*IFERROR(VLOOKUP($K3711,Drink_Templates!$A:$G,7,FALSE),0)))</f>
        <v/>
      </c>
    </row>
    <row r="3712" ht="15" customHeight="1">
      <c r="C3712">
        <f>IF($B3712="","",INT($B3712))</f>
        <v/>
      </c>
      <c r="D3712">
        <f>IF($C3712="","",$C3712-WEEKDAY($C3712,2)+1)</f>
        <v/>
      </c>
      <c r="E3712">
        <f>IF($C3712="","",DATE(YEAR($C3712),MONTH($C3712),1))</f>
        <v/>
      </c>
      <c r="F3712">
        <f>IF($C3712="","",YEAR($C3712)&amp;"-Q"&amp;ROUNDUP(MONTH($C3712)/3,0))</f>
        <v/>
      </c>
      <c r="L3712">
        <f>IF($G3712&lt;&gt;"ALCOHOL","",IF($K3712="","",$H3712*IFERROR(VLOOKUP($K3712,Drink_Templates!$A:$G,7,FALSE),0)))</f>
        <v/>
      </c>
    </row>
    <row r="3713" ht="15" customHeight="1">
      <c r="C3713">
        <f>IF($B3713="","",INT($B3713))</f>
        <v/>
      </c>
      <c r="D3713">
        <f>IF($C3713="","",$C3713-WEEKDAY($C3713,2)+1)</f>
        <v/>
      </c>
      <c r="E3713">
        <f>IF($C3713="","",DATE(YEAR($C3713),MONTH($C3713),1))</f>
        <v/>
      </c>
      <c r="F3713">
        <f>IF($C3713="","",YEAR($C3713)&amp;"-Q"&amp;ROUNDUP(MONTH($C3713)/3,0))</f>
        <v/>
      </c>
      <c r="L3713">
        <f>IF($G3713&lt;&gt;"ALCOHOL","",IF($K3713="","",$H3713*IFERROR(VLOOKUP($K3713,Drink_Templates!$A:$G,7,FALSE),0)))</f>
        <v/>
      </c>
    </row>
    <row r="3714" ht="15" customHeight="1">
      <c r="C3714">
        <f>IF($B3714="","",INT($B3714))</f>
        <v/>
      </c>
      <c r="D3714">
        <f>IF($C3714="","",$C3714-WEEKDAY($C3714,2)+1)</f>
        <v/>
      </c>
      <c r="E3714">
        <f>IF($C3714="","",DATE(YEAR($C3714),MONTH($C3714),1))</f>
        <v/>
      </c>
      <c r="F3714">
        <f>IF($C3714="","",YEAR($C3714)&amp;"-Q"&amp;ROUNDUP(MONTH($C3714)/3,0))</f>
        <v/>
      </c>
      <c r="L3714">
        <f>IF($G3714&lt;&gt;"ALCOHOL","",IF($K3714="","",$H3714*IFERROR(VLOOKUP($K3714,Drink_Templates!$A:$G,7,FALSE),0)))</f>
        <v/>
      </c>
    </row>
    <row r="3715" ht="15" customHeight="1">
      <c r="C3715">
        <f>IF($B3715="","",INT($B3715))</f>
        <v/>
      </c>
      <c r="D3715">
        <f>IF($C3715="","",$C3715-WEEKDAY($C3715,2)+1)</f>
        <v/>
      </c>
      <c r="E3715">
        <f>IF($C3715="","",DATE(YEAR($C3715),MONTH($C3715),1))</f>
        <v/>
      </c>
      <c r="F3715">
        <f>IF($C3715="","",YEAR($C3715)&amp;"-Q"&amp;ROUNDUP(MONTH($C3715)/3,0))</f>
        <v/>
      </c>
      <c r="L3715">
        <f>IF($G3715&lt;&gt;"ALCOHOL","",IF($K3715="","",$H3715*IFERROR(VLOOKUP($K3715,Drink_Templates!$A:$G,7,FALSE),0)))</f>
        <v/>
      </c>
    </row>
    <row r="3716" ht="15" customHeight="1">
      <c r="C3716">
        <f>IF($B3716="","",INT($B3716))</f>
        <v/>
      </c>
      <c r="D3716">
        <f>IF($C3716="","",$C3716-WEEKDAY($C3716,2)+1)</f>
        <v/>
      </c>
      <c r="E3716">
        <f>IF($C3716="","",DATE(YEAR($C3716),MONTH($C3716),1))</f>
        <v/>
      </c>
      <c r="F3716">
        <f>IF($C3716="","",YEAR($C3716)&amp;"-Q"&amp;ROUNDUP(MONTH($C3716)/3,0))</f>
        <v/>
      </c>
      <c r="L3716">
        <f>IF($G3716&lt;&gt;"ALCOHOL","",IF($K3716="","",$H3716*IFERROR(VLOOKUP($K3716,Drink_Templates!$A:$G,7,FALSE),0)))</f>
        <v/>
      </c>
    </row>
    <row r="3717" ht="15" customHeight="1">
      <c r="C3717">
        <f>IF($B3717="","",INT($B3717))</f>
        <v/>
      </c>
      <c r="D3717">
        <f>IF($C3717="","",$C3717-WEEKDAY($C3717,2)+1)</f>
        <v/>
      </c>
      <c r="E3717">
        <f>IF($C3717="","",DATE(YEAR($C3717),MONTH($C3717),1))</f>
        <v/>
      </c>
      <c r="F3717">
        <f>IF($C3717="","",YEAR($C3717)&amp;"-Q"&amp;ROUNDUP(MONTH($C3717)/3,0))</f>
        <v/>
      </c>
      <c r="L3717">
        <f>IF($G3717&lt;&gt;"ALCOHOL","",IF($K3717="","",$H3717*IFERROR(VLOOKUP($K3717,Drink_Templates!$A:$G,7,FALSE),0)))</f>
        <v/>
      </c>
    </row>
    <row r="3718" ht="15" customHeight="1">
      <c r="C3718">
        <f>IF($B3718="","",INT($B3718))</f>
        <v/>
      </c>
      <c r="D3718">
        <f>IF($C3718="","",$C3718-WEEKDAY($C3718,2)+1)</f>
        <v/>
      </c>
      <c r="E3718">
        <f>IF($C3718="","",DATE(YEAR($C3718),MONTH($C3718),1))</f>
        <v/>
      </c>
      <c r="F3718">
        <f>IF($C3718="","",YEAR($C3718)&amp;"-Q"&amp;ROUNDUP(MONTH($C3718)/3,0))</f>
        <v/>
      </c>
      <c r="L3718">
        <f>IF($G3718&lt;&gt;"ALCOHOL","",IF($K3718="","",$H3718*IFERROR(VLOOKUP($K3718,Drink_Templates!$A:$G,7,FALSE),0)))</f>
        <v/>
      </c>
    </row>
    <row r="3719" ht="15" customHeight="1">
      <c r="C3719">
        <f>IF($B3719="","",INT($B3719))</f>
        <v/>
      </c>
      <c r="D3719">
        <f>IF($C3719="","",$C3719-WEEKDAY($C3719,2)+1)</f>
        <v/>
      </c>
      <c r="E3719">
        <f>IF($C3719="","",DATE(YEAR($C3719),MONTH($C3719),1))</f>
        <v/>
      </c>
      <c r="F3719">
        <f>IF($C3719="","",YEAR($C3719)&amp;"-Q"&amp;ROUNDUP(MONTH($C3719)/3,0))</f>
        <v/>
      </c>
      <c r="L3719">
        <f>IF($G3719&lt;&gt;"ALCOHOL","",IF($K3719="","",$H3719*IFERROR(VLOOKUP($K3719,Drink_Templates!$A:$G,7,FALSE),0)))</f>
        <v/>
      </c>
    </row>
    <row r="3720" ht="15" customHeight="1">
      <c r="C3720">
        <f>IF($B3720="","",INT($B3720))</f>
        <v/>
      </c>
      <c r="D3720">
        <f>IF($C3720="","",$C3720-WEEKDAY($C3720,2)+1)</f>
        <v/>
      </c>
      <c r="E3720">
        <f>IF($C3720="","",DATE(YEAR($C3720),MONTH($C3720),1))</f>
        <v/>
      </c>
      <c r="F3720">
        <f>IF($C3720="","",YEAR($C3720)&amp;"-Q"&amp;ROUNDUP(MONTH($C3720)/3,0))</f>
        <v/>
      </c>
      <c r="L3720">
        <f>IF($G3720&lt;&gt;"ALCOHOL","",IF($K3720="","",$H3720*IFERROR(VLOOKUP($K3720,Drink_Templates!$A:$G,7,FALSE),0)))</f>
        <v/>
      </c>
    </row>
    <row r="3721" ht="15" customHeight="1">
      <c r="C3721">
        <f>IF($B3721="","",INT($B3721))</f>
        <v/>
      </c>
      <c r="D3721">
        <f>IF($C3721="","",$C3721-WEEKDAY($C3721,2)+1)</f>
        <v/>
      </c>
      <c r="E3721">
        <f>IF($C3721="","",DATE(YEAR($C3721),MONTH($C3721),1))</f>
        <v/>
      </c>
      <c r="F3721">
        <f>IF($C3721="","",YEAR($C3721)&amp;"-Q"&amp;ROUNDUP(MONTH($C3721)/3,0))</f>
        <v/>
      </c>
      <c r="L3721">
        <f>IF($G3721&lt;&gt;"ALCOHOL","",IF($K3721="","",$H3721*IFERROR(VLOOKUP($K3721,Drink_Templates!$A:$G,7,FALSE),0)))</f>
        <v/>
      </c>
    </row>
    <row r="3722" ht="15" customHeight="1">
      <c r="C3722">
        <f>IF($B3722="","",INT($B3722))</f>
        <v/>
      </c>
      <c r="D3722">
        <f>IF($C3722="","",$C3722-WEEKDAY($C3722,2)+1)</f>
        <v/>
      </c>
      <c r="E3722">
        <f>IF($C3722="","",DATE(YEAR($C3722),MONTH($C3722),1))</f>
        <v/>
      </c>
      <c r="F3722">
        <f>IF($C3722="","",YEAR($C3722)&amp;"-Q"&amp;ROUNDUP(MONTH($C3722)/3,0))</f>
        <v/>
      </c>
      <c r="L3722">
        <f>IF($G3722&lt;&gt;"ALCOHOL","",IF($K3722="","",$H3722*IFERROR(VLOOKUP($K3722,Drink_Templates!$A:$G,7,FALSE),0)))</f>
        <v/>
      </c>
    </row>
    <row r="3723" ht="15" customHeight="1">
      <c r="C3723">
        <f>IF($B3723="","",INT($B3723))</f>
        <v/>
      </c>
      <c r="D3723">
        <f>IF($C3723="","",$C3723-WEEKDAY($C3723,2)+1)</f>
        <v/>
      </c>
      <c r="E3723">
        <f>IF($C3723="","",DATE(YEAR($C3723),MONTH($C3723),1))</f>
        <v/>
      </c>
      <c r="F3723">
        <f>IF($C3723="","",YEAR($C3723)&amp;"-Q"&amp;ROUNDUP(MONTH($C3723)/3,0))</f>
        <v/>
      </c>
      <c r="L3723">
        <f>IF($G3723&lt;&gt;"ALCOHOL","",IF($K3723="","",$H3723*IFERROR(VLOOKUP($K3723,Drink_Templates!$A:$G,7,FALSE),0)))</f>
        <v/>
      </c>
    </row>
    <row r="3724" ht="15" customHeight="1">
      <c r="C3724">
        <f>IF($B3724="","",INT($B3724))</f>
        <v/>
      </c>
      <c r="D3724">
        <f>IF($C3724="","",$C3724-WEEKDAY($C3724,2)+1)</f>
        <v/>
      </c>
      <c r="E3724">
        <f>IF($C3724="","",DATE(YEAR($C3724),MONTH($C3724),1))</f>
        <v/>
      </c>
      <c r="F3724">
        <f>IF($C3724="","",YEAR($C3724)&amp;"-Q"&amp;ROUNDUP(MONTH($C3724)/3,0))</f>
        <v/>
      </c>
      <c r="L3724">
        <f>IF($G3724&lt;&gt;"ALCOHOL","",IF($K3724="","",$H3724*IFERROR(VLOOKUP($K3724,Drink_Templates!$A:$G,7,FALSE),0)))</f>
        <v/>
      </c>
    </row>
    <row r="3725" ht="15" customHeight="1">
      <c r="C3725">
        <f>IF($B3725="","",INT($B3725))</f>
        <v/>
      </c>
      <c r="D3725">
        <f>IF($C3725="","",$C3725-WEEKDAY($C3725,2)+1)</f>
        <v/>
      </c>
      <c r="E3725">
        <f>IF($C3725="","",DATE(YEAR($C3725),MONTH($C3725),1))</f>
        <v/>
      </c>
      <c r="F3725">
        <f>IF($C3725="","",YEAR($C3725)&amp;"-Q"&amp;ROUNDUP(MONTH($C3725)/3,0))</f>
        <v/>
      </c>
      <c r="L3725">
        <f>IF($G3725&lt;&gt;"ALCOHOL","",IF($K3725="","",$H3725*IFERROR(VLOOKUP($K3725,Drink_Templates!$A:$G,7,FALSE),0)))</f>
        <v/>
      </c>
    </row>
    <row r="3726" ht="15" customHeight="1">
      <c r="C3726">
        <f>IF($B3726="","",INT($B3726))</f>
        <v/>
      </c>
      <c r="D3726">
        <f>IF($C3726="","",$C3726-WEEKDAY($C3726,2)+1)</f>
        <v/>
      </c>
      <c r="E3726">
        <f>IF($C3726="","",DATE(YEAR($C3726),MONTH($C3726),1))</f>
        <v/>
      </c>
      <c r="F3726">
        <f>IF($C3726="","",YEAR($C3726)&amp;"-Q"&amp;ROUNDUP(MONTH($C3726)/3,0))</f>
        <v/>
      </c>
      <c r="L3726">
        <f>IF($G3726&lt;&gt;"ALCOHOL","",IF($K3726="","",$H3726*IFERROR(VLOOKUP($K3726,Drink_Templates!$A:$G,7,FALSE),0)))</f>
        <v/>
      </c>
    </row>
    <row r="3727" ht="15" customHeight="1">
      <c r="C3727">
        <f>IF($B3727="","",INT($B3727))</f>
        <v/>
      </c>
      <c r="D3727">
        <f>IF($C3727="","",$C3727-WEEKDAY($C3727,2)+1)</f>
        <v/>
      </c>
      <c r="E3727">
        <f>IF($C3727="","",DATE(YEAR($C3727),MONTH($C3727),1))</f>
        <v/>
      </c>
      <c r="F3727">
        <f>IF($C3727="","",YEAR($C3727)&amp;"-Q"&amp;ROUNDUP(MONTH($C3727)/3,0))</f>
        <v/>
      </c>
      <c r="L3727">
        <f>IF($G3727&lt;&gt;"ALCOHOL","",IF($K3727="","",$H3727*IFERROR(VLOOKUP($K3727,Drink_Templates!$A:$G,7,FALSE),0)))</f>
        <v/>
      </c>
    </row>
    <row r="3728" ht="15" customHeight="1">
      <c r="C3728">
        <f>IF($B3728="","",INT($B3728))</f>
        <v/>
      </c>
      <c r="D3728">
        <f>IF($C3728="","",$C3728-WEEKDAY($C3728,2)+1)</f>
        <v/>
      </c>
      <c r="E3728">
        <f>IF($C3728="","",DATE(YEAR($C3728),MONTH($C3728),1))</f>
        <v/>
      </c>
      <c r="F3728">
        <f>IF($C3728="","",YEAR($C3728)&amp;"-Q"&amp;ROUNDUP(MONTH($C3728)/3,0))</f>
        <v/>
      </c>
      <c r="L3728">
        <f>IF($G3728&lt;&gt;"ALCOHOL","",IF($K3728="","",$H3728*IFERROR(VLOOKUP($K3728,Drink_Templates!$A:$G,7,FALSE),0)))</f>
        <v/>
      </c>
    </row>
    <row r="3729" ht="15" customHeight="1">
      <c r="C3729">
        <f>IF($B3729="","",INT($B3729))</f>
        <v/>
      </c>
      <c r="D3729">
        <f>IF($C3729="","",$C3729-WEEKDAY($C3729,2)+1)</f>
        <v/>
      </c>
      <c r="E3729">
        <f>IF($C3729="","",DATE(YEAR($C3729),MONTH($C3729),1))</f>
        <v/>
      </c>
      <c r="F3729">
        <f>IF($C3729="","",YEAR($C3729)&amp;"-Q"&amp;ROUNDUP(MONTH($C3729)/3,0))</f>
        <v/>
      </c>
      <c r="L3729">
        <f>IF($G3729&lt;&gt;"ALCOHOL","",IF($K3729="","",$H3729*IFERROR(VLOOKUP($K3729,Drink_Templates!$A:$G,7,FALSE),0)))</f>
        <v/>
      </c>
    </row>
    <row r="3730" ht="15" customHeight="1">
      <c r="C3730">
        <f>IF($B3730="","",INT($B3730))</f>
        <v/>
      </c>
      <c r="D3730">
        <f>IF($C3730="","",$C3730-WEEKDAY($C3730,2)+1)</f>
        <v/>
      </c>
      <c r="E3730">
        <f>IF($C3730="","",DATE(YEAR($C3730),MONTH($C3730),1))</f>
        <v/>
      </c>
      <c r="F3730">
        <f>IF($C3730="","",YEAR($C3730)&amp;"-Q"&amp;ROUNDUP(MONTH($C3730)/3,0))</f>
        <v/>
      </c>
      <c r="L3730">
        <f>IF($G3730&lt;&gt;"ALCOHOL","",IF($K3730="","",$H3730*IFERROR(VLOOKUP($K3730,Drink_Templates!$A:$G,7,FALSE),0)))</f>
        <v/>
      </c>
    </row>
    <row r="3731" ht="15" customHeight="1">
      <c r="C3731">
        <f>IF($B3731="","",INT($B3731))</f>
        <v/>
      </c>
      <c r="D3731">
        <f>IF($C3731="","",$C3731-WEEKDAY($C3731,2)+1)</f>
        <v/>
      </c>
      <c r="E3731">
        <f>IF($C3731="","",DATE(YEAR($C3731),MONTH($C3731),1))</f>
        <v/>
      </c>
      <c r="F3731">
        <f>IF($C3731="","",YEAR($C3731)&amp;"-Q"&amp;ROUNDUP(MONTH($C3731)/3,0))</f>
        <v/>
      </c>
      <c r="L3731">
        <f>IF($G3731&lt;&gt;"ALCOHOL","",IF($K3731="","",$H3731*IFERROR(VLOOKUP($K3731,Drink_Templates!$A:$G,7,FALSE),0)))</f>
        <v/>
      </c>
    </row>
    <row r="3732" ht="15" customHeight="1">
      <c r="C3732">
        <f>IF($B3732="","",INT($B3732))</f>
        <v/>
      </c>
      <c r="D3732">
        <f>IF($C3732="","",$C3732-WEEKDAY($C3732,2)+1)</f>
        <v/>
      </c>
      <c r="E3732">
        <f>IF($C3732="","",DATE(YEAR($C3732),MONTH($C3732),1))</f>
        <v/>
      </c>
      <c r="F3732">
        <f>IF($C3732="","",YEAR($C3732)&amp;"-Q"&amp;ROUNDUP(MONTH($C3732)/3,0))</f>
        <v/>
      </c>
      <c r="L3732">
        <f>IF($G3732&lt;&gt;"ALCOHOL","",IF($K3732="","",$H3732*IFERROR(VLOOKUP($K3732,Drink_Templates!$A:$G,7,FALSE),0)))</f>
        <v/>
      </c>
    </row>
    <row r="3733" ht="15" customHeight="1">
      <c r="C3733">
        <f>IF($B3733="","",INT($B3733))</f>
        <v/>
      </c>
      <c r="D3733">
        <f>IF($C3733="","",$C3733-WEEKDAY($C3733,2)+1)</f>
        <v/>
      </c>
      <c r="E3733">
        <f>IF($C3733="","",DATE(YEAR($C3733),MONTH($C3733),1))</f>
        <v/>
      </c>
      <c r="F3733">
        <f>IF($C3733="","",YEAR($C3733)&amp;"-Q"&amp;ROUNDUP(MONTH($C3733)/3,0))</f>
        <v/>
      </c>
      <c r="L3733">
        <f>IF($G3733&lt;&gt;"ALCOHOL","",IF($K3733="","",$H3733*IFERROR(VLOOKUP($K3733,Drink_Templates!$A:$G,7,FALSE),0)))</f>
        <v/>
      </c>
    </row>
    <row r="3734" ht="15" customHeight="1">
      <c r="C3734">
        <f>IF($B3734="","",INT($B3734))</f>
        <v/>
      </c>
      <c r="D3734">
        <f>IF($C3734="","",$C3734-WEEKDAY($C3734,2)+1)</f>
        <v/>
      </c>
      <c r="E3734">
        <f>IF($C3734="","",DATE(YEAR($C3734),MONTH($C3734),1))</f>
        <v/>
      </c>
      <c r="F3734">
        <f>IF($C3734="","",YEAR($C3734)&amp;"-Q"&amp;ROUNDUP(MONTH($C3734)/3,0))</f>
        <v/>
      </c>
      <c r="L3734">
        <f>IF($G3734&lt;&gt;"ALCOHOL","",IF($K3734="","",$H3734*IFERROR(VLOOKUP($K3734,Drink_Templates!$A:$G,7,FALSE),0)))</f>
        <v/>
      </c>
    </row>
    <row r="3735" ht="15" customHeight="1">
      <c r="C3735">
        <f>IF($B3735="","",INT($B3735))</f>
        <v/>
      </c>
      <c r="D3735">
        <f>IF($C3735="","",$C3735-WEEKDAY($C3735,2)+1)</f>
        <v/>
      </c>
      <c r="E3735">
        <f>IF($C3735="","",DATE(YEAR($C3735),MONTH($C3735),1))</f>
        <v/>
      </c>
      <c r="F3735">
        <f>IF($C3735="","",YEAR($C3735)&amp;"-Q"&amp;ROUNDUP(MONTH($C3735)/3,0))</f>
        <v/>
      </c>
      <c r="L3735">
        <f>IF($G3735&lt;&gt;"ALCOHOL","",IF($K3735="","",$H3735*IFERROR(VLOOKUP($K3735,Drink_Templates!$A:$G,7,FALSE),0)))</f>
        <v/>
      </c>
    </row>
    <row r="3736" ht="15" customHeight="1">
      <c r="C3736">
        <f>IF($B3736="","",INT($B3736))</f>
        <v/>
      </c>
      <c r="D3736">
        <f>IF($C3736="","",$C3736-WEEKDAY($C3736,2)+1)</f>
        <v/>
      </c>
      <c r="E3736">
        <f>IF($C3736="","",DATE(YEAR($C3736),MONTH($C3736),1))</f>
        <v/>
      </c>
      <c r="F3736">
        <f>IF($C3736="","",YEAR($C3736)&amp;"-Q"&amp;ROUNDUP(MONTH($C3736)/3,0))</f>
        <v/>
      </c>
      <c r="L3736">
        <f>IF($G3736&lt;&gt;"ALCOHOL","",IF($K3736="","",$H3736*IFERROR(VLOOKUP($K3736,Drink_Templates!$A:$G,7,FALSE),0)))</f>
        <v/>
      </c>
    </row>
    <row r="3737" ht="15" customHeight="1">
      <c r="C3737">
        <f>IF($B3737="","",INT($B3737))</f>
        <v/>
      </c>
      <c r="D3737">
        <f>IF($C3737="","",$C3737-WEEKDAY($C3737,2)+1)</f>
        <v/>
      </c>
      <c r="E3737">
        <f>IF($C3737="","",DATE(YEAR($C3737),MONTH($C3737),1))</f>
        <v/>
      </c>
      <c r="F3737">
        <f>IF($C3737="","",YEAR($C3737)&amp;"-Q"&amp;ROUNDUP(MONTH($C3737)/3,0))</f>
        <v/>
      </c>
      <c r="L3737">
        <f>IF($G3737&lt;&gt;"ALCOHOL","",IF($K3737="","",$H3737*IFERROR(VLOOKUP($K3737,Drink_Templates!$A:$G,7,FALSE),0)))</f>
        <v/>
      </c>
    </row>
    <row r="3738" ht="15" customHeight="1">
      <c r="C3738">
        <f>IF($B3738="","",INT($B3738))</f>
        <v/>
      </c>
      <c r="D3738">
        <f>IF($C3738="","",$C3738-WEEKDAY($C3738,2)+1)</f>
        <v/>
      </c>
      <c r="E3738">
        <f>IF($C3738="","",DATE(YEAR($C3738),MONTH($C3738),1))</f>
        <v/>
      </c>
      <c r="F3738">
        <f>IF($C3738="","",YEAR($C3738)&amp;"-Q"&amp;ROUNDUP(MONTH($C3738)/3,0))</f>
        <v/>
      </c>
      <c r="L3738">
        <f>IF($G3738&lt;&gt;"ALCOHOL","",IF($K3738="","",$H3738*IFERROR(VLOOKUP($K3738,Drink_Templates!$A:$G,7,FALSE),0)))</f>
        <v/>
      </c>
    </row>
    <row r="3739" ht="15" customHeight="1">
      <c r="C3739">
        <f>IF($B3739="","",INT($B3739))</f>
        <v/>
      </c>
      <c r="D3739">
        <f>IF($C3739="","",$C3739-WEEKDAY($C3739,2)+1)</f>
        <v/>
      </c>
      <c r="E3739">
        <f>IF($C3739="","",DATE(YEAR($C3739),MONTH($C3739),1))</f>
        <v/>
      </c>
      <c r="F3739">
        <f>IF($C3739="","",YEAR($C3739)&amp;"-Q"&amp;ROUNDUP(MONTH($C3739)/3,0))</f>
        <v/>
      </c>
      <c r="L3739">
        <f>IF($G3739&lt;&gt;"ALCOHOL","",IF($K3739="","",$H3739*IFERROR(VLOOKUP($K3739,Drink_Templates!$A:$G,7,FALSE),0)))</f>
        <v/>
      </c>
    </row>
    <row r="3740" ht="15" customHeight="1">
      <c r="C3740">
        <f>IF($B3740="","",INT($B3740))</f>
        <v/>
      </c>
      <c r="D3740">
        <f>IF($C3740="","",$C3740-WEEKDAY($C3740,2)+1)</f>
        <v/>
      </c>
      <c r="E3740">
        <f>IF($C3740="","",DATE(YEAR($C3740),MONTH($C3740),1))</f>
        <v/>
      </c>
      <c r="F3740">
        <f>IF($C3740="","",YEAR($C3740)&amp;"-Q"&amp;ROUNDUP(MONTH($C3740)/3,0))</f>
        <v/>
      </c>
      <c r="L3740">
        <f>IF($G3740&lt;&gt;"ALCOHOL","",IF($K3740="","",$H3740*IFERROR(VLOOKUP($K3740,Drink_Templates!$A:$G,7,FALSE),0)))</f>
        <v/>
      </c>
    </row>
    <row r="3741" ht="15" customHeight="1">
      <c r="C3741">
        <f>IF($B3741="","",INT($B3741))</f>
        <v/>
      </c>
      <c r="D3741">
        <f>IF($C3741="","",$C3741-WEEKDAY($C3741,2)+1)</f>
        <v/>
      </c>
      <c r="E3741">
        <f>IF($C3741="","",DATE(YEAR($C3741),MONTH($C3741),1))</f>
        <v/>
      </c>
      <c r="F3741">
        <f>IF($C3741="","",YEAR($C3741)&amp;"-Q"&amp;ROUNDUP(MONTH($C3741)/3,0))</f>
        <v/>
      </c>
      <c r="L3741">
        <f>IF($G3741&lt;&gt;"ALCOHOL","",IF($K3741="","",$H3741*IFERROR(VLOOKUP($K3741,Drink_Templates!$A:$G,7,FALSE),0)))</f>
        <v/>
      </c>
    </row>
    <row r="3742" ht="15" customHeight="1">
      <c r="C3742">
        <f>IF($B3742="","",INT($B3742))</f>
        <v/>
      </c>
      <c r="D3742">
        <f>IF($C3742="","",$C3742-WEEKDAY($C3742,2)+1)</f>
        <v/>
      </c>
      <c r="E3742">
        <f>IF($C3742="","",DATE(YEAR($C3742),MONTH($C3742),1))</f>
        <v/>
      </c>
      <c r="F3742">
        <f>IF($C3742="","",YEAR($C3742)&amp;"-Q"&amp;ROUNDUP(MONTH($C3742)/3,0))</f>
        <v/>
      </c>
      <c r="L3742">
        <f>IF($G3742&lt;&gt;"ALCOHOL","",IF($K3742="","",$H3742*IFERROR(VLOOKUP($K3742,Drink_Templates!$A:$G,7,FALSE),0)))</f>
        <v/>
      </c>
    </row>
    <row r="3743" ht="15" customHeight="1">
      <c r="C3743">
        <f>IF($B3743="","",INT($B3743))</f>
        <v/>
      </c>
      <c r="D3743">
        <f>IF($C3743="","",$C3743-WEEKDAY($C3743,2)+1)</f>
        <v/>
      </c>
      <c r="E3743">
        <f>IF($C3743="","",DATE(YEAR($C3743),MONTH($C3743),1))</f>
        <v/>
      </c>
      <c r="F3743">
        <f>IF($C3743="","",YEAR($C3743)&amp;"-Q"&amp;ROUNDUP(MONTH($C3743)/3,0))</f>
        <v/>
      </c>
      <c r="L3743">
        <f>IF($G3743&lt;&gt;"ALCOHOL","",IF($K3743="","",$H3743*IFERROR(VLOOKUP($K3743,Drink_Templates!$A:$G,7,FALSE),0)))</f>
        <v/>
      </c>
    </row>
    <row r="3744" ht="15" customHeight="1">
      <c r="C3744">
        <f>IF($B3744="","",INT($B3744))</f>
        <v/>
      </c>
      <c r="D3744">
        <f>IF($C3744="","",$C3744-WEEKDAY($C3744,2)+1)</f>
        <v/>
      </c>
      <c r="E3744">
        <f>IF($C3744="","",DATE(YEAR($C3744),MONTH($C3744),1))</f>
        <v/>
      </c>
      <c r="F3744">
        <f>IF($C3744="","",YEAR($C3744)&amp;"-Q"&amp;ROUNDUP(MONTH($C3744)/3,0))</f>
        <v/>
      </c>
      <c r="L3744">
        <f>IF($G3744&lt;&gt;"ALCOHOL","",IF($K3744="","",$H3744*IFERROR(VLOOKUP($K3744,Drink_Templates!$A:$G,7,FALSE),0)))</f>
        <v/>
      </c>
    </row>
    <row r="3745" ht="15" customHeight="1">
      <c r="C3745">
        <f>IF($B3745="","",INT($B3745))</f>
        <v/>
      </c>
      <c r="D3745">
        <f>IF($C3745="","",$C3745-WEEKDAY($C3745,2)+1)</f>
        <v/>
      </c>
      <c r="E3745">
        <f>IF($C3745="","",DATE(YEAR($C3745),MONTH($C3745),1))</f>
        <v/>
      </c>
      <c r="F3745">
        <f>IF($C3745="","",YEAR($C3745)&amp;"-Q"&amp;ROUNDUP(MONTH($C3745)/3,0))</f>
        <v/>
      </c>
      <c r="L3745">
        <f>IF($G3745&lt;&gt;"ALCOHOL","",IF($K3745="","",$H3745*IFERROR(VLOOKUP($K3745,Drink_Templates!$A:$G,7,FALSE),0)))</f>
        <v/>
      </c>
    </row>
    <row r="3746" ht="15" customHeight="1">
      <c r="C3746">
        <f>IF($B3746="","",INT($B3746))</f>
        <v/>
      </c>
      <c r="D3746">
        <f>IF($C3746="","",$C3746-WEEKDAY($C3746,2)+1)</f>
        <v/>
      </c>
      <c r="E3746">
        <f>IF($C3746="","",DATE(YEAR($C3746),MONTH($C3746),1))</f>
        <v/>
      </c>
      <c r="F3746">
        <f>IF($C3746="","",YEAR($C3746)&amp;"-Q"&amp;ROUNDUP(MONTH($C3746)/3,0))</f>
        <v/>
      </c>
      <c r="L3746">
        <f>IF($G3746&lt;&gt;"ALCOHOL","",IF($K3746="","",$H3746*IFERROR(VLOOKUP($K3746,Drink_Templates!$A:$G,7,FALSE),0)))</f>
        <v/>
      </c>
    </row>
    <row r="3747" ht="15" customHeight="1">
      <c r="C3747">
        <f>IF($B3747="","",INT($B3747))</f>
        <v/>
      </c>
      <c r="D3747">
        <f>IF($C3747="","",$C3747-WEEKDAY($C3747,2)+1)</f>
        <v/>
      </c>
      <c r="E3747">
        <f>IF($C3747="","",DATE(YEAR($C3747),MONTH($C3747),1))</f>
        <v/>
      </c>
      <c r="F3747">
        <f>IF($C3747="","",YEAR($C3747)&amp;"-Q"&amp;ROUNDUP(MONTH($C3747)/3,0))</f>
        <v/>
      </c>
      <c r="L3747">
        <f>IF($G3747&lt;&gt;"ALCOHOL","",IF($K3747="","",$H3747*IFERROR(VLOOKUP($K3747,Drink_Templates!$A:$G,7,FALSE),0)))</f>
        <v/>
      </c>
    </row>
    <row r="3748" ht="15" customHeight="1">
      <c r="C3748">
        <f>IF($B3748="","",INT($B3748))</f>
        <v/>
      </c>
      <c r="D3748">
        <f>IF($C3748="","",$C3748-WEEKDAY($C3748,2)+1)</f>
        <v/>
      </c>
      <c r="E3748">
        <f>IF($C3748="","",DATE(YEAR($C3748),MONTH($C3748),1))</f>
        <v/>
      </c>
      <c r="F3748">
        <f>IF($C3748="","",YEAR($C3748)&amp;"-Q"&amp;ROUNDUP(MONTH($C3748)/3,0))</f>
        <v/>
      </c>
      <c r="L3748">
        <f>IF($G3748&lt;&gt;"ALCOHOL","",IF($K3748="","",$H3748*IFERROR(VLOOKUP($K3748,Drink_Templates!$A:$G,7,FALSE),0)))</f>
        <v/>
      </c>
    </row>
    <row r="3749" ht="15" customHeight="1">
      <c r="C3749">
        <f>IF($B3749="","",INT($B3749))</f>
        <v/>
      </c>
      <c r="D3749">
        <f>IF($C3749="","",$C3749-WEEKDAY($C3749,2)+1)</f>
        <v/>
      </c>
      <c r="E3749">
        <f>IF($C3749="","",DATE(YEAR($C3749),MONTH($C3749),1))</f>
        <v/>
      </c>
      <c r="F3749">
        <f>IF($C3749="","",YEAR($C3749)&amp;"-Q"&amp;ROUNDUP(MONTH($C3749)/3,0))</f>
        <v/>
      </c>
      <c r="L3749">
        <f>IF($G3749&lt;&gt;"ALCOHOL","",IF($K3749="","",$H3749*IFERROR(VLOOKUP($K3749,Drink_Templates!$A:$G,7,FALSE),0)))</f>
        <v/>
      </c>
    </row>
    <row r="3750" ht="15" customHeight="1">
      <c r="C3750">
        <f>IF($B3750="","",INT($B3750))</f>
        <v/>
      </c>
      <c r="D3750">
        <f>IF($C3750="","",$C3750-WEEKDAY($C3750,2)+1)</f>
        <v/>
      </c>
      <c r="E3750">
        <f>IF($C3750="","",DATE(YEAR($C3750),MONTH($C3750),1))</f>
        <v/>
      </c>
      <c r="F3750">
        <f>IF($C3750="","",YEAR($C3750)&amp;"-Q"&amp;ROUNDUP(MONTH($C3750)/3,0))</f>
        <v/>
      </c>
      <c r="L3750">
        <f>IF($G3750&lt;&gt;"ALCOHOL","",IF($K3750="","",$H3750*IFERROR(VLOOKUP($K3750,Drink_Templates!$A:$G,7,FALSE),0)))</f>
        <v/>
      </c>
    </row>
    <row r="3751" ht="15" customHeight="1">
      <c r="C3751">
        <f>IF($B3751="","",INT($B3751))</f>
        <v/>
      </c>
      <c r="D3751">
        <f>IF($C3751="","",$C3751-WEEKDAY($C3751,2)+1)</f>
        <v/>
      </c>
      <c r="E3751">
        <f>IF($C3751="","",DATE(YEAR($C3751),MONTH($C3751),1))</f>
        <v/>
      </c>
      <c r="F3751">
        <f>IF($C3751="","",YEAR($C3751)&amp;"-Q"&amp;ROUNDUP(MONTH($C3751)/3,0))</f>
        <v/>
      </c>
      <c r="L3751">
        <f>IF($G3751&lt;&gt;"ALCOHOL","",IF($K3751="","",$H3751*IFERROR(VLOOKUP($K3751,Drink_Templates!$A:$G,7,FALSE),0)))</f>
        <v/>
      </c>
    </row>
    <row r="3752" ht="15" customHeight="1">
      <c r="C3752">
        <f>IF($B3752="","",INT($B3752))</f>
        <v/>
      </c>
      <c r="D3752">
        <f>IF($C3752="","",$C3752-WEEKDAY($C3752,2)+1)</f>
        <v/>
      </c>
      <c r="E3752">
        <f>IF($C3752="","",DATE(YEAR($C3752),MONTH($C3752),1))</f>
        <v/>
      </c>
      <c r="F3752">
        <f>IF($C3752="","",YEAR($C3752)&amp;"-Q"&amp;ROUNDUP(MONTH($C3752)/3,0))</f>
        <v/>
      </c>
      <c r="L3752">
        <f>IF($G3752&lt;&gt;"ALCOHOL","",IF($K3752="","",$H3752*IFERROR(VLOOKUP($K3752,Drink_Templates!$A:$G,7,FALSE),0)))</f>
        <v/>
      </c>
    </row>
    <row r="3753" ht="15" customHeight="1">
      <c r="C3753">
        <f>IF($B3753="","",INT($B3753))</f>
        <v/>
      </c>
      <c r="D3753">
        <f>IF($C3753="","",$C3753-WEEKDAY($C3753,2)+1)</f>
        <v/>
      </c>
      <c r="E3753">
        <f>IF($C3753="","",DATE(YEAR($C3753),MONTH($C3753),1))</f>
        <v/>
      </c>
      <c r="F3753">
        <f>IF($C3753="","",YEAR($C3753)&amp;"-Q"&amp;ROUNDUP(MONTH($C3753)/3,0))</f>
        <v/>
      </c>
      <c r="L3753">
        <f>IF($G3753&lt;&gt;"ALCOHOL","",IF($K3753="","",$H3753*IFERROR(VLOOKUP($K3753,Drink_Templates!$A:$G,7,FALSE),0)))</f>
        <v/>
      </c>
    </row>
    <row r="3754" ht="15" customHeight="1">
      <c r="C3754">
        <f>IF($B3754="","",INT($B3754))</f>
        <v/>
      </c>
      <c r="D3754">
        <f>IF($C3754="","",$C3754-WEEKDAY($C3754,2)+1)</f>
        <v/>
      </c>
      <c r="E3754">
        <f>IF($C3754="","",DATE(YEAR($C3754),MONTH($C3754),1))</f>
        <v/>
      </c>
      <c r="F3754">
        <f>IF($C3754="","",YEAR($C3754)&amp;"-Q"&amp;ROUNDUP(MONTH($C3754)/3,0))</f>
        <v/>
      </c>
      <c r="L3754">
        <f>IF($G3754&lt;&gt;"ALCOHOL","",IF($K3754="","",$H3754*IFERROR(VLOOKUP($K3754,Drink_Templates!$A:$G,7,FALSE),0)))</f>
        <v/>
      </c>
    </row>
    <row r="3755" ht="15" customHeight="1">
      <c r="C3755">
        <f>IF($B3755="","",INT($B3755))</f>
        <v/>
      </c>
      <c r="D3755">
        <f>IF($C3755="","",$C3755-WEEKDAY($C3755,2)+1)</f>
        <v/>
      </c>
      <c r="E3755">
        <f>IF($C3755="","",DATE(YEAR($C3755),MONTH($C3755),1))</f>
        <v/>
      </c>
      <c r="F3755">
        <f>IF($C3755="","",YEAR($C3755)&amp;"-Q"&amp;ROUNDUP(MONTH($C3755)/3,0))</f>
        <v/>
      </c>
      <c r="L3755">
        <f>IF($G3755&lt;&gt;"ALCOHOL","",IF($K3755="","",$H3755*IFERROR(VLOOKUP($K3755,Drink_Templates!$A:$G,7,FALSE),0)))</f>
        <v/>
      </c>
    </row>
    <row r="3756" ht="15" customHeight="1">
      <c r="C3756">
        <f>IF($B3756="","",INT($B3756))</f>
        <v/>
      </c>
      <c r="D3756">
        <f>IF($C3756="","",$C3756-WEEKDAY($C3756,2)+1)</f>
        <v/>
      </c>
      <c r="E3756">
        <f>IF($C3756="","",DATE(YEAR($C3756),MONTH($C3756),1))</f>
        <v/>
      </c>
      <c r="F3756">
        <f>IF($C3756="","",YEAR($C3756)&amp;"-Q"&amp;ROUNDUP(MONTH($C3756)/3,0))</f>
        <v/>
      </c>
      <c r="L3756">
        <f>IF($G3756&lt;&gt;"ALCOHOL","",IF($K3756="","",$H3756*IFERROR(VLOOKUP($K3756,Drink_Templates!$A:$G,7,FALSE),0)))</f>
        <v/>
      </c>
    </row>
    <row r="3757" ht="15" customHeight="1">
      <c r="C3757">
        <f>IF($B3757="","",INT($B3757))</f>
        <v/>
      </c>
      <c r="D3757">
        <f>IF($C3757="","",$C3757-WEEKDAY($C3757,2)+1)</f>
        <v/>
      </c>
      <c r="E3757">
        <f>IF($C3757="","",DATE(YEAR($C3757),MONTH($C3757),1))</f>
        <v/>
      </c>
      <c r="F3757">
        <f>IF($C3757="","",YEAR($C3757)&amp;"-Q"&amp;ROUNDUP(MONTH($C3757)/3,0))</f>
        <v/>
      </c>
      <c r="L3757">
        <f>IF($G3757&lt;&gt;"ALCOHOL","",IF($K3757="","",$H3757*IFERROR(VLOOKUP($K3757,Drink_Templates!$A:$G,7,FALSE),0)))</f>
        <v/>
      </c>
    </row>
    <row r="3758" ht="15" customHeight="1">
      <c r="C3758">
        <f>IF($B3758="","",INT($B3758))</f>
        <v/>
      </c>
      <c r="D3758">
        <f>IF($C3758="","",$C3758-WEEKDAY($C3758,2)+1)</f>
        <v/>
      </c>
      <c r="E3758">
        <f>IF($C3758="","",DATE(YEAR($C3758),MONTH($C3758),1))</f>
        <v/>
      </c>
      <c r="F3758">
        <f>IF($C3758="","",YEAR($C3758)&amp;"-Q"&amp;ROUNDUP(MONTH($C3758)/3,0))</f>
        <v/>
      </c>
      <c r="L3758">
        <f>IF($G3758&lt;&gt;"ALCOHOL","",IF($K3758="","",$H3758*IFERROR(VLOOKUP($K3758,Drink_Templates!$A:$G,7,FALSE),0)))</f>
        <v/>
      </c>
    </row>
    <row r="3759" ht="15" customHeight="1">
      <c r="C3759">
        <f>IF($B3759="","",INT($B3759))</f>
        <v/>
      </c>
      <c r="D3759">
        <f>IF($C3759="","",$C3759-WEEKDAY($C3759,2)+1)</f>
        <v/>
      </c>
      <c r="E3759">
        <f>IF($C3759="","",DATE(YEAR($C3759),MONTH($C3759),1))</f>
        <v/>
      </c>
      <c r="F3759">
        <f>IF($C3759="","",YEAR($C3759)&amp;"-Q"&amp;ROUNDUP(MONTH($C3759)/3,0))</f>
        <v/>
      </c>
      <c r="L3759">
        <f>IF($G3759&lt;&gt;"ALCOHOL","",IF($K3759="","",$H3759*IFERROR(VLOOKUP($K3759,Drink_Templates!$A:$G,7,FALSE),0)))</f>
        <v/>
      </c>
    </row>
    <row r="3760" ht="15" customHeight="1">
      <c r="C3760">
        <f>IF($B3760="","",INT($B3760))</f>
        <v/>
      </c>
      <c r="D3760">
        <f>IF($C3760="","",$C3760-WEEKDAY($C3760,2)+1)</f>
        <v/>
      </c>
      <c r="E3760">
        <f>IF($C3760="","",DATE(YEAR($C3760),MONTH($C3760),1))</f>
        <v/>
      </c>
      <c r="F3760">
        <f>IF($C3760="","",YEAR($C3760)&amp;"-Q"&amp;ROUNDUP(MONTH($C3760)/3,0))</f>
        <v/>
      </c>
      <c r="L3760">
        <f>IF($G3760&lt;&gt;"ALCOHOL","",IF($K3760="","",$H3760*IFERROR(VLOOKUP($K3760,Drink_Templates!$A:$G,7,FALSE),0)))</f>
        <v/>
      </c>
    </row>
    <row r="3761" ht="15" customHeight="1">
      <c r="C3761">
        <f>IF($B3761="","",INT($B3761))</f>
        <v/>
      </c>
      <c r="D3761">
        <f>IF($C3761="","",$C3761-WEEKDAY($C3761,2)+1)</f>
        <v/>
      </c>
      <c r="E3761">
        <f>IF($C3761="","",DATE(YEAR($C3761),MONTH($C3761),1))</f>
        <v/>
      </c>
      <c r="F3761">
        <f>IF($C3761="","",YEAR($C3761)&amp;"-Q"&amp;ROUNDUP(MONTH($C3761)/3,0))</f>
        <v/>
      </c>
      <c r="L3761">
        <f>IF($G3761&lt;&gt;"ALCOHOL","",IF($K3761="","",$H3761*IFERROR(VLOOKUP($K3761,Drink_Templates!$A:$G,7,FALSE),0)))</f>
        <v/>
      </c>
    </row>
    <row r="3762" ht="15" customHeight="1">
      <c r="C3762">
        <f>IF($B3762="","",INT($B3762))</f>
        <v/>
      </c>
      <c r="D3762">
        <f>IF($C3762="","",$C3762-WEEKDAY($C3762,2)+1)</f>
        <v/>
      </c>
      <c r="E3762">
        <f>IF($C3762="","",DATE(YEAR($C3762),MONTH($C3762),1))</f>
        <v/>
      </c>
      <c r="F3762">
        <f>IF($C3762="","",YEAR($C3762)&amp;"-Q"&amp;ROUNDUP(MONTH($C3762)/3,0))</f>
        <v/>
      </c>
      <c r="L3762">
        <f>IF($G3762&lt;&gt;"ALCOHOL","",IF($K3762="","",$H3762*IFERROR(VLOOKUP($K3762,Drink_Templates!$A:$G,7,FALSE),0)))</f>
        <v/>
      </c>
    </row>
    <row r="3763" ht="15" customHeight="1">
      <c r="C3763">
        <f>IF($B3763="","",INT($B3763))</f>
        <v/>
      </c>
      <c r="D3763">
        <f>IF($C3763="","",$C3763-WEEKDAY($C3763,2)+1)</f>
        <v/>
      </c>
      <c r="E3763">
        <f>IF($C3763="","",DATE(YEAR($C3763),MONTH($C3763),1))</f>
        <v/>
      </c>
      <c r="F3763">
        <f>IF($C3763="","",YEAR($C3763)&amp;"-Q"&amp;ROUNDUP(MONTH($C3763)/3,0))</f>
        <v/>
      </c>
      <c r="L3763">
        <f>IF($G3763&lt;&gt;"ALCOHOL","",IF($K3763="","",$H3763*IFERROR(VLOOKUP($K3763,Drink_Templates!$A:$G,7,FALSE),0)))</f>
        <v/>
      </c>
    </row>
    <row r="3764" ht="15" customHeight="1">
      <c r="C3764">
        <f>IF($B3764="","",INT($B3764))</f>
        <v/>
      </c>
      <c r="D3764">
        <f>IF($C3764="","",$C3764-WEEKDAY($C3764,2)+1)</f>
        <v/>
      </c>
      <c r="E3764">
        <f>IF($C3764="","",DATE(YEAR($C3764),MONTH($C3764),1))</f>
        <v/>
      </c>
      <c r="F3764">
        <f>IF($C3764="","",YEAR($C3764)&amp;"-Q"&amp;ROUNDUP(MONTH($C3764)/3,0))</f>
        <v/>
      </c>
      <c r="L3764">
        <f>IF($G3764&lt;&gt;"ALCOHOL","",IF($K3764="","",$H3764*IFERROR(VLOOKUP($K3764,Drink_Templates!$A:$G,7,FALSE),0)))</f>
        <v/>
      </c>
    </row>
    <row r="3765" ht="15" customHeight="1">
      <c r="C3765">
        <f>IF($B3765="","",INT($B3765))</f>
        <v/>
      </c>
      <c r="D3765">
        <f>IF($C3765="","",$C3765-WEEKDAY($C3765,2)+1)</f>
        <v/>
      </c>
      <c r="E3765">
        <f>IF($C3765="","",DATE(YEAR($C3765),MONTH($C3765),1))</f>
        <v/>
      </c>
      <c r="F3765">
        <f>IF($C3765="","",YEAR($C3765)&amp;"-Q"&amp;ROUNDUP(MONTH($C3765)/3,0))</f>
        <v/>
      </c>
      <c r="L3765">
        <f>IF($G3765&lt;&gt;"ALCOHOL","",IF($K3765="","",$H3765*IFERROR(VLOOKUP($K3765,Drink_Templates!$A:$G,7,FALSE),0)))</f>
        <v/>
      </c>
    </row>
    <row r="3766" ht="15" customHeight="1">
      <c r="C3766">
        <f>IF($B3766="","",INT($B3766))</f>
        <v/>
      </c>
      <c r="D3766">
        <f>IF($C3766="","",$C3766-WEEKDAY($C3766,2)+1)</f>
        <v/>
      </c>
      <c r="E3766">
        <f>IF($C3766="","",DATE(YEAR($C3766),MONTH($C3766),1))</f>
        <v/>
      </c>
      <c r="F3766">
        <f>IF($C3766="","",YEAR($C3766)&amp;"-Q"&amp;ROUNDUP(MONTH($C3766)/3,0))</f>
        <v/>
      </c>
      <c r="L3766">
        <f>IF($G3766&lt;&gt;"ALCOHOL","",IF($K3766="","",$H3766*IFERROR(VLOOKUP($K3766,Drink_Templates!$A:$G,7,FALSE),0)))</f>
        <v/>
      </c>
    </row>
    <row r="3767" ht="15" customHeight="1">
      <c r="C3767">
        <f>IF($B3767="","",INT($B3767))</f>
        <v/>
      </c>
      <c r="D3767">
        <f>IF($C3767="","",$C3767-WEEKDAY($C3767,2)+1)</f>
        <v/>
      </c>
      <c r="E3767">
        <f>IF($C3767="","",DATE(YEAR($C3767),MONTH($C3767),1))</f>
        <v/>
      </c>
      <c r="F3767">
        <f>IF($C3767="","",YEAR($C3767)&amp;"-Q"&amp;ROUNDUP(MONTH($C3767)/3,0))</f>
        <v/>
      </c>
      <c r="L3767">
        <f>IF($G3767&lt;&gt;"ALCOHOL","",IF($K3767="","",$H3767*IFERROR(VLOOKUP($K3767,Drink_Templates!$A:$G,7,FALSE),0)))</f>
        <v/>
      </c>
    </row>
    <row r="3768" ht="15" customHeight="1">
      <c r="C3768">
        <f>IF($B3768="","",INT($B3768))</f>
        <v/>
      </c>
      <c r="D3768">
        <f>IF($C3768="","",$C3768-WEEKDAY($C3768,2)+1)</f>
        <v/>
      </c>
      <c r="E3768">
        <f>IF($C3768="","",DATE(YEAR($C3768),MONTH($C3768),1))</f>
        <v/>
      </c>
      <c r="F3768">
        <f>IF($C3768="","",YEAR($C3768)&amp;"-Q"&amp;ROUNDUP(MONTH($C3768)/3,0))</f>
        <v/>
      </c>
      <c r="L3768">
        <f>IF($G3768&lt;&gt;"ALCOHOL","",IF($K3768="","",$H3768*IFERROR(VLOOKUP($K3768,Drink_Templates!$A:$G,7,FALSE),0)))</f>
        <v/>
      </c>
    </row>
    <row r="3769" ht="15" customHeight="1">
      <c r="C3769">
        <f>IF($B3769="","",INT($B3769))</f>
        <v/>
      </c>
      <c r="D3769">
        <f>IF($C3769="","",$C3769-WEEKDAY($C3769,2)+1)</f>
        <v/>
      </c>
      <c r="E3769">
        <f>IF($C3769="","",DATE(YEAR($C3769),MONTH($C3769),1))</f>
        <v/>
      </c>
      <c r="F3769">
        <f>IF($C3769="","",YEAR($C3769)&amp;"-Q"&amp;ROUNDUP(MONTH($C3769)/3,0))</f>
        <v/>
      </c>
      <c r="L3769">
        <f>IF($G3769&lt;&gt;"ALCOHOL","",IF($K3769="","",$H3769*IFERROR(VLOOKUP($K3769,Drink_Templates!$A:$G,7,FALSE),0)))</f>
        <v/>
      </c>
    </row>
    <row r="3770" ht="15" customHeight="1">
      <c r="C3770">
        <f>IF($B3770="","",INT($B3770))</f>
        <v/>
      </c>
      <c r="D3770">
        <f>IF($C3770="","",$C3770-WEEKDAY($C3770,2)+1)</f>
        <v/>
      </c>
      <c r="E3770">
        <f>IF($C3770="","",DATE(YEAR($C3770),MONTH($C3770),1))</f>
        <v/>
      </c>
      <c r="F3770">
        <f>IF($C3770="","",YEAR($C3770)&amp;"-Q"&amp;ROUNDUP(MONTH($C3770)/3,0))</f>
        <v/>
      </c>
      <c r="L3770">
        <f>IF($G3770&lt;&gt;"ALCOHOL","",IF($K3770="","",$H3770*IFERROR(VLOOKUP($K3770,Drink_Templates!$A:$G,7,FALSE),0)))</f>
        <v/>
      </c>
    </row>
    <row r="3771" ht="15" customHeight="1">
      <c r="C3771">
        <f>IF($B3771="","",INT($B3771))</f>
        <v/>
      </c>
      <c r="D3771">
        <f>IF($C3771="","",$C3771-WEEKDAY($C3771,2)+1)</f>
        <v/>
      </c>
      <c r="E3771">
        <f>IF($C3771="","",DATE(YEAR($C3771),MONTH($C3771),1))</f>
        <v/>
      </c>
      <c r="F3771">
        <f>IF($C3771="","",YEAR($C3771)&amp;"-Q"&amp;ROUNDUP(MONTH($C3771)/3,0))</f>
        <v/>
      </c>
      <c r="L3771">
        <f>IF($G3771&lt;&gt;"ALCOHOL","",IF($K3771="","",$H3771*IFERROR(VLOOKUP($K3771,Drink_Templates!$A:$G,7,FALSE),0)))</f>
        <v/>
      </c>
    </row>
    <row r="3772" ht="15" customHeight="1">
      <c r="C3772">
        <f>IF($B3772="","",INT($B3772))</f>
        <v/>
      </c>
      <c r="D3772">
        <f>IF($C3772="","",$C3772-WEEKDAY($C3772,2)+1)</f>
        <v/>
      </c>
      <c r="E3772">
        <f>IF($C3772="","",DATE(YEAR($C3772),MONTH($C3772),1))</f>
        <v/>
      </c>
      <c r="F3772">
        <f>IF($C3772="","",YEAR($C3772)&amp;"-Q"&amp;ROUNDUP(MONTH($C3772)/3,0))</f>
        <v/>
      </c>
      <c r="L3772">
        <f>IF($G3772&lt;&gt;"ALCOHOL","",IF($K3772="","",$H3772*IFERROR(VLOOKUP($K3772,Drink_Templates!$A:$G,7,FALSE),0)))</f>
        <v/>
      </c>
    </row>
    <row r="3773" ht="15" customHeight="1">
      <c r="C3773">
        <f>IF($B3773="","",INT($B3773))</f>
        <v/>
      </c>
      <c r="D3773">
        <f>IF($C3773="","",$C3773-WEEKDAY($C3773,2)+1)</f>
        <v/>
      </c>
      <c r="E3773">
        <f>IF($C3773="","",DATE(YEAR($C3773),MONTH($C3773),1))</f>
        <v/>
      </c>
      <c r="F3773">
        <f>IF($C3773="","",YEAR($C3773)&amp;"-Q"&amp;ROUNDUP(MONTH($C3773)/3,0))</f>
        <v/>
      </c>
      <c r="L3773">
        <f>IF($G3773&lt;&gt;"ALCOHOL","",IF($K3773="","",$H3773*IFERROR(VLOOKUP($K3773,Drink_Templates!$A:$G,7,FALSE),0)))</f>
        <v/>
      </c>
    </row>
    <row r="3774" ht="15" customHeight="1">
      <c r="C3774">
        <f>IF($B3774="","",INT($B3774))</f>
        <v/>
      </c>
      <c r="D3774">
        <f>IF($C3774="","",$C3774-WEEKDAY($C3774,2)+1)</f>
        <v/>
      </c>
      <c r="E3774">
        <f>IF($C3774="","",DATE(YEAR($C3774),MONTH($C3774),1))</f>
        <v/>
      </c>
      <c r="F3774">
        <f>IF($C3774="","",YEAR($C3774)&amp;"-Q"&amp;ROUNDUP(MONTH($C3774)/3,0))</f>
        <v/>
      </c>
      <c r="L3774">
        <f>IF($G3774&lt;&gt;"ALCOHOL","",IF($K3774="","",$H3774*IFERROR(VLOOKUP($K3774,Drink_Templates!$A:$G,7,FALSE),0)))</f>
        <v/>
      </c>
    </row>
    <row r="3775" ht="15" customHeight="1">
      <c r="C3775">
        <f>IF($B3775="","",INT($B3775))</f>
        <v/>
      </c>
      <c r="D3775">
        <f>IF($C3775="","",$C3775-WEEKDAY($C3775,2)+1)</f>
        <v/>
      </c>
      <c r="E3775">
        <f>IF($C3775="","",DATE(YEAR($C3775),MONTH($C3775),1))</f>
        <v/>
      </c>
      <c r="F3775">
        <f>IF($C3775="","",YEAR($C3775)&amp;"-Q"&amp;ROUNDUP(MONTH($C3775)/3,0))</f>
        <v/>
      </c>
      <c r="L3775">
        <f>IF($G3775&lt;&gt;"ALCOHOL","",IF($K3775="","",$H3775*IFERROR(VLOOKUP($K3775,Drink_Templates!$A:$G,7,FALSE),0)))</f>
        <v/>
      </c>
    </row>
    <row r="3776" ht="15" customHeight="1">
      <c r="C3776">
        <f>IF($B3776="","",INT($B3776))</f>
        <v/>
      </c>
      <c r="D3776">
        <f>IF($C3776="","",$C3776-WEEKDAY($C3776,2)+1)</f>
        <v/>
      </c>
      <c r="E3776">
        <f>IF($C3776="","",DATE(YEAR($C3776),MONTH($C3776),1))</f>
        <v/>
      </c>
      <c r="F3776">
        <f>IF($C3776="","",YEAR($C3776)&amp;"-Q"&amp;ROUNDUP(MONTH($C3776)/3,0))</f>
        <v/>
      </c>
      <c r="L3776">
        <f>IF($G3776&lt;&gt;"ALCOHOL","",IF($K3776="","",$H3776*IFERROR(VLOOKUP($K3776,Drink_Templates!$A:$G,7,FALSE),0)))</f>
        <v/>
      </c>
    </row>
    <row r="3777" ht="15" customHeight="1">
      <c r="C3777">
        <f>IF($B3777="","",INT($B3777))</f>
        <v/>
      </c>
      <c r="D3777">
        <f>IF($C3777="","",$C3777-WEEKDAY($C3777,2)+1)</f>
        <v/>
      </c>
      <c r="E3777">
        <f>IF($C3777="","",DATE(YEAR($C3777),MONTH($C3777),1))</f>
        <v/>
      </c>
      <c r="F3777">
        <f>IF($C3777="","",YEAR($C3777)&amp;"-Q"&amp;ROUNDUP(MONTH($C3777)/3,0))</f>
        <v/>
      </c>
      <c r="L3777">
        <f>IF($G3777&lt;&gt;"ALCOHOL","",IF($K3777="","",$H3777*IFERROR(VLOOKUP($K3777,Drink_Templates!$A:$G,7,FALSE),0)))</f>
        <v/>
      </c>
    </row>
    <row r="3778" ht="15" customHeight="1">
      <c r="C3778">
        <f>IF($B3778="","",INT($B3778))</f>
        <v/>
      </c>
      <c r="D3778">
        <f>IF($C3778="","",$C3778-WEEKDAY($C3778,2)+1)</f>
        <v/>
      </c>
      <c r="E3778">
        <f>IF($C3778="","",DATE(YEAR($C3778),MONTH($C3778),1))</f>
        <v/>
      </c>
      <c r="F3778">
        <f>IF($C3778="","",YEAR($C3778)&amp;"-Q"&amp;ROUNDUP(MONTH($C3778)/3,0))</f>
        <v/>
      </c>
      <c r="L3778">
        <f>IF($G3778&lt;&gt;"ALCOHOL","",IF($K3778="","",$H3778*IFERROR(VLOOKUP($K3778,Drink_Templates!$A:$G,7,FALSE),0)))</f>
        <v/>
      </c>
    </row>
    <row r="3779" ht="15" customHeight="1">
      <c r="C3779">
        <f>IF($B3779="","",INT($B3779))</f>
        <v/>
      </c>
      <c r="D3779">
        <f>IF($C3779="","",$C3779-WEEKDAY($C3779,2)+1)</f>
        <v/>
      </c>
      <c r="E3779">
        <f>IF($C3779="","",DATE(YEAR($C3779),MONTH($C3779),1))</f>
        <v/>
      </c>
      <c r="F3779">
        <f>IF($C3779="","",YEAR($C3779)&amp;"-Q"&amp;ROUNDUP(MONTH($C3779)/3,0))</f>
        <v/>
      </c>
      <c r="L3779">
        <f>IF($G3779&lt;&gt;"ALCOHOL","",IF($K3779="","",$H3779*IFERROR(VLOOKUP($K3779,Drink_Templates!$A:$G,7,FALSE),0)))</f>
        <v/>
      </c>
    </row>
    <row r="3780" ht="15" customHeight="1">
      <c r="C3780">
        <f>IF($B3780="","",INT($B3780))</f>
        <v/>
      </c>
      <c r="D3780">
        <f>IF($C3780="","",$C3780-WEEKDAY($C3780,2)+1)</f>
        <v/>
      </c>
      <c r="E3780">
        <f>IF($C3780="","",DATE(YEAR($C3780),MONTH($C3780),1))</f>
        <v/>
      </c>
      <c r="F3780">
        <f>IF($C3780="","",YEAR($C3780)&amp;"-Q"&amp;ROUNDUP(MONTH($C3780)/3,0))</f>
        <v/>
      </c>
      <c r="L3780">
        <f>IF($G3780&lt;&gt;"ALCOHOL","",IF($K3780="","",$H3780*IFERROR(VLOOKUP($K3780,Drink_Templates!$A:$G,7,FALSE),0)))</f>
        <v/>
      </c>
    </row>
    <row r="3781" ht="15" customHeight="1">
      <c r="C3781">
        <f>IF($B3781="","",INT($B3781))</f>
        <v/>
      </c>
      <c r="D3781">
        <f>IF($C3781="","",$C3781-WEEKDAY($C3781,2)+1)</f>
        <v/>
      </c>
      <c r="E3781">
        <f>IF($C3781="","",DATE(YEAR($C3781),MONTH($C3781),1))</f>
        <v/>
      </c>
      <c r="F3781">
        <f>IF($C3781="","",YEAR($C3781)&amp;"-Q"&amp;ROUNDUP(MONTH($C3781)/3,0))</f>
        <v/>
      </c>
      <c r="L3781">
        <f>IF($G3781&lt;&gt;"ALCOHOL","",IF($K3781="","",$H3781*IFERROR(VLOOKUP($K3781,Drink_Templates!$A:$G,7,FALSE),0)))</f>
        <v/>
      </c>
    </row>
    <row r="3782" ht="15" customHeight="1">
      <c r="C3782">
        <f>IF($B3782="","",INT($B3782))</f>
        <v/>
      </c>
      <c r="D3782">
        <f>IF($C3782="","",$C3782-WEEKDAY($C3782,2)+1)</f>
        <v/>
      </c>
      <c r="E3782">
        <f>IF($C3782="","",DATE(YEAR($C3782),MONTH($C3782),1))</f>
        <v/>
      </c>
      <c r="F3782">
        <f>IF($C3782="","",YEAR($C3782)&amp;"-Q"&amp;ROUNDUP(MONTH($C3782)/3,0))</f>
        <v/>
      </c>
      <c r="L3782">
        <f>IF($G3782&lt;&gt;"ALCOHOL","",IF($K3782="","",$H3782*IFERROR(VLOOKUP($K3782,Drink_Templates!$A:$G,7,FALSE),0)))</f>
        <v/>
      </c>
    </row>
    <row r="3783" ht="15" customHeight="1">
      <c r="C3783">
        <f>IF($B3783="","",INT($B3783))</f>
        <v/>
      </c>
      <c r="D3783">
        <f>IF($C3783="","",$C3783-WEEKDAY($C3783,2)+1)</f>
        <v/>
      </c>
      <c r="E3783">
        <f>IF($C3783="","",DATE(YEAR($C3783),MONTH($C3783),1))</f>
        <v/>
      </c>
      <c r="F3783">
        <f>IF($C3783="","",YEAR($C3783)&amp;"-Q"&amp;ROUNDUP(MONTH($C3783)/3,0))</f>
        <v/>
      </c>
      <c r="L3783">
        <f>IF($G3783&lt;&gt;"ALCOHOL","",IF($K3783="","",$H3783*IFERROR(VLOOKUP($K3783,Drink_Templates!$A:$G,7,FALSE),0)))</f>
        <v/>
      </c>
    </row>
    <row r="3784" ht="15" customHeight="1">
      <c r="C3784">
        <f>IF($B3784="","",INT($B3784))</f>
        <v/>
      </c>
      <c r="D3784">
        <f>IF($C3784="","",$C3784-WEEKDAY($C3784,2)+1)</f>
        <v/>
      </c>
      <c r="E3784">
        <f>IF($C3784="","",DATE(YEAR($C3784),MONTH($C3784),1))</f>
        <v/>
      </c>
      <c r="F3784">
        <f>IF($C3784="","",YEAR($C3784)&amp;"-Q"&amp;ROUNDUP(MONTH($C3784)/3,0))</f>
        <v/>
      </c>
      <c r="L3784">
        <f>IF($G3784&lt;&gt;"ALCOHOL","",IF($K3784="","",$H3784*IFERROR(VLOOKUP($K3784,Drink_Templates!$A:$G,7,FALSE),0)))</f>
        <v/>
      </c>
    </row>
    <row r="3785" ht="15" customHeight="1">
      <c r="C3785">
        <f>IF($B3785="","",INT($B3785))</f>
        <v/>
      </c>
      <c r="D3785">
        <f>IF($C3785="","",$C3785-WEEKDAY($C3785,2)+1)</f>
        <v/>
      </c>
      <c r="E3785">
        <f>IF($C3785="","",DATE(YEAR($C3785),MONTH($C3785),1))</f>
        <v/>
      </c>
      <c r="F3785">
        <f>IF($C3785="","",YEAR($C3785)&amp;"-Q"&amp;ROUNDUP(MONTH($C3785)/3,0))</f>
        <v/>
      </c>
      <c r="L3785">
        <f>IF($G3785&lt;&gt;"ALCOHOL","",IF($K3785="","",$H3785*IFERROR(VLOOKUP($K3785,Drink_Templates!$A:$G,7,FALSE),0)))</f>
        <v/>
      </c>
    </row>
    <row r="3786" ht="15" customHeight="1">
      <c r="C3786">
        <f>IF($B3786="","",INT($B3786))</f>
        <v/>
      </c>
      <c r="D3786">
        <f>IF($C3786="","",$C3786-WEEKDAY($C3786,2)+1)</f>
        <v/>
      </c>
      <c r="E3786">
        <f>IF($C3786="","",DATE(YEAR($C3786),MONTH($C3786),1))</f>
        <v/>
      </c>
      <c r="F3786">
        <f>IF($C3786="","",YEAR($C3786)&amp;"-Q"&amp;ROUNDUP(MONTH($C3786)/3,0))</f>
        <v/>
      </c>
      <c r="L3786">
        <f>IF($G3786&lt;&gt;"ALCOHOL","",IF($K3786="","",$H3786*IFERROR(VLOOKUP($K3786,Drink_Templates!$A:$G,7,FALSE),0)))</f>
        <v/>
      </c>
    </row>
    <row r="3787" ht="15" customHeight="1">
      <c r="C3787">
        <f>IF($B3787="","",INT($B3787))</f>
        <v/>
      </c>
      <c r="D3787">
        <f>IF($C3787="","",$C3787-WEEKDAY($C3787,2)+1)</f>
        <v/>
      </c>
      <c r="E3787">
        <f>IF($C3787="","",DATE(YEAR($C3787),MONTH($C3787),1))</f>
        <v/>
      </c>
      <c r="F3787">
        <f>IF($C3787="","",YEAR($C3787)&amp;"-Q"&amp;ROUNDUP(MONTH($C3787)/3,0))</f>
        <v/>
      </c>
      <c r="L3787">
        <f>IF($G3787&lt;&gt;"ALCOHOL","",IF($K3787="","",$H3787*IFERROR(VLOOKUP($K3787,Drink_Templates!$A:$G,7,FALSE),0)))</f>
        <v/>
      </c>
    </row>
    <row r="3788" ht="15" customHeight="1">
      <c r="C3788">
        <f>IF($B3788="","",INT($B3788))</f>
        <v/>
      </c>
      <c r="D3788">
        <f>IF($C3788="","",$C3788-WEEKDAY($C3788,2)+1)</f>
        <v/>
      </c>
      <c r="E3788">
        <f>IF($C3788="","",DATE(YEAR($C3788),MONTH($C3788),1))</f>
        <v/>
      </c>
      <c r="F3788">
        <f>IF($C3788="","",YEAR($C3788)&amp;"-Q"&amp;ROUNDUP(MONTH($C3788)/3,0))</f>
        <v/>
      </c>
      <c r="L3788">
        <f>IF($G3788&lt;&gt;"ALCOHOL","",IF($K3788="","",$H3788*IFERROR(VLOOKUP($K3788,Drink_Templates!$A:$G,7,FALSE),0)))</f>
        <v/>
      </c>
    </row>
    <row r="3789" ht="15" customHeight="1">
      <c r="C3789">
        <f>IF($B3789="","",INT($B3789))</f>
        <v/>
      </c>
      <c r="D3789">
        <f>IF($C3789="","",$C3789-WEEKDAY($C3789,2)+1)</f>
        <v/>
      </c>
      <c r="E3789">
        <f>IF($C3789="","",DATE(YEAR($C3789),MONTH($C3789),1))</f>
        <v/>
      </c>
      <c r="F3789">
        <f>IF($C3789="","",YEAR($C3789)&amp;"-Q"&amp;ROUNDUP(MONTH($C3789)/3,0))</f>
        <v/>
      </c>
      <c r="L3789">
        <f>IF($G3789&lt;&gt;"ALCOHOL","",IF($K3789="","",$H3789*IFERROR(VLOOKUP($K3789,Drink_Templates!$A:$G,7,FALSE),0)))</f>
        <v/>
      </c>
    </row>
    <row r="3790" ht="15" customHeight="1">
      <c r="C3790">
        <f>IF($B3790="","",INT($B3790))</f>
        <v/>
      </c>
      <c r="D3790">
        <f>IF($C3790="","",$C3790-WEEKDAY($C3790,2)+1)</f>
        <v/>
      </c>
      <c r="E3790">
        <f>IF($C3790="","",DATE(YEAR($C3790),MONTH($C3790),1))</f>
        <v/>
      </c>
      <c r="F3790">
        <f>IF($C3790="","",YEAR($C3790)&amp;"-Q"&amp;ROUNDUP(MONTH($C3790)/3,0))</f>
        <v/>
      </c>
      <c r="L3790">
        <f>IF($G3790&lt;&gt;"ALCOHOL","",IF($K3790="","",$H3790*IFERROR(VLOOKUP($K3790,Drink_Templates!$A:$G,7,FALSE),0)))</f>
        <v/>
      </c>
    </row>
    <row r="3791" ht="15" customHeight="1">
      <c r="C3791">
        <f>IF($B3791="","",INT($B3791))</f>
        <v/>
      </c>
      <c r="D3791">
        <f>IF($C3791="","",$C3791-WEEKDAY($C3791,2)+1)</f>
        <v/>
      </c>
      <c r="E3791">
        <f>IF($C3791="","",DATE(YEAR($C3791),MONTH($C3791),1))</f>
        <v/>
      </c>
      <c r="F3791">
        <f>IF($C3791="","",YEAR($C3791)&amp;"-Q"&amp;ROUNDUP(MONTH($C3791)/3,0))</f>
        <v/>
      </c>
      <c r="L3791">
        <f>IF($G3791&lt;&gt;"ALCOHOL","",IF($K3791="","",$H3791*IFERROR(VLOOKUP($K3791,Drink_Templates!$A:$G,7,FALSE),0)))</f>
        <v/>
      </c>
    </row>
    <row r="3792" ht="15" customHeight="1">
      <c r="C3792">
        <f>IF($B3792="","",INT($B3792))</f>
        <v/>
      </c>
      <c r="D3792">
        <f>IF($C3792="","",$C3792-WEEKDAY($C3792,2)+1)</f>
        <v/>
      </c>
      <c r="E3792">
        <f>IF($C3792="","",DATE(YEAR($C3792),MONTH($C3792),1))</f>
        <v/>
      </c>
      <c r="F3792">
        <f>IF($C3792="","",YEAR($C3792)&amp;"-Q"&amp;ROUNDUP(MONTH($C3792)/3,0))</f>
        <v/>
      </c>
      <c r="L3792">
        <f>IF($G3792&lt;&gt;"ALCOHOL","",IF($K3792="","",$H3792*IFERROR(VLOOKUP($K3792,Drink_Templates!$A:$G,7,FALSE),0)))</f>
        <v/>
      </c>
    </row>
    <row r="3793" ht="15" customHeight="1">
      <c r="C3793">
        <f>IF($B3793="","",INT($B3793))</f>
        <v/>
      </c>
      <c r="D3793">
        <f>IF($C3793="","",$C3793-WEEKDAY($C3793,2)+1)</f>
        <v/>
      </c>
      <c r="E3793">
        <f>IF($C3793="","",DATE(YEAR($C3793),MONTH($C3793),1))</f>
        <v/>
      </c>
      <c r="F3793">
        <f>IF($C3793="","",YEAR($C3793)&amp;"-Q"&amp;ROUNDUP(MONTH($C3793)/3,0))</f>
        <v/>
      </c>
      <c r="L3793">
        <f>IF($G3793&lt;&gt;"ALCOHOL","",IF($K3793="","",$H3793*IFERROR(VLOOKUP($K3793,Drink_Templates!$A:$G,7,FALSE),0)))</f>
        <v/>
      </c>
    </row>
    <row r="3794" ht="15" customHeight="1">
      <c r="C3794">
        <f>IF($B3794="","",INT($B3794))</f>
        <v/>
      </c>
      <c r="D3794">
        <f>IF($C3794="","",$C3794-WEEKDAY($C3794,2)+1)</f>
        <v/>
      </c>
      <c r="E3794">
        <f>IF($C3794="","",DATE(YEAR($C3794),MONTH($C3794),1))</f>
        <v/>
      </c>
      <c r="F3794">
        <f>IF($C3794="","",YEAR($C3794)&amp;"-Q"&amp;ROUNDUP(MONTH($C3794)/3,0))</f>
        <v/>
      </c>
      <c r="L3794">
        <f>IF($G3794&lt;&gt;"ALCOHOL","",IF($K3794="","",$H3794*IFERROR(VLOOKUP($K3794,Drink_Templates!$A:$G,7,FALSE),0)))</f>
        <v/>
      </c>
    </row>
    <row r="3795" ht="15" customHeight="1">
      <c r="C3795">
        <f>IF($B3795="","",INT($B3795))</f>
        <v/>
      </c>
      <c r="D3795">
        <f>IF($C3795="","",$C3795-WEEKDAY($C3795,2)+1)</f>
        <v/>
      </c>
      <c r="E3795">
        <f>IF($C3795="","",DATE(YEAR($C3795),MONTH($C3795),1))</f>
        <v/>
      </c>
      <c r="F3795">
        <f>IF($C3795="","",YEAR($C3795)&amp;"-Q"&amp;ROUNDUP(MONTH($C3795)/3,0))</f>
        <v/>
      </c>
      <c r="L3795">
        <f>IF($G3795&lt;&gt;"ALCOHOL","",IF($K3795="","",$H3795*IFERROR(VLOOKUP($K3795,Drink_Templates!$A:$G,7,FALSE),0)))</f>
        <v/>
      </c>
    </row>
    <row r="3796" ht="15" customHeight="1">
      <c r="C3796">
        <f>IF($B3796="","",INT($B3796))</f>
        <v/>
      </c>
      <c r="D3796">
        <f>IF($C3796="","",$C3796-WEEKDAY($C3796,2)+1)</f>
        <v/>
      </c>
      <c r="E3796">
        <f>IF($C3796="","",DATE(YEAR($C3796),MONTH($C3796),1))</f>
        <v/>
      </c>
      <c r="F3796">
        <f>IF($C3796="","",YEAR($C3796)&amp;"-Q"&amp;ROUNDUP(MONTH($C3796)/3,0))</f>
        <v/>
      </c>
      <c r="L3796">
        <f>IF($G3796&lt;&gt;"ALCOHOL","",IF($K3796="","",$H3796*IFERROR(VLOOKUP($K3796,Drink_Templates!$A:$G,7,FALSE),0)))</f>
        <v/>
      </c>
    </row>
    <row r="3797" ht="15" customHeight="1">
      <c r="C3797">
        <f>IF($B3797="","",INT($B3797))</f>
        <v/>
      </c>
      <c r="D3797">
        <f>IF($C3797="","",$C3797-WEEKDAY($C3797,2)+1)</f>
        <v/>
      </c>
      <c r="E3797">
        <f>IF($C3797="","",DATE(YEAR($C3797),MONTH($C3797),1))</f>
        <v/>
      </c>
      <c r="F3797">
        <f>IF($C3797="","",YEAR($C3797)&amp;"-Q"&amp;ROUNDUP(MONTH($C3797)/3,0))</f>
        <v/>
      </c>
      <c r="L3797">
        <f>IF($G3797&lt;&gt;"ALCOHOL","",IF($K3797="","",$H3797*IFERROR(VLOOKUP($K3797,Drink_Templates!$A:$G,7,FALSE),0)))</f>
        <v/>
      </c>
    </row>
    <row r="3798" ht="15" customHeight="1">
      <c r="C3798">
        <f>IF($B3798="","",INT($B3798))</f>
        <v/>
      </c>
      <c r="D3798">
        <f>IF($C3798="","",$C3798-WEEKDAY($C3798,2)+1)</f>
        <v/>
      </c>
      <c r="E3798">
        <f>IF($C3798="","",DATE(YEAR($C3798),MONTH($C3798),1))</f>
        <v/>
      </c>
      <c r="F3798">
        <f>IF($C3798="","",YEAR($C3798)&amp;"-Q"&amp;ROUNDUP(MONTH($C3798)/3,0))</f>
        <v/>
      </c>
      <c r="L3798">
        <f>IF($G3798&lt;&gt;"ALCOHOL","",IF($K3798="","",$H3798*IFERROR(VLOOKUP($K3798,Drink_Templates!$A:$G,7,FALSE),0)))</f>
        <v/>
      </c>
    </row>
    <row r="3799" ht="15" customHeight="1">
      <c r="C3799">
        <f>IF($B3799="","",INT($B3799))</f>
        <v/>
      </c>
      <c r="D3799">
        <f>IF($C3799="","",$C3799-WEEKDAY($C3799,2)+1)</f>
        <v/>
      </c>
      <c r="E3799">
        <f>IF($C3799="","",DATE(YEAR($C3799),MONTH($C3799),1))</f>
        <v/>
      </c>
      <c r="F3799">
        <f>IF($C3799="","",YEAR($C3799)&amp;"-Q"&amp;ROUNDUP(MONTH($C3799)/3,0))</f>
        <v/>
      </c>
      <c r="L3799">
        <f>IF($G3799&lt;&gt;"ALCOHOL","",IF($K3799="","",$H3799*IFERROR(VLOOKUP($K3799,Drink_Templates!$A:$G,7,FALSE),0)))</f>
        <v/>
      </c>
    </row>
    <row r="3800" ht="15" customHeight="1">
      <c r="C3800">
        <f>IF($B3800="","",INT($B3800))</f>
        <v/>
      </c>
      <c r="D3800">
        <f>IF($C3800="","",$C3800-WEEKDAY($C3800,2)+1)</f>
        <v/>
      </c>
      <c r="E3800">
        <f>IF($C3800="","",DATE(YEAR($C3800),MONTH($C3800),1))</f>
        <v/>
      </c>
      <c r="F3800">
        <f>IF($C3800="","",YEAR($C3800)&amp;"-Q"&amp;ROUNDUP(MONTH($C3800)/3,0))</f>
        <v/>
      </c>
      <c r="L3800">
        <f>IF($G3800&lt;&gt;"ALCOHOL","",IF($K3800="","",$H3800*IFERROR(VLOOKUP($K3800,Drink_Templates!$A:$G,7,FALSE),0)))</f>
        <v/>
      </c>
    </row>
    <row r="3801" ht="15" customHeight="1">
      <c r="C3801">
        <f>IF($B3801="","",INT($B3801))</f>
        <v/>
      </c>
      <c r="D3801">
        <f>IF($C3801="","",$C3801-WEEKDAY($C3801,2)+1)</f>
        <v/>
      </c>
      <c r="E3801">
        <f>IF($C3801="","",DATE(YEAR($C3801),MONTH($C3801),1))</f>
        <v/>
      </c>
      <c r="F3801">
        <f>IF($C3801="","",YEAR($C3801)&amp;"-Q"&amp;ROUNDUP(MONTH($C3801)/3,0))</f>
        <v/>
      </c>
      <c r="L3801">
        <f>IF($G3801&lt;&gt;"ALCOHOL","",IF($K3801="","",$H3801*IFERROR(VLOOKUP($K3801,Drink_Templates!$A:$G,7,FALSE),0)))</f>
        <v/>
      </c>
    </row>
    <row r="3802" ht="15" customHeight="1">
      <c r="C3802">
        <f>IF($B3802="","",INT($B3802))</f>
        <v/>
      </c>
      <c r="D3802">
        <f>IF($C3802="","",$C3802-WEEKDAY($C3802,2)+1)</f>
        <v/>
      </c>
      <c r="E3802">
        <f>IF($C3802="","",DATE(YEAR($C3802),MONTH($C3802),1))</f>
        <v/>
      </c>
      <c r="F3802">
        <f>IF($C3802="","",YEAR($C3802)&amp;"-Q"&amp;ROUNDUP(MONTH($C3802)/3,0))</f>
        <v/>
      </c>
      <c r="L3802">
        <f>IF($G3802&lt;&gt;"ALCOHOL","",IF($K3802="","",$H3802*IFERROR(VLOOKUP($K3802,Drink_Templates!$A:$G,7,FALSE),0)))</f>
        <v/>
      </c>
    </row>
    <row r="3803" ht="15" customHeight="1">
      <c r="C3803">
        <f>IF($B3803="","",INT($B3803))</f>
        <v/>
      </c>
      <c r="D3803">
        <f>IF($C3803="","",$C3803-WEEKDAY($C3803,2)+1)</f>
        <v/>
      </c>
      <c r="E3803">
        <f>IF($C3803="","",DATE(YEAR($C3803),MONTH($C3803),1))</f>
        <v/>
      </c>
      <c r="F3803">
        <f>IF($C3803="","",YEAR($C3803)&amp;"-Q"&amp;ROUNDUP(MONTH($C3803)/3,0))</f>
        <v/>
      </c>
      <c r="L3803">
        <f>IF($G3803&lt;&gt;"ALCOHOL","",IF($K3803="","",$H3803*IFERROR(VLOOKUP($K3803,Drink_Templates!$A:$G,7,FALSE),0)))</f>
        <v/>
      </c>
    </row>
    <row r="3804" ht="15" customHeight="1">
      <c r="C3804">
        <f>IF($B3804="","",INT($B3804))</f>
        <v/>
      </c>
      <c r="D3804">
        <f>IF($C3804="","",$C3804-WEEKDAY($C3804,2)+1)</f>
        <v/>
      </c>
      <c r="E3804">
        <f>IF($C3804="","",DATE(YEAR($C3804),MONTH($C3804),1))</f>
        <v/>
      </c>
      <c r="F3804">
        <f>IF($C3804="","",YEAR($C3804)&amp;"-Q"&amp;ROUNDUP(MONTH($C3804)/3,0))</f>
        <v/>
      </c>
      <c r="L3804">
        <f>IF($G3804&lt;&gt;"ALCOHOL","",IF($K3804="","",$H3804*IFERROR(VLOOKUP($K3804,Drink_Templates!$A:$G,7,FALSE),0)))</f>
        <v/>
      </c>
    </row>
    <row r="3805" ht="15" customHeight="1">
      <c r="C3805">
        <f>IF($B3805="","",INT($B3805))</f>
        <v/>
      </c>
      <c r="D3805">
        <f>IF($C3805="","",$C3805-WEEKDAY($C3805,2)+1)</f>
        <v/>
      </c>
      <c r="E3805">
        <f>IF($C3805="","",DATE(YEAR($C3805),MONTH($C3805),1))</f>
        <v/>
      </c>
      <c r="F3805">
        <f>IF($C3805="","",YEAR($C3805)&amp;"-Q"&amp;ROUNDUP(MONTH($C3805)/3,0))</f>
        <v/>
      </c>
      <c r="L3805">
        <f>IF($G3805&lt;&gt;"ALCOHOL","",IF($K3805="","",$H3805*IFERROR(VLOOKUP($K3805,Drink_Templates!$A:$G,7,FALSE),0)))</f>
        <v/>
      </c>
    </row>
    <row r="3806" ht="15" customHeight="1">
      <c r="C3806">
        <f>IF($B3806="","",INT($B3806))</f>
        <v/>
      </c>
      <c r="D3806">
        <f>IF($C3806="","",$C3806-WEEKDAY($C3806,2)+1)</f>
        <v/>
      </c>
      <c r="E3806">
        <f>IF($C3806="","",DATE(YEAR($C3806),MONTH($C3806),1))</f>
        <v/>
      </c>
      <c r="F3806">
        <f>IF($C3806="","",YEAR($C3806)&amp;"-Q"&amp;ROUNDUP(MONTH($C3806)/3,0))</f>
        <v/>
      </c>
      <c r="L3806">
        <f>IF($G3806&lt;&gt;"ALCOHOL","",IF($K3806="","",$H3806*IFERROR(VLOOKUP($K3806,Drink_Templates!$A:$G,7,FALSE),0)))</f>
        <v/>
      </c>
    </row>
    <row r="3807" ht="15" customHeight="1">
      <c r="C3807">
        <f>IF($B3807="","",INT($B3807))</f>
        <v/>
      </c>
      <c r="D3807">
        <f>IF($C3807="","",$C3807-WEEKDAY($C3807,2)+1)</f>
        <v/>
      </c>
      <c r="E3807">
        <f>IF($C3807="","",DATE(YEAR($C3807),MONTH($C3807),1))</f>
        <v/>
      </c>
      <c r="F3807">
        <f>IF($C3807="","",YEAR($C3807)&amp;"-Q"&amp;ROUNDUP(MONTH($C3807)/3,0))</f>
        <v/>
      </c>
      <c r="L3807">
        <f>IF($G3807&lt;&gt;"ALCOHOL","",IF($K3807="","",$H3807*IFERROR(VLOOKUP($K3807,Drink_Templates!$A:$G,7,FALSE),0)))</f>
        <v/>
      </c>
    </row>
    <row r="3808" ht="15" customHeight="1">
      <c r="C3808">
        <f>IF($B3808="","",INT($B3808))</f>
        <v/>
      </c>
      <c r="D3808">
        <f>IF($C3808="","",$C3808-WEEKDAY($C3808,2)+1)</f>
        <v/>
      </c>
      <c r="E3808">
        <f>IF($C3808="","",DATE(YEAR($C3808),MONTH($C3808),1))</f>
        <v/>
      </c>
      <c r="F3808">
        <f>IF($C3808="","",YEAR($C3808)&amp;"-Q"&amp;ROUNDUP(MONTH($C3808)/3,0))</f>
        <v/>
      </c>
      <c r="L3808">
        <f>IF($G3808&lt;&gt;"ALCOHOL","",IF($K3808="","",$H3808*IFERROR(VLOOKUP($K3808,Drink_Templates!$A:$G,7,FALSE),0)))</f>
        <v/>
      </c>
    </row>
    <row r="3809" ht="15" customHeight="1">
      <c r="C3809">
        <f>IF($B3809="","",INT($B3809))</f>
        <v/>
      </c>
      <c r="D3809">
        <f>IF($C3809="","",$C3809-WEEKDAY($C3809,2)+1)</f>
        <v/>
      </c>
      <c r="E3809">
        <f>IF($C3809="","",DATE(YEAR($C3809),MONTH($C3809),1))</f>
        <v/>
      </c>
      <c r="F3809">
        <f>IF($C3809="","",YEAR($C3809)&amp;"-Q"&amp;ROUNDUP(MONTH($C3809)/3,0))</f>
        <v/>
      </c>
      <c r="L3809">
        <f>IF($G3809&lt;&gt;"ALCOHOL","",IF($K3809="","",$H3809*IFERROR(VLOOKUP($K3809,Drink_Templates!$A:$G,7,FALSE),0)))</f>
        <v/>
      </c>
    </row>
    <row r="3810" ht="15" customHeight="1">
      <c r="C3810">
        <f>IF($B3810="","",INT($B3810))</f>
        <v/>
      </c>
      <c r="D3810">
        <f>IF($C3810="","",$C3810-WEEKDAY($C3810,2)+1)</f>
        <v/>
      </c>
      <c r="E3810">
        <f>IF($C3810="","",DATE(YEAR($C3810),MONTH($C3810),1))</f>
        <v/>
      </c>
      <c r="F3810">
        <f>IF($C3810="","",YEAR($C3810)&amp;"-Q"&amp;ROUNDUP(MONTH($C3810)/3,0))</f>
        <v/>
      </c>
      <c r="L3810">
        <f>IF($G3810&lt;&gt;"ALCOHOL","",IF($K3810="","",$H3810*IFERROR(VLOOKUP($K3810,Drink_Templates!$A:$G,7,FALSE),0)))</f>
        <v/>
      </c>
    </row>
    <row r="3811" ht="15" customHeight="1">
      <c r="C3811">
        <f>IF($B3811="","",INT($B3811))</f>
        <v/>
      </c>
      <c r="D3811">
        <f>IF($C3811="","",$C3811-WEEKDAY($C3811,2)+1)</f>
        <v/>
      </c>
      <c r="E3811">
        <f>IF($C3811="","",DATE(YEAR($C3811),MONTH($C3811),1))</f>
        <v/>
      </c>
      <c r="F3811">
        <f>IF($C3811="","",YEAR($C3811)&amp;"-Q"&amp;ROUNDUP(MONTH($C3811)/3,0))</f>
        <v/>
      </c>
      <c r="L3811">
        <f>IF($G3811&lt;&gt;"ALCOHOL","",IF($K3811="","",$H3811*IFERROR(VLOOKUP($K3811,Drink_Templates!$A:$G,7,FALSE),0)))</f>
        <v/>
      </c>
    </row>
    <row r="3812" ht="15" customHeight="1">
      <c r="C3812">
        <f>IF($B3812="","",INT($B3812))</f>
        <v/>
      </c>
      <c r="D3812">
        <f>IF($C3812="","",$C3812-WEEKDAY($C3812,2)+1)</f>
        <v/>
      </c>
      <c r="E3812">
        <f>IF($C3812="","",DATE(YEAR($C3812),MONTH($C3812),1))</f>
        <v/>
      </c>
      <c r="F3812">
        <f>IF($C3812="","",YEAR($C3812)&amp;"-Q"&amp;ROUNDUP(MONTH($C3812)/3,0))</f>
        <v/>
      </c>
      <c r="L3812">
        <f>IF($G3812&lt;&gt;"ALCOHOL","",IF($K3812="","",$H3812*IFERROR(VLOOKUP($K3812,Drink_Templates!$A:$G,7,FALSE),0)))</f>
        <v/>
      </c>
    </row>
    <row r="3813" ht="15" customHeight="1">
      <c r="C3813">
        <f>IF($B3813="","",INT($B3813))</f>
        <v/>
      </c>
      <c r="D3813">
        <f>IF($C3813="","",$C3813-WEEKDAY($C3813,2)+1)</f>
        <v/>
      </c>
      <c r="E3813">
        <f>IF($C3813="","",DATE(YEAR($C3813),MONTH($C3813),1))</f>
        <v/>
      </c>
      <c r="F3813">
        <f>IF($C3813="","",YEAR($C3813)&amp;"-Q"&amp;ROUNDUP(MONTH($C3813)/3,0))</f>
        <v/>
      </c>
      <c r="L3813">
        <f>IF($G3813&lt;&gt;"ALCOHOL","",IF($K3813="","",$H3813*IFERROR(VLOOKUP($K3813,Drink_Templates!$A:$G,7,FALSE),0)))</f>
        <v/>
      </c>
    </row>
    <row r="3814" ht="15" customHeight="1">
      <c r="C3814">
        <f>IF($B3814="","",INT($B3814))</f>
        <v/>
      </c>
      <c r="D3814">
        <f>IF($C3814="","",$C3814-WEEKDAY($C3814,2)+1)</f>
        <v/>
      </c>
      <c r="E3814">
        <f>IF($C3814="","",DATE(YEAR($C3814),MONTH($C3814),1))</f>
        <v/>
      </c>
      <c r="F3814">
        <f>IF($C3814="","",YEAR($C3814)&amp;"-Q"&amp;ROUNDUP(MONTH($C3814)/3,0))</f>
        <v/>
      </c>
      <c r="L3814">
        <f>IF($G3814&lt;&gt;"ALCOHOL","",IF($K3814="","",$H3814*IFERROR(VLOOKUP($K3814,Drink_Templates!$A:$G,7,FALSE),0)))</f>
        <v/>
      </c>
    </row>
    <row r="3815" ht="15" customHeight="1">
      <c r="C3815">
        <f>IF($B3815="","",INT($B3815))</f>
        <v/>
      </c>
      <c r="D3815">
        <f>IF($C3815="","",$C3815-WEEKDAY($C3815,2)+1)</f>
        <v/>
      </c>
      <c r="E3815">
        <f>IF($C3815="","",DATE(YEAR($C3815),MONTH($C3815),1))</f>
        <v/>
      </c>
      <c r="F3815">
        <f>IF($C3815="","",YEAR($C3815)&amp;"-Q"&amp;ROUNDUP(MONTH($C3815)/3,0))</f>
        <v/>
      </c>
      <c r="L3815">
        <f>IF($G3815&lt;&gt;"ALCOHOL","",IF($K3815="","",$H3815*IFERROR(VLOOKUP($K3815,Drink_Templates!$A:$G,7,FALSE),0)))</f>
        <v/>
      </c>
    </row>
    <row r="3816" ht="15" customHeight="1">
      <c r="C3816">
        <f>IF($B3816="","",INT($B3816))</f>
        <v/>
      </c>
      <c r="D3816">
        <f>IF($C3816="","",$C3816-WEEKDAY($C3816,2)+1)</f>
        <v/>
      </c>
      <c r="E3816">
        <f>IF($C3816="","",DATE(YEAR($C3816),MONTH($C3816),1))</f>
        <v/>
      </c>
      <c r="F3816">
        <f>IF($C3816="","",YEAR($C3816)&amp;"-Q"&amp;ROUNDUP(MONTH($C3816)/3,0))</f>
        <v/>
      </c>
      <c r="L3816">
        <f>IF($G3816&lt;&gt;"ALCOHOL","",IF($K3816="","",$H3816*IFERROR(VLOOKUP($K3816,Drink_Templates!$A:$G,7,FALSE),0)))</f>
        <v/>
      </c>
    </row>
    <row r="3817" ht="15" customHeight="1">
      <c r="C3817">
        <f>IF($B3817="","",INT($B3817))</f>
        <v/>
      </c>
      <c r="D3817">
        <f>IF($C3817="","",$C3817-WEEKDAY($C3817,2)+1)</f>
        <v/>
      </c>
      <c r="E3817">
        <f>IF($C3817="","",DATE(YEAR($C3817),MONTH($C3817),1))</f>
        <v/>
      </c>
      <c r="F3817">
        <f>IF($C3817="","",YEAR($C3817)&amp;"-Q"&amp;ROUNDUP(MONTH($C3817)/3,0))</f>
        <v/>
      </c>
      <c r="L3817">
        <f>IF($G3817&lt;&gt;"ALCOHOL","",IF($K3817="","",$H3817*IFERROR(VLOOKUP($K3817,Drink_Templates!$A:$G,7,FALSE),0)))</f>
        <v/>
      </c>
    </row>
    <row r="3818" ht="15" customHeight="1">
      <c r="C3818">
        <f>IF($B3818="","",INT($B3818))</f>
        <v/>
      </c>
      <c r="D3818">
        <f>IF($C3818="","",$C3818-WEEKDAY($C3818,2)+1)</f>
        <v/>
      </c>
      <c r="E3818">
        <f>IF($C3818="","",DATE(YEAR($C3818),MONTH($C3818),1))</f>
        <v/>
      </c>
      <c r="F3818">
        <f>IF($C3818="","",YEAR($C3818)&amp;"-Q"&amp;ROUNDUP(MONTH($C3818)/3,0))</f>
        <v/>
      </c>
      <c r="L3818">
        <f>IF($G3818&lt;&gt;"ALCOHOL","",IF($K3818="","",$H3818*IFERROR(VLOOKUP($K3818,Drink_Templates!$A:$G,7,FALSE),0)))</f>
        <v/>
      </c>
    </row>
    <row r="3819" ht="15" customHeight="1">
      <c r="C3819">
        <f>IF($B3819="","",INT($B3819))</f>
        <v/>
      </c>
      <c r="D3819">
        <f>IF($C3819="","",$C3819-WEEKDAY($C3819,2)+1)</f>
        <v/>
      </c>
      <c r="E3819">
        <f>IF($C3819="","",DATE(YEAR($C3819),MONTH($C3819),1))</f>
        <v/>
      </c>
      <c r="F3819">
        <f>IF($C3819="","",YEAR($C3819)&amp;"-Q"&amp;ROUNDUP(MONTH($C3819)/3,0))</f>
        <v/>
      </c>
      <c r="L3819">
        <f>IF($G3819&lt;&gt;"ALCOHOL","",IF($K3819="","",$H3819*IFERROR(VLOOKUP($K3819,Drink_Templates!$A:$G,7,FALSE),0)))</f>
        <v/>
      </c>
    </row>
    <row r="3820" ht="15" customHeight="1">
      <c r="C3820">
        <f>IF($B3820="","",INT($B3820))</f>
        <v/>
      </c>
      <c r="D3820">
        <f>IF($C3820="","",$C3820-WEEKDAY($C3820,2)+1)</f>
        <v/>
      </c>
      <c r="E3820">
        <f>IF($C3820="","",DATE(YEAR($C3820),MONTH($C3820),1))</f>
        <v/>
      </c>
      <c r="F3820">
        <f>IF($C3820="","",YEAR($C3820)&amp;"-Q"&amp;ROUNDUP(MONTH($C3820)/3,0))</f>
        <v/>
      </c>
      <c r="L3820">
        <f>IF($G3820&lt;&gt;"ALCOHOL","",IF($K3820="","",$H3820*IFERROR(VLOOKUP($K3820,Drink_Templates!$A:$G,7,FALSE),0)))</f>
        <v/>
      </c>
    </row>
    <row r="3821" ht="15" customHeight="1">
      <c r="C3821">
        <f>IF($B3821="","",INT($B3821))</f>
        <v/>
      </c>
      <c r="D3821">
        <f>IF($C3821="","",$C3821-WEEKDAY($C3821,2)+1)</f>
        <v/>
      </c>
      <c r="E3821">
        <f>IF($C3821="","",DATE(YEAR($C3821),MONTH($C3821),1))</f>
        <v/>
      </c>
      <c r="F3821">
        <f>IF($C3821="","",YEAR($C3821)&amp;"-Q"&amp;ROUNDUP(MONTH($C3821)/3,0))</f>
        <v/>
      </c>
      <c r="L3821">
        <f>IF($G3821&lt;&gt;"ALCOHOL","",IF($K3821="","",$H3821*IFERROR(VLOOKUP($K3821,Drink_Templates!$A:$G,7,FALSE),0)))</f>
        <v/>
      </c>
    </row>
    <row r="3822" ht="15" customHeight="1">
      <c r="C3822">
        <f>IF($B3822="","",INT($B3822))</f>
        <v/>
      </c>
      <c r="D3822">
        <f>IF($C3822="","",$C3822-WEEKDAY($C3822,2)+1)</f>
        <v/>
      </c>
      <c r="E3822">
        <f>IF($C3822="","",DATE(YEAR($C3822),MONTH($C3822),1))</f>
        <v/>
      </c>
      <c r="F3822">
        <f>IF($C3822="","",YEAR($C3822)&amp;"-Q"&amp;ROUNDUP(MONTH($C3822)/3,0))</f>
        <v/>
      </c>
      <c r="L3822">
        <f>IF($G3822&lt;&gt;"ALCOHOL","",IF($K3822="","",$H3822*IFERROR(VLOOKUP($K3822,Drink_Templates!$A:$G,7,FALSE),0)))</f>
        <v/>
      </c>
    </row>
    <row r="3823" ht="15" customHeight="1">
      <c r="C3823">
        <f>IF($B3823="","",INT($B3823))</f>
        <v/>
      </c>
      <c r="D3823">
        <f>IF($C3823="","",$C3823-WEEKDAY($C3823,2)+1)</f>
        <v/>
      </c>
      <c r="E3823">
        <f>IF($C3823="","",DATE(YEAR($C3823),MONTH($C3823),1))</f>
        <v/>
      </c>
      <c r="F3823">
        <f>IF($C3823="","",YEAR($C3823)&amp;"-Q"&amp;ROUNDUP(MONTH($C3823)/3,0))</f>
        <v/>
      </c>
      <c r="L3823">
        <f>IF($G3823&lt;&gt;"ALCOHOL","",IF($K3823="","",$H3823*IFERROR(VLOOKUP($K3823,Drink_Templates!$A:$G,7,FALSE),0)))</f>
        <v/>
      </c>
    </row>
    <row r="3824" ht="15" customHeight="1">
      <c r="C3824">
        <f>IF($B3824="","",INT($B3824))</f>
        <v/>
      </c>
      <c r="D3824">
        <f>IF($C3824="","",$C3824-WEEKDAY($C3824,2)+1)</f>
        <v/>
      </c>
      <c r="E3824">
        <f>IF($C3824="","",DATE(YEAR($C3824),MONTH($C3824),1))</f>
        <v/>
      </c>
      <c r="F3824">
        <f>IF($C3824="","",YEAR($C3824)&amp;"-Q"&amp;ROUNDUP(MONTH($C3824)/3,0))</f>
        <v/>
      </c>
      <c r="L3824">
        <f>IF($G3824&lt;&gt;"ALCOHOL","",IF($K3824="","",$H3824*IFERROR(VLOOKUP($K3824,Drink_Templates!$A:$G,7,FALSE),0)))</f>
        <v/>
      </c>
    </row>
    <row r="3825" ht="15" customHeight="1">
      <c r="C3825">
        <f>IF($B3825="","",INT($B3825))</f>
        <v/>
      </c>
      <c r="D3825">
        <f>IF($C3825="","",$C3825-WEEKDAY($C3825,2)+1)</f>
        <v/>
      </c>
      <c r="E3825">
        <f>IF($C3825="","",DATE(YEAR($C3825),MONTH($C3825),1))</f>
        <v/>
      </c>
      <c r="F3825">
        <f>IF($C3825="","",YEAR($C3825)&amp;"-Q"&amp;ROUNDUP(MONTH($C3825)/3,0))</f>
        <v/>
      </c>
      <c r="L3825">
        <f>IF($G3825&lt;&gt;"ALCOHOL","",IF($K3825="","",$H3825*IFERROR(VLOOKUP($K3825,Drink_Templates!$A:$G,7,FALSE),0)))</f>
        <v/>
      </c>
    </row>
    <row r="3826" ht="15" customHeight="1">
      <c r="C3826">
        <f>IF($B3826="","",INT($B3826))</f>
        <v/>
      </c>
      <c r="D3826">
        <f>IF($C3826="","",$C3826-WEEKDAY($C3826,2)+1)</f>
        <v/>
      </c>
      <c r="E3826">
        <f>IF($C3826="","",DATE(YEAR($C3826),MONTH($C3826),1))</f>
        <v/>
      </c>
      <c r="F3826">
        <f>IF($C3826="","",YEAR($C3826)&amp;"-Q"&amp;ROUNDUP(MONTH($C3826)/3,0))</f>
        <v/>
      </c>
      <c r="L3826">
        <f>IF($G3826&lt;&gt;"ALCOHOL","",IF($K3826="","",$H3826*IFERROR(VLOOKUP($K3826,Drink_Templates!$A:$G,7,FALSE),0)))</f>
        <v/>
      </c>
    </row>
    <row r="3827" ht="15" customHeight="1">
      <c r="C3827">
        <f>IF($B3827="","",INT($B3827))</f>
        <v/>
      </c>
      <c r="D3827">
        <f>IF($C3827="","",$C3827-WEEKDAY($C3827,2)+1)</f>
        <v/>
      </c>
      <c r="E3827">
        <f>IF($C3827="","",DATE(YEAR($C3827),MONTH($C3827),1))</f>
        <v/>
      </c>
      <c r="F3827">
        <f>IF($C3827="","",YEAR($C3827)&amp;"-Q"&amp;ROUNDUP(MONTH($C3827)/3,0))</f>
        <v/>
      </c>
      <c r="L3827">
        <f>IF($G3827&lt;&gt;"ALCOHOL","",IF($K3827="","",$H3827*IFERROR(VLOOKUP($K3827,Drink_Templates!$A:$G,7,FALSE),0)))</f>
        <v/>
      </c>
    </row>
    <row r="3828" ht="15" customHeight="1">
      <c r="C3828">
        <f>IF($B3828="","",INT($B3828))</f>
        <v/>
      </c>
      <c r="D3828">
        <f>IF($C3828="","",$C3828-WEEKDAY($C3828,2)+1)</f>
        <v/>
      </c>
      <c r="E3828">
        <f>IF($C3828="","",DATE(YEAR($C3828),MONTH($C3828),1))</f>
        <v/>
      </c>
      <c r="F3828">
        <f>IF($C3828="","",YEAR($C3828)&amp;"-Q"&amp;ROUNDUP(MONTH($C3828)/3,0))</f>
        <v/>
      </c>
      <c r="L3828">
        <f>IF($G3828&lt;&gt;"ALCOHOL","",IF($K3828="","",$H3828*IFERROR(VLOOKUP($K3828,Drink_Templates!$A:$G,7,FALSE),0)))</f>
        <v/>
      </c>
    </row>
    <row r="3829" ht="15" customHeight="1">
      <c r="C3829">
        <f>IF($B3829="","",INT($B3829))</f>
        <v/>
      </c>
      <c r="D3829">
        <f>IF($C3829="","",$C3829-WEEKDAY($C3829,2)+1)</f>
        <v/>
      </c>
      <c r="E3829">
        <f>IF($C3829="","",DATE(YEAR($C3829),MONTH($C3829),1))</f>
        <v/>
      </c>
      <c r="F3829">
        <f>IF($C3829="","",YEAR($C3829)&amp;"-Q"&amp;ROUNDUP(MONTH($C3829)/3,0))</f>
        <v/>
      </c>
      <c r="L3829">
        <f>IF($G3829&lt;&gt;"ALCOHOL","",IF($K3829="","",$H3829*IFERROR(VLOOKUP($K3829,Drink_Templates!$A:$G,7,FALSE),0)))</f>
        <v/>
      </c>
    </row>
    <row r="3830" ht="15" customHeight="1">
      <c r="C3830">
        <f>IF($B3830="","",INT($B3830))</f>
        <v/>
      </c>
      <c r="D3830">
        <f>IF($C3830="","",$C3830-WEEKDAY($C3830,2)+1)</f>
        <v/>
      </c>
      <c r="E3830">
        <f>IF($C3830="","",DATE(YEAR($C3830),MONTH($C3830),1))</f>
        <v/>
      </c>
      <c r="F3830">
        <f>IF($C3830="","",YEAR($C3830)&amp;"-Q"&amp;ROUNDUP(MONTH($C3830)/3,0))</f>
        <v/>
      </c>
      <c r="L3830">
        <f>IF($G3830&lt;&gt;"ALCOHOL","",IF($K3830="","",$H3830*IFERROR(VLOOKUP($K3830,Drink_Templates!$A:$G,7,FALSE),0)))</f>
        <v/>
      </c>
    </row>
    <row r="3831" ht="15" customHeight="1">
      <c r="C3831">
        <f>IF($B3831="","",INT($B3831))</f>
        <v/>
      </c>
      <c r="D3831">
        <f>IF($C3831="","",$C3831-WEEKDAY($C3831,2)+1)</f>
        <v/>
      </c>
      <c r="E3831">
        <f>IF($C3831="","",DATE(YEAR($C3831),MONTH($C3831),1))</f>
        <v/>
      </c>
      <c r="F3831">
        <f>IF($C3831="","",YEAR($C3831)&amp;"-Q"&amp;ROUNDUP(MONTH($C3831)/3,0))</f>
        <v/>
      </c>
      <c r="L3831">
        <f>IF($G3831&lt;&gt;"ALCOHOL","",IF($K3831="","",$H3831*IFERROR(VLOOKUP($K3831,Drink_Templates!$A:$G,7,FALSE),0)))</f>
        <v/>
      </c>
    </row>
    <row r="3832" ht="15" customHeight="1">
      <c r="C3832">
        <f>IF($B3832="","",INT($B3832))</f>
        <v/>
      </c>
      <c r="D3832">
        <f>IF($C3832="","",$C3832-WEEKDAY($C3832,2)+1)</f>
        <v/>
      </c>
      <c r="E3832">
        <f>IF($C3832="","",DATE(YEAR($C3832),MONTH($C3832),1))</f>
        <v/>
      </c>
      <c r="F3832">
        <f>IF($C3832="","",YEAR($C3832)&amp;"-Q"&amp;ROUNDUP(MONTH($C3832)/3,0))</f>
        <v/>
      </c>
      <c r="L3832">
        <f>IF($G3832&lt;&gt;"ALCOHOL","",IF($K3832="","",$H3832*IFERROR(VLOOKUP($K3832,Drink_Templates!$A:$G,7,FALSE),0)))</f>
        <v/>
      </c>
    </row>
    <row r="3833" ht="15" customHeight="1">
      <c r="C3833">
        <f>IF($B3833="","",INT($B3833))</f>
        <v/>
      </c>
      <c r="D3833">
        <f>IF($C3833="","",$C3833-WEEKDAY($C3833,2)+1)</f>
        <v/>
      </c>
      <c r="E3833">
        <f>IF($C3833="","",DATE(YEAR($C3833),MONTH($C3833),1))</f>
        <v/>
      </c>
      <c r="F3833">
        <f>IF($C3833="","",YEAR($C3833)&amp;"-Q"&amp;ROUNDUP(MONTH($C3833)/3,0))</f>
        <v/>
      </c>
      <c r="L3833">
        <f>IF($G3833&lt;&gt;"ALCOHOL","",IF($K3833="","",$H3833*IFERROR(VLOOKUP($K3833,Drink_Templates!$A:$G,7,FALSE),0)))</f>
        <v/>
      </c>
    </row>
    <row r="3834" ht="15" customHeight="1">
      <c r="C3834">
        <f>IF($B3834="","",INT($B3834))</f>
        <v/>
      </c>
      <c r="D3834">
        <f>IF($C3834="","",$C3834-WEEKDAY($C3834,2)+1)</f>
        <v/>
      </c>
      <c r="E3834">
        <f>IF($C3834="","",DATE(YEAR($C3834),MONTH($C3834),1))</f>
        <v/>
      </c>
      <c r="F3834">
        <f>IF($C3834="","",YEAR($C3834)&amp;"-Q"&amp;ROUNDUP(MONTH($C3834)/3,0))</f>
        <v/>
      </c>
      <c r="L3834">
        <f>IF($G3834&lt;&gt;"ALCOHOL","",IF($K3834="","",$H3834*IFERROR(VLOOKUP($K3834,Drink_Templates!$A:$G,7,FALSE),0)))</f>
        <v/>
      </c>
    </row>
    <row r="3835" ht="15" customHeight="1">
      <c r="C3835">
        <f>IF($B3835="","",INT($B3835))</f>
        <v/>
      </c>
      <c r="D3835">
        <f>IF($C3835="","",$C3835-WEEKDAY($C3835,2)+1)</f>
        <v/>
      </c>
      <c r="E3835">
        <f>IF($C3835="","",DATE(YEAR($C3835),MONTH($C3835),1))</f>
        <v/>
      </c>
      <c r="F3835">
        <f>IF($C3835="","",YEAR($C3835)&amp;"-Q"&amp;ROUNDUP(MONTH($C3835)/3,0))</f>
        <v/>
      </c>
      <c r="L3835">
        <f>IF($G3835&lt;&gt;"ALCOHOL","",IF($K3835="","",$H3835*IFERROR(VLOOKUP($K3835,Drink_Templates!$A:$G,7,FALSE),0)))</f>
        <v/>
      </c>
    </row>
    <row r="3836" ht="15" customHeight="1">
      <c r="C3836">
        <f>IF($B3836="","",INT($B3836))</f>
        <v/>
      </c>
      <c r="D3836">
        <f>IF($C3836="","",$C3836-WEEKDAY($C3836,2)+1)</f>
        <v/>
      </c>
      <c r="E3836">
        <f>IF($C3836="","",DATE(YEAR($C3836),MONTH($C3836),1))</f>
        <v/>
      </c>
      <c r="F3836">
        <f>IF($C3836="","",YEAR($C3836)&amp;"-Q"&amp;ROUNDUP(MONTH($C3836)/3,0))</f>
        <v/>
      </c>
      <c r="L3836">
        <f>IF($G3836&lt;&gt;"ALCOHOL","",IF($K3836="","",$H3836*IFERROR(VLOOKUP($K3836,Drink_Templates!$A:$G,7,FALSE),0)))</f>
        <v/>
      </c>
    </row>
    <row r="3837" ht="15" customHeight="1">
      <c r="C3837">
        <f>IF($B3837="","",INT($B3837))</f>
        <v/>
      </c>
      <c r="D3837">
        <f>IF($C3837="","",$C3837-WEEKDAY($C3837,2)+1)</f>
        <v/>
      </c>
      <c r="E3837">
        <f>IF($C3837="","",DATE(YEAR($C3837),MONTH($C3837),1))</f>
        <v/>
      </c>
      <c r="F3837">
        <f>IF($C3837="","",YEAR($C3837)&amp;"-Q"&amp;ROUNDUP(MONTH($C3837)/3,0))</f>
        <v/>
      </c>
      <c r="L3837">
        <f>IF($G3837&lt;&gt;"ALCOHOL","",IF($K3837="","",$H3837*IFERROR(VLOOKUP($K3837,Drink_Templates!$A:$G,7,FALSE),0)))</f>
        <v/>
      </c>
    </row>
    <row r="3838" ht="15" customHeight="1">
      <c r="C3838">
        <f>IF($B3838="","",INT($B3838))</f>
        <v/>
      </c>
      <c r="D3838">
        <f>IF($C3838="","",$C3838-WEEKDAY($C3838,2)+1)</f>
        <v/>
      </c>
      <c r="E3838">
        <f>IF($C3838="","",DATE(YEAR($C3838),MONTH($C3838),1))</f>
        <v/>
      </c>
      <c r="F3838">
        <f>IF($C3838="","",YEAR($C3838)&amp;"-Q"&amp;ROUNDUP(MONTH($C3838)/3,0))</f>
        <v/>
      </c>
      <c r="L3838">
        <f>IF($G3838&lt;&gt;"ALCOHOL","",IF($K3838="","",$H3838*IFERROR(VLOOKUP($K3838,Drink_Templates!$A:$G,7,FALSE),0)))</f>
        <v/>
      </c>
    </row>
    <row r="3839" ht="15" customHeight="1">
      <c r="C3839">
        <f>IF($B3839="","",INT($B3839))</f>
        <v/>
      </c>
      <c r="D3839">
        <f>IF($C3839="","",$C3839-WEEKDAY($C3839,2)+1)</f>
        <v/>
      </c>
      <c r="E3839">
        <f>IF($C3839="","",DATE(YEAR($C3839),MONTH($C3839),1))</f>
        <v/>
      </c>
      <c r="F3839">
        <f>IF($C3839="","",YEAR($C3839)&amp;"-Q"&amp;ROUNDUP(MONTH($C3839)/3,0))</f>
        <v/>
      </c>
      <c r="L3839">
        <f>IF($G3839&lt;&gt;"ALCOHOL","",IF($K3839="","",$H3839*IFERROR(VLOOKUP($K3839,Drink_Templates!$A:$G,7,FALSE),0)))</f>
        <v/>
      </c>
    </row>
    <row r="3840" ht="15" customHeight="1">
      <c r="C3840">
        <f>IF($B3840="","",INT($B3840))</f>
        <v/>
      </c>
      <c r="D3840">
        <f>IF($C3840="","",$C3840-WEEKDAY($C3840,2)+1)</f>
        <v/>
      </c>
      <c r="E3840">
        <f>IF($C3840="","",DATE(YEAR($C3840),MONTH($C3840),1))</f>
        <v/>
      </c>
      <c r="F3840">
        <f>IF($C3840="","",YEAR($C3840)&amp;"-Q"&amp;ROUNDUP(MONTH($C3840)/3,0))</f>
        <v/>
      </c>
      <c r="L3840">
        <f>IF($G3840&lt;&gt;"ALCOHOL","",IF($K3840="","",$H3840*IFERROR(VLOOKUP($K3840,Drink_Templates!$A:$G,7,FALSE),0)))</f>
        <v/>
      </c>
    </row>
    <row r="3841" ht="15" customHeight="1">
      <c r="C3841">
        <f>IF($B3841="","",INT($B3841))</f>
        <v/>
      </c>
      <c r="D3841">
        <f>IF($C3841="","",$C3841-WEEKDAY($C3841,2)+1)</f>
        <v/>
      </c>
      <c r="E3841">
        <f>IF($C3841="","",DATE(YEAR($C3841),MONTH($C3841),1))</f>
        <v/>
      </c>
      <c r="F3841">
        <f>IF($C3841="","",YEAR($C3841)&amp;"-Q"&amp;ROUNDUP(MONTH($C3841)/3,0))</f>
        <v/>
      </c>
      <c r="L3841">
        <f>IF($G3841&lt;&gt;"ALCOHOL","",IF($K3841="","",$H3841*IFERROR(VLOOKUP($K3841,Drink_Templates!$A:$G,7,FALSE),0)))</f>
        <v/>
      </c>
    </row>
    <row r="3842" ht="15" customHeight="1">
      <c r="C3842">
        <f>IF($B3842="","",INT($B3842))</f>
        <v/>
      </c>
      <c r="D3842">
        <f>IF($C3842="","",$C3842-WEEKDAY($C3842,2)+1)</f>
        <v/>
      </c>
      <c r="E3842">
        <f>IF($C3842="","",DATE(YEAR($C3842),MONTH($C3842),1))</f>
        <v/>
      </c>
      <c r="F3842">
        <f>IF($C3842="","",YEAR($C3842)&amp;"-Q"&amp;ROUNDUP(MONTH($C3842)/3,0))</f>
        <v/>
      </c>
      <c r="L3842">
        <f>IF($G3842&lt;&gt;"ALCOHOL","",IF($K3842="","",$H3842*IFERROR(VLOOKUP($K3842,Drink_Templates!$A:$G,7,FALSE),0)))</f>
        <v/>
      </c>
    </row>
    <row r="3843" ht="15" customHeight="1">
      <c r="C3843">
        <f>IF($B3843="","",INT($B3843))</f>
        <v/>
      </c>
      <c r="D3843">
        <f>IF($C3843="","",$C3843-WEEKDAY($C3843,2)+1)</f>
        <v/>
      </c>
      <c r="E3843">
        <f>IF($C3843="","",DATE(YEAR($C3843),MONTH($C3843),1))</f>
        <v/>
      </c>
      <c r="F3843">
        <f>IF($C3843="","",YEAR($C3843)&amp;"-Q"&amp;ROUNDUP(MONTH($C3843)/3,0))</f>
        <v/>
      </c>
      <c r="L3843">
        <f>IF($G3843&lt;&gt;"ALCOHOL","",IF($K3843="","",$H3843*IFERROR(VLOOKUP($K3843,Drink_Templates!$A:$G,7,FALSE),0)))</f>
        <v/>
      </c>
    </row>
    <row r="3844" ht="15" customHeight="1">
      <c r="C3844">
        <f>IF($B3844="","",INT($B3844))</f>
        <v/>
      </c>
      <c r="D3844">
        <f>IF($C3844="","",$C3844-WEEKDAY($C3844,2)+1)</f>
        <v/>
      </c>
      <c r="E3844">
        <f>IF($C3844="","",DATE(YEAR($C3844),MONTH($C3844),1))</f>
        <v/>
      </c>
      <c r="F3844">
        <f>IF($C3844="","",YEAR($C3844)&amp;"-Q"&amp;ROUNDUP(MONTH($C3844)/3,0))</f>
        <v/>
      </c>
      <c r="L3844">
        <f>IF($G3844&lt;&gt;"ALCOHOL","",IF($K3844="","",$H3844*IFERROR(VLOOKUP($K3844,Drink_Templates!$A:$G,7,FALSE),0)))</f>
        <v/>
      </c>
    </row>
    <row r="3845" ht="15" customHeight="1">
      <c r="C3845">
        <f>IF($B3845="","",INT($B3845))</f>
        <v/>
      </c>
      <c r="D3845">
        <f>IF($C3845="","",$C3845-WEEKDAY($C3845,2)+1)</f>
        <v/>
      </c>
      <c r="E3845">
        <f>IF($C3845="","",DATE(YEAR($C3845),MONTH($C3845),1))</f>
        <v/>
      </c>
      <c r="F3845">
        <f>IF($C3845="","",YEAR($C3845)&amp;"-Q"&amp;ROUNDUP(MONTH($C3845)/3,0))</f>
        <v/>
      </c>
      <c r="L3845">
        <f>IF($G3845&lt;&gt;"ALCOHOL","",IF($K3845="","",$H3845*IFERROR(VLOOKUP($K3845,Drink_Templates!$A:$G,7,FALSE),0)))</f>
        <v/>
      </c>
    </row>
    <row r="3846" ht="15" customHeight="1">
      <c r="C3846">
        <f>IF($B3846="","",INT($B3846))</f>
        <v/>
      </c>
      <c r="D3846">
        <f>IF($C3846="","",$C3846-WEEKDAY($C3846,2)+1)</f>
        <v/>
      </c>
      <c r="E3846">
        <f>IF($C3846="","",DATE(YEAR($C3846),MONTH($C3846),1))</f>
        <v/>
      </c>
      <c r="F3846">
        <f>IF($C3846="","",YEAR($C3846)&amp;"-Q"&amp;ROUNDUP(MONTH($C3846)/3,0))</f>
        <v/>
      </c>
      <c r="L3846">
        <f>IF($G3846&lt;&gt;"ALCOHOL","",IF($K3846="","",$H3846*IFERROR(VLOOKUP($K3846,Drink_Templates!$A:$G,7,FALSE),0)))</f>
        <v/>
      </c>
    </row>
    <row r="3847" ht="15" customHeight="1">
      <c r="C3847">
        <f>IF($B3847="","",INT($B3847))</f>
        <v/>
      </c>
      <c r="D3847">
        <f>IF($C3847="","",$C3847-WEEKDAY($C3847,2)+1)</f>
        <v/>
      </c>
      <c r="E3847">
        <f>IF($C3847="","",DATE(YEAR($C3847),MONTH($C3847),1))</f>
        <v/>
      </c>
      <c r="F3847">
        <f>IF($C3847="","",YEAR($C3847)&amp;"-Q"&amp;ROUNDUP(MONTH($C3847)/3,0))</f>
        <v/>
      </c>
      <c r="L3847">
        <f>IF($G3847&lt;&gt;"ALCOHOL","",IF($K3847="","",$H3847*IFERROR(VLOOKUP($K3847,Drink_Templates!$A:$G,7,FALSE),0)))</f>
        <v/>
      </c>
    </row>
    <row r="3848" ht="15" customHeight="1">
      <c r="C3848">
        <f>IF($B3848="","",INT($B3848))</f>
        <v/>
      </c>
      <c r="D3848">
        <f>IF($C3848="","",$C3848-WEEKDAY($C3848,2)+1)</f>
        <v/>
      </c>
      <c r="E3848">
        <f>IF($C3848="","",DATE(YEAR($C3848),MONTH($C3848),1))</f>
        <v/>
      </c>
      <c r="F3848">
        <f>IF($C3848="","",YEAR($C3848)&amp;"-Q"&amp;ROUNDUP(MONTH($C3848)/3,0))</f>
        <v/>
      </c>
      <c r="L3848">
        <f>IF($G3848&lt;&gt;"ALCOHOL","",IF($K3848="","",$H3848*IFERROR(VLOOKUP($K3848,Drink_Templates!$A:$G,7,FALSE),0)))</f>
        <v/>
      </c>
    </row>
    <row r="3849" ht="15" customHeight="1">
      <c r="C3849">
        <f>IF($B3849="","",INT($B3849))</f>
        <v/>
      </c>
      <c r="D3849">
        <f>IF($C3849="","",$C3849-WEEKDAY($C3849,2)+1)</f>
        <v/>
      </c>
      <c r="E3849">
        <f>IF($C3849="","",DATE(YEAR($C3849),MONTH($C3849),1))</f>
        <v/>
      </c>
      <c r="F3849">
        <f>IF($C3849="","",YEAR($C3849)&amp;"-Q"&amp;ROUNDUP(MONTH($C3849)/3,0))</f>
        <v/>
      </c>
      <c r="L3849">
        <f>IF($G3849&lt;&gt;"ALCOHOL","",IF($K3849="","",$H3849*IFERROR(VLOOKUP($K3849,Drink_Templates!$A:$G,7,FALSE),0)))</f>
        <v/>
      </c>
    </row>
    <row r="3850" ht="15" customHeight="1">
      <c r="C3850">
        <f>IF($B3850="","",INT($B3850))</f>
        <v/>
      </c>
      <c r="D3850">
        <f>IF($C3850="","",$C3850-WEEKDAY($C3850,2)+1)</f>
        <v/>
      </c>
      <c r="E3850">
        <f>IF($C3850="","",DATE(YEAR($C3850),MONTH($C3850),1))</f>
        <v/>
      </c>
      <c r="F3850">
        <f>IF($C3850="","",YEAR($C3850)&amp;"-Q"&amp;ROUNDUP(MONTH($C3850)/3,0))</f>
        <v/>
      </c>
      <c r="L3850">
        <f>IF($G3850&lt;&gt;"ALCOHOL","",IF($K3850="","",$H3850*IFERROR(VLOOKUP($K3850,Drink_Templates!$A:$G,7,FALSE),0)))</f>
        <v/>
      </c>
    </row>
    <row r="3851" ht="15" customHeight="1">
      <c r="C3851">
        <f>IF($B3851="","",INT($B3851))</f>
        <v/>
      </c>
      <c r="D3851">
        <f>IF($C3851="","",$C3851-WEEKDAY($C3851,2)+1)</f>
        <v/>
      </c>
      <c r="E3851">
        <f>IF($C3851="","",DATE(YEAR($C3851),MONTH($C3851),1))</f>
        <v/>
      </c>
      <c r="F3851">
        <f>IF($C3851="","",YEAR($C3851)&amp;"-Q"&amp;ROUNDUP(MONTH($C3851)/3,0))</f>
        <v/>
      </c>
      <c r="L3851">
        <f>IF($G3851&lt;&gt;"ALCOHOL","",IF($K3851="","",$H3851*IFERROR(VLOOKUP($K3851,Drink_Templates!$A:$G,7,FALSE),0)))</f>
        <v/>
      </c>
    </row>
    <row r="3852" ht="15" customHeight="1">
      <c r="C3852">
        <f>IF($B3852="","",INT($B3852))</f>
        <v/>
      </c>
      <c r="D3852">
        <f>IF($C3852="","",$C3852-WEEKDAY($C3852,2)+1)</f>
        <v/>
      </c>
      <c r="E3852">
        <f>IF($C3852="","",DATE(YEAR($C3852),MONTH($C3852),1))</f>
        <v/>
      </c>
      <c r="F3852">
        <f>IF($C3852="","",YEAR($C3852)&amp;"-Q"&amp;ROUNDUP(MONTH($C3852)/3,0))</f>
        <v/>
      </c>
      <c r="L3852">
        <f>IF($G3852&lt;&gt;"ALCOHOL","",IF($K3852="","",$H3852*IFERROR(VLOOKUP($K3852,Drink_Templates!$A:$G,7,FALSE),0)))</f>
        <v/>
      </c>
    </row>
    <row r="3853" ht="15" customHeight="1">
      <c r="C3853">
        <f>IF($B3853="","",INT($B3853))</f>
        <v/>
      </c>
      <c r="D3853">
        <f>IF($C3853="","",$C3853-WEEKDAY($C3853,2)+1)</f>
        <v/>
      </c>
      <c r="E3853">
        <f>IF($C3853="","",DATE(YEAR($C3853),MONTH($C3853),1))</f>
        <v/>
      </c>
      <c r="F3853">
        <f>IF($C3853="","",YEAR($C3853)&amp;"-Q"&amp;ROUNDUP(MONTH($C3853)/3,0))</f>
        <v/>
      </c>
      <c r="L3853">
        <f>IF($G3853&lt;&gt;"ALCOHOL","",IF($K3853="","",$H3853*IFERROR(VLOOKUP($K3853,Drink_Templates!$A:$G,7,FALSE),0)))</f>
        <v/>
      </c>
    </row>
    <row r="3854" ht="15" customHeight="1">
      <c r="C3854">
        <f>IF($B3854="","",INT($B3854))</f>
        <v/>
      </c>
      <c r="D3854">
        <f>IF($C3854="","",$C3854-WEEKDAY($C3854,2)+1)</f>
        <v/>
      </c>
      <c r="E3854">
        <f>IF($C3854="","",DATE(YEAR($C3854),MONTH($C3854),1))</f>
        <v/>
      </c>
      <c r="F3854">
        <f>IF($C3854="","",YEAR($C3854)&amp;"-Q"&amp;ROUNDUP(MONTH($C3854)/3,0))</f>
        <v/>
      </c>
      <c r="L3854">
        <f>IF($G3854&lt;&gt;"ALCOHOL","",IF($K3854="","",$H3854*IFERROR(VLOOKUP($K3854,Drink_Templates!$A:$G,7,FALSE),0)))</f>
        <v/>
      </c>
    </row>
    <row r="3855" ht="15" customHeight="1">
      <c r="C3855">
        <f>IF($B3855="","",INT($B3855))</f>
        <v/>
      </c>
      <c r="D3855">
        <f>IF($C3855="","",$C3855-WEEKDAY($C3855,2)+1)</f>
        <v/>
      </c>
      <c r="E3855">
        <f>IF($C3855="","",DATE(YEAR($C3855),MONTH($C3855),1))</f>
        <v/>
      </c>
      <c r="F3855">
        <f>IF($C3855="","",YEAR($C3855)&amp;"-Q"&amp;ROUNDUP(MONTH($C3855)/3,0))</f>
        <v/>
      </c>
      <c r="L3855">
        <f>IF($G3855&lt;&gt;"ALCOHOL","",IF($K3855="","",$H3855*IFERROR(VLOOKUP($K3855,Drink_Templates!$A:$G,7,FALSE),0)))</f>
        <v/>
      </c>
    </row>
    <row r="3856" ht="15" customHeight="1">
      <c r="C3856">
        <f>IF($B3856="","",INT($B3856))</f>
        <v/>
      </c>
      <c r="D3856">
        <f>IF($C3856="","",$C3856-WEEKDAY($C3856,2)+1)</f>
        <v/>
      </c>
      <c r="E3856">
        <f>IF($C3856="","",DATE(YEAR($C3856),MONTH($C3856),1))</f>
        <v/>
      </c>
      <c r="F3856">
        <f>IF($C3856="","",YEAR($C3856)&amp;"-Q"&amp;ROUNDUP(MONTH($C3856)/3,0))</f>
        <v/>
      </c>
      <c r="L3856">
        <f>IF($G3856&lt;&gt;"ALCOHOL","",IF($K3856="","",$H3856*IFERROR(VLOOKUP($K3856,Drink_Templates!$A:$G,7,FALSE),0)))</f>
        <v/>
      </c>
    </row>
    <row r="3857" ht="15" customHeight="1">
      <c r="C3857">
        <f>IF($B3857="","",INT($B3857))</f>
        <v/>
      </c>
      <c r="D3857">
        <f>IF($C3857="","",$C3857-WEEKDAY($C3857,2)+1)</f>
        <v/>
      </c>
      <c r="E3857">
        <f>IF($C3857="","",DATE(YEAR($C3857),MONTH($C3857),1))</f>
        <v/>
      </c>
      <c r="F3857">
        <f>IF($C3857="","",YEAR($C3857)&amp;"-Q"&amp;ROUNDUP(MONTH($C3857)/3,0))</f>
        <v/>
      </c>
      <c r="L3857">
        <f>IF($G3857&lt;&gt;"ALCOHOL","",IF($K3857="","",$H3857*IFERROR(VLOOKUP($K3857,Drink_Templates!$A:$G,7,FALSE),0)))</f>
        <v/>
      </c>
    </row>
    <row r="3858" ht="15" customHeight="1">
      <c r="C3858">
        <f>IF($B3858="","",INT($B3858))</f>
        <v/>
      </c>
      <c r="D3858">
        <f>IF($C3858="","",$C3858-WEEKDAY($C3858,2)+1)</f>
        <v/>
      </c>
      <c r="E3858">
        <f>IF($C3858="","",DATE(YEAR($C3858),MONTH($C3858),1))</f>
        <v/>
      </c>
      <c r="F3858">
        <f>IF($C3858="","",YEAR($C3858)&amp;"-Q"&amp;ROUNDUP(MONTH($C3858)/3,0))</f>
        <v/>
      </c>
      <c r="L3858">
        <f>IF($G3858&lt;&gt;"ALCOHOL","",IF($K3858="","",$H3858*IFERROR(VLOOKUP($K3858,Drink_Templates!$A:$G,7,FALSE),0)))</f>
        <v/>
      </c>
    </row>
    <row r="3859" ht="15" customHeight="1">
      <c r="C3859">
        <f>IF($B3859="","",INT($B3859))</f>
        <v/>
      </c>
      <c r="D3859">
        <f>IF($C3859="","",$C3859-WEEKDAY($C3859,2)+1)</f>
        <v/>
      </c>
      <c r="E3859">
        <f>IF($C3859="","",DATE(YEAR($C3859),MONTH($C3859),1))</f>
        <v/>
      </c>
      <c r="F3859">
        <f>IF($C3859="","",YEAR($C3859)&amp;"-Q"&amp;ROUNDUP(MONTH($C3859)/3,0))</f>
        <v/>
      </c>
      <c r="L3859">
        <f>IF($G3859&lt;&gt;"ALCOHOL","",IF($K3859="","",$H3859*IFERROR(VLOOKUP($K3859,Drink_Templates!$A:$G,7,FALSE),0)))</f>
        <v/>
      </c>
    </row>
    <row r="3860" ht="15" customHeight="1">
      <c r="C3860">
        <f>IF($B3860="","",INT($B3860))</f>
        <v/>
      </c>
      <c r="D3860">
        <f>IF($C3860="","",$C3860-WEEKDAY($C3860,2)+1)</f>
        <v/>
      </c>
      <c r="E3860">
        <f>IF($C3860="","",DATE(YEAR($C3860),MONTH($C3860),1))</f>
        <v/>
      </c>
      <c r="F3860">
        <f>IF($C3860="","",YEAR($C3860)&amp;"-Q"&amp;ROUNDUP(MONTH($C3860)/3,0))</f>
        <v/>
      </c>
      <c r="L3860">
        <f>IF($G3860&lt;&gt;"ALCOHOL","",IF($K3860="","",$H3860*IFERROR(VLOOKUP($K3860,Drink_Templates!$A:$G,7,FALSE),0)))</f>
        <v/>
      </c>
    </row>
    <row r="3861" ht="15" customHeight="1">
      <c r="C3861">
        <f>IF($B3861="","",INT($B3861))</f>
        <v/>
      </c>
      <c r="D3861">
        <f>IF($C3861="","",$C3861-WEEKDAY($C3861,2)+1)</f>
        <v/>
      </c>
      <c r="E3861">
        <f>IF($C3861="","",DATE(YEAR($C3861),MONTH($C3861),1))</f>
        <v/>
      </c>
      <c r="F3861">
        <f>IF($C3861="","",YEAR($C3861)&amp;"-Q"&amp;ROUNDUP(MONTH($C3861)/3,0))</f>
        <v/>
      </c>
      <c r="L3861">
        <f>IF($G3861&lt;&gt;"ALCOHOL","",IF($K3861="","",$H3861*IFERROR(VLOOKUP($K3861,Drink_Templates!$A:$G,7,FALSE),0)))</f>
        <v/>
      </c>
    </row>
    <row r="3862" ht="15" customHeight="1">
      <c r="C3862">
        <f>IF($B3862="","",INT($B3862))</f>
        <v/>
      </c>
      <c r="D3862">
        <f>IF($C3862="","",$C3862-WEEKDAY($C3862,2)+1)</f>
        <v/>
      </c>
      <c r="E3862">
        <f>IF($C3862="","",DATE(YEAR($C3862),MONTH($C3862),1))</f>
        <v/>
      </c>
      <c r="F3862">
        <f>IF($C3862="","",YEAR($C3862)&amp;"-Q"&amp;ROUNDUP(MONTH($C3862)/3,0))</f>
        <v/>
      </c>
      <c r="L3862">
        <f>IF($G3862&lt;&gt;"ALCOHOL","",IF($K3862="","",$H3862*IFERROR(VLOOKUP($K3862,Drink_Templates!$A:$G,7,FALSE),0)))</f>
        <v/>
      </c>
    </row>
    <row r="3863" ht="15" customHeight="1">
      <c r="C3863">
        <f>IF($B3863="","",INT($B3863))</f>
        <v/>
      </c>
      <c r="D3863">
        <f>IF($C3863="","",$C3863-WEEKDAY($C3863,2)+1)</f>
        <v/>
      </c>
      <c r="E3863">
        <f>IF($C3863="","",DATE(YEAR($C3863),MONTH($C3863),1))</f>
        <v/>
      </c>
      <c r="F3863">
        <f>IF($C3863="","",YEAR($C3863)&amp;"-Q"&amp;ROUNDUP(MONTH($C3863)/3,0))</f>
        <v/>
      </c>
      <c r="L3863">
        <f>IF($G3863&lt;&gt;"ALCOHOL","",IF($K3863="","",$H3863*IFERROR(VLOOKUP($K3863,Drink_Templates!$A:$G,7,FALSE),0)))</f>
        <v/>
      </c>
    </row>
    <row r="3864" ht="15" customHeight="1">
      <c r="C3864">
        <f>IF($B3864="","",INT($B3864))</f>
        <v/>
      </c>
      <c r="D3864">
        <f>IF($C3864="","",$C3864-WEEKDAY($C3864,2)+1)</f>
        <v/>
      </c>
      <c r="E3864">
        <f>IF($C3864="","",DATE(YEAR($C3864),MONTH($C3864),1))</f>
        <v/>
      </c>
      <c r="F3864">
        <f>IF($C3864="","",YEAR($C3864)&amp;"-Q"&amp;ROUNDUP(MONTH($C3864)/3,0))</f>
        <v/>
      </c>
      <c r="L3864">
        <f>IF($G3864&lt;&gt;"ALCOHOL","",IF($K3864="","",$H3864*IFERROR(VLOOKUP($K3864,Drink_Templates!$A:$G,7,FALSE),0)))</f>
        <v/>
      </c>
    </row>
    <row r="3865" ht="15" customHeight="1">
      <c r="C3865">
        <f>IF($B3865="","",INT($B3865))</f>
        <v/>
      </c>
      <c r="D3865">
        <f>IF($C3865="","",$C3865-WEEKDAY($C3865,2)+1)</f>
        <v/>
      </c>
      <c r="E3865">
        <f>IF($C3865="","",DATE(YEAR($C3865),MONTH($C3865),1))</f>
        <v/>
      </c>
      <c r="F3865">
        <f>IF($C3865="","",YEAR($C3865)&amp;"-Q"&amp;ROUNDUP(MONTH($C3865)/3,0))</f>
        <v/>
      </c>
      <c r="L3865">
        <f>IF($G3865&lt;&gt;"ALCOHOL","",IF($K3865="","",$H3865*IFERROR(VLOOKUP($K3865,Drink_Templates!$A:$G,7,FALSE),0)))</f>
        <v/>
      </c>
    </row>
    <row r="3866" ht="15" customHeight="1">
      <c r="C3866">
        <f>IF($B3866="","",INT($B3866))</f>
        <v/>
      </c>
      <c r="D3866">
        <f>IF($C3866="","",$C3866-WEEKDAY($C3866,2)+1)</f>
        <v/>
      </c>
      <c r="E3866">
        <f>IF($C3866="","",DATE(YEAR($C3866),MONTH($C3866),1))</f>
        <v/>
      </c>
      <c r="F3866">
        <f>IF($C3866="","",YEAR($C3866)&amp;"-Q"&amp;ROUNDUP(MONTH($C3866)/3,0))</f>
        <v/>
      </c>
      <c r="L3866">
        <f>IF($G3866&lt;&gt;"ALCOHOL","",IF($K3866="","",$H3866*IFERROR(VLOOKUP($K3866,Drink_Templates!$A:$G,7,FALSE),0)))</f>
        <v/>
      </c>
    </row>
    <row r="3867" ht="15" customHeight="1">
      <c r="C3867">
        <f>IF($B3867="","",INT($B3867))</f>
        <v/>
      </c>
      <c r="D3867">
        <f>IF($C3867="","",$C3867-WEEKDAY($C3867,2)+1)</f>
        <v/>
      </c>
      <c r="E3867">
        <f>IF($C3867="","",DATE(YEAR($C3867),MONTH($C3867),1))</f>
        <v/>
      </c>
      <c r="F3867">
        <f>IF($C3867="","",YEAR($C3867)&amp;"-Q"&amp;ROUNDUP(MONTH($C3867)/3,0))</f>
        <v/>
      </c>
      <c r="L3867">
        <f>IF($G3867&lt;&gt;"ALCOHOL","",IF($K3867="","",$H3867*IFERROR(VLOOKUP($K3867,Drink_Templates!$A:$G,7,FALSE),0)))</f>
        <v/>
      </c>
    </row>
    <row r="3868" ht="15" customHeight="1">
      <c r="C3868">
        <f>IF($B3868="","",INT($B3868))</f>
        <v/>
      </c>
      <c r="D3868">
        <f>IF($C3868="","",$C3868-WEEKDAY($C3868,2)+1)</f>
        <v/>
      </c>
      <c r="E3868">
        <f>IF($C3868="","",DATE(YEAR($C3868),MONTH($C3868),1))</f>
        <v/>
      </c>
      <c r="F3868">
        <f>IF($C3868="","",YEAR($C3868)&amp;"-Q"&amp;ROUNDUP(MONTH($C3868)/3,0))</f>
        <v/>
      </c>
      <c r="L3868">
        <f>IF($G3868&lt;&gt;"ALCOHOL","",IF($K3868="","",$H3868*IFERROR(VLOOKUP($K3868,Drink_Templates!$A:$G,7,FALSE),0)))</f>
        <v/>
      </c>
    </row>
    <row r="3869" ht="15" customHeight="1">
      <c r="C3869">
        <f>IF($B3869="","",INT($B3869))</f>
        <v/>
      </c>
      <c r="D3869">
        <f>IF($C3869="","",$C3869-WEEKDAY($C3869,2)+1)</f>
        <v/>
      </c>
      <c r="E3869">
        <f>IF($C3869="","",DATE(YEAR($C3869),MONTH($C3869),1))</f>
        <v/>
      </c>
      <c r="F3869">
        <f>IF($C3869="","",YEAR($C3869)&amp;"-Q"&amp;ROUNDUP(MONTH($C3869)/3,0))</f>
        <v/>
      </c>
      <c r="L3869">
        <f>IF($G3869&lt;&gt;"ALCOHOL","",IF($K3869="","",$H3869*IFERROR(VLOOKUP($K3869,Drink_Templates!$A:$G,7,FALSE),0)))</f>
        <v/>
      </c>
    </row>
    <row r="3870" ht="15" customHeight="1">
      <c r="C3870">
        <f>IF($B3870="","",INT($B3870))</f>
        <v/>
      </c>
      <c r="D3870">
        <f>IF($C3870="","",$C3870-WEEKDAY($C3870,2)+1)</f>
        <v/>
      </c>
      <c r="E3870">
        <f>IF($C3870="","",DATE(YEAR($C3870),MONTH($C3870),1))</f>
        <v/>
      </c>
      <c r="F3870">
        <f>IF($C3870="","",YEAR($C3870)&amp;"-Q"&amp;ROUNDUP(MONTH($C3870)/3,0))</f>
        <v/>
      </c>
      <c r="L3870">
        <f>IF($G3870&lt;&gt;"ALCOHOL","",IF($K3870="","",$H3870*IFERROR(VLOOKUP($K3870,Drink_Templates!$A:$G,7,FALSE),0)))</f>
        <v/>
      </c>
    </row>
    <row r="3871" ht="15" customHeight="1">
      <c r="C3871">
        <f>IF($B3871="","",INT($B3871))</f>
        <v/>
      </c>
      <c r="D3871">
        <f>IF($C3871="","",$C3871-WEEKDAY($C3871,2)+1)</f>
        <v/>
      </c>
      <c r="E3871">
        <f>IF($C3871="","",DATE(YEAR($C3871),MONTH($C3871),1))</f>
        <v/>
      </c>
      <c r="F3871">
        <f>IF($C3871="","",YEAR($C3871)&amp;"-Q"&amp;ROUNDUP(MONTH($C3871)/3,0))</f>
        <v/>
      </c>
      <c r="L3871">
        <f>IF($G3871&lt;&gt;"ALCOHOL","",IF($K3871="","",$H3871*IFERROR(VLOOKUP($K3871,Drink_Templates!$A:$G,7,FALSE),0)))</f>
        <v/>
      </c>
    </row>
    <row r="3872" ht="15" customHeight="1">
      <c r="C3872">
        <f>IF($B3872="","",INT($B3872))</f>
        <v/>
      </c>
      <c r="D3872">
        <f>IF($C3872="","",$C3872-WEEKDAY($C3872,2)+1)</f>
        <v/>
      </c>
      <c r="E3872">
        <f>IF($C3872="","",DATE(YEAR($C3872),MONTH($C3872),1))</f>
        <v/>
      </c>
      <c r="F3872">
        <f>IF($C3872="","",YEAR($C3872)&amp;"-Q"&amp;ROUNDUP(MONTH($C3872)/3,0))</f>
        <v/>
      </c>
      <c r="L3872">
        <f>IF($G3872&lt;&gt;"ALCOHOL","",IF($K3872="","",$H3872*IFERROR(VLOOKUP($K3872,Drink_Templates!$A:$G,7,FALSE),0)))</f>
        <v/>
      </c>
    </row>
    <row r="3873" ht="15" customHeight="1">
      <c r="C3873">
        <f>IF($B3873="","",INT($B3873))</f>
        <v/>
      </c>
      <c r="D3873">
        <f>IF($C3873="","",$C3873-WEEKDAY($C3873,2)+1)</f>
        <v/>
      </c>
      <c r="E3873">
        <f>IF($C3873="","",DATE(YEAR($C3873),MONTH($C3873),1))</f>
        <v/>
      </c>
      <c r="F3873">
        <f>IF($C3873="","",YEAR($C3873)&amp;"-Q"&amp;ROUNDUP(MONTH($C3873)/3,0))</f>
        <v/>
      </c>
      <c r="L3873">
        <f>IF($G3873&lt;&gt;"ALCOHOL","",IF($K3873="","",$H3873*IFERROR(VLOOKUP($K3873,Drink_Templates!$A:$G,7,FALSE),0)))</f>
        <v/>
      </c>
    </row>
    <row r="3874" ht="15" customHeight="1">
      <c r="C3874">
        <f>IF($B3874="","",INT($B3874))</f>
        <v/>
      </c>
      <c r="D3874">
        <f>IF($C3874="","",$C3874-WEEKDAY($C3874,2)+1)</f>
        <v/>
      </c>
      <c r="E3874">
        <f>IF($C3874="","",DATE(YEAR($C3874),MONTH($C3874),1))</f>
        <v/>
      </c>
      <c r="F3874">
        <f>IF($C3874="","",YEAR($C3874)&amp;"-Q"&amp;ROUNDUP(MONTH($C3874)/3,0))</f>
        <v/>
      </c>
      <c r="L3874">
        <f>IF($G3874&lt;&gt;"ALCOHOL","",IF($K3874="","",$H3874*IFERROR(VLOOKUP($K3874,Drink_Templates!$A:$G,7,FALSE),0)))</f>
        <v/>
      </c>
    </row>
    <row r="3875" ht="15" customHeight="1">
      <c r="C3875">
        <f>IF($B3875="","",INT($B3875))</f>
        <v/>
      </c>
      <c r="D3875">
        <f>IF($C3875="","",$C3875-WEEKDAY($C3875,2)+1)</f>
        <v/>
      </c>
      <c r="E3875">
        <f>IF($C3875="","",DATE(YEAR($C3875),MONTH($C3875),1))</f>
        <v/>
      </c>
      <c r="F3875">
        <f>IF($C3875="","",YEAR($C3875)&amp;"-Q"&amp;ROUNDUP(MONTH($C3875)/3,0))</f>
        <v/>
      </c>
      <c r="L3875">
        <f>IF($G3875&lt;&gt;"ALCOHOL","",IF($K3875="","",$H3875*IFERROR(VLOOKUP($K3875,Drink_Templates!$A:$G,7,FALSE),0)))</f>
        <v/>
      </c>
    </row>
    <row r="3876" ht="15" customHeight="1">
      <c r="C3876">
        <f>IF($B3876="","",INT($B3876))</f>
        <v/>
      </c>
      <c r="D3876">
        <f>IF($C3876="","",$C3876-WEEKDAY($C3876,2)+1)</f>
        <v/>
      </c>
      <c r="E3876">
        <f>IF($C3876="","",DATE(YEAR($C3876),MONTH($C3876),1))</f>
        <v/>
      </c>
      <c r="F3876">
        <f>IF($C3876="","",YEAR($C3876)&amp;"-Q"&amp;ROUNDUP(MONTH($C3876)/3,0))</f>
        <v/>
      </c>
      <c r="L3876">
        <f>IF($G3876&lt;&gt;"ALCOHOL","",IF($K3876="","",$H3876*IFERROR(VLOOKUP($K3876,Drink_Templates!$A:$G,7,FALSE),0)))</f>
        <v/>
      </c>
    </row>
    <row r="3877" ht="15" customHeight="1">
      <c r="C3877">
        <f>IF($B3877="","",INT($B3877))</f>
        <v/>
      </c>
      <c r="D3877">
        <f>IF($C3877="","",$C3877-WEEKDAY($C3877,2)+1)</f>
        <v/>
      </c>
      <c r="E3877">
        <f>IF($C3877="","",DATE(YEAR($C3877),MONTH($C3877),1))</f>
        <v/>
      </c>
      <c r="F3877">
        <f>IF($C3877="","",YEAR($C3877)&amp;"-Q"&amp;ROUNDUP(MONTH($C3877)/3,0))</f>
        <v/>
      </c>
      <c r="L3877">
        <f>IF($G3877&lt;&gt;"ALCOHOL","",IF($K3877="","",$H3877*IFERROR(VLOOKUP($K3877,Drink_Templates!$A:$G,7,FALSE),0)))</f>
        <v/>
      </c>
    </row>
    <row r="3878" ht="15" customHeight="1">
      <c r="C3878">
        <f>IF($B3878="","",INT($B3878))</f>
        <v/>
      </c>
      <c r="D3878">
        <f>IF($C3878="","",$C3878-WEEKDAY($C3878,2)+1)</f>
        <v/>
      </c>
      <c r="E3878">
        <f>IF($C3878="","",DATE(YEAR($C3878),MONTH($C3878),1))</f>
        <v/>
      </c>
      <c r="F3878">
        <f>IF($C3878="","",YEAR($C3878)&amp;"-Q"&amp;ROUNDUP(MONTH($C3878)/3,0))</f>
        <v/>
      </c>
      <c r="L3878">
        <f>IF($G3878&lt;&gt;"ALCOHOL","",IF($K3878="","",$H3878*IFERROR(VLOOKUP($K3878,Drink_Templates!$A:$G,7,FALSE),0)))</f>
        <v/>
      </c>
    </row>
    <row r="3879" ht="15" customHeight="1">
      <c r="C3879">
        <f>IF($B3879="","",INT($B3879))</f>
        <v/>
      </c>
      <c r="D3879">
        <f>IF($C3879="","",$C3879-WEEKDAY($C3879,2)+1)</f>
        <v/>
      </c>
      <c r="E3879">
        <f>IF($C3879="","",DATE(YEAR($C3879),MONTH($C3879),1))</f>
        <v/>
      </c>
      <c r="F3879">
        <f>IF($C3879="","",YEAR($C3879)&amp;"-Q"&amp;ROUNDUP(MONTH($C3879)/3,0))</f>
        <v/>
      </c>
      <c r="L3879">
        <f>IF($G3879&lt;&gt;"ALCOHOL","",IF($K3879="","",$H3879*IFERROR(VLOOKUP($K3879,Drink_Templates!$A:$G,7,FALSE),0)))</f>
        <v/>
      </c>
    </row>
    <row r="3880" ht="15" customHeight="1">
      <c r="C3880">
        <f>IF($B3880="","",INT($B3880))</f>
        <v/>
      </c>
      <c r="D3880">
        <f>IF($C3880="","",$C3880-WEEKDAY($C3880,2)+1)</f>
        <v/>
      </c>
      <c r="E3880">
        <f>IF($C3880="","",DATE(YEAR($C3880),MONTH($C3880),1))</f>
        <v/>
      </c>
      <c r="F3880">
        <f>IF($C3880="","",YEAR($C3880)&amp;"-Q"&amp;ROUNDUP(MONTH($C3880)/3,0))</f>
        <v/>
      </c>
      <c r="L3880">
        <f>IF($G3880&lt;&gt;"ALCOHOL","",IF($K3880="","",$H3880*IFERROR(VLOOKUP($K3880,Drink_Templates!$A:$G,7,FALSE),0)))</f>
        <v/>
      </c>
    </row>
    <row r="3881" ht="15" customHeight="1">
      <c r="C3881">
        <f>IF($B3881="","",INT($B3881))</f>
        <v/>
      </c>
      <c r="D3881">
        <f>IF($C3881="","",$C3881-WEEKDAY($C3881,2)+1)</f>
        <v/>
      </c>
      <c r="E3881">
        <f>IF($C3881="","",DATE(YEAR($C3881),MONTH($C3881),1))</f>
        <v/>
      </c>
      <c r="F3881">
        <f>IF($C3881="","",YEAR($C3881)&amp;"-Q"&amp;ROUNDUP(MONTH($C3881)/3,0))</f>
        <v/>
      </c>
      <c r="L3881">
        <f>IF($G3881&lt;&gt;"ALCOHOL","",IF($K3881="","",$H3881*IFERROR(VLOOKUP($K3881,Drink_Templates!$A:$G,7,FALSE),0)))</f>
        <v/>
      </c>
    </row>
    <row r="3882" ht="15" customHeight="1">
      <c r="C3882">
        <f>IF($B3882="","",INT($B3882))</f>
        <v/>
      </c>
      <c r="D3882">
        <f>IF($C3882="","",$C3882-WEEKDAY($C3882,2)+1)</f>
        <v/>
      </c>
      <c r="E3882">
        <f>IF($C3882="","",DATE(YEAR($C3882),MONTH($C3882),1))</f>
        <v/>
      </c>
      <c r="F3882">
        <f>IF($C3882="","",YEAR($C3882)&amp;"-Q"&amp;ROUNDUP(MONTH($C3882)/3,0))</f>
        <v/>
      </c>
      <c r="L3882">
        <f>IF($G3882&lt;&gt;"ALCOHOL","",IF($K3882="","",$H3882*IFERROR(VLOOKUP($K3882,Drink_Templates!$A:$G,7,FALSE),0)))</f>
        <v/>
      </c>
    </row>
    <row r="3883" ht="15" customHeight="1">
      <c r="C3883">
        <f>IF($B3883="","",INT($B3883))</f>
        <v/>
      </c>
      <c r="D3883">
        <f>IF($C3883="","",$C3883-WEEKDAY($C3883,2)+1)</f>
        <v/>
      </c>
      <c r="E3883">
        <f>IF($C3883="","",DATE(YEAR($C3883),MONTH($C3883),1))</f>
        <v/>
      </c>
      <c r="F3883">
        <f>IF($C3883="","",YEAR($C3883)&amp;"-Q"&amp;ROUNDUP(MONTH($C3883)/3,0))</f>
        <v/>
      </c>
      <c r="L3883">
        <f>IF($G3883&lt;&gt;"ALCOHOL","",IF($K3883="","",$H3883*IFERROR(VLOOKUP($K3883,Drink_Templates!$A:$G,7,FALSE),0)))</f>
        <v/>
      </c>
    </row>
    <row r="3884" ht="15" customHeight="1">
      <c r="C3884">
        <f>IF($B3884="","",INT($B3884))</f>
        <v/>
      </c>
      <c r="D3884">
        <f>IF($C3884="","",$C3884-WEEKDAY($C3884,2)+1)</f>
        <v/>
      </c>
      <c r="E3884">
        <f>IF($C3884="","",DATE(YEAR($C3884),MONTH($C3884),1))</f>
        <v/>
      </c>
      <c r="F3884">
        <f>IF($C3884="","",YEAR($C3884)&amp;"-Q"&amp;ROUNDUP(MONTH($C3884)/3,0))</f>
        <v/>
      </c>
      <c r="L3884">
        <f>IF($G3884&lt;&gt;"ALCOHOL","",IF($K3884="","",$H3884*IFERROR(VLOOKUP($K3884,Drink_Templates!$A:$G,7,FALSE),0)))</f>
        <v/>
      </c>
    </row>
    <row r="3885" ht="15" customHeight="1">
      <c r="C3885">
        <f>IF($B3885="","",INT($B3885))</f>
        <v/>
      </c>
      <c r="D3885">
        <f>IF($C3885="","",$C3885-WEEKDAY($C3885,2)+1)</f>
        <v/>
      </c>
      <c r="E3885">
        <f>IF($C3885="","",DATE(YEAR($C3885),MONTH($C3885),1))</f>
        <v/>
      </c>
      <c r="F3885">
        <f>IF($C3885="","",YEAR($C3885)&amp;"-Q"&amp;ROUNDUP(MONTH($C3885)/3,0))</f>
        <v/>
      </c>
      <c r="L3885">
        <f>IF($G3885&lt;&gt;"ALCOHOL","",IF($K3885="","",$H3885*IFERROR(VLOOKUP($K3885,Drink_Templates!$A:$G,7,FALSE),0)))</f>
        <v/>
      </c>
    </row>
    <row r="3886" ht="15" customHeight="1">
      <c r="C3886">
        <f>IF($B3886="","",INT($B3886))</f>
        <v/>
      </c>
      <c r="D3886">
        <f>IF($C3886="","",$C3886-WEEKDAY($C3886,2)+1)</f>
        <v/>
      </c>
      <c r="E3886">
        <f>IF($C3886="","",DATE(YEAR($C3886),MONTH($C3886),1))</f>
        <v/>
      </c>
      <c r="F3886">
        <f>IF($C3886="","",YEAR($C3886)&amp;"-Q"&amp;ROUNDUP(MONTH($C3886)/3,0))</f>
        <v/>
      </c>
      <c r="L3886">
        <f>IF($G3886&lt;&gt;"ALCOHOL","",IF($K3886="","",$H3886*IFERROR(VLOOKUP($K3886,Drink_Templates!$A:$G,7,FALSE),0)))</f>
        <v/>
      </c>
    </row>
    <row r="3887" ht="15" customHeight="1">
      <c r="C3887">
        <f>IF($B3887="","",INT($B3887))</f>
        <v/>
      </c>
      <c r="D3887">
        <f>IF($C3887="","",$C3887-WEEKDAY($C3887,2)+1)</f>
        <v/>
      </c>
      <c r="E3887">
        <f>IF($C3887="","",DATE(YEAR($C3887),MONTH($C3887),1))</f>
        <v/>
      </c>
      <c r="F3887">
        <f>IF($C3887="","",YEAR($C3887)&amp;"-Q"&amp;ROUNDUP(MONTH($C3887)/3,0))</f>
        <v/>
      </c>
      <c r="L3887">
        <f>IF($G3887&lt;&gt;"ALCOHOL","",IF($K3887="","",$H3887*IFERROR(VLOOKUP($K3887,Drink_Templates!$A:$G,7,FALSE),0)))</f>
        <v/>
      </c>
    </row>
    <row r="3888" ht="15" customHeight="1">
      <c r="C3888">
        <f>IF($B3888="","",INT($B3888))</f>
        <v/>
      </c>
      <c r="D3888">
        <f>IF($C3888="","",$C3888-WEEKDAY($C3888,2)+1)</f>
        <v/>
      </c>
      <c r="E3888">
        <f>IF($C3888="","",DATE(YEAR($C3888),MONTH($C3888),1))</f>
        <v/>
      </c>
      <c r="F3888">
        <f>IF($C3888="","",YEAR($C3888)&amp;"-Q"&amp;ROUNDUP(MONTH($C3888)/3,0))</f>
        <v/>
      </c>
      <c r="L3888">
        <f>IF($G3888&lt;&gt;"ALCOHOL","",IF($K3888="","",$H3888*IFERROR(VLOOKUP($K3888,Drink_Templates!$A:$G,7,FALSE),0)))</f>
        <v/>
      </c>
    </row>
    <row r="3889" ht="15" customHeight="1">
      <c r="C3889">
        <f>IF($B3889="","",INT($B3889))</f>
        <v/>
      </c>
      <c r="D3889">
        <f>IF($C3889="","",$C3889-WEEKDAY($C3889,2)+1)</f>
        <v/>
      </c>
      <c r="E3889">
        <f>IF($C3889="","",DATE(YEAR($C3889),MONTH($C3889),1))</f>
        <v/>
      </c>
      <c r="F3889">
        <f>IF($C3889="","",YEAR($C3889)&amp;"-Q"&amp;ROUNDUP(MONTH($C3889)/3,0))</f>
        <v/>
      </c>
      <c r="L3889">
        <f>IF($G3889&lt;&gt;"ALCOHOL","",IF($K3889="","",$H3889*IFERROR(VLOOKUP($K3889,Drink_Templates!$A:$G,7,FALSE),0)))</f>
        <v/>
      </c>
    </row>
    <row r="3890" ht="15" customHeight="1">
      <c r="C3890">
        <f>IF($B3890="","",INT($B3890))</f>
        <v/>
      </c>
      <c r="D3890">
        <f>IF($C3890="","",$C3890-WEEKDAY($C3890,2)+1)</f>
        <v/>
      </c>
      <c r="E3890">
        <f>IF($C3890="","",DATE(YEAR($C3890),MONTH($C3890),1))</f>
        <v/>
      </c>
      <c r="F3890">
        <f>IF($C3890="","",YEAR($C3890)&amp;"-Q"&amp;ROUNDUP(MONTH($C3890)/3,0))</f>
        <v/>
      </c>
      <c r="L3890">
        <f>IF($G3890&lt;&gt;"ALCOHOL","",IF($K3890="","",$H3890*IFERROR(VLOOKUP($K3890,Drink_Templates!$A:$G,7,FALSE),0)))</f>
        <v/>
      </c>
    </row>
    <row r="3891" ht="15" customHeight="1">
      <c r="C3891">
        <f>IF($B3891="","",INT($B3891))</f>
        <v/>
      </c>
      <c r="D3891">
        <f>IF($C3891="","",$C3891-WEEKDAY($C3891,2)+1)</f>
        <v/>
      </c>
      <c r="E3891">
        <f>IF($C3891="","",DATE(YEAR($C3891),MONTH($C3891),1))</f>
        <v/>
      </c>
      <c r="F3891">
        <f>IF($C3891="","",YEAR($C3891)&amp;"-Q"&amp;ROUNDUP(MONTH($C3891)/3,0))</f>
        <v/>
      </c>
      <c r="L3891">
        <f>IF($G3891&lt;&gt;"ALCOHOL","",IF($K3891="","",$H3891*IFERROR(VLOOKUP($K3891,Drink_Templates!$A:$G,7,FALSE),0)))</f>
        <v/>
      </c>
    </row>
    <row r="3892" ht="15" customHeight="1">
      <c r="C3892">
        <f>IF($B3892="","",INT($B3892))</f>
        <v/>
      </c>
      <c r="D3892">
        <f>IF($C3892="","",$C3892-WEEKDAY($C3892,2)+1)</f>
        <v/>
      </c>
      <c r="E3892">
        <f>IF($C3892="","",DATE(YEAR($C3892),MONTH($C3892),1))</f>
        <v/>
      </c>
      <c r="F3892">
        <f>IF($C3892="","",YEAR($C3892)&amp;"-Q"&amp;ROUNDUP(MONTH($C3892)/3,0))</f>
        <v/>
      </c>
      <c r="L3892">
        <f>IF($G3892&lt;&gt;"ALCOHOL","",IF($K3892="","",$H3892*IFERROR(VLOOKUP($K3892,Drink_Templates!$A:$G,7,FALSE),0)))</f>
        <v/>
      </c>
    </row>
    <row r="3893" ht="15" customHeight="1">
      <c r="C3893">
        <f>IF($B3893="","",INT($B3893))</f>
        <v/>
      </c>
      <c r="D3893">
        <f>IF($C3893="","",$C3893-WEEKDAY($C3893,2)+1)</f>
        <v/>
      </c>
      <c r="E3893">
        <f>IF($C3893="","",DATE(YEAR($C3893),MONTH($C3893),1))</f>
        <v/>
      </c>
      <c r="F3893">
        <f>IF($C3893="","",YEAR($C3893)&amp;"-Q"&amp;ROUNDUP(MONTH($C3893)/3,0))</f>
        <v/>
      </c>
      <c r="L3893">
        <f>IF($G3893&lt;&gt;"ALCOHOL","",IF($K3893="","",$H3893*IFERROR(VLOOKUP($K3893,Drink_Templates!$A:$G,7,FALSE),0)))</f>
        <v/>
      </c>
    </row>
    <row r="3894" ht="15" customHeight="1">
      <c r="C3894">
        <f>IF($B3894="","",INT($B3894))</f>
        <v/>
      </c>
      <c r="D3894">
        <f>IF($C3894="","",$C3894-WEEKDAY($C3894,2)+1)</f>
        <v/>
      </c>
      <c r="E3894">
        <f>IF($C3894="","",DATE(YEAR($C3894),MONTH($C3894),1))</f>
        <v/>
      </c>
      <c r="F3894">
        <f>IF($C3894="","",YEAR($C3894)&amp;"-Q"&amp;ROUNDUP(MONTH($C3894)/3,0))</f>
        <v/>
      </c>
      <c r="L3894">
        <f>IF($G3894&lt;&gt;"ALCOHOL","",IF($K3894="","",$H3894*IFERROR(VLOOKUP($K3894,Drink_Templates!$A:$G,7,FALSE),0)))</f>
        <v/>
      </c>
    </row>
    <row r="3895" ht="15" customHeight="1">
      <c r="C3895">
        <f>IF($B3895="","",INT($B3895))</f>
        <v/>
      </c>
      <c r="D3895">
        <f>IF($C3895="","",$C3895-WEEKDAY($C3895,2)+1)</f>
        <v/>
      </c>
      <c r="E3895">
        <f>IF($C3895="","",DATE(YEAR($C3895),MONTH($C3895),1))</f>
        <v/>
      </c>
      <c r="F3895">
        <f>IF($C3895="","",YEAR($C3895)&amp;"-Q"&amp;ROUNDUP(MONTH($C3895)/3,0))</f>
        <v/>
      </c>
      <c r="L3895">
        <f>IF($G3895&lt;&gt;"ALCOHOL","",IF($K3895="","",$H3895*IFERROR(VLOOKUP($K3895,Drink_Templates!$A:$G,7,FALSE),0)))</f>
        <v/>
      </c>
    </row>
    <row r="3896" ht="15" customHeight="1">
      <c r="C3896">
        <f>IF($B3896="","",INT($B3896))</f>
        <v/>
      </c>
      <c r="D3896">
        <f>IF($C3896="","",$C3896-WEEKDAY($C3896,2)+1)</f>
        <v/>
      </c>
      <c r="E3896">
        <f>IF($C3896="","",DATE(YEAR($C3896),MONTH($C3896),1))</f>
        <v/>
      </c>
      <c r="F3896">
        <f>IF($C3896="","",YEAR($C3896)&amp;"-Q"&amp;ROUNDUP(MONTH($C3896)/3,0))</f>
        <v/>
      </c>
      <c r="L3896">
        <f>IF($G3896&lt;&gt;"ALCOHOL","",IF($K3896="","",$H3896*IFERROR(VLOOKUP($K3896,Drink_Templates!$A:$G,7,FALSE),0)))</f>
        <v/>
      </c>
    </row>
    <row r="3897" ht="15" customHeight="1">
      <c r="C3897">
        <f>IF($B3897="","",INT($B3897))</f>
        <v/>
      </c>
      <c r="D3897">
        <f>IF($C3897="","",$C3897-WEEKDAY($C3897,2)+1)</f>
        <v/>
      </c>
      <c r="E3897">
        <f>IF($C3897="","",DATE(YEAR($C3897),MONTH($C3897),1))</f>
        <v/>
      </c>
      <c r="F3897">
        <f>IF($C3897="","",YEAR($C3897)&amp;"-Q"&amp;ROUNDUP(MONTH($C3897)/3,0))</f>
        <v/>
      </c>
      <c r="L3897">
        <f>IF($G3897&lt;&gt;"ALCOHOL","",IF($K3897="","",$H3897*IFERROR(VLOOKUP($K3897,Drink_Templates!$A:$G,7,FALSE),0)))</f>
        <v/>
      </c>
    </row>
    <row r="3898" ht="15" customHeight="1">
      <c r="C3898">
        <f>IF($B3898="","",INT($B3898))</f>
        <v/>
      </c>
      <c r="D3898">
        <f>IF($C3898="","",$C3898-WEEKDAY($C3898,2)+1)</f>
        <v/>
      </c>
      <c r="E3898">
        <f>IF($C3898="","",DATE(YEAR($C3898),MONTH($C3898),1))</f>
        <v/>
      </c>
      <c r="F3898">
        <f>IF($C3898="","",YEAR($C3898)&amp;"-Q"&amp;ROUNDUP(MONTH($C3898)/3,0))</f>
        <v/>
      </c>
      <c r="L3898">
        <f>IF($G3898&lt;&gt;"ALCOHOL","",IF($K3898="","",$H3898*IFERROR(VLOOKUP($K3898,Drink_Templates!$A:$G,7,FALSE),0)))</f>
        <v/>
      </c>
    </row>
    <row r="3899" ht="15" customHeight="1">
      <c r="C3899">
        <f>IF($B3899="","",INT($B3899))</f>
        <v/>
      </c>
      <c r="D3899">
        <f>IF($C3899="","",$C3899-WEEKDAY($C3899,2)+1)</f>
        <v/>
      </c>
      <c r="E3899">
        <f>IF($C3899="","",DATE(YEAR($C3899),MONTH($C3899),1))</f>
        <v/>
      </c>
      <c r="F3899">
        <f>IF($C3899="","",YEAR($C3899)&amp;"-Q"&amp;ROUNDUP(MONTH($C3899)/3,0))</f>
        <v/>
      </c>
      <c r="L3899">
        <f>IF($G3899&lt;&gt;"ALCOHOL","",IF($K3899="","",$H3899*IFERROR(VLOOKUP($K3899,Drink_Templates!$A:$G,7,FALSE),0)))</f>
        <v/>
      </c>
    </row>
    <row r="3900" ht="15" customHeight="1">
      <c r="C3900">
        <f>IF($B3900="","",INT($B3900))</f>
        <v/>
      </c>
      <c r="D3900">
        <f>IF($C3900="","",$C3900-WEEKDAY($C3900,2)+1)</f>
        <v/>
      </c>
      <c r="E3900">
        <f>IF($C3900="","",DATE(YEAR($C3900),MONTH($C3900),1))</f>
        <v/>
      </c>
      <c r="F3900">
        <f>IF($C3900="","",YEAR($C3900)&amp;"-Q"&amp;ROUNDUP(MONTH($C3900)/3,0))</f>
        <v/>
      </c>
      <c r="L3900">
        <f>IF($G3900&lt;&gt;"ALCOHOL","",IF($K3900="","",$H3900*IFERROR(VLOOKUP($K3900,Drink_Templates!$A:$G,7,FALSE),0)))</f>
        <v/>
      </c>
    </row>
    <row r="3901" ht="15" customHeight="1">
      <c r="C3901">
        <f>IF($B3901="","",INT($B3901))</f>
        <v/>
      </c>
      <c r="D3901">
        <f>IF($C3901="","",$C3901-WEEKDAY($C3901,2)+1)</f>
        <v/>
      </c>
      <c r="E3901">
        <f>IF($C3901="","",DATE(YEAR($C3901),MONTH($C3901),1))</f>
        <v/>
      </c>
      <c r="F3901">
        <f>IF($C3901="","",YEAR($C3901)&amp;"-Q"&amp;ROUNDUP(MONTH($C3901)/3,0))</f>
        <v/>
      </c>
      <c r="L3901">
        <f>IF($G3901&lt;&gt;"ALCOHOL","",IF($K3901="","",$H3901*IFERROR(VLOOKUP($K3901,Drink_Templates!$A:$G,7,FALSE),0)))</f>
        <v/>
      </c>
    </row>
    <row r="3902" ht="15" customHeight="1">
      <c r="C3902">
        <f>IF($B3902="","",INT($B3902))</f>
        <v/>
      </c>
      <c r="D3902">
        <f>IF($C3902="","",$C3902-WEEKDAY($C3902,2)+1)</f>
        <v/>
      </c>
      <c r="E3902">
        <f>IF($C3902="","",DATE(YEAR($C3902),MONTH($C3902),1))</f>
        <v/>
      </c>
      <c r="F3902">
        <f>IF($C3902="","",YEAR($C3902)&amp;"-Q"&amp;ROUNDUP(MONTH($C3902)/3,0))</f>
        <v/>
      </c>
      <c r="L3902">
        <f>IF($G3902&lt;&gt;"ALCOHOL","",IF($K3902="","",$H3902*IFERROR(VLOOKUP($K3902,Drink_Templates!$A:$G,7,FALSE),0)))</f>
        <v/>
      </c>
    </row>
    <row r="3903" ht="15" customHeight="1">
      <c r="C3903">
        <f>IF($B3903="","",INT($B3903))</f>
        <v/>
      </c>
      <c r="D3903">
        <f>IF($C3903="","",$C3903-WEEKDAY($C3903,2)+1)</f>
        <v/>
      </c>
      <c r="E3903">
        <f>IF($C3903="","",DATE(YEAR($C3903),MONTH($C3903),1))</f>
        <v/>
      </c>
      <c r="F3903">
        <f>IF($C3903="","",YEAR($C3903)&amp;"-Q"&amp;ROUNDUP(MONTH($C3903)/3,0))</f>
        <v/>
      </c>
      <c r="L3903">
        <f>IF($G3903&lt;&gt;"ALCOHOL","",IF($K3903="","",$H3903*IFERROR(VLOOKUP($K3903,Drink_Templates!$A:$G,7,FALSE),0)))</f>
        <v/>
      </c>
    </row>
    <row r="3904" ht="15" customHeight="1">
      <c r="C3904">
        <f>IF($B3904="","",INT($B3904))</f>
        <v/>
      </c>
      <c r="D3904">
        <f>IF($C3904="","",$C3904-WEEKDAY($C3904,2)+1)</f>
        <v/>
      </c>
      <c r="E3904">
        <f>IF($C3904="","",DATE(YEAR($C3904),MONTH($C3904),1))</f>
        <v/>
      </c>
      <c r="F3904">
        <f>IF($C3904="","",YEAR($C3904)&amp;"-Q"&amp;ROUNDUP(MONTH($C3904)/3,0))</f>
        <v/>
      </c>
      <c r="L3904">
        <f>IF($G3904&lt;&gt;"ALCOHOL","",IF($K3904="","",$H3904*IFERROR(VLOOKUP($K3904,Drink_Templates!$A:$G,7,FALSE),0)))</f>
        <v/>
      </c>
    </row>
    <row r="3905" ht="15" customHeight="1">
      <c r="C3905">
        <f>IF($B3905="","",INT($B3905))</f>
        <v/>
      </c>
      <c r="D3905">
        <f>IF($C3905="","",$C3905-WEEKDAY($C3905,2)+1)</f>
        <v/>
      </c>
      <c r="E3905">
        <f>IF($C3905="","",DATE(YEAR($C3905),MONTH($C3905),1))</f>
        <v/>
      </c>
      <c r="F3905">
        <f>IF($C3905="","",YEAR($C3905)&amp;"-Q"&amp;ROUNDUP(MONTH($C3905)/3,0))</f>
        <v/>
      </c>
      <c r="L3905">
        <f>IF($G3905&lt;&gt;"ALCOHOL","",IF($K3905="","",$H3905*IFERROR(VLOOKUP($K3905,Drink_Templates!$A:$G,7,FALSE),0)))</f>
        <v/>
      </c>
    </row>
    <row r="3906" ht="15" customHeight="1">
      <c r="C3906">
        <f>IF($B3906="","",INT($B3906))</f>
        <v/>
      </c>
      <c r="D3906">
        <f>IF($C3906="","",$C3906-WEEKDAY($C3906,2)+1)</f>
        <v/>
      </c>
      <c r="E3906">
        <f>IF($C3906="","",DATE(YEAR($C3906),MONTH($C3906),1))</f>
        <v/>
      </c>
      <c r="F3906">
        <f>IF($C3906="","",YEAR($C3906)&amp;"-Q"&amp;ROUNDUP(MONTH($C3906)/3,0))</f>
        <v/>
      </c>
      <c r="L3906">
        <f>IF($G3906&lt;&gt;"ALCOHOL","",IF($K3906="","",$H3906*IFERROR(VLOOKUP($K3906,Drink_Templates!$A:$G,7,FALSE),0)))</f>
        <v/>
      </c>
    </row>
    <row r="3907" ht="15" customHeight="1">
      <c r="C3907">
        <f>IF($B3907="","",INT($B3907))</f>
        <v/>
      </c>
      <c r="D3907">
        <f>IF($C3907="","",$C3907-WEEKDAY($C3907,2)+1)</f>
        <v/>
      </c>
      <c r="E3907">
        <f>IF($C3907="","",DATE(YEAR($C3907),MONTH($C3907),1))</f>
        <v/>
      </c>
      <c r="F3907">
        <f>IF($C3907="","",YEAR($C3907)&amp;"-Q"&amp;ROUNDUP(MONTH($C3907)/3,0))</f>
        <v/>
      </c>
      <c r="L3907">
        <f>IF($G3907&lt;&gt;"ALCOHOL","",IF($K3907="","",$H3907*IFERROR(VLOOKUP($K3907,Drink_Templates!$A:$G,7,FALSE),0)))</f>
        <v/>
      </c>
    </row>
    <row r="3908" ht="15" customHeight="1">
      <c r="C3908">
        <f>IF($B3908="","",INT($B3908))</f>
        <v/>
      </c>
      <c r="D3908">
        <f>IF($C3908="","",$C3908-WEEKDAY($C3908,2)+1)</f>
        <v/>
      </c>
      <c r="E3908">
        <f>IF($C3908="","",DATE(YEAR($C3908),MONTH($C3908),1))</f>
        <v/>
      </c>
      <c r="F3908">
        <f>IF($C3908="","",YEAR($C3908)&amp;"-Q"&amp;ROUNDUP(MONTH($C3908)/3,0))</f>
        <v/>
      </c>
      <c r="L3908">
        <f>IF($G3908&lt;&gt;"ALCOHOL","",IF($K3908="","",$H3908*IFERROR(VLOOKUP($K3908,Drink_Templates!$A:$G,7,FALSE),0)))</f>
        <v/>
      </c>
    </row>
    <row r="3909" ht="15" customHeight="1">
      <c r="C3909">
        <f>IF($B3909="","",INT($B3909))</f>
        <v/>
      </c>
      <c r="D3909">
        <f>IF($C3909="","",$C3909-WEEKDAY($C3909,2)+1)</f>
        <v/>
      </c>
      <c r="E3909">
        <f>IF($C3909="","",DATE(YEAR($C3909),MONTH($C3909),1))</f>
        <v/>
      </c>
      <c r="F3909">
        <f>IF($C3909="","",YEAR($C3909)&amp;"-Q"&amp;ROUNDUP(MONTH($C3909)/3,0))</f>
        <v/>
      </c>
      <c r="L3909">
        <f>IF($G3909&lt;&gt;"ALCOHOL","",IF($K3909="","",$H3909*IFERROR(VLOOKUP($K3909,Drink_Templates!$A:$G,7,FALSE),0)))</f>
        <v/>
      </c>
    </row>
    <row r="3910" ht="15" customHeight="1">
      <c r="C3910">
        <f>IF($B3910="","",INT($B3910))</f>
        <v/>
      </c>
      <c r="D3910">
        <f>IF($C3910="","",$C3910-WEEKDAY($C3910,2)+1)</f>
        <v/>
      </c>
      <c r="E3910">
        <f>IF($C3910="","",DATE(YEAR($C3910),MONTH($C3910),1))</f>
        <v/>
      </c>
      <c r="F3910">
        <f>IF($C3910="","",YEAR($C3910)&amp;"-Q"&amp;ROUNDUP(MONTH($C3910)/3,0))</f>
        <v/>
      </c>
      <c r="L3910">
        <f>IF($G3910&lt;&gt;"ALCOHOL","",IF($K3910="","",$H3910*IFERROR(VLOOKUP($K3910,Drink_Templates!$A:$G,7,FALSE),0)))</f>
        <v/>
      </c>
    </row>
    <row r="3911" ht="15" customHeight="1">
      <c r="C3911">
        <f>IF($B3911="","",INT($B3911))</f>
        <v/>
      </c>
      <c r="D3911">
        <f>IF($C3911="","",$C3911-WEEKDAY($C3911,2)+1)</f>
        <v/>
      </c>
      <c r="E3911">
        <f>IF($C3911="","",DATE(YEAR($C3911),MONTH($C3911),1))</f>
        <v/>
      </c>
      <c r="F3911">
        <f>IF($C3911="","",YEAR($C3911)&amp;"-Q"&amp;ROUNDUP(MONTH($C3911)/3,0))</f>
        <v/>
      </c>
      <c r="L3911">
        <f>IF($G3911&lt;&gt;"ALCOHOL","",IF($K3911="","",$H3911*IFERROR(VLOOKUP($K3911,Drink_Templates!$A:$G,7,FALSE),0)))</f>
        <v/>
      </c>
    </row>
    <row r="3912" ht="15" customHeight="1">
      <c r="C3912">
        <f>IF($B3912="","",INT($B3912))</f>
        <v/>
      </c>
      <c r="D3912">
        <f>IF($C3912="","",$C3912-WEEKDAY($C3912,2)+1)</f>
        <v/>
      </c>
      <c r="E3912">
        <f>IF($C3912="","",DATE(YEAR($C3912),MONTH($C3912),1))</f>
        <v/>
      </c>
      <c r="F3912">
        <f>IF($C3912="","",YEAR($C3912)&amp;"-Q"&amp;ROUNDUP(MONTH($C3912)/3,0))</f>
        <v/>
      </c>
      <c r="L3912">
        <f>IF($G3912&lt;&gt;"ALCOHOL","",IF($K3912="","",$H3912*IFERROR(VLOOKUP($K3912,Drink_Templates!$A:$G,7,FALSE),0)))</f>
        <v/>
      </c>
    </row>
    <row r="3913" ht="15" customHeight="1">
      <c r="C3913">
        <f>IF($B3913="","",INT($B3913))</f>
        <v/>
      </c>
      <c r="D3913">
        <f>IF($C3913="","",$C3913-WEEKDAY($C3913,2)+1)</f>
        <v/>
      </c>
      <c r="E3913">
        <f>IF($C3913="","",DATE(YEAR($C3913),MONTH($C3913),1))</f>
        <v/>
      </c>
      <c r="F3913">
        <f>IF($C3913="","",YEAR($C3913)&amp;"-Q"&amp;ROUNDUP(MONTH($C3913)/3,0))</f>
        <v/>
      </c>
      <c r="L3913">
        <f>IF($G3913&lt;&gt;"ALCOHOL","",IF($K3913="","",$H3913*IFERROR(VLOOKUP($K3913,Drink_Templates!$A:$G,7,FALSE),0)))</f>
        <v/>
      </c>
    </row>
    <row r="3914" ht="15" customHeight="1">
      <c r="C3914">
        <f>IF($B3914="","",INT($B3914))</f>
        <v/>
      </c>
      <c r="D3914">
        <f>IF($C3914="","",$C3914-WEEKDAY($C3914,2)+1)</f>
        <v/>
      </c>
      <c r="E3914">
        <f>IF($C3914="","",DATE(YEAR($C3914),MONTH($C3914),1))</f>
        <v/>
      </c>
      <c r="F3914">
        <f>IF($C3914="","",YEAR($C3914)&amp;"-Q"&amp;ROUNDUP(MONTH($C3914)/3,0))</f>
        <v/>
      </c>
      <c r="L3914">
        <f>IF($G3914&lt;&gt;"ALCOHOL","",IF($K3914="","",$H3914*IFERROR(VLOOKUP($K3914,Drink_Templates!$A:$G,7,FALSE),0)))</f>
        <v/>
      </c>
    </row>
    <row r="3915" ht="15" customHeight="1">
      <c r="C3915">
        <f>IF($B3915="","",INT($B3915))</f>
        <v/>
      </c>
      <c r="D3915">
        <f>IF($C3915="","",$C3915-WEEKDAY($C3915,2)+1)</f>
        <v/>
      </c>
      <c r="E3915">
        <f>IF($C3915="","",DATE(YEAR($C3915),MONTH($C3915),1))</f>
        <v/>
      </c>
      <c r="F3915">
        <f>IF($C3915="","",YEAR($C3915)&amp;"-Q"&amp;ROUNDUP(MONTH($C3915)/3,0))</f>
        <v/>
      </c>
      <c r="L3915">
        <f>IF($G3915&lt;&gt;"ALCOHOL","",IF($K3915="","",$H3915*IFERROR(VLOOKUP($K3915,Drink_Templates!$A:$G,7,FALSE),0)))</f>
        <v/>
      </c>
    </row>
    <row r="3916" ht="15" customHeight="1">
      <c r="C3916">
        <f>IF($B3916="","",INT($B3916))</f>
        <v/>
      </c>
      <c r="D3916">
        <f>IF($C3916="","",$C3916-WEEKDAY($C3916,2)+1)</f>
        <v/>
      </c>
      <c r="E3916">
        <f>IF($C3916="","",DATE(YEAR($C3916),MONTH($C3916),1))</f>
        <v/>
      </c>
      <c r="F3916">
        <f>IF($C3916="","",YEAR($C3916)&amp;"-Q"&amp;ROUNDUP(MONTH($C3916)/3,0))</f>
        <v/>
      </c>
      <c r="L3916">
        <f>IF($G3916&lt;&gt;"ALCOHOL","",IF($K3916="","",$H3916*IFERROR(VLOOKUP($K3916,Drink_Templates!$A:$G,7,FALSE),0)))</f>
        <v/>
      </c>
    </row>
    <row r="3917" ht="15" customHeight="1">
      <c r="C3917">
        <f>IF($B3917="","",INT($B3917))</f>
        <v/>
      </c>
      <c r="D3917">
        <f>IF($C3917="","",$C3917-WEEKDAY($C3917,2)+1)</f>
        <v/>
      </c>
      <c r="E3917">
        <f>IF($C3917="","",DATE(YEAR($C3917),MONTH($C3917),1))</f>
        <v/>
      </c>
      <c r="F3917">
        <f>IF($C3917="","",YEAR($C3917)&amp;"-Q"&amp;ROUNDUP(MONTH($C3917)/3,0))</f>
        <v/>
      </c>
      <c r="L3917">
        <f>IF($G3917&lt;&gt;"ALCOHOL","",IF($K3917="","",$H3917*IFERROR(VLOOKUP($K3917,Drink_Templates!$A:$G,7,FALSE),0)))</f>
        <v/>
      </c>
    </row>
    <row r="3918" ht="15" customHeight="1">
      <c r="C3918">
        <f>IF($B3918="","",INT($B3918))</f>
        <v/>
      </c>
      <c r="D3918">
        <f>IF($C3918="","",$C3918-WEEKDAY($C3918,2)+1)</f>
        <v/>
      </c>
      <c r="E3918">
        <f>IF($C3918="","",DATE(YEAR($C3918),MONTH($C3918),1))</f>
        <v/>
      </c>
      <c r="F3918">
        <f>IF($C3918="","",YEAR($C3918)&amp;"-Q"&amp;ROUNDUP(MONTH($C3918)/3,0))</f>
        <v/>
      </c>
      <c r="L3918">
        <f>IF($G3918&lt;&gt;"ALCOHOL","",IF($K3918="","",$H3918*IFERROR(VLOOKUP($K3918,Drink_Templates!$A:$G,7,FALSE),0)))</f>
        <v/>
      </c>
    </row>
    <row r="3919" ht="15" customHeight="1">
      <c r="C3919">
        <f>IF($B3919="","",INT($B3919))</f>
        <v/>
      </c>
      <c r="D3919">
        <f>IF($C3919="","",$C3919-WEEKDAY($C3919,2)+1)</f>
        <v/>
      </c>
      <c r="E3919">
        <f>IF($C3919="","",DATE(YEAR($C3919),MONTH($C3919),1))</f>
        <v/>
      </c>
      <c r="F3919">
        <f>IF($C3919="","",YEAR($C3919)&amp;"-Q"&amp;ROUNDUP(MONTH($C3919)/3,0))</f>
        <v/>
      </c>
      <c r="L3919">
        <f>IF($G3919&lt;&gt;"ALCOHOL","",IF($K3919="","",$H3919*IFERROR(VLOOKUP($K3919,Drink_Templates!$A:$G,7,FALSE),0)))</f>
        <v/>
      </c>
    </row>
    <row r="3920" ht="15" customHeight="1">
      <c r="C3920">
        <f>IF($B3920="","",INT($B3920))</f>
        <v/>
      </c>
      <c r="D3920">
        <f>IF($C3920="","",$C3920-WEEKDAY($C3920,2)+1)</f>
        <v/>
      </c>
      <c r="E3920">
        <f>IF($C3920="","",DATE(YEAR($C3920),MONTH($C3920),1))</f>
        <v/>
      </c>
      <c r="F3920">
        <f>IF($C3920="","",YEAR($C3920)&amp;"-Q"&amp;ROUNDUP(MONTH($C3920)/3,0))</f>
        <v/>
      </c>
      <c r="L3920">
        <f>IF($G3920&lt;&gt;"ALCOHOL","",IF($K3920="","",$H3920*IFERROR(VLOOKUP($K3920,Drink_Templates!$A:$G,7,FALSE),0)))</f>
        <v/>
      </c>
    </row>
    <row r="3921" ht="15" customHeight="1">
      <c r="C3921">
        <f>IF($B3921="","",INT($B3921))</f>
        <v/>
      </c>
      <c r="D3921">
        <f>IF($C3921="","",$C3921-WEEKDAY($C3921,2)+1)</f>
        <v/>
      </c>
      <c r="E3921">
        <f>IF($C3921="","",DATE(YEAR($C3921),MONTH($C3921),1))</f>
        <v/>
      </c>
      <c r="F3921">
        <f>IF($C3921="","",YEAR($C3921)&amp;"-Q"&amp;ROUNDUP(MONTH($C3921)/3,0))</f>
        <v/>
      </c>
      <c r="L3921">
        <f>IF($G3921&lt;&gt;"ALCOHOL","",IF($K3921="","",$H3921*IFERROR(VLOOKUP($K3921,Drink_Templates!$A:$G,7,FALSE),0)))</f>
        <v/>
      </c>
    </row>
    <row r="3922" ht="15" customHeight="1">
      <c r="C3922">
        <f>IF($B3922="","",INT($B3922))</f>
        <v/>
      </c>
      <c r="D3922">
        <f>IF($C3922="","",$C3922-WEEKDAY($C3922,2)+1)</f>
        <v/>
      </c>
      <c r="E3922">
        <f>IF($C3922="","",DATE(YEAR($C3922),MONTH($C3922),1))</f>
        <v/>
      </c>
      <c r="F3922">
        <f>IF($C3922="","",YEAR($C3922)&amp;"-Q"&amp;ROUNDUP(MONTH($C3922)/3,0))</f>
        <v/>
      </c>
      <c r="L3922">
        <f>IF($G3922&lt;&gt;"ALCOHOL","",IF($K3922="","",$H3922*IFERROR(VLOOKUP($K3922,Drink_Templates!$A:$G,7,FALSE),0)))</f>
        <v/>
      </c>
    </row>
    <row r="3923" ht="15" customHeight="1">
      <c r="C3923">
        <f>IF($B3923="","",INT($B3923))</f>
        <v/>
      </c>
      <c r="D3923">
        <f>IF($C3923="","",$C3923-WEEKDAY($C3923,2)+1)</f>
        <v/>
      </c>
      <c r="E3923">
        <f>IF($C3923="","",DATE(YEAR($C3923),MONTH($C3923),1))</f>
        <v/>
      </c>
      <c r="F3923">
        <f>IF($C3923="","",YEAR($C3923)&amp;"-Q"&amp;ROUNDUP(MONTH($C3923)/3,0))</f>
        <v/>
      </c>
      <c r="L3923">
        <f>IF($G3923&lt;&gt;"ALCOHOL","",IF($K3923="","",$H3923*IFERROR(VLOOKUP($K3923,Drink_Templates!$A:$G,7,FALSE),0)))</f>
        <v/>
      </c>
    </row>
    <row r="3924" ht="15" customHeight="1">
      <c r="C3924">
        <f>IF($B3924="","",INT($B3924))</f>
        <v/>
      </c>
      <c r="D3924">
        <f>IF($C3924="","",$C3924-WEEKDAY($C3924,2)+1)</f>
        <v/>
      </c>
      <c r="E3924">
        <f>IF($C3924="","",DATE(YEAR($C3924),MONTH($C3924),1))</f>
        <v/>
      </c>
      <c r="F3924">
        <f>IF($C3924="","",YEAR($C3924)&amp;"-Q"&amp;ROUNDUP(MONTH($C3924)/3,0))</f>
        <v/>
      </c>
      <c r="L3924">
        <f>IF($G3924&lt;&gt;"ALCOHOL","",IF($K3924="","",$H3924*IFERROR(VLOOKUP($K3924,Drink_Templates!$A:$G,7,FALSE),0)))</f>
        <v/>
      </c>
    </row>
    <row r="3925" ht="15" customHeight="1">
      <c r="C3925">
        <f>IF($B3925="","",INT($B3925))</f>
        <v/>
      </c>
      <c r="D3925">
        <f>IF($C3925="","",$C3925-WEEKDAY($C3925,2)+1)</f>
        <v/>
      </c>
      <c r="E3925">
        <f>IF($C3925="","",DATE(YEAR($C3925),MONTH($C3925),1))</f>
        <v/>
      </c>
      <c r="F3925">
        <f>IF($C3925="","",YEAR($C3925)&amp;"-Q"&amp;ROUNDUP(MONTH($C3925)/3,0))</f>
        <v/>
      </c>
      <c r="L3925">
        <f>IF($G3925&lt;&gt;"ALCOHOL","",IF($K3925="","",$H3925*IFERROR(VLOOKUP($K3925,Drink_Templates!$A:$G,7,FALSE),0)))</f>
        <v/>
      </c>
    </row>
    <row r="3926" ht="15" customHeight="1">
      <c r="C3926">
        <f>IF($B3926="","",INT($B3926))</f>
        <v/>
      </c>
      <c r="D3926">
        <f>IF($C3926="","",$C3926-WEEKDAY($C3926,2)+1)</f>
        <v/>
      </c>
      <c r="E3926">
        <f>IF($C3926="","",DATE(YEAR($C3926),MONTH($C3926),1))</f>
        <v/>
      </c>
      <c r="F3926">
        <f>IF($C3926="","",YEAR($C3926)&amp;"-Q"&amp;ROUNDUP(MONTH($C3926)/3,0))</f>
        <v/>
      </c>
      <c r="L3926">
        <f>IF($G3926&lt;&gt;"ALCOHOL","",IF($K3926="","",$H3926*IFERROR(VLOOKUP($K3926,Drink_Templates!$A:$G,7,FALSE),0)))</f>
        <v/>
      </c>
    </row>
    <row r="3927" ht="15" customHeight="1">
      <c r="C3927">
        <f>IF($B3927="","",INT($B3927))</f>
        <v/>
      </c>
      <c r="D3927">
        <f>IF($C3927="","",$C3927-WEEKDAY($C3927,2)+1)</f>
        <v/>
      </c>
      <c r="E3927">
        <f>IF($C3927="","",DATE(YEAR($C3927),MONTH($C3927),1))</f>
        <v/>
      </c>
      <c r="F3927">
        <f>IF($C3927="","",YEAR($C3927)&amp;"-Q"&amp;ROUNDUP(MONTH($C3927)/3,0))</f>
        <v/>
      </c>
      <c r="L3927">
        <f>IF($G3927&lt;&gt;"ALCOHOL","",IF($K3927="","",$H3927*IFERROR(VLOOKUP($K3927,Drink_Templates!$A:$G,7,FALSE),0)))</f>
        <v/>
      </c>
    </row>
    <row r="3928" ht="15" customHeight="1">
      <c r="C3928">
        <f>IF($B3928="","",INT($B3928))</f>
        <v/>
      </c>
      <c r="D3928">
        <f>IF($C3928="","",$C3928-WEEKDAY($C3928,2)+1)</f>
        <v/>
      </c>
      <c r="E3928">
        <f>IF($C3928="","",DATE(YEAR($C3928),MONTH($C3928),1))</f>
        <v/>
      </c>
      <c r="F3928">
        <f>IF($C3928="","",YEAR($C3928)&amp;"-Q"&amp;ROUNDUP(MONTH($C3928)/3,0))</f>
        <v/>
      </c>
      <c r="L3928">
        <f>IF($G3928&lt;&gt;"ALCOHOL","",IF($K3928="","",$H3928*IFERROR(VLOOKUP($K3928,Drink_Templates!$A:$G,7,FALSE),0)))</f>
        <v/>
      </c>
    </row>
    <row r="3929" ht="15" customHeight="1">
      <c r="C3929">
        <f>IF($B3929="","",INT($B3929))</f>
        <v/>
      </c>
      <c r="D3929">
        <f>IF($C3929="","",$C3929-WEEKDAY($C3929,2)+1)</f>
        <v/>
      </c>
      <c r="E3929">
        <f>IF($C3929="","",DATE(YEAR($C3929),MONTH($C3929),1))</f>
        <v/>
      </c>
      <c r="F3929">
        <f>IF($C3929="","",YEAR($C3929)&amp;"-Q"&amp;ROUNDUP(MONTH($C3929)/3,0))</f>
        <v/>
      </c>
      <c r="L3929">
        <f>IF($G3929&lt;&gt;"ALCOHOL","",IF($K3929="","",$H3929*IFERROR(VLOOKUP($K3929,Drink_Templates!$A:$G,7,FALSE),0)))</f>
        <v/>
      </c>
    </row>
    <row r="3930" ht="15" customHeight="1">
      <c r="C3930">
        <f>IF($B3930="","",INT($B3930))</f>
        <v/>
      </c>
      <c r="D3930">
        <f>IF($C3930="","",$C3930-WEEKDAY($C3930,2)+1)</f>
        <v/>
      </c>
      <c r="E3930">
        <f>IF($C3930="","",DATE(YEAR($C3930),MONTH($C3930),1))</f>
        <v/>
      </c>
      <c r="F3930">
        <f>IF($C3930="","",YEAR($C3930)&amp;"-Q"&amp;ROUNDUP(MONTH($C3930)/3,0))</f>
        <v/>
      </c>
      <c r="L3930">
        <f>IF($G3930&lt;&gt;"ALCOHOL","",IF($K3930="","",$H3930*IFERROR(VLOOKUP($K3930,Drink_Templates!$A:$G,7,FALSE),0)))</f>
        <v/>
      </c>
    </row>
    <row r="3931" ht="15" customHeight="1">
      <c r="C3931">
        <f>IF($B3931="","",INT($B3931))</f>
        <v/>
      </c>
      <c r="D3931">
        <f>IF($C3931="","",$C3931-WEEKDAY($C3931,2)+1)</f>
        <v/>
      </c>
      <c r="E3931">
        <f>IF($C3931="","",DATE(YEAR($C3931),MONTH($C3931),1))</f>
        <v/>
      </c>
      <c r="F3931">
        <f>IF($C3931="","",YEAR($C3931)&amp;"-Q"&amp;ROUNDUP(MONTH($C3931)/3,0))</f>
        <v/>
      </c>
      <c r="L3931">
        <f>IF($G3931&lt;&gt;"ALCOHOL","",IF($K3931="","",$H3931*IFERROR(VLOOKUP($K3931,Drink_Templates!$A:$G,7,FALSE),0)))</f>
        <v/>
      </c>
    </row>
    <row r="3932" ht="15" customHeight="1">
      <c r="C3932">
        <f>IF($B3932="","",INT($B3932))</f>
        <v/>
      </c>
      <c r="D3932">
        <f>IF($C3932="","",$C3932-WEEKDAY($C3932,2)+1)</f>
        <v/>
      </c>
      <c r="E3932">
        <f>IF($C3932="","",DATE(YEAR($C3932),MONTH($C3932),1))</f>
        <v/>
      </c>
      <c r="F3932">
        <f>IF($C3932="","",YEAR($C3932)&amp;"-Q"&amp;ROUNDUP(MONTH($C3932)/3,0))</f>
        <v/>
      </c>
      <c r="L3932">
        <f>IF($G3932&lt;&gt;"ALCOHOL","",IF($K3932="","",$H3932*IFERROR(VLOOKUP($K3932,Drink_Templates!$A:$G,7,FALSE),0)))</f>
        <v/>
      </c>
    </row>
    <row r="3933" ht="15" customHeight="1">
      <c r="C3933">
        <f>IF($B3933="","",INT($B3933))</f>
        <v/>
      </c>
      <c r="D3933">
        <f>IF($C3933="","",$C3933-WEEKDAY($C3933,2)+1)</f>
        <v/>
      </c>
      <c r="E3933">
        <f>IF($C3933="","",DATE(YEAR($C3933),MONTH($C3933),1))</f>
        <v/>
      </c>
      <c r="F3933">
        <f>IF($C3933="","",YEAR($C3933)&amp;"-Q"&amp;ROUNDUP(MONTH($C3933)/3,0))</f>
        <v/>
      </c>
      <c r="L3933">
        <f>IF($G3933&lt;&gt;"ALCOHOL","",IF($K3933="","",$H3933*IFERROR(VLOOKUP($K3933,Drink_Templates!$A:$G,7,FALSE),0)))</f>
        <v/>
      </c>
    </row>
    <row r="3934" ht="15" customHeight="1">
      <c r="C3934">
        <f>IF($B3934="","",INT($B3934))</f>
        <v/>
      </c>
      <c r="D3934">
        <f>IF($C3934="","",$C3934-WEEKDAY($C3934,2)+1)</f>
        <v/>
      </c>
      <c r="E3934">
        <f>IF($C3934="","",DATE(YEAR($C3934),MONTH($C3934),1))</f>
        <v/>
      </c>
      <c r="F3934">
        <f>IF($C3934="","",YEAR($C3934)&amp;"-Q"&amp;ROUNDUP(MONTH($C3934)/3,0))</f>
        <v/>
      </c>
      <c r="L3934">
        <f>IF($G3934&lt;&gt;"ALCOHOL","",IF($K3934="","",$H3934*IFERROR(VLOOKUP($K3934,Drink_Templates!$A:$G,7,FALSE),0)))</f>
        <v/>
      </c>
    </row>
    <row r="3935" ht="15" customHeight="1">
      <c r="C3935">
        <f>IF($B3935="","",INT($B3935))</f>
        <v/>
      </c>
      <c r="D3935">
        <f>IF($C3935="","",$C3935-WEEKDAY($C3935,2)+1)</f>
        <v/>
      </c>
      <c r="E3935">
        <f>IF($C3935="","",DATE(YEAR($C3935),MONTH($C3935),1))</f>
        <v/>
      </c>
      <c r="F3935">
        <f>IF($C3935="","",YEAR($C3935)&amp;"-Q"&amp;ROUNDUP(MONTH($C3935)/3,0))</f>
        <v/>
      </c>
      <c r="L3935">
        <f>IF($G3935&lt;&gt;"ALCOHOL","",IF($K3935="","",$H3935*IFERROR(VLOOKUP($K3935,Drink_Templates!$A:$G,7,FALSE),0)))</f>
        <v/>
      </c>
    </row>
    <row r="3936" ht="15" customHeight="1">
      <c r="C3936">
        <f>IF($B3936="","",INT($B3936))</f>
        <v/>
      </c>
      <c r="D3936">
        <f>IF($C3936="","",$C3936-WEEKDAY($C3936,2)+1)</f>
        <v/>
      </c>
      <c r="E3936">
        <f>IF($C3936="","",DATE(YEAR($C3936),MONTH($C3936),1))</f>
        <v/>
      </c>
      <c r="F3936">
        <f>IF($C3936="","",YEAR($C3936)&amp;"-Q"&amp;ROUNDUP(MONTH($C3936)/3,0))</f>
        <v/>
      </c>
      <c r="L3936">
        <f>IF($G3936&lt;&gt;"ALCOHOL","",IF($K3936="","",$H3936*IFERROR(VLOOKUP($K3936,Drink_Templates!$A:$G,7,FALSE),0)))</f>
        <v/>
      </c>
    </row>
    <row r="3937" ht="15" customHeight="1">
      <c r="C3937">
        <f>IF($B3937="","",INT($B3937))</f>
        <v/>
      </c>
      <c r="D3937">
        <f>IF($C3937="","",$C3937-WEEKDAY($C3937,2)+1)</f>
        <v/>
      </c>
      <c r="E3937">
        <f>IF($C3937="","",DATE(YEAR($C3937),MONTH($C3937),1))</f>
        <v/>
      </c>
      <c r="F3937">
        <f>IF($C3937="","",YEAR($C3937)&amp;"-Q"&amp;ROUNDUP(MONTH($C3937)/3,0))</f>
        <v/>
      </c>
      <c r="L3937">
        <f>IF($G3937&lt;&gt;"ALCOHOL","",IF($K3937="","",$H3937*IFERROR(VLOOKUP($K3937,Drink_Templates!$A:$G,7,FALSE),0)))</f>
        <v/>
      </c>
    </row>
    <row r="3938" ht="15" customHeight="1">
      <c r="C3938">
        <f>IF($B3938="","",INT($B3938))</f>
        <v/>
      </c>
      <c r="D3938">
        <f>IF($C3938="","",$C3938-WEEKDAY($C3938,2)+1)</f>
        <v/>
      </c>
      <c r="E3938">
        <f>IF($C3938="","",DATE(YEAR($C3938),MONTH($C3938),1))</f>
        <v/>
      </c>
      <c r="F3938">
        <f>IF($C3938="","",YEAR($C3938)&amp;"-Q"&amp;ROUNDUP(MONTH($C3938)/3,0))</f>
        <v/>
      </c>
      <c r="L3938">
        <f>IF($G3938&lt;&gt;"ALCOHOL","",IF($K3938="","",$H3938*IFERROR(VLOOKUP($K3938,Drink_Templates!$A:$G,7,FALSE),0)))</f>
        <v/>
      </c>
    </row>
    <row r="3939" ht="15" customHeight="1">
      <c r="C3939">
        <f>IF($B3939="","",INT($B3939))</f>
        <v/>
      </c>
      <c r="D3939">
        <f>IF($C3939="","",$C3939-WEEKDAY($C3939,2)+1)</f>
        <v/>
      </c>
      <c r="E3939">
        <f>IF($C3939="","",DATE(YEAR($C3939),MONTH($C3939),1))</f>
        <v/>
      </c>
      <c r="F3939">
        <f>IF($C3939="","",YEAR($C3939)&amp;"-Q"&amp;ROUNDUP(MONTH($C3939)/3,0))</f>
        <v/>
      </c>
      <c r="L3939">
        <f>IF($G3939&lt;&gt;"ALCOHOL","",IF($K3939="","",$H3939*IFERROR(VLOOKUP($K3939,Drink_Templates!$A:$G,7,FALSE),0)))</f>
        <v/>
      </c>
    </row>
    <row r="3940" ht="15" customHeight="1">
      <c r="C3940">
        <f>IF($B3940="","",INT($B3940))</f>
        <v/>
      </c>
      <c r="D3940">
        <f>IF($C3940="","",$C3940-WEEKDAY($C3940,2)+1)</f>
        <v/>
      </c>
      <c r="E3940">
        <f>IF($C3940="","",DATE(YEAR($C3940),MONTH($C3940),1))</f>
        <v/>
      </c>
      <c r="F3940">
        <f>IF($C3940="","",YEAR($C3940)&amp;"-Q"&amp;ROUNDUP(MONTH($C3940)/3,0))</f>
        <v/>
      </c>
      <c r="L3940">
        <f>IF($G3940&lt;&gt;"ALCOHOL","",IF($K3940="","",$H3940*IFERROR(VLOOKUP($K3940,Drink_Templates!$A:$G,7,FALSE),0)))</f>
        <v/>
      </c>
    </row>
    <row r="3941" ht="15" customHeight="1">
      <c r="C3941">
        <f>IF($B3941="","",INT($B3941))</f>
        <v/>
      </c>
      <c r="D3941">
        <f>IF($C3941="","",$C3941-WEEKDAY($C3941,2)+1)</f>
        <v/>
      </c>
      <c r="E3941">
        <f>IF($C3941="","",DATE(YEAR($C3941),MONTH($C3941),1))</f>
        <v/>
      </c>
      <c r="F3941">
        <f>IF($C3941="","",YEAR($C3941)&amp;"-Q"&amp;ROUNDUP(MONTH($C3941)/3,0))</f>
        <v/>
      </c>
      <c r="L3941">
        <f>IF($G3941&lt;&gt;"ALCOHOL","",IF($K3941="","",$H3941*IFERROR(VLOOKUP($K3941,Drink_Templates!$A:$G,7,FALSE),0)))</f>
        <v/>
      </c>
    </row>
    <row r="3942" ht="15" customHeight="1">
      <c r="C3942">
        <f>IF($B3942="","",INT($B3942))</f>
        <v/>
      </c>
      <c r="D3942">
        <f>IF($C3942="","",$C3942-WEEKDAY($C3942,2)+1)</f>
        <v/>
      </c>
      <c r="E3942">
        <f>IF($C3942="","",DATE(YEAR($C3942),MONTH($C3942),1))</f>
        <v/>
      </c>
      <c r="F3942">
        <f>IF($C3942="","",YEAR($C3942)&amp;"-Q"&amp;ROUNDUP(MONTH($C3942)/3,0))</f>
        <v/>
      </c>
      <c r="L3942">
        <f>IF($G3942&lt;&gt;"ALCOHOL","",IF($K3942="","",$H3942*IFERROR(VLOOKUP($K3942,Drink_Templates!$A:$G,7,FALSE),0)))</f>
        <v/>
      </c>
    </row>
    <row r="3943" ht="15" customHeight="1">
      <c r="C3943">
        <f>IF($B3943="","",INT($B3943))</f>
        <v/>
      </c>
      <c r="D3943">
        <f>IF($C3943="","",$C3943-WEEKDAY($C3943,2)+1)</f>
        <v/>
      </c>
      <c r="E3943">
        <f>IF($C3943="","",DATE(YEAR($C3943),MONTH($C3943),1))</f>
        <v/>
      </c>
      <c r="F3943">
        <f>IF($C3943="","",YEAR($C3943)&amp;"-Q"&amp;ROUNDUP(MONTH($C3943)/3,0))</f>
        <v/>
      </c>
      <c r="L3943">
        <f>IF($G3943&lt;&gt;"ALCOHOL","",IF($K3943="","",$H3943*IFERROR(VLOOKUP($K3943,Drink_Templates!$A:$G,7,FALSE),0)))</f>
        <v/>
      </c>
    </row>
    <row r="3944" ht="15" customHeight="1">
      <c r="C3944">
        <f>IF($B3944="","",INT($B3944))</f>
        <v/>
      </c>
      <c r="D3944">
        <f>IF($C3944="","",$C3944-WEEKDAY($C3944,2)+1)</f>
        <v/>
      </c>
      <c r="E3944">
        <f>IF($C3944="","",DATE(YEAR($C3944),MONTH($C3944),1))</f>
        <v/>
      </c>
      <c r="F3944">
        <f>IF($C3944="","",YEAR($C3944)&amp;"-Q"&amp;ROUNDUP(MONTH($C3944)/3,0))</f>
        <v/>
      </c>
      <c r="L3944">
        <f>IF($G3944&lt;&gt;"ALCOHOL","",IF($K3944="","",$H3944*IFERROR(VLOOKUP($K3944,Drink_Templates!$A:$G,7,FALSE),0)))</f>
        <v/>
      </c>
    </row>
    <row r="3945" ht="15" customHeight="1">
      <c r="C3945">
        <f>IF($B3945="","",INT($B3945))</f>
        <v/>
      </c>
      <c r="D3945">
        <f>IF($C3945="","",$C3945-WEEKDAY($C3945,2)+1)</f>
        <v/>
      </c>
      <c r="E3945">
        <f>IF($C3945="","",DATE(YEAR($C3945),MONTH($C3945),1))</f>
        <v/>
      </c>
      <c r="F3945">
        <f>IF($C3945="","",YEAR($C3945)&amp;"-Q"&amp;ROUNDUP(MONTH($C3945)/3,0))</f>
        <v/>
      </c>
      <c r="L3945">
        <f>IF($G3945&lt;&gt;"ALCOHOL","",IF($K3945="","",$H3945*IFERROR(VLOOKUP($K3945,Drink_Templates!$A:$G,7,FALSE),0)))</f>
        <v/>
      </c>
    </row>
    <row r="3946" ht="15" customHeight="1">
      <c r="C3946">
        <f>IF($B3946="","",INT($B3946))</f>
        <v/>
      </c>
      <c r="D3946">
        <f>IF($C3946="","",$C3946-WEEKDAY($C3946,2)+1)</f>
        <v/>
      </c>
      <c r="E3946">
        <f>IF($C3946="","",DATE(YEAR($C3946),MONTH($C3946),1))</f>
        <v/>
      </c>
      <c r="F3946">
        <f>IF($C3946="","",YEAR($C3946)&amp;"-Q"&amp;ROUNDUP(MONTH($C3946)/3,0))</f>
        <v/>
      </c>
      <c r="L3946">
        <f>IF($G3946&lt;&gt;"ALCOHOL","",IF($K3946="","",$H3946*IFERROR(VLOOKUP($K3946,Drink_Templates!$A:$G,7,FALSE),0)))</f>
        <v/>
      </c>
    </row>
    <row r="3947" ht="15" customHeight="1">
      <c r="C3947">
        <f>IF($B3947="","",INT($B3947))</f>
        <v/>
      </c>
      <c r="D3947">
        <f>IF($C3947="","",$C3947-WEEKDAY($C3947,2)+1)</f>
        <v/>
      </c>
      <c r="E3947">
        <f>IF($C3947="","",DATE(YEAR($C3947),MONTH($C3947),1))</f>
        <v/>
      </c>
      <c r="F3947">
        <f>IF($C3947="","",YEAR($C3947)&amp;"-Q"&amp;ROUNDUP(MONTH($C3947)/3,0))</f>
        <v/>
      </c>
      <c r="L3947">
        <f>IF($G3947&lt;&gt;"ALCOHOL","",IF($K3947="","",$H3947*IFERROR(VLOOKUP($K3947,Drink_Templates!$A:$G,7,FALSE),0)))</f>
        <v/>
      </c>
    </row>
    <row r="3948" ht="15" customHeight="1">
      <c r="C3948">
        <f>IF($B3948="","",INT($B3948))</f>
        <v/>
      </c>
      <c r="D3948">
        <f>IF($C3948="","",$C3948-WEEKDAY($C3948,2)+1)</f>
        <v/>
      </c>
      <c r="E3948">
        <f>IF($C3948="","",DATE(YEAR($C3948),MONTH($C3948),1))</f>
        <v/>
      </c>
      <c r="F3948">
        <f>IF($C3948="","",YEAR($C3948)&amp;"-Q"&amp;ROUNDUP(MONTH($C3948)/3,0))</f>
        <v/>
      </c>
      <c r="L3948">
        <f>IF($G3948&lt;&gt;"ALCOHOL","",IF($K3948="","",$H3948*IFERROR(VLOOKUP($K3948,Drink_Templates!$A:$G,7,FALSE),0)))</f>
        <v/>
      </c>
    </row>
    <row r="3949" ht="15" customHeight="1">
      <c r="C3949">
        <f>IF($B3949="","",INT($B3949))</f>
        <v/>
      </c>
      <c r="D3949">
        <f>IF($C3949="","",$C3949-WEEKDAY($C3949,2)+1)</f>
        <v/>
      </c>
      <c r="E3949">
        <f>IF($C3949="","",DATE(YEAR($C3949),MONTH($C3949),1))</f>
        <v/>
      </c>
      <c r="F3949">
        <f>IF($C3949="","",YEAR($C3949)&amp;"-Q"&amp;ROUNDUP(MONTH($C3949)/3,0))</f>
        <v/>
      </c>
      <c r="L3949">
        <f>IF($G3949&lt;&gt;"ALCOHOL","",IF($K3949="","",$H3949*IFERROR(VLOOKUP($K3949,Drink_Templates!$A:$G,7,FALSE),0)))</f>
        <v/>
      </c>
    </row>
    <row r="3950" ht="15" customHeight="1">
      <c r="C3950">
        <f>IF($B3950="","",INT($B3950))</f>
        <v/>
      </c>
      <c r="D3950">
        <f>IF($C3950="","",$C3950-WEEKDAY($C3950,2)+1)</f>
        <v/>
      </c>
      <c r="E3950">
        <f>IF($C3950="","",DATE(YEAR($C3950),MONTH($C3950),1))</f>
        <v/>
      </c>
      <c r="F3950">
        <f>IF($C3950="","",YEAR($C3950)&amp;"-Q"&amp;ROUNDUP(MONTH($C3950)/3,0))</f>
        <v/>
      </c>
      <c r="L3950">
        <f>IF($G3950&lt;&gt;"ALCOHOL","",IF($K3950="","",$H3950*IFERROR(VLOOKUP($K3950,Drink_Templates!$A:$G,7,FALSE),0)))</f>
        <v/>
      </c>
    </row>
    <row r="3951" ht="15" customHeight="1">
      <c r="C3951">
        <f>IF($B3951="","",INT($B3951))</f>
        <v/>
      </c>
      <c r="D3951">
        <f>IF($C3951="","",$C3951-WEEKDAY($C3951,2)+1)</f>
        <v/>
      </c>
      <c r="E3951">
        <f>IF($C3951="","",DATE(YEAR($C3951),MONTH($C3951),1))</f>
        <v/>
      </c>
      <c r="F3951">
        <f>IF($C3951="","",YEAR($C3951)&amp;"-Q"&amp;ROUNDUP(MONTH($C3951)/3,0))</f>
        <v/>
      </c>
      <c r="L3951">
        <f>IF($G3951&lt;&gt;"ALCOHOL","",IF($K3951="","",$H3951*IFERROR(VLOOKUP($K3951,Drink_Templates!$A:$G,7,FALSE),0)))</f>
        <v/>
      </c>
    </row>
    <row r="3952" ht="15" customHeight="1">
      <c r="C3952">
        <f>IF($B3952="","",INT($B3952))</f>
        <v/>
      </c>
      <c r="D3952">
        <f>IF($C3952="","",$C3952-WEEKDAY($C3952,2)+1)</f>
        <v/>
      </c>
      <c r="E3952">
        <f>IF($C3952="","",DATE(YEAR($C3952),MONTH($C3952),1))</f>
        <v/>
      </c>
      <c r="F3952">
        <f>IF($C3952="","",YEAR($C3952)&amp;"-Q"&amp;ROUNDUP(MONTH($C3952)/3,0))</f>
        <v/>
      </c>
      <c r="L3952">
        <f>IF($G3952&lt;&gt;"ALCOHOL","",IF($K3952="","",$H3952*IFERROR(VLOOKUP($K3952,Drink_Templates!$A:$G,7,FALSE),0)))</f>
        <v/>
      </c>
    </row>
    <row r="3953" ht="15" customHeight="1">
      <c r="C3953">
        <f>IF($B3953="","",INT($B3953))</f>
        <v/>
      </c>
      <c r="D3953">
        <f>IF($C3953="","",$C3953-WEEKDAY($C3953,2)+1)</f>
        <v/>
      </c>
      <c r="E3953">
        <f>IF($C3953="","",DATE(YEAR($C3953),MONTH($C3953),1))</f>
        <v/>
      </c>
      <c r="F3953">
        <f>IF($C3953="","",YEAR($C3953)&amp;"-Q"&amp;ROUNDUP(MONTH($C3953)/3,0))</f>
        <v/>
      </c>
      <c r="L3953">
        <f>IF($G3953&lt;&gt;"ALCOHOL","",IF($K3953="","",$H3953*IFERROR(VLOOKUP($K3953,Drink_Templates!$A:$G,7,FALSE),0)))</f>
        <v/>
      </c>
    </row>
    <row r="3954" ht="15" customHeight="1">
      <c r="C3954">
        <f>IF($B3954="","",INT($B3954))</f>
        <v/>
      </c>
      <c r="D3954">
        <f>IF($C3954="","",$C3954-WEEKDAY($C3954,2)+1)</f>
        <v/>
      </c>
      <c r="E3954">
        <f>IF($C3954="","",DATE(YEAR($C3954),MONTH($C3954),1))</f>
        <v/>
      </c>
      <c r="F3954">
        <f>IF($C3954="","",YEAR($C3954)&amp;"-Q"&amp;ROUNDUP(MONTH($C3954)/3,0))</f>
        <v/>
      </c>
      <c r="L3954">
        <f>IF($G3954&lt;&gt;"ALCOHOL","",IF($K3954="","",$H3954*IFERROR(VLOOKUP($K3954,Drink_Templates!$A:$G,7,FALSE),0)))</f>
        <v/>
      </c>
    </row>
    <row r="3955" ht="15" customHeight="1">
      <c r="C3955">
        <f>IF($B3955="","",INT($B3955))</f>
        <v/>
      </c>
      <c r="D3955">
        <f>IF($C3955="","",$C3955-WEEKDAY($C3955,2)+1)</f>
        <v/>
      </c>
      <c r="E3955">
        <f>IF($C3955="","",DATE(YEAR($C3955),MONTH($C3955),1))</f>
        <v/>
      </c>
      <c r="F3955">
        <f>IF($C3955="","",YEAR($C3955)&amp;"-Q"&amp;ROUNDUP(MONTH($C3955)/3,0))</f>
        <v/>
      </c>
      <c r="L3955">
        <f>IF($G3955&lt;&gt;"ALCOHOL","",IF($K3955="","",$H3955*IFERROR(VLOOKUP($K3955,Drink_Templates!$A:$G,7,FALSE),0)))</f>
        <v/>
      </c>
    </row>
    <row r="3956" ht="15" customHeight="1">
      <c r="C3956">
        <f>IF($B3956="","",INT($B3956))</f>
        <v/>
      </c>
      <c r="D3956">
        <f>IF($C3956="","",$C3956-WEEKDAY($C3956,2)+1)</f>
        <v/>
      </c>
      <c r="E3956">
        <f>IF($C3956="","",DATE(YEAR($C3956),MONTH($C3956),1))</f>
        <v/>
      </c>
      <c r="F3956">
        <f>IF($C3956="","",YEAR($C3956)&amp;"-Q"&amp;ROUNDUP(MONTH($C3956)/3,0))</f>
        <v/>
      </c>
      <c r="L3956">
        <f>IF($G3956&lt;&gt;"ALCOHOL","",IF($K3956="","",$H3956*IFERROR(VLOOKUP($K3956,Drink_Templates!$A:$G,7,FALSE),0)))</f>
        <v/>
      </c>
    </row>
    <row r="3957" ht="15" customHeight="1">
      <c r="C3957">
        <f>IF($B3957="","",INT($B3957))</f>
        <v/>
      </c>
      <c r="D3957">
        <f>IF($C3957="","",$C3957-WEEKDAY($C3957,2)+1)</f>
        <v/>
      </c>
      <c r="E3957">
        <f>IF($C3957="","",DATE(YEAR($C3957),MONTH($C3957),1))</f>
        <v/>
      </c>
      <c r="F3957">
        <f>IF($C3957="","",YEAR($C3957)&amp;"-Q"&amp;ROUNDUP(MONTH($C3957)/3,0))</f>
        <v/>
      </c>
      <c r="L3957">
        <f>IF($G3957&lt;&gt;"ALCOHOL","",IF($K3957="","",$H3957*IFERROR(VLOOKUP($K3957,Drink_Templates!$A:$G,7,FALSE),0)))</f>
        <v/>
      </c>
    </row>
    <row r="3958" ht="15" customHeight="1">
      <c r="C3958">
        <f>IF($B3958="","",INT($B3958))</f>
        <v/>
      </c>
      <c r="D3958">
        <f>IF($C3958="","",$C3958-WEEKDAY($C3958,2)+1)</f>
        <v/>
      </c>
      <c r="E3958">
        <f>IF($C3958="","",DATE(YEAR($C3958),MONTH($C3958),1))</f>
        <v/>
      </c>
      <c r="F3958">
        <f>IF($C3958="","",YEAR($C3958)&amp;"-Q"&amp;ROUNDUP(MONTH($C3958)/3,0))</f>
        <v/>
      </c>
      <c r="L3958">
        <f>IF($G3958&lt;&gt;"ALCOHOL","",IF($K3958="","",$H3958*IFERROR(VLOOKUP($K3958,Drink_Templates!$A:$G,7,FALSE),0)))</f>
        <v/>
      </c>
    </row>
    <row r="3959" ht="15" customHeight="1">
      <c r="C3959">
        <f>IF($B3959="","",INT($B3959))</f>
        <v/>
      </c>
      <c r="D3959">
        <f>IF($C3959="","",$C3959-WEEKDAY($C3959,2)+1)</f>
        <v/>
      </c>
      <c r="E3959">
        <f>IF($C3959="","",DATE(YEAR($C3959),MONTH($C3959),1))</f>
        <v/>
      </c>
      <c r="F3959">
        <f>IF($C3959="","",YEAR($C3959)&amp;"-Q"&amp;ROUNDUP(MONTH($C3959)/3,0))</f>
        <v/>
      </c>
      <c r="L3959">
        <f>IF($G3959&lt;&gt;"ALCOHOL","",IF($K3959="","",$H3959*IFERROR(VLOOKUP($K3959,Drink_Templates!$A:$G,7,FALSE),0)))</f>
        <v/>
      </c>
    </row>
    <row r="3960" ht="15" customHeight="1">
      <c r="C3960">
        <f>IF($B3960="","",INT($B3960))</f>
        <v/>
      </c>
      <c r="D3960">
        <f>IF($C3960="","",$C3960-WEEKDAY($C3960,2)+1)</f>
        <v/>
      </c>
      <c r="E3960">
        <f>IF($C3960="","",DATE(YEAR($C3960),MONTH($C3960),1))</f>
        <v/>
      </c>
      <c r="F3960">
        <f>IF($C3960="","",YEAR($C3960)&amp;"-Q"&amp;ROUNDUP(MONTH($C3960)/3,0))</f>
        <v/>
      </c>
      <c r="L3960">
        <f>IF($G3960&lt;&gt;"ALCOHOL","",IF($K3960="","",$H3960*IFERROR(VLOOKUP($K3960,Drink_Templates!$A:$G,7,FALSE),0)))</f>
        <v/>
      </c>
    </row>
    <row r="3961" ht="15" customHeight="1">
      <c r="C3961">
        <f>IF($B3961="","",INT($B3961))</f>
        <v/>
      </c>
      <c r="D3961">
        <f>IF($C3961="","",$C3961-WEEKDAY($C3961,2)+1)</f>
        <v/>
      </c>
      <c r="E3961">
        <f>IF($C3961="","",DATE(YEAR($C3961),MONTH($C3961),1))</f>
        <v/>
      </c>
      <c r="F3961">
        <f>IF($C3961="","",YEAR($C3961)&amp;"-Q"&amp;ROUNDUP(MONTH($C3961)/3,0))</f>
        <v/>
      </c>
      <c r="L3961">
        <f>IF($G3961&lt;&gt;"ALCOHOL","",IF($K3961="","",$H3961*IFERROR(VLOOKUP($K3961,Drink_Templates!$A:$G,7,FALSE),0)))</f>
        <v/>
      </c>
    </row>
    <row r="3962" ht="15" customHeight="1">
      <c r="C3962">
        <f>IF($B3962="","",INT($B3962))</f>
        <v/>
      </c>
      <c r="D3962">
        <f>IF($C3962="","",$C3962-WEEKDAY($C3962,2)+1)</f>
        <v/>
      </c>
      <c r="E3962">
        <f>IF($C3962="","",DATE(YEAR($C3962),MONTH($C3962),1))</f>
        <v/>
      </c>
      <c r="F3962">
        <f>IF($C3962="","",YEAR($C3962)&amp;"-Q"&amp;ROUNDUP(MONTH($C3962)/3,0))</f>
        <v/>
      </c>
      <c r="L3962">
        <f>IF($G3962&lt;&gt;"ALCOHOL","",IF($K3962="","",$H3962*IFERROR(VLOOKUP($K3962,Drink_Templates!$A:$G,7,FALSE),0)))</f>
        <v/>
      </c>
    </row>
    <row r="3963" ht="15" customHeight="1">
      <c r="C3963">
        <f>IF($B3963="","",INT($B3963))</f>
        <v/>
      </c>
      <c r="D3963">
        <f>IF($C3963="","",$C3963-WEEKDAY($C3963,2)+1)</f>
        <v/>
      </c>
      <c r="E3963">
        <f>IF($C3963="","",DATE(YEAR($C3963),MONTH($C3963),1))</f>
        <v/>
      </c>
      <c r="F3963">
        <f>IF($C3963="","",YEAR($C3963)&amp;"-Q"&amp;ROUNDUP(MONTH($C3963)/3,0))</f>
        <v/>
      </c>
      <c r="L3963">
        <f>IF($G3963&lt;&gt;"ALCOHOL","",IF($K3963="","",$H3963*IFERROR(VLOOKUP($K3963,Drink_Templates!$A:$G,7,FALSE),0)))</f>
        <v/>
      </c>
    </row>
    <row r="3964" ht="15" customHeight="1">
      <c r="C3964">
        <f>IF($B3964="","",INT($B3964))</f>
        <v/>
      </c>
      <c r="D3964">
        <f>IF($C3964="","",$C3964-WEEKDAY($C3964,2)+1)</f>
        <v/>
      </c>
      <c r="E3964">
        <f>IF($C3964="","",DATE(YEAR($C3964),MONTH($C3964),1))</f>
        <v/>
      </c>
      <c r="F3964">
        <f>IF($C3964="","",YEAR($C3964)&amp;"-Q"&amp;ROUNDUP(MONTH($C3964)/3,0))</f>
        <v/>
      </c>
      <c r="L3964">
        <f>IF($G3964&lt;&gt;"ALCOHOL","",IF($K3964="","",$H3964*IFERROR(VLOOKUP($K3964,Drink_Templates!$A:$G,7,FALSE),0)))</f>
        <v/>
      </c>
    </row>
    <row r="3965" ht="15" customHeight="1">
      <c r="C3965">
        <f>IF($B3965="","",INT($B3965))</f>
        <v/>
      </c>
      <c r="D3965">
        <f>IF($C3965="","",$C3965-WEEKDAY($C3965,2)+1)</f>
        <v/>
      </c>
      <c r="E3965">
        <f>IF($C3965="","",DATE(YEAR($C3965),MONTH($C3965),1))</f>
        <v/>
      </c>
      <c r="F3965">
        <f>IF($C3965="","",YEAR($C3965)&amp;"-Q"&amp;ROUNDUP(MONTH($C3965)/3,0))</f>
        <v/>
      </c>
      <c r="L3965">
        <f>IF($G3965&lt;&gt;"ALCOHOL","",IF($K3965="","",$H3965*IFERROR(VLOOKUP($K3965,Drink_Templates!$A:$G,7,FALSE),0)))</f>
        <v/>
      </c>
    </row>
    <row r="3966" ht="15" customHeight="1">
      <c r="C3966">
        <f>IF($B3966="","",INT($B3966))</f>
        <v/>
      </c>
      <c r="D3966">
        <f>IF($C3966="","",$C3966-WEEKDAY($C3966,2)+1)</f>
        <v/>
      </c>
      <c r="E3966">
        <f>IF($C3966="","",DATE(YEAR($C3966),MONTH($C3966),1))</f>
        <v/>
      </c>
      <c r="F3966">
        <f>IF($C3966="","",YEAR($C3966)&amp;"-Q"&amp;ROUNDUP(MONTH($C3966)/3,0))</f>
        <v/>
      </c>
      <c r="L3966">
        <f>IF($G3966&lt;&gt;"ALCOHOL","",IF($K3966="","",$H3966*IFERROR(VLOOKUP($K3966,Drink_Templates!$A:$G,7,FALSE),0)))</f>
        <v/>
      </c>
    </row>
    <row r="3967" ht="15" customHeight="1">
      <c r="C3967">
        <f>IF($B3967="","",INT($B3967))</f>
        <v/>
      </c>
      <c r="D3967">
        <f>IF($C3967="","",$C3967-WEEKDAY($C3967,2)+1)</f>
        <v/>
      </c>
      <c r="E3967">
        <f>IF($C3967="","",DATE(YEAR($C3967),MONTH($C3967),1))</f>
        <v/>
      </c>
      <c r="F3967">
        <f>IF($C3967="","",YEAR($C3967)&amp;"-Q"&amp;ROUNDUP(MONTH($C3967)/3,0))</f>
        <v/>
      </c>
      <c r="L3967">
        <f>IF($G3967&lt;&gt;"ALCOHOL","",IF($K3967="","",$H3967*IFERROR(VLOOKUP($K3967,Drink_Templates!$A:$G,7,FALSE),0)))</f>
        <v/>
      </c>
    </row>
    <row r="3968" ht="15" customHeight="1">
      <c r="C3968">
        <f>IF($B3968="","",INT($B3968))</f>
        <v/>
      </c>
      <c r="D3968">
        <f>IF($C3968="","",$C3968-WEEKDAY($C3968,2)+1)</f>
        <v/>
      </c>
      <c r="E3968">
        <f>IF($C3968="","",DATE(YEAR($C3968),MONTH($C3968),1))</f>
        <v/>
      </c>
      <c r="F3968">
        <f>IF($C3968="","",YEAR($C3968)&amp;"-Q"&amp;ROUNDUP(MONTH($C3968)/3,0))</f>
        <v/>
      </c>
      <c r="L3968">
        <f>IF($G3968&lt;&gt;"ALCOHOL","",IF($K3968="","",$H3968*IFERROR(VLOOKUP($K3968,Drink_Templates!$A:$G,7,FALSE),0)))</f>
        <v/>
      </c>
    </row>
    <row r="3969" ht="15" customHeight="1">
      <c r="C3969">
        <f>IF($B3969="","",INT($B3969))</f>
        <v/>
      </c>
      <c r="D3969">
        <f>IF($C3969="","",$C3969-WEEKDAY($C3969,2)+1)</f>
        <v/>
      </c>
      <c r="E3969">
        <f>IF($C3969="","",DATE(YEAR($C3969),MONTH($C3969),1))</f>
        <v/>
      </c>
      <c r="F3969">
        <f>IF($C3969="","",YEAR($C3969)&amp;"-Q"&amp;ROUNDUP(MONTH($C3969)/3,0))</f>
        <v/>
      </c>
      <c r="L3969">
        <f>IF($G3969&lt;&gt;"ALCOHOL","",IF($K3969="","",$H3969*IFERROR(VLOOKUP($K3969,Drink_Templates!$A:$G,7,FALSE),0)))</f>
        <v/>
      </c>
    </row>
    <row r="3970" ht="15" customHeight="1">
      <c r="C3970">
        <f>IF($B3970="","",INT($B3970))</f>
        <v/>
      </c>
      <c r="D3970">
        <f>IF($C3970="","",$C3970-WEEKDAY($C3970,2)+1)</f>
        <v/>
      </c>
      <c r="E3970">
        <f>IF($C3970="","",DATE(YEAR($C3970),MONTH($C3970),1))</f>
        <v/>
      </c>
      <c r="F3970">
        <f>IF($C3970="","",YEAR($C3970)&amp;"-Q"&amp;ROUNDUP(MONTH($C3970)/3,0))</f>
        <v/>
      </c>
      <c r="L3970">
        <f>IF($G3970&lt;&gt;"ALCOHOL","",IF($K3970="","",$H3970*IFERROR(VLOOKUP($K3970,Drink_Templates!$A:$G,7,FALSE),0)))</f>
        <v/>
      </c>
    </row>
    <row r="3971" ht="15" customHeight="1">
      <c r="C3971">
        <f>IF($B3971="","",INT($B3971))</f>
        <v/>
      </c>
      <c r="D3971">
        <f>IF($C3971="","",$C3971-WEEKDAY($C3971,2)+1)</f>
        <v/>
      </c>
      <c r="E3971">
        <f>IF($C3971="","",DATE(YEAR($C3971),MONTH($C3971),1))</f>
        <v/>
      </c>
      <c r="F3971">
        <f>IF($C3971="","",YEAR($C3971)&amp;"-Q"&amp;ROUNDUP(MONTH($C3971)/3,0))</f>
        <v/>
      </c>
      <c r="L3971">
        <f>IF($G3971&lt;&gt;"ALCOHOL","",IF($K3971="","",$H3971*IFERROR(VLOOKUP($K3971,Drink_Templates!$A:$G,7,FALSE),0)))</f>
        <v/>
      </c>
    </row>
    <row r="3972" ht="15" customHeight="1">
      <c r="C3972">
        <f>IF($B3972="","",INT($B3972))</f>
        <v/>
      </c>
      <c r="D3972">
        <f>IF($C3972="","",$C3972-WEEKDAY($C3972,2)+1)</f>
        <v/>
      </c>
      <c r="E3972">
        <f>IF($C3972="","",DATE(YEAR($C3972),MONTH($C3972),1))</f>
        <v/>
      </c>
      <c r="F3972">
        <f>IF($C3972="","",YEAR($C3972)&amp;"-Q"&amp;ROUNDUP(MONTH($C3972)/3,0))</f>
        <v/>
      </c>
      <c r="L3972">
        <f>IF($G3972&lt;&gt;"ALCOHOL","",IF($K3972="","",$H3972*IFERROR(VLOOKUP($K3972,Drink_Templates!$A:$G,7,FALSE),0)))</f>
        <v/>
      </c>
    </row>
    <row r="3973" ht="15" customHeight="1">
      <c r="C3973">
        <f>IF($B3973="","",INT($B3973))</f>
        <v/>
      </c>
      <c r="D3973">
        <f>IF($C3973="","",$C3973-WEEKDAY($C3973,2)+1)</f>
        <v/>
      </c>
      <c r="E3973">
        <f>IF($C3973="","",DATE(YEAR($C3973),MONTH($C3973),1))</f>
        <v/>
      </c>
      <c r="F3973">
        <f>IF($C3973="","",YEAR($C3973)&amp;"-Q"&amp;ROUNDUP(MONTH($C3973)/3,0))</f>
        <v/>
      </c>
      <c r="L3973">
        <f>IF($G3973&lt;&gt;"ALCOHOL","",IF($K3973="","",$H3973*IFERROR(VLOOKUP($K3973,Drink_Templates!$A:$G,7,FALSE),0)))</f>
        <v/>
      </c>
    </row>
    <row r="3974" ht="15" customHeight="1">
      <c r="C3974">
        <f>IF($B3974="","",INT($B3974))</f>
        <v/>
      </c>
      <c r="D3974">
        <f>IF($C3974="","",$C3974-WEEKDAY($C3974,2)+1)</f>
        <v/>
      </c>
      <c r="E3974">
        <f>IF($C3974="","",DATE(YEAR($C3974),MONTH($C3974),1))</f>
        <v/>
      </c>
      <c r="F3974">
        <f>IF($C3974="","",YEAR($C3974)&amp;"-Q"&amp;ROUNDUP(MONTH($C3974)/3,0))</f>
        <v/>
      </c>
      <c r="L3974">
        <f>IF($G3974&lt;&gt;"ALCOHOL","",IF($K3974="","",$H3974*IFERROR(VLOOKUP($K3974,Drink_Templates!$A:$G,7,FALSE),0)))</f>
        <v/>
      </c>
    </row>
    <row r="3975" ht="15" customHeight="1">
      <c r="C3975">
        <f>IF($B3975="","",INT($B3975))</f>
        <v/>
      </c>
      <c r="D3975">
        <f>IF($C3975="","",$C3975-WEEKDAY($C3975,2)+1)</f>
        <v/>
      </c>
      <c r="E3975">
        <f>IF($C3975="","",DATE(YEAR($C3975),MONTH($C3975),1))</f>
        <v/>
      </c>
      <c r="F3975">
        <f>IF($C3975="","",YEAR($C3975)&amp;"-Q"&amp;ROUNDUP(MONTH($C3975)/3,0))</f>
        <v/>
      </c>
      <c r="L3975">
        <f>IF($G3975&lt;&gt;"ALCOHOL","",IF($K3975="","",$H3975*IFERROR(VLOOKUP($K3975,Drink_Templates!$A:$G,7,FALSE),0)))</f>
        <v/>
      </c>
    </row>
    <row r="3976" ht="15" customHeight="1">
      <c r="C3976">
        <f>IF($B3976="","",INT($B3976))</f>
        <v/>
      </c>
      <c r="D3976">
        <f>IF($C3976="","",$C3976-WEEKDAY($C3976,2)+1)</f>
        <v/>
      </c>
      <c r="E3976">
        <f>IF($C3976="","",DATE(YEAR($C3976),MONTH($C3976),1))</f>
        <v/>
      </c>
      <c r="F3976">
        <f>IF($C3976="","",YEAR($C3976)&amp;"-Q"&amp;ROUNDUP(MONTH($C3976)/3,0))</f>
        <v/>
      </c>
      <c r="L3976">
        <f>IF($G3976&lt;&gt;"ALCOHOL","",IF($K3976="","",$H3976*IFERROR(VLOOKUP($K3976,Drink_Templates!$A:$G,7,FALSE),0)))</f>
        <v/>
      </c>
    </row>
    <row r="3977" ht="15" customHeight="1">
      <c r="C3977">
        <f>IF($B3977="","",INT($B3977))</f>
        <v/>
      </c>
      <c r="D3977">
        <f>IF($C3977="","",$C3977-WEEKDAY($C3977,2)+1)</f>
        <v/>
      </c>
      <c r="E3977">
        <f>IF($C3977="","",DATE(YEAR($C3977),MONTH($C3977),1))</f>
        <v/>
      </c>
      <c r="F3977">
        <f>IF($C3977="","",YEAR($C3977)&amp;"-Q"&amp;ROUNDUP(MONTH($C3977)/3,0))</f>
        <v/>
      </c>
      <c r="L3977">
        <f>IF($G3977&lt;&gt;"ALCOHOL","",IF($K3977="","",$H3977*IFERROR(VLOOKUP($K3977,Drink_Templates!$A:$G,7,FALSE),0)))</f>
        <v/>
      </c>
    </row>
    <row r="3978" ht="15" customHeight="1">
      <c r="C3978">
        <f>IF($B3978="","",INT($B3978))</f>
        <v/>
      </c>
      <c r="D3978">
        <f>IF($C3978="","",$C3978-WEEKDAY($C3978,2)+1)</f>
        <v/>
      </c>
      <c r="E3978">
        <f>IF($C3978="","",DATE(YEAR($C3978),MONTH($C3978),1))</f>
        <v/>
      </c>
      <c r="F3978">
        <f>IF($C3978="","",YEAR($C3978)&amp;"-Q"&amp;ROUNDUP(MONTH($C3978)/3,0))</f>
        <v/>
      </c>
      <c r="L3978">
        <f>IF($G3978&lt;&gt;"ALCOHOL","",IF($K3978="","",$H3978*IFERROR(VLOOKUP($K3978,Drink_Templates!$A:$G,7,FALSE),0)))</f>
        <v/>
      </c>
    </row>
    <row r="3979" ht="15" customHeight="1">
      <c r="C3979">
        <f>IF($B3979="","",INT($B3979))</f>
        <v/>
      </c>
      <c r="D3979">
        <f>IF($C3979="","",$C3979-WEEKDAY($C3979,2)+1)</f>
        <v/>
      </c>
      <c r="E3979">
        <f>IF($C3979="","",DATE(YEAR($C3979),MONTH($C3979),1))</f>
        <v/>
      </c>
      <c r="F3979">
        <f>IF($C3979="","",YEAR($C3979)&amp;"-Q"&amp;ROUNDUP(MONTH($C3979)/3,0))</f>
        <v/>
      </c>
      <c r="L3979">
        <f>IF($G3979&lt;&gt;"ALCOHOL","",IF($K3979="","",$H3979*IFERROR(VLOOKUP($K3979,Drink_Templates!$A:$G,7,FALSE),0)))</f>
        <v/>
      </c>
    </row>
    <row r="3980" ht="15" customHeight="1">
      <c r="C3980">
        <f>IF($B3980="","",INT($B3980))</f>
        <v/>
      </c>
      <c r="D3980">
        <f>IF($C3980="","",$C3980-WEEKDAY($C3980,2)+1)</f>
        <v/>
      </c>
      <c r="E3980">
        <f>IF($C3980="","",DATE(YEAR($C3980),MONTH($C3980),1))</f>
        <v/>
      </c>
      <c r="F3980">
        <f>IF($C3980="","",YEAR($C3980)&amp;"-Q"&amp;ROUNDUP(MONTH($C3980)/3,0))</f>
        <v/>
      </c>
      <c r="L3980">
        <f>IF($G3980&lt;&gt;"ALCOHOL","",IF($K3980="","",$H3980*IFERROR(VLOOKUP($K3980,Drink_Templates!$A:$G,7,FALSE),0)))</f>
        <v/>
      </c>
    </row>
    <row r="3981" ht="15" customHeight="1">
      <c r="C3981">
        <f>IF($B3981="","",INT($B3981))</f>
        <v/>
      </c>
      <c r="D3981">
        <f>IF($C3981="","",$C3981-WEEKDAY($C3981,2)+1)</f>
        <v/>
      </c>
      <c r="E3981">
        <f>IF($C3981="","",DATE(YEAR($C3981),MONTH($C3981),1))</f>
        <v/>
      </c>
      <c r="F3981">
        <f>IF($C3981="","",YEAR($C3981)&amp;"-Q"&amp;ROUNDUP(MONTH($C3981)/3,0))</f>
        <v/>
      </c>
      <c r="L3981">
        <f>IF($G3981&lt;&gt;"ALCOHOL","",IF($K3981="","",$H3981*IFERROR(VLOOKUP($K3981,Drink_Templates!$A:$G,7,FALSE),0)))</f>
        <v/>
      </c>
    </row>
    <row r="3982" ht="15" customHeight="1">
      <c r="C3982">
        <f>IF($B3982="","",INT($B3982))</f>
        <v/>
      </c>
      <c r="D3982">
        <f>IF($C3982="","",$C3982-WEEKDAY($C3982,2)+1)</f>
        <v/>
      </c>
      <c r="E3982">
        <f>IF($C3982="","",DATE(YEAR($C3982),MONTH($C3982),1))</f>
        <v/>
      </c>
      <c r="F3982">
        <f>IF($C3982="","",YEAR($C3982)&amp;"-Q"&amp;ROUNDUP(MONTH($C3982)/3,0))</f>
        <v/>
      </c>
      <c r="L3982">
        <f>IF($G3982&lt;&gt;"ALCOHOL","",IF($K3982="","",$H3982*IFERROR(VLOOKUP($K3982,Drink_Templates!$A:$G,7,FALSE),0)))</f>
        <v/>
      </c>
    </row>
    <row r="3983" ht="15" customHeight="1">
      <c r="C3983">
        <f>IF($B3983="","",INT($B3983))</f>
        <v/>
      </c>
      <c r="D3983">
        <f>IF($C3983="","",$C3983-WEEKDAY($C3983,2)+1)</f>
        <v/>
      </c>
      <c r="E3983">
        <f>IF($C3983="","",DATE(YEAR($C3983),MONTH($C3983),1))</f>
        <v/>
      </c>
      <c r="F3983">
        <f>IF($C3983="","",YEAR($C3983)&amp;"-Q"&amp;ROUNDUP(MONTH($C3983)/3,0))</f>
        <v/>
      </c>
      <c r="L3983">
        <f>IF($G3983&lt;&gt;"ALCOHOL","",IF($K3983="","",$H3983*IFERROR(VLOOKUP($K3983,Drink_Templates!$A:$G,7,FALSE),0)))</f>
        <v/>
      </c>
    </row>
    <row r="3984" ht="15" customHeight="1">
      <c r="C3984">
        <f>IF($B3984="","",INT($B3984))</f>
        <v/>
      </c>
      <c r="D3984">
        <f>IF($C3984="","",$C3984-WEEKDAY($C3984,2)+1)</f>
        <v/>
      </c>
      <c r="E3984">
        <f>IF($C3984="","",DATE(YEAR($C3984),MONTH($C3984),1))</f>
        <v/>
      </c>
      <c r="F3984">
        <f>IF($C3984="","",YEAR($C3984)&amp;"-Q"&amp;ROUNDUP(MONTH($C3984)/3,0))</f>
        <v/>
      </c>
      <c r="L3984">
        <f>IF($G3984&lt;&gt;"ALCOHOL","",IF($K3984="","",$H3984*IFERROR(VLOOKUP($K3984,Drink_Templates!$A:$G,7,FALSE),0)))</f>
        <v/>
      </c>
    </row>
    <row r="3985" ht="15" customHeight="1">
      <c r="C3985">
        <f>IF($B3985="","",INT($B3985))</f>
        <v/>
      </c>
      <c r="D3985">
        <f>IF($C3985="","",$C3985-WEEKDAY($C3985,2)+1)</f>
        <v/>
      </c>
      <c r="E3985">
        <f>IF($C3985="","",DATE(YEAR($C3985),MONTH($C3985),1))</f>
        <v/>
      </c>
      <c r="F3985">
        <f>IF($C3985="","",YEAR($C3985)&amp;"-Q"&amp;ROUNDUP(MONTH($C3985)/3,0))</f>
        <v/>
      </c>
      <c r="L3985">
        <f>IF($G3985&lt;&gt;"ALCOHOL","",IF($K3985="","",$H3985*IFERROR(VLOOKUP($K3985,Drink_Templates!$A:$G,7,FALSE),0)))</f>
        <v/>
      </c>
    </row>
    <row r="3986" ht="15" customHeight="1">
      <c r="C3986">
        <f>IF($B3986="","",INT($B3986))</f>
        <v/>
      </c>
      <c r="D3986">
        <f>IF($C3986="","",$C3986-WEEKDAY($C3986,2)+1)</f>
        <v/>
      </c>
      <c r="E3986">
        <f>IF($C3986="","",DATE(YEAR($C3986),MONTH($C3986),1))</f>
        <v/>
      </c>
      <c r="F3986">
        <f>IF($C3986="","",YEAR($C3986)&amp;"-Q"&amp;ROUNDUP(MONTH($C3986)/3,0))</f>
        <v/>
      </c>
      <c r="L3986">
        <f>IF($G3986&lt;&gt;"ALCOHOL","",IF($K3986="","",$H3986*IFERROR(VLOOKUP($K3986,Drink_Templates!$A:$G,7,FALSE),0)))</f>
        <v/>
      </c>
    </row>
    <row r="3987" ht="15" customHeight="1">
      <c r="C3987">
        <f>IF($B3987="","",INT($B3987))</f>
        <v/>
      </c>
      <c r="D3987">
        <f>IF($C3987="","",$C3987-WEEKDAY($C3987,2)+1)</f>
        <v/>
      </c>
      <c r="E3987">
        <f>IF($C3987="","",DATE(YEAR($C3987),MONTH($C3987),1))</f>
        <v/>
      </c>
      <c r="F3987">
        <f>IF($C3987="","",YEAR($C3987)&amp;"-Q"&amp;ROUNDUP(MONTH($C3987)/3,0))</f>
        <v/>
      </c>
      <c r="L3987">
        <f>IF($G3987&lt;&gt;"ALCOHOL","",IF($K3987="","",$H3987*IFERROR(VLOOKUP($K3987,Drink_Templates!$A:$G,7,FALSE),0)))</f>
        <v/>
      </c>
    </row>
    <row r="3988" ht="15" customHeight="1">
      <c r="C3988">
        <f>IF($B3988="","",INT($B3988))</f>
        <v/>
      </c>
      <c r="D3988">
        <f>IF($C3988="","",$C3988-WEEKDAY($C3988,2)+1)</f>
        <v/>
      </c>
      <c r="E3988">
        <f>IF($C3988="","",DATE(YEAR($C3988),MONTH($C3988),1))</f>
        <v/>
      </c>
      <c r="F3988">
        <f>IF($C3988="","",YEAR($C3988)&amp;"-Q"&amp;ROUNDUP(MONTH($C3988)/3,0))</f>
        <v/>
      </c>
      <c r="L3988">
        <f>IF($G3988&lt;&gt;"ALCOHOL","",IF($K3988="","",$H3988*IFERROR(VLOOKUP($K3988,Drink_Templates!$A:$G,7,FALSE),0)))</f>
        <v/>
      </c>
    </row>
    <row r="3989" ht="15" customHeight="1">
      <c r="C3989">
        <f>IF($B3989="","",INT($B3989))</f>
        <v/>
      </c>
      <c r="D3989">
        <f>IF($C3989="","",$C3989-WEEKDAY($C3989,2)+1)</f>
        <v/>
      </c>
      <c r="E3989">
        <f>IF($C3989="","",DATE(YEAR($C3989),MONTH($C3989),1))</f>
        <v/>
      </c>
      <c r="F3989">
        <f>IF($C3989="","",YEAR($C3989)&amp;"-Q"&amp;ROUNDUP(MONTH($C3989)/3,0))</f>
        <v/>
      </c>
      <c r="L3989">
        <f>IF($G3989&lt;&gt;"ALCOHOL","",IF($K3989="","",$H3989*IFERROR(VLOOKUP($K3989,Drink_Templates!$A:$G,7,FALSE),0)))</f>
        <v/>
      </c>
    </row>
    <row r="3990" ht="15" customHeight="1">
      <c r="C3990">
        <f>IF($B3990="","",INT($B3990))</f>
        <v/>
      </c>
      <c r="D3990">
        <f>IF($C3990="","",$C3990-WEEKDAY($C3990,2)+1)</f>
        <v/>
      </c>
      <c r="E3990">
        <f>IF($C3990="","",DATE(YEAR($C3990),MONTH($C3990),1))</f>
        <v/>
      </c>
      <c r="F3990">
        <f>IF($C3990="","",YEAR($C3990)&amp;"-Q"&amp;ROUNDUP(MONTH($C3990)/3,0))</f>
        <v/>
      </c>
      <c r="L3990">
        <f>IF($G3990&lt;&gt;"ALCOHOL","",IF($K3990="","",$H3990*IFERROR(VLOOKUP($K3990,Drink_Templates!$A:$G,7,FALSE),0)))</f>
        <v/>
      </c>
    </row>
    <row r="3991" ht="15" customHeight="1">
      <c r="C3991">
        <f>IF($B3991="","",INT($B3991))</f>
        <v/>
      </c>
      <c r="D3991">
        <f>IF($C3991="","",$C3991-WEEKDAY($C3991,2)+1)</f>
        <v/>
      </c>
      <c r="E3991">
        <f>IF($C3991="","",DATE(YEAR($C3991),MONTH($C3991),1))</f>
        <v/>
      </c>
      <c r="F3991">
        <f>IF($C3991="","",YEAR($C3991)&amp;"-Q"&amp;ROUNDUP(MONTH($C3991)/3,0))</f>
        <v/>
      </c>
      <c r="L3991">
        <f>IF($G3991&lt;&gt;"ALCOHOL","",IF($K3991="","",$H3991*IFERROR(VLOOKUP($K3991,Drink_Templates!$A:$G,7,FALSE),0)))</f>
        <v/>
      </c>
    </row>
    <row r="3992" ht="15" customHeight="1">
      <c r="C3992">
        <f>IF($B3992="","",INT($B3992))</f>
        <v/>
      </c>
      <c r="D3992">
        <f>IF($C3992="","",$C3992-WEEKDAY($C3992,2)+1)</f>
        <v/>
      </c>
      <c r="E3992">
        <f>IF($C3992="","",DATE(YEAR($C3992),MONTH($C3992),1))</f>
        <v/>
      </c>
      <c r="F3992">
        <f>IF($C3992="","",YEAR($C3992)&amp;"-Q"&amp;ROUNDUP(MONTH($C3992)/3,0))</f>
        <v/>
      </c>
      <c r="L3992">
        <f>IF($G3992&lt;&gt;"ALCOHOL","",IF($K3992="","",$H3992*IFERROR(VLOOKUP($K3992,Drink_Templates!$A:$G,7,FALSE),0)))</f>
        <v/>
      </c>
    </row>
    <row r="3993" ht="15" customHeight="1">
      <c r="C3993">
        <f>IF($B3993="","",INT($B3993))</f>
        <v/>
      </c>
      <c r="D3993">
        <f>IF($C3993="","",$C3993-WEEKDAY($C3993,2)+1)</f>
        <v/>
      </c>
      <c r="E3993">
        <f>IF($C3993="","",DATE(YEAR($C3993),MONTH($C3993),1))</f>
        <v/>
      </c>
      <c r="F3993">
        <f>IF($C3993="","",YEAR($C3993)&amp;"-Q"&amp;ROUNDUP(MONTH($C3993)/3,0))</f>
        <v/>
      </c>
      <c r="L3993">
        <f>IF($G3993&lt;&gt;"ALCOHOL","",IF($K3993="","",$H3993*IFERROR(VLOOKUP($K3993,Drink_Templates!$A:$G,7,FALSE),0)))</f>
        <v/>
      </c>
    </row>
    <row r="3994" ht="15" customHeight="1">
      <c r="C3994">
        <f>IF($B3994="","",INT($B3994))</f>
        <v/>
      </c>
      <c r="D3994">
        <f>IF($C3994="","",$C3994-WEEKDAY($C3994,2)+1)</f>
        <v/>
      </c>
      <c r="E3994">
        <f>IF($C3994="","",DATE(YEAR($C3994),MONTH($C3994),1))</f>
        <v/>
      </c>
      <c r="F3994">
        <f>IF($C3994="","",YEAR($C3994)&amp;"-Q"&amp;ROUNDUP(MONTH($C3994)/3,0))</f>
        <v/>
      </c>
      <c r="L3994">
        <f>IF($G3994&lt;&gt;"ALCOHOL","",IF($K3994="","",$H3994*IFERROR(VLOOKUP($K3994,Drink_Templates!$A:$G,7,FALSE),0)))</f>
        <v/>
      </c>
    </row>
    <row r="3995" ht="15" customHeight="1">
      <c r="C3995">
        <f>IF($B3995="","",INT($B3995))</f>
        <v/>
      </c>
      <c r="D3995">
        <f>IF($C3995="","",$C3995-WEEKDAY($C3995,2)+1)</f>
        <v/>
      </c>
      <c r="E3995">
        <f>IF($C3995="","",DATE(YEAR($C3995),MONTH($C3995),1))</f>
        <v/>
      </c>
      <c r="F3995">
        <f>IF($C3995="","",YEAR($C3995)&amp;"-Q"&amp;ROUNDUP(MONTH($C3995)/3,0))</f>
        <v/>
      </c>
      <c r="L3995">
        <f>IF($G3995&lt;&gt;"ALCOHOL","",IF($K3995="","",$H3995*IFERROR(VLOOKUP($K3995,Drink_Templates!$A:$G,7,FALSE),0)))</f>
        <v/>
      </c>
    </row>
    <row r="3996" ht="15" customHeight="1">
      <c r="C3996">
        <f>IF($B3996="","",INT($B3996))</f>
        <v/>
      </c>
      <c r="D3996">
        <f>IF($C3996="","",$C3996-WEEKDAY($C3996,2)+1)</f>
        <v/>
      </c>
      <c r="E3996">
        <f>IF($C3996="","",DATE(YEAR($C3996),MONTH($C3996),1))</f>
        <v/>
      </c>
      <c r="F3996">
        <f>IF($C3996="","",YEAR($C3996)&amp;"-Q"&amp;ROUNDUP(MONTH($C3996)/3,0))</f>
        <v/>
      </c>
      <c r="L3996">
        <f>IF($G3996&lt;&gt;"ALCOHOL","",IF($K3996="","",$H3996*IFERROR(VLOOKUP($K3996,Drink_Templates!$A:$G,7,FALSE),0)))</f>
        <v/>
      </c>
    </row>
    <row r="3997" ht="15" customHeight="1">
      <c r="C3997">
        <f>IF($B3997="","",INT($B3997))</f>
        <v/>
      </c>
      <c r="D3997">
        <f>IF($C3997="","",$C3997-WEEKDAY($C3997,2)+1)</f>
        <v/>
      </c>
      <c r="E3997">
        <f>IF($C3997="","",DATE(YEAR($C3997),MONTH($C3997),1))</f>
        <v/>
      </c>
      <c r="F3997">
        <f>IF($C3997="","",YEAR($C3997)&amp;"-Q"&amp;ROUNDUP(MONTH($C3997)/3,0))</f>
        <v/>
      </c>
      <c r="L3997">
        <f>IF($G3997&lt;&gt;"ALCOHOL","",IF($K3997="","",$H3997*IFERROR(VLOOKUP($K3997,Drink_Templates!$A:$G,7,FALSE),0)))</f>
        <v/>
      </c>
    </row>
    <row r="3998" ht="15" customHeight="1">
      <c r="C3998">
        <f>IF($B3998="","",INT($B3998))</f>
        <v/>
      </c>
      <c r="D3998">
        <f>IF($C3998="","",$C3998-WEEKDAY($C3998,2)+1)</f>
        <v/>
      </c>
      <c r="E3998">
        <f>IF($C3998="","",DATE(YEAR($C3998),MONTH($C3998),1))</f>
        <v/>
      </c>
      <c r="F3998">
        <f>IF($C3998="","",YEAR($C3998)&amp;"-Q"&amp;ROUNDUP(MONTH($C3998)/3,0))</f>
        <v/>
      </c>
      <c r="L3998">
        <f>IF($G3998&lt;&gt;"ALCOHOL","",IF($K3998="","",$H3998*IFERROR(VLOOKUP($K3998,Drink_Templates!$A:$G,7,FALSE),0)))</f>
        <v/>
      </c>
    </row>
    <row r="3999" ht="15" customHeight="1">
      <c r="C3999">
        <f>IF($B3999="","",INT($B3999))</f>
        <v/>
      </c>
      <c r="D3999">
        <f>IF($C3999="","",$C3999-WEEKDAY($C3999,2)+1)</f>
        <v/>
      </c>
      <c r="E3999">
        <f>IF($C3999="","",DATE(YEAR($C3999),MONTH($C3999),1))</f>
        <v/>
      </c>
      <c r="F3999">
        <f>IF($C3999="","",YEAR($C3999)&amp;"-Q"&amp;ROUNDUP(MONTH($C3999)/3,0))</f>
        <v/>
      </c>
      <c r="L3999">
        <f>IF($G3999&lt;&gt;"ALCOHOL","",IF($K3999="","",$H3999*IFERROR(VLOOKUP($K3999,Drink_Templates!$A:$G,7,FALSE),0)))</f>
        <v/>
      </c>
    </row>
    <row r="4000" ht="15" customHeight="1">
      <c r="C4000">
        <f>IF($B4000="","",INT($B4000))</f>
        <v/>
      </c>
      <c r="D4000">
        <f>IF($C4000="","",$C4000-WEEKDAY($C4000,2)+1)</f>
        <v/>
      </c>
      <c r="E4000">
        <f>IF($C4000="","",DATE(YEAR($C4000),MONTH($C4000),1))</f>
        <v/>
      </c>
      <c r="F4000">
        <f>IF($C4000="","",YEAR($C4000)&amp;"-Q"&amp;ROUNDUP(MONTH($C4000)/3,0))</f>
        <v/>
      </c>
      <c r="L4000">
        <f>IF($G4000&lt;&gt;"ALCOHOL","",IF($K4000="","",$H4000*IFERROR(VLOOKUP($K4000,Drink_Templates!$A:$G,7,FALSE),0)))</f>
        <v/>
      </c>
    </row>
    <row r="4001" ht="15" customHeight="1">
      <c r="C4001">
        <f>IF($B4001="","",INT($B4001))</f>
        <v/>
      </c>
      <c r="D4001">
        <f>IF($C4001="","",$C4001-WEEKDAY($C4001,2)+1)</f>
        <v/>
      </c>
      <c r="E4001">
        <f>IF($C4001="","",DATE(YEAR($C4001),MONTH($C4001),1))</f>
        <v/>
      </c>
      <c r="F4001">
        <f>IF($C4001="","",YEAR($C4001)&amp;"-Q"&amp;ROUNDUP(MONTH($C4001)/3,0))</f>
        <v/>
      </c>
      <c r="L4001">
        <f>IF($G4001&lt;&gt;"ALCOHOL","",IF($K4001="","",$H4001*IFERROR(VLOOKUP($K4001,Drink_Templates!$A:$G,7,FALSE),0)))</f>
        <v/>
      </c>
    </row>
    <row r="4002" ht="15" customHeight="1">
      <c r="C4002">
        <f>IF($B4002="","",INT($B4002))</f>
        <v/>
      </c>
      <c r="D4002">
        <f>IF($C4002="","",$C4002-WEEKDAY($C4002,2)+1)</f>
        <v/>
      </c>
      <c r="E4002">
        <f>IF($C4002="","",DATE(YEAR($C4002),MONTH($C4002),1))</f>
        <v/>
      </c>
      <c r="F4002">
        <f>IF($C4002="","",YEAR($C4002)&amp;"-Q"&amp;ROUNDUP(MONTH($C4002)/3,0))</f>
        <v/>
      </c>
      <c r="L4002">
        <f>IF($G4002&lt;&gt;"ALCOHOL","",IF($K4002="","",$H4002*IFERROR(VLOOKUP($K4002,Drink_Templates!$A:$G,7,FALSE),0)))</f>
        <v/>
      </c>
    </row>
    <row r="4003" ht="15" customHeight="1">
      <c r="C4003">
        <f>IF($B4003="","",INT($B4003))</f>
        <v/>
      </c>
      <c r="D4003">
        <f>IF($C4003="","",$C4003-WEEKDAY($C4003,2)+1)</f>
        <v/>
      </c>
      <c r="E4003">
        <f>IF($C4003="","",DATE(YEAR($C4003),MONTH($C4003),1))</f>
        <v/>
      </c>
      <c r="F4003">
        <f>IF($C4003="","",YEAR($C4003)&amp;"-Q"&amp;ROUNDUP(MONTH($C4003)/3,0))</f>
        <v/>
      </c>
      <c r="L4003">
        <f>IF($G4003&lt;&gt;"ALCOHOL","",IF($K4003="","",$H4003*IFERROR(VLOOKUP($K4003,Drink_Templates!$A:$G,7,FALSE),0)))</f>
        <v/>
      </c>
    </row>
    <row r="4004" ht="15" customHeight="1">
      <c r="C4004">
        <f>IF($B4004="","",INT($B4004))</f>
        <v/>
      </c>
      <c r="D4004">
        <f>IF($C4004="","",$C4004-WEEKDAY($C4004,2)+1)</f>
        <v/>
      </c>
      <c r="E4004">
        <f>IF($C4004="","",DATE(YEAR($C4004),MONTH($C4004),1))</f>
        <v/>
      </c>
      <c r="F4004">
        <f>IF($C4004="","",YEAR($C4004)&amp;"-Q"&amp;ROUNDUP(MONTH($C4004)/3,0))</f>
        <v/>
      </c>
      <c r="L4004">
        <f>IF($G4004&lt;&gt;"ALCOHOL","",IF($K4004="","",$H4004*IFERROR(VLOOKUP($K4004,Drink_Templates!$A:$G,7,FALSE),0)))</f>
        <v/>
      </c>
    </row>
    <row r="4005" ht="15" customHeight="1">
      <c r="C4005">
        <f>IF($B4005="","",INT($B4005))</f>
        <v/>
      </c>
      <c r="D4005">
        <f>IF($C4005="","",$C4005-WEEKDAY($C4005,2)+1)</f>
        <v/>
      </c>
      <c r="E4005">
        <f>IF($C4005="","",DATE(YEAR($C4005),MONTH($C4005),1))</f>
        <v/>
      </c>
      <c r="F4005">
        <f>IF($C4005="","",YEAR($C4005)&amp;"-Q"&amp;ROUNDUP(MONTH($C4005)/3,0))</f>
        <v/>
      </c>
      <c r="L4005">
        <f>IF($G4005&lt;&gt;"ALCOHOL","",IF($K4005="","",$H4005*IFERROR(VLOOKUP($K4005,Drink_Templates!$A:$G,7,FALSE),0)))</f>
        <v/>
      </c>
    </row>
    <row r="4006" ht="15" customHeight="1">
      <c r="C4006">
        <f>IF($B4006="","",INT($B4006))</f>
        <v/>
      </c>
      <c r="D4006">
        <f>IF($C4006="","",$C4006-WEEKDAY($C4006,2)+1)</f>
        <v/>
      </c>
      <c r="E4006">
        <f>IF($C4006="","",DATE(YEAR($C4006),MONTH($C4006),1))</f>
        <v/>
      </c>
      <c r="F4006">
        <f>IF($C4006="","",YEAR($C4006)&amp;"-Q"&amp;ROUNDUP(MONTH($C4006)/3,0))</f>
        <v/>
      </c>
      <c r="L4006">
        <f>IF($G4006&lt;&gt;"ALCOHOL","",IF($K4006="","",$H4006*IFERROR(VLOOKUP($K4006,Drink_Templates!$A:$G,7,FALSE),0)))</f>
        <v/>
      </c>
    </row>
    <row r="4007" ht="15" customHeight="1">
      <c r="C4007">
        <f>IF($B4007="","",INT($B4007))</f>
        <v/>
      </c>
      <c r="D4007">
        <f>IF($C4007="","",$C4007-WEEKDAY($C4007,2)+1)</f>
        <v/>
      </c>
      <c r="E4007">
        <f>IF($C4007="","",DATE(YEAR($C4007),MONTH($C4007),1))</f>
        <v/>
      </c>
      <c r="F4007">
        <f>IF($C4007="","",YEAR($C4007)&amp;"-Q"&amp;ROUNDUP(MONTH($C4007)/3,0))</f>
        <v/>
      </c>
      <c r="L4007">
        <f>IF($G4007&lt;&gt;"ALCOHOL","",IF($K4007="","",$H4007*IFERROR(VLOOKUP($K4007,Drink_Templates!$A:$G,7,FALSE),0)))</f>
        <v/>
      </c>
    </row>
    <row r="4008" ht="15" customHeight="1">
      <c r="C4008">
        <f>IF($B4008="","",INT($B4008))</f>
        <v/>
      </c>
      <c r="D4008">
        <f>IF($C4008="","",$C4008-WEEKDAY($C4008,2)+1)</f>
        <v/>
      </c>
      <c r="E4008">
        <f>IF($C4008="","",DATE(YEAR($C4008),MONTH($C4008),1))</f>
        <v/>
      </c>
      <c r="F4008">
        <f>IF($C4008="","",YEAR($C4008)&amp;"-Q"&amp;ROUNDUP(MONTH($C4008)/3,0))</f>
        <v/>
      </c>
      <c r="L4008">
        <f>IF($G4008&lt;&gt;"ALCOHOL","",IF($K4008="","",$H4008*IFERROR(VLOOKUP($K4008,Drink_Templates!$A:$G,7,FALSE),0)))</f>
        <v/>
      </c>
    </row>
    <row r="4009" ht="15" customHeight="1">
      <c r="C4009">
        <f>IF($B4009="","",INT($B4009))</f>
        <v/>
      </c>
      <c r="D4009">
        <f>IF($C4009="","",$C4009-WEEKDAY($C4009,2)+1)</f>
        <v/>
      </c>
      <c r="E4009">
        <f>IF($C4009="","",DATE(YEAR($C4009),MONTH($C4009),1))</f>
        <v/>
      </c>
      <c r="F4009">
        <f>IF($C4009="","",YEAR($C4009)&amp;"-Q"&amp;ROUNDUP(MONTH($C4009)/3,0))</f>
        <v/>
      </c>
      <c r="L4009">
        <f>IF($G4009&lt;&gt;"ALCOHOL","",IF($K4009="","",$H4009*IFERROR(VLOOKUP($K4009,Drink_Templates!$A:$G,7,FALSE),0)))</f>
        <v/>
      </c>
    </row>
    <row r="4010" ht="15" customHeight="1">
      <c r="C4010">
        <f>IF($B4010="","",INT($B4010))</f>
        <v/>
      </c>
      <c r="D4010">
        <f>IF($C4010="","",$C4010-WEEKDAY($C4010,2)+1)</f>
        <v/>
      </c>
      <c r="E4010">
        <f>IF($C4010="","",DATE(YEAR($C4010),MONTH($C4010),1))</f>
        <v/>
      </c>
      <c r="F4010">
        <f>IF($C4010="","",YEAR($C4010)&amp;"-Q"&amp;ROUNDUP(MONTH($C4010)/3,0))</f>
        <v/>
      </c>
      <c r="L4010">
        <f>IF($G4010&lt;&gt;"ALCOHOL","",IF($K4010="","",$H4010*IFERROR(VLOOKUP($K4010,Drink_Templates!$A:$G,7,FALSE),0)))</f>
        <v/>
      </c>
    </row>
    <row r="4011" ht="15" customHeight="1">
      <c r="C4011">
        <f>IF($B4011="","",INT($B4011))</f>
        <v/>
      </c>
      <c r="D4011">
        <f>IF($C4011="","",$C4011-WEEKDAY($C4011,2)+1)</f>
        <v/>
      </c>
      <c r="E4011">
        <f>IF($C4011="","",DATE(YEAR($C4011),MONTH($C4011),1))</f>
        <v/>
      </c>
      <c r="F4011">
        <f>IF($C4011="","",YEAR($C4011)&amp;"-Q"&amp;ROUNDUP(MONTH($C4011)/3,0))</f>
        <v/>
      </c>
      <c r="L4011">
        <f>IF($G4011&lt;&gt;"ALCOHOL","",IF($K4011="","",$H4011*IFERROR(VLOOKUP($K4011,Drink_Templates!$A:$G,7,FALSE),0)))</f>
        <v/>
      </c>
    </row>
    <row r="4012" ht="15" customHeight="1">
      <c r="C4012">
        <f>IF($B4012="","",INT($B4012))</f>
        <v/>
      </c>
      <c r="D4012">
        <f>IF($C4012="","",$C4012-WEEKDAY($C4012,2)+1)</f>
        <v/>
      </c>
      <c r="E4012">
        <f>IF($C4012="","",DATE(YEAR($C4012),MONTH($C4012),1))</f>
        <v/>
      </c>
      <c r="F4012">
        <f>IF($C4012="","",YEAR($C4012)&amp;"-Q"&amp;ROUNDUP(MONTH($C4012)/3,0))</f>
        <v/>
      </c>
      <c r="L4012">
        <f>IF($G4012&lt;&gt;"ALCOHOL","",IF($K4012="","",$H4012*IFERROR(VLOOKUP($K4012,Drink_Templates!$A:$G,7,FALSE),0)))</f>
        <v/>
      </c>
    </row>
    <row r="4013" ht="15" customHeight="1">
      <c r="C4013">
        <f>IF($B4013="","",INT($B4013))</f>
        <v/>
      </c>
      <c r="D4013">
        <f>IF($C4013="","",$C4013-WEEKDAY($C4013,2)+1)</f>
        <v/>
      </c>
      <c r="E4013">
        <f>IF($C4013="","",DATE(YEAR($C4013),MONTH($C4013),1))</f>
        <v/>
      </c>
      <c r="F4013">
        <f>IF($C4013="","",YEAR($C4013)&amp;"-Q"&amp;ROUNDUP(MONTH($C4013)/3,0))</f>
        <v/>
      </c>
      <c r="L4013">
        <f>IF($G4013&lt;&gt;"ALCOHOL","",IF($K4013="","",$H4013*IFERROR(VLOOKUP($K4013,Drink_Templates!$A:$G,7,FALSE),0)))</f>
        <v/>
      </c>
    </row>
    <row r="4014" ht="15" customHeight="1">
      <c r="C4014">
        <f>IF($B4014="","",INT($B4014))</f>
        <v/>
      </c>
      <c r="D4014">
        <f>IF($C4014="","",$C4014-WEEKDAY($C4014,2)+1)</f>
        <v/>
      </c>
      <c r="E4014">
        <f>IF($C4014="","",DATE(YEAR($C4014),MONTH($C4014),1))</f>
        <v/>
      </c>
      <c r="F4014">
        <f>IF($C4014="","",YEAR($C4014)&amp;"-Q"&amp;ROUNDUP(MONTH($C4014)/3,0))</f>
        <v/>
      </c>
      <c r="L4014">
        <f>IF($G4014&lt;&gt;"ALCOHOL","",IF($K4014="","",$H4014*IFERROR(VLOOKUP($K4014,Drink_Templates!$A:$G,7,FALSE),0)))</f>
        <v/>
      </c>
    </row>
    <row r="4015" ht="15" customHeight="1">
      <c r="C4015">
        <f>IF($B4015="","",INT($B4015))</f>
        <v/>
      </c>
      <c r="D4015">
        <f>IF($C4015="","",$C4015-WEEKDAY($C4015,2)+1)</f>
        <v/>
      </c>
      <c r="E4015">
        <f>IF($C4015="","",DATE(YEAR($C4015),MONTH($C4015),1))</f>
        <v/>
      </c>
      <c r="F4015">
        <f>IF($C4015="","",YEAR($C4015)&amp;"-Q"&amp;ROUNDUP(MONTH($C4015)/3,0))</f>
        <v/>
      </c>
      <c r="L4015">
        <f>IF($G4015&lt;&gt;"ALCOHOL","",IF($K4015="","",$H4015*IFERROR(VLOOKUP($K4015,Drink_Templates!$A:$G,7,FALSE),0)))</f>
        <v/>
      </c>
    </row>
    <row r="4016" ht="15" customHeight="1">
      <c r="C4016">
        <f>IF($B4016="","",INT($B4016))</f>
        <v/>
      </c>
      <c r="D4016">
        <f>IF($C4016="","",$C4016-WEEKDAY($C4016,2)+1)</f>
        <v/>
      </c>
      <c r="E4016">
        <f>IF($C4016="","",DATE(YEAR($C4016),MONTH($C4016),1))</f>
        <v/>
      </c>
      <c r="F4016">
        <f>IF($C4016="","",YEAR($C4016)&amp;"-Q"&amp;ROUNDUP(MONTH($C4016)/3,0))</f>
        <v/>
      </c>
      <c r="L4016">
        <f>IF($G4016&lt;&gt;"ALCOHOL","",IF($K4016="","",$H4016*IFERROR(VLOOKUP($K4016,Drink_Templates!$A:$G,7,FALSE),0)))</f>
        <v/>
      </c>
    </row>
    <row r="4017" ht="15" customHeight="1">
      <c r="C4017">
        <f>IF($B4017="","",INT($B4017))</f>
        <v/>
      </c>
      <c r="D4017">
        <f>IF($C4017="","",$C4017-WEEKDAY($C4017,2)+1)</f>
        <v/>
      </c>
      <c r="E4017">
        <f>IF($C4017="","",DATE(YEAR($C4017),MONTH($C4017),1))</f>
        <v/>
      </c>
      <c r="F4017">
        <f>IF($C4017="","",YEAR($C4017)&amp;"-Q"&amp;ROUNDUP(MONTH($C4017)/3,0))</f>
        <v/>
      </c>
      <c r="L4017">
        <f>IF($G4017&lt;&gt;"ALCOHOL","",IF($K4017="","",$H4017*IFERROR(VLOOKUP($K4017,Drink_Templates!$A:$G,7,FALSE),0)))</f>
        <v/>
      </c>
    </row>
    <row r="4018" ht="15" customHeight="1">
      <c r="C4018">
        <f>IF($B4018="","",INT($B4018))</f>
        <v/>
      </c>
      <c r="D4018">
        <f>IF($C4018="","",$C4018-WEEKDAY($C4018,2)+1)</f>
        <v/>
      </c>
      <c r="E4018">
        <f>IF($C4018="","",DATE(YEAR($C4018),MONTH($C4018),1))</f>
        <v/>
      </c>
      <c r="F4018">
        <f>IF($C4018="","",YEAR($C4018)&amp;"-Q"&amp;ROUNDUP(MONTH($C4018)/3,0))</f>
        <v/>
      </c>
      <c r="L4018">
        <f>IF($G4018&lt;&gt;"ALCOHOL","",IF($K4018="","",$H4018*IFERROR(VLOOKUP($K4018,Drink_Templates!$A:$G,7,FALSE),0)))</f>
        <v/>
      </c>
    </row>
    <row r="4019" ht="15" customHeight="1">
      <c r="C4019">
        <f>IF($B4019="","",INT($B4019))</f>
        <v/>
      </c>
      <c r="D4019">
        <f>IF($C4019="","",$C4019-WEEKDAY($C4019,2)+1)</f>
        <v/>
      </c>
      <c r="E4019">
        <f>IF($C4019="","",DATE(YEAR($C4019),MONTH($C4019),1))</f>
        <v/>
      </c>
      <c r="F4019">
        <f>IF($C4019="","",YEAR($C4019)&amp;"-Q"&amp;ROUNDUP(MONTH($C4019)/3,0))</f>
        <v/>
      </c>
      <c r="L4019">
        <f>IF($G4019&lt;&gt;"ALCOHOL","",IF($K4019="","",$H4019*IFERROR(VLOOKUP($K4019,Drink_Templates!$A:$G,7,FALSE),0)))</f>
        <v/>
      </c>
    </row>
    <row r="4020" ht="15" customHeight="1">
      <c r="C4020">
        <f>IF($B4020="","",INT($B4020))</f>
        <v/>
      </c>
      <c r="D4020">
        <f>IF($C4020="","",$C4020-WEEKDAY($C4020,2)+1)</f>
        <v/>
      </c>
      <c r="E4020">
        <f>IF($C4020="","",DATE(YEAR($C4020),MONTH($C4020),1))</f>
        <v/>
      </c>
      <c r="F4020">
        <f>IF($C4020="","",YEAR($C4020)&amp;"-Q"&amp;ROUNDUP(MONTH($C4020)/3,0))</f>
        <v/>
      </c>
      <c r="L4020">
        <f>IF($G4020&lt;&gt;"ALCOHOL","",IF($K4020="","",$H4020*IFERROR(VLOOKUP($K4020,Drink_Templates!$A:$G,7,FALSE),0)))</f>
        <v/>
      </c>
    </row>
    <row r="4021" ht="15" customHeight="1">
      <c r="C4021">
        <f>IF($B4021="","",INT($B4021))</f>
        <v/>
      </c>
      <c r="D4021">
        <f>IF($C4021="","",$C4021-WEEKDAY($C4021,2)+1)</f>
        <v/>
      </c>
      <c r="E4021">
        <f>IF($C4021="","",DATE(YEAR($C4021),MONTH($C4021),1))</f>
        <v/>
      </c>
      <c r="F4021">
        <f>IF($C4021="","",YEAR($C4021)&amp;"-Q"&amp;ROUNDUP(MONTH($C4021)/3,0))</f>
        <v/>
      </c>
      <c r="L4021">
        <f>IF($G4021&lt;&gt;"ALCOHOL","",IF($K4021="","",$H4021*IFERROR(VLOOKUP($K4021,Drink_Templates!$A:$G,7,FALSE),0)))</f>
        <v/>
      </c>
    </row>
    <row r="4022" ht="15" customHeight="1">
      <c r="C4022">
        <f>IF($B4022="","",INT($B4022))</f>
        <v/>
      </c>
      <c r="D4022">
        <f>IF($C4022="","",$C4022-WEEKDAY($C4022,2)+1)</f>
        <v/>
      </c>
      <c r="E4022">
        <f>IF($C4022="","",DATE(YEAR($C4022),MONTH($C4022),1))</f>
        <v/>
      </c>
      <c r="F4022">
        <f>IF($C4022="","",YEAR($C4022)&amp;"-Q"&amp;ROUNDUP(MONTH($C4022)/3,0))</f>
        <v/>
      </c>
      <c r="L4022">
        <f>IF($G4022&lt;&gt;"ALCOHOL","",IF($K4022="","",$H4022*IFERROR(VLOOKUP($K4022,Drink_Templates!$A:$G,7,FALSE),0)))</f>
        <v/>
      </c>
    </row>
    <row r="4023" ht="15" customHeight="1">
      <c r="C4023">
        <f>IF($B4023="","",INT($B4023))</f>
        <v/>
      </c>
      <c r="D4023">
        <f>IF($C4023="","",$C4023-WEEKDAY($C4023,2)+1)</f>
        <v/>
      </c>
      <c r="E4023">
        <f>IF($C4023="","",DATE(YEAR($C4023),MONTH($C4023),1))</f>
        <v/>
      </c>
      <c r="F4023">
        <f>IF($C4023="","",YEAR($C4023)&amp;"-Q"&amp;ROUNDUP(MONTH($C4023)/3,0))</f>
        <v/>
      </c>
      <c r="L4023">
        <f>IF($G4023&lt;&gt;"ALCOHOL","",IF($K4023="","",$H4023*IFERROR(VLOOKUP($K4023,Drink_Templates!$A:$G,7,FALSE),0)))</f>
        <v/>
      </c>
    </row>
    <row r="4024" ht="15" customHeight="1">
      <c r="C4024">
        <f>IF($B4024="","",INT($B4024))</f>
        <v/>
      </c>
      <c r="D4024">
        <f>IF($C4024="","",$C4024-WEEKDAY($C4024,2)+1)</f>
        <v/>
      </c>
      <c r="E4024">
        <f>IF($C4024="","",DATE(YEAR($C4024),MONTH($C4024),1))</f>
        <v/>
      </c>
      <c r="F4024">
        <f>IF($C4024="","",YEAR($C4024)&amp;"-Q"&amp;ROUNDUP(MONTH($C4024)/3,0))</f>
        <v/>
      </c>
      <c r="L4024">
        <f>IF($G4024&lt;&gt;"ALCOHOL","",IF($K4024="","",$H4024*IFERROR(VLOOKUP($K4024,Drink_Templates!$A:$G,7,FALSE),0)))</f>
        <v/>
      </c>
    </row>
    <row r="4025" ht="15" customHeight="1">
      <c r="C4025">
        <f>IF($B4025="","",INT($B4025))</f>
        <v/>
      </c>
      <c r="D4025">
        <f>IF($C4025="","",$C4025-WEEKDAY($C4025,2)+1)</f>
        <v/>
      </c>
      <c r="E4025">
        <f>IF($C4025="","",DATE(YEAR($C4025),MONTH($C4025),1))</f>
        <v/>
      </c>
      <c r="F4025">
        <f>IF($C4025="","",YEAR($C4025)&amp;"-Q"&amp;ROUNDUP(MONTH($C4025)/3,0))</f>
        <v/>
      </c>
      <c r="L4025">
        <f>IF($G4025&lt;&gt;"ALCOHOL","",IF($K4025="","",$H4025*IFERROR(VLOOKUP($K4025,Drink_Templates!$A:$G,7,FALSE),0)))</f>
        <v/>
      </c>
    </row>
    <row r="4026" ht="15" customHeight="1">
      <c r="C4026">
        <f>IF($B4026="","",INT($B4026))</f>
        <v/>
      </c>
      <c r="D4026">
        <f>IF($C4026="","",$C4026-WEEKDAY($C4026,2)+1)</f>
        <v/>
      </c>
      <c r="E4026">
        <f>IF($C4026="","",DATE(YEAR($C4026),MONTH($C4026),1))</f>
        <v/>
      </c>
      <c r="F4026">
        <f>IF($C4026="","",YEAR($C4026)&amp;"-Q"&amp;ROUNDUP(MONTH($C4026)/3,0))</f>
        <v/>
      </c>
      <c r="L4026">
        <f>IF($G4026&lt;&gt;"ALCOHOL","",IF($K4026="","",$H4026*IFERROR(VLOOKUP($K4026,Drink_Templates!$A:$G,7,FALSE),0)))</f>
        <v/>
      </c>
    </row>
    <row r="4027" ht="15" customHeight="1">
      <c r="C4027">
        <f>IF($B4027="","",INT($B4027))</f>
        <v/>
      </c>
      <c r="D4027">
        <f>IF($C4027="","",$C4027-WEEKDAY($C4027,2)+1)</f>
        <v/>
      </c>
      <c r="E4027">
        <f>IF($C4027="","",DATE(YEAR($C4027),MONTH($C4027),1))</f>
        <v/>
      </c>
      <c r="F4027">
        <f>IF($C4027="","",YEAR($C4027)&amp;"-Q"&amp;ROUNDUP(MONTH($C4027)/3,0))</f>
        <v/>
      </c>
      <c r="L4027">
        <f>IF($G4027&lt;&gt;"ALCOHOL","",IF($K4027="","",$H4027*IFERROR(VLOOKUP($K4027,Drink_Templates!$A:$G,7,FALSE),0)))</f>
        <v/>
      </c>
    </row>
    <row r="4028" ht="15" customHeight="1">
      <c r="C4028">
        <f>IF($B4028="","",INT($B4028))</f>
        <v/>
      </c>
      <c r="D4028">
        <f>IF($C4028="","",$C4028-WEEKDAY($C4028,2)+1)</f>
        <v/>
      </c>
      <c r="E4028">
        <f>IF($C4028="","",DATE(YEAR($C4028),MONTH($C4028),1))</f>
        <v/>
      </c>
      <c r="F4028">
        <f>IF($C4028="","",YEAR($C4028)&amp;"-Q"&amp;ROUNDUP(MONTH($C4028)/3,0))</f>
        <v/>
      </c>
      <c r="L4028">
        <f>IF($G4028&lt;&gt;"ALCOHOL","",IF($K4028="","",$H4028*IFERROR(VLOOKUP($K4028,Drink_Templates!$A:$G,7,FALSE),0)))</f>
        <v/>
      </c>
    </row>
    <row r="4029" ht="15" customHeight="1">
      <c r="C4029">
        <f>IF($B4029="","",INT($B4029))</f>
        <v/>
      </c>
      <c r="D4029">
        <f>IF($C4029="","",$C4029-WEEKDAY($C4029,2)+1)</f>
        <v/>
      </c>
      <c r="E4029">
        <f>IF($C4029="","",DATE(YEAR($C4029),MONTH($C4029),1))</f>
        <v/>
      </c>
      <c r="F4029">
        <f>IF($C4029="","",YEAR($C4029)&amp;"-Q"&amp;ROUNDUP(MONTH($C4029)/3,0))</f>
        <v/>
      </c>
      <c r="L4029">
        <f>IF($G4029&lt;&gt;"ALCOHOL","",IF($K4029="","",$H4029*IFERROR(VLOOKUP($K4029,Drink_Templates!$A:$G,7,FALSE),0)))</f>
        <v/>
      </c>
    </row>
    <row r="4030" ht="15" customHeight="1">
      <c r="C4030">
        <f>IF($B4030="","",INT($B4030))</f>
        <v/>
      </c>
      <c r="D4030">
        <f>IF($C4030="","",$C4030-WEEKDAY($C4030,2)+1)</f>
        <v/>
      </c>
      <c r="E4030">
        <f>IF($C4030="","",DATE(YEAR($C4030),MONTH($C4030),1))</f>
        <v/>
      </c>
      <c r="F4030">
        <f>IF($C4030="","",YEAR($C4030)&amp;"-Q"&amp;ROUNDUP(MONTH($C4030)/3,0))</f>
        <v/>
      </c>
      <c r="L4030">
        <f>IF($G4030&lt;&gt;"ALCOHOL","",IF($K4030="","",$H4030*IFERROR(VLOOKUP($K4030,Drink_Templates!$A:$G,7,FALSE),0)))</f>
        <v/>
      </c>
    </row>
    <row r="4031" ht="15" customHeight="1">
      <c r="C4031">
        <f>IF($B4031="","",INT($B4031))</f>
        <v/>
      </c>
      <c r="D4031">
        <f>IF($C4031="","",$C4031-WEEKDAY($C4031,2)+1)</f>
        <v/>
      </c>
      <c r="E4031">
        <f>IF($C4031="","",DATE(YEAR($C4031),MONTH($C4031),1))</f>
        <v/>
      </c>
      <c r="F4031">
        <f>IF($C4031="","",YEAR($C4031)&amp;"-Q"&amp;ROUNDUP(MONTH($C4031)/3,0))</f>
        <v/>
      </c>
      <c r="L4031">
        <f>IF($G4031&lt;&gt;"ALCOHOL","",IF($K4031="","",$H4031*IFERROR(VLOOKUP($K4031,Drink_Templates!$A:$G,7,FALSE),0)))</f>
        <v/>
      </c>
    </row>
    <row r="4032" ht="15" customHeight="1">
      <c r="C4032">
        <f>IF($B4032="","",INT($B4032))</f>
        <v/>
      </c>
      <c r="D4032">
        <f>IF($C4032="","",$C4032-WEEKDAY($C4032,2)+1)</f>
        <v/>
      </c>
      <c r="E4032">
        <f>IF($C4032="","",DATE(YEAR($C4032),MONTH($C4032),1))</f>
        <v/>
      </c>
      <c r="F4032">
        <f>IF($C4032="","",YEAR($C4032)&amp;"-Q"&amp;ROUNDUP(MONTH($C4032)/3,0))</f>
        <v/>
      </c>
      <c r="L4032">
        <f>IF($G4032&lt;&gt;"ALCOHOL","",IF($K4032="","",$H4032*IFERROR(VLOOKUP($K4032,Drink_Templates!$A:$G,7,FALSE),0)))</f>
        <v/>
      </c>
    </row>
    <row r="4033" ht="15" customHeight="1">
      <c r="C4033">
        <f>IF($B4033="","",INT($B4033))</f>
        <v/>
      </c>
      <c r="D4033">
        <f>IF($C4033="","",$C4033-WEEKDAY($C4033,2)+1)</f>
        <v/>
      </c>
      <c r="E4033">
        <f>IF($C4033="","",DATE(YEAR($C4033),MONTH($C4033),1))</f>
        <v/>
      </c>
      <c r="F4033">
        <f>IF($C4033="","",YEAR($C4033)&amp;"-Q"&amp;ROUNDUP(MONTH($C4033)/3,0))</f>
        <v/>
      </c>
      <c r="L4033">
        <f>IF($G4033&lt;&gt;"ALCOHOL","",IF($K4033="","",$H4033*IFERROR(VLOOKUP($K4033,Drink_Templates!$A:$G,7,FALSE),0)))</f>
        <v/>
      </c>
    </row>
    <row r="4034" ht="15" customHeight="1">
      <c r="C4034">
        <f>IF($B4034="","",INT($B4034))</f>
        <v/>
      </c>
      <c r="D4034">
        <f>IF($C4034="","",$C4034-WEEKDAY($C4034,2)+1)</f>
        <v/>
      </c>
      <c r="E4034">
        <f>IF($C4034="","",DATE(YEAR($C4034),MONTH($C4034),1))</f>
        <v/>
      </c>
      <c r="F4034">
        <f>IF($C4034="","",YEAR($C4034)&amp;"-Q"&amp;ROUNDUP(MONTH($C4034)/3,0))</f>
        <v/>
      </c>
      <c r="L4034">
        <f>IF($G4034&lt;&gt;"ALCOHOL","",IF($K4034="","",$H4034*IFERROR(VLOOKUP($K4034,Drink_Templates!$A:$G,7,FALSE),0)))</f>
        <v/>
      </c>
    </row>
    <row r="4035" ht="15" customHeight="1">
      <c r="C4035">
        <f>IF($B4035="","",INT($B4035))</f>
        <v/>
      </c>
      <c r="D4035">
        <f>IF($C4035="","",$C4035-WEEKDAY($C4035,2)+1)</f>
        <v/>
      </c>
      <c r="E4035">
        <f>IF($C4035="","",DATE(YEAR($C4035),MONTH($C4035),1))</f>
        <v/>
      </c>
      <c r="F4035">
        <f>IF($C4035="","",YEAR($C4035)&amp;"-Q"&amp;ROUNDUP(MONTH($C4035)/3,0))</f>
        <v/>
      </c>
      <c r="L4035">
        <f>IF($G4035&lt;&gt;"ALCOHOL","",IF($K4035="","",$H4035*IFERROR(VLOOKUP($K4035,Drink_Templates!$A:$G,7,FALSE),0)))</f>
        <v/>
      </c>
    </row>
    <row r="4036" ht="15" customHeight="1">
      <c r="C4036">
        <f>IF($B4036="","",INT($B4036))</f>
        <v/>
      </c>
      <c r="D4036">
        <f>IF($C4036="","",$C4036-WEEKDAY($C4036,2)+1)</f>
        <v/>
      </c>
      <c r="E4036">
        <f>IF($C4036="","",DATE(YEAR($C4036),MONTH($C4036),1))</f>
        <v/>
      </c>
      <c r="F4036">
        <f>IF($C4036="","",YEAR($C4036)&amp;"-Q"&amp;ROUNDUP(MONTH($C4036)/3,0))</f>
        <v/>
      </c>
      <c r="L4036">
        <f>IF($G4036&lt;&gt;"ALCOHOL","",IF($K4036="","",$H4036*IFERROR(VLOOKUP($K4036,Drink_Templates!$A:$G,7,FALSE),0)))</f>
        <v/>
      </c>
    </row>
    <row r="4037" ht="15" customHeight="1">
      <c r="C4037">
        <f>IF($B4037="","",INT($B4037))</f>
        <v/>
      </c>
      <c r="D4037">
        <f>IF($C4037="","",$C4037-WEEKDAY($C4037,2)+1)</f>
        <v/>
      </c>
      <c r="E4037">
        <f>IF($C4037="","",DATE(YEAR($C4037),MONTH($C4037),1))</f>
        <v/>
      </c>
      <c r="F4037">
        <f>IF($C4037="","",YEAR($C4037)&amp;"-Q"&amp;ROUNDUP(MONTH($C4037)/3,0))</f>
        <v/>
      </c>
      <c r="L4037">
        <f>IF($G4037&lt;&gt;"ALCOHOL","",IF($K4037="","",$H4037*IFERROR(VLOOKUP($K4037,Drink_Templates!$A:$G,7,FALSE),0)))</f>
        <v/>
      </c>
    </row>
    <row r="4038" ht="15" customHeight="1">
      <c r="C4038">
        <f>IF($B4038="","",INT($B4038))</f>
        <v/>
      </c>
      <c r="D4038">
        <f>IF($C4038="","",$C4038-WEEKDAY($C4038,2)+1)</f>
        <v/>
      </c>
      <c r="E4038">
        <f>IF($C4038="","",DATE(YEAR($C4038),MONTH($C4038),1))</f>
        <v/>
      </c>
      <c r="F4038">
        <f>IF($C4038="","",YEAR($C4038)&amp;"-Q"&amp;ROUNDUP(MONTH($C4038)/3,0))</f>
        <v/>
      </c>
      <c r="L4038">
        <f>IF($G4038&lt;&gt;"ALCOHOL","",IF($K4038="","",$H4038*IFERROR(VLOOKUP($K4038,Drink_Templates!$A:$G,7,FALSE),0)))</f>
        <v/>
      </c>
    </row>
    <row r="4039" ht="15" customHeight="1">
      <c r="C4039">
        <f>IF($B4039="","",INT($B4039))</f>
        <v/>
      </c>
      <c r="D4039">
        <f>IF($C4039="","",$C4039-WEEKDAY($C4039,2)+1)</f>
        <v/>
      </c>
      <c r="E4039">
        <f>IF($C4039="","",DATE(YEAR($C4039),MONTH($C4039),1))</f>
        <v/>
      </c>
      <c r="F4039">
        <f>IF($C4039="","",YEAR($C4039)&amp;"-Q"&amp;ROUNDUP(MONTH($C4039)/3,0))</f>
        <v/>
      </c>
      <c r="L4039">
        <f>IF($G4039&lt;&gt;"ALCOHOL","",IF($K4039="","",$H4039*IFERROR(VLOOKUP($K4039,Drink_Templates!$A:$G,7,FALSE),0)))</f>
        <v/>
      </c>
    </row>
    <row r="4040" ht="15" customHeight="1">
      <c r="C4040">
        <f>IF($B4040="","",INT($B4040))</f>
        <v/>
      </c>
      <c r="D4040">
        <f>IF($C4040="","",$C4040-WEEKDAY($C4040,2)+1)</f>
        <v/>
      </c>
      <c r="E4040">
        <f>IF($C4040="","",DATE(YEAR($C4040),MONTH($C4040),1))</f>
        <v/>
      </c>
      <c r="F4040">
        <f>IF($C4040="","",YEAR($C4040)&amp;"-Q"&amp;ROUNDUP(MONTH($C4040)/3,0))</f>
        <v/>
      </c>
      <c r="L4040">
        <f>IF($G4040&lt;&gt;"ALCOHOL","",IF($K4040="","",$H4040*IFERROR(VLOOKUP($K4040,Drink_Templates!$A:$G,7,FALSE),0)))</f>
        <v/>
      </c>
    </row>
    <row r="4041" ht="15" customHeight="1">
      <c r="C4041">
        <f>IF($B4041="","",INT($B4041))</f>
        <v/>
      </c>
      <c r="D4041">
        <f>IF($C4041="","",$C4041-WEEKDAY($C4041,2)+1)</f>
        <v/>
      </c>
      <c r="E4041">
        <f>IF($C4041="","",DATE(YEAR($C4041),MONTH($C4041),1))</f>
        <v/>
      </c>
      <c r="F4041">
        <f>IF($C4041="","",YEAR($C4041)&amp;"-Q"&amp;ROUNDUP(MONTH($C4041)/3,0))</f>
        <v/>
      </c>
      <c r="L4041">
        <f>IF($G4041&lt;&gt;"ALCOHOL","",IF($K4041="","",$H4041*IFERROR(VLOOKUP($K4041,Drink_Templates!$A:$G,7,FALSE),0)))</f>
        <v/>
      </c>
    </row>
    <row r="4042" ht="15" customHeight="1">
      <c r="C4042">
        <f>IF($B4042="","",INT($B4042))</f>
        <v/>
      </c>
      <c r="D4042">
        <f>IF($C4042="","",$C4042-WEEKDAY($C4042,2)+1)</f>
        <v/>
      </c>
      <c r="E4042">
        <f>IF($C4042="","",DATE(YEAR($C4042),MONTH($C4042),1))</f>
        <v/>
      </c>
      <c r="F4042">
        <f>IF($C4042="","",YEAR($C4042)&amp;"-Q"&amp;ROUNDUP(MONTH($C4042)/3,0))</f>
        <v/>
      </c>
      <c r="L4042">
        <f>IF($G4042&lt;&gt;"ALCOHOL","",IF($K4042="","",$H4042*IFERROR(VLOOKUP($K4042,Drink_Templates!$A:$G,7,FALSE),0)))</f>
        <v/>
      </c>
    </row>
    <row r="4043" ht="15" customHeight="1">
      <c r="C4043">
        <f>IF($B4043="","",INT($B4043))</f>
        <v/>
      </c>
      <c r="D4043">
        <f>IF($C4043="","",$C4043-WEEKDAY($C4043,2)+1)</f>
        <v/>
      </c>
      <c r="E4043">
        <f>IF($C4043="","",DATE(YEAR($C4043),MONTH($C4043),1))</f>
        <v/>
      </c>
      <c r="F4043">
        <f>IF($C4043="","",YEAR($C4043)&amp;"-Q"&amp;ROUNDUP(MONTH($C4043)/3,0))</f>
        <v/>
      </c>
      <c r="L4043">
        <f>IF($G4043&lt;&gt;"ALCOHOL","",IF($K4043="","",$H4043*IFERROR(VLOOKUP($K4043,Drink_Templates!$A:$G,7,FALSE),0)))</f>
        <v/>
      </c>
    </row>
    <row r="4044" ht="15" customHeight="1">
      <c r="C4044">
        <f>IF($B4044="","",INT($B4044))</f>
        <v/>
      </c>
      <c r="D4044">
        <f>IF($C4044="","",$C4044-WEEKDAY($C4044,2)+1)</f>
        <v/>
      </c>
      <c r="E4044">
        <f>IF($C4044="","",DATE(YEAR($C4044),MONTH($C4044),1))</f>
        <v/>
      </c>
      <c r="F4044">
        <f>IF($C4044="","",YEAR($C4044)&amp;"-Q"&amp;ROUNDUP(MONTH($C4044)/3,0))</f>
        <v/>
      </c>
      <c r="L4044">
        <f>IF($G4044&lt;&gt;"ALCOHOL","",IF($K4044="","",$H4044*IFERROR(VLOOKUP($K4044,Drink_Templates!$A:$G,7,FALSE),0)))</f>
        <v/>
      </c>
    </row>
    <row r="4045" ht="15" customHeight="1">
      <c r="C4045">
        <f>IF($B4045="","",INT($B4045))</f>
        <v/>
      </c>
      <c r="D4045">
        <f>IF($C4045="","",$C4045-WEEKDAY($C4045,2)+1)</f>
        <v/>
      </c>
      <c r="E4045">
        <f>IF($C4045="","",DATE(YEAR($C4045),MONTH($C4045),1))</f>
        <v/>
      </c>
      <c r="F4045">
        <f>IF($C4045="","",YEAR($C4045)&amp;"-Q"&amp;ROUNDUP(MONTH($C4045)/3,0))</f>
        <v/>
      </c>
      <c r="L4045">
        <f>IF($G4045&lt;&gt;"ALCOHOL","",IF($K4045="","",$H4045*IFERROR(VLOOKUP($K4045,Drink_Templates!$A:$G,7,FALSE),0)))</f>
        <v/>
      </c>
    </row>
    <row r="4046" ht="15" customHeight="1">
      <c r="C4046">
        <f>IF($B4046="","",INT($B4046))</f>
        <v/>
      </c>
      <c r="D4046">
        <f>IF($C4046="","",$C4046-WEEKDAY($C4046,2)+1)</f>
        <v/>
      </c>
      <c r="E4046">
        <f>IF($C4046="","",DATE(YEAR($C4046),MONTH($C4046),1))</f>
        <v/>
      </c>
      <c r="F4046">
        <f>IF($C4046="","",YEAR($C4046)&amp;"-Q"&amp;ROUNDUP(MONTH($C4046)/3,0))</f>
        <v/>
      </c>
      <c r="L4046">
        <f>IF($G4046&lt;&gt;"ALCOHOL","",IF($K4046="","",$H4046*IFERROR(VLOOKUP($K4046,Drink_Templates!$A:$G,7,FALSE),0)))</f>
        <v/>
      </c>
    </row>
    <row r="4047" ht="15" customHeight="1">
      <c r="C4047">
        <f>IF($B4047="","",INT($B4047))</f>
        <v/>
      </c>
      <c r="D4047">
        <f>IF($C4047="","",$C4047-WEEKDAY($C4047,2)+1)</f>
        <v/>
      </c>
      <c r="E4047">
        <f>IF($C4047="","",DATE(YEAR($C4047),MONTH($C4047),1))</f>
        <v/>
      </c>
      <c r="F4047">
        <f>IF($C4047="","",YEAR($C4047)&amp;"-Q"&amp;ROUNDUP(MONTH($C4047)/3,0))</f>
        <v/>
      </c>
      <c r="L4047">
        <f>IF($G4047&lt;&gt;"ALCOHOL","",IF($K4047="","",$H4047*IFERROR(VLOOKUP($K4047,Drink_Templates!$A:$G,7,FALSE),0)))</f>
        <v/>
      </c>
    </row>
    <row r="4048" ht="15" customHeight="1">
      <c r="C4048">
        <f>IF($B4048="","",INT($B4048))</f>
        <v/>
      </c>
      <c r="D4048">
        <f>IF($C4048="","",$C4048-WEEKDAY($C4048,2)+1)</f>
        <v/>
      </c>
      <c r="E4048">
        <f>IF($C4048="","",DATE(YEAR($C4048),MONTH($C4048),1))</f>
        <v/>
      </c>
      <c r="F4048">
        <f>IF($C4048="","",YEAR($C4048)&amp;"-Q"&amp;ROUNDUP(MONTH($C4048)/3,0))</f>
        <v/>
      </c>
      <c r="L4048">
        <f>IF($G4048&lt;&gt;"ALCOHOL","",IF($K4048="","",$H4048*IFERROR(VLOOKUP($K4048,Drink_Templates!$A:$G,7,FALSE),0)))</f>
        <v/>
      </c>
    </row>
    <row r="4049" ht="15" customHeight="1">
      <c r="C4049">
        <f>IF($B4049="","",INT($B4049))</f>
        <v/>
      </c>
      <c r="D4049">
        <f>IF($C4049="","",$C4049-WEEKDAY($C4049,2)+1)</f>
        <v/>
      </c>
      <c r="E4049">
        <f>IF($C4049="","",DATE(YEAR($C4049),MONTH($C4049),1))</f>
        <v/>
      </c>
      <c r="F4049">
        <f>IF($C4049="","",YEAR($C4049)&amp;"-Q"&amp;ROUNDUP(MONTH($C4049)/3,0))</f>
        <v/>
      </c>
      <c r="L4049">
        <f>IF($G4049&lt;&gt;"ALCOHOL","",IF($K4049="","",$H4049*IFERROR(VLOOKUP($K4049,Drink_Templates!$A:$G,7,FALSE),0)))</f>
        <v/>
      </c>
    </row>
    <row r="4050" ht="15" customHeight="1">
      <c r="C4050">
        <f>IF($B4050="","",INT($B4050))</f>
        <v/>
      </c>
      <c r="D4050">
        <f>IF($C4050="","",$C4050-WEEKDAY($C4050,2)+1)</f>
        <v/>
      </c>
      <c r="E4050">
        <f>IF($C4050="","",DATE(YEAR($C4050),MONTH($C4050),1))</f>
        <v/>
      </c>
      <c r="F4050">
        <f>IF($C4050="","",YEAR($C4050)&amp;"-Q"&amp;ROUNDUP(MONTH($C4050)/3,0))</f>
        <v/>
      </c>
      <c r="L4050">
        <f>IF($G4050&lt;&gt;"ALCOHOL","",IF($K4050="","",$H4050*IFERROR(VLOOKUP($K4050,Drink_Templates!$A:$G,7,FALSE),0)))</f>
        <v/>
      </c>
    </row>
    <row r="4051" ht="15" customHeight="1">
      <c r="C4051">
        <f>IF($B4051="","",INT($B4051))</f>
        <v/>
      </c>
      <c r="D4051">
        <f>IF($C4051="","",$C4051-WEEKDAY($C4051,2)+1)</f>
        <v/>
      </c>
      <c r="E4051">
        <f>IF($C4051="","",DATE(YEAR($C4051),MONTH($C4051),1))</f>
        <v/>
      </c>
      <c r="F4051">
        <f>IF($C4051="","",YEAR($C4051)&amp;"-Q"&amp;ROUNDUP(MONTH($C4051)/3,0))</f>
        <v/>
      </c>
      <c r="L4051">
        <f>IF($G4051&lt;&gt;"ALCOHOL","",IF($K4051="","",$H4051*IFERROR(VLOOKUP($K4051,Drink_Templates!$A:$G,7,FALSE),0)))</f>
        <v/>
      </c>
    </row>
    <row r="4052" ht="15" customHeight="1">
      <c r="C4052">
        <f>IF($B4052="","",INT($B4052))</f>
        <v/>
      </c>
      <c r="D4052">
        <f>IF($C4052="","",$C4052-WEEKDAY($C4052,2)+1)</f>
        <v/>
      </c>
      <c r="E4052">
        <f>IF($C4052="","",DATE(YEAR($C4052),MONTH($C4052),1))</f>
        <v/>
      </c>
      <c r="F4052">
        <f>IF($C4052="","",YEAR($C4052)&amp;"-Q"&amp;ROUNDUP(MONTH($C4052)/3,0))</f>
        <v/>
      </c>
      <c r="L4052">
        <f>IF($G4052&lt;&gt;"ALCOHOL","",IF($K4052="","",$H4052*IFERROR(VLOOKUP($K4052,Drink_Templates!$A:$G,7,FALSE),0)))</f>
        <v/>
      </c>
    </row>
    <row r="4053" ht="15" customHeight="1">
      <c r="C4053">
        <f>IF($B4053="","",INT($B4053))</f>
        <v/>
      </c>
      <c r="D4053">
        <f>IF($C4053="","",$C4053-WEEKDAY($C4053,2)+1)</f>
        <v/>
      </c>
      <c r="E4053">
        <f>IF($C4053="","",DATE(YEAR($C4053),MONTH($C4053),1))</f>
        <v/>
      </c>
      <c r="F4053">
        <f>IF($C4053="","",YEAR($C4053)&amp;"-Q"&amp;ROUNDUP(MONTH($C4053)/3,0))</f>
        <v/>
      </c>
      <c r="L4053">
        <f>IF($G4053&lt;&gt;"ALCOHOL","",IF($K4053="","",$H4053*IFERROR(VLOOKUP($K4053,Drink_Templates!$A:$G,7,FALSE),0)))</f>
        <v/>
      </c>
    </row>
    <row r="4054" ht="15" customHeight="1">
      <c r="C4054">
        <f>IF($B4054="","",INT($B4054))</f>
        <v/>
      </c>
      <c r="D4054">
        <f>IF($C4054="","",$C4054-WEEKDAY($C4054,2)+1)</f>
        <v/>
      </c>
      <c r="E4054">
        <f>IF($C4054="","",DATE(YEAR($C4054),MONTH($C4054),1))</f>
        <v/>
      </c>
      <c r="F4054">
        <f>IF($C4054="","",YEAR($C4054)&amp;"-Q"&amp;ROUNDUP(MONTH($C4054)/3,0))</f>
        <v/>
      </c>
      <c r="L4054">
        <f>IF($G4054&lt;&gt;"ALCOHOL","",IF($K4054="","",$H4054*IFERROR(VLOOKUP($K4054,Drink_Templates!$A:$G,7,FALSE),0)))</f>
        <v/>
      </c>
    </row>
    <row r="4055" ht="15" customHeight="1">
      <c r="C4055">
        <f>IF($B4055="","",INT($B4055))</f>
        <v/>
      </c>
      <c r="D4055">
        <f>IF($C4055="","",$C4055-WEEKDAY($C4055,2)+1)</f>
        <v/>
      </c>
      <c r="E4055">
        <f>IF($C4055="","",DATE(YEAR($C4055),MONTH($C4055),1))</f>
        <v/>
      </c>
      <c r="F4055">
        <f>IF($C4055="","",YEAR($C4055)&amp;"-Q"&amp;ROUNDUP(MONTH($C4055)/3,0))</f>
        <v/>
      </c>
      <c r="L4055">
        <f>IF($G4055&lt;&gt;"ALCOHOL","",IF($K4055="","",$H4055*IFERROR(VLOOKUP($K4055,Drink_Templates!$A:$G,7,FALSE),0)))</f>
        <v/>
      </c>
    </row>
    <row r="4056" ht="15" customHeight="1">
      <c r="C4056">
        <f>IF($B4056="","",INT($B4056))</f>
        <v/>
      </c>
      <c r="D4056">
        <f>IF($C4056="","",$C4056-WEEKDAY($C4056,2)+1)</f>
        <v/>
      </c>
      <c r="E4056">
        <f>IF($C4056="","",DATE(YEAR($C4056),MONTH($C4056),1))</f>
        <v/>
      </c>
      <c r="F4056">
        <f>IF($C4056="","",YEAR($C4056)&amp;"-Q"&amp;ROUNDUP(MONTH($C4056)/3,0))</f>
        <v/>
      </c>
      <c r="L4056">
        <f>IF($G4056&lt;&gt;"ALCOHOL","",IF($K4056="","",$H4056*IFERROR(VLOOKUP($K4056,Drink_Templates!$A:$G,7,FALSE),0)))</f>
        <v/>
      </c>
    </row>
    <row r="4057" ht="15" customHeight="1">
      <c r="C4057">
        <f>IF($B4057="","",INT($B4057))</f>
        <v/>
      </c>
      <c r="D4057">
        <f>IF($C4057="","",$C4057-WEEKDAY($C4057,2)+1)</f>
        <v/>
      </c>
      <c r="E4057">
        <f>IF($C4057="","",DATE(YEAR($C4057),MONTH($C4057),1))</f>
        <v/>
      </c>
      <c r="F4057">
        <f>IF($C4057="","",YEAR($C4057)&amp;"-Q"&amp;ROUNDUP(MONTH($C4057)/3,0))</f>
        <v/>
      </c>
      <c r="L4057">
        <f>IF($G4057&lt;&gt;"ALCOHOL","",IF($K4057="","",$H4057*IFERROR(VLOOKUP($K4057,Drink_Templates!$A:$G,7,FALSE),0)))</f>
        <v/>
      </c>
    </row>
    <row r="4058" ht="15" customHeight="1">
      <c r="C4058">
        <f>IF($B4058="","",INT($B4058))</f>
        <v/>
      </c>
      <c r="D4058">
        <f>IF($C4058="","",$C4058-WEEKDAY($C4058,2)+1)</f>
        <v/>
      </c>
      <c r="E4058">
        <f>IF($C4058="","",DATE(YEAR($C4058),MONTH($C4058),1))</f>
        <v/>
      </c>
      <c r="F4058">
        <f>IF($C4058="","",YEAR($C4058)&amp;"-Q"&amp;ROUNDUP(MONTH($C4058)/3,0))</f>
        <v/>
      </c>
      <c r="L4058">
        <f>IF($G4058&lt;&gt;"ALCOHOL","",IF($K4058="","",$H4058*IFERROR(VLOOKUP($K4058,Drink_Templates!$A:$G,7,FALSE),0)))</f>
        <v/>
      </c>
    </row>
    <row r="4059" ht="15" customHeight="1">
      <c r="C4059">
        <f>IF($B4059="","",INT($B4059))</f>
        <v/>
      </c>
      <c r="D4059">
        <f>IF($C4059="","",$C4059-WEEKDAY($C4059,2)+1)</f>
        <v/>
      </c>
      <c r="E4059">
        <f>IF($C4059="","",DATE(YEAR($C4059),MONTH($C4059),1))</f>
        <v/>
      </c>
      <c r="F4059">
        <f>IF($C4059="","",YEAR($C4059)&amp;"-Q"&amp;ROUNDUP(MONTH($C4059)/3,0))</f>
        <v/>
      </c>
      <c r="L4059">
        <f>IF($G4059&lt;&gt;"ALCOHOL","",IF($K4059="","",$H4059*IFERROR(VLOOKUP($K4059,Drink_Templates!$A:$G,7,FALSE),0)))</f>
        <v/>
      </c>
    </row>
    <row r="4060" ht="15" customHeight="1">
      <c r="C4060">
        <f>IF($B4060="","",INT($B4060))</f>
        <v/>
      </c>
      <c r="D4060">
        <f>IF($C4060="","",$C4060-WEEKDAY($C4060,2)+1)</f>
        <v/>
      </c>
      <c r="E4060">
        <f>IF($C4060="","",DATE(YEAR($C4060),MONTH($C4060),1))</f>
        <v/>
      </c>
      <c r="F4060">
        <f>IF($C4060="","",YEAR($C4060)&amp;"-Q"&amp;ROUNDUP(MONTH($C4060)/3,0))</f>
        <v/>
      </c>
      <c r="L4060">
        <f>IF($G4060&lt;&gt;"ALCOHOL","",IF($K4060="","",$H4060*IFERROR(VLOOKUP($K4060,Drink_Templates!$A:$G,7,FALSE),0)))</f>
        <v/>
      </c>
    </row>
    <row r="4061" ht="15" customHeight="1">
      <c r="C4061">
        <f>IF($B4061="","",INT($B4061))</f>
        <v/>
      </c>
      <c r="D4061">
        <f>IF($C4061="","",$C4061-WEEKDAY($C4061,2)+1)</f>
        <v/>
      </c>
      <c r="E4061">
        <f>IF($C4061="","",DATE(YEAR($C4061),MONTH($C4061),1))</f>
        <v/>
      </c>
      <c r="F4061">
        <f>IF($C4061="","",YEAR($C4061)&amp;"-Q"&amp;ROUNDUP(MONTH($C4061)/3,0))</f>
        <v/>
      </c>
      <c r="L4061">
        <f>IF($G4061&lt;&gt;"ALCOHOL","",IF($K4061="","",$H4061*IFERROR(VLOOKUP($K4061,Drink_Templates!$A:$G,7,FALSE),0)))</f>
        <v/>
      </c>
    </row>
    <row r="4062" ht="15" customHeight="1">
      <c r="C4062">
        <f>IF($B4062="","",INT($B4062))</f>
        <v/>
      </c>
      <c r="D4062">
        <f>IF($C4062="","",$C4062-WEEKDAY($C4062,2)+1)</f>
        <v/>
      </c>
      <c r="E4062">
        <f>IF($C4062="","",DATE(YEAR($C4062),MONTH($C4062),1))</f>
        <v/>
      </c>
      <c r="F4062">
        <f>IF($C4062="","",YEAR($C4062)&amp;"-Q"&amp;ROUNDUP(MONTH($C4062)/3,0))</f>
        <v/>
      </c>
      <c r="L4062">
        <f>IF($G4062&lt;&gt;"ALCOHOL","",IF($K4062="","",$H4062*IFERROR(VLOOKUP($K4062,Drink_Templates!$A:$G,7,FALSE),0)))</f>
        <v/>
      </c>
    </row>
    <row r="4063" ht="15" customHeight="1">
      <c r="C4063">
        <f>IF($B4063="","",INT($B4063))</f>
        <v/>
      </c>
      <c r="D4063">
        <f>IF($C4063="","",$C4063-WEEKDAY($C4063,2)+1)</f>
        <v/>
      </c>
      <c r="E4063">
        <f>IF($C4063="","",DATE(YEAR($C4063),MONTH($C4063),1))</f>
        <v/>
      </c>
      <c r="F4063">
        <f>IF($C4063="","",YEAR($C4063)&amp;"-Q"&amp;ROUNDUP(MONTH($C4063)/3,0))</f>
        <v/>
      </c>
      <c r="L4063">
        <f>IF($G4063&lt;&gt;"ALCOHOL","",IF($K4063="","",$H4063*IFERROR(VLOOKUP($K4063,Drink_Templates!$A:$G,7,FALSE),0)))</f>
        <v/>
      </c>
    </row>
    <row r="4064" ht="15" customHeight="1">
      <c r="C4064">
        <f>IF($B4064="","",INT($B4064))</f>
        <v/>
      </c>
      <c r="D4064">
        <f>IF($C4064="","",$C4064-WEEKDAY($C4064,2)+1)</f>
        <v/>
      </c>
      <c r="E4064">
        <f>IF($C4064="","",DATE(YEAR($C4064),MONTH($C4064),1))</f>
        <v/>
      </c>
      <c r="F4064">
        <f>IF($C4064="","",YEAR($C4064)&amp;"-Q"&amp;ROUNDUP(MONTH($C4064)/3,0))</f>
        <v/>
      </c>
      <c r="L4064">
        <f>IF($G4064&lt;&gt;"ALCOHOL","",IF($K4064="","",$H4064*IFERROR(VLOOKUP($K4064,Drink_Templates!$A:$G,7,FALSE),0)))</f>
        <v/>
      </c>
    </row>
    <row r="4065" ht="15" customHeight="1">
      <c r="C4065">
        <f>IF($B4065="","",INT($B4065))</f>
        <v/>
      </c>
      <c r="D4065">
        <f>IF($C4065="","",$C4065-WEEKDAY($C4065,2)+1)</f>
        <v/>
      </c>
      <c r="E4065">
        <f>IF($C4065="","",DATE(YEAR($C4065),MONTH($C4065),1))</f>
        <v/>
      </c>
      <c r="F4065">
        <f>IF($C4065="","",YEAR($C4065)&amp;"-Q"&amp;ROUNDUP(MONTH($C4065)/3,0))</f>
        <v/>
      </c>
      <c r="L4065">
        <f>IF($G4065&lt;&gt;"ALCOHOL","",IF($K4065="","",$H4065*IFERROR(VLOOKUP($K4065,Drink_Templates!$A:$G,7,FALSE),0)))</f>
        <v/>
      </c>
    </row>
    <row r="4066" ht="15" customHeight="1">
      <c r="C4066">
        <f>IF($B4066="","",INT($B4066))</f>
        <v/>
      </c>
      <c r="D4066">
        <f>IF($C4066="","",$C4066-WEEKDAY($C4066,2)+1)</f>
        <v/>
      </c>
      <c r="E4066">
        <f>IF($C4066="","",DATE(YEAR($C4066),MONTH($C4066),1))</f>
        <v/>
      </c>
      <c r="F4066">
        <f>IF($C4066="","",YEAR($C4066)&amp;"-Q"&amp;ROUNDUP(MONTH($C4066)/3,0))</f>
        <v/>
      </c>
      <c r="L4066">
        <f>IF($G4066&lt;&gt;"ALCOHOL","",IF($K4066="","",$H4066*IFERROR(VLOOKUP($K4066,Drink_Templates!$A:$G,7,FALSE),0)))</f>
        <v/>
      </c>
    </row>
    <row r="4067" ht="15" customHeight="1">
      <c r="C4067">
        <f>IF($B4067="","",INT($B4067))</f>
        <v/>
      </c>
      <c r="D4067">
        <f>IF($C4067="","",$C4067-WEEKDAY($C4067,2)+1)</f>
        <v/>
      </c>
      <c r="E4067">
        <f>IF($C4067="","",DATE(YEAR($C4067),MONTH($C4067),1))</f>
        <v/>
      </c>
      <c r="F4067">
        <f>IF($C4067="","",YEAR($C4067)&amp;"-Q"&amp;ROUNDUP(MONTH($C4067)/3,0))</f>
        <v/>
      </c>
      <c r="L4067">
        <f>IF($G4067&lt;&gt;"ALCOHOL","",IF($K4067="","",$H4067*IFERROR(VLOOKUP($K4067,Drink_Templates!$A:$G,7,FALSE),0)))</f>
        <v/>
      </c>
    </row>
    <row r="4068" ht="15" customHeight="1">
      <c r="C4068">
        <f>IF($B4068="","",INT($B4068))</f>
        <v/>
      </c>
      <c r="D4068">
        <f>IF($C4068="","",$C4068-WEEKDAY($C4068,2)+1)</f>
        <v/>
      </c>
      <c r="E4068">
        <f>IF($C4068="","",DATE(YEAR($C4068),MONTH($C4068),1))</f>
        <v/>
      </c>
      <c r="F4068">
        <f>IF($C4068="","",YEAR($C4068)&amp;"-Q"&amp;ROUNDUP(MONTH($C4068)/3,0))</f>
        <v/>
      </c>
      <c r="L4068">
        <f>IF($G4068&lt;&gt;"ALCOHOL","",IF($K4068="","",$H4068*IFERROR(VLOOKUP($K4068,Drink_Templates!$A:$G,7,FALSE),0)))</f>
        <v/>
      </c>
    </row>
    <row r="4069" ht="15" customHeight="1">
      <c r="C4069">
        <f>IF($B4069="","",INT($B4069))</f>
        <v/>
      </c>
      <c r="D4069">
        <f>IF($C4069="","",$C4069-WEEKDAY($C4069,2)+1)</f>
        <v/>
      </c>
      <c r="E4069">
        <f>IF($C4069="","",DATE(YEAR($C4069),MONTH($C4069),1))</f>
        <v/>
      </c>
      <c r="F4069">
        <f>IF($C4069="","",YEAR($C4069)&amp;"-Q"&amp;ROUNDUP(MONTH($C4069)/3,0))</f>
        <v/>
      </c>
      <c r="L4069">
        <f>IF($G4069&lt;&gt;"ALCOHOL","",IF($K4069="","",$H4069*IFERROR(VLOOKUP($K4069,Drink_Templates!$A:$G,7,FALSE),0)))</f>
        <v/>
      </c>
    </row>
    <row r="4070" ht="15" customHeight="1">
      <c r="C4070">
        <f>IF($B4070="","",INT($B4070))</f>
        <v/>
      </c>
      <c r="D4070">
        <f>IF($C4070="","",$C4070-WEEKDAY($C4070,2)+1)</f>
        <v/>
      </c>
      <c r="E4070">
        <f>IF($C4070="","",DATE(YEAR($C4070),MONTH($C4070),1))</f>
        <v/>
      </c>
      <c r="F4070">
        <f>IF($C4070="","",YEAR($C4070)&amp;"-Q"&amp;ROUNDUP(MONTH($C4070)/3,0))</f>
        <v/>
      </c>
      <c r="L4070">
        <f>IF($G4070&lt;&gt;"ALCOHOL","",IF($K4070="","",$H4070*IFERROR(VLOOKUP($K4070,Drink_Templates!$A:$G,7,FALSE),0)))</f>
        <v/>
      </c>
    </row>
    <row r="4071" ht="15" customHeight="1">
      <c r="C4071">
        <f>IF($B4071="","",INT($B4071))</f>
        <v/>
      </c>
      <c r="D4071">
        <f>IF($C4071="","",$C4071-WEEKDAY($C4071,2)+1)</f>
        <v/>
      </c>
      <c r="E4071">
        <f>IF($C4071="","",DATE(YEAR($C4071),MONTH($C4071),1))</f>
        <v/>
      </c>
      <c r="F4071">
        <f>IF($C4071="","",YEAR($C4071)&amp;"-Q"&amp;ROUNDUP(MONTH($C4071)/3,0))</f>
        <v/>
      </c>
      <c r="L4071">
        <f>IF($G4071&lt;&gt;"ALCOHOL","",IF($K4071="","",$H4071*IFERROR(VLOOKUP($K4071,Drink_Templates!$A:$G,7,FALSE),0)))</f>
        <v/>
      </c>
    </row>
    <row r="4072" ht="15" customHeight="1">
      <c r="C4072">
        <f>IF($B4072="","",INT($B4072))</f>
        <v/>
      </c>
      <c r="D4072">
        <f>IF($C4072="","",$C4072-WEEKDAY($C4072,2)+1)</f>
        <v/>
      </c>
      <c r="E4072">
        <f>IF($C4072="","",DATE(YEAR($C4072),MONTH($C4072),1))</f>
        <v/>
      </c>
      <c r="F4072">
        <f>IF($C4072="","",YEAR($C4072)&amp;"-Q"&amp;ROUNDUP(MONTH($C4072)/3,0))</f>
        <v/>
      </c>
      <c r="L4072">
        <f>IF($G4072&lt;&gt;"ALCOHOL","",IF($K4072="","",$H4072*IFERROR(VLOOKUP($K4072,Drink_Templates!$A:$G,7,FALSE),0)))</f>
        <v/>
      </c>
    </row>
    <row r="4073" ht="15" customHeight="1">
      <c r="C4073">
        <f>IF($B4073="","",INT($B4073))</f>
        <v/>
      </c>
      <c r="D4073">
        <f>IF($C4073="","",$C4073-WEEKDAY($C4073,2)+1)</f>
        <v/>
      </c>
      <c r="E4073">
        <f>IF($C4073="","",DATE(YEAR($C4073),MONTH($C4073),1))</f>
        <v/>
      </c>
      <c r="F4073">
        <f>IF($C4073="","",YEAR($C4073)&amp;"-Q"&amp;ROUNDUP(MONTH($C4073)/3,0))</f>
        <v/>
      </c>
      <c r="L4073">
        <f>IF($G4073&lt;&gt;"ALCOHOL","",IF($K4073="","",$H4073*IFERROR(VLOOKUP($K4073,Drink_Templates!$A:$G,7,FALSE),0)))</f>
        <v/>
      </c>
    </row>
    <row r="4074" ht="15" customHeight="1">
      <c r="C4074">
        <f>IF($B4074="","",INT($B4074))</f>
        <v/>
      </c>
      <c r="D4074">
        <f>IF($C4074="","",$C4074-WEEKDAY($C4074,2)+1)</f>
        <v/>
      </c>
      <c r="E4074">
        <f>IF($C4074="","",DATE(YEAR($C4074),MONTH($C4074),1))</f>
        <v/>
      </c>
      <c r="F4074">
        <f>IF($C4074="","",YEAR($C4074)&amp;"-Q"&amp;ROUNDUP(MONTH($C4074)/3,0))</f>
        <v/>
      </c>
      <c r="L4074">
        <f>IF($G4074&lt;&gt;"ALCOHOL","",IF($K4074="","",$H4074*IFERROR(VLOOKUP($K4074,Drink_Templates!$A:$G,7,FALSE),0)))</f>
        <v/>
      </c>
    </row>
    <row r="4075" ht="15" customHeight="1">
      <c r="C4075">
        <f>IF($B4075="","",INT($B4075))</f>
        <v/>
      </c>
      <c r="D4075">
        <f>IF($C4075="","",$C4075-WEEKDAY($C4075,2)+1)</f>
        <v/>
      </c>
      <c r="E4075">
        <f>IF($C4075="","",DATE(YEAR($C4075),MONTH($C4075),1))</f>
        <v/>
      </c>
      <c r="F4075">
        <f>IF($C4075="","",YEAR($C4075)&amp;"-Q"&amp;ROUNDUP(MONTH($C4075)/3,0))</f>
        <v/>
      </c>
      <c r="L4075">
        <f>IF($G4075&lt;&gt;"ALCOHOL","",IF($K4075="","",$H4075*IFERROR(VLOOKUP($K4075,Drink_Templates!$A:$G,7,FALSE),0)))</f>
        <v/>
      </c>
    </row>
    <row r="4076" ht="15" customHeight="1">
      <c r="C4076">
        <f>IF($B4076="","",INT($B4076))</f>
        <v/>
      </c>
      <c r="D4076">
        <f>IF($C4076="","",$C4076-WEEKDAY($C4076,2)+1)</f>
        <v/>
      </c>
      <c r="E4076">
        <f>IF($C4076="","",DATE(YEAR($C4076),MONTH($C4076),1))</f>
        <v/>
      </c>
      <c r="F4076">
        <f>IF($C4076="","",YEAR($C4076)&amp;"-Q"&amp;ROUNDUP(MONTH($C4076)/3,0))</f>
        <v/>
      </c>
      <c r="L4076">
        <f>IF($G4076&lt;&gt;"ALCOHOL","",IF($K4076="","",$H4076*IFERROR(VLOOKUP($K4076,Drink_Templates!$A:$G,7,FALSE),0)))</f>
        <v/>
      </c>
    </row>
    <row r="4077" ht="15" customHeight="1">
      <c r="C4077">
        <f>IF($B4077="","",INT($B4077))</f>
        <v/>
      </c>
      <c r="D4077">
        <f>IF($C4077="","",$C4077-WEEKDAY($C4077,2)+1)</f>
        <v/>
      </c>
      <c r="E4077">
        <f>IF($C4077="","",DATE(YEAR($C4077),MONTH($C4077),1))</f>
        <v/>
      </c>
      <c r="F4077">
        <f>IF($C4077="","",YEAR($C4077)&amp;"-Q"&amp;ROUNDUP(MONTH($C4077)/3,0))</f>
        <v/>
      </c>
      <c r="L4077">
        <f>IF($G4077&lt;&gt;"ALCOHOL","",IF($K4077="","",$H4077*IFERROR(VLOOKUP($K4077,Drink_Templates!$A:$G,7,FALSE),0)))</f>
        <v/>
      </c>
    </row>
    <row r="4078" ht="15" customHeight="1">
      <c r="C4078">
        <f>IF($B4078="","",INT($B4078))</f>
        <v/>
      </c>
      <c r="D4078">
        <f>IF($C4078="","",$C4078-WEEKDAY($C4078,2)+1)</f>
        <v/>
      </c>
      <c r="E4078">
        <f>IF($C4078="","",DATE(YEAR($C4078),MONTH($C4078),1))</f>
        <v/>
      </c>
      <c r="F4078">
        <f>IF($C4078="","",YEAR($C4078)&amp;"-Q"&amp;ROUNDUP(MONTH($C4078)/3,0))</f>
        <v/>
      </c>
      <c r="L4078">
        <f>IF($G4078&lt;&gt;"ALCOHOL","",IF($K4078="","",$H4078*IFERROR(VLOOKUP($K4078,Drink_Templates!$A:$G,7,FALSE),0)))</f>
        <v/>
      </c>
    </row>
    <row r="4079" ht="15" customHeight="1">
      <c r="C4079">
        <f>IF($B4079="","",INT($B4079))</f>
        <v/>
      </c>
      <c r="D4079">
        <f>IF($C4079="","",$C4079-WEEKDAY($C4079,2)+1)</f>
        <v/>
      </c>
      <c r="E4079">
        <f>IF($C4079="","",DATE(YEAR($C4079),MONTH($C4079),1))</f>
        <v/>
      </c>
      <c r="F4079">
        <f>IF($C4079="","",YEAR($C4079)&amp;"-Q"&amp;ROUNDUP(MONTH($C4079)/3,0))</f>
        <v/>
      </c>
      <c r="L4079">
        <f>IF($G4079&lt;&gt;"ALCOHOL","",IF($K4079="","",$H4079*IFERROR(VLOOKUP($K4079,Drink_Templates!$A:$G,7,FALSE),0)))</f>
        <v/>
      </c>
    </row>
    <row r="4080" ht="15" customHeight="1">
      <c r="C4080">
        <f>IF($B4080="","",INT($B4080))</f>
        <v/>
      </c>
      <c r="D4080">
        <f>IF($C4080="","",$C4080-WEEKDAY($C4080,2)+1)</f>
        <v/>
      </c>
      <c r="E4080">
        <f>IF($C4080="","",DATE(YEAR($C4080),MONTH($C4080),1))</f>
        <v/>
      </c>
      <c r="F4080">
        <f>IF($C4080="","",YEAR($C4080)&amp;"-Q"&amp;ROUNDUP(MONTH($C4080)/3,0))</f>
        <v/>
      </c>
      <c r="L4080">
        <f>IF($G4080&lt;&gt;"ALCOHOL","",IF($K4080="","",$H4080*IFERROR(VLOOKUP($K4080,Drink_Templates!$A:$G,7,FALSE),0)))</f>
        <v/>
      </c>
    </row>
    <row r="4081" ht="15" customHeight="1">
      <c r="C4081">
        <f>IF($B4081="","",INT($B4081))</f>
        <v/>
      </c>
      <c r="D4081">
        <f>IF($C4081="","",$C4081-WEEKDAY($C4081,2)+1)</f>
        <v/>
      </c>
      <c r="E4081">
        <f>IF($C4081="","",DATE(YEAR($C4081),MONTH($C4081),1))</f>
        <v/>
      </c>
      <c r="F4081">
        <f>IF($C4081="","",YEAR($C4081)&amp;"-Q"&amp;ROUNDUP(MONTH($C4081)/3,0))</f>
        <v/>
      </c>
      <c r="L4081">
        <f>IF($G4081&lt;&gt;"ALCOHOL","",IF($K4081="","",$H4081*IFERROR(VLOOKUP($K4081,Drink_Templates!$A:$G,7,FALSE),0)))</f>
        <v/>
      </c>
    </row>
    <row r="4082" ht="15" customHeight="1">
      <c r="C4082">
        <f>IF($B4082="","",INT($B4082))</f>
        <v/>
      </c>
      <c r="D4082">
        <f>IF($C4082="","",$C4082-WEEKDAY($C4082,2)+1)</f>
        <v/>
      </c>
      <c r="E4082">
        <f>IF($C4082="","",DATE(YEAR($C4082),MONTH($C4082),1))</f>
        <v/>
      </c>
      <c r="F4082">
        <f>IF($C4082="","",YEAR($C4082)&amp;"-Q"&amp;ROUNDUP(MONTH($C4082)/3,0))</f>
        <v/>
      </c>
      <c r="L4082">
        <f>IF($G4082&lt;&gt;"ALCOHOL","",IF($K4082="","",$H4082*IFERROR(VLOOKUP($K4082,Drink_Templates!$A:$G,7,FALSE),0)))</f>
        <v/>
      </c>
    </row>
    <row r="4083" ht="15" customHeight="1">
      <c r="C4083">
        <f>IF($B4083="","",INT($B4083))</f>
        <v/>
      </c>
      <c r="D4083">
        <f>IF($C4083="","",$C4083-WEEKDAY($C4083,2)+1)</f>
        <v/>
      </c>
      <c r="E4083">
        <f>IF($C4083="","",DATE(YEAR($C4083),MONTH($C4083),1))</f>
        <v/>
      </c>
      <c r="F4083">
        <f>IF($C4083="","",YEAR($C4083)&amp;"-Q"&amp;ROUNDUP(MONTH($C4083)/3,0))</f>
        <v/>
      </c>
      <c r="L4083">
        <f>IF($G4083&lt;&gt;"ALCOHOL","",IF($K4083="","",$H4083*IFERROR(VLOOKUP($K4083,Drink_Templates!$A:$G,7,FALSE),0)))</f>
        <v/>
      </c>
    </row>
    <row r="4084" ht="15" customHeight="1">
      <c r="C4084">
        <f>IF($B4084="","",INT($B4084))</f>
        <v/>
      </c>
      <c r="D4084">
        <f>IF($C4084="","",$C4084-WEEKDAY($C4084,2)+1)</f>
        <v/>
      </c>
      <c r="E4084">
        <f>IF($C4084="","",DATE(YEAR($C4084),MONTH($C4084),1))</f>
        <v/>
      </c>
      <c r="F4084">
        <f>IF($C4084="","",YEAR($C4084)&amp;"-Q"&amp;ROUNDUP(MONTH($C4084)/3,0))</f>
        <v/>
      </c>
      <c r="L4084">
        <f>IF($G4084&lt;&gt;"ALCOHOL","",IF($K4084="","",$H4084*IFERROR(VLOOKUP($K4084,Drink_Templates!$A:$G,7,FALSE),0)))</f>
        <v/>
      </c>
    </row>
    <row r="4085" ht="15" customHeight="1">
      <c r="C4085">
        <f>IF($B4085="","",INT($B4085))</f>
        <v/>
      </c>
      <c r="D4085">
        <f>IF($C4085="","",$C4085-WEEKDAY($C4085,2)+1)</f>
        <v/>
      </c>
      <c r="E4085">
        <f>IF($C4085="","",DATE(YEAR($C4085),MONTH($C4085),1))</f>
        <v/>
      </c>
      <c r="F4085">
        <f>IF($C4085="","",YEAR($C4085)&amp;"-Q"&amp;ROUNDUP(MONTH($C4085)/3,0))</f>
        <v/>
      </c>
      <c r="L4085">
        <f>IF($G4085&lt;&gt;"ALCOHOL","",IF($K4085="","",$H4085*IFERROR(VLOOKUP($K4085,Drink_Templates!$A:$G,7,FALSE),0)))</f>
        <v/>
      </c>
    </row>
    <row r="4086" ht="15" customHeight="1">
      <c r="C4086">
        <f>IF($B4086="","",INT($B4086))</f>
        <v/>
      </c>
      <c r="D4086">
        <f>IF($C4086="","",$C4086-WEEKDAY($C4086,2)+1)</f>
        <v/>
      </c>
      <c r="E4086">
        <f>IF($C4086="","",DATE(YEAR($C4086),MONTH($C4086),1))</f>
        <v/>
      </c>
      <c r="F4086">
        <f>IF($C4086="","",YEAR($C4086)&amp;"-Q"&amp;ROUNDUP(MONTH($C4086)/3,0))</f>
        <v/>
      </c>
      <c r="L4086">
        <f>IF($G4086&lt;&gt;"ALCOHOL","",IF($K4086="","",$H4086*IFERROR(VLOOKUP($K4086,Drink_Templates!$A:$G,7,FALSE),0)))</f>
        <v/>
      </c>
    </row>
    <row r="4087" ht="15" customHeight="1">
      <c r="C4087">
        <f>IF($B4087="","",INT($B4087))</f>
        <v/>
      </c>
      <c r="D4087">
        <f>IF($C4087="","",$C4087-WEEKDAY($C4087,2)+1)</f>
        <v/>
      </c>
      <c r="E4087">
        <f>IF($C4087="","",DATE(YEAR($C4087),MONTH($C4087),1))</f>
        <v/>
      </c>
      <c r="F4087">
        <f>IF($C4087="","",YEAR($C4087)&amp;"-Q"&amp;ROUNDUP(MONTH($C4087)/3,0))</f>
        <v/>
      </c>
      <c r="L4087">
        <f>IF($G4087&lt;&gt;"ALCOHOL","",IF($K4087="","",$H4087*IFERROR(VLOOKUP($K4087,Drink_Templates!$A:$G,7,FALSE),0)))</f>
        <v/>
      </c>
    </row>
    <row r="4088" ht="15" customHeight="1">
      <c r="C4088">
        <f>IF($B4088="","",INT($B4088))</f>
        <v/>
      </c>
      <c r="D4088">
        <f>IF($C4088="","",$C4088-WEEKDAY($C4088,2)+1)</f>
        <v/>
      </c>
      <c r="E4088">
        <f>IF($C4088="","",DATE(YEAR($C4088),MONTH($C4088),1))</f>
        <v/>
      </c>
      <c r="F4088">
        <f>IF($C4088="","",YEAR($C4088)&amp;"-Q"&amp;ROUNDUP(MONTH($C4088)/3,0))</f>
        <v/>
      </c>
      <c r="L4088">
        <f>IF($G4088&lt;&gt;"ALCOHOL","",IF($K4088="","",$H4088*IFERROR(VLOOKUP($K4088,Drink_Templates!$A:$G,7,FALSE),0)))</f>
        <v/>
      </c>
    </row>
    <row r="4089" ht="15" customHeight="1">
      <c r="C4089">
        <f>IF($B4089="","",INT($B4089))</f>
        <v/>
      </c>
      <c r="D4089">
        <f>IF($C4089="","",$C4089-WEEKDAY($C4089,2)+1)</f>
        <v/>
      </c>
      <c r="E4089">
        <f>IF($C4089="","",DATE(YEAR($C4089),MONTH($C4089),1))</f>
        <v/>
      </c>
      <c r="F4089">
        <f>IF($C4089="","",YEAR($C4089)&amp;"-Q"&amp;ROUNDUP(MONTH($C4089)/3,0))</f>
        <v/>
      </c>
      <c r="L4089">
        <f>IF($G4089&lt;&gt;"ALCOHOL","",IF($K4089="","",$H4089*IFERROR(VLOOKUP($K4089,Drink_Templates!$A:$G,7,FALSE),0)))</f>
        <v/>
      </c>
    </row>
    <row r="4090" ht="15" customHeight="1">
      <c r="C4090">
        <f>IF($B4090="","",INT($B4090))</f>
        <v/>
      </c>
      <c r="D4090">
        <f>IF($C4090="","",$C4090-WEEKDAY($C4090,2)+1)</f>
        <v/>
      </c>
      <c r="E4090">
        <f>IF($C4090="","",DATE(YEAR($C4090),MONTH($C4090),1))</f>
        <v/>
      </c>
      <c r="F4090">
        <f>IF($C4090="","",YEAR($C4090)&amp;"-Q"&amp;ROUNDUP(MONTH($C4090)/3,0))</f>
        <v/>
      </c>
      <c r="L4090">
        <f>IF($G4090&lt;&gt;"ALCOHOL","",IF($K4090="","",$H4090*IFERROR(VLOOKUP($K4090,Drink_Templates!$A:$G,7,FALSE),0)))</f>
        <v/>
      </c>
    </row>
    <row r="4091" ht="15" customHeight="1">
      <c r="C4091">
        <f>IF($B4091="","",INT($B4091))</f>
        <v/>
      </c>
      <c r="D4091">
        <f>IF($C4091="","",$C4091-WEEKDAY($C4091,2)+1)</f>
        <v/>
      </c>
      <c r="E4091">
        <f>IF($C4091="","",DATE(YEAR($C4091),MONTH($C4091),1))</f>
        <v/>
      </c>
      <c r="F4091">
        <f>IF($C4091="","",YEAR($C4091)&amp;"-Q"&amp;ROUNDUP(MONTH($C4091)/3,0))</f>
        <v/>
      </c>
      <c r="L4091">
        <f>IF($G4091&lt;&gt;"ALCOHOL","",IF($K4091="","",$H4091*IFERROR(VLOOKUP($K4091,Drink_Templates!$A:$G,7,FALSE),0)))</f>
        <v/>
      </c>
    </row>
    <row r="4092" ht="15" customHeight="1">
      <c r="C4092">
        <f>IF($B4092="","",INT($B4092))</f>
        <v/>
      </c>
      <c r="D4092">
        <f>IF($C4092="","",$C4092-WEEKDAY($C4092,2)+1)</f>
        <v/>
      </c>
      <c r="E4092">
        <f>IF($C4092="","",DATE(YEAR($C4092),MONTH($C4092),1))</f>
        <v/>
      </c>
      <c r="F4092">
        <f>IF($C4092="","",YEAR($C4092)&amp;"-Q"&amp;ROUNDUP(MONTH($C4092)/3,0))</f>
        <v/>
      </c>
      <c r="L4092">
        <f>IF($G4092&lt;&gt;"ALCOHOL","",IF($K4092="","",$H4092*IFERROR(VLOOKUP($K4092,Drink_Templates!$A:$G,7,FALSE),0)))</f>
        <v/>
      </c>
    </row>
    <row r="4093" ht="15" customHeight="1">
      <c r="C4093">
        <f>IF($B4093="","",INT($B4093))</f>
        <v/>
      </c>
      <c r="D4093">
        <f>IF($C4093="","",$C4093-WEEKDAY($C4093,2)+1)</f>
        <v/>
      </c>
      <c r="E4093">
        <f>IF($C4093="","",DATE(YEAR($C4093),MONTH($C4093),1))</f>
        <v/>
      </c>
      <c r="F4093">
        <f>IF($C4093="","",YEAR($C4093)&amp;"-Q"&amp;ROUNDUP(MONTH($C4093)/3,0))</f>
        <v/>
      </c>
      <c r="L4093">
        <f>IF($G4093&lt;&gt;"ALCOHOL","",IF($K4093="","",$H4093*IFERROR(VLOOKUP($K4093,Drink_Templates!$A:$G,7,FALSE),0)))</f>
        <v/>
      </c>
    </row>
    <row r="4094" ht="15" customHeight="1">
      <c r="C4094">
        <f>IF($B4094="","",INT($B4094))</f>
        <v/>
      </c>
      <c r="D4094">
        <f>IF($C4094="","",$C4094-WEEKDAY($C4094,2)+1)</f>
        <v/>
      </c>
      <c r="E4094">
        <f>IF($C4094="","",DATE(YEAR($C4094),MONTH($C4094),1))</f>
        <v/>
      </c>
      <c r="F4094">
        <f>IF($C4094="","",YEAR($C4094)&amp;"-Q"&amp;ROUNDUP(MONTH($C4094)/3,0))</f>
        <v/>
      </c>
      <c r="L4094">
        <f>IF($G4094&lt;&gt;"ALCOHOL","",IF($K4094="","",$H4094*IFERROR(VLOOKUP($K4094,Drink_Templates!$A:$G,7,FALSE),0)))</f>
        <v/>
      </c>
    </row>
    <row r="4095" ht="15" customHeight="1">
      <c r="C4095">
        <f>IF($B4095="","",INT($B4095))</f>
        <v/>
      </c>
      <c r="D4095">
        <f>IF($C4095="","",$C4095-WEEKDAY($C4095,2)+1)</f>
        <v/>
      </c>
      <c r="E4095">
        <f>IF($C4095="","",DATE(YEAR($C4095),MONTH($C4095),1))</f>
        <v/>
      </c>
      <c r="F4095">
        <f>IF($C4095="","",YEAR($C4095)&amp;"-Q"&amp;ROUNDUP(MONTH($C4095)/3,0))</f>
        <v/>
      </c>
      <c r="L4095">
        <f>IF($G4095&lt;&gt;"ALCOHOL","",IF($K4095="","",$H4095*IFERROR(VLOOKUP($K4095,Drink_Templates!$A:$G,7,FALSE),0)))</f>
        <v/>
      </c>
    </row>
    <row r="4096" ht="15" customHeight="1">
      <c r="C4096">
        <f>IF($B4096="","",INT($B4096))</f>
        <v/>
      </c>
      <c r="D4096">
        <f>IF($C4096="","",$C4096-WEEKDAY($C4096,2)+1)</f>
        <v/>
      </c>
      <c r="E4096">
        <f>IF($C4096="","",DATE(YEAR($C4096),MONTH($C4096),1))</f>
        <v/>
      </c>
      <c r="F4096">
        <f>IF($C4096="","",YEAR($C4096)&amp;"-Q"&amp;ROUNDUP(MONTH($C4096)/3,0))</f>
        <v/>
      </c>
      <c r="L4096">
        <f>IF($G4096&lt;&gt;"ALCOHOL","",IF($K4096="","",$H4096*IFERROR(VLOOKUP($K4096,Drink_Templates!$A:$G,7,FALSE),0)))</f>
        <v/>
      </c>
    </row>
    <row r="4097" ht="15" customHeight="1">
      <c r="C4097">
        <f>IF($B4097="","",INT($B4097))</f>
        <v/>
      </c>
      <c r="D4097">
        <f>IF($C4097="","",$C4097-WEEKDAY($C4097,2)+1)</f>
        <v/>
      </c>
      <c r="E4097">
        <f>IF($C4097="","",DATE(YEAR($C4097),MONTH($C4097),1))</f>
        <v/>
      </c>
      <c r="F4097">
        <f>IF($C4097="","",YEAR($C4097)&amp;"-Q"&amp;ROUNDUP(MONTH($C4097)/3,0))</f>
        <v/>
      </c>
      <c r="L4097">
        <f>IF($G4097&lt;&gt;"ALCOHOL","",IF($K4097="","",$H4097*IFERROR(VLOOKUP($K4097,Drink_Templates!$A:$G,7,FALSE),0)))</f>
        <v/>
      </c>
    </row>
    <row r="4098" ht="15" customHeight="1">
      <c r="C4098">
        <f>IF($B4098="","",INT($B4098))</f>
        <v/>
      </c>
      <c r="D4098">
        <f>IF($C4098="","",$C4098-WEEKDAY($C4098,2)+1)</f>
        <v/>
      </c>
      <c r="E4098">
        <f>IF($C4098="","",DATE(YEAR($C4098),MONTH($C4098),1))</f>
        <v/>
      </c>
      <c r="F4098">
        <f>IF($C4098="","",YEAR($C4098)&amp;"-Q"&amp;ROUNDUP(MONTH($C4098)/3,0))</f>
        <v/>
      </c>
      <c r="L4098">
        <f>IF($G4098&lt;&gt;"ALCOHOL","",IF($K4098="","",$H4098*IFERROR(VLOOKUP($K4098,Drink_Templates!$A:$G,7,FALSE),0)))</f>
        <v/>
      </c>
    </row>
    <row r="4099" ht="15" customHeight="1">
      <c r="C4099">
        <f>IF($B4099="","",INT($B4099))</f>
        <v/>
      </c>
      <c r="D4099">
        <f>IF($C4099="","",$C4099-WEEKDAY($C4099,2)+1)</f>
        <v/>
      </c>
      <c r="E4099">
        <f>IF($C4099="","",DATE(YEAR($C4099),MONTH($C4099),1))</f>
        <v/>
      </c>
      <c r="F4099">
        <f>IF($C4099="","",YEAR($C4099)&amp;"-Q"&amp;ROUNDUP(MONTH($C4099)/3,0))</f>
        <v/>
      </c>
      <c r="L4099">
        <f>IF($G4099&lt;&gt;"ALCOHOL","",IF($K4099="","",$H4099*IFERROR(VLOOKUP($K4099,Drink_Templates!$A:$G,7,FALSE),0)))</f>
        <v/>
      </c>
    </row>
    <row r="4100" ht="15" customHeight="1">
      <c r="C4100">
        <f>IF($B4100="","",INT($B4100))</f>
        <v/>
      </c>
      <c r="D4100">
        <f>IF($C4100="","",$C4100-WEEKDAY($C4100,2)+1)</f>
        <v/>
      </c>
      <c r="E4100">
        <f>IF($C4100="","",DATE(YEAR($C4100),MONTH($C4100),1))</f>
        <v/>
      </c>
      <c r="F4100">
        <f>IF($C4100="","",YEAR($C4100)&amp;"-Q"&amp;ROUNDUP(MONTH($C4100)/3,0))</f>
        <v/>
      </c>
      <c r="L4100">
        <f>IF($G4100&lt;&gt;"ALCOHOL","",IF($K4100="","",$H4100*IFERROR(VLOOKUP($K4100,Drink_Templates!$A:$G,7,FALSE),0)))</f>
        <v/>
      </c>
    </row>
    <row r="4101" ht="15" customHeight="1">
      <c r="C4101">
        <f>IF($B4101="","",INT($B4101))</f>
        <v/>
      </c>
      <c r="D4101">
        <f>IF($C4101="","",$C4101-WEEKDAY($C4101,2)+1)</f>
        <v/>
      </c>
      <c r="E4101">
        <f>IF($C4101="","",DATE(YEAR($C4101),MONTH($C4101),1))</f>
        <v/>
      </c>
      <c r="F4101">
        <f>IF($C4101="","",YEAR($C4101)&amp;"-Q"&amp;ROUNDUP(MONTH($C4101)/3,0))</f>
        <v/>
      </c>
      <c r="L4101">
        <f>IF($G4101&lt;&gt;"ALCOHOL","",IF($K4101="","",$H4101*IFERROR(VLOOKUP($K4101,Drink_Templates!$A:$G,7,FALSE),0)))</f>
        <v/>
      </c>
    </row>
    <row r="4102" ht="15" customHeight="1">
      <c r="C4102">
        <f>IF($B4102="","",INT($B4102))</f>
        <v/>
      </c>
      <c r="D4102">
        <f>IF($C4102="","",$C4102-WEEKDAY($C4102,2)+1)</f>
        <v/>
      </c>
      <c r="E4102">
        <f>IF($C4102="","",DATE(YEAR($C4102),MONTH($C4102),1))</f>
        <v/>
      </c>
      <c r="F4102">
        <f>IF($C4102="","",YEAR($C4102)&amp;"-Q"&amp;ROUNDUP(MONTH($C4102)/3,0))</f>
        <v/>
      </c>
      <c r="L4102">
        <f>IF($G4102&lt;&gt;"ALCOHOL","",IF($K4102="","",$H4102*IFERROR(VLOOKUP($K4102,Drink_Templates!$A:$G,7,FALSE),0)))</f>
        <v/>
      </c>
    </row>
    <row r="4103" ht="15" customHeight="1">
      <c r="C4103">
        <f>IF($B4103="","",INT($B4103))</f>
        <v/>
      </c>
      <c r="D4103">
        <f>IF($C4103="","",$C4103-WEEKDAY($C4103,2)+1)</f>
        <v/>
      </c>
      <c r="E4103">
        <f>IF($C4103="","",DATE(YEAR($C4103),MONTH($C4103),1))</f>
        <v/>
      </c>
      <c r="F4103">
        <f>IF($C4103="","",YEAR($C4103)&amp;"-Q"&amp;ROUNDUP(MONTH($C4103)/3,0))</f>
        <v/>
      </c>
      <c r="L4103">
        <f>IF($G4103&lt;&gt;"ALCOHOL","",IF($K4103="","",$H4103*IFERROR(VLOOKUP($K4103,Drink_Templates!$A:$G,7,FALSE),0)))</f>
        <v/>
      </c>
    </row>
    <row r="4104" ht="15" customHeight="1">
      <c r="C4104">
        <f>IF($B4104="","",INT($B4104))</f>
        <v/>
      </c>
      <c r="D4104">
        <f>IF($C4104="","",$C4104-WEEKDAY($C4104,2)+1)</f>
        <v/>
      </c>
      <c r="E4104">
        <f>IF($C4104="","",DATE(YEAR($C4104),MONTH($C4104),1))</f>
        <v/>
      </c>
      <c r="F4104">
        <f>IF($C4104="","",YEAR($C4104)&amp;"-Q"&amp;ROUNDUP(MONTH($C4104)/3,0))</f>
        <v/>
      </c>
      <c r="L4104">
        <f>IF($G4104&lt;&gt;"ALCOHOL","",IF($K4104="","",$H4104*IFERROR(VLOOKUP($K4104,Drink_Templates!$A:$G,7,FALSE),0)))</f>
        <v/>
      </c>
    </row>
    <row r="4105" ht="15" customHeight="1">
      <c r="C4105">
        <f>IF($B4105="","",INT($B4105))</f>
        <v/>
      </c>
      <c r="D4105">
        <f>IF($C4105="","",$C4105-WEEKDAY($C4105,2)+1)</f>
        <v/>
      </c>
      <c r="E4105">
        <f>IF($C4105="","",DATE(YEAR($C4105),MONTH($C4105),1))</f>
        <v/>
      </c>
      <c r="F4105">
        <f>IF($C4105="","",YEAR($C4105)&amp;"-Q"&amp;ROUNDUP(MONTH($C4105)/3,0))</f>
        <v/>
      </c>
      <c r="L4105">
        <f>IF($G4105&lt;&gt;"ALCOHOL","",IF($K4105="","",$H4105*IFERROR(VLOOKUP($K4105,Drink_Templates!$A:$G,7,FALSE),0)))</f>
        <v/>
      </c>
    </row>
    <row r="4106" ht="15" customHeight="1">
      <c r="C4106">
        <f>IF($B4106="","",INT($B4106))</f>
        <v/>
      </c>
      <c r="D4106">
        <f>IF($C4106="","",$C4106-WEEKDAY($C4106,2)+1)</f>
        <v/>
      </c>
      <c r="E4106">
        <f>IF($C4106="","",DATE(YEAR($C4106),MONTH($C4106),1))</f>
        <v/>
      </c>
      <c r="F4106">
        <f>IF($C4106="","",YEAR($C4106)&amp;"-Q"&amp;ROUNDUP(MONTH($C4106)/3,0))</f>
        <v/>
      </c>
      <c r="L4106">
        <f>IF($G4106&lt;&gt;"ALCOHOL","",IF($K4106="","",$H4106*IFERROR(VLOOKUP($K4106,Drink_Templates!$A:$G,7,FALSE),0)))</f>
        <v/>
      </c>
    </row>
    <row r="4107" ht="15" customHeight="1">
      <c r="C4107">
        <f>IF($B4107="","",INT($B4107))</f>
        <v/>
      </c>
      <c r="D4107">
        <f>IF($C4107="","",$C4107-WEEKDAY($C4107,2)+1)</f>
        <v/>
      </c>
      <c r="E4107">
        <f>IF($C4107="","",DATE(YEAR($C4107),MONTH($C4107),1))</f>
        <v/>
      </c>
      <c r="F4107">
        <f>IF($C4107="","",YEAR($C4107)&amp;"-Q"&amp;ROUNDUP(MONTH($C4107)/3,0))</f>
        <v/>
      </c>
      <c r="L4107">
        <f>IF($G4107&lt;&gt;"ALCOHOL","",IF($K4107="","",$H4107*IFERROR(VLOOKUP($K4107,Drink_Templates!$A:$G,7,FALSE),0)))</f>
        <v/>
      </c>
    </row>
    <row r="4108" ht="15" customHeight="1">
      <c r="C4108">
        <f>IF($B4108="","",INT($B4108))</f>
        <v/>
      </c>
      <c r="D4108">
        <f>IF($C4108="","",$C4108-WEEKDAY($C4108,2)+1)</f>
        <v/>
      </c>
      <c r="E4108">
        <f>IF($C4108="","",DATE(YEAR($C4108),MONTH($C4108),1))</f>
        <v/>
      </c>
      <c r="F4108">
        <f>IF($C4108="","",YEAR($C4108)&amp;"-Q"&amp;ROUNDUP(MONTH($C4108)/3,0))</f>
        <v/>
      </c>
      <c r="L4108">
        <f>IF($G4108&lt;&gt;"ALCOHOL","",IF($K4108="","",$H4108*IFERROR(VLOOKUP($K4108,Drink_Templates!$A:$G,7,FALSE),0)))</f>
        <v/>
      </c>
    </row>
    <row r="4109" ht="15" customHeight="1">
      <c r="C4109">
        <f>IF($B4109="","",INT($B4109))</f>
        <v/>
      </c>
      <c r="D4109">
        <f>IF($C4109="","",$C4109-WEEKDAY($C4109,2)+1)</f>
        <v/>
      </c>
      <c r="E4109">
        <f>IF($C4109="","",DATE(YEAR($C4109),MONTH($C4109),1))</f>
        <v/>
      </c>
      <c r="F4109">
        <f>IF($C4109="","",YEAR($C4109)&amp;"-Q"&amp;ROUNDUP(MONTH($C4109)/3,0))</f>
        <v/>
      </c>
      <c r="L4109">
        <f>IF($G4109&lt;&gt;"ALCOHOL","",IF($K4109="","",$H4109*IFERROR(VLOOKUP($K4109,Drink_Templates!$A:$G,7,FALSE),0)))</f>
        <v/>
      </c>
    </row>
    <row r="4110" ht="15" customHeight="1">
      <c r="C4110">
        <f>IF($B4110="","",INT($B4110))</f>
        <v/>
      </c>
      <c r="D4110">
        <f>IF($C4110="","",$C4110-WEEKDAY($C4110,2)+1)</f>
        <v/>
      </c>
      <c r="E4110">
        <f>IF($C4110="","",DATE(YEAR($C4110),MONTH($C4110),1))</f>
        <v/>
      </c>
      <c r="F4110">
        <f>IF($C4110="","",YEAR($C4110)&amp;"-Q"&amp;ROUNDUP(MONTH($C4110)/3,0))</f>
        <v/>
      </c>
      <c r="L4110">
        <f>IF($G4110&lt;&gt;"ALCOHOL","",IF($K4110="","",$H4110*IFERROR(VLOOKUP($K4110,Drink_Templates!$A:$G,7,FALSE),0)))</f>
        <v/>
      </c>
    </row>
    <row r="4111" ht="15" customHeight="1">
      <c r="C4111">
        <f>IF($B4111="","",INT($B4111))</f>
        <v/>
      </c>
      <c r="D4111">
        <f>IF($C4111="","",$C4111-WEEKDAY($C4111,2)+1)</f>
        <v/>
      </c>
      <c r="E4111">
        <f>IF($C4111="","",DATE(YEAR($C4111),MONTH($C4111),1))</f>
        <v/>
      </c>
      <c r="F4111">
        <f>IF($C4111="","",YEAR($C4111)&amp;"-Q"&amp;ROUNDUP(MONTH($C4111)/3,0))</f>
        <v/>
      </c>
      <c r="L4111">
        <f>IF($G4111&lt;&gt;"ALCOHOL","",IF($K4111="","",$H4111*IFERROR(VLOOKUP($K4111,Drink_Templates!$A:$G,7,FALSE),0)))</f>
        <v/>
      </c>
    </row>
    <row r="4112" ht="15" customHeight="1">
      <c r="C4112">
        <f>IF($B4112="","",INT($B4112))</f>
        <v/>
      </c>
      <c r="D4112">
        <f>IF($C4112="","",$C4112-WEEKDAY($C4112,2)+1)</f>
        <v/>
      </c>
      <c r="E4112">
        <f>IF($C4112="","",DATE(YEAR($C4112),MONTH($C4112),1))</f>
        <v/>
      </c>
      <c r="F4112">
        <f>IF($C4112="","",YEAR($C4112)&amp;"-Q"&amp;ROUNDUP(MONTH($C4112)/3,0))</f>
        <v/>
      </c>
      <c r="L4112">
        <f>IF($G4112&lt;&gt;"ALCOHOL","",IF($K4112="","",$H4112*IFERROR(VLOOKUP($K4112,Drink_Templates!$A:$G,7,FALSE),0)))</f>
        <v/>
      </c>
    </row>
    <row r="4113" ht="15" customHeight="1">
      <c r="C4113">
        <f>IF($B4113="","",INT($B4113))</f>
        <v/>
      </c>
      <c r="D4113">
        <f>IF($C4113="","",$C4113-WEEKDAY($C4113,2)+1)</f>
        <v/>
      </c>
      <c r="E4113">
        <f>IF($C4113="","",DATE(YEAR($C4113),MONTH($C4113),1))</f>
        <v/>
      </c>
      <c r="F4113">
        <f>IF($C4113="","",YEAR($C4113)&amp;"-Q"&amp;ROUNDUP(MONTH($C4113)/3,0))</f>
        <v/>
      </c>
      <c r="L4113">
        <f>IF($G4113&lt;&gt;"ALCOHOL","",IF($K4113="","",$H4113*IFERROR(VLOOKUP($K4113,Drink_Templates!$A:$G,7,FALSE),0)))</f>
        <v/>
      </c>
    </row>
    <row r="4114" ht="15" customHeight="1">
      <c r="C4114">
        <f>IF($B4114="","",INT($B4114))</f>
        <v/>
      </c>
      <c r="D4114">
        <f>IF($C4114="","",$C4114-WEEKDAY($C4114,2)+1)</f>
        <v/>
      </c>
      <c r="E4114">
        <f>IF($C4114="","",DATE(YEAR($C4114),MONTH($C4114),1))</f>
        <v/>
      </c>
      <c r="F4114">
        <f>IF($C4114="","",YEAR($C4114)&amp;"-Q"&amp;ROUNDUP(MONTH($C4114)/3,0))</f>
        <v/>
      </c>
      <c r="L4114">
        <f>IF($G4114&lt;&gt;"ALCOHOL","",IF($K4114="","",$H4114*IFERROR(VLOOKUP($K4114,Drink_Templates!$A:$G,7,FALSE),0)))</f>
        <v/>
      </c>
    </row>
    <row r="4115" ht="15" customHeight="1">
      <c r="C4115">
        <f>IF($B4115="","",INT($B4115))</f>
        <v/>
      </c>
      <c r="D4115">
        <f>IF($C4115="","",$C4115-WEEKDAY($C4115,2)+1)</f>
        <v/>
      </c>
      <c r="E4115">
        <f>IF($C4115="","",DATE(YEAR($C4115),MONTH($C4115),1))</f>
        <v/>
      </c>
      <c r="F4115">
        <f>IF($C4115="","",YEAR($C4115)&amp;"-Q"&amp;ROUNDUP(MONTH($C4115)/3,0))</f>
        <v/>
      </c>
      <c r="L4115">
        <f>IF($G4115&lt;&gt;"ALCOHOL","",IF($K4115="","",$H4115*IFERROR(VLOOKUP($K4115,Drink_Templates!$A:$G,7,FALSE),0)))</f>
        <v/>
      </c>
    </row>
    <row r="4116" ht="15" customHeight="1">
      <c r="C4116">
        <f>IF($B4116="","",INT($B4116))</f>
        <v/>
      </c>
      <c r="D4116">
        <f>IF($C4116="","",$C4116-WEEKDAY($C4116,2)+1)</f>
        <v/>
      </c>
      <c r="E4116">
        <f>IF($C4116="","",DATE(YEAR($C4116),MONTH($C4116),1))</f>
        <v/>
      </c>
      <c r="F4116">
        <f>IF($C4116="","",YEAR($C4116)&amp;"-Q"&amp;ROUNDUP(MONTH($C4116)/3,0))</f>
        <v/>
      </c>
      <c r="L4116">
        <f>IF($G4116&lt;&gt;"ALCOHOL","",IF($K4116="","",$H4116*IFERROR(VLOOKUP($K4116,Drink_Templates!$A:$G,7,FALSE),0)))</f>
        <v/>
      </c>
    </row>
    <row r="4117" ht="15" customHeight="1">
      <c r="C4117">
        <f>IF($B4117="","",INT($B4117))</f>
        <v/>
      </c>
      <c r="D4117">
        <f>IF($C4117="","",$C4117-WEEKDAY($C4117,2)+1)</f>
        <v/>
      </c>
      <c r="E4117">
        <f>IF($C4117="","",DATE(YEAR($C4117),MONTH($C4117),1))</f>
        <v/>
      </c>
      <c r="F4117">
        <f>IF($C4117="","",YEAR($C4117)&amp;"-Q"&amp;ROUNDUP(MONTH($C4117)/3,0))</f>
        <v/>
      </c>
      <c r="L4117">
        <f>IF($G4117&lt;&gt;"ALCOHOL","",IF($K4117="","",$H4117*IFERROR(VLOOKUP($K4117,Drink_Templates!$A:$G,7,FALSE),0)))</f>
        <v/>
      </c>
    </row>
    <row r="4118" ht="15" customHeight="1">
      <c r="C4118">
        <f>IF($B4118="","",INT($B4118))</f>
        <v/>
      </c>
      <c r="D4118">
        <f>IF($C4118="","",$C4118-WEEKDAY($C4118,2)+1)</f>
        <v/>
      </c>
      <c r="E4118">
        <f>IF($C4118="","",DATE(YEAR($C4118),MONTH($C4118),1))</f>
        <v/>
      </c>
      <c r="F4118">
        <f>IF($C4118="","",YEAR($C4118)&amp;"-Q"&amp;ROUNDUP(MONTH($C4118)/3,0))</f>
        <v/>
      </c>
      <c r="L4118">
        <f>IF($G4118&lt;&gt;"ALCOHOL","",IF($K4118="","",$H4118*IFERROR(VLOOKUP($K4118,Drink_Templates!$A:$G,7,FALSE),0)))</f>
        <v/>
      </c>
    </row>
    <row r="4119" ht="15" customHeight="1">
      <c r="C4119">
        <f>IF($B4119="","",INT($B4119))</f>
        <v/>
      </c>
      <c r="D4119">
        <f>IF($C4119="","",$C4119-WEEKDAY($C4119,2)+1)</f>
        <v/>
      </c>
      <c r="E4119">
        <f>IF($C4119="","",DATE(YEAR($C4119),MONTH($C4119),1))</f>
        <v/>
      </c>
      <c r="F4119">
        <f>IF($C4119="","",YEAR($C4119)&amp;"-Q"&amp;ROUNDUP(MONTH($C4119)/3,0))</f>
        <v/>
      </c>
      <c r="L4119">
        <f>IF($G4119&lt;&gt;"ALCOHOL","",IF($K4119="","",$H4119*IFERROR(VLOOKUP($K4119,Drink_Templates!$A:$G,7,FALSE),0)))</f>
        <v/>
      </c>
    </row>
    <row r="4120" ht="15" customHeight="1">
      <c r="C4120">
        <f>IF($B4120="","",INT($B4120))</f>
        <v/>
      </c>
      <c r="D4120">
        <f>IF($C4120="","",$C4120-WEEKDAY($C4120,2)+1)</f>
        <v/>
      </c>
      <c r="E4120">
        <f>IF($C4120="","",DATE(YEAR($C4120),MONTH($C4120),1))</f>
        <v/>
      </c>
      <c r="F4120">
        <f>IF($C4120="","",YEAR($C4120)&amp;"-Q"&amp;ROUNDUP(MONTH($C4120)/3,0))</f>
        <v/>
      </c>
      <c r="L4120">
        <f>IF($G4120&lt;&gt;"ALCOHOL","",IF($K4120="","",$H4120*IFERROR(VLOOKUP($K4120,Drink_Templates!$A:$G,7,FALSE),0)))</f>
        <v/>
      </c>
    </row>
    <row r="4121" ht="15" customHeight="1">
      <c r="C4121">
        <f>IF($B4121="","",INT($B4121))</f>
        <v/>
      </c>
      <c r="D4121">
        <f>IF($C4121="","",$C4121-WEEKDAY($C4121,2)+1)</f>
        <v/>
      </c>
      <c r="E4121">
        <f>IF($C4121="","",DATE(YEAR($C4121),MONTH($C4121),1))</f>
        <v/>
      </c>
      <c r="F4121">
        <f>IF($C4121="","",YEAR($C4121)&amp;"-Q"&amp;ROUNDUP(MONTH($C4121)/3,0))</f>
        <v/>
      </c>
      <c r="L4121">
        <f>IF($G4121&lt;&gt;"ALCOHOL","",IF($K4121="","",$H4121*IFERROR(VLOOKUP($K4121,Drink_Templates!$A:$G,7,FALSE),0)))</f>
        <v/>
      </c>
    </row>
    <row r="4122" ht="15" customHeight="1">
      <c r="C4122">
        <f>IF($B4122="","",INT($B4122))</f>
        <v/>
      </c>
      <c r="D4122">
        <f>IF($C4122="","",$C4122-WEEKDAY($C4122,2)+1)</f>
        <v/>
      </c>
      <c r="E4122">
        <f>IF($C4122="","",DATE(YEAR($C4122),MONTH($C4122),1))</f>
        <v/>
      </c>
      <c r="F4122">
        <f>IF($C4122="","",YEAR($C4122)&amp;"-Q"&amp;ROUNDUP(MONTH($C4122)/3,0))</f>
        <v/>
      </c>
      <c r="L4122">
        <f>IF($G4122&lt;&gt;"ALCOHOL","",IF($K4122="","",$H4122*IFERROR(VLOOKUP($K4122,Drink_Templates!$A:$G,7,FALSE),0)))</f>
        <v/>
      </c>
    </row>
    <row r="4123" ht="15" customHeight="1">
      <c r="C4123">
        <f>IF($B4123="","",INT($B4123))</f>
        <v/>
      </c>
      <c r="D4123">
        <f>IF($C4123="","",$C4123-WEEKDAY($C4123,2)+1)</f>
        <v/>
      </c>
      <c r="E4123">
        <f>IF($C4123="","",DATE(YEAR($C4123),MONTH($C4123),1))</f>
        <v/>
      </c>
      <c r="F4123">
        <f>IF($C4123="","",YEAR($C4123)&amp;"-Q"&amp;ROUNDUP(MONTH($C4123)/3,0))</f>
        <v/>
      </c>
      <c r="L4123">
        <f>IF($G4123&lt;&gt;"ALCOHOL","",IF($K4123="","",$H4123*IFERROR(VLOOKUP($K4123,Drink_Templates!$A:$G,7,FALSE),0)))</f>
        <v/>
      </c>
    </row>
    <row r="4124" ht="15" customHeight="1">
      <c r="C4124">
        <f>IF($B4124="","",INT($B4124))</f>
        <v/>
      </c>
      <c r="D4124">
        <f>IF($C4124="","",$C4124-WEEKDAY($C4124,2)+1)</f>
        <v/>
      </c>
      <c r="E4124">
        <f>IF($C4124="","",DATE(YEAR($C4124),MONTH($C4124),1))</f>
        <v/>
      </c>
      <c r="F4124">
        <f>IF($C4124="","",YEAR($C4124)&amp;"-Q"&amp;ROUNDUP(MONTH($C4124)/3,0))</f>
        <v/>
      </c>
      <c r="L4124">
        <f>IF($G4124&lt;&gt;"ALCOHOL","",IF($K4124="","",$H4124*IFERROR(VLOOKUP($K4124,Drink_Templates!$A:$G,7,FALSE),0)))</f>
        <v/>
      </c>
    </row>
    <row r="4125" ht="15" customHeight="1">
      <c r="C4125">
        <f>IF($B4125="","",INT($B4125))</f>
        <v/>
      </c>
      <c r="D4125">
        <f>IF($C4125="","",$C4125-WEEKDAY($C4125,2)+1)</f>
        <v/>
      </c>
      <c r="E4125">
        <f>IF($C4125="","",DATE(YEAR($C4125),MONTH($C4125),1))</f>
        <v/>
      </c>
      <c r="F4125">
        <f>IF($C4125="","",YEAR($C4125)&amp;"-Q"&amp;ROUNDUP(MONTH($C4125)/3,0))</f>
        <v/>
      </c>
      <c r="L4125">
        <f>IF($G4125&lt;&gt;"ALCOHOL","",IF($K4125="","",$H4125*IFERROR(VLOOKUP($K4125,Drink_Templates!$A:$G,7,FALSE),0)))</f>
        <v/>
      </c>
    </row>
    <row r="4126" ht="15" customHeight="1">
      <c r="C4126">
        <f>IF($B4126="","",INT($B4126))</f>
        <v/>
      </c>
      <c r="D4126">
        <f>IF($C4126="","",$C4126-WEEKDAY($C4126,2)+1)</f>
        <v/>
      </c>
      <c r="E4126">
        <f>IF($C4126="","",DATE(YEAR($C4126),MONTH($C4126),1))</f>
        <v/>
      </c>
      <c r="F4126">
        <f>IF($C4126="","",YEAR($C4126)&amp;"-Q"&amp;ROUNDUP(MONTH($C4126)/3,0))</f>
        <v/>
      </c>
      <c r="L4126">
        <f>IF($G4126&lt;&gt;"ALCOHOL","",IF($K4126="","",$H4126*IFERROR(VLOOKUP($K4126,Drink_Templates!$A:$G,7,FALSE),0)))</f>
        <v/>
      </c>
    </row>
    <row r="4127" ht="15" customHeight="1">
      <c r="C4127">
        <f>IF($B4127="","",INT($B4127))</f>
        <v/>
      </c>
      <c r="D4127">
        <f>IF($C4127="","",$C4127-WEEKDAY($C4127,2)+1)</f>
        <v/>
      </c>
      <c r="E4127">
        <f>IF($C4127="","",DATE(YEAR($C4127),MONTH($C4127),1))</f>
        <v/>
      </c>
      <c r="F4127">
        <f>IF($C4127="","",YEAR($C4127)&amp;"-Q"&amp;ROUNDUP(MONTH($C4127)/3,0))</f>
        <v/>
      </c>
      <c r="L4127">
        <f>IF($G4127&lt;&gt;"ALCOHOL","",IF($K4127="","",$H4127*IFERROR(VLOOKUP($K4127,Drink_Templates!$A:$G,7,FALSE),0)))</f>
        <v/>
      </c>
    </row>
    <row r="4128" ht="15" customHeight="1">
      <c r="C4128">
        <f>IF($B4128="","",INT($B4128))</f>
        <v/>
      </c>
      <c r="D4128">
        <f>IF($C4128="","",$C4128-WEEKDAY($C4128,2)+1)</f>
        <v/>
      </c>
      <c r="E4128">
        <f>IF($C4128="","",DATE(YEAR($C4128),MONTH($C4128),1))</f>
        <v/>
      </c>
      <c r="F4128">
        <f>IF($C4128="","",YEAR($C4128)&amp;"-Q"&amp;ROUNDUP(MONTH($C4128)/3,0))</f>
        <v/>
      </c>
      <c r="L4128">
        <f>IF($G4128&lt;&gt;"ALCOHOL","",IF($K4128="","",$H4128*IFERROR(VLOOKUP($K4128,Drink_Templates!$A:$G,7,FALSE),0)))</f>
        <v/>
      </c>
    </row>
    <row r="4129" ht="15" customHeight="1">
      <c r="C4129">
        <f>IF($B4129="","",INT($B4129))</f>
        <v/>
      </c>
      <c r="D4129">
        <f>IF($C4129="","",$C4129-WEEKDAY($C4129,2)+1)</f>
        <v/>
      </c>
      <c r="E4129">
        <f>IF($C4129="","",DATE(YEAR($C4129),MONTH($C4129),1))</f>
        <v/>
      </c>
      <c r="F4129">
        <f>IF($C4129="","",YEAR($C4129)&amp;"-Q"&amp;ROUNDUP(MONTH($C4129)/3,0))</f>
        <v/>
      </c>
      <c r="L4129">
        <f>IF($G4129&lt;&gt;"ALCOHOL","",IF($K4129="","",$H4129*IFERROR(VLOOKUP($K4129,Drink_Templates!$A:$G,7,FALSE),0)))</f>
        <v/>
      </c>
    </row>
    <row r="4130" ht="15" customHeight="1">
      <c r="C4130">
        <f>IF($B4130="","",INT($B4130))</f>
        <v/>
      </c>
      <c r="D4130">
        <f>IF($C4130="","",$C4130-WEEKDAY($C4130,2)+1)</f>
        <v/>
      </c>
      <c r="E4130">
        <f>IF($C4130="","",DATE(YEAR($C4130),MONTH($C4130),1))</f>
        <v/>
      </c>
      <c r="F4130">
        <f>IF($C4130="","",YEAR($C4130)&amp;"-Q"&amp;ROUNDUP(MONTH($C4130)/3,0))</f>
        <v/>
      </c>
      <c r="L4130">
        <f>IF($G4130&lt;&gt;"ALCOHOL","",IF($K4130="","",$H4130*IFERROR(VLOOKUP($K4130,Drink_Templates!$A:$G,7,FALSE),0)))</f>
        <v/>
      </c>
    </row>
    <row r="4131" ht="15" customHeight="1">
      <c r="C4131">
        <f>IF($B4131="","",INT($B4131))</f>
        <v/>
      </c>
      <c r="D4131">
        <f>IF($C4131="","",$C4131-WEEKDAY($C4131,2)+1)</f>
        <v/>
      </c>
      <c r="E4131">
        <f>IF($C4131="","",DATE(YEAR($C4131),MONTH($C4131),1))</f>
        <v/>
      </c>
      <c r="F4131">
        <f>IF($C4131="","",YEAR($C4131)&amp;"-Q"&amp;ROUNDUP(MONTH($C4131)/3,0))</f>
        <v/>
      </c>
      <c r="L4131">
        <f>IF($G4131&lt;&gt;"ALCOHOL","",IF($K4131="","",$H4131*IFERROR(VLOOKUP($K4131,Drink_Templates!$A:$G,7,FALSE),0)))</f>
        <v/>
      </c>
    </row>
    <row r="4132" ht="15" customHeight="1">
      <c r="C4132">
        <f>IF($B4132="","",INT($B4132))</f>
        <v/>
      </c>
      <c r="D4132">
        <f>IF($C4132="","",$C4132-WEEKDAY($C4132,2)+1)</f>
        <v/>
      </c>
      <c r="E4132">
        <f>IF($C4132="","",DATE(YEAR($C4132),MONTH($C4132),1))</f>
        <v/>
      </c>
      <c r="F4132">
        <f>IF($C4132="","",YEAR($C4132)&amp;"-Q"&amp;ROUNDUP(MONTH($C4132)/3,0))</f>
        <v/>
      </c>
      <c r="L4132">
        <f>IF($G4132&lt;&gt;"ALCOHOL","",IF($K4132="","",$H4132*IFERROR(VLOOKUP($K4132,Drink_Templates!$A:$G,7,FALSE),0)))</f>
        <v/>
      </c>
    </row>
    <row r="4133" ht="15" customHeight="1">
      <c r="C4133">
        <f>IF($B4133="","",INT($B4133))</f>
        <v/>
      </c>
      <c r="D4133">
        <f>IF($C4133="","",$C4133-WEEKDAY($C4133,2)+1)</f>
        <v/>
      </c>
      <c r="E4133">
        <f>IF($C4133="","",DATE(YEAR($C4133),MONTH($C4133),1))</f>
        <v/>
      </c>
      <c r="F4133">
        <f>IF($C4133="","",YEAR($C4133)&amp;"-Q"&amp;ROUNDUP(MONTH($C4133)/3,0))</f>
        <v/>
      </c>
      <c r="L4133">
        <f>IF($G4133&lt;&gt;"ALCOHOL","",IF($K4133="","",$H4133*IFERROR(VLOOKUP($K4133,Drink_Templates!$A:$G,7,FALSE),0)))</f>
        <v/>
      </c>
    </row>
    <row r="4134" ht="15" customHeight="1">
      <c r="C4134">
        <f>IF($B4134="","",INT($B4134))</f>
        <v/>
      </c>
      <c r="D4134">
        <f>IF($C4134="","",$C4134-WEEKDAY($C4134,2)+1)</f>
        <v/>
      </c>
      <c r="E4134">
        <f>IF($C4134="","",DATE(YEAR($C4134),MONTH($C4134),1))</f>
        <v/>
      </c>
      <c r="F4134">
        <f>IF($C4134="","",YEAR($C4134)&amp;"-Q"&amp;ROUNDUP(MONTH($C4134)/3,0))</f>
        <v/>
      </c>
      <c r="L4134">
        <f>IF($G4134&lt;&gt;"ALCOHOL","",IF($K4134="","",$H4134*IFERROR(VLOOKUP($K4134,Drink_Templates!$A:$G,7,FALSE),0)))</f>
        <v/>
      </c>
    </row>
    <row r="4135" ht="15" customHeight="1">
      <c r="C4135">
        <f>IF($B4135="","",INT($B4135))</f>
        <v/>
      </c>
      <c r="D4135">
        <f>IF($C4135="","",$C4135-WEEKDAY($C4135,2)+1)</f>
        <v/>
      </c>
      <c r="E4135">
        <f>IF($C4135="","",DATE(YEAR($C4135),MONTH($C4135),1))</f>
        <v/>
      </c>
      <c r="F4135">
        <f>IF($C4135="","",YEAR($C4135)&amp;"-Q"&amp;ROUNDUP(MONTH($C4135)/3,0))</f>
        <v/>
      </c>
      <c r="L4135">
        <f>IF($G4135&lt;&gt;"ALCOHOL","",IF($K4135="","",$H4135*IFERROR(VLOOKUP($K4135,Drink_Templates!$A:$G,7,FALSE),0)))</f>
        <v/>
      </c>
    </row>
    <row r="4136" ht="15" customHeight="1">
      <c r="C4136">
        <f>IF($B4136="","",INT($B4136))</f>
        <v/>
      </c>
      <c r="D4136">
        <f>IF($C4136="","",$C4136-WEEKDAY($C4136,2)+1)</f>
        <v/>
      </c>
      <c r="E4136">
        <f>IF($C4136="","",DATE(YEAR($C4136),MONTH($C4136),1))</f>
        <v/>
      </c>
      <c r="F4136">
        <f>IF($C4136="","",YEAR($C4136)&amp;"-Q"&amp;ROUNDUP(MONTH($C4136)/3,0))</f>
        <v/>
      </c>
      <c r="L4136">
        <f>IF($G4136&lt;&gt;"ALCOHOL","",IF($K4136="","",$H4136*IFERROR(VLOOKUP($K4136,Drink_Templates!$A:$G,7,FALSE),0)))</f>
        <v/>
      </c>
    </row>
    <row r="4137" ht="15" customHeight="1">
      <c r="C4137">
        <f>IF($B4137="","",INT($B4137))</f>
        <v/>
      </c>
      <c r="D4137">
        <f>IF($C4137="","",$C4137-WEEKDAY($C4137,2)+1)</f>
        <v/>
      </c>
      <c r="E4137">
        <f>IF($C4137="","",DATE(YEAR($C4137),MONTH($C4137),1))</f>
        <v/>
      </c>
      <c r="F4137">
        <f>IF($C4137="","",YEAR($C4137)&amp;"-Q"&amp;ROUNDUP(MONTH($C4137)/3,0))</f>
        <v/>
      </c>
      <c r="L4137">
        <f>IF($G4137&lt;&gt;"ALCOHOL","",IF($K4137="","",$H4137*IFERROR(VLOOKUP($K4137,Drink_Templates!$A:$G,7,FALSE),0)))</f>
        <v/>
      </c>
    </row>
    <row r="4138" ht="15" customHeight="1">
      <c r="C4138">
        <f>IF($B4138="","",INT($B4138))</f>
        <v/>
      </c>
      <c r="D4138">
        <f>IF($C4138="","",$C4138-WEEKDAY($C4138,2)+1)</f>
        <v/>
      </c>
      <c r="E4138">
        <f>IF($C4138="","",DATE(YEAR($C4138),MONTH($C4138),1))</f>
        <v/>
      </c>
      <c r="F4138">
        <f>IF($C4138="","",YEAR($C4138)&amp;"-Q"&amp;ROUNDUP(MONTH($C4138)/3,0))</f>
        <v/>
      </c>
      <c r="L4138">
        <f>IF($G4138&lt;&gt;"ALCOHOL","",IF($K4138="","",$H4138*IFERROR(VLOOKUP($K4138,Drink_Templates!$A:$G,7,FALSE),0)))</f>
        <v/>
      </c>
    </row>
    <row r="4139" ht="15" customHeight="1">
      <c r="C4139">
        <f>IF($B4139="","",INT($B4139))</f>
        <v/>
      </c>
      <c r="D4139">
        <f>IF($C4139="","",$C4139-WEEKDAY($C4139,2)+1)</f>
        <v/>
      </c>
      <c r="E4139">
        <f>IF($C4139="","",DATE(YEAR($C4139),MONTH($C4139),1))</f>
        <v/>
      </c>
      <c r="F4139">
        <f>IF($C4139="","",YEAR($C4139)&amp;"-Q"&amp;ROUNDUP(MONTH($C4139)/3,0))</f>
        <v/>
      </c>
      <c r="L4139">
        <f>IF($G4139&lt;&gt;"ALCOHOL","",IF($K4139="","",$H4139*IFERROR(VLOOKUP($K4139,Drink_Templates!$A:$G,7,FALSE),0)))</f>
        <v/>
      </c>
    </row>
    <row r="4140" ht="15" customHeight="1">
      <c r="C4140">
        <f>IF($B4140="","",INT($B4140))</f>
        <v/>
      </c>
      <c r="D4140">
        <f>IF($C4140="","",$C4140-WEEKDAY($C4140,2)+1)</f>
        <v/>
      </c>
      <c r="E4140">
        <f>IF($C4140="","",DATE(YEAR($C4140),MONTH($C4140),1))</f>
        <v/>
      </c>
      <c r="F4140">
        <f>IF($C4140="","",YEAR($C4140)&amp;"-Q"&amp;ROUNDUP(MONTH($C4140)/3,0))</f>
        <v/>
      </c>
      <c r="L4140">
        <f>IF($G4140&lt;&gt;"ALCOHOL","",IF($K4140="","",$H4140*IFERROR(VLOOKUP($K4140,Drink_Templates!$A:$G,7,FALSE),0)))</f>
        <v/>
      </c>
    </row>
    <row r="4141" ht="15" customHeight="1">
      <c r="C4141">
        <f>IF($B4141="","",INT($B4141))</f>
        <v/>
      </c>
      <c r="D4141">
        <f>IF($C4141="","",$C4141-WEEKDAY($C4141,2)+1)</f>
        <v/>
      </c>
      <c r="E4141">
        <f>IF($C4141="","",DATE(YEAR($C4141),MONTH($C4141),1))</f>
        <v/>
      </c>
      <c r="F4141">
        <f>IF($C4141="","",YEAR($C4141)&amp;"-Q"&amp;ROUNDUP(MONTH($C4141)/3,0))</f>
        <v/>
      </c>
      <c r="L4141">
        <f>IF($G4141&lt;&gt;"ALCOHOL","",IF($K4141="","",$H4141*IFERROR(VLOOKUP($K4141,Drink_Templates!$A:$G,7,FALSE),0)))</f>
        <v/>
      </c>
    </row>
    <row r="4142" ht="15" customHeight="1">
      <c r="C4142">
        <f>IF($B4142="","",INT($B4142))</f>
        <v/>
      </c>
      <c r="D4142">
        <f>IF($C4142="","",$C4142-WEEKDAY($C4142,2)+1)</f>
        <v/>
      </c>
      <c r="E4142">
        <f>IF($C4142="","",DATE(YEAR($C4142),MONTH($C4142),1))</f>
        <v/>
      </c>
      <c r="F4142">
        <f>IF($C4142="","",YEAR($C4142)&amp;"-Q"&amp;ROUNDUP(MONTH($C4142)/3,0))</f>
        <v/>
      </c>
      <c r="L4142">
        <f>IF($G4142&lt;&gt;"ALCOHOL","",IF($K4142="","",$H4142*IFERROR(VLOOKUP($K4142,Drink_Templates!$A:$G,7,FALSE),0)))</f>
        <v/>
      </c>
    </row>
    <row r="4143" ht="15" customHeight="1">
      <c r="C4143">
        <f>IF($B4143="","",INT($B4143))</f>
        <v/>
      </c>
      <c r="D4143">
        <f>IF($C4143="","",$C4143-WEEKDAY($C4143,2)+1)</f>
        <v/>
      </c>
      <c r="E4143">
        <f>IF($C4143="","",DATE(YEAR($C4143),MONTH($C4143),1))</f>
        <v/>
      </c>
      <c r="F4143">
        <f>IF($C4143="","",YEAR($C4143)&amp;"-Q"&amp;ROUNDUP(MONTH($C4143)/3,0))</f>
        <v/>
      </c>
      <c r="L4143">
        <f>IF($G4143&lt;&gt;"ALCOHOL","",IF($K4143="","",$H4143*IFERROR(VLOOKUP($K4143,Drink_Templates!$A:$G,7,FALSE),0)))</f>
        <v/>
      </c>
    </row>
    <row r="4144" ht="15" customHeight="1">
      <c r="C4144">
        <f>IF($B4144="","",INT($B4144))</f>
        <v/>
      </c>
      <c r="D4144">
        <f>IF($C4144="","",$C4144-WEEKDAY($C4144,2)+1)</f>
        <v/>
      </c>
      <c r="E4144">
        <f>IF($C4144="","",DATE(YEAR($C4144),MONTH($C4144),1))</f>
        <v/>
      </c>
      <c r="F4144">
        <f>IF($C4144="","",YEAR($C4144)&amp;"-Q"&amp;ROUNDUP(MONTH($C4144)/3,0))</f>
        <v/>
      </c>
      <c r="L4144">
        <f>IF($G4144&lt;&gt;"ALCOHOL","",IF($K4144="","",$H4144*IFERROR(VLOOKUP($K4144,Drink_Templates!$A:$G,7,FALSE),0)))</f>
        <v/>
      </c>
    </row>
    <row r="4145" ht="15" customHeight="1">
      <c r="C4145">
        <f>IF($B4145="","",INT($B4145))</f>
        <v/>
      </c>
      <c r="D4145">
        <f>IF($C4145="","",$C4145-WEEKDAY($C4145,2)+1)</f>
        <v/>
      </c>
      <c r="E4145">
        <f>IF($C4145="","",DATE(YEAR($C4145),MONTH($C4145),1))</f>
        <v/>
      </c>
      <c r="F4145">
        <f>IF($C4145="","",YEAR($C4145)&amp;"-Q"&amp;ROUNDUP(MONTH($C4145)/3,0))</f>
        <v/>
      </c>
      <c r="L4145">
        <f>IF($G4145&lt;&gt;"ALCOHOL","",IF($K4145="","",$H4145*IFERROR(VLOOKUP($K4145,Drink_Templates!$A:$G,7,FALSE),0)))</f>
        <v/>
      </c>
    </row>
    <row r="4146" ht="15" customHeight="1">
      <c r="C4146">
        <f>IF($B4146="","",INT($B4146))</f>
        <v/>
      </c>
      <c r="D4146">
        <f>IF($C4146="","",$C4146-WEEKDAY($C4146,2)+1)</f>
        <v/>
      </c>
      <c r="E4146">
        <f>IF($C4146="","",DATE(YEAR($C4146),MONTH($C4146),1))</f>
        <v/>
      </c>
      <c r="F4146">
        <f>IF($C4146="","",YEAR($C4146)&amp;"-Q"&amp;ROUNDUP(MONTH($C4146)/3,0))</f>
        <v/>
      </c>
      <c r="L4146">
        <f>IF($G4146&lt;&gt;"ALCOHOL","",IF($K4146="","",$H4146*IFERROR(VLOOKUP($K4146,Drink_Templates!$A:$G,7,FALSE),0)))</f>
        <v/>
      </c>
    </row>
    <row r="4147" ht="15" customHeight="1">
      <c r="C4147">
        <f>IF($B4147="","",INT($B4147))</f>
        <v/>
      </c>
      <c r="D4147">
        <f>IF($C4147="","",$C4147-WEEKDAY($C4147,2)+1)</f>
        <v/>
      </c>
      <c r="E4147">
        <f>IF($C4147="","",DATE(YEAR($C4147),MONTH($C4147),1))</f>
        <v/>
      </c>
      <c r="F4147">
        <f>IF($C4147="","",YEAR($C4147)&amp;"-Q"&amp;ROUNDUP(MONTH($C4147)/3,0))</f>
        <v/>
      </c>
      <c r="L4147">
        <f>IF($G4147&lt;&gt;"ALCOHOL","",IF($K4147="","",$H4147*IFERROR(VLOOKUP($K4147,Drink_Templates!$A:$G,7,FALSE),0)))</f>
        <v/>
      </c>
    </row>
    <row r="4148" ht="15" customHeight="1">
      <c r="C4148">
        <f>IF($B4148="","",INT($B4148))</f>
        <v/>
      </c>
      <c r="D4148">
        <f>IF($C4148="","",$C4148-WEEKDAY($C4148,2)+1)</f>
        <v/>
      </c>
      <c r="E4148">
        <f>IF($C4148="","",DATE(YEAR($C4148),MONTH($C4148),1))</f>
        <v/>
      </c>
      <c r="F4148">
        <f>IF($C4148="","",YEAR($C4148)&amp;"-Q"&amp;ROUNDUP(MONTH($C4148)/3,0))</f>
        <v/>
      </c>
      <c r="L4148">
        <f>IF($G4148&lt;&gt;"ALCOHOL","",IF($K4148="","",$H4148*IFERROR(VLOOKUP($K4148,Drink_Templates!$A:$G,7,FALSE),0)))</f>
        <v/>
      </c>
    </row>
    <row r="4149" ht="15" customHeight="1">
      <c r="C4149">
        <f>IF($B4149="","",INT($B4149))</f>
        <v/>
      </c>
      <c r="D4149">
        <f>IF($C4149="","",$C4149-WEEKDAY($C4149,2)+1)</f>
        <v/>
      </c>
      <c r="E4149">
        <f>IF($C4149="","",DATE(YEAR($C4149),MONTH($C4149),1))</f>
        <v/>
      </c>
      <c r="F4149">
        <f>IF($C4149="","",YEAR($C4149)&amp;"-Q"&amp;ROUNDUP(MONTH($C4149)/3,0))</f>
        <v/>
      </c>
      <c r="L4149">
        <f>IF($G4149&lt;&gt;"ALCOHOL","",IF($K4149="","",$H4149*IFERROR(VLOOKUP($K4149,Drink_Templates!$A:$G,7,FALSE),0)))</f>
        <v/>
      </c>
    </row>
    <row r="4150" ht="15" customHeight="1">
      <c r="C4150">
        <f>IF($B4150="","",INT($B4150))</f>
        <v/>
      </c>
      <c r="D4150">
        <f>IF($C4150="","",$C4150-WEEKDAY($C4150,2)+1)</f>
        <v/>
      </c>
      <c r="E4150">
        <f>IF($C4150="","",DATE(YEAR($C4150),MONTH($C4150),1))</f>
        <v/>
      </c>
      <c r="F4150">
        <f>IF($C4150="","",YEAR($C4150)&amp;"-Q"&amp;ROUNDUP(MONTH($C4150)/3,0))</f>
        <v/>
      </c>
      <c r="L4150">
        <f>IF($G4150&lt;&gt;"ALCOHOL","",IF($K4150="","",$H4150*IFERROR(VLOOKUP($K4150,Drink_Templates!$A:$G,7,FALSE),0)))</f>
        <v/>
      </c>
    </row>
    <row r="4151" ht="15" customHeight="1">
      <c r="C4151">
        <f>IF($B4151="","",INT($B4151))</f>
        <v/>
      </c>
      <c r="D4151">
        <f>IF($C4151="","",$C4151-WEEKDAY($C4151,2)+1)</f>
        <v/>
      </c>
      <c r="E4151">
        <f>IF($C4151="","",DATE(YEAR($C4151),MONTH($C4151),1))</f>
        <v/>
      </c>
      <c r="F4151">
        <f>IF($C4151="","",YEAR($C4151)&amp;"-Q"&amp;ROUNDUP(MONTH($C4151)/3,0))</f>
        <v/>
      </c>
      <c r="L4151">
        <f>IF($G4151&lt;&gt;"ALCOHOL","",IF($K4151="","",$H4151*IFERROR(VLOOKUP($K4151,Drink_Templates!$A:$G,7,FALSE),0)))</f>
        <v/>
      </c>
    </row>
    <row r="4152" ht="15" customHeight="1">
      <c r="C4152">
        <f>IF($B4152="","",INT($B4152))</f>
        <v/>
      </c>
      <c r="D4152">
        <f>IF($C4152="","",$C4152-WEEKDAY($C4152,2)+1)</f>
        <v/>
      </c>
      <c r="E4152">
        <f>IF($C4152="","",DATE(YEAR($C4152),MONTH($C4152),1))</f>
        <v/>
      </c>
      <c r="F4152">
        <f>IF($C4152="","",YEAR($C4152)&amp;"-Q"&amp;ROUNDUP(MONTH($C4152)/3,0))</f>
        <v/>
      </c>
      <c r="L4152">
        <f>IF($G4152&lt;&gt;"ALCOHOL","",IF($K4152="","",$H4152*IFERROR(VLOOKUP($K4152,Drink_Templates!$A:$G,7,FALSE),0)))</f>
        <v/>
      </c>
    </row>
    <row r="4153" ht="15" customHeight="1">
      <c r="C4153">
        <f>IF($B4153="","",INT($B4153))</f>
        <v/>
      </c>
      <c r="D4153">
        <f>IF($C4153="","",$C4153-WEEKDAY($C4153,2)+1)</f>
        <v/>
      </c>
      <c r="E4153">
        <f>IF($C4153="","",DATE(YEAR($C4153),MONTH($C4153),1))</f>
        <v/>
      </c>
      <c r="F4153">
        <f>IF($C4153="","",YEAR($C4153)&amp;"-Q"&amp;ROUNDUP(MONTH($C4153)/3,0))</f>
        <v/>
      </c>
      <c r="L4153">
        <f>IF($G4153&lt;&gt;"ALCOHOL","",IF($K4153="","",$H4153*IFERROR(VLOOKUP($K4153,Drink_Templates!$A:$G,7,FALSE),0)))</f>
        <v/>
      </c>
    </row>
    <row r="4154" ht="15" customHeight="1">
      <c r="C4154">
        <f>IF($B4154="","",INT($B4154))</f>
        <v/>
      </c>
      <c r="D4154">
        <f>IF($C4154="","",$C4154-WEEKDAY($C4154,2)+1)</f>
        <v/>
      </c>
      <c r="E4154">
        <f>IF($C4154="","",DATE(YEAR($C4154),MONTH($C4154),1))</f>
        <v/>
      </c>
      <c r="F4154">
        <f>IF($C4154="","",YEAR($C4154)&amp;"-Q"&amp;ROUNDUP(MONTH($C4154)/3,0))</f>
        <v/>
      </c>
      <c r="L4154">
        <f>IF($G4154&lt;&gt;"ALCOHOL","",IF($K4154="","",$H4154*IFERROR(VLOOKUP($K4154,Drink_Templates!$A:$G,7,FALSE),0)))</f>
        <v/>
      </c>
    </row>
    <row r="4155" ht="15" customHeight="1">
      <c r="C4155">
        <f>IF($B4155="","",INT($B4155))</f>
        <v/>
      </c>
      <c r="D4155">
        <f>IF($C4155="","",$C4155-WEEKDAY($C4155,2)+1)</f>
        <v/>
      </c>
      <c r="E4155">
        <f>IF($C4155="","",DATE(YEAR($C4155),MONTH($C4155),1))</f>
        <v/>
      </c>
      <c r="F4155">
        <f>IF($C4155="","",YEAR($C4155)&amp;"-Q"&amp;ROUNDUP(MONTH($C4155)/3,0))</f>
        <v/>
      </c>
      <c r="L4155">
        <f>IF($G4155&lt;&gt;"ALCOHOL","",IF($K4155="","",$H4155*IFERROR(VLOOKUP($K4155,Drink_Templates!$A:$G,7,FALSE),0)))</f>
        <v/>
      </c>
    </row>
    <row r="4156" ht="15" customHeight="1">
      <c r="C4156">
        <f>IF($B4156="","",INT($B4156))</f>
        <v/>
      </c>
      <c r="D4156">
        <f>IF($C4156="","",$C4156-WEEKDAY($C4156,2)+1)</f>
        <v/>
      </c>
      <c r="E4156">
        <f>IF($C4156="","",DATE(YEAR($C4156),MONTH($C4156),1))</f>
        <v/>
      </c>
      <c r="F4156">
        <f>IF($C4156="","",YEAR($C4156)&amp;"-Q"&amp;ROUNDUP(MONTH($C4156)/3,0))</f>
        <v/>
      </c>
      <c r="L4156">
        <f>IF($G4156&lt;&gt;"ALCOHOL","",IF($K4156="","",$H4156*IFERROR(VLOOKUP($K4156,Drink_Templates!$A:$G,7,FALSE),0)))</f>
        <v/>
      </c>
    </row>
    <row r="4157" ht="15" customHeight="1">
      <c r="C4157">
        <f>IF($B4157="","",INT($B4157))</f>
        <v/>
      </c>
      <c r="D4157">
        <f>IF($C4157="","",$C4157-WEEKDAY($C4157,2)+1)</f>
        <v/>
      </c>
      <c r="E4157">
        <f>IF($C4157="","",DATE(YEAR($C4157),MONTH($C4157),1))</f>
        <v/>
      </c>
      <c r="F4157">
        <f>IF($C4157="","",YEAR($C4157)&amp;"-Q"&amp;ROUNDUP(MONTH($C4157)/3,0))</f>
        <v/>
      </c>
      <c r="L4157">
        <f>IF($G4157&lt;&gt;"ALCOHOL","",IF($K4157="","",$H4157*IFERROR(VLOOKUP($K4157,Drink_Templates!$A:$G,7,FALSE),0)))</f>
        <v/>
      </c>
    </row>
    <row r="4158" ht="15" customHeight="1">
      <c r="C4158">
        <f>IF($B4158="","",INT($B4158))</f>
        <v/>
      </c>
      <c r="D4158">
        <f>IF($C4158="","",$C4158-WEEKDAY($C4158,2)+1)</f>
        <v/>
      </c>
      <c r="E4158">
        <f>IF($C4158="","",DATE(YEAR($C4158),MONTH($C4158),1))</f>
        <v/>
      </c>
      <c r="F4158">
        <f>IF($C4158="","",YEAR($C4158)&amp;"-Q"&amp;ROUNDUP(MONTH($C4158)/3,0))</f>
        <v/>
      </c>
      <c r="L4158">
        <f>IF($G4158&lt;&gt;"ALCOHOL","",IF($K4158="","",$H4158*IFERROR(VLOOKUP($K4158,Drink_Templates!$A:$G,7,FALSE),0)))</f>
        <v/>
      </c>
    </row>
    <row r="4159" ht="15" customHeight="1">
      <c r="C4159">
        <f>IF($B4159="","",INT($B4159))</f>
        <v/>
      </c>
      <c r="D4159">
        <f>IF($C4159="","",$C4159-WEEKDAY($C4159,2)+1)</f>
        <v/>
      </c>
      <c r="E4159">
        <f>IF($C4159="","",DATE(YEAR($C4159),MONTH($C4159),1))</f>
        <v/>
      </c>
      <c r="F4159">
        <f>IF($C4159="","",YEAR($C4159)&amp;"-Q"&amp;ROUNDUP(MONTH($C4159)/3,0))</f>
        <v/>
      </c>
      <c r="L4159">
        <f>IF($G4159&lt;&gt;"ALCOHOL","",IF($K4159="","",$H4159*IFERROR(VLOOKUP($K4159,Drink_Templates!$A:$G,7,FALSE),0)))</f>
        <v/>
      </c>
    </row>
    <row r="4160" ht="15" customHeight="1">
      <c r="C4160">
        <f>IF($B4160="","",INT($B4160))</f>
        <v/>
      </c>
      <c r="D4160">
        <f>IF($C4160="","",$C4160-WEEKDAY($C4160,2)+1)</f>
        <v/>
      </c>
      <c r="E4160">
        <f>IF($C4160="","",DATE(YEAR($C4160),MONTH($C4160),1))</f>
        <v/>
      </c>
      <c r="F4160">
        <f>IF($C4160="","",YEAR($C4160)&amp;"-Q"&amp;ROUNDUP(MONTH($C4160)/3,0))</f>
        <v/>
      </c>
      <c r="L4160">
        <f>IF($G4160&lt;&gt;"ALCOHOL","",IF($K4160="","",$H4160*IFERROR(VLOOKUP($K4160,Drink_Templates!$A:$G,7,FALSE),0)))</f>
        <v/>
      </c>
    </row>
    <row r="4161" ht="15" customHeight="1">
      <c r="C4161">
        <f>IF($B4161="","",INT($B4161))</f>
        <v/>
      </c>
      <c r="D4161">
        <f>IF($C4161="","",$C4161-WEEKDAY($C4161,2)+1)</f>
        <v/>
      </c>
      <c r="E4161">
        <f>IF($C4161="","",DATE(YEAR($C4161),MONTH($C4161),1))</f>
        <v/>
      </c>
      <c r="F4161">
        <f>IF($C4161="","",YEAR($C4161)&amp;"-Q"&amp;ROUNDUP(MONTH($C4161)/3,0))</f>
        <v/>
      </c>
      <c r="L4161">
        <f>IF($G4161&lt;&gt;"ALCOHOL","",IF($K4161="","",$H4161*IFERROR(VLOOKUP($K4161,Drink_Templates!$A:$G,7,FALSE),0)))</f>
        <v/>
      </c>
    </row>
    <row r="4162" ht="15" customHeight="1">
      <c r="C4162">
        <f>IF($B4162="","",INT($B4162))</f>
        <v/>
      </c>
      <c r="D4162">
        <f>IF($C4162="","",$C4162-WEEKDAY($C4162,2)+1)</f>
        <v/>
      </c>
      <c r="E4162">
        <f>IF($C4162="","",DATE(YEAR($C4162),MONTH($C4162),1))</f>
        <v/>
      </c>
      <c r="F4162">
        <f>IF($C4162="","",YEAR($C4162)&amp;"-Q"&amp;ROUNDUP(MONTH($C4162)/3,0))</f>
        <v/>
      </c>
      <c r="L4162">
        <f>IF($G4162&lt;&gt;"ALCOHOL","",IF($K4162="","",$H4162*IFERROR(VLOOKUP($K4162,Drink_Templates!$A:$G,7,FALSE),0)))</f>
        <v/>
      </c>
    </row>
    <row r="4163" ht="15" customHeight="1">
      <c r="C4163">
        <f>IF($B4163="","",INT($B4163))</f>
        <v/>
      </c>
      <c r="D4163">
        <f>IF($C4163="","",$C4163-WEEKDAY($C4163,2)+1)</f>
        <v/>
      </c>
      <c r="E4163">
        <f>IF($C4163="","",DATE(YEAR($C4163),MONTH($C4163),1))</f>
        <v/>
      </c>
      <c r="F4163">
        <f>IF($C4163="","",YEAR($C4163)&amp;"-Q"&amp;ROUNDUP(MONTH($C4163)/3,0))</f>
        <v/>
      </c>
      <c r="L4163">
        <f>IF($G4163&lt;&gt;"ALCOHOL","",IF($K4163="","",$H4163*IFERROR(VLOOKUP($K4163,Drink_Templates!$A:$G,7,FALSE),0)))</f>
        <v/>
      </c>
    </row>
    <row r="4164" ht="15" customHeight="1">
      <c r="C4164">
        <f>IF($B4164="","",INT($B4164))</f>
        <v/>
      </c>
      <c r="D4164">
        <f>IF($C4164="","",$C4164-WEEKDAY($C4164,2)+1)</f>
        <v/>
      </c>
      <c r="E4164">
        <f>IF($C4164="","",DATE(YEAR($C4164),MONTH($C4164),1))</f>
        <v/>
      </c>
      <c r="F4164">
        <f>IF($C4164="","",YEAR($C4164)&amp;"-Q"&amp;ROUNDUP(MONTH($C4164)/3,0))</f>
        <v/>
      </c>
      <c r="L4164">
        <f>IF($G4164&lt;&gt;"ALCOHOL","",IF($K4164="","",$H4164*IFERROR(VLOOKUP($K4164,Drink_Templates!$A:$G,7,FALSE),0)))</f>
        <v/>
      </c>
    </row>
    <row r="4165" ht="15" customHeight="1">
      <c r="C4165">
        <f>IF($B4165="","",INT($B4165))</f>
        <v/>
      </c>
      <c r="D4165">
        <f>IF($C4165="","",$C4165-WEEKDAY($C4165,2)+1)</f>
        <v/>
      </c>
      <c r="E4165">
        <f>IF($C4165="","",DATE(YEAR($C4165),MONTH($C4165),1))</f>
        <v/>
      </c>
      <c r="F4165">
        <f>IF($C4165="","",YEAR($C4165)&amp;"-Q"&amp;ROUNDUP(MONTH($C4165)/3,0))</f>
        <v/>
      </c>
      <c r="L4165">
        <f>IF($G4165&lt;&gt;"ALCOHOL","",IF($K4165="","",$H4165*IFERROR(VLOOKUP($K4165,Drink_Templates!$A:$G,7,FALSE),0)))</f>
        <v/>
      </c>
    </row>
    <row r="4166" ht="15" customHeight="1">
      <c r="C4166">
        <f>IF($B4166="","",INT($B4166))</f>
        <v/>
      </c>
      <c r="D4166">
        <f>IF($C4166="","",$C4166-WEEKDAY($C4166,2)+1)</f>
        <v/>
      </c>
      <c r="E4166">
        <f>IF($C4166="","",DATE(YEAR($C4166),MONTH($C4166),1))</f>
        <v/>
      </c>
      <c r="F4166">
        <f>IF($C4166="","",YEAR($C4166)&amp;"-Q"&amp;ROUNDUP(MONTH($C4166)/3,0))</f>
        <v/>
      </c>
      <c r="L4166">
        <f>IF($G4166&lt;&gt;"ALCOHOL","",IF($K4166="","",$H4166*IFERROR(VLOOKUP($K4166,Drink_Templates!$A:$G,7,FALSE),0)))</f>
        <v/>
      </c>
    </row>
    <row r="4167" ht="15" customHeight="1">
      <c r="C4167">
        <f>IF($B4167="","",INT($B4167))</f>
        <v/>
      </c>
      <c r="D4167">
        <f>IF($C4167="","",$C4167-WEEKDAY($C4167,2)+1)</f>
        <v/>
      </c>
      <c r="E4167">
        <f>IF($C4167="","",DATE(YEAR($C4167),MONTH($C4167),1))</f>
        <v/>
      </c>
      <c r="F4167">
        <f>IF($C4167="","",YEAR($C4167)&amp;"-Q"&amp;ROUNDUP(MONTH($C4167)/3,0))</f>
        <v/>
      </c>
      <c r="L4167">
        <f>IF($G4167&lt;&gt;"ALCOHOL","",IF($K4167="","",$H4167*IFERROR(VLOOKUP($K4167,Drink_Templates!$A:$G,7,FALSE),0)))</f>
        <v/>
      </c>
    </row>
    <row r="4168" ht="15" customHeight="1">
      <c r="C4168">
        <f>IF($B4168="","",INT($B4168))</f>
        <v/>
      </c>
      <c r="D4168">
        <f>IF($C4168="","",$C4168-WEEKDAY($C4168,2)+1)</f>
        <v/>
      </c>
      <c r="E4168">
        <f>IF($C4168="","",DATE(YEAR($C4168),MONTH($C4168),1))</f>
        <v/>
      </c>
      <c r="F4168">
        <f>IF($C4168="","",YEAR($C4168)&amp;"-Q"&amp;ROUNDUP(MONTH($C4168)/3,0))</f>
        <v/>
      </c>
      <c r="L4168">
        <f>IF($G4168&lt;&gt;"ALCOHOL","",IF($K4168="","",$H4168*IFERROR(VLOOKUP($K4168,Drink_Templates!$A:$G,7,FALSE),0)))</f>
        <v/>
      </c>
    </row>
    <row r="4169" ht="15" customHeight="1">
      <c r="C4169">
        <f>IF($B4169="","",INT($B4169))</f>
        <v/>
      </c>
      <c r="D4169">
        <f>IF($C4169="","",$C4169-WEEKDAY($C4169,2)+1)</f>
        <v/>
      </c>
      <c r="E4169">
        <f>IF($C4169="","",DATE(YEAR($C4169),MONTH($C4169),1))</f>
        <v/>
      </c>
      <c r="F4169">
        <f>IF($C4169="","",YEAR($C4169)&amp;"-Q"&amp;ROUNDUP(MONTH($C4169)/3,0))</f>
        <v/>
      </c>
      <c r="L4169">
        <f>IF($G4169&lt;&gt;"ALCOHOL","",IF($K4169="","",$H4169*IFERROR(VLOOKUP($K4169,Drink_Templates!$A:$G,7,FALSE),0)))</f>
        <v/>
      </c>
    </row>
    <row r="4170" ht="15" customHeight="1">
      <c r="C4170">
        <f>IF($B4170="","",INT($B4170))</f>
        <v/>
      </c>
      <c r="D4170">
        <f>IF($C4170="","",$C4170-WEEKDAY($C4170,2)+1)</f>
        <v/>
      </c>
      <c r="E4170">
        <f>IF($C4170="","",DATE(YEAR($C4170),MONTH($C4170),1))</f>
        <v/>
      </c>
      <c r="F4170">
        <f>IF($C4170="","",YEAR($C4170)&amp;"-Q"&amp;ROUNDUP(MONTH($C4170)/3,0))</f>
        <v/>
      </c>
      <c r="L4170">
        <f>IF($G4170&lt;&gt;"ALCOHOL","",IF($K4170="","",$H4170*IFERROR(VLOOKUP($K4170,Drink_Templates!$A:$G,7,FALSE),0)))</f>
        <v/>
      </c>
    </row>
    <row r="4171" ht="15" customHeight="1">
      <c r="C4171">
        <f>IF($B4171="","",INT($B4171))</f>
        <v/>
      </c>
      <c r="D4171">
        <f>IF($C4171="","",$C4171-WEEKDAY($C4171,2)+1)</f>
        <v/>
      </c>
      <c r="E4171">
        <f>IF($C4171="","",DATE(YEAR($C4171),MONTH($C4171),1))</f>
        <v/>
      </c>
      <c r="F4171">
        <f>IF($C4171="","",YEAR($C4171)&amp;"-Q"&amp;ROUNDUP(MONTH($C4171)/3,0))</f>
        <v/>
      </c>
      <c r="L4171">
        <f>IF($G4171&lt;&gt;"ALCOHOL","",IF($K4171="","",$H4171*IFERROR(VLOOKUP($K4171,Drink_Templates!$A:$G,7,FALSE),0)))</f>
        <v/>
      </c>
    </row>
    <row r="4172" ht="15" customHeight="1">
      <c r="C4172">
        <f>IF($B4172="","",INT($B4172))</f>
        <v/>
      </c>
      <c r="D4172">
        <f>IF($C4172="","",$C4172-WEEKDAY($C4172,2)+1)</f>
        <v/>
      </c>
      <c r="E4172">
        <f>IF($C4172="","",DATE(YEAR($C4172),MONTH($C4172),1))</f>
        <v/>
      </c>
      <c r="F4172">
        <f>IF($C4172="","",YEAR($C4172)&amp;"-Q"&amp;ROUNDUP(MONTH($C4172)/3,0))</f>
        <v/>
      </c>
      <c r="L4172">
        <f>IF($G4172&lt;&gt;"ALCOHOL","",IF($K4172="","",$H4172*IFERROR(VLOOKUP($K4172,Drink_Templates!$A:$G,7,FALSE),0)))</f>
        <v/>
      </c>
    </row>
    <row r="4173" ht="15" customHeight="1">
      <c r="C4173">
        <f>IF($B4173="","",INT($B4173))</f>
        <v/>
      </c>
      <c r="D4173">
        <f>IF($C4173="","",$C4173-WEEKDAY($C4173,2)+1)</f>
        <v/>
      </c>
      <c r="E4173">
        <f>IF($C4173="","",DATE(YEAR($C4173),MONTH($C4173),1))</f>
        <v/>
      </c>
      <c r="F4173">
        <f>IF($C4173="","",YEAR($C4173)&amp;"-Q"&amp;ROUNDUP(MONTH($C4173)/3,0))</f>
        <v/>
      </c>
      <c r="L4173">
        <f>IF($G4173&lt;&gt;"ALCOHOL","",IF($K4173="","",$H4173*IFERROR(VLOOKUP($K4173,Drink_Templates!$A:$G,7,FALSE),0)))</f>
        <v/>
      </c>
    </row>
    <row r="4174" ht="15" customHeight="1">
      <c r="C4174">
        <f>IF($B4174="","",INT($B4174))</f>
        <v/>
      </c>
      <c r="D4174">
        <f>IF($C4174="","",$C4174-WEEKDAY($C4174,2)+1)</f>
        <v/>
      </c>
      <c r="E4174">
        <f>IF($C4174="","",DATE(YEAR($C4174),MONTH($C4174),1))</f>
        <v/>
      </c>
      <c r="F4174">
        <f>IF($C4174="","",YEAR($C4174)&amp;"-Q"&amp;ROUNDUP(MONTH($C4174)/3,0))</f>
        <v/>
      </c>
      <c r="L4174">
        <f>IF($G4174&lt;&gt;"ALCOHOL","",IF($K4174="","",$H4174*IFERROR(VLOOKUP($K4174,Drink_Templates!$A:$G,7,FALSE),0)))</f>
        <v/>
      </c>
    </row>
    <row r="4175" ht="15" customHeight="1">
      <c r="C4175">
        <f>IF($B4175="","",INT($B4175))</f>
        <v/>
      </c>
      <c r="D4175">
        <f>IF($C4175="","",$C4175-WEEKDAY($C4175,2)+1)</f>
        <v/>
      </c>
      <c r="E4175">
        <f>IF($C4175="","",DATE(YEAR($C4175),MONTH($C4175),1))</f>
        <v/>
      </c>
      <c r="F4175">
        <f>IF($C4175="","",YEAR($C4175)&amp;"-Q"&amp;ROUNDUP(MONTH($C4175)/3,0))</f>
        <v/>
      </c>
      <c r="L4175">
        <f>IF($G4175&lt;&gt;"ALCOHOL","",IF($K4175="","",$H4175*IFERROR(VLOOKUP($K4175,Drink_Templates!$A:$G,7,FALSE),0)))</f>
        <v/>
      </c>
    </row>
    <row r="4176" ht="15" customHeight="1">
      <c r="C4176">
        <f>IF($B4176="","",INT($B4176))</f>
        <v/>
      </c>
      <c r="D4176">
        <f>IF($C4176="","",$C4176-WEEKDAY($C4176,2)+1)</f>
        <v/>
      </c>
      <c r="E4176">
        <f>IF($C4176="","",DATE(YEAR($C4176),MONTH($C4176),1))</f>
        <v/>
      </c>
      <c r="F4176">
        <f>IF($C4176="","",YEAR($C4176)&amp;"-Q"&amp;ROUNDUP(MONTH($C4176)/3,0))</f>
        <v/>
      </c>
      <c r="L4176">
        <f>IF($G4176&lt;&gt;"ALCOHOL","",IF($K4176="","",$H4176*IFERROR(VLOOKUP($K4176,Drink_Templates!$A:$G,7,FALSE),0)))</f>
        <v/>
      </c>
    </row>
    <row r="4177" ht="15" customHeight="1">
      <c r="C4177">
        <f>IF($B4177="","",INT($B4177))</f>
        <v/>
      </c>
      <c r="D4177">
        <f>IF($C4177="","",$C4177-WEEKDAY($C4177,2)+1)</f>
        <v/>
      </c>
      <c r="E4177">
        <f>IF($C4177="","",DATE(YEAR($C4177),MONTH($C4177),1))</f>
        <v/>
      </c>
      <c r="F4177">
        <f>IF($C4177="","",YEAR($C4177)&amp;"-Q"&amp;ROUNDUP(MONTH($C4177)/3,0))</f>
        <v/>
      </c>
      <c r="L4177">
        <f>IF($G4177&lt;&gt;"ALCOHOL","",IF($K4177="","",$H4177*IFERROR(VLOOKUP($K4177,Drink_Templates!$A:$G,7,FALSE),0)))</f>
        <v/>
      </c>
    </row>
    <row r="4178" ht="15" customHeight="1">
      <c r="C4178">
        <f>IF($B4178="","",INT($B4178))</f>
        <v/>
      </c>
      <c r="D4178">
        <f>IF($C4178="","",$C4178-WEEKDAY($C4178,2)+1)</f>
        <v/>
      </c>
      <c r="E4178">
        <f>IF($C4178="","",DATE(YEAR($C4178),MONTH($C4178),1))</f>
        <v/>
      </c>
      <c r="F4178">
        <f>IF($C4178="","",YEAR($C4178)&amp;"-Q"&amp;ROUNDUP(MONTH($C4178)/3,0))</f>
        <v/>
      </c>
      <c r="L4178">
        <f>IF($G4178&lt;&gt;"ALCOHOL","",IF($K4178="","",$H4178*IFERROR(VLOOKUP($K4178,Drink_Templates!$A:$G,7,FALSE),0)))</f>
        <v/>
      </c>
    </row>
    <row r="4179" ht="15" customHeight="1">
      <c r="C4179">
        <f>IF($B4179="","",INT($B4179))</f>
        <v/>
      </c>
      <c r="D4179">
        <f>IF($C4179="","",$C4179-WEEKDAY($C4179,2)+1)</f>
        <v/>
      </c>
      <c r="E4179">
        <f>IF($C4179="","",DATE(YEAR($C4179),MONTH($C4179),1))</f>
        <v/>
      </c>
      <c r="F4179">
        <f>IF($C4179="","",YEAR($C4179)&amp;"-Q"&amp;ROUNDUP(MONTH($C4179)/3,0))</f>
        <v/>
      </c>
      <c r="L4179">
        <f>IF($G4179&lt;&gt;"ALCOHOL","",IF($K4179="","",$H4179*IFERROR(VLOOKUP($K4179,Drink_Templates!$A:$G,7,FALSE),0)))</f>
        <v/>
      </c>
    </row>
    <row r="4180" ht="15" customHeight="1">
      <c r="C4180">
        <f>IF($B4180="","",INT($B4180))</f>
        <v/>
      </c>
      <c r="D4180">
        <f>IF($C4180="","",$C4180-WEEKDAY($C4180,2)+1)</f>
        <v/>
      </c>
      <c r="E4180">
        <f>IF($C4180="","",DATE(YEAR($C4180),MONTH($C4180),1))</f>
        <v/>
      </c>
      <c r="F4180">
        <f>IF($C4180="","",YEAR($C4180)&amp;"-Q"&amp;ROUNDUP(MONTH($C4180)/3,0))</f>
        <v/>
      </c>
      <c r="L4180">
        <f>IF($G4180&lt;&gt;"ALCOHOL","",IF($K4180="","",$H4180*IFERROR(VLOOKUP($K4180,Drink_Templates!$A:$G,7,FALSE),0)))</f>
        <v/>
      </c>
    </row>
    <row r="4181" ht="15" customHeight="1">
      <c r="C4181">
        <f>IF($B4181="","",INT($B4181))</f>
        <v/>
      </c>
      <c r="D4181">
        <f>IF($C4181="","",$C4181-WEEKDAY($C4181,2)+1)</f>
        <v/>
      </c>
      <c r="E4181">
        <f>IF($C4181="","",DATE(YEAR($C4181),MONTH($C4181),1))</f>
        <v/>
      </c>
      <c r="F4181">
        <f>IF($C4181="","",YEAR($C4181)&amp;"-Q"&amp;ROUNDUP(MONTH($C4181)/3,0))</f>
        <v/>
      </c>
      <c r="L4181">
        <f>IF($G4181&lt;&gt;"ALCOHOL","",IF($K4181="","",$H4181*IFERROR(VLOOKUP($K4181,Drink_Templates!$A:$G,7,FALSE),0)))</f>
        <v/>
      </c>
    </row>
    <row r="4182" ht="15" customHeight="1">
      <c r="C4182">
        <f>IF($B4182="","",INT($B4182))</f>
        <v/>
      </c>
      <c r="D4182">
        <f>IF($C4182="","",$C4182-WEEKDAY($C4182,2)+1)</f>
        <v/>
      </c>
      <c r="E4182">
        <f>IF($C4182="","",DATE(YEAR($C4182),MONTH($C4182),1))</f>
        <v/>
      </c>
      <c r="F4182">
        <f>IF($C4182="","",YEAR($C4182)&amp;"-Q"&amp;ROUNDUP(MONTH($C4182)/3,0))</f>
        <v/>
      </c>
      <c r="L4182">
        <f>IF($G4182&lt;&gt;"ALCOHOL","",IF($K4182="","",$H4182*IFERROR(VLOOKUP($K4182,Drink_Templates!$A:$G,7,FALSE),0)))</f>
        <v/>
      </c>
    </row>
    <row r="4183" ht="15" customHeight="1">
      <c r="C4183">
        <f>IF($B4183="","",INT($B4183))</f>
        <v/>
      </c>
      <c r="D4183">
        <f>IF($C4183="","",$C4183-WEEKDAY($C4183,2)+1)</f>
        <v/>
      </c>
      <c r="E4183">
        <f>IF($C4183="","",DATE(YEAR($C4183),MONTH($C4183),1))</f>
        <v/>
      </c>
      <c r="F4183">
        <f>IF($C4183="","",YEAR($C4183)&amp;"-Q"&amp;ROUNDUP(MONTH($C4183)/3,0))</f>
        <v/>
      </c>
      <c r="L4183">
        <f>IF($G4183&lt;&gt;"ALCOHOL","",IF($K4183="","",$H4183*IFERROR(VLOOKUP($K4183,Drink_Templates!$A:$G,7,FALSE),0)))</f>
        <v/>
      </c>
    </row>
    <row r="4184" ht="15" customHeight="1">
      <c r="C4184">
        <f>IF($B4184="","",INT($B4184))</f>
        <v/>
      </c>
      <c r="D4184">
        <f>IF($C4184="","",$C4184-WEEKDAY($C4184,2)+1)</f>
        <v/>
      </c>
      <c r="E4184">
        <f>IF($C4184="","",DATE(YEAR($C4184),MONTH($C4184),1))</f>
        <v/>
      </c>
      <c r="F4184">
        <f>IF($C4184="","",YEAR($C4184)&amp;"-Q"&amp;ROUNDUP(MONTH($C4184)/3,0))</f>
        <v/>
      </c>
      <c r="L4184">
        <f>IF($G4184&lt;&gt;"ALCOHOL","",IF($K4184="","",$H4184*IFERROR(VLOOKUP($K4184,Drink_Templates!$A:$G,7,FALSE),0)))</f>
        <v/>
      </c>
    </row>
    <row r="4185" ht="15" customHeight="1">
      <c r="C4185">
        <f>IF($B4185="","",INT($B4185))</f>
        <v/>
      </c>
      <c r="D4185">
        <f>IF($C4185="","",$C4185-WEEKDAY($C4185,2)+1)</f>
        <v/>
      </c>
      <c r="E4185">
        <f>IF($C4185="","",DATE(YEAR($C4185),MONTH($C4185),1))</f>
        <v/>
      </c>
      <c r="F4185">
        <f>IF($C4185="","",YEAR($C4185)&amp;"-Q"&amp;ROUNDUP(MONTH($C4185)/3,0))</f>
        <v/>
      </c>
      <c r="L4185">
        <f>IF($G4185&lt;&gt;"ALCOHOL","",IF($K4185="","",$H4185*IFERROR(VLOOKUP($K4185,Drink_Templates!$A:$G,7,FALSE),0)))</f>
        <v/>
      </c>
    </row>
    <row r="4186" ht="15" customHeight="1">
      <c r="C4186">
        <f>IF($B4186="","",INT($B4186))</f>
        <v/>
      </c>
      <c r="D4186">
        <f>IF($C4186="","",$C4186-WEEKDAY($C4186,2)+1)</f>
        <v/>
      </c>
      <c r="E4186">
        <f>IF($C4186="","",DATE(YEAR($C4186),MONTH($C4186),1))</f>
        <v/>
      </c>
      <c r="F4186">
        <f>IF($C4186="","",YEAR($C4186)&amp;"-Q"&amp;ROUNDUP(MONTH($C4186)/3,0))</f>
        <v/>
      </c>
      <c r="L4186">
        <f>IF($G4186&lt;&gt;"ALCOHOL","",IF($K4186="","",$H4186*IFERROR(VLOOKUP($K4186,Drink_Templates!$A:$G,7,FALSE),0)))</f>
        <v/>
      </c>
    </row>
    <row r="4187" ht="15" customHeight="1">
      <c r="C4187">
        <f>IF($B4187="","",INT($B4187))</f>
        <v/>
      </c>
      <c r="D4187">
        <f>IF($C4187="","",$C4187-WEEKDAY($C4187,2)+1)</f>
        <v/>
      </c>
      <c r="E4187">
        <f>IF($C4187="","",DATE(YEAR($C4187),MONTH($C4187),1))</f>
        <v/>
      </c>
      <c r="F4187">
        <f>IF($C4187="","",YEAR($C4187)&amp;"-Q"&amp;ROUNDUP(MONTH($C4187)/3,0))</f>
        <v/>
      </c>
      <c r="L4187">
        <f>IF($G4187&lt;&gt;"ALCOHOL","",IF($K4187="","",$H4187*IFERROR(VLOOKUP($K4187,Drink_Templates!$A:$G,7,FALSE),0)))</f>
        <v/>
      </c>
    </row>
    <row r="4188" ht="15" customHeight="1">
      <c r="C4188">
        <f>IF($B4188="","",INT($B4188))</f>
        <v/>
      </c>
      <c r="D4188">
        <f>IF($C4188="","",$C4188-WEEKDAY($C4188,2)+1)</f>
        <v/>
      </c>
      <c r="E4188">
        <f>IF($C4188="","",DATE(YEAR($C4188),MONTH($C4188),1))</f>
        <v/>
      </c>
      <c r="F4188">
        <f>IF($C4188="","",YEAR($C4188)&amp;"-Q"&amp;ROUNDUP(MONTH($C4188)/3,0))</f>
        <v/>
      </c>
      <c r="L4188">
        <f>IF($G4188&lt;&gt;"ALCOHOL","",IF($K4188="","",$H4188*IFERROR(VLOOKUP($K4188,Drink_Templates!$A:$G,7,FALSE),0)))</f>
        <v/>
      </c>
    </row>
    <row r="4189" ht="15" customHeight="1">
      <c r="C4189">
        <f>IF($B4189="","",INT($B4189))</f>
        <v/>
      </c>
      <c r="D4189">
        <f>IF($C4189="","",$C4189-WEEKDAY($C4189,2)+1)</f>
        <v/>
      </c>
      <c r="E4189">
        <f>IF($C4189="","",DATE(YEAR($C4189),MONTH($C4189),1))</f>
        <v/>
      </c>
      <c r="F4189">
        <f>IF($C4189="","",YEAR($C4189)&amp;"-Q"&amp;ROUNDUP(MONTH($C4189)/3,0))</f>
        <v/>
      </c>
      <c r="L4189">
        <f>IF($G4189&lt;&gt;"ALCOHOL","",IF($K4189="","",$H4189*IFERROR(VLOOKUP($K4189,Drink_Templates!$A:$G,7,FALSE),0)))</f>
        <v/>
      </c>
    </row>
    <row r="4190" ht="15" customHeight="1">
      <c r="C4190">
        <f>IF($B4190="","",INT($B4190))</f>
        <v/>
      </c>
      <c r="D4190">
        <f>IF($C4190="","",$C4190-WEEKDAY($C4190,2)+1)</f>
        <v/>
      </c>
      <c r="E4190">
        <f>IF($C4190="","",DATE(YEAR($C4190),MONTH($C4190),1))</f>
        <v/>
      </c>
      <c r="F4190">
        <f>IF($C4190="","",YEAR($C4190)&amp;"-Q"&amp;ROUNDUP(MONTH($C4190)/3,0))</f>
        <v/>
      </c>
      <c r="L4190">
        <f>IF($G4190&lt;&gt;"ALCOHOL","",IF($K4190="","",$H4190*IFERROR(VLOOKUP($K4190,Drink_Templates!$A:$G,7,FALSE),0)))</f>
        <v/>
      </c>
    </row>
    <row r="4191" ht="15" customHeight="1">
      <c r="C4191">
        <f>IF($B4191="","",INT($B4191))</f>
        <v/>
      </c>
      <c r="D4191">
        <f>IF($C4191="","",$C4191-WEEKDAY($C4191,2)+1)</f>
        <v/>
      </c>
      <c r="E4191">
        <f>IF($C4191="","",DATE(YEAR($C4191),MONTH($C4191),1))</f>
        <v/>
      </c>
      <c r="F4191">
        <f>IF($C4191="","",YEAR($C4191)&amp;"-Q"&amp;ROUNDUP(MONTH($C4191)/3,0))</f>
        <v/>
      </c>
      <c r="L4191">
        <f>IF($G4191&lt;&gt;"ALCOHOL","",IF($K4191="","",$H4191*IFERROR(VLOOKUP($K4191,Drink_Templates!$A:$G,7,FALSE),0)))</f>
        <v/>
      </c>
    </row>
    <row r="4192" ht="15" customHeight="1">
      <c r="C4192">
        <f>IF($B4192="","",INT($B4192))</f>
        <v/>
      </c>
      <c r="D4192">
        <f>IF($C4192="","",$C4192-WEEKDAY($C4192,2)+1)</f>
        <v/>
      </c>
      <c r="E4192">
        <f>IF($C4192="","",DATE(YEAR($C4192),MONTH($C4192),1))</f>
        <v/>
      </c>
      <c r="F4192">
        <f>IF($C4192="","",YEAR($C4192)&amp;"-Q"&amp;ROUNDUP(MONTH($C4192)/3,0))</f>
        <v/>
      </c>
      <c r="L4192">
        <f>IF($G4192&lt;&gt;"ALCOHOL","",IF($K4192="","",$H4192*IFERROR(VLOOKUP($K4192,Drink_Templates!$A:$G,7,FALSE),0)))</f>
        <v/>
      </c>
    </row>
    <row r="4193" ht="15" customHeight="1">
      <c r="C4193">
        <f>IF($B4193="","",INT($B4193))</f>
        <v/>
      </c>
      <c r="D4193">
        <f>IF($C4193="","",$C4193-WEEKDAY($C4193,2)+1)</f>
        <v/>
      </c>
      <c r="E4193">
        <f>IF($C4193="","",DATE(YEAR($C4193),MONTH($C4193),1))</f>
        <v/>
      </c>
      <c r="F4193">
        <f>IF($C4193="","",YEAR($C4193)&amp;"-Q"&amp;ROUNDUP(MONTH($C4193)/3,0))</f>
        <v/>
      </c>
      <c r="L4193">
        <f>IF($G4193&lt;&gt;"ALCOHOL","",IF($K4193="","",$H4193*IFERROR(VLOOKUP($K4193,Drink_Templates!$A:$G,7,FALSE),0)))</f>
        <v/>
      </c>
    </row>
    <row r="4194" ht="15" customHeight="1">
      <c r="C4194">
        <f>IF($B4194="","",INT($B4194))</f>
        <v/>
      </c>
      <c r="D4194">
        <f>IF($C4194="","",$C4194-WEEKDAY($C4194,2)+1)</f>
        <v/>
      </c>
      <c r="E4194">
        <f>IF($C4194="","",DATE(YEAR($C4194),MONTH($C4194),1))</f>
        <v/>
      </c>
      <c r="F4194">
        <f>IF($C4194="","",YEAR($C4194)&amp;"-Q"&amp;ROUNDUP(MONTH($C4194)/3,0))</f>
        <v/>
      </c>
      <c r="L4194">
        <f>IF($G4194&lt;&gt;"ALCOHOL","",IF($K4194="","",$H4194*IFERROR(VLOOKUP($K4194,Drink_Templates!$A:$G,7,FALSE),0)))</f>
        <v/>
      </c>
    </row>
    <row r="4195" ht="15" customHeight="1">
      <c r="C4195">
        <f>IF($B4195="","",INT($B4195))</f>
        <v/>
      </c>
      <c r="D4195">
        <f>IF($C4195="","",$C4195-WEEKDAY($C4195,2)+1)</f>
        <v/>
      </c>
      <c r="E4195">
        <f>IF($C4195="","",DATE(YEAR($C4195),MONTH($C4195),1))</f>
        <v/>
      </c>
      <c r="F4195">
        <f>IF($C4195="","",YEAR($C4195)&amp;"-Q"&amp;ROUNDUP(MONTH($C4195)/3,0))</f>
        <v/>
      </c>
      <c r="L4195">
        <f>IF($G4195&lt;&gt;"ALCOHOL","",IF($K4195="","",$H4195*IFERROR(VLOOKUP($K4195,Drink_Templates!$A:$G,7,FALSE),0)))</f>
        <v/>
      </c>
    </row>
    <row r="4196" ht="15" customHeight="1">
      <c r="C4196">
        <f>IF($B4196="","",INT($B4196))</f>
        <v/>
      </c>
      <c r="D4196">
        <f>IF($C4196="","",$C4196-WEEKDAY($C4196,2)+1)</f>
        <v/>
      </c>
      <c r="E4196">
        <f>IF($C4196="","",DATE(YEAR($C4196),MONTH($C4196),1))</f>
        <v/>
      </c>
      <c r="F4196">
        <f>IF($C4196="","",YEAR($C4196)&amp;"-Q"&amp;ROUNDUP(MONTH($C4196)/3,0))</f>
        <v/>
      </c>
      <c r="L4196">
        <f>IF($G4196&lt;&gt;"ALCOHOL","",IF($K4196="","",$H4196*IFERROR(VLOOKUP($K4196,Drink_Templates!$A:$G,7,FALSE),0)))</f>
        <v/>
      </c>
    </row>
    <row r="4197" ht="15" customHeight="1">
      <c r="C4197">
        <f>IF($B4197="","",INT($B4197))</f>
        <v/>
      </c>
      <c r="D4197">
        <f>IF($C4197="","",$C4197-WEEKDAY($C4197,2)+1)</f>
        <v/>
      </c>
      <c r="E4197">
        <f>IF($C4197="","",DATE(YEAR($C4197),MONTH($C4197),1))</f>
        <v/>
      </c>
      <c r="F4197">
        <f>IF($C4197="","",YEAR($C4197)&amp;"-Q"&amp;ROUNDUP(MONTH($C4197)/3,0))</f>
        <v/>
      </c>
      <c r="L4197">
        <f>IF($G4197&lt;&gt;"ALCOHOL","",IF($K4197="","",$H4197*IFERROR(VLOOKUP($K4197,Drink_Templates!$A:$G,7,FALSE),0)))</f>
        <v/>
      </c>
    </row>
    <row r="4198" ht="15" customHeight="1">
      <c r="C4198">
        <f>IF($B4198="","",INT($B4198))</f>
        <v/>
      </c>
      <c r="D4198">
        <f>IF($C4198="","",$C4198-WEEKDAY($C4198,2)+1)</f>
        <v/>
      </c>
      <c r="E4198">
        <f>IF($C4198="","",DATE(YEAR($C4198),MONTH($C4198),1))</f>
        <v/>
      </c>
      <c r="F4198">
        <f>IF($C4198="","",YEAR($C4198)&amp;"-Q"&amp;ROUNDUP(MONTH($C4198)/3,0))</f>
        <v/>
      </c>
      <c r="L4198">
        <f>IF($G4198&lt;&gt;"ALCOHOL","",IF($K4198="","",$H4198*IFERROR(VLOOKUP($K4198,Drink_Templates!$A:$G,7,FALSE),0)))</f>
        <v/>
      </c>
    </row>
    <row r="4199" ht="15" customHeight="1">
      <c r="C4199">
        <f>IF($B4199="","",INT($B4199))</f>
        <v/>
      </c>
      <c r="D4199">
        <f>IF($C4199="","",$C4199-WEEKDAY($C4199,2)+1)</f>
        <v/>
      </c>
      <c r="E4199">
        <f>IF($C4199="","",DATE(YEAR($C4199),MONTH($C4199),1))</f>
        <v/>
      </c>
      <c r="F4199">
        <f>IF($C4199="","",YEAR($C4199)&amp;"-Q"&amp;ROUNDUP(MONTH($C4199)/3,0))</f>
        <v/>
      </c>
      <c r="L4199">
        <f>IF($G4199&lt;&gt;"ALCOHOL","",IF($K4199="","",$H4199*IFERROR(VLOOKUP($K4199,Drink_Templates!$A:$G,7,FALSE),0)))</f>
        <v/>
      </c>
    </row>
    <row r="4200" ht="15" customHeight="1">
      <c r="C4200">
        <f>IF($B4200="","",INT($B4200))</f>
        <v/>
      </c>
      <c r="D4200">
        <f>IF($C4200="","",$C4200-WEEKDAY($C4200,2)+1)</f>
        <v/>
      </c>
      <c r="E4200">
        <f>IF($C4200="","",DATE(YEAR($C4200),MONTH($C4200),1))</f>
        <v/>
      </c>
      <c r="F4200">
        <f>IF($C4200="","",YEAR($C4200)&amp;"-Q"&amp;ROUNDUP(MONTH($C4200)/3,0))</f>
        <v/>
      </c>
      <c r="L4200">
        <f>IF($G4200&lt;&gt;"ALCOHOL","",IF($K4200="","",$H4200*IFERROR(VLOOKUP($K4200,Drink_Templates!$A:$G,7,FALSE),0)))</f>
        <v/>
      </c>
    </row>
    <row r="4201" ht="15" customHeight="1">
      <c r="C4201">
        <f>IF($B4201="","",INT($B4201))</f>
        <v/>
      </c>
      <c r="D4201">
        <f>IF($C4201="","",$C4201-WEEKDAY($C4201,2)+1)</f>
        <v/>
      </c>
      <c r="E4201">
        <f>IF($C4201="","",DATE(YEAR($C4201),MONTH($C4201),1))</f>
        <v/>
      </c>
      <c r="F4201">
        <f>IF($C4201="","",YEAR($C4201)&amp;"-Q"&amp;ROUNDUP(MONTH($C4201)/3,0))</f>
        <v/>
      </c>
      <c r="L4201">
        <f>IF($G4201&lt;&gt;"ALCOHOL","",IF($K4201="","",$H4201*IFERROR(VLOOKUP($K4201,Drink_Templates!$A:$G,7,FALSE),0)))</f>
        <v/>
      </c>
    </row>
    <row r="4202" ht="15" customHeight="1">
      <c r="C4202">
        <f>IF($B4202="","",INT($B4202))</f>
        <v/>
      </c>
      <c r="D4202">
        <f>IF($C4202="","",$C4202-WEEKDAY($C4202,2)+1)</f>
        <v/>
      </c>
      <c r="E4202">
        <f>IF($C4202="","",DATE(YEAR($C4202),MONTH($C4202),1))</f>
        <v/>
      </c>
      <c r="F4202">
        <f>IF($C4202="","",YEAR($C4202)&amp;"-Q"&amp;ROUNDUP(MONTH($C4202)/3,0))</f>
        <v/>
      </c>
      <c r="L4202">
        <f>IF($G4202&lt;&gt;"ALCOHOL","",IF($K4202="","",$H4202*IFERROR(VLOOKUP($K4202,Drink_Templates!$A:$G,7,FALSE),0)))</f>
        <v/>
      </c>
    </row>
    <row r="4203" ht="15" customHeight="1">
      <c r="C4203">
        <f>IF($B4203="","",INT($B4203))</f>
        <v/>
      </c>
      <c r="D4203">
        <f>IF($C4203="","",$C4203-WEEKDAY($C4203,2)+1)</f>
        <v/>
      </c>
      <c r="E4203">
        <f>IF($C4203="","",DATE(YEAR($C4203),MONTH($C4203),1))</f>
        <v/>
      </c>
      <c r="F4203">
        <f>IF($C4203="","",YEAR($C4203)&amp;"-Q"&amp;ROUNDUP(MONTH($C4203)/3,0))</f>
        <v/>
      </c>
      <c r="L4203">
        <f>IF($G4203&lt;&gt;"ALCOHOL","",IF($K4203="","",$H4203*IFERROR(VLOOKUP($K4203,Drink_Templates!$A:$G,7,FALSE),0)))</f>
        <v/>
      </c>
    </row>
    <row r="4204" ht="15" customHeight="1">
      <c r="C4204">
        <f>IF($B4204="","",INT($B4204))</f>
        <v/>
      </c>
      <c r="D4204">
        <f>IF($C4204="","",$C4204-WEEKDAY($C4204,2)+1)</f>
        <v/>
      </c>
      <c r="E4204">
        <f>IF($C4204="","",DATE(YEAR($C4204),MONTH($C4204),1))</f>
        <v/>
      </c>
      <c r="F4204">
        <f>IF($C4204="","",YEAR($C4204)&amp;"-Q"&amp;ROUNDUP(MONTH($C4204)/3,0))</f>
        <v/>
      </c>
      <c r="L4204">
        <f>IF($G4204&lt;&gt;"ALCOHOL","",IF($K4204="","",$H4204*IFERROR(VLOOKUP($K4204,Drink_Templates!$A:$G,7,FALSE),0)))</f>
        <v/>
      </c>
    </row>
    <row r="4205" ht="15" customHeight="1">
      <c r="C4205">
        <f>IF($B4205="","",INT($B4205))</f>
        <v/>
      </c>
      <c r="D4205">
        <f>IF($C4205="","",$C4205-WEEKDAY($C4205,2)+1)</f>
        <v/>
      </c>
      <c r="E4205">
        <f>IF($C4205="","",DATE(YEAR($C4205),MONTH($C4205),1))</f>
        <v/>
      </c>
      <c r="F4205">
        <f>IF($C4205="","",YEAR($C4205)&amp;"-Q"&amp;ROUNDUP(MONTH($C4205)/3,0))</f>
        <v/>
      </c>
      <c r="L4205">
        <f>IF($G4205&lt;&gt;"ALCOHOL","",IF($K4205="","",$H4205*IFERROR(VLOOKUP($K4205,Drink_Templates!$A:$G,7,FALSE),0)))</f>
        <v/>
      </c>
    </row>
    <row r="4206" ht="15" customHeight="1">
      <c r="C4206">
        <f>IF($B4206="","",INT($B4206))</f>
        <v/>
      </c>
      <c r="D4206">
        <f>IF($C4206="","",$C4206-WEEKDAY($C4206,2)+1)</f>
        <v/>
      </c>
      <c r="E4206">
        <f>IF($C4206="","",DATE(YEAR($C4206),MONTH($C4206),1))</f>
        <v/>
      </c>
      <c r="F4206">
        <f>IF($C4206="","",YEAR($C4206)&amp;"-Q"&amp;ROUNDUP(MONTH($C4206)/3,0))</f>
        <v/>
      </c>
      <c r="L4206">
        <f>IF($G4206&lt;&gt;"ALCOHOL","",IF($K4206="","",$H4206*IFERROR(VLOOKUP($K4206,Drink_Templates!$A:$G,7,FALSE),0)))</f>
        <v/>
      </c>
    </row>
    <row r="4207" ht="15" customHeight="1">
      <c r="C4207">
        <f>IF($B4207="","",INT($B4207))</f>
        <v/>
      </c>
      <c r="D4207">
        <f>IF($C4207="","",$C4207-WEEKDAY($C4207,2)+1)</f>
        <v/>
      </c>
      <c r="E4207">
        <f>IF($C4207="","",DATE(YEAR($C4207),MONTH($C4207),1))</f>
        <v/>
      </c>
      <c r="F4207">
        <f>IF($C4207="","",YEAR($C4207)&amp;"-Q"&amp;ROUNDUP(MONTH($C4207)/3,0))</f>
        <v/>
      </c>
      <c r="L4207">
        <f>IF($G4207&lt;&gt;"ALCOHOL","",IF($K4207="","",$H4207*IFERROR(VLOOKUP($K4207,Drink_Templates!$A:$G,7,FALSE),0)))</f>
        <v/>
      </c>
    </row>
    <row r="4208" ht="15" customHeight="1">
      <c r="C4208">
        <f>IF($B4208="","",INT($B4208))</f>
        <v/>
      </c>
      <c r="D4208">
        <f>IF($C4208="","",$C4208-WEEKDAY($C4208,2)+1)</f>
        <v/>
      </c>
      <c r="E4208">
        <f>IF($C4208="","",DATE(YEAR($C4208),MONTH($C4208),1))</f>
        <v/>
      </c>
      <c r="F4208">
        <f>IF($C4208="","",YEAR($C4208)&amp;"-Q"&amp;ROUNDUP(MONTH($C4208)/3,0))</f>
        <v/>
      </c>
      <c r="L4208">
        <f>IF($G4208&lt;&gt;"ALCOHOL","",IF($K4208="","",$H4208*IFERROR(VLOOKUP($K4208,Drink_Templates!$A:$G,7,FALSE),0)))</f>
        <v/>
      </c>
    </row>
    <row r="4209" ht="15" customHeight="1">
      <c r="C4209">
        <f>IF($B4209="","",INT($B4209))</f>
        <v/>
      </c>
      <c r="D4209">
        <f>IF($C4209="","",$C4209-WEEKDAY($C4209,2)+1)</f>
        <v/>
      </c>
      <c r="E4209">
        <f>IF($C4209="","",DATE(YEAR($C4209),MONTH($C4209),1))</f>
        <v/>
      </c>
      <c r="F4209">
        <f>IF($C4209="","",YEAR($C4209)&amp;"-Q"&amp;ROUNDUP(MONTH($C4209)/3,0))</f>
        <v/>
      </c>
      <c r="L4209">
        <f>IF($G4209&lt;&gt;"ALCOHOL","",IF($K4209="","",$H4209*IFERROR(VLOOKUP($K4209,Drink_Templates!$A:$G,7,FALSE),0)))</f>
        <v/>
      </c>
    </row>
    <row r="4210" ht="15" customHeight="1">
      <c r="C4210">
        <f>IF($B4210="","",INT($B4210))</f>
        <v/>
      </c>
      <c r="D4210">
        <f>IF($C4210="","",$C4210-WEEKDAY($C4210,2)+1)</f>
        <v/>
      </c>
      <c r="E4210">
        <f>IF($C4210="","",DATE(YEAR($C4210),MONTH($C4210),1))</f>
        <v/>
      </c>
      <c r="F4210">
        <f>IF($C4210="","",YEAR($C4210)&amp;"-Q"&amp;ROUNDUP(MONTH($C4210)/3,0))</f>
        <v/>
      </c>
      <c r="L4210">
        <f>IF($G4210&lt;&gt;"ALCOHOL","",IF($K4210="","",$H4210*IFERROR(VLOOKUP($K4210,Drink_Templates!$A:$G,7,FALSE),0)))</f>
        <v/>
      </c>
    </row>
    <row r="4211" ht="15" customHeight="1">
      <c r="C4211">
        <f>IF($B4211="","",INT($B4211))</f>
        <v/>
      </c>
      <c r="D4211">
        <f>IF($C4211="","",$C4211-WEEKDAY($C4211,2)+1)</f>
        <v/>
      </c>
      <c r="E4211">
        <f>IF($C4211="","",DATE(YEAR($C4211),MONTH($C4211),1))</f>
        <v/>
      </c>
      <c r="F4211">
        <f>IF($C4211="","",YEAR($C4211)&amp;"-Q"&amp;ROUNDUP(MONTH($C4211)/3,0))</f>
        <v/>
      </c>
      <c r="L4211">
        <f>IF($G4211&lt;&gt;"ALCOHOL","",IF($K4211="","",$H4211*IFERROR(VLOOKUP($K4211,Drink_Templates!$A:$G,7,FALSE),0)))</f>
        <v/>
      </c>
    </row>
    <row r="4212" ht="15" customHeight="1">
      <c r="C4212">
        <f>IF($B4212="","",INT($B4212))</f>
        <v/>
      </c>
      <c r="D4212">
        <f>IF($C4212="","",$C4212-WEEKDAY($C4212,2)+1)</f>
        <v/>
      </c>
      <c r="E4212">
        <f>IF($C4212="","",DATE(YEAR($C4212),MONTH($C4212),1))</f>
        <v/>
      </c>
      <c r="F4212">
        <f>IF($C4212="","",YEAR($C4212)&amp;"-Q"&amp;ROUNDUP(MONTH($C4212)/3,0))</f>
        <v/>
      </c>
      <c r="L4212">
        <f>IF($G4212&lt;&gt;"ALCOHOL","",IF($K4212="","",$H4212*IFERROR(VLOOKUP($K4212,Drink_Templates!$A:$G,7,FALSE),0)))</f>
        <v/>
      </c>
    </row>
    <row r="4213" ht="15" customHeight="1">
      <c r="C4213">
        <f>IF($B4213="","",INT($B4213))</f>
        <v/>
      </c>
      <c r="D4213">
        <f>IF($C4213="","",$C4213-WEEKDAY($C4213,2)+1)</f>
        <v/>
      </c>
      <c r="E4213">
        <f>IF($C4213="","",DATE(YEAR($C4213),MONTH($C4213),1))</f>
        <v/>
      </c>
      <c r="F4213">
        <f>IF($C4213="","",YEAR($C4213)&amp;"-Q"&amp;ROUNDUP(MONTH($C4213)/3,0))</f>
        <v/>
      </c>
      <c r="L4213">
        <f>IF($G4213&lt;&gt;"ALCOHOL","",IF($K4213="","",$H4213*IFERROR(VLOOKUP($K4213,Drink_Templates!$A:$G,7,FALSE),0)))</f>
        <v/>
      </c>
    </row>
    <row r="4214" ht="15" customHeight="1">
      <c r="C4214">
        <f>IF($B4214="","",INT($B4214))</f>
        <v/>
      </c>
      <c r="D4214">
        <f>IF($C4214="","",$C4214-WEEKDAY($C4214,2)+1)</f>
        <v/>
      </c>
      <c r="E4214">
        <f>IF($C4214="","",DATE(YEAR($C4214),MONTH($C4214),1))</f>
        <v/>
      </c>
      <c r="F4214">
        <f>IF($C4214="","",YEAR($C4214)&amp;"-Q"&amp;ROUNDUP(MONTH($C4214)/3,0))</f>
        <v/>
      </c>
      <c r="L4214">
        <f>IF($G4214&lt;&gt;"ALCOHOL","",IF($K4214="","",$H4214*IFERROR(VLOOKUP($K4214,Drink_Templates!$A:$G,7,FALSE),0)))</f>
        <v/>
      </c>
    </row>
    <row r="4215" ht="15" customHeight="1">
      <c r="C4215">
        <f>IF($B4215="","",INT($B4215))</f>
        <v/>
      </c>
      <c r="D4215">
        <f>IF($C4215="","",$C4215-WEEKDAY($C4215,2)+1)</f>
        <v/>
      </c>
      <c r="E4215">
        <f>IF($C4215="","",DATE(YEAR($C4215),MONTH($C4215),1))</f>
        <v/>
      </c>
      <c r="F4215">
        <f>IF($C4215="","",YEAR($C4215)&amp;"-Q"&amp;ROUNDUP(MONTH($C4215)/3,0))</f>
        <v/>
      </c>
      <c r="L4215">
        <f>IF($G4215&lt;&gt;"ALCOHOL","",IF($K4215="","",$H4215*IFERROR(VLOOKUP($K4215,Drink_Templates!$A:$G,7,FALSE),0)))</f>
        <v/>
      </c>
    </row>
    <row r="4216" ht="15" customHeight="1">
      <c r="C4216">
        <f>IF($B4216="","",INT($B4216))</f>
        <v/>
      </c>
      <c r="D4216">
        <f>IF($C4216="","",$C4216-WEEKDAY($C4216,2)+1)</f>
        <v/>
      </c>
      <c r="E4216">
        <f>IF($C4216="","",DATE(YEAR($C4216),MONTH($C4216),1))</f>
        <v/>
      </c>
      <c r="F4216">
        <f>IF($C4216="","",YEAR($C4216)&amp;"-Q"&amp;ROUNDUP(MONTH($C4216)/3,0))</f>
        <v/>
      </c>
      <c r="L4216">
        <f>IF($G4216&lt;&gt;"ALCOHOL","",IF($K4216="","",$H4216*IFERROR(VLOOKUP($K4216,Drink_Templates!$A:$G,7,FALSE),0)))</f>
        <v/>
      </c>
    </row>
    <row r="4217" ht="15" customHeight="1">
      <c r="C4217">
        <f>IF($B4217="","",INT($B4217))</f>
        <v/>
      </c>
      <c r="D4217">
        <f>IF($C4217="","",$C4217-WEEKDAY($C4217,2)+1)</f>
        <v/>
      </c>
      <c r="E4217">
        <f>IF($C4217="","",DATE(YEAR($C4217),MONTH($C4217),1))</f>
        <v/>
      </c>
      <c r="F4217">
        <f>IF($C4217="","",YEAR($C4217)&amp;"-Q"&amp;ROUNDUP(MONTH($C4217)/3,0))</f>
        <v/>
      </c>
      <c r="L4217">
        <f>IF($G4217&lt;&gt;"ALCOHOL","",IF($K4217="","",$H4217*IFERROR(VLOOKUP($K4217,Drink_Templates!$A:$G,7,FALSE),0)))</f>
        <v/>
      </c>
    </row>
    <row r="4218" ht="15" customHeight="1">
      <c r="C4218">
        <f>IF($B4218="","",INT($B4218))</f>
        <v/>
      </c>
      <c r="D4218">
        <f>IF($C4218="","",$C4218-WEEKDAY($C4218,2)+1)</f>
        <v/>
      </c>
      <c r="E4218">
        <f>IF($C4218="","",DATE(YEAR($C4218),MONTH($C4218),1))</f>
        <v/>
      </c>
      <c r="F4218">
        <f>IF($C4218="","",YEAR($C4218)&amp;"-Q"&amp;ROUNDUP(MONTH($C4218)/3,0))</f>
        <v/>
      </c>
      <c r="L4218">
        <f>IF($G4218&lt;&gt;"ALCOHOL","",IF($K4218="","",$H4218*IFERROR(VLOOKUP($K4218,Drink_Templates!$A:$G,7,FALSE),0)))</f>
        <v/>
      </c>
    </row>
    <row r="4219" ht="15" customHeight="1">
      <c r="C4219">
        <f>IF($B4219="","",INT($B4219))</f>
        <v/>
      </c>
      <c r="D4219">
        <f>IF($C4219="","",$C4219-WEEKDAY($C4219,2)+1)</f>
        <v/>
      </c>
      <c r="E4219">
        <f>IF($C4219="","",DATE(YEAR($C4219),MONTH($C4219),1))</f>
        <v/>
      </c>
      <c r="F4219">
        <f>IF($C4219="","",YEAR($C4219)&amp;"-Q"&amp;ROUNDUP(MONTH($C4219)/3,0))</f>
        <v/>
      </c>
      <c r="L4219">
        <f>IF($G4219&lt;&gt;"ALCOHOL","",IF($K4219="","",$H4219*IFERROR(VLOOKUP($K4219,Drink_Templates!$A:$G,7,FALSE),0)))</f>
        <v/>
      </c>
    </row>
    <row r="4220" ht="15" customHeight="1">
      <c r="C4220">
        <f>IF($B4220="","",INT($B4220))</f>
        <v/>
      </c>
      <c r="D4220">
        <f>IF($C4220="","",$C4220-WEEKDAY($C4220,2)+1)</f>
        <v/>
      </c>
      <c r="E4220">
        <f>IF($C4220="","",DATE(YEAR($C4220),MONTH($C4220),1))</f>
        <v/>
      </c>
      <c r="F4220">
        <f>IF($C4220="","",YEAR($C4220)&amp;"-Q"&amp;ROUNDUP(MONTH($C4220)/3,0))</f>
        <v/>
      </c>
      <c r="L4220">
        <f>IF($G4220&lt;&gt;"ALCOHOL","",IF($K4220="","",$H4220*IFERROR(VLOOKUP($K4220,Drink_Templates!$A:$G,7,FALSE),0)))</f>
        <v/>
      </c>
    </row>
    <row r="4221" ht="15" customHeight="1">
      <c r="C4221">
        <f>IF($B4221="","",INT($B4221))</f>
        <v/>
      </c>
      <c r="D4221">
        <f>IF($C4221="","",$C4221-WEEKDAY($C4221,2)+1)</f>
        <v/>
      </c>
      <c r="E4221">
        <f>IF($C4221="","",DATE(YEAR($C4221),MONTH($C4221),1))</f>
        <v/>
      </c>
      <c r="F4221">
        <f>IF($C4221="","",YEAR($C4221)&amp;"-Q"&amp;ROUNDUP(MONTH($C4221)/3,0))</f>
        <v/>
      </c>
      <c r="L4221">
        <f>IF($G4221&lt;&gt;"ALCOHOL","",IF($K4221="","",$H4221*IFERROR(VLOOKUP($K4221,Drink_Templates!$A:$G,7,FALSE),0)))</f>
        <v/>
      </c>
    </row>
    <row r="4222" ht="15" customHeight="1">
      <c r="C4222">
        <f>IF($B4222="","",INT($B4222))</f>
        <v/>
      </c>
      <c r="D4222">
        <f>IF($C4222="","",$C4222-WEEKDAY($C4222,2)+1)</f>
        <v/>
      </c>
      <c r="E4222">
        <f>IF($C4222="","",DATE(YEAR($C4222),MONTH($C4222),1))</f>
        <v/>
      </c>
      <c r="F4222">
        <f>IF($C4222="","",YEAR($C4222)&amp;"-Q"&amp;ROUNDUP(MONTH($C4222)/3,0))</f>
        <v/>
      </c>
      <c r="L4222">
        <f>IF($G4222&lt;&gt;"ALCOHOL","",IF($K4222="","",$H4222*IFERROR(VLOOKUP($K4222,Drink_Templates!$A:$G,7,FALSE),0)))</f>
        <v/>
      </c>
    </row>
    <row r="4223" ht="15" customHeight="1">
      <c r="C4223">
        <f>IF($B4223="","",INT($B4223))</f>
        <v/>
      </c>
      <c r="D4223">
        <f>IF($C4223="","",$C4223-WEEKDAY($C4223,2)+1)</f>
        <v/>
      </c>
      <c r="E4223">
        <f>IF($C4223="","",DATE(YEAR($C4223),MONTH($C4223),1))</f>
        <v/>
      </c>
      <c r="F4223">
        <f>IF($C4223="","",YEAR($C4223)&amp;"-Q"&amp;ROUNDUP(MONTH($C4223)/3,0))</f>
        <v/>
      </c>
      <c r="L4223">
        <f>IF($G4223&lt;&gt;"ALCOHOL","",IF($K4223="","",$H4223*IFERROR(VLOOKUP($K4223,Drink_Templates!$A:$G,7,FALSE),0)))</f>
        <v/>
      </c>
    </row>
    <row r="4224" ht="15" customHeight="1">
      <c r="C4224">
        <f>IF($B4224="","",INT($B4224))</f>
        <v/>
      </c>
      <c r="D4224">
        <f>IF($C4224="","",$C4224-WEEKDAY($C4224,2)+1)</f>
        <v/>
      </c>
      <c r="E4224">
        <f>IF($C4224="","",DATE(YEAR($C4224),MONTH($C4224),1))</f>
        <v/>
      </c>
      <c r="F4224">
        <f>IF($C4224="","",YEAR($C4224)&amp;"-Q"&amp;ROUNDUP(MONTH($C4224)/3,0))</f>
        <v/>
      </c>
      <c r="L4224">
        <f>IF($G4224&lt;&gt;"ALCOHOL","",IF($K4224="","",$H4224*IFERROR(VLOOKUP($K4224,Drink_Templates!$A:$G,7,FALSE),0)))</f>
        <v/>
      </c>
    </row>
    <row r="4225" ht="15" customHeight="1">
      <c r="C4225">
        <f>IF($B4225="","",INT($B4225))</f>
        <v/>
      </c>
      <c r="D4225">
        <f>IF($C4225="","",$C4225-WEEKDAY($C4225,2)+1)</f>
        <v/>
      </c>
      <c r="E4225">
        <f>IF($C4225="","",DATE(YEAR($C4225),MONTH($C4225),1))</f>
        <v/>
      </c>
      <c r="F4225">
        <f>IF($C4225="","",YEAR($C4225)&amp;"-Q"&amp;ROUNDUP(MONTH($C4225)/3,0))</f>
        <v/>
      </c>
      <c r="L4225">
        <f>IF($G4225&lt;&gt;"ALCOHOL","",IF($K4225="","",$H4225*IFERROR(VLOOKUP($K4225,Drink_Templates!$A:$G,7,FALSE),0)))</f>
        <v/>
      </c>
    </row>
    <row r="4226" ht="15" customHeight="1">
      <c r="C4226">
        <f>IF($B4226="","",INT($B4226))</f>
        <v/>
      </c>
      <c r="D4226">
        <f>IF($C4226="","",$C4226-WEEKDAY($C4226,2)+1)</f>
        <v/>
      </c>
      <c r="E4226">
        <f>IF($C4226="","",DATE(YEAR($C4226),MONTH($C4226),1))</f>
        <v/>
      </c>
      <c r="F4226">
        <f>IF($C4226="","",YEAR($C4226)&amp;"-Q"&amp;ROUNDUP(MONTH($C4226)/3,0))</f>
        <v/>
      </c>
      <c r="L4226">
        <f>IF($G4226&lt;&gt;"ALCOHOL","",IF($K4226="","",$H4226*IFERROR(VLOOKUP($K4226,Drink_Templates!$A:$G,7,FALSE),0)))</f>
        <v/>
      </c>
    </row>
    <row r="4227" ht="15" customHeight="1">
      <c r="C4227">
        <f>IF($B4227="","",INT($B4227))</f>
        <v/>
      </c>
      <c r="D4227">
        <f>IF($C4227="","",$C4227-WEEKDAY($C4227,2)+1)</f>
        <v/>
      </c>
      <c r="E4227">
        <f>IF($C4227="","",DATE(YEAR($C4227),MONTH($C4227),1))</f>
        <v/>
      </c>
      <c r="F4227">
        <f>IF($C4227="","",YEAR($C4227)&amp;"-Q"&amp;ROUNDUP(MONTH($C4227)/3,0))</f>
        <v/>
      </c>
      <c r="L4227">
        <f>IF($G4227&lt;&gt;"ALCOHOL","",IF($K4227="","",$H4227*IFERROR(VLOOKUP($K4227,Drink_Templates!$A:$G,7,FALSE),0)))</f>
        <v/>
      </c>
    </row>
    <row r="4228" ht="15" customHeight="1">
      <c r="C4228">
        <f>IF($B4228="","",INT($B4228))</f>
        <v/>
      </c>
      <c r="D4228">
        <f>IF($C4228="","",$C4228-WEEKDAY($C4228,2)+1)</f>
        <v/>
      </c>
      <c r="E4228">
        <f>IF($C4228="","",DATE(YEAR($C4228),MONTH($C4228),1))</f>
        <v/>
      </c>
      <c r="F4228">
        <f>IF($C4228="","",YEAR($C4228)&amp;"-Q"&amp;ROUNDUP(MONTH($C4228)/3,0))</f>
        <v/>
      </c>
      <c r="L4228">
        <f>IF($G4228&lt;&gt;"ALCOHOL","",IF($K4228="","",$H4228*IFERROR(VLOOKUP($K4228,Drink_Templates!$A:$G,7,FALSE),0)))</f>
        <v/>
      </c>
    </row>
    <row r="4229" ht="15" customHeight="1">
      <c r="C4229">
        <f>IF($B4229="","",INT($B4229))</f>
        <v/>
      </c>
      <c r="D4229">
        <f>IF($C4229="","",$C4229-WEEKDAY($C4229,2)+1)</f>
        <v/>
      </c>
      <c r="E4229">
        <f>IF($C4229="","",DATE(YEAR($C4229),MONTH($C4229),1))</f>
        <v/>
      </c>
      <c r="F4229">
        <f>IF($C4229="","",YEAR($C4229)&amp;"-Q"&amp;ROUNDUP(MONTH($C4229)/3,0))</f>
        <v/>
      </c>
      <c r="L4229">
        <f>IF($G4229&lt;&gt;"ALCOHOL","",IF($K4229="","",$H4229*IFERROR(VLOOKUP($K4229,Drink_Templates!$A:$G,7,FALSE),0)))</f>
        <v/>
      </c>
    </row>
    <row r="4230" ht="15" customHeight="1">
      <c r="C4230">
        <f>IF($B4230="","",INT($B4230))</f>
        <v/>
      </c>
      <c r="D4230">
        <f>IF($C4230="","",$C4230-WEEKDAY($C4230,2)+1)</f>
        <v/>
      </c>
      <c r="E4230">
        <f>IF($C4230="","",DATE(YEAR($C4230),MONTH($C4230),1))</f>
        <v/>
      </c>
      <c r="F4230">
        <f>IF($C4230="","",YEAR($C4230)&amp;"-Q"&amp;ROUNDUP(MONTH($C4230)/3,0))</f>
        <v/>
      </c>
      <c r="L4230">
        <f>IF($G4230&lt;&gt;"ALCOHOL","",IF($K4230="","",$H4230*IFERROR(VLOOKUP($K4230,Drink_Templates!$A:$G,7,FALSE),0)))</f>
        <v/>
      </c>
    </row>
    <row r="4231" ht="15" customHeight="1">
      <c r="C4231">
        <f>IF($B4231="","",INT($B4231))</f>
        <v/>
      </c>
      <c r="D4231">
        <f>IF($C4231="","",$C4231-WEEKDAY($C4231,2)+1)</f>
        <v/>
      </c>
      <c r="E4231">
        <f>IF($C4231="","",DATE(YEAR($C4231),MONTH($C4231),1))</f>
        <v/>
      </c>
      <c r="F4231">
        <f>IF($C4231="","",YEAR($C4231)&amp;"-Q"&amp;ROUNDUP(MONTH($C4231)/3,0))</f>
        <v/>
      </c>
      <c r="L4231">
        <f>IF($G4231&lt;&gt;"ALCOHOL","",IF($K4231="","",$H4231*IFERROR(VLOOKUP($K4231,Drink_Templates!$A:$G,7,FALSE),0)))</f>
        <v/>
      </c>
    </row>
    <row r="4232" ht="15" customHeight="1">
      <c r="C4232">
        <f>IF($B4232="","",INT($B4232))</f>
        <v/>
      </c>
      <c r="D4232">
        <f>IF($C4232="","",$C4232-WEEKDAY($C4232,2)+1)</f>
        <v/>
      </c>
      <c r="E4232">
        <f>IF($C4232="","",DATE(YEAR($C4232),MONTH($C4232),1))</f>
        <v/>
      </c>
      <c r="F4232">
        <f>IF($C4232="","",YEAR($C4232)&amp;"-Q"&amp;ROUNDUP(MONTH($C4232)/3,0))</f>
        <v/>
      </c>
      <c r="L4232">
        <f>IF($G4232&lt;&gt;"ALCOHOL","",IF($K4232="","",$H4232*IFERROR(VLOOKUP($K4232,Drink_Templates!$A:$G,7,FALSE),0)))</f>
        <v/>
      </c>
    </row>
    <row r="4233" ht="15" customHeight="1">
      <c r="C4233">
        <f>IF($B4233="","",INT($B4233))</f>
        <v/>
      </c>
      <c r="D4233">
        <f>IF($C4233="","",$C4233-WEEKDAY($C4233,2)+1)</f>
        <v/>
      </c>
      <c r="E4233">
        <f>IF($C4233="","",DATE(YEAR($C4233),MONTH($C4233),1))</f>
        <v/>
      </c>
      <c r="F4233">
        <f>IF($C4233="","",YEAR($C4233)&amp;"-Q"&amp;ROUNDUP(MONTH($C4233)/3,0))</f>
        <v/>
      </c>
      <c r="L4233">
        <f>IF($G4233&lt;&gt;"ALCOHOL","",IF($K4233="","",$H4233*IFERROR(VLOOKUP($K4233,Drink_Templates!$A:$G,7,FALSE),0)))</f>
        <v/>
      </c>
    </row>
    <row r="4234" ht="15" customHeight="1">
      <c r="C4234">
        <f>IF($B4234="","",INT($B4234))</f>
        <v/>
      </c>
      <c r="D4234">
        <f>IF($C4234="","",$C4234-WEEKDAY($C4234,2)+1)</f>
        <v/>
      </c>
      <c r="E4234">
        <f>IF($C4234="","",DATE(YEAR($C4234),MONTH($C4234),1))</f>
        <v/>
      </c>
      <c r="F4234">
        <f>IF($C4234="","",YEAR($C4234)&amp;"-Q"&amp;ROUNDUP(MONTH($C4234)/3,0))</f>
        <v/>
      </c>
      <c r="L4234">
        <f>IF($G4234&lt;&gt;"ALCOHOL","",IF($K4234="","",$H4234*IFERROR(VLOOKUP($K4234,Drink_Templates!$A:$G,7,FALSE),0)))</f>
        <v/>
      </c>
    </row>
    <row r="4235" ht="15" customHeight="1">
      <c r="C4235">
        <f>IF($B4235="","",INT($B4235))</f>
        <v/>
      </c>
      <c r="D4235">
        <f>IF($C4235="","",$C4235-WEEKDAY($C4235,2)+1)</f>
        <v/>
      </c>
      <c r="E4235">
        <f>IF($C4235="","",DATE(YEAR($C4235),MONTH($C4235),1))</f>
        <v/>
      </c>
      <c r="F4235">
        <f>IF($C4235="","",YEAR($C4235)&amp;"-Q"&amp;ROUNDUP(MONTH($C4235)/3,0))</f>
        <v/>
      </c>
      <c r="L4235">
        <f>IF($G4235&lt;&gt;"ALCOHOL","",IF($K4235="","",$H4235*IFERROR(VLOOKUP($K4235,Drink_Templates!$A:$G,7,FALSE),0)))</f>
        <v/>
      </c>
    </row>
    <row r="4236" ht="15" customHeight="1">
      <c r="C4236">
        <f>IF($B4236="","",INT($B4236))</f>
        <v/>
      </c>
      <c r="D4236">
        <f>IF($C4236="","",$C4236-WEEKDAY($C4236,2)+1)</f>
        <v/>
      </c>
      <c r="E4236">
        <f>IF($C4236="","",DATE(YEAR($C4236),MONTH($C4236),1))</f>
        <v/>
      </c>
      <c r="F4236">
        <f>IF($C4236="","",YEAR($C4236)&amp;"-Q"&amp;ROUNDUP(MONTH($C4236)/3,0))</f>
        <v/>
      </c>
      <c r="L4236">
        <f>IF($G4236&lt;&gt;"ALCOHOL","",IF($K4236="","",$H4236*IFERROR(VLOOKUP($K4236,Drink_Templates!$A:$G,7,FALSE),0)))</f>
        <v/>
      </c>
    </row>
    <row r="4237" ht="15" customHeight="1">
      <c r="C4237">
        <f>IF($B4237="","",INT($B4237))</f>
        <v/>
      </c>
      <c r="D4237">
        <f>IF($C4237="","",$C4237-WEEKDAY($C4237,2)+1)</f>
        <v/>
      </c>
      <c r="E4237">
        <f>IF($C4237="","",DATE(YEAR($C4237),MONTH($C4237),1))</f>
        <v/>
      </c>
      <c r="F4237">
        <f>IF($C4237="","",YEAR($C4237)&amp;"-Q"&amp;ROUNDUP(MONTH($C4237)/3,0))</f>
        <v/>
      </c>
      <c r="L4237">
        <f>IF($G4237&lt;&gt;"ALCOHOL","",IF($K4237="","",$H4237*IFERROR(VLOOKUP($K4237,Drink_Templates!$A:$G,7,FALSE),0)))</f>
        <v/>
      </c>
    </row>
    <row r="4238" ht="15" customHeight="1">
      <c r="C4238">
        <f>IF($B4238="","",INT($B4238))</f>
        <v/>
      </c>
      <c r="D4238">
        <f>IF($C4238="","",$C4238-WEEKDAY($C4238,2)+1)</f>
        <v/>
      </c>
      <c r="E4238">
        <f>IF($C4238="","",DATE(YEAR($C4238),MONTH($C4238),1))</f>
        <v/>
      </c>
      <c r="F4238">
        <f>IF($C4238="","",YEAR($C4238)&amp;"-Q"&amp;ROUNDUP(MONTH($C4238)/3,0))</f>
        <v/>
      </c>
      <c r="L4238">
        <f>IF($G4238&lt;&gt;"ALCOHOL","",IF($K4238="","",$H4238*IFERROR(VLOOKUP($K4238,Drink_Templates!$A:$G,7,FALSE),0)))</f>
        <v/>
      </c>
    </row>
    <row r="4239" ht="15" customHeight="1">
      <c r="C4239">
        <f>IF($B4239="","",INT($B4239))</f>
        <v/>
      </c>
      <c r="D4239">
        <f>IF($C4239="","",$C4239-WEEKDAY($C4239,2)+1)</f>
        <v/>
      </c>
      <c r="E4239">
        <f>IF($C4239="","",DATE(YEAR($C4239),MONTH($C4239),1))</f>
        <v/>
      </c>
      <c r="F4239">
        <f>IF($C4239="","",YEAR($C4239)&amp;"-Q"&amp;ROUNDUP(MONTH($C4239)/3,0))</f>
        <v/>
      </c>
      <c r="L4239">
        <f>IF($G4239&lt;&gt;"ALCOHOL","",IF($K4239="","",$H4239*IFERROR(VLOOKUP($K4239,Drink_Templates!$A:$G,7,FALSE),0)))</f>
        <v/>
      </c>
    </row>
    <row r="4240" ht="15" customHeight="1">
      <c r="C4240">
        <f>IF($B4240="","",INT($B4240))</f>
        <v/>
      </c>
      <c r="D4240">
        <f>IF($C4240="","",$C4240-WEEKDAY($C4240,2)+1)</f>
        <v/>
      </c>
      <c r="E4240">
        <f>IF($C4240="","",DATE(YEAR($C4240),MONTH($C4240),1))</f>
        <v/>
      </c>
      <c r="F4240">
        <f>IF($C4240="","",YEAR($C4240)&amp;"-Q"&amp;ROUNDUP(MONTH($C4240)/3,0))</f>
        <v/>
      </c>
      <c r="L4240">
        <f>IF($G4240&lt;&gt;"ALCOHOL","",IF($K4240="","",$H4240*IFERROR(VLOOKUP($K4240,Drink_Templates!$A:$G,7,FALSE),0)))</f>
        <v/>
      </c>
    </row>
    <row r="4241" ht="15" customHeight="1">
      <c r="C4241">
        <f>IF($B4241="","",INT($B4241))</f>
        <v/>
      </c>
      <c r="D4241">
        <f>IF($C4241="","",$C4241-WEEKDAY($C4241,2)+1)</f>
        <v/>
      </c>
      <c r="E4241">
        <f>IF($C4241="","",DATE(YEAR($C4241),MONTH($C4241),1))</f>
        <v/>
      </c>
      <c r="F4241">
        <f>IF($C4241="","",YEAR($C4241)&amp;"-Q"&amp;ROUNDUP(MONTH($C4241)/3,0))</f>
        <v/>
      </c>
      <c r="L4241">
        <f>IF($G4241&lt;&gt;"ALCOHOL","",IF($K4241="","",$H4241*IFERROR(VLOOKUP($K4241,Drink_Templates!$A:$G,7,FALSE),0)))</f>
        <v/>
      </c>
    </row>
    <row r="4242" ht="15" customHeight="1">
      <c r="C4242">
        <f>IF($B4242="","",INT($B4242))</f>
        <v/>
      </c>
      <c r="D4242">
        <f>IF($C4242="","",$C4242-WEEKDAY($C4242,2)+1)</f>
        <v/>
      </c>
      <c r="E4242">
        <f>IF($C4242="","",DATE(YEAR($C4242),MONTH($C4242),1))</f>
        <v/>
      </c>
      <c r="F4242">
        <f>IF($C4242="","",YEAR($C4242)&amp;"-Q"&amp;ROUNDUP(MONTH($C4242)/3,0))</f>
        <v/>
      </c>
      <c r="L4242">
        <f>IF($G4242&lt;&gt;"ALCOHOL","",IF($K4242="","",$H4242*IFERROR(VLOOKUP($K4242,Drink_Templates!$A:$G,7,FALSE),0)))</f>
        <v/>
      </c>
    </row>
    <row r="4243" ht="15" customHeight="1">
      <c r="C4243">
        <f>IF($B4243="","",INT($B4243))</f>
        <v/>
      </c>
      <c r="D4243">
        <f>IF($C4243="","",$C4243-WEEKDAY($C4243,2)+1)</f>
        <v/>
      </c>
      <c r="E4243">
        <f>IF($C4243="","",DATE(YEAR($C4243),MONTH($C4243),1))</f>
        <v/>
      </c>
      <c r="F4243">
        <f>IF($C4243="","",YEAR($C4243)&amp;"-Q"&amp;ROUNDUP(MONTH($C4243)/3,0))</f>
        <v/>
      </c>
      <c r="L4243">
        <f>IF($G4243&lt;&gt;"ALCOHOL","",IF($K4243="","",$H4243*IFERROR(VLOOKUP($K4243,Drink_Templates!$A:$G,7,FALSE),0)))</f>
        <v/>
      </c>
    </row>
    <row r="4244" ht="15" customHeight="1">
      <c r="C4244">
        <f>IF($B4244="","",INT($B4244))</f>
        <v/>
      </c>
      <c r="D4244">
        <f>IF($C4244="","",$C4244-WEEKDAY($C4244,2)+1)</f>
        <v/>
      </c>
      <c r="E4244">
        <f>IF($C4244="","",DATE(YEAR($C4244),MONTH($C4244),1))</f>
        <v/>
      </c>
      <c r="F4244">
        <f>IF($C4244="","",YEAR($C4244)&amp;"-Q"&amp;ROUNDUP(MONTH($C4244)/3,0))</f>
        <v/>
      </c>
      <c r="L4244">
        <f>IF($G4244&lt;&gt;"ALCOHOL","",IF($K4244="","",$H4244*IFERROR(VLOOKUP($K4244,Drink_Templates!$A:$G,7,FALSE),0)))</f>
        <v/>
      </c>
    </row>
    <row r="4245" ht="15" customHeight="1">
      <c r="C4245">
        <f>IF($B4245="","",INT($B4245))</f>
        <v/>
      </c>
      <c r="D4245">
        <f>IF($C4245="","",$C4245-WEEKDAY($C4245,2)+1)</f>
        <v/>
      </c>
      <c r="E4245">
        <f>IF($C4245="","",DATE(YEAR($C4245),MONTH($C4245),1))</f>
        <v/>
      </c>
      <c r="F4245">
        <f>IF($C4245="","",YEAR($C4245)&amp;"-Q"&amp;ROUNDUP(MONTH($C4245)/3,0))</f>
        <v/>
      </c>
      <c r="L4245">
        <f>IF($G4245&lt;&gt;"ALCOHOL","",IF($K4245="","",$H4245*IFERROR(VLOOKUP($K4245,Drink_Templates!$A:$G,7,FALSE),0)))</f>
        <v/>
      </c>
    </row>
    <row r="4246" ht="15" customHeight="1">
      <c r="C4246">
        <f>IF($B4246="","",INT($B4246))</f>
        <v/>
      </c>
      <c r="D4246">
        <f>IF($C4246="","",$C4246-WEEKDAY($C4246,2)+1)</f>
        <v/>
      </c>
      <c r="E4246">
        <f>IF($C4246="","",DATE(YEAR($C4246),MONTH($C4246),1))</f>
        <v/>
      </c>
      <c r="F4246">
        <f>IF($C4246="","",YEAR($C4246)&amp;"-Q"&amp;ROUNDUP(MONTH($C4246)/3,0))</f>
        <v/>
      </c>
      <c r="L4246">
        <f>IF($G4246&lt;&gt;"ALCOHOL","",IF($K4246="","",$H4246*IFERROR(VLOOKUP($K4246,Drink_Templates!$A:$G,7,FALSE),0)))</f>
        <v/>
      </c>
    </row>
    <row r="4247" ht="15" customHeight="1">
      <c r="C4247">
        <f>IF($B4247="","",INT($B4247))</f>
        <v/>
      </c>
      <c r="D4247">
        <f>IF($C4247="","",$C4247-WEEKDAY($C4247,2)+1)</f>
        <v/>
      </c>
      <c r="E4247">
        <f>IF($C4247="","",DATE(YEAR($C4247),MONTH($C4247),1))</f>
        <v/>
      </c>
      <c r="F4247">
        <f>IF($C4247="","",YEAR($C4247)&amp;"-Q"&amp;ROUNDUP(MONTH($C4247)/3,0))</f>
        <v/>
      </c>
      <c r="L4247">
        <f>IF($G4247&lt;&gt;"ALCOHOL","",IF($K4247="","",$H4247*IFERROR(VLOOKUP($K4247,Drink_Templates!$A:$G,7,FALSE),0)))</f>
        <v/>
      </c>
    </row>
    <row r="4248" ht="15" customHeight="1">
      <c r="C4248">
        <f>IF($B4248="","",INT($B4248))</f>
        <v/>
      </c>
      <c r="D4248">
        <f>IF($C4248="","",$C4248-WEEKDAY($C4248,2)+1)</f>
        <v/>
      </c>
      <c r="E4248">
        <f>IF($C4248="","",DATE(YEAR($C4248),MONTH($C4248),1))</f>
        <v/>
      </c>
      <c r="F4248">
        <f>IF($C4248="","",YEAR($C4248)&amp;"-Q"&amp;ROUNDUP(MONTH($C4248)/3,0))</f>
        <v/>
      </c>
      <c r="L4248">
        <f>IF($G4248&lt;&gt;"ALCOHOL","",IF($K4248="","",$H4248*IFERROR(VLOOKUP($K4248,Drink_Templates!$A:$G,7,FALSE),0)))</f>
        <v/>
      </c>
    </row>
    <row r="4249" ht="15" customHeight="1">
      <c r="C4249">
        <f>IF($B4249="","",INT($B4249))</f>
        <v/>
      </c>
      <c r="D4249">
        <f>IF($C4249="","",$C4249-WEEKDAY($C4249,2)+1)</f>
        <v/>
      </c>
      <c r="E4249">
        <f>IF($C4249="","",DATE(YEAR($C4249),MONTH($C4249),1))</f>
        <v/>
      </c>
      <c r="F4249">
        <f>IF($C4249="","",YEAR($C4249)&amp;"-Q"&amp;ROUNDUP(MONTH($C4249)/3,0))</f>
        <v/>
      </c>
      <c r="L4249">
        <f>IF($G4249&lt;&gt;"ALCOHOL","",IF($K4249="","",$H4249*IFERROR(VLOOKUP($K4249,Drink_Templates!$A:$G,7,FALSE),0)))</f>
        <v/>
      </c>
    </row>
    <row r="4250" ht="15" customHeight="1">
      <c r="C4250">
        <f>IF($B4250="","",INT($B4250))</f>
        <v/>
      </c>
      <c r="D4250">
        <f>IF($C4250="","",$C4250-WEEKDAY($C4250,2)+1)</f>
        <v/>
      </c>
      <c r="E4250">
        <f>IF($C4250="","",DATE(YEAR($C4250),MONTH($C4250),1))</f>
        <v/>
      </c>
      <c r="F4250">
        <f>IF($C4250="","",YEAR($C4250)&amp;"-Q"&amp;ROUNDUP(MONTH($C4250)/3,0))</f>
        <v/>
      </c>
      <c r="L4250">
        <f>IF($G4250&lt;&gt;"ALCOHOL","",IF($K4250="","",$H4250*IFERROR(VLOOKUP($K4250,Drink_Templates!$A:$G,7,FALSE),0)))</f>
        <v/>
      </c>
    </row>
    <row r="4251" ht="15" customHeight="1">
      <c r="C4251">
        <f>IF($B4251="","",INT($B4251))</f>
        <v/>
      </c>
      <c r="D4251">
        <f>IF($C4251="","",$C4251-WEEKDAY($C4251,2)+1)</f>
        <v/>
      </c>
      <c r="E4251">
        <f>IF($C4251="","",DATE(YEAR($C4251),MONTH($C4251),1))</f>
        <v/>
      </c>
      <c r="F4251">
        <f>IF($C4251="","",YEAR($C4251)&amp;"-Q"&amp;ROUNDUP(MONTH($C4251)/3,0))</f>
        <v/>
      </c>
      <c r="L4251">
        <f>IF($G4251&lt;&gt;"ALCOHOL","",IF($K4251="","",$H4251*IFERROR(VLOOKUP($K4251,Drink_Templates!$A:$G,7,FALSE),0)))</f>
        <v/>
      </c>
    </row>
    <row r="4252" ht="15" customHeight="1">
      <c r="C4252">
        <f>IF($B4252="","",INT($B4252))</f>
        <v/>
      </c>
      <c r="D4252">
        <f>IF($C4252="","",$C4252-WEEKDAY($C4252,2)+1)</f>
        <v/>
      </c>
      <c r="E4252">
        <f>IF($C4252="","",DATE(YEAR($C4252),MONTH($C4252),1))</f>
        <v/>
      </c>
      <c r="F4252">
        <f>IF($C4252="","",YEAR($C4252)&amp;"-Q"&amp;ROUNDUP(MONTH($C4252)/3,0))</f>
        <v/>
      </c>
      <c r="L4252">
        <f>IF($G4252&lt;&gt;"ALCOHOL","",IF($K4252="","",$H4252*IFERROR(VLOOKUP($K4252,Drink_Templates!$A:$G,7,FALSE),0)))</f>
        <v/>
      </c>
    </row>
    <row r="4253" ht="15" customHeight="1">
      <c r="C4253">
        <f>IF($B4253="","",INT($B4253))</f>
        <v/>
      </c>
      <c r="D4253">
        <f>IF($C4253="","",$C4253-WEEKDAY($C4253,2)+1)</f>
        <v/>
      </c>
      <c r="E4253">
        <f>IF($C4253="","",DATE(YEAR($C4253),MONTH($C4253),1))</f>
        <v/>
      </c>
      <c r="F4253">
        <f>IF($C4253="","",YEAR($C4253)&amp;"-Q"&amp;ROUNDUP(MONTH($C4253)/3,0))</f>
        <v/>
      </c>
      <c r="L4253">
        <f>IF($G4253&lt;&gt;"ALCOHOL","",IF($K4253="","",$H4253*IFERROR(VLOOKUP($K4253,Drink_Templates!$A:$G,7,FALSE),0)))</f>
        <v/>
      </c>
    </row>
    <row r="4254" ht="15" customHeight="1">
      <c r="C4254">
        <f>IF($B4254="","",INT($B4254))</f>
        <v/>
      </c>
      <c r="D4254">
        <f>IF($C4254="","",$C4254-WEEKDAY($C4254,2)+1)</f>
        <v/>
      </c>
      <c r="E4254">
        <f>IF($C4254="","",DATE(YEAR($C4254),MONTH($C4254),1))</f>
        <v/>
      </c>
      <c r="F4254">
        <f>IF($C4254="","",YEAR($C4254)&amp;"-Q"&amp;ROUNDUP(MONTH($C4254)/3,0))</f>
        <v/>
      </c>
      <c r="L4254">
        <f>IF($G4254&lt;&gt;"ALCOHOL","",IF($K4254="","",$H4254*IFERROR(VLOOKUP($K4254,Drink_Templates!$A:$G,7,FALSE),0)))</f>
        <v/>
      </c>
    </row>
    <row r="4255" ht="15" customHeight="1">
      <c r="C4255">
        <f>IF($B4255="","",INT($B4255))</f>
        <v/>
      </c>
      <c r="D4255">
        <f>IF($C4255="","",$C4255-WEEKDAY($C4255,2)+1)</f>
        <v/>
      </c>
      <c r="E4255">
        <f>IF($C4255="","",DATE(YEAR($C4255),MONTH($C4255),1))</f>
        <v/>
      </c>
      <c r="F4255">
        <f>IF($C4255="","",YEAR($C4255)&amp;"-Q"&amp;ROUNDUP(MONTH($C4255)/3,0))</f>
        <v/>
      </c>
      <c r="L4255">
        <f>IF($G4255&lt;&gt;"ALCOHOL","",IF($K4255="","",$H4255*IFERROR(VLOOKUP($K4255,Drink_Templates!$A:$G,7,FALSE),0)))</f>
        <v/>
      </c>
    </row>
    <row r="4256" ht="15" customHeight="1">
      <c r="C4256">
        <f>IF($B4256="","",INT($B4256))</f>
        <v/>
      </c>
      <c r="D4256">
        <f>IF($C4256="","",$C4256-WEEKDAY($C4256,2)+1)</f>
        <v/>
      </c>
      <c r="E4256">
        <f>IF($C4256="","",DATE(YEAR($C4256),MONTH($C4256),1))</f>
        <v/>
      </c>
      <c r="F4256">
        <f>IF($C4256="","",YEAR($C4256)&amp;"-Q"&amp;ROUNDUP(MONTH($C4256)/3,0))</f>
        <v/>
      </c>
      <c r="L4256">
        <f>IF($G4256&lt;&gt;"ALCOHOL","",IF($K4256="","",$H4256*IFERROR(VLOOKUP($K4256,Drink_Templates!$A:$G,7,FALSE),0)))</f>
        <v/>
      </c>
    </row>
    <row r="4257" ht="15" customHeight="1">
      <c r="C4257">
        <f>IF($B4257="","",INT($B4257))</f>
        <v/>
      </c>
      <c r="D4257">
        <f>IF($C4257="","",$C4257-WEEKDAY($C4257,2)+1)</f>
        <v/>
      </c>
      <c r="E4257">
        <f>IF($C4257="","",DATE(YEAR($C4257),MONTH($C4257),1))</f>
        <v/>
      </c>
      <c r="F4257">
        <f>IF($C4257="","",YEAR($C4257)&amp;"-Q"&amp;ROUNDUP(MONTH($C4257)/3,0))</f>
        <v/>
      </c>
      <c r="L4257">
        <f>IF($G4257&lt;&gt;"ALCOHOL","",IF($K4257="","",$H4257*IFERROR(VLOOKUP($K4257,Drink_Templates!$A:$G,7,FALSE),0)))</f>
        <v/>
      </c>
    </row>
    <row r="4258" ht="15" customHeight="1">
      <c r="C4258">
        <f>IF($B4258="","",INT($B4258))</f>
        <v/>
      </c>
      <c r="D4258">
        <f>IF($C4258="","",$C4258-WEEKDAY($C4258,2)+1)</f>
        <v/>
      </c>
      <c r="E4258">
        <f>IF($C4258="","",DATE(YEAR($C4258),MONTH($C4258),1))</f>
        <v/>
      </c>
      <c r="F4258">
        <f>IF($C4258="","",YEAR($C4258)&amp;"-Q"&amp;ROUNDUP(MONTH($C4258)/3,0))</f>
        <v/>
      </c>
      <c r="L4258">
        <f>IF($G4258&lt;&gt;"ALCOHOL","",IF($K4258="","",$H4258*IFERROR(VLOOKUP($K4258,Drink_Templates!$A:$G,7,FALSE),0)))</f>
        <v/>
      </c>
    </row>
    <row r="4259" ht="15" customHeight="1">
      <c r="C4259">
        <f>IF($B4259="","",INT($B4259))</f>
        <v/>
      </c>
      <c r="D4259">
        <f>IF($C4259="","",$C4259-WEEKDAY($C4259,2)+1)</f>
        <v/>
      </c>
      <c r="E4259">
        <f>IF($C4259="","",DATE(YEAR($C4259),MONTH($C4259),1))</f>
        <v/>
      </c>
      <c r="F4259">
        <f>IF($C4259="","",YEAR($C4259)&amp;"-Q"&amp;ROUNDUP(MONTH($C4259)/3,0))</f>
        <v/>
      </c>
      <c r="L4259">
        <f>IF($G4259&lt;&gt;"ALCOHOL","",IF($K4259="","",$H4259*IFERROR(VLOOKUP($K4259,Drink_Templates!$A:$G,7,FALSE),0)))</f>
        <v/>
      </c>
    </row>
    <row r="4260" ht="15" customHeight="1">
      <c r="C4260">
        <f>IF($B4260="","",INT($B4260))</f>
        <v/>
      </c>
      <c r="D4260">
        <f>IF($C4260="","",$C4260-WEEKDAY($C4260,2)+1)</f>
        <v/>
      </c>
      <c r="E4260">
        <f>IF($C4260="","",DATE(YEAR($C4260),MONTH($C4260),1))</f>
        <v/>
      </c>
      <c r="F4260">
        <f>IF($C4260="","",YEAR($C4260)&amp;"-Q"&amp;ROUNDUP(MONTH($C4260)/3,0))</f>
        <v/>
      </c>
      <c r="L4260">
        <f>IF($G4260&lt;&gt;"ALCOHOL","",IF($K4260="","",$H4260*IFERROR(VLOOKUP($K4260,Drink_Templates!$A:$G,7,FALSE),0)))</f>
        <v/>
      </c>
    </row>
    <row r="4261" ht="15" customHeight="1">
      <c r="C4261">
        <f>IF($B4261="","",INT($B4261))</f>
        <v/>
      </c>
      <c r="D4261">
        <f>IF($C4261="","",$C4261-WEEKDAY($C4261,2)+1)</f>
        <v/>
      </c>
      <c r="E4261">
        <f>IF($C4261="","",DATE(YEAR($C4261),MONTH($C4261),1))</f>
        <v/>
      </c>
      <c r="F4261">
        <f>IF($C4261="","",YEAR($C4261)&amp;"-Q"&amp;ROUNDUP(MONTH($C4261)/3,0))</f>
        <v/>
      </c>
      <c r="L4261">
        <f>IF($G4261&lt;&gt;"ALCOHOL","",IF($K4261="","",$H4261*IFERROR(VLOOKUP($K4261,Drink_Templates!$A:$G,7,FALSE),0)))</f>
        <v/>
      </c>
    </row>
    <row r="4262" ht="15" customHeight="1">
      <c r="C4262">
        <f>IF($B4262="","",INT($B4262))</f>
        <v/>
      </c>
      <c r="D4262">
        <f>IF($C4262="","",$C4262-WEEKDAY($C4262,2)+1)</f>
        <v/>
      </c>
      <c r="E4262">
        <f>IF($C4262="","",DATE(YEAR($C4262),MONTH($C4262),1))</f>
        <v/>
      </c>
      <c r="F4262">
        <f>IF($C4262="","",YEAR($C4262)&amp;"-Q"&amp;ROUNDUP(MONTH($C4262)/3,0))</f>
        <v/>
      </c>
      <c r="L4262">
        <f>IF($G4262&lt;&gt;"ALCOHOL","",IF($K4262="","",$H4262*IFERROR(VLOOKUP($K4262,Drink_Templates!$A:$G,7,FALSE),0)))</f>
        <v/>
      </c>
    </row>
    <row r="4263" ht="15" customHeight="1">
      <c r="C4263">
        <f>IF($B4263="","",INT($B4263))</f>
        <v/>
      </c>
      <c r="D4263">
        <f>IF($C4263="","",$C4263-WEEKDAY($C4263,2)+1)</f>
        <v/>
      </c>
      <c r="E4263">
        <f>IF($C4263="","",DATE(YEAR($C4263),MONTH($C4263),1))</f>
        <v/>
      </c>
      <c r="F4263">
        <f>IF($C4263="","",YEAR($C4263)&amp;"-Q"&amp;ROUNDUP(MONTH($C4263)/3,0))</f>
        <v/>
      </c>
      <c r="L4263">
        <f>IF($G4263&lt;&gt;"ALCOHOL","",IF($K4263="","",$H4263*IFERROR(VLOOKUP($K4263,Drink_Templates!$A:$G,7,FALSE),0)))</f>
        <v/>
      </c>
    </row>
    <row r="4264" ht="15" customHeight="1">
      <c r="C4264">
        <f>IF($B4264="","",INT($B4264))</f>
        <v/>
      </c>
      <c r="D4264">
        <f>IF($C4264="","",$C4264-WEEKDAY($C4264,2)+1)</f>
        <v/>
      </c>
      <c r="E4264">
        <f>IF($C4264="","",DATE(YEAR($C4264),MONTH($C4264),1))</f>
        <v/>
      </c>
      <c r="F4264">
        <f>IF($C4264="","",YEAR($C4264)&amp;"-Q"&amp;ROUNDUP(MONTH($C4264)/3,0))</f>
        <v/>
      </c>
      <c r="L4264">
        <f>IF($G4264&lt;&gt;"ALCOHOL","",IF($K4264="","",$H4264*IFERROR(VLOOKUP($K4264,Drink_Templates!$A:$G,7,FALSE),0)))</f>
        <v/>
      </c>
    </row>
    <row r="4265" ht="15" customHeight="1">
      <c r="C4265">
        <f>IF($B4265="","",INT($B4265))</f>
        <v/>
      </c>
      <c r="D4265">
        <f>IF($C4265="","",$C4265-WEEKDAY($C4265,2)+1)</f>
        <v/>
      </c>
      <c r="E4265">
        <f>IF($C4265="","",DATE(YEAR($C4265),MONTH($C4265),1))</f>
        <v/>
      </c>
      <c r="F4265">
        <f>IF($C4265="","",YEAR($C4265)&amp;"-Q"&amp;ROUNDUP(MONTH($C4265)/3,0))</f>
        <v/>
      </c>
      <c r="L4265">
        <f>IF($G4265&lt;&gt;"ALCOHOL","",IF($K4265="","",$H4265*IFERROR(VLOOKUP($K4265,Drink_Templates!$A:$G,7,FALSE),0)))</f>
        <v/>
      </c>
    </row>
    <row r="4266" ht="15" customHeight="1">
      <c r="C4266">
        <f>IF($B4266="","",INT($B4266))</f>
        <v/>
      </c>
      <c r="D4266">
        <f>IF($C4266="","",$C4266-WEEKDAY($C4266,2)+1)</f>
        <v/>
      </c>
      <c r="E4266">
        <f>IF($C4266="","",DATE(YEAR($C4266),MONTH($C4266),1))</f>
        <v/>
      </c>
      <c r="F4266">
        <f>IF($C4266="","",YEAR($C4266)&amp;"-Q"&amp;ROUNDUP(MONTH($C4266)/3,0))</f>
        <v/>
      </c>
      <c r="L4266">
        <f>IF($G4266&lt;&gt;"ALCOHOL","",IF($K4266="","",$H4266*IFERROR(VLOOKUP($K4266,Drink_Templates!$A:$G,7,FALSE),0)))</f>
        <v/>
      </c>
    </row>
    <row r="4267" ht="15" customHeight="1">
      <c r="C4267">
        <f>IF($B4267="","",INT($B4267))</f>
        <v/>
      </c>
      <c r="D4267">
        <f>IF($C4267="","",$C4267-WEEKDAY($C4267,2)+1)</f>
        <v/>
      </c>
      <c r="E4267">
        <f>IF($C4267="","",DATE(YEAR($C4267),MONTH($C4267),1))</f>
        <v/>
      </c>
      <c r="F4267">
        <f>IF($C4267="","",YEAR($C4267)&amp;"-Q"&amp;ROUNDUP(MONTH($C4267)/3,0))</f>
        <v/>
      </c>
      <c r="L4267">
        <f>IF($G4267&lt;&gt;"ALCOHOL","",IF($K4267="","",$H4267*IFERROR(VLOOKUP($K4267,Drink_Templates!$A:$G,7,FALSE),0)))</f>
        <v/>
      </c>
    </row>
    <row r="4268" ht="15" customHeight="1">
      <c r="C4268">
        <f>IF($B4268="","",INT($B4268))</f>
        <v/>
      </c>
      <c r="D4268">
        <f>IF($C4268="","",$C4268-WEEKDAY($C4268,2)+1)</f>
        <v/>
      </c>
      <c r="E4268">
        <f>IF($C4268="","",DATE(YEAR($C4268),MONTH($C4268),1))</f>
        <v/>
      </c>
      <c r="F4268">
        <f>IF($C4268="","",YEAR($C4268)&amp;"-Q"&amp;ROUNDUP(MONTH($C4268)/3,0))</f>
        <v/>
      </c>
      <c r="L4268">
        <f>IF($G4268&lt;&gt;"ALCOHOL","",IF($K4268="","",$H4268*IFERROR(VLOOKUP($K4268,Drink_Templates!$A:$G,7,FALSE),0)))</f>
        <v/>
      </c>
    </row>
    <row r="4269" ht="15" customHeight="1">
      <c r="C4269">
        <f>IF($B4269="","",INT($B4269))</f>
        <v/>
      </c>
      <c r="D4269">
        <f>IF($C4269="","",$C4269-WEEKDAY($C4269,2)+1)</f>
        <v/>
      </c>
      <c r="E4269">
        <f>IF($C4269="","",DATE(YEAR($C4269),MONTH($C4269),1))</f>
        <v/>
      </c>
      <c r="F4269">
        <f>IF($C4269="","",YEAR($C4269)&amp;"-Q"&amp;ROUNDUP(MONTH($C4269)/3,0))</f>
        <v/>
      </c>
      <c r="L4269">
        <f>IF($G4269&lt;&gt;"ALCOHOL","",IF($K4269="","",$H4269*IFERROR(VLOOKUP($K4269,Drink_Templates!$A:$G,7,FALSE),0)))</f>
        <v/>
      </c>
    </row>
    <row r="4270" ht="15" customHeight="1">
      <c r="C4270">
        <f>IF($B4270="","",INT($B4270))</f>
        <v/>
      </c>
      <c r="D4270">
        <f>IF($C4270="","",$C4270-WEEKDAY($C4270,2)+1)</f>
        <v/>
      </c>
      <c r="E4270">
        <f>IF($C4270="","",DATE(YEAR($C4270),MONTH($C4270),1))</f>
        <v/>
      </c>
      <c r="F4270">
        <f>IF($C4270="","",YEAR($C4270)&amp;"-Q"&amp;ROUNDUP(MONTH($C4270)/3,0))</f>
        <v/>
      </c>
      <c r="L4270">
        <f>IF($G4270&lt;&gt;"ALCOHOL","",IF($K4270="","",$H4270*IFERROR(VLOOKUP($K4270,Drink_Templates!$A:$G,7,FALSE),0)))</f>
        <v/>
      </c>
    </row>
    <row r="4271" ht="15" customHeight="1">
      <c r="C4271">
        <f>IF($B4271="","",INT($B4271))</f>
        <v/>
      </c>
      <c r="D4271">
        <f>IF($C4271="","",$C4271-WEEKDAY($C4271,2)+1)</f>
        <v/>
      </c>
      <c r="E4271">
        <f>IF($C4271="","",DATE(YEAR($C4271),MONTH($C4271),1))</f>
        <v/>
      </c>
      <c r="F4271">
        <f>IF($C4271="","",YEAR($C4271)&amp;"-Q"&amp;ROUNDUP(MONTH($C4271)/3,0))</f>
        <v/>
      </c>
      <c r="L4271">
        <f>IF($G4271&lt;&gt;"ALCOHOL","",IF($K4271="","",$H4271*IFERROR(VLOOKUP($K4271,Drink_Templates!$A:$G,7,FALSE),0)))</f>
        <v/>
      </c>
    </row>
    <row r="4272" ht="15" customHeight="1">
      <c r="C4272">
        <f>IF($B4272="","",INT($B4272))</f>
        <v/>
      </c>
      <c r="D4272">
        <f>IF($C4272="","",$C4272-WEEKDAY($C4272,2)+1)</f>
        <v/>
      </c>
      <c r="E4272">
        <f>IF($C4272="","",DATE(YEAR($C4272),MONTH($C4272),1))</f>
        <v/>
      </c>
      <c r="F4272">
        <f>IF($C4272="","",YEAR($C4272)&amp;"-Q"&amp;ROUNDUP(MONTH($C4272)/3,0))</f>
        <v/>
      </c>
      <c r="L4272">
        <f>IF($G4272&lt;&gt;"ALCOHOL","",IF($K4272="","",$H4272*IFERROR(VLOOKUP($K4272,Drink_Templates!$A:$G,7,FALSE),0)))</f>
        <v/>
      </c>
    </row>
    <row r="4273" ht="15" customHeight="1">
      <c r="C4273">
        <f>IF($B4273="","",INT($B4273))</f>
        <v/>
      </c>
      <c r="D4273">
        <f>IF($C4273="","",$C4273-WEEKDAY($C4273,2)+1)</f>
        <v/>
      </c>
      <c r="E4273">
        <f>IF($C4273="","",DATE(YEAR($C4273),MONTH($C4273),1))</f>
        <v/>
      </c>
      <c r="F4273">
        <f>IF($C4273="","",YEAR($C4273)&amp;"-Q"&amp;ROUNDUP(MONTH($C4273)/3,0))</f>
        <v/>
      </c>
      <c r="L4273">
        <f>IF($G4273&lt;&gt;"ALCOHOL","",IF($K4273="","",$H4273*IFERROR(VLOOKUP($K4273,Drink_Templates!$A:$G,7,FALSE),0)))</f>
        <v/>
      </c>
    </row>
    <row r="4274" ht="15" customHeight="1">
      <c r="C4274">
        <f>IF($B4274="","",INT($B4274))</f>
        <v/>
      </c>
      <c r="D4274">
        <f>IF($C4274="","",$C4274-WEEKDAY($C4274,2)+1)</f>
        <v/>
      </c>
      <c r="E4274">
        <f>IF($C4274="","",DATE(YEAR($C4274),MONTH($C4274),1))</f>
        <v/>
      </c>
      <c r="F4274">
        <f>IF($C4274="","",YEAR($C4274)&amp;"-Q"&amp;ROUNDUP(MONTH($C4274)/3,0))</f>
        <v/>
      </c>
      <c r="L4274">
        <f>IF($G4274&lt;&gt;"ALCOHOL","",IF($K4274="","",$H4274*IFERROR(VLOOKUP($K4274,Drink_Templates!$A:$G,7,FALSE),0)))</f>
        <v/>
      </c>
    </row>
    <row r="4275" ht="15" customHeight="1">
      <c r="C4275">
        <f>IF($B4275="","",INT($B4275))</f>
        <v/>
      </c>
      <c r="D4275">
        <f>IF($C4275="","",$C4275-WEEKDAY($C4275,2)+1)</f>
        <v/>
      </c>
      <c r="E4275">
        <f>IF($C4275="","",DATE(YEAR($C4275),MONTH($C4275),1))</f>
        <v/>
      </c>
      <c r="F4275">
        <f>IF($C4275="","",YEAR($C4275)&amp;"-Q"&amp;ROUNDUP(MONTH($C4275)/3,0))</f>
        <v/>
      </c>
      <c r="L4275">
        <f>IF($G4275&lt;&gt;"ALCOHOL","",IF($K4275="","",$H4275*IFERROR(VLOOKUP($K4275,Drink_Templates!$A:$G,7,FALSE),0)))</f>
        <v/>
      </c>
    </row>
    <row r="4276" ht="15" customHeight="1">
      <c r="C4276">
        <f>IF($B4276="","",INT($B4276))</f>
        <v/>
      </c>
      <c r="D4276">
        <f>IF($C4276="","",$C4276-WEEKDAY($C4276,2)+1)</f>
        <v/>
      </c>
      <c r="E4276">
        <f>IF($C4276="","",DATE(YEAR($C4276),MONTH($C4276),1))</f>
        <v/>
      </c>
      <c r="F4276">
        <f>IF($C4276="","",YEAR($C4276)&amp;"-Q"&amp;ROUNDUP(MONTH($C4276)/3,0))</f>
        <v/>
      </c>
      <c r="L4276">
        <f>IF($G4276&lt;&gt;"ALCOHOL","",IF($K4276="","",$H4276*IFERROR(VLOOKUP($K4276,Drink_Templates!$A:$G,7,FALSE),0)))</f>
        <v/>
      </c>
    </row>
    <row r="4277" ht="15" customHeight="1">
      <c r="C4277">
        <f>IF($B4277="","",INT($B4277))</f>
        <v/>
      </c>
      <c r="D4277">
        <f>IF($C4277="","",$C4277-WEEKDAY($C4277,2)+1)</f>
        <v/>
      </c>
      <c r="E4277">
        <f>IF($C4277="","",DATE(YEAR($C4277),MONTH($C4277),1))</f>
        <v/>
      </c>
      <c r="F4277">
        <f>IF($C4277="","",YEAR($C4277)&amp;"-Q"&amp;ROUNDUP(MONTH($C4277)/3,0))</f>
        <v/>
      </c>
      <c r="L4277">
        <f>IF($G4277&lt;&gt;"ALCOHOL","",IF($K4277="","",$H4277*IFERROR(VLOOKUP($K4277,Drink_Templates!$A:$G,7,FALSE),0)))</f>
        <v/>
      </c>
    </row>
    <row r="4278" ht="15" customHeight="1">
      <c r="C4278">
        <f>IF($B4278="","",INT($B4278))</f>
        <v/>
      </c>
      <c r="D4278">
        <f>IF($C4278="","",$C4278-WEEKDAY($C4278,2)+1)</f>
        <v/>
      </c>
      <c r="E4278">
        <f>IF($C4278="","",DATE(YEAR($C4278),MONTH($C4278),1))</f>
        <v/>
      </c>
      <c r="F4278">
        <f>IF($C4278="","",YEAR($C4278)&amp;"-Q"&amp;ROUNDUP(MONTH($C4278)/3,0))</f>
        <v/>
      </c>
      <c r="L4278">
        <f>IF($G4278&lt;&gt;"ALCOHOL","",IF($K4278="","",$H4278*IFERROR(VLOOKUP($K4278,Drink_Templates!$A:$G,7,FALSE),0)))</f>
        <v/>
      </c>
    </row>
    <row r="4279" ht="15" customHeight="1">
      <c r="C4279">
        <f>IF($B4279="","",INT($B4279))</f>
        <v/>
      </c>
      <c r="D4279">
        <f>IF($C4279="","",$C4279-WEEKDAY($C4279,2)+1)</f>
        <v/>
      </c>
      <c r="E4279">
        <f>IF($C4279="","",DATE(YEAR($C4279),MONTH($C4279),1))</f>
        <v/>
      </c>
      <c r="F4279">
        <f>IF($C4279="","",YEAR($C4279)&amp;"-Q"&amp;ROUNDUP(MONTH($C4279)/3,0))</f>
        <v/>
      </c>
      <c r="L4279">
        <f>IF($G4279&lt;&gt;"ALCOHOL","",IF($K4279="","",$H4279*IFERROR(VLOOKUP($K4279,Drink_Templates!$A:$G,7,FALSE),0)))</f>
        <v/>
      </c>
    </row>
    <row r="4280" ht="15" customHeight="1">
      <c r="C4280">
        <f>IF($B4280="","",INT($B4280))</f>
        <v/>
      </c>
      <c r="D4280">
        <f>IF($C4280="","",$C4280-WEEKDAY($C4280,2)+1)</f>
        <v/>
      </c>
      <c r="E4280">
        <f>IF($C4280="","",DATE(YEAR($C4280),MONTH($C4280),1))</f>
        <v/>
      </c>
      <c r="F4280">
        <f>IF($C4280="","",YEAR($C4280)&amp;"-Q"&amp;ROUNDUP(MONTH($C4280)/3,0))</f>
        <v/>
      </c>
      <c r="L4280">
        <f>IF($G4280&lt;&gt;"ALCOHOL","",IF($K4280="","",$H4280*IFERROR(VLOOKUP($K4280,Drink_Templates!$A:$G,7,FALSE),0)))</f>
        <v/>
      </c>
    </row>
    <row r="4281" ht="15" customHeight="1">
      <c r="C4281">
        <f>IF($B4281="","",INT($B4281))</f>
        <v/>
      </c>
      <c r="D4281">
        <f>IF($C4281="","",$C4281-WEEKDAY($C4281,2)+1)</f>
        <v/>
      </c>
      <c r="E4281">
        <f>IF($C4281="","",DATE(YEAR($C4281),MONTH($C4281),1))</f>
        <v/>
      </c>
      <c r="F4281">
        <f>IF($C4281="","",YEAR($C4281)&amp;"-Q"&amp;ROUNDUP(MONTH($C4281)/3,0))</f>
        <v/>
      </c>
      <c r="L4281">
        <f>IF($G4281&lt;&gt;"ALCOHOL","",IF($K4281="","",$H4281*IFERROR(VLOOKUP($K4281,Drink_Templates!$A:$G,7,FALSE),0)))</f>
        <v/>
      </c>
    </row>
    <row r="4282" ht="15" customHeight="1">
      <c r="C4282">
        <f>IF($B4282="","",INT($B4282))</f>
        <v/>
      </c>
      <c r="D4282">
        <f>IF($C4282="","",$C4282-WEEKDAY($C4282,2)+1)</f>
        <v/>
      </c>
      <c r="E4282">
        <f>IF($C4282="","",DATE(YEAR($C4282),MONTH($C4282),1))</f>
        <v/>
      </c>
      <c r="F4282">
        <f>IF($C4282="","",YEAR($C4282)&amp;"-Q"&amp;ROUNDUP(MONTH($C4282)/3,0))</f>
        <v/>
      </c>
      <c r="L4282">
        <f>IF($G4282&lt;&gt;"ALCOHOL","",IF($K4282="","",$H4282*IFERROR(VLOOKUP($K4282,Drink_Templates!$A:$G,7,FALSE),0)))</f>
        <v/>
      </c>
    </row>
    <row r="4283" ht="15" customHeight="1">
      <c r="C4283">
        <f>IF($B4283="","",INT($B4283))</f>
        <v/>
      </c>
      <c r="D4283">
        <f>IF($C4283="","",$C4283-WEEKDAY($C4283,2)+1)</f>
        <v/>
      </c>
      <c r="E4283">
        <f>IF($C4283="","",DATE(YEAR($C4283),MONTH($C4283),1))</f>
        <v/>
      </c>
      <c r="F4283">
        <f>IF($C4283="","",YEAR($C4283)&amp;"-Q"&amp;ROUNDUP(MONTH($C4283)/3,0))</f>
        <v/>
      </c>
      <c r="L4283">
        <f>IF($G4283&lt;&gt;"ALCOHOL","",IF($K4283="","",$H4283*IFERROR(VLOOKUP($K4283,Drink_Templates!$A:$G,7,FALSE),0)))</f>
        <v/>
      </c>
    </row>
    <row r="4284" ht="15" customHeight="1">
      <c r="C4284">
        <f>IF($B4284="","",INT($B4284))</f>
        <v/>
      </c>
      <c r="D4284">
        <f>IF($C4284="","",$C4284-WEEKDAY($C4284,2)+1)</f>
        <v/>
      </c>
      <c r="E4284">
        <f>IF($C4284="","",DATE(YEAR($C4284),MONTH($C4284),1))</f>
        <v/>
      </c>
      <c r="F4284">
        <f>IF($C4284="","",YEAR($C4284)&amp;"-Q"&amp;ROUNDUP(MONTH($C4284)/3,0))</f>
        <v/>
      </c>
      <c r="L4284">
        <f>IF($G4284&lt;&gt;"ALCOHOL","",IF($K4284="","",$H4284*IFERROR(VLOOKUP($K4284,Drink_Templates!$A:$G,7,FALSE),0)))</f>
        <v/>
      </c>
    </row>
    <row r="4285" ht="15" customHeight="1">
      <c r="C4285">
        <f>IF($B4285="","",INT($B4285))</f>
        <v/>
      </c>
      <c r="D4285">
        <f>IF($C4285="","",$C4285-WEEKDAY($C4285,2)+1)</f>
        <v/>
      </c>
      <c r="E4285">
        <f>IF($C4285="","",DATE(YEAR($C4285),MONTH($C4285),1))</f>
        <v/>
      </c>
      <c r="F4285">
        <f>IF($C4285="","",YEAR($C4285)&amp;"-Q"&amp;ROUNDUP(MONTH($C4285)/3,0))</f>
        <v/>
      </c>
      <c r="L4285">
        <f>IF($G4285&lt;&gt;"ALCOHOL","",IF($K4285="","",$H4285*IFERROR(VLOOKUP($K4285,Drink_Templates!$A:$G,7,FALSE),0)))</f>
        <v/>
      </c>
    </row>
    <row r="4286" ht="15" customHeight="1">
      <c r="C4286">
        <f>IF($B4286="","",INT($B4286))</f>
        <v/>
      </c>
      <c r="D4286">
        <f>IF($C4286="","",$C4286-WEEKDAY($C4286,2)+1)</f>
        <v/>
      </c>
      <c r="E4286">
        <f>IF($C4286="","",DATE(YEAR($C4286),MONTH($C4286),1))</f>
        <v/>
      </c>
      <c r="F4286">
        <f>IF($C4286="","",YEAR($C4286)&amp;"-Q"&amp;ROUNDUP(MONTH($C4286)/3,0))</f>
        <v/>
      </c>
      <c r="L4286">
        <f>IF($G4286&lt;&gt;"ALCOHOL","",IF($K4286="","",$H4286*IFERROR(VLOOKUP($K4286,Drink_Templates!$A:$G,7,FALSE),0)))</f>
        <v/>
      </c>
    </row>
    <row r="4287" ht="15" customHeight="1">
      <c r="C4287">
        <f>IF($B4287="","",INT($B4287))</f>
        <v/>
      </c>
      <c r="D4287">
        <f>IF($C4287="","",$C4287-WEEKDAY($C4287,2)+1)</f>
        <v/>
      </c>
      <c r="E4287">
        <f>IF($C4287="","",DATE(YEAR($C4287),MONTH($C4287),1))</f>
        <v/>
      </c>
      <c r="F4287">
        <f>IF($C4287="","",YEAR($C4287)&amp;"-Q"&amp;ROUNDUP(MONTH($C4287)/3,0))</f>
        <v/>
      </c>
      <c r="L4287">
        <f>IF($G4287&lt;&gt;"ALCOHOL","",IF($K4287="","",$H4287*IFERROR(VLOOKUP($K4287,Drink_Templates!$A:$G,7,FALSE),0)))</f>
        <v/>
      </c>
    </row>
    <row r="4288" ht="15" customHeight="1">
      <c r="C4288">
        <f>IF($B4288="","",INT($B4288))</f>
        <v/>
      </c>
      <c r="D4288">
        <f>IF($C4288="","",$C4288-WEEKDAY($C4288,2)+1)</f>
        <v/>
      </c>
      <c r="E4288">
        <f>IF($C4288="","",DATE(YEAR($C4288),MONTH($C4288),1))</f>
        <v/>
      </c>
      <c r="F4288">
        <f>IF($C4288="","",YEAR($C4288)&amp;"-Q"&amp;ROUNDUP(MONTH($C4288)/3,0))</f>
        <v/>
      </c>
      <c r="L4288">
        <f>IF($G4288&lt;&gt;"ALCOHOL","",IF($K4288="","",$H4288*IFERROR(VLOOKUP($K4288,Drink_Templates!$A:$G,7,FALSE),0)))</f>
        <v/>
      </c>
    </row>
    <row r="4289" ht="15" customHeight="1">
      <c r="C4289">
        <f>IF($B4289="","",INT($B4289))</f>
        <v/>
      </c>
      <c r="D4289">
        <f>IF($C4289="","",$C4289-WEEKDAY($C4289,2)+1)</f>
        <v/>
      </c>
      <c r="E4289">
        <f>IF($C4289="","",DATE(YEAR($C4289),MONTH($C4289),1))</f>
        <v/>
      </c>
      <c r="F4289">
        <f>IF($C4289="","",YEAR($C4289)&amp;"-Q"&amp;ROUNDUP(MONTH($C4289)/3,0))</f>
        <v/>
      </c>
      <c r="L4289">
        <f>IF($G4289&lt;&gt;"ALCOHOL","",IF($K4289="","",$H4289*IFERROR(VLOOKUP($K4289,Drink_Templates!$A:$G,7,FALSE),0)))</f>
        <v/>
      </c>
    </row>
    <row r="4290" ht="15" customHeight="1">
      <c r="C4290">
        <f>IF($B4290="","",INT($B4290))</f>
        <v/>
      </c>
      <c r="D4290">
        <f>IF($C4290="","",$C4290-WEEKDAY($C4290,2)+1)</f>
        <v/>
      </c>
      <c r="E4290">
        <f>IF($C4290="","",DATE(YEAR($C4290),MONTH($C4290),1))</f>
        <v/>
      </c>
      <c r="F4290">
        <f>IF($C4290="","",YEAR($C4290)&amp;"-Q"&amp;ROUNDUP(MONTH($C4290)/3,0))</f>
        <v/>
      </c>
      <c r="L4290">
        <f>IF($G4290&lt;&gt;"ALCOHOL","",IF($K4290="","",$H4290*IFERROR(VLOOKUP($K4290,Drink_Templates!$A:$G,7,FALSE),0)))</f>
        <v/>
      </c>
    </row>
    <row r="4291" ht="15" customHeight="1">
      <c r="C4291">
        <f>IF($B4291="","",INT($B4291))</f>
        <v/>
      </c>
      <c r="D4291">
        <f>IF($C4291="","",$C4291-WEEKDAY($C4291,2)+1)</f>
        <v/>
      </c>
      <c r="E4291">
        <f>IF($C4291="","",DATE(YEAR($C4291),MONTH($C4291),1))</f>
        <v/>
      </c>
      <c r="F4291">
        <f>IF($C4291="","",YEAR($C4291)&amp;"-Q"&amp;ROUNDUP(MONTH($C4291)/3,0))</f>
        <v/>
      </c>
      <c r="L4291">
        <f>IF($G4291&lt;&gt;"ALCOHOL","",IF($K4291="","",$H4291*IFERROR(VLOOKUP($K4291,Drink_Templates!$A:$G,7,FALSE),0)))</f>
        <v/>
      </c>
    </row>
    <row r="4292" ht="15" customHeight="1">
      <c r="C4292">
        <f>IF($B4292="","",INT($B4292))</f>
        <v/>
      </c>
      <c r="D4292">
        <f>IF($C4292="","",$C4292-WEEKDAY($C4292,2)+1)</f>
        <v/>
      </c>
      <c r="E4292">
        <f>IF($C4292="","",DATE(YEAR($C4292),MONTH($C4292),1))</f>
        <v/>
      </c>
      <c r="F4292">
        <f>IF($C4292="","",YEAR($C4292)&amp;"-Q"&amp;ROUNDUP(MONTH($C4292)/3,0))</f>
        <v/>
      </c>
      <c r="L4292">
        <f>IF($G4292&lt;&gt;"ALCOHOL","",IF($K4292="","",$H4292*IFERROR(VLOOKUP($K4292,Drink_Templates!$A:$G,7,FALSE),0)))</f>
        <v/>
      </c>
    </row>
    <row r="4293" ht="15" customHeight="1">
      <c r="C4293">
        <f>IF($B4293="","",INT($B4293))</f>
        <v/>
      </c>
      <c r="D4293">
        <f>IF($C4293="","",$C4293-WEEKDAY($C4293,2)+1)</f>
        <v/>
      </c>
      <c r="E4293">
        <f>IF($C4293="","",DATE(YEAR($C4293),MONTH($C4293),1))</f>
        <v/>
      </c>
      <c r="F4293">
        <f>IF($C4293="","",YEAR($C4293)&amp;"-Q"&amp;ROUNDUP(MONTH($C4293)/3,0))</f>
        <v/>
      </c>
      <c r="L4293">
        <f>IF($G4293&lt;&gt;"ALCOHOL","",IF($K4293="","",$H4293*IFERROR(VLOOKUP($K4293,Drink_Templates!$A:$G,7,FALSE),0)))</f>
        <v/>
      </c>
    </row>
    <row r="4294" ht="15" customHeight="1">
      <c r="C4294">
        <f>IF($B4294="","",INT($B4294))</f>
        <v/>
      </c>
      <c r="D4294">
        <f>IF($C4294="","",$C4294-WEEKDAY($C4294,2)+1)</f>
        <v/>
      </c>
      <c r="E4294">
        <f>IF($C4294="","",DATE(YEAR($C4294),MONTH($C4294),1))</f>
        <v/>
      </c>
      <c r="F4294">
        <f>IF($C4294="","",YEAR($C4294)&amp;"-Q"&amp;ROUNDUP(MONTH($C4294)/3,0))</f>
        <v/>
      </c>
      <c r="L4294">
        <f>IF($G4294&lt;&gt;"ALCOHOL","",IF($K4294="","",$H4294*IFERROR(VLOOKUP($K4294,Drink_Templates!$A:$G,7,FALSE),0)))</f>
        <v/>
      </c>
    </row>
    <row r="4295" ht="15" customHeight="1">
      <c r="C4295">
        <f>IF($B4295="","",INT($B4295))</f>
        <v/>
      </c>
      <c r="D4295">
        <f>IF($C4295="","",$C4295-WEEKDAY($C4295,2)+1)</f>
        <v/>
      </c>
      <c r="E4295">
        <f>IF($C4295="","",DATE(YEAR($C4295),MONTH($C4295),1))</f>
        <v/>
      </c>
      <c r="F4295">
        <f>IF($C4295="","",YEAR($C4295)&amp;"-Q"&amp;ROUNDUP(MONTH($C4295)/3,0))</f>
        <v/>
      </c>
      <c r="L4295">
        <f>IF($G4295&lt;&gt;"ALCOHOL","",IF($K4295="","",$H4295*IFERROR(VLOOKUP($K4295,Drink_Templates!$A:$G,7,FALSE),0)))</f>
        <v/>
      </c>
    </row>
    <row r="4296" ht="15" customHeight="1">
      <c r="C4296">
        <f>IF($B4296="","",INT($B4296))</f>
        <v/>
      </c>
      <c r="D4296">
        <f>IF($C4296="","",$C4296-WEEKDAY($C4296,2)+1)</f>
        <v/>
      </c>
      <c r="E4296">
        <f>IF($C4296="","",DATE(YEAR($C4296),MONTH($C4296),1))</f>
        <v/>
      </c>
      <c r="F4296">
        <f>IF($C4296="","",YEAR($C4296)&amp;"-Q"&amp;ROUNDUP(MONTH($C4296)/3,0))</f>
        <v/>
      </c>
      <c r="L4296">
        <f>IF($G4296&lt;&gt;"ALCOHOL","",IF($K4296="","",$H4296*IFERROR(VLOOKUP($K4296,Drink_Templates!$A:$G,7,FALSE),0)))</f>
        <v/>
      </c>
    </row>
    <row r="4297" ht="15" customHeight="1">
      <c r="C4297">
        <f>IF($B4297="","",INT($B4297))</f>
        <v/>
      </c>
      <c r="D4297">
        <f>IF($C4297="","",$C4297-WEEKDAY($C4297,2)+1)</f>
        <v/>
      </c>
      <c r="E4297">
        <f>IF($C4297="","",DATE(YEAR($C4297),MONTH($C4297),1))</f>
        <v/>
      </c>
      <c r="F4297">
        <f>IF($C4297="","",YEAR($C4297)&amp;"-Q"&amp;ROUNDUP(MONTH($C4297)/3,0))</f>
        <v/>
      </c>
      <c r="L4297">
        <f>IF($G4297&lt;&gt;"ALCOHOL","",IF($K4297="","",$H4297*IFERROR(VLOOKUP($K4297,Drink_Templates!$A:$G,7,FALSE),0)))</f>
        <v/>
      </c>
    </row>
    <row r="4298" ht="15" customHeight="1">
      <c r="C4298">
        <f>IF($B4298="","",INT($B4298))</f>
        <v/>
      </c>
      <c r="D4298">
        <f>IF($C4298="","",$C4298-WEEKDAY($C4298,2)+1)</f>
        <v/>
      </c>
      <c r="E4298">
        <f>IF($C4298="","",DATE(YEAR($C4298),MONTH($C4298),1))</f>
        <v/>
      </c>
      <c r="F4298">
        <f>IF($C4298="","",YEAR($C4298)&amp;"-Q"&amp;ROUNDUP(MONTH($C4298)/3,0))</f>
        <v/>
      </c>
      <c r="L4298">
        <f>IF($G4298&lt;&gt;"ALCOHOL","",IF($K4298="","",$H4298*IFERROR(VLOOKUP($K4298,Drink_Templates!$A:$G,7,FALSE),0)))</f>
        <v/>
      </c>
    </row>
    <row r="4299" ht="15" customHeight="1">
      <c r="C4299">
        <f>IF($B4299="","",INT($B4299))</f>
        <v/>
      </c>
      <c r="D4299">
        <f>IF($C4299="","",$C4299-WEEKDAY($C4299,2)+1)</f>
        <v/>
      </c>
      <c r="E4299">
        <f>IF($C4299="","",DATE(YEAR($C4299),MONTH($C4299),1))</f>
        <v/>
      </c>
      <c r="F4299">
        <f>IF($C4299="","",YEAR($C4299)&amp;"-Q"&amp;ROUNDUP(MONTH($C4299)/3,0))</f>
        <v/>
      </c>
      <c r="L4299">
        <f>IF($G4299&lt;&gt;"ALCOHOL","",IF($K4299="","",$H4299*IFERROR(VLOOKUP($K4299,Drink_Templates!$A:$G,7,FALSE),0)))</f>
        <v/>
      </c>
    </row>
    <row r="4300" ht="15" customHeight="1">
      <c r="C4300">
        <f>IF($B4300="","",INT($B4300))</f>
        <v/>
      </c>
      <c r="D4300">
        <f>IF($C4300="","",$C4300-WEEKDAY($C4300,2)+1)</f>
        <v/>
      </c>
      <c r="E4300">
        <f>IF($C4300="","",DATE(YEAR($C4300),MONTH($C4300),1))</f>
        <v/>
      </c>
      <c r="F4300">
        <f>IF($C4300="","",YEAR($C4300)&amp;"-Q"&amp;ROUNDUP(MONTH($C4300)/3,0))</f>
        <v/>
      </c>
      <c r="L4300">
        <f>IF($G4300&lt;&gt;"ALCOHOL","",IF($K4300="","",$H4300*IFERROR(VLOOKUP($K4300,Drink_Templates!$A:$G,7,FALSE),0)))</f>
        <v/>
      </c>
    </row>
    <row r="4301" ht="15" customHeight="1">
      <c r="C4301">
        <f>IF($B4301="","",INT($B4301))</f>
        <v/>
      </c>
      <c r="D4301">
        <f>IF($C4301="","",$C4301-WEEKDAY($C4301,2)+1)</f>
        <v/>
      </c>
      <c r="E4301">
        <f>IF($C4301="","",DATE(YEAR($C4301),MONTH($C4301),1))</f>
        <v/>
      </c>
      <c r="F4301">
        <f>IF($C4301="","",YEAR($C4301)&amp;"-Q"&amp;ROUNDUP(MONTH($C4301)/3,0))</f>
        <v/>
      </c>
      <c r="L4301">
        <f>IF($G4301&lt;&gt;"ALCOHOL","",IF($K4301="","",$H4301*IFERROR(VLOOKUP($K4301,Drink_Templates!$A:$G,7,FALSE),0)))</f>
        <v/>
      </c>
    </row>
    <row r="4302" ht="15" customHeight="1">
      <c r="C4302">
        <f>IF($B4302="","",INT($B4302))</f>
        <v/>
      </c>
      <c r="D4302">
        <f>IF($C4302="","",$C4302-WEEKDAY($C4302,2)+1)</f>
        <v/>
      </c>
      <c r="E4302">
        <f>IF($C4302="","",DATE(YEAR($C4302),MONTH($C4302),1))</f>
        <v/>
      </c>
      <c r="F4302">
        <f>IF($C4302="","",YEAR($C4302)&amp;"-Q"&amp;ROUNDUP(MONTH($C4302)/3,0))</f>
        <v/>
      </c>
      <c r="L4302">
        <f>IF($G4302&lt;&gt;"ALCOHOL","",IF($K4302="","",$H4302*IFERROR(VLOOKUP($K4302,Drink_Templates!$A:$G,7,FALSE),0)))</f>
        <v/>
      </c>
    </row>
    <row r="4303" ht="15" customHeight="1">
      <c r="C4303">
        <f>IF($B4303="","",INT($B4303))</f>
        <v/>
      </c>
      <c r="D4303">
        <f>IF($C4303="","",$C4303-WEEKDAY($C4303,2)+1)</f>
        <v/>
      </c>
      <c r="E4303">
        <f>IF($C4303="","",DATE(YEAR($C4303),MONTH($C4303),1))</f>
        <v/>
      </c>
      <c r="F4303">
        <f>IF($C4303="","",YEAR($C4303)&amp;"-Q"&amp;ROUNDUP(MONTH($C4303)/3,0))</f>
        <v/>
      </c>
      <c r="L4303">
        <f>IF($G4303&lt;&gt;"ALCOHOL","",IF($K4303="","",$H4303*IFERROR(VLOOKUP($K4303,Drink_Templates!$A:$G,7,FALSE),0)))</f>
        <v/>
      </c>
    </row>
    <row r="4304" ht="15" customHeight="1">
      <c r="C4304">
        <f>IF($B4304="","",INT($B4304))</f>
        <v/>
      </c>
      <c r="D4304">
        <f>IF($C4304="","",$C4304-WEEKDAY($C4304,2)+1)</f>
        <v/>
      </c>
      <c r="E4304">
        <f>IF($C4304="","",DATE(YEAR($C4304),MONTH($C4304),1))</f>
        <v/>
      </c>
      <c r="F4304">
        <f>IF($C4304="","",YEAR($C4304)&amp;"-Q"&amp;ROUNDUP(MONTH($C4304)/3,0))</f>
        <v/>
      </c>
      <c r="L4304">
        <f>IF($G4304&lt;&gt;"ALCOHOL","",IF($K4304="","",$H4304*IFERROR(VLOOKUP($K4304,Drink_Templates!$A:$G,7,FALSE),0)))</f>
        <v/>
      </c>
    </row>
    <row r="4305" ht="15" customHeight="1">
      <c r="C4305">
        <f>IF($B4305="","",INT($B4305))</f>
        <v/>
      </c>
      <c r="D4305">
        <f>IF($C4305="","",$C4305-WEEKDAY($C4305,2)+1)</f>
        <v/>
      </c>
      <c r="E4305">
        <f>IF($C4305="","",DATE(YEAR($C4305),MONTH($C4305),1))</f>
        <v/>
      </c>
      <c r="F4305">
        <f>IF($C4305="","",YEAR($C4305)&amp;"-Q"&amp;ROUNDUP(MONTH($C4305)/3,0))</f>
        <v/>
      </c>
      <c r="L4305">
        <f>IF($G4305&lt;&gt;"ALCOHOL","",IF($K4305="","",$H4305*IFERROR(VLOOKUP($K4305,Drink_Templates!$A:$G,7,FALSE),0)))</f>
        <v/>
      </c>
    </row>
    <row r="4306" ht="15" customHeight="1">
      <c r="C4306">
        <f>IF($B4306="","",INT($B4306))</f>
        <v/>
      </c>
      <c r="D4306">
        <f>IF($C4306="","",$C4306-WEEKDAY($C4306,2)+1)</f>
        <v/>
      </c>
      <c r="E4306">
        <f>IF($C4306="","",DATE(YEAR($C4306),MONTH($C4306),1))</f>
        <v/>
      </c>
      <c r="F4306">
        <f>IF($C4306="","",YEAR($C4306)&amp;"-Q"&amp;ROUNDUP(MONTH($C4306)/3,0))</f>
        <v/>
      </c>
      <c r="L4306">
        <f>IF($G4306&lt;&gt;"ALCOHOL","",IF($K4306="","",$H4306*IFERROR(VLOOKUP($K4306,Drink_Templates!$A:$G,7,FALSE),0)))</f>
        <v/>
      </c>
    </row>
    <row r="4307" ht="15" customHeight="1">
      <c r="C4307">
        <f>IF($B4307="","",INT($B4307))</f>
        <v/>
      </c>
      <c r="D4307">
        <f>IF($C4307="","",$C4307-WEEKDAY($C4307,2)+1)</f>
        <v/>
      </c>
      <c r="E4307">
        <f>IF($C4307="","",DATE(YEAR($C4307),MONTH($C4307),1))</f>
        <v/>
      </c>
      <c r="F4307">
        <f>IF($C4307="","",YEAR($C4307)&amp;"-Q"&amp;ROUNDUP(MONTH($C4307)/3,0))</f>
        <v/>
      </c>
      <c r="L4307">
        <f>IF($G4307&lt;&gt;"ALCOHOL","",IF($K4307="","",$H4307*IFERROR(VLOOKUP($K4307,Drink_Templates!$A:$G,7,FALSE),0)))</f>
        <v/>
      </c>
    </row>
    <row r="4308" ht="15" customHeight="1">
      <c r="C4308">
        <f>IF($B4308="","",INT($B4308))</f>
        <v/>
      </c>
      <c r="D4308">
        <f>IF($C4308="","",$C4308-WEEKDAY($C4308,2)+1)</f>
        <v/>
      </c>
      <c r="E4308">
        <f>IF($C4308="","",DATE(YEAR($C4308),MONTH($C4308),1))</f>
        <v/>
      </c>
      <c r="F4308">
        <f>IF($C4308="","",YEAR($C4308)&amp;"-Q"&amp;ROUNDUP(MONTH($C4308)/3,0))</f>
        <v/>
      </c>
      <c r="L4308">
        <f>IF($G4308&lt;&gt;"ALCOHOL","",IF($K4308="","",$H4308*IFERROR(VLOOKUP($K4308,Drink_Templates!$A:$G,7,FALSE),0)))</f>
        <v/>
      </c>
    </row>
    <row r="4309" ht="15" customHeight="1">
      <c r="C4309">
        <f>IF($B4309="","",INT($B4309))</f>
        <v/>
      </c>
      <c r="D4309">
        <f>IF($C4309="","",$C4309-WEEKDAY($C4309,2)+1)</f>
        <v/>
      </c>
      <c r="E4309">
        <f>IF($C4309="","",DATE(YEAR($C4309),MONTH($C4309),1))</f>
        <v/>
      </c>
      <c r="F4309">
        <f>IF($C4309="","",YEAR($C4309)&amp;"-Q"&amp;ROUNDUP(MONTH($C4309)/3,0))</f>
        <v/>
      </c>
      <c r="L4309">
        <f>IF($G4309&lt;&gt;"ALCOHOL","",IF($K4309="","",$H4309*IFERROR(VLOOKUP($K4309,Drink_Templates!$A:$G,7,FALSE),0)))</f>
        <v/>
      </c>
    </row>
    <row r="4310" ht="15" customHeight="1">
      <c r="C4310">
        <f>IF($B4310="","",INT($B4310))</f>
        <v/>
      </c>
      <c r="D4310">
        <f>IF($C4310="","",$C4310-WEEKDAY($C4310,2)+1)</f>
        <v/>
      </c>
      <c r="E4310">
        <f>IF($C4310="","",DATE(YEAR($C4310),MONTH($C4310),1))</f>
        <v/>
      </c>
      <c r="F4310">
        <f>IF($C4310="","",YEAR($C4310)&amp;"-Q"&amp;ROUNDUP(MONTH($C4310)/3,0))</f>
        <v/>
      </c>
      <c r="L4310">
        <f>IF($G4310&lt;&gt;"ALCOHOL","",IF($K4310="","",$H4310*IFERROR(VLOOKUP($K4310,Drink_Templates!$A:$G,7,FALSE),0)))</f>
        <v/>
      </c>
    </row>
    <row r="4311" ht="15" customHeight="1">
      <c r="C4311">
        <f>IF($B4311="","",INT($B4311))</f>
        <v/>
      </c>
      <c r="D4311">
        <f>IF($C4311="","",$C4311-WEEKDAY($C4311,2)+1)</f>
        <v/>
      </c>
      <c r="E4311">
        <f>IF($C4311="","",DATE(YEAR($C4311),MONTH($C4311),1))</f>
        <v/>
      </c>
      <c r="F4311">
        <f>IF($C4311="","",YEAR($C4311)&amp;"-Q"&amp;ROUNDUP(MONTH($C4311)/3,0))</f>
        <v/>
      </c>
      <c r="L4311">
        <f>IF($G4311&lt;&gt;"ALCOHOL","",IF($K4311="","",$H4311*IFERROR(VLOOKUP($K4311,Drink_Templates!$A:$G,7,FALSE),0)))</f>
        <v/>
      </c>
    </row>
    <row r="4312" ht="15" customHeight="1">
      <c r="C4312">
        <f>IF($B4312="","",INT($B4312))</f>
        <v/>
      </c>
      <c r="D4312">
        <f>IF($C4312="","",$C4312-WEEKDAY($C4312,2)+1)</f>
        <v/>
      </c>
      <c r="E4312">
        <f>IF($C4312="","",DATE(YEAR($C4312),MONTH($C4312),1))</f>
        <v/>
      </c>
      <c r="F4312">
        <f>IF($C4312="","",YEAR($C4312)&amp;"-Q"&amp;ROUNDUP(MONTH($C4312)/3,0))</f>
        <v/>
      </c>
      <c r="L4312">
        <f>IF($G4312&lt;&gt;"ALCOHOL","",IF($K4312="","",$H4312*IFERROR(VLOOKUP($K4312,Drink_Templates!$A:$G,7,FALSE),0)))</f>
        <v/>
      </c>
    </row>
    <row r="4313" ht="15" customHeight="1">
      <c r="C4313">
        <f>IF($B4313="","",INT($B4313))</f>
        <v/>
      </c>
      <c r="D4313">
        <f>IF($C4313="","",$C4313-WEEKDAY($C4313,2)+1)</f>
        <v/>
      </c>
      <c r="E4313">
        <f>IF($C4313="","",DATE(YEAR($C4313),MONTH($C4313),1))</f>
        <v/>
      </c>
      <c r="F4313">
        <f>IF($C4313="","",YEAR($C4313)&amp;"-Q"&amp;ROUNDUP(MONTH($C4313)/3,0))</f>
        <v/>
      </c>
      <c r="L4313">
        <f>IF($G4313&lt;&gt;"ALCOHOL","",IF($K4313="","",$H4313*IFERROR(VLOOKUP($K4313,Drink_Templates!$A:$G,7,FALSE),0)))</f>
        <v/>
      </c>
    </row>
    <row r="4314" ht="15" customHeight="1">
      <c r="C4314">
        <f>IF($B4314="","",INT($B4314))</f>
        <v/>
      </c>
      <c r="D4314">
        <f>IF($C4314="","",$C4314-WEEKDAY($C4314,2)+1)</f>
        <v/>
      </c>
      <c r="E4314">
        <f>IF($C4314="","",DATE(YEAR($C4314),MONTH($C4314),1))</f>
        <v/>
      </c>
      <c r="F4314">
        <f>IF($C4314="","",YEAR($C4314)&amp;"-Q"&amp;ROUNDUP(MONTH($C4314)/3,0))</f>
        <v/>
      </c>
      <c r="L4314">
        <f>IF($G4314&lt;&gt;"ALCOHOL","",IF($K4314="","",$H4314*IFERROR(VLOOKUP($K4314,Drink_Templates!$A:$G,7,FALSE),0)))</f>
        <v/>
      </c>
    </row>
    <row r="4315" ht="15" customHeight="1">
      <c r="C4315">
        <f>IF($B4315="","",INT($B4315))</f>
        <v/>
      </c>
      <c r="D4315">
        <f>IF($C4315="","",$C4315-WEEKDAY($C4315,2)+1)</f>
        <v/>
      </c>
      <c r="E4315">
        <f>IF($C4315="","",DATE(YEAR($C4315),MONTH($C4315),1))</f>
        <v/>
      </c>
      <c r="F4315">
        <f>IF($C4315="","",YEAR($C4315)&amp;"-Q"&amp;ROUNDUP(MONTH($C4315)/3,0))</f>
        <v/>
      </c>
      <c r="L4315">
        <f>IF($G4315&lt;&gt;"ALCOHOL","",IF($K4315="","",$H4315*IFERROR(VLOOKUP($K4315,Drink_Templates!$A:$G,7,FALSE),0)))</f>
        <v/>
      </c>
    </row>
    <row r="4316" ht="15" customHeight="1">
      <c r="C4316">
        <f>IF($B4316="","",INT($B4316))</f>
        <v/>
      </c>
      <c r="D4316">
        <f>IF($C4316="","",$C4316-WEEKDAY($C4316,2)+1)</f>
        <v/>
      </c>
      <c r="E4316">
        <f>IF($C4316="","",DATE(YEAR($C4316),MONTH($C4316),1))</f>
        <v/>
      </c>
      <c r="F4316">
        <f>IF($C4316="","",YEAR($C4316)&amp;"-Q"&amp;ROUNDUP(MONTH($C4316)/3,0))</f>
        <v/>
      </c>
      <c r="L4316">
        <f>IF($G4316&lt;&gt;"ALCOHOL","",IF($K4316="","",$H4316*IFERROR(VLOOKUP($K4316,Drink_Templates!$A:$G,7,FALSE),0)))</f>
        <v/>
      </c>
    </row>
    <row r="4317" ht="15" customHeight="1">
      <c r="C4317">
        <f>IF($B4317="","",INT($B4317))</f>
        <v/>
      </c>
      <c r="D4317">
        <f>IF($C4317="","",$C4317-WEEKDAY($C4317,2)+1)</f>
        <v/>
      </c>
      <c r="E4317">
        <f>IF($C4317="","",DATE(YEAR($C4317),MONTH($C4317),1))</f>
        <v/>
      </c>
      <c r="F4317">
        <f>IF($C4317="","",YEAR($C4317)&amp;"-Q"&amp;ROUNDUP(MONTH($C4317)/3,0))</f>
        <v/>
      </c>
      <c r="L4317">
        <f>IF($G4317&lt;&gt;"ALCOHOL","",IF($K4317="","",$H4317*IFERROR(VLOOKUP($K4317,Drink_Templates!$A:$G,7,FALSE),0)))</f>
        <v/>
      </c>
    </row>
    <row r="4318" ht="15" customHeight="1">
      <c r="C4318">
        <f>IF($B4318="","",INT($B4318))</f>
        <v/>
      </c>
      <c r="D4318">
        <f>IF($C4318="","",$C4318-WEEKDAY($C4318,2)+1)</f>
        <v/>
      </c>
      <c r="E4318">
        <f>IF($C4318="","",DATE(YEAR($C4318),MONTH($C4318),1))</f>
        <v/>
      </c>
      <c r="F4318">
        <f>IF($C4318="","",YEAR($C4318)&amp;"-Q"&amp;ROUNDUP(MONTH($C4318)/3,0))</f>
        <v/>
      </c>
      <c r="L4318">
        <f>IF($G4318&lt;&gt;"ALCOHOL","",IF($K4318="","",$H4318*IFERROR(VLOOKUP($K4318,Drink_Templates!$A:$G,7,FALSE),0)))</f>
        <v/>
      </c>
    </row>
    <row r="4319" ht="15" customHeight="1">
      <c r="C4319">
        <f>IF($B4319="","",INT($B4319))</f>
        <v/>
      </c>
      <c r="D4319">
        <f>IF($C4319="","",$C4319-WEEKDAY($C4319,2)+1)</f>
        <v/>
      </c>
      <c r="E4319">
        <f>IF($C4319="","",DATE(YEAR($C4319),MONTH($C4319),1))</f>
        <v/>
      </c>
      <c r="F4319">
        <f>IF($C4319="","",YEAR($C4319)&amp;"-Q"&amp;ROUNDUP(MONTH($C4319)/3,0))</f>
        <v/>
      </c>
      <c r="L4319">
        <f>IF($G4319&lt;&gt;"ALCOHOL","",IF($K4319="","",$H4319*IFERROR(VLOOKUP($K4319,Drink_Templates!$A:$G,7,FALSE),0)))</f>
        <v/>
      </c>
    </row>
    <row r="4320" ht="15" customHeight="1">
      <c r="C4320">
        <f>IF($B4320="","",INT($B4320))</f>
        <v/>
      </c>
      <c r="D4320">
        <f>IF($C4320="","",$C4320-WEEKDAY($C4320,2)+1)</f>
        <v/>
      </c>
      <c r="E4320">
        <f>IF($C4320="","",DATE(YEAR($C4320),MONTH($C4320),1))</f>
        <v/>
      </c>
      <c r="F4320">
        <f>IF($C4320="","",YEAR($C4320)&amp;"-Q"&amp;ROUNDUP(MONTH($C4320)/3,0))</f>
        <v/>
      </c>
      <c r="L4320">
        <f>IF($G4320&lt;&gt;"ALCOHOL","",IF($K4320="","",$H4320*IFERROR(VLOOKUP($K4320,Drink_Templates!$A:$G,7,FALSE),0)))</f>
        <v/>
      </c>
    </row>
    <row r="4321" ht="15" customHeight="1">
      <c r="C4321">
        <f>IF($B4321="","",INT($B4321))</f>
        <v/>
      </c>
      <c r="D4321">
        <f>IF($C4321="","",$C4321-WEEKDAY($C4321,2)+1)</f>
        <v/>
      </c>
      <c r="E4321">
        <f>IF($C4321="","",DATE(YEAR($C4321),MONTH($C4321),1))</f>
        <v/>
      </c>
      <c r="F4321">
        <f>IF($C4321="","",YEAR($C4321)&amp;"-Q"&amp;ROUNDUP(MONTH($C4321)/3,0))</f>
        <v/>
      </c>
      <c r="L4321">
        <f>IF($G4321&lt;&gt;"ALCOHOL","",IF($K4321="","",$H4321*IFERROR(VLOOKUP($K4321,Drink_Templates!$A:$G,7,FALSE),0)))</f>
        <v/>
      </c>
    </row>
    <row r="4322" ht="15" customHeight="1">
      <c r="C4322">
        <f>IF($B4322="","",INT($B4322))</f>
        <v/>
      </c>
      <c r="D4322">
        <f>IF($C4322="","",$C4322-WEEKDAY($C4322,2)+1)</f>
        <v/>
      </c>
      <c r="E4322">
        <f>IF($C4322="","",DATE(YEAR($C4322),MONTH($C4322),1))</f>
        <v/>
      </c>
      <c r="F4322">
        <f>IF($C4322="","",YEAR($C4322)&amp;"-Q"&amp;ROUNDUP(MONTH($C4322)/3,0))</f>
        <v/>
      </c>
      <c r="L4322">
        <f>IF($G4322&lt;&gt;"ALCOHOL","",IF($K4322="","",$H4322*IFERROR(VLOOKUP($K4322,Drink_Templates!$A:$G,7,FALSE),0)))</f>
        <v/>
      </c>
    </row>
    <row r="4323" ht="15" customHeight="1">
      <c r="C4323">
        <f>IF($B4323="","",INT($B4323))</f>
        <v/>
      </c>
      <c r="D4323">
        <f>IF($C4323="","",$C4323-WEEKDAY($C4323,2)+1)</f>
        <v/>
      </c>
      <c r="E4323">
        <f>IF($C4323="","",DATE(YEAR($C4323),MONTH($C4323),1))</f>
        <v/>
      </c>
      <c r="F4323">
        <f>IF($C4323="","",YEAR($C4323)&amp;"-Q"&amp;ROUNDUP(MONTH($C4323)/3,0))</f>
        <v/>
      </c>
      <c r="L4323">
        <f>IF($G4323&lt;&gt;"ALCOHOL","",IF($K4323="","",$H4323*IFERROR(VLOOKUP($K4323,Drink_Templates!$A:$G,7,FALSE),0)))</f>
        <v/>
      </c>
    </row>
    <row r="4324" ht="15" customHeight="1">
      <c r="C4324">
        <f>IF($B4324="","",INT($B4324))</f>
        <v/>
      </c>
      <c r="D4324">
        <f>IF($C4324="","",$C4324-WEEKDAY($C4324,2)+1)</f>
        <v/>
      </c>
      <c r="E4324">
        <f>IF($C4324="","",DATE(YEAR($C4324),MONTH($C4324),1))</f>
        <v/>
      </c>
      <c r="F4324">
        <f>IF($C4324="","",YEAR($C4324)&amp;"-Q"&amp;ROUNDUP(MONTH($C4324)/3,0))</f>
        <v/>
      </c>
      <c r="L4324">
        <f>IF($G4324&lt;&gt;"ALCOHOL","",IF($K4324="","",$H4324*IFERROR(VLOOKUP($K4324,Drink_Templates!$A:$G,7,FALSE),0)))</f>
        <v/>
      </c>
    </row>
    <row r="4325" ht="15" customHeight="1">
      <c r="C4325">
        <f>IF($B4325="","",INT($B4325))</f>
        <v/>
      </c>
      <c r="D4325">
        <f>IF($C4325="","",$C4325-WEEKDAY($C4325,2)+1)</f>
        <v/>
      </c>
      <c r="E4325">
        <f>IF($C4325="","",DATE(YEAR($C4325),MONTH($C4325),1))</f>
        <v/>
      </c>
      <c r="F4325">
        <f>IF($C4325="","",YEAR($C4325)&amp;"-Q"&amp;ROUNDUP(MONTH($C4325)/3,0))</f>
        <v/>
      </c>
      <c r="L4325">
        <f>IF($G4325&lt;&gt;"ALCOHOL","",IF($K4325="","",$H4325*IFERROR(VLOOKUP($K4325,Drink_Templates!$A:$G,7,FALSE),0)))</f>
        <v/>
      </c>
    </row>
    <row r="4326" ht="15" customHeight="1">
      <c r="C4326">
        <f>IF($B4326="","",INT($B4326))</f>
        <v/>
      </c>
      <c r="D4326">
        <f>IF($C4326="","",$C4326-WEEKDAY($C4326,2)+1)</f>
        <v/>
      </c>
      <c r="E4326">
        <f>IF($C4326="","",DATE(YEAR($C4326),MONTH($C4326),1))</f>
        <v/>
      </c>
      <c r="F4326">
        <f>IF($C4326="","",YEAR($C4326)&amp;"-Q"&amp;ROUNDUP(MONTH($C4326)/3,0))</f>
        <v/>
      </c>
      <c r="L4326">
        <f>IF($G4326&lt;&gt;"ALCOHOL","",IF($K4326="","",$H4326*IFERROR(VLOOKUP($K4326,Drink_Templates!$A:$G,7,FALSE),0)))</f>
        <v/>
      </c>
    </row>
    <row r="4327" ht="15" customHeight="1">
      <c r="C4327">
        <f>IF($B4327="","",INT($B4327))</f>
        <v/>
      </c>
      <c r="D4327">
        <f>IF($C4327="","",$C4327-WEEKDAY($C4327,2)+1)</f>
        <v/>
      </c>
      <c r="E4327">
        <f>IF($C4327="","",DATE(YEAR($C4327),MONTH($C4327),1))</f>
        <v/>
      </c>
      <c r="F4327">
        <f>IF($C4327="","",YEAR($C4327)&amp;"-Q"&amp;ROUNDUP(MONTH($C4327)/3,0))</f>
        <v/>
      </c>
      <c r="L4327">
        <f>IF($G4327&lt;&gt;"ALCOHOL","",IF($K4327="","",$H4327*IFERROR(VLOOKUP($K4327,Drink_Templates!$A:$G,7,FALSE),0)))</f>
        <v/>
      </c>
    </row>
    <row r="4328" ht="15" customHeight="1">
      <c r="C4328">
        <f>IF($B4328="","",INT($B4328))</f>
        <v/>
      </c>
      <c r="D4328">
        <f>IF($C4328="","",$C4328-WEEKDAY($C4328,2)+1)</f>
        <v/>
      </c>
      <c r="E4328">
        <f>IF($C4328="","",DATE(YEAR($C4328),MONTH($C4328),1))</f>
        <v/>
      </c>
      <c r="F4328">
        <f>IF($C4328="","",YEAR($C4328)&amp;"-Q"&amp;ROUNDUP(MONTH($C4328)/3,0))</f>
        <v/>
      </c>
      <c r="L4328">
        <f>IF($G4328&lt;&gt;"ALCOHOL","",IF($K4328="","",$H4328*IFERROR(VLOOKUP($K4328,Drink_Templates!$A:$G,7,FALSE),0)))</f>
        <v/>
      </c>
    </row>
    <row r="4329" ht="15" customHeight="1">
      <c r="C4329">
        <f>IF($B4329="","",INT($B4329))</f>
        <v/>
      </c>
      <c r="D4329">
        <f>IF($C4329="","",$C4329-WEEKDAY($C4329,2)+1)</f>
        <v/>
      </c>
      <c r="E4329">
        <f>IF($C4329="","",DATE(YEAR($C4329),MONTH($C4329),1))</f>
        <v/>
      </c>
      <c r="F4329">
        <f>IF($C4329="","",YEAR($C4329)&amp;"-Q"&amp;ROUNDUP(MONTH($C4329)/3,0))</f>
        <v/>
      </c>
      <c r="L4329">
        <f>IF($G4329&lt;&gt;"ALCOHOL","",IF($K4329="","",$H4329*IFERROR(VLOOKUP($K4329,Drink_Templates!$A:$G,7,FALSE),0)))</f>
        <v/>
      </c>
    </row>
    <row r="4330" ht="15" customHeight="1">
      <c r="C4330">
        <f>IF($B4330="","",INT($B4330))</f>
        <v/>
      </c>
      <c r="D4330">
        <f>IF($C4330="","",$C4330-WEEKDAY($C4330,2)+1)</f>
        <v/>
      </c>
      <c r="E4330">
        <f>IF($C4330="","",DATE(YEAR($C4330),MONTH($C4330),1))</f>
        <v/>
      </c>
      <c r="F4330">
        <f>IF($C4330="","",YEAR($C4330)&amp;"-Q"&amp;ROUNDUP(MONTH($C4330)/3,0))</f>
        <v/>
      </c>
      <c r="L4330">
        <f>IF($G4330&lt;&gt;"ALCOHOL","",IF($K4330="","",$H4330*IFERROR(VLOOKUP($K4330,Drink_Templates!$A:$G,7,FALSE),0)))</f>
        <v/>
      </c>
    </row>
    <row r="4331" ht="15" customHeight="1">
      <c r="C4331">
        <f>IF($B4331="","",INT($B4331))</f>
        <v/>
      </c>
      <c r="D4331">
        <f>IF($C4331="","",$C4331-WEEKDAY($C4331,2)+1)</f>
        <v/>
      </c>
      <c r="E4331">
        <f>IF($C4331="","",DATE(YEAR($C4331),MONTH($C4331),1))</f>
        <v/>
      </c>
      <c r="F4331">
        <f>IF($C4331="","",YEAR($C4331)&amp;"-Q"&amp;ROUNDUP(MONTH($C4331)/3,0))</f>
        <v/>
      </c>
      <c r="L4331">
        <f>IF($G4331&lt;&gt;"ALCOHOL","",IF($K4331="","",$H4331*IFERROR(VLOOKUP($K4331,Drink_Templates!$A:$G,7,FALSE),0)))</f>
        <v/>
      </c>
    </row>
    <row r="4332" ht="15" customHeight="1">
      <c r="C4332">
        <f>IF($B4332="","",INT($B4332))</f>
        <v/>
      </c>
      <c r="D4332">
        <f>IF($C4332="","",$C4332-WEEKDAY($C4332,2)+1)</f>
        <v/>
      </c>
      <c r="E4332">
        <f>IF($C4332="","",DATE(YEAR($C4332),MONTH($C4332),1))</f>
        <v/>
      </c>
      <c r="F4332">
        <f>IF($C4332="","",YEAR($C4332)&amp;"-Q"&amp;ROUNDUP(MONTH($C4332)/3,0))</f>
        <v/>
      </c>
      <c r="L4332">
        <f>IF($G4332&lt;&gt;"ALCOHOL","",IF($K4332="","",$H4332*IFERROR(VLOOKUP($K4332,Drink_Templates!$A:$G,7,FALSE),0)))</f>
        <v/>
      </c>
    </row>
    <row r="4333" ht="15" customHeight="1">
      <c r="C4333">
        <f>IF($B4333="","",INT($B4333))</f>
        <v/>
      </c>
      <c r="D4333">
        <f>IF($C4333="","",$C4333-WEEKDAY($C4333,2)+1)</f>
        <v/>
      </c>
      <c r="E4333">
        <f>IF($C4333="","",DATE(YEAR($C4333),MONTH($C4333),1))</f>
        <v/>
      </c>
      <c r="F4333">
        <f>IF($C4333="","",YEAR($C4333)&amp;"-Q"&amp;ROUNDUP(MONTH($C4333)/3,0))</f>
        <v/>
      </c>
      <c r="L4333">
        <f>IF($G4333&lt;&gt;"ALCOHOL","",IF($K4333="","",$H4333*IFERROR(VLOOKUP($K4333,Drink_Templates!$A:$G,7,FALSE),0)))</f>
        <v/>
      </c>
    </row>
    <row r="4334" ht="15" customHeight="1">
      <c r="C4334">
        <f>IF($B4334="","",INT($B4334))</f>
        <v/>
      </c>
      <c r="D4334">
        <f>IF($C4334="","",$C4334-WEEKDAY($C4334,2)+1)</f>
        <v/>
      </c>
      <c r="E4334">
        <f>IF($C4334="","",DATE(YEAR($C4334),MONTH($C4334),1))</f>
        <v/>
      </c>
      <c r="F4334">
        <f>IF($C4334="","",YEAR($C4334)&amp;"-Q"&amp;ROUNDUP(MONTH($C4334)/3,0))</f>
        <v/>
      </c>
      <c r="L4334">
        <f>IF($G4334&lt;&gt;"ALCOHOL","",IF($K4334="","",$H4334*IFERROR(VLOOKUP($K4334,Drink_Templates!$A:$G,7,FALSE),0)))</f>
        <v/>
      </c>
    </row>
    <row r="4335" ht="15" customHeight="1">
      <c r="C4335">
        <f>IF($B4335="","",INT($B4335))</f>
        <v/>
      </c>
      <c r="D4335">
        <f>IF($C4335="","",$C4335-WEEKDAY($C4335,2)+1)</f>
        <v/>
      </c>
      <c r="E4335">
        <f>IF($C4335="","",DATE(YEAR($C4335),MONTH($C4335),1))</f>
        <v/>
      </c>
      <c r="F4335">
        <f>IF($C4335="","",YEAR($C4335)&amp;"-Q"&amp;ROUNDUP(MONTH($C4335)/3,0))</f>
        <v/>
      </c>
      <c r="L4335">
        <f>IF($G4335&lt;&gt;"ALCOHOL","",IF($K4335="","",$H4335*IFERROR(VLOOKUP($K4335,Drink_Templates!$A:$G,7,FALSE),0)))</f>
        <v/>
      </c>
    </row>
    <row r="4336" ht="15" customHeight="1">
      <c r="C4336">
        <f>IF($B4336="","",INT($B4336))</f>
        <v/>
      </c>
      <c r="D4336">
        <f>IF($C4336="","",$C4336-WEEKDAY($C4336,2)+1)</f>
        <v/>
      </c>
      <c r="E4336">
        <f>IF($C4336="","",DATE(YEAR($C4336),MONTH($C4336),1))</f>
        <v/>
      </c>
      <c r="F4336">
        <f>IF($C4336="","",YEAR($C4336)&amp;"-Q"&amp;ROUNDUP(MONTH($C4336)/3,0))</f>
        <v/>
      </c>
      <c r="L4336">
        <f>IF($G4336&lt;&gt;"ALCOHOL","",IF($K4336="","",$H4336*IFERROR(VLOOKUP($K4336,Drink_Templates!$A:$G,7,FALSE),0)))</f>
        <v/>
      </c>
    </row>
    <row r="4337" ht="15" customHeight="1">
      <c r="C4337">
        <f>IF($B4337="","",INT($B4337))</f>
        <v/>
      </c>
      <c r="D4337">
        <f>IF($C4337="","",$C4337-WEEKDAY($C4337,2)+1)</f>
        <v/>
      </c>
      <c r="E4337">
        <f>IF($C4337="","",DATE(YEAR($C4337),MONTH($C4337),1))</f>
        <v/>
      </c>
      <c r="F4337">
        <f>IF($C4337="","",YEAR($C4337)&amp;"-Q"&amp;ROUNDUP(MONTH($C4337)/3,0))</f>
        <v/>
      </c>
      <c r="L4337">
        <f>IF($G4337&lt;&gt;"ALCOHOL","",IF($K4337="","",$H4337*IFERROR(VLOOKUP($K4337,Drink_Templates!$A:$G,7,FALSE),0)))</f>
        <v/>
      </c>
    </row>
    <row r="4338" ht="15" customHeight="1">
      <c r="C4338">
        <f>IF($B4338="","",INT($B4338))</f>
        <v/>
      </c>
      <c r="D4338">
        <f>IF($C4338="","",$C4338-WEEKDAY($C4338,2)+1)</f>
        <v/>
      </c>
      <c r="E4338">
        <f>IF($C4338="","",DATE(YEAR($C4338),MONTH($C4338),1))</f>
        <v/>
      </c>
      <c r="F4338">
        <f>IF($C4338="","",YEAR($C4338)&amp;"-Q"&amp;ROUNDUP(MONTH($C4338)/3,0))</f>
        <v/>
      </c>
      <c r="L4338">
        <f>IF($G4338&lt;&gt;"ALCOHOL","",IF($K4338="","",$H4338*IFERROR(VLOOKUP($K4338,Drink_Templates!$A:$G,7,FALSE),0)))</f>
        <v/>
      </c>
    </row>
    <row r="4339" ht="15" customHeight="1">
      <c r="C4339">
        <f>IF($B4339="","",INT($B4339))</f>
        <v/>
      </c>
      <c r="D4339">
        <f>IF($C4339="","",$C4339-WEEKDAY($C4339,2)+1)</f>
        <v/>
      </c>
      <c r="E4339">
        <f>IF($C4339="","",DATE(YEAR($C4339),MONTH($C4339),1))</f>
        <v/>
      </c>
      <c r="F4339">
        <f>IF($C4339="","",YEAR($C4339)&amp;"-Q"&amp;ROUNDUP(MONTH($C4339)/3,0))</f>
        <v/>
      </c>
      <c r="L4339">
        <f>IF($G4339&lt;&gt;"ALCOHOL","",IF($K4339="","",$H4339*IFERROR(VLOOKUP($K4339,Drink_Templates!$A:$G,7,FALSE),0)))</f>
        <v/>
      </c>
    </row>
    <row r="4340" ht="15" customHeight="1">
      <c r="C4340">
        <f>IF($B4340="","",INT($B4340))</f>
        <v/>
      </c>
      <c r="D4340">
        <f>IF($C4340="","",$C4340-WEEKDAY($C4340,2)+1)</f>
        <v/>
      </c>
      <c r="E4340">
        <f>IF($C4340="","",DATE(YEAR($C4340),MONTH($C4340),1))</f>
        <v/>
      </c>
      <c r="F4340">
        <f>IF($C4340="","",YEAR($C4340)&amp;"-Q"&amp;ROUNDUP(MONTH($C4340)/3,0))</f>
        <v/>
      </c>
      <c r="L4340">
        <f>IF($G4340&lt;&gt;"ALCOHOL","",IF($K4340="","",$H4340*IFERROR(VLOOKUP($K4340,Drink_Templates!$A:$G,7,FALSE),0)))</f>
        <v/>
      </c>
    </row>
    <row r="4341" ht="15" customHeight="1">
      <c r="C4341">
        <f>IF($B4341="","",INT($B4341))</f>
        <v/>
      </c>
      <c r="D4341">
        <f>IF($C4341="","",$C4341-WEEKDAY($C4341,2)+1)</f>
        <v/>
      </c>
      <c r="E4341">
        <f>IF($C4341="","",DATE(YEAR($C4341),MONTH($C4341),1))</f>
        <v/>
      </c>
      <c r="F4341">
        <f>IF($C4341="","",YEAR($C4341)&amp;"-Q"&amp;ROUNDUP(MONTH($C4341)/3,0))</f>
        <v/>
      </c>
      <c r="L4341">
        <f>IF($G4341&lt;&gt;"ALCOHOL","",IF($K4341="","",$H4341*IFERROR(VLOOKUP($K4341,Drink_Templates!$A:$G,7,FALSE),0)))</f>
        <v/>
      </c>
    </row>
    <row r="4342" ht="15" customHeight="1">
      <c r="C4342">
        <f>IF($B4342="","",INT($B4342))</f>
        <v/>
      </c>
      <c r="D4342">
        <f>IF($C4342="","",$C4342-WEEKDAY($C4342,2)+1)</f>
        <v/>
      </c>
      <c r="E4342">
        <f>IF($C4342="","",DATE(YEAR($C4342),MONTH($C4342),1))</f>
        <v/>
      </c>
      <c r="F4342">
        <f>IF($C4342="","",YEAR($C4342)&amp;"-Q"&amp;ROUNDUP(MONTH($C4342)/3,0))</f>
        <v/>
      </c>
      <c r="L4342">
        <f>IF($G4342&lt;&gt;"ALCOHOL","",IF($K4342="","",$H4342*IFERROR(VLOOKUP($K4342,Drink_Templates!$A:$G,7,FALSE),0)))</f>
        <v/>
      </c>
    </row>
    <row r="4343" ht="15" customHeight="1">
      <c r="C4343">
        <f>IF($B4343="","",INT($B4343))</f>
        <v/>
      </c>
      <c r="D4343">
        <f>IF($C4343="","",$C4343-WEEKDAY($C4343,2)+1)</f>
        <v/>
      </c>
      <c r="E4343">
        <f>IF($C4343="","",DATE(YEAR($C4343),MONTH($C4343),1))</f>
        <v/>
      </c>
      <c r="F4343">
        <f>IF($C4343="","",YEAR($C4343)&amp;"-Q"&amp;ROUNDUP(MONTH($C4343)/3,0))</f>
        <v/>
      </c>
      <c r="L4343">
        <f>IF($G4343&lt;&gt;"ALCOHOL","",IF($K4343="","",$H4343*IFERROR(VLOOKUP($K4343,Drink_Templates!$A:$G,7,FALSE),0)))</f>
        <v/>
      </c>
    </row>
    <row r="4344" ht="15" customHeight="1">
      <c r="C4344">
        <f>IF($B4344="","",INT($B4344))</f>
        <v/>
      </c>
      <c r="D4344">
        <f>IF($C4344="","",$C4344-WEEKDAY($C4344,2)+1)</f>
        <v/>
      </c>
      <c r="E4344">
        <f>IF($C4344="","",DATE(YEAR($C4344),MONTH($C4344),1))</f>
        <v/>
      </c>
      <c r="F4344">
        <f>IF($C4344="","",YEAR($C4344)&amp;"-Q"&amp;ROUNDUP(MONTH($C4344)/3,0))</f>
        <v/>
      </c>
      <c r="L4344">
        <f>IF($G4344&lt;&gt;"ALCOHOL","",IF($K4344="","",$H4344*IFERROR(VLOOKUP($K4344,Drink_Templates!$A:$G,7,FALSE),0)))</f>
        <v/>
      </c>
    </row>
    <row r="4345" ht="15" customHeight="1">
      <c r="C4345">
        <f>IF($B4345="","",INT($B4345))</f>
        <v/>
      </c>
      <c r="D4345">
        <f>IF($C4345="","",$C4345-WEEKDAY($C4345,2)+1)</f>
        <v/>
      </c>
      <c r="E4345">
        <f>IF($C4345="","",DATE(YEAR($C4345),MONTH($C4345),1))</f>
        <v/>
      </c>
      <c r="F4345">
        <f>IF($C4345="","",YEAR($C4345)&amp;"-Q"&amp;ROUNDUP(MONTH($C4345)/3,0))</f>
        <v/>
      </c>
      <c r="L4345">
        <f>IF($G4345&lt;&gt;"ALCOHOL","",IF($K4345="","",$H4345*IFERROR(VLOOKUP($K4345,Drink_Templates!$A:$G,7,FALSE),0)))</f>
        <v/>
      </c>
    </row>
    <row r="4346" ht="15" customHeight="1">
      <c r="C4346">
        <f>IF($B4346="","",INT($B4346))</f>
        <v/>
      </c>
      <c r="D4346">
        <f>IF($C4346="","",$C4346-WEEKDAY($C4346,2)+1)</f>
        <v/>
      </c>
      <c r="E4346">
        <f>IF($C4346="","",DATE(YEAR($C4346),MONTH($C4346),1))</f>
        <v/>
      </c>
      <c r="F4346">
        <f>IF($C4346="","",YEAR($C4346)&amp;"-Q"&amp;ROUNDUP(MONTH($C4346)/3,0))</f>
        <v/>
      </c>
      <c r="L4346">
        <f>IF($G4346&lt;&gt;"ALCOHOL","",IF($K4346="","",$H4346*IFERROR(VLOOKUP($K4346,Drink_Templates!$A:$G,7,FALSE),0)))</f>
        <v/>
      </c>
    </row>
    <row r="4347" ht="15" customHeight="1">
      <c r="C4347">
        <f>IF($B4347="","",INT($B4347))</f>
        <v/>
      </c>
      <c r="D4347">
        <f>IF($C4347="","",$C4347-WEEKDAY($C4347,2)+1)</f>
        <v/>
      </c>
      <c r="E4347">
        <f>IF($C4347="","",DATE(YEAR($C4347),MONTH($C4347),1))</f>
        <v/>
      </c>
      <c r="F4347">
        <f>IF($C4347="","",YEAR($C4347)&amp;"-Q"&amp;ROUNDUP(MONTH($C4347)/3,0))</f>
        <v/>
      </c>
      <c r="L4347">
        <f>IF($G4347&lt;&gt;"ALCOHOL","",IF($K4347="","",$H4347*IFERROR(VLOOKUP($K4347,Drink_Templates!$A:$G,7,FALSE),0)))</f>
        <v/>
      </c>
    </row>
    <row r="4348" ht="15" customHeight="1">
      <c r="C4348">
        <f>IF($B4348="","",INT($B4348))</f>
        <v/>
      </c>
      <c r="D4348">
        <f>IF($C4348="","",$C4348-WEEKDAY($C4348,2)+1)</f>
        <v/>
      </c>
      <c r="E4348">
        <f>IF($C4348="","",DATE(YEAR($C4348),MONTH($C4348),1))</f>
        <v/>
      </c>
      <c r="F4348">
        <f>IF($C4348="","",YEAR($C4348)&amp;"-Q"&amp;ROUNDUP(MONTH($C4348)/3,0))</f>
        <v/>
      </c>
      <c r="L4348">
        <f>IF($G4348&lt;&gt;"ALCOHOL","",IF($K4348="","",$H4348*IFERROR(VLOOKUP($K4348,Drink_Templates!$A:$G,7,FALSE),0)))</f>
        <v/>
      </c>
    </row>
    <row r="4349" ht="15" customHeight="1">
      <c r="C4349">
        <f>IF($B4349="","",INT($B4349))</f>
        <v/>
      </c>
      <c r="D4349">
        <f>IF($C4349="","",$C4349-WEEKDAY($C4349,2)+1)</f>
        <v/>
      </c>
      <c r="E4349">
        <f>IF($C4349="","",DATE(YEAR($C4349),MONTH($C4349),1))</f>
        <v/>
      </c>
      <c r="F4349">
        <f>IF($C4349="","",YEAR($C4349)&amp;"-Q"&amp;ROUNDUP(MONTH($C4349)/3,0))</f>
        <v/>
      </c>
      <c r="L4349">
        <f>IF($G4349&lt;&gt;"ALCOHOL","",IF($K4349="","",$H4349*IFERROR(VLOOKUP($K4349,Drink_Templates!$A:$G,7,FALSE),0)))</f>
        <v/>
      </c>
    </row>
    <row r="4350" ht="15" customHeight="1">
      <c r="C4350">
        <f>IF($B4350="","",INT($B4350))</f>
        <v/>
      </c>
      <c r="D4350">
        <f>IF($C4350="","",$C4350-WEEKDAY($C4350,2)+1)</f>
        <v/>
      </c>
      <c r="E4350">
        <f>IF($C4350="","",DATE(YEAR($C4350),MONTH($C4350),1))</f>
        <v/>
      </c>
      <c r="F4350">
        <f>IF($C4350="","",YEAR($C4350)&amp;"-Q"&amp;ROUNDUP(MONTH($C4350)/3,0))</f>
        <v/>
      </c>
      <c r="L4350">
        <f>IF($G4350&lt;&gt;"ALCOHOL","",IF($K4350="","",$H4350*IFERROR(VLOOKUP($K4350,Drink_Templates!$A:$G,7,FALSE),0)))</f>
        <v/>
      </c>
    </row>
    <row r="4351" ht="15" customHeight="1">
      <c r="C4351">
        <f>IF($B4351="","",INT($B4351))</f>
        <v/>
      </c>
      <c r="D4351">
        <f>IF($C4351="","",$C4351-WEEKDAY($C4351,2)+1)</f>
        <v/>
      </c>
      <c r="E4351">
        <f>IF($C4351="","",DATE(YEAR($C4351),MONTH($C4351),1))</f>
        <v/>
      </c>
      <c r="F4351">
        <f>IF($C4351="","",YEAR($C4351)&amp;"-Q"&amp;ROUNDUP(MONTH($C4351)/3,0))</f>
        <v/>
      </c>
      <c r="L4351">
        <f>IF($G4351&lt;&gt;"ALCOHOL","",IF($K4351="","",$H4351*IFERROR(VLOOKUP($K4351,Drink_Templates!$A:$G,7,FALSE),0)))</f>
        <v/>
      </c>
    </row>
    <row r="4352" ht="15" customHeight="1">
      <c r="C4352">
        <f>IF($B4352="","",INT($B4352))</f>
        <v/>
      </c>
      <c r="D4352">
        <f>IF($C4352="","",$C4352-WEEKDAY($C4352,2)+1)</f>
        <v/>
      </c>
      <c r="E4352">
        <f>IF($C4352="","",DATE(YEAR($C4352),MONTH($C4352),1))</f>
        <v/>
      </c>
      <c r="F4352">
        <f>IF($C4352="","",YEAR($C4352)&amp;"-Q"&amp;ROUNDUP(MONTH($C4352)/3,0))</f>
        <v/>
      </c>
      <c r="L4352">
        <f>IF($G4352&lt;&gt;"ALCOHOL","",IF($K4352="","",$H4352*IFERROR(VLOOKUP($K4352,Drink_Templates!$A:$G,7,FALSE),0)))</f>
        <v/>
      </c>
    </row>
    <row r="4353" ht="15" customHeight="1">
      <c r="C4353">
        <f>IF($B4353="","",INT($B4353))</f>
        <v/>
      </c>
      <c r="D4353">
        <f>IF($C4353="","",$C4353-WEEKDAY($C4353,2)+1)</f>
        <v/>
      </c>
      <c r="E4353">
        <f>IF($C4353="","",DATE(YEAR($C4353),MONTH($C4353),1))</f>
        <v/>
      </c>
      <c r="F4353">
        <f>IF($C4353="","",YEAR($C4353)&amp;"-Q"&amp;ROUNDUP(MONTH($C4353)/3,0))</f>
        <v/>
      </c>
      <c r="L4353">
        <f>IF($G4353&lt;&gt;"ALCOHOL","",IF($K4353="","",$H4353*IFERROR(VLOOKUP($K4353,Drink_Templates!$A:$G,7,FALSE),0)))</f>
        <v/>
      </c>
    </row>
    <row r="4354" ht="15" customHeight="1">
      <c r="C4354">
        <f>IF($B4354="","",INT($B4354))</f>
        <v/>
      </c>
      <c r="D4354">
        <f>IF($C4354="","",$C4354-WEEKDAY($C4354,2)+1)</f>
        <v/>
      </c>
      <c r="E4354">
        <f>IF($C4354="","",DATE(YEAR($C4354),MONTH($C4354),1))</f>
        <v/>
      </c>
      <c r="F4354">
        <f>IF($C4354="","",YEAR($C4354)&amp;"-Q"&amp;ROUNDUP(MONTH($C4354)/3,0))</f>
        <v/>
      </c>
      <c r="L4354">
        <f>IF($G4354&lt;&gt;"ALCOHOL","",IF($K4354="","",$H4354*IFERROR(VLOOKUP($K4354,Drink_Templates!$A:$G,7,FALSE),0)))</f>
        <v/>
      </c>
    </row>
    <row r="4355" ht="15" customHeight="1">
      <c r="C4355">
        <f>IF($B4355="","",INT($B4355))</f>
        <v/>
      </c>
      <c r="D4355">
        <f>IF($C4355="","",$C4355-WEEKDAY($C4355,2)+1)</f>
        <v/>
      </c>
      <c r="E4355">
        <f>IF($C4355="","",DATE(YEAR($C4355),MONTH($C4355),1))</f>
        <v/>
      </c>
      <c r="F4355">
        <f>IF($C4355="","",YEAR($C4355)&amp;"-Q"&amp;ROUNDUP(MONTH($C4355)/3,0))</f>
        <v/>
      </c>
      <c r="L4355">
        <f>IF($G4355&lt;&gt;"ALCOHOL","",IF($K4355="","",$H4355*IFERROR(VLOOKUP($K4355,Drink_Templates!$A:$G,7,FALSE),0)))</f>
        <v/>
      </c>
    </row>
    <row r="4356" ht="15" customHeight="1">
      <c r="C4356">
        <f>IF($B4356="","",INT($B4356))</f>
        <v/>
      </c>
      <c r="D4356">
        <f>IF($C4356="","",$C4356-WEEKDAY($C4356,2)+1)</f>
        <v/>
      </c>
      <c r="E4356">
        <f>IF($C4356="","",DATE(YEAR($C4356),MONTH($C4356),1))</f>
        <v/>
      </c>
      <c r="F4356">
        <f>IF($C4356="","",YEAR($C4356)&amp;"-Q"&amp;ROUNDUP(MONTH($C4356)/3,0))</f>
        <v/>
      </c>
      <c r="L4356">
        <f>IF($G4356&lt;&gt;"ALCOHOL","",IF($K4356="","",$H4356*IFERROR(VLOOKUP($K4356,Drink_Templates!$A:$G,7,FALSE),0)))</f>
        <v/>
      </c>
    </row>
    <row r="4357" ht="15" customHeight="1">
      <c r="C4357">
        <f>IF($B4357="","",INT($B4357))</f>
        <v/>
      </c>
      <c r="D4357">
        <f>IF($C4357="","",$C4357-WEEKDAY($C4357,2)+1)</f>
        <v/>
      </c>
      <c r="E4357">
        <f>IF($C4357="","",DATE(YEAR($C4357),MONTH($C4357),1))</f>
        <v/>
      </c>
      <c r="F4357">
        <f>IF($C4357="","",YEAR($C4357)&amp;"-Q"&amp;ROUNDUP(MONTH($C4357)/3,0))</f>
        <v/>
      </c>
      <c r="L4357">
        <f>IF($G4357&lt;&gt;"ALCOHOL","",IF($K4357="","",$H4357*IFERROR(VLOOKUP($K4357,Drink_Templates!$A:$G,7,FALSE),0)))</f>
        <v/>
      </c>
    </row>
    <row r="4358" ht="15" customHeight="1">
      <c r="C4358">
        <f>IF($B4358="","",INT($B4358))</f>
        <v/>
      </c>
      <c r="D4358">
        <f>IF($C4358="","",$C4358-WEEKDAY($C4358,2)+1)</f>
        <v/>
      </c>
      <c r="E4358">
        <f>IF($C4358="","",DATE(YEAR($C4358),MONTH($C4358),1))</f>
        <v/>
      </c>
      <c r="F4358">
        <f>IF($C4358="","",YEAR($C4358)&amp;"-Q"&amp;ROUNDUP(MONTH($C4358)/3,0))</f>
        <v/>
      </c>
      <c r="L4358">
        <f>IF($G4358&lt;&gt;"ALCOHOL","",IF($K4358="","",$H4358*IFERROR(VLOOKUP($K4358,Drink_Templates!$A:$G,7,FALSE),0)))</f>
        <v/>
      </c>
    </row>
    <row r="4359" ht="15" customHeight="1">
      <c r="C4359">
        <f>IF($B4359="","",INT($B4359))</f>
        <v/>
      </c>
      <c r="D4359">
        <f>IF($C4359="","",$C4359-WEEKDAY($C4359,2)+1)</f>
        <v/>
      </c>
      <c r="E4359">
        <f>IF($C4359="","",DATE(YEAR($C4359),MONTH($C4359),1))</f>
        <v/>
      </c>
      <c r="F4359">
        <f>IF($C4359="","",YEAR($C4359)&amp;"-Q"&amp;ROUNDUP(MONTH($C4359)/3,0))</f>
        <v/>
      </c>
      <c r="L4359">
        <f>IF($G4359&lt;&gt;"ALCOHOL","",IF($K4359="","",$H4359*IFERROR(VLOOKUP($K4359,Drink_Templates!$A:$G,7,FALSE),0)))</f>
        <v/>
      </c>
    </row>
    <row r="4360" ht="15" customHeight="1">
      <c r="C4360">
        <f>IF($B4360="","",INT($B4360))</f>
        <v/>
      </c>
      <c r="D4360">
        <f>IF($C4360="","",$C4360-WEEKDAY($C4360,2)+1)</f>
        <v/>
      </c>
      <c r="E4360">
        <f>IF($C4360="","",DATE(YEAR($C4360),MONTH($C4360),1))</f>
        <v/>
      </c>
      <c r="F4360">
        <f>IF($C4360="","",YEAR($C4360)&amp;"-Q"&amp;ROUNDUP(MONTH($C4360)/3,0))</f>
        <v/>
      </c>
      <c r="L4360">
        <f>IF($G4360&lt;&gt;"ALCOHOL","",IF($K4360="","",$H4360*IFERROR(VLOOKUP($K4360,Drink_Templates!$A:$G,7,FALSE),0)))</f>
        <v/>
      </c>
    </row>
    <row r="4361" ht="15" customHeight="1">
      <c r="C4361">
        <f>IF($B4361="","",INT($B4361))</f>
        <v/>
      </c>
      <c r="D4361">
        <f>IF($C4361="","",$C4361-WEEKDAY($C4361,2)+1)</f>
        <v/>
      </c>
      <c r="E4361">
        <f>IF($C4361="","",DATE(YEAR($C4361),MONTH($C4361),1))</f>
        <v/>
      </c>
      <c r="F4361">
        <f>IF($C4361="","",YEAR($C4361)&amp;"-Q"&amp;ROUNDUP(MONTH($C4361)/3,0))</f>
        <v/>
      </c>
      <c r="L4361">
        <f>IF($G4361&lt;&gt;"ALCOHOL","",IF($K4361="","",$H4361*IFERROR(VLOOKUP($K4361,Drink_Templates!$A:$G,7,FALSE),0)))</f>
        <v/>
      </c>
    </row>
    <row r="4362" ht="15" customHeight="1">
      <c r="C4362">
        <f>IF($B4362="","",INT($B4362))</f>
        <v/>
      </c>
      <c r="D4362">
        <f>IF($C4362="","",$C4362-WEEKDAY($C4362,2)+1)</f>
        <v/>
      </c>
      <c r="E4362">
        <f>IF($C4362="","",DATE(YEAR($C4362),MONTH($C4362),1))</f>
        <v/>
      </c>
      <c r="F4362">
        <f>IF($C4362="","",YEAR($C4362)&amp;"-Q"&amp;ROUNDUP(MONTH($C4362)/3,0))</f>
        <v/>
      </c>
      <c r="L4362">
        <f>IF($G4362&lt;&gt;"ALCOHOL","",IF($K4362="","",$H4362*IFERROR(VLOOKUP($K4362,Drink_Templates!$A:$G,7,FALSE),0)))</f>
        <v/>
      </c>
    </row>
    <row r="4363" ht="15" customHeight="1">
      <c r="C4363">
        <f>IF($B4363="","",INT($B4363))</f>
        <v/>
      </c>
      <c r="D4363">
        <f>IF($C4363="","",$C4363-WEEKDAY($C4363,2)+1)</f>
        <v/>
      </c>
      <c r="E4363">
        <f>IF($C4363="","",DATE(YEAR($C4363),MONTH($C4363),1))</f>
        <v/>
      </c>
      <c r="F4363">
        <f>IF($C4363="","",YEAR($C4363)&amp;"-Q"&amp;ROUNDUP(MONTH($C4363)/3,0))</f>
        <v/>
      </c>
      <c r="L4363">
        <f>IF($G4363&lt;&gt;"ALCOHOL","",IF($K4363="","",$H4363*IFERROR(VLOOKUP($K4363,Drink_Templates!$A:$G,7,FALSE),0)))</f>
        <v/>
      </c>
    </row>
    <row r="4364" ht="15" customHeight="1">
      <c r="C4364">
        <f>IF($B4364="","",INT($B4364))</f>
        <v/>
      </c>
      <c r="D4364">
        <f>IF($C4364="","",$C4364-WEEKDAY($C4364,2)+1)</f>
        <v/>
      </c>
      <c r="E4364">
        <f>IF($C4364="","",DATE(YEAR($C4364),MONTH($C4364),1))</f>
        <v/>
      </c>
      <c r="F4364">
        <f>IF($C4364="","",YEAR($C4364)&amp;"-Q"&amp;ROUNDUP(MONTH($C4364)/3,0))</f>
        <v/>
      </c>
      <c r="L4364">
        <f>IF($G4364&lt;&gt;"ALCOHOL","",IF($K4364="","",$H4364*IFERROR(VLOOKUP($K4364,Drink_Templates!$A:$G,7,FALSE),0)))</f>
        <v/>
      </c>
    </row>
    <row r="4365" ht="15" customHeight="1">
      <c r="C4365">
        <f>IF($B4365="","",INT($B4365))</f>
        <v/>
      </c>
      <c r="D4365">
        <f>IF($C4365="","",$C4365-WEEKDAY($C4365,2)+1)</f>
        <v/>
      </c>
      <c r="E4365">
        <f>IF($C4365="","",DATE(YEAR($C4365),MONTH($C4365),1))</f>
        <v/>
      </c>
      <c r="F4365">
        <f>IF($C4365="","",YEAR($C4365)&amp;"-Q"&amp;ROUNDUP(MONTH($C4365)/3,0))</f>
        <v/>
      </c>
      <c r="L4365">
        <f>IF($G4365&lt;&gt;"ALCOHOL","",IF($K4365="","",$H4365*IFERROR(VLOOKUP($K4365,Drink_Templates!$A:$G,7,FALSE),0)))</f>
        <v/>
      </c>
    </row>
    <row r="4366" ht="15" customHeight="1">
      <c r="C4366">
        <f>IF($B4366="","",INT($B4366))</f>
        <v/>
      </c>
      <c r="D4366">
        <f>IF($C4366="","",$C4366-WEEKDAY($C4366,2)+1)</f>
        <v/>
      </c>
      <c r="E4366">
        <f>IF($C4366="","",DATE(YEAR($C4366),MONTH($C4366),1))</f>
        <v/>
      </c>
      <c r="F4366">
        <f>IF($C4366="","",YEAR($C4366)&amp;"-Q"&amp;ROUNDUP(MONTH($C4366)/3,0))</f>
        <v/>
      </c>
      <c r="L4366">
        <f>IF($G4366&lt;&gt;"ALCOHOL","",IF($K4366="","",$H4366*IFERROR(VLOOKUP($K4366,Drink_Templates!$A:$G,7,FALSE),0)))</f>
        <v/>
      </c>
    </row>
    <row r="4367" ht="15" customHeight="1">
      <c r="C4367">
        <f>IF($B4367="","",INT($B4367))</f>
        <v/>
      </c>
      <c r="D4367">
        <f>IF($C4367="","",$C4367-WEEKDAY($C4367,2)+1)</f>
        <v/>
      </c>
      <c r="E4367">
        <f>IF($C4367="","",DATE(YEAR($C4367),MONTH($C4367),1))</f>
        <v/>
      </c>
      <c r="F4367">
        <f>IF($C4367="","",YEAR($C4367)&amp;"-Q"&amp;ROUNDUP(MONTH($C4367)/3,0))</f>
        <v/>
      </c>
      <c r="L4367">
        <f>IF($G4367&lt;&gt;"ALCOHOL","",IF($K4367="","",$H4367*IFERROR(VLOOKUP($K4367,Drink_Templates!$A:$G,7,FALSE),0)))</f>
        <v/>
      </c>
    </row>
    <row r="4368" ht="15" customHeight="1">
      <c r="C4368">
        <f>IF($B4368="","",INT($B4368))</f>
        <v/>
      </c>
      <c r="D4368">
        <f>IF($C4368="","",$C4368-WEEKDAY($C4368,2)+1)</f>
        <v/>
      </c>
      <c r="E4368">
        <f>IF($C4368="","",DATE(YEAR($C4368),MONTH($C4368),1))</f>
        <v/>
      </c>
      <c r="F4368">
        <f>IF($C4368="","",YEAR($C4368)&amp;"-Q"&amp;ROUNDUP(MONTH($C4368)/3,0))</f>
        <v/>
      </c>
      <c r="L4368">
        <f>IF($G4368&lt;&gt;"ALCOHOL","",IF($K4368="","",$H4368*IFERROR(VLOOKUP($K4368,Drink_Templates!$A:$G,7,FALSE),0)))</f>
        <v/>
      </c>
    </row>
    <row r="4369" ht="15" customHeight="1">
      <c r="C4369">
        <f>IF($B4369="","",INT($B4369))</f>
        <v/>
      </c>
      <c r="D4369">
        <f>IF($C4369="","",$C4369-WEEKDAY($C4369,2)+1)</f>
        <v/>
      </c>
      <c r="E4369">
        <f>IF($C4369="","",DATE(YEAR($C4369),MONTH($C4369),1))</f>
        <v/>
      </c>
      <c r="F4369">
        <f>IF($C4369="","",YEAR($C4369)&amp;"-Q"&amp;ROUNDUP(MONTH($C4369)/3,0))</f>
        <v/>
      </c>
      <c r="L4369">
        <f>IF($G4369&lt;&gt;"ALCOHOL","",IF($K4369="","",$H4369*IFERROR(VLOOKUP($K4369,Drink_Templates!$A:$G,7,FALSE),0)))</f>
        <v/>
      </c>
    </row>
    <row r="4370" ht="15" customHeight="1">
      <c r="C4370">
        <f>IF($B4370="","",INT($B4370))</f>
        <v/>
      </c>
      <c r="D4370">
        <f>IF($C4370="","",$C4370-WEEKDAY($C4370,2)+1)</f>
        <v/>
      </c>
      <c r="E4370">
        <f>IF($C4370="","",DATE(YEAR($C4370),MONTH($C4370),1))</f>
        <v/>
      </c>
      <c r="F4370">
        <f>IF($C4370="","",YEAR($C4370)&amp;"-Q"&amp;ROUNDUP(MONTH($C4370)/3,0))</f>
        <v/>
      </c>
      <c r="L4370">
        <f>IF($G4370&lt;&gt;"ALCOHOL","",IF($K4370="","",$H4370*IFERROR(VLOOKUP($K4370,Drink_Templates!$A:$G,7,FALSE),0)))</f>
        <v/>
      </c>
    </row>
    <row r="4371" ht="15" customHeight="1">
      <c r="C4371">
        <f>IF($B4371="","",INT($B4371))</f>
        <v/>
      </c>
      <c r="D4371">
        <f>IF($C4371="","",$C4371-WEEKDAY($C4371,2)+1)</f>
        <v/>
      </c>
      <c r="E4371">
        <f>IF($C4371="","",DATE(YEAR($C4371),MONTH($C4371),1))</f>
        <v/>
      </c>
      <c r="F4371">
        <f>IF($C4371="","",YEAR($C4371)&amp;"-Q"&amp;ROUNDUP(MONTH($C4371)/3,0))</f>
        <v/>
      </c>
      <c r="L4371">
        <f>IF($G4371&lt;&gt;"ALCOHOL","",IF($K4371="","",$H4371*IFERROR(VLOOKUP($K4371,Drink_Templates!$A:$G,7,FALSE),0)))</f>
        <v/>
      </c>
    </row>
    <row r="4372" ht="15" customHeight="1">
      <c r="C4372">
        <f>IF($B4372="","",INT($B4372))</f>
        <v/>
      </c>
      <c r="D4372">
        <f>IF($C4372="","",$C4372-WEEKDAY($C4372,2)+1)</f>
        <v/>
      </c>
      <c r="E4372">
        <f>IF($C4372="","",DATE(YEAR($C4372),MONTH($C4372),1))</f>
        <v/>
      </c>
      <c r="F4372">
        <f>IF($C4372="","",YEAR($C4372)&amp;"-Q"&amp;ROUNDUP(MONTH($C4372)/3,0))</f>
        <v/>
      </c>
      <c r="L4372">
        <f>IF($G4372&lt;&gt;"ALCOHOL","",IF($K4372="","",$H4372*IFERROR(VLOOKUP($K4372,Drink_Templates!$A:$G,7,FALSE),0)))</f>
        <v/>
      </c>
    </row>
    <row r="4373" ht="15" customHeight="1">
      <c r="C4373">
        <f>IF($B4373="","",INT($B4373))</f>
        <v/>
      </c>
      <c r="D4373">
        <f>IF($C4373="","",$C4373-WEEKDAY($C4373,2)+1)</f>
        <v/>
      </c>
      <c r="E4373">
        <f>IF($C4373="","",DATE(YEAR($C4373),MONTH($C4373),1))</f>
        <v/>
      </c>
      <c r="F4373">
        <f>IF($C4373="","",YEAR($C4373)&amp;"-Q"&amp;ROUNDUP(MONTH($C4373)/3,0))</f>
        <v/>
      </c>
      <c r="L4373">
        <f>IF($G4373&lt;&gt;"ALCOHOL","",IF($K4373="","",$H4373*IFERROR(VLOOKUP($K4373,Drink_Templates!$A:$G,7,FALSE),0)))</f>
        <v/>
      </c>
    </row>
    <row r="4374" ht="15" customHeight="1">
      <c r="C4374">
        <f>IF($B4374="","",INT($B4374))</f>
        <v/>
      </c>
      <c r="D4374">
        <f>IF($C4374="","",$C4374-WEEKDAY($C4374,2)+1)</f>
        <v/>
      </c>
      <c r="E4374">
        <f>IF($C4374="","",DATE(YEAR($C4374),MONTH($C4374),1))</f>
        <v/>
      </c>
      <c r="F4374">
        <f>IF($C4374="","",YEAR($C4374)&amp;"-Q"&amp;ROUNDUP(MONTH($C4374)/3,0))</f>
        <v/>
      </c>
      <c r="L4374">
        <f>IF($G4374&lt;&gt;"ALCOHOL","",IF($K4374="","",$H4374*IFERROR(VLOOKUP($K4374,Drink_Templates!$A:$G,7,FALSE),0)))</f>
        <v/>
      </c>
    </row>
    <row r="4375" ht="15" customHeight="1">
      <c r="C4375">
        <f>IF($B4375="","",INT($B4375))</f>
        <v/>
      </c>
      <c r="D4375">
        <f>IF($C4375="","",$C4375-WEEKDAY($C4375,2)+1)</f>
        <v/>
      </c>
      <c r="E4375">
        <f>IF($C4375="","",DATE(YEAR($C4375),MONTH($C4375),1))</f>
        <v/>
      </c>
      <c r="F4375">
        <f>IF($C4375="","",YEAR($C4375)&amp;"-Q"&amp;ROUNDUP(MONTH($C4375)/3,0))</f>
        <v/>
      </c>
      <c r="L4375">
        <f>IF($G4375&lt;&gt;"ALCOHOL","",IF($K4375="","",$H4375*IFERROR(VLOOKUP($K4375,Drink_Templates!$A:$G,7,FALSE),0)))</f>
        <v/>
      </c>
    </row>
    <row r="4376" ht="15" customHeight="1">
      <c r="C4376">
        <f>IF($B4376="","",INT($B4376))</f>
        <v/>
      </c>
      <c r="D4376">
        <f>IF($C4376="","",$C4376-WEEKDAY($C4376,2)+1)</f>
        <v/>
      </c>
      <c r="E4376">
        <f>IF($C4376="","",DATE(YEAR($C4376),MONTH($C4376),1))</f>
        <v/>
      </c>
      <c r="F4376">
        <f>IF($C4376="","",YEAR($C4376)&amp;"-Q"&amp;ROUNDUP(MONTH($C4376)/3,0))</f>
        <v/>
      </c>
      <c r="L4376">
        <f>IF($G4376&lt;&gt;"ALCOHOL","",IF($K4376="","",$H4376*IFERROR(VLOOKUP($K4376,Drink_Templates!$A:$G,7,FALSE),0)))</f>
        <v/>
      </c>
    </row>
    <row r="4377" ht="15" customHeight="1">
      <c r="C4377">
        <f>IF($B4377="","",INT($B4377))</f>
        <v/>
      </c>
      <c r="D4377">
        <f>IF($C4377="","",$C4377-WEEKDAY($C4377,2)+1)</f>
        <v/>
      </c>
      <c r="E4377">
        <f>IF($C4377="","",DATE(YEAR($C4377),MONTH($C4377),1))</f>
        <v/>
      </c>
      <c r="F4377">
        <f>IF($C4377="","",YEAR($C4377)&amp;"-Q"&amp;ROUNDUP(MONTH($C4377)/3,0))</f>
        <v/>
      </c>
      <c r="L4377">
        <f>IF($G4377&lt;&gt;"ALCOHOL","",IF($K4377="","",$H4377*IFERROR(VLOOKUP($K4377,Drink_Templates!$A:$G,7,FALSE),0)))</f>
        <v/>
      </c>
    </row>
    <row r="4378" ht="15" customHeight="1">
      <c r="C4378">
        <f>IF($B4378="","",INT($B4378))</f>
        <v/>
      </c>
      <c r="D4378">
        <f>IF($C4378="","",$C4378-WEEKDAY($C4378,2)+1)</f>
        <v/>
      </c>
      <c r="E4378">
        <f>IF($C4378="","",DATE(YEAR($C4378),MONTH($C4378),1))</f>
        <v/>
      </c>
      <c r="F4378">
        <f>IF($C4378="","",YEAR($C4378)&amp;"-Q"&amp;ROUNDUP(MONTH($C4378)/3,0))</f>
        <v/>
      </c>
      <c r="L4378">
        <f>IF($G4378&lt;&gt;"ALCOHOL","",IF($K4378="","",$H4378*IFERROR(VLOOKUP($K4378,Drink_Templates!$A:$G,7,FALSE),0)))</f>
        <v/>
      </c>
    </row>
    <row r="4379" ht="15" customHeight="1">
      <c r="C4379">
        <f>IF($B4379="","",INT($B4379))</f>
        <v/>
      </c>
      <c r="D4379">
        <f>IF($C4379="","",$C4379-WEEKDAY($C4379,2)+1)</f>
        <v/>
      </c>
      <c r="E4379">
        <f>IF($C4379="","",DATE(YEAR($C4379),MONTH($C4379),1))</f>
        <v/>
      </c>
      <c r="F4379">
        <f>IF($C4379="","",YEAR($C4379)&amp;"-Q"&amp;ROUNDUP(MONTH($C4379)/3,0))</f>
        <v/>
      </c>
      <c r="L4379">
        <f>IF($G4379&lt;&gt;"ALCOHOL","",IF($K4379="","",$H4379*IFERROR(VLOOKUP($K4379,Drink_Templates!$A:$G,7,FALSE),0)))</f>
        <v/>
      </c>
    </row>
    <row r="4380" ht="15" customHeight="1">
      <c r="C4380">
        <f>IF($B4380="","",INT($B4380))</f>
        <v/>
      </c>
      <c r="D4380">
        <f>IF($C4380="","",$C4380-WEEKDAY($C4380,2)+1)</f>
        <v/>
      </c>
      <c r="E4380">
        <f>IF($C4380="","",DATE(YEAR($C4380),MONTH($C4380),1))</f>
        <v/>
      </c>
      <c r="F4380">
        <f>IF($C4380="","",YEAR($C4380)&amp;"-Q"&amp;ROUNDUP(MONTH($C4380)/3,0))</f>
        <v/>
      </c>
      <c r="L4380">
        <f>IF($G4380&lt;&gt;"ALCOHOL","",IF($K4380="","",$H4380*IFERROR(VLOOKUP($K4380,Drink_Templates!$A:$G,7,FALSE),0)))</f>
        <v/>
      </c>
    </row>
    <row r="4381" ht="15" customHeight="1">
      <c r="C4381">
        <f>IF($B4381="","",INT($B4381))</f>
        <v/>
      </c>
      <c r="D4381">
        <f>IF($C4381="","",$C4381-WEEKDAY($C4381,2)+1)</f>
        <v/>
      </c>
      <c r="E4381">
        <f>IF($C4381="","",DATE(YEAR($C4381),MONTH($C4381),1))</f>
        <v/>
      </c>
      <c r="F4381">
        <f>IF($C4381="","",YEAR($C4381)&amp;"-Q"&amp;ROUNDUP(MONTH($C4381)/3,0))</f>
        <v/>
      </c>
      <c r="L4381">
        <f>IF($G4381&lt;&gt;"ALCOHOL","",IF($K4381="","",$H4381*IFERROR(VLOOKUP($K4381,Drink_Templates!$A:$G,7,FALSE),0)))</f>
        <v/>
      </c>
    </row>
    <row r="4382" ht="15" customHeight="1">
      <c r="C4382">
        <f>IF($B4382="","",INT($B4382))</f>
        <v/>
      </c>
      <c r="D4382">
        <f>IF($C4382="","",$C4382-WEEKDAY($C4382,2)+1)</f>
        <v/>
      </c>
      <c r="E4382">
        <f>IF($C4382="","",DATE(YEAR($C4382),MONTH($C4382),1))</f>
        <v/>
      </c>
      <c r="F4382">
        <f>IF($C4382="","",YEAR($C4382)&amp;"-Q"&amp;ROUNDUP(MONTH($C4382)/3,0))</f>
        <v/>
      </c>
      <c r="L4382">
        <f>IF($G4382&lt;&gt;"ALCOHOL","",IF($K4382="","",$H4382*IFERROR(VLOOKUP($K4382,Drink_Templates!$A:$G,7,FALSE),0)))</f>
        <v/>
      </c>
    </row>
    <row r="4383" ht="15" customHeight="1">
      <c r="C4383">
        <f>IF($B4383="","",INT($B4383))</f>
        <v/>
      </c>
      <c r="D4383">
        <f>IF($C4383="","",$C4383-WEEKDAY($C4383,2)+1)</f>
        <v/>
      </c>
      <c r="E4383">
        <f>IF($C4383="","",DATE(YEAR($C4383),MONTH($C4383),1))</f>
        <v/>
      </c>
      <c r="F4383">
        <f>IF($C4383="","",YEAR($C4383)&amp;"-Q"&amp;ROUNDUP(MONTH($C4383)/3,0))</f>
        <v/>
      </c>
      <c r="L4383">
        <f>IF($G4383&lt;&gt;"ALCOHOL","",IF($K4383="","",$H4383*IFERROR(VLOOKUP($K4383,Drink_Templates!$A:$G,7,FALSE),0)))</f>
        <v/>
      </c>
    </row>
    <row r="4384" ht="15" customHeight="1">
      <c r="C4384">
        <f>IF($B4384="","",INT($B4384))</f>
        <v/>
      </c>
      <c r="D4384">
        <f>IF($C4384="","",$C4384-WEEKDAY($C4384,2)+1)</f>
        <v/>
      </c>
      <c r="E4384">
        <f>IF($C4384="","",DATE(YEAR($C4384),MONTH($C4384),1))</f>
        <v/>
      </c>
      <c r="F4384">
        <f>IF($C4384="","",YEAR($C4384)&amp;"-Q"&amp;ROUNDUP(MONTH($C4384)/3,0))</f>
        <v/>
      </c>
      <c r="L4384">
        <f>IF($G4384&lt;&gt;"ALCOHOL","",IF($K4384="","",$H4384*IFERROR(VLOOKUP($K4384,Drink_Templates!$A:$G,7,FALSE),0)))</f>
        <v/>
      </c>
    </row>
    <row r="4385" ht="15" customHeight="1">
      <c r="C4385">
        <f>IF($B4385="","",INT($B4385))</f>
        <v/>
      </c>
      <c r="D4385">
        <f>IF($C4385="","",$C4385-WEEKDAY($C4385,2)+1)</f>
        <v/>
      </c>
      <c r="E4385">
        <f>IF($C4385="","",DATE(YEAR($C4385),MONTH($C4385),1))</f>
        <v/>
      </c>
      <c r="F4385">
        <f>IF($C4385="","",YEAR($C4385)&amp;"-Q"&amp;ROUNDUP(MONTH($C4385)/3,0))</f>
        <v/>
      </c>
      <c r="L4385">
        <f>IF($G4385&lt;&gt;"ALCOHOL","",IF($K4385="","",$H4385*IFERROR(VLOOKUP($K4385,Drink_Templates!$A:$G,7,FALSE),0)))</f>
        <v/>
      </c>
    </row>
    <row r="4386" ht="15" customHeight="1">
      <c r="C4386">
        <f>IF($B4386="","",INT($B4386))</f>
        <v/>
      </c>
      <c r="D4386">
        <f>IF($C4386="","",$C4386-WEEKDAY($C4386,2)+1)</f>
        <v/>
      </c>
      <c r="E4386">
        <f>IF($C4386="","",DATE(YEAR($C4386),MONTH($C4386),1))</f>
        <v/>
      </c>
      <c r="F4386">
        <f>IF($C4386="","",YEAR($C4386)&amp;"-Q"&amp;ROUNDUP(MONTH($C4386)/3,0))</f>
        <v/>
      </c>
      <c r="L4386">
        <f>IF($G4386&lt;&gt;"ALCOHOL","",IF($K4386="","",$H4386*IFERROR(VLOOKUP($K4386,Drink_Templates!$A:$G,7,FALSE),0)))</f>
        <v/>
      </c>
    </row>
    <row r="4387" ht="15" customHeight="1">
      <c r="C4387">
        <f>IF($B4387="","",INT($B4387))</f>
        <v/>
      </c>
      <c r="D4387">
        <f>IF($C4387="","",$C4387-WEEKDAY($C4387,2)+1)</f>
        <v/>
      </c>
      <c r="E4387">
        <f>IF($C4387="","",DATE(YEAR($C4387),MONTH($C4387),1))</f>
        <v/>
      </c>
      <c r="F4387">
        <f>IF($C4387="","",YEAR($C4387)&amp;"-Q"&amp;ROUNDUP(MONTH($C4387)/3,0))</f>
        <v/>
      </c>
      <c r="L4387">
        <f>IF($G4387&lt;&gt;"ALCOHOL","",IF($K4387="","",$H4387*IFERROR(VLOOKUP($K4387,Drink_Templates!$A:$G,7,FALSE),0)))</f>
        <v/>
      </c>
    </row>
    <row r="4388" ht="15" customHeight="1">
      <c r="C4388">
        <f>IF($B4388="","",INT($B4388))</f>
        <v/>
      </c>
      <c r="D4388">
        <f>IF($C4388="","",$C4388-WEEKDAY($C4388,2)+1)</f>
        <v/>
      </c>
      <c r="E4388">
        <f>IF($C4388="","",DATE(YEAR($C4388),MONTH($C4388),1))</f>
        <v/>
      </c>
      <c r="F4388">
        <f>IF($C4388="","",YEAR($C4388)&amp;"-Q"&amp;ROUNDUP(MONTH($C4388)/3,0))</f>
        <v/>
      </c>
      <c r="L4388">
        <f>IF($G4388&lt;&gt;"ALCOHOL","",IF($K4388="","",$H4388*IFERROR(VLOOKUP($K4388,Drink_Templates!$A:$G,7,FALSE),0)))</f>
        <v/>
      </c>
    </row>
    <row r="4389" ht="15" customHeight="1">
      <c r="C4389">
        <f>IF($B4389="","",INT($B4389))</f>
        <v/>
      </c>
      <c r="D4389">
        <f>IF($C4389="","",$C4389-WEEKDAY($C4389,2)+1)</f>
        <v/>
      </c>
      <c r="E4389">
        <f>IF($C4389="","",DATE(YEAR($C4389),MONTH($C4389),1))</f>
        <v/>
      </c>
      <c r="F4389">
        <f>IF($C4389="","",YEAR($C4389)&amp;"-Q"&amp;ROUNDUP(MONTH($C4389)/3,0))</f>
        <v/>
      </c>
      <c r="L4389">
        <f>IF($G4389&lt;&gt;"ALCOHOL","",IF($K4389="","",$H4389*IFERROR(VLOOKUP($K4389,Drink_Templates!$A:$G,7,FALSE),0)))</f>
        <v/>
      </c>
    </row>
    <row r="4390" ht="15" customHeight="1">
      <c r="C4390">
        <f>IF($B4390="","",INT($B4390))</f>
        <v/>
      </c>
      <c r="D4390">
        <f>IF($C4390="","",$C4390-WEEKDAY($C4390,2)+1)</f>
        <v/>
      </c>
      <c r="E4390">
        <f>IF($C4390="","",DATE(YEAR($C4390),MONTH($C4390),1))</f>
        <v/>
      </c>
      <c r="F4390">
        <f>IF($C4390="","",YEAR($C4390)&amp;"-Q"&amp;ROUNDUP(MONTH($C4390)/3,0))</f>
        <v/>
      </c>
      <c r="L4390">
        <f>IF($G4390&lt;&gt;"ALCOHOL","",IF($K4390="","",$H4390*IFERROR(VLOOKUP($K4390,Drink_Templates!$A:$G,7,FALSE),0)))</f>
        <v/>
      </c>
    </row>
    <row r="4391" ht="15" customHeight="1">
      <c r="C4391">
        <f>IF($B4391="","",INT($B4391))</f>
        <v/>
      </c>
      <c r="D4391">
        <f>IF($C4391="","",$C4391-WEEKDAY($C4391,2)+1)</f>
        <v/>
      </c>
      <c r="E4391">
        <f>IF($C4391="","",DATE(YEAR($C4391),MONTH($C4391),1))</f>
        <v/>
      </c>
      <c r="F4391">
        <f>IF($C4391="","",YEAR($C4391)&amp;"-Q"&amp;ROUNDUP(MONTH($C4391)/3,0))</f>
        <v/>
      </c>
      <c r="L4391">
        <f>IF($G4391&lt;&gt;"ALCOHOL","",IF($K4391="","",$H4391*IFERROR(VLOOKUP($K4391,Drink_Templates!$A:$G,7,FALSE),0)))</f>
        <v/>
      </c>
    </row>
    <row r="4392" ht="15" customHeight="1">
      <c r="C4392">
        <f>IF($B4392="","",INT($B4392))</f>
        <v/>
      </c>
      <c r="D4392">
        <f>IF($C4392="","",$C4392-WEEKDAY($C4392,2)+1)</f>
        <v/>
      </c>
      <c r="E4392">
        <f>IF($C4392="","",DATE(YEAR($C4392),MONTH($C4392),1))</f>
        <v/>
      </c>
      <c r="F4392">
        <f>IF($C4392="","",YEAR($C4392)&amp;"-Q"&amp;ROUNDUP(MONTH($C4392)/3,0))</f>
        <v/>
      </c>
      <c r="L4392">
        <f>IF($G4392&lt;&gt;"ALCOHOL","",IF($K4392="","",$H4392*IFERROR(VLOOKUP($K4392,Drink_Templates!$A:$G,7,FALSE),0)))</f>
        <v/>
      </c>
    </row>
    <row r="4393" ht="15" customHeight="1">
      <c r="C4393">
        <f>IF($B4393="","",INT($B4393))</f>
        <v/>
      </c>
      <c r="D4393">
        <f>IF($C4393="","",$C4393-WEEKDAY($C4393,2)+1)</f>
        <v/>
      </c>
      <c r="E4393">
        <f>IF($C4393="","",DATE(YEAR($C4393),MONTH($C4393),1))</f>
        <v/>
      </c>
      <c r="F4393">
        <f>IF($C4393="","",YEAR($C4393)&amp;"-Q"&amp;ROUNDUP(MONTH($C4393)/3,0))</f>
        <v/>
      </c>
      <c r="L4393">
        <f>IF($G4393&lt;&gt;"ALCOHOL","",IF($K4393="","",$H4393*IFERROR(VLOOKUP($K4393,Drink_Templates!$A:$G,7,FALSE),0)))</f>
        <v/>
      </c>
    </row>
    <row r="4394" ht="15" customHeight="1">
      <c r="C4394">
        <f>IF($B4394="","",INT($B4394))</f>
        <v/>
      </c>
      <c r="D4394">
        <f>IF($C4394="","",$C4394-WEEKDAY($C4394,2)+1)</f>
        <v/>
      </c>
      <c r="E4394">
        <f>IF($C4394="","",DATE(YEAR($C4394),MONTH($C4394),1))</f>
        <v/>
      </c>
      <c r="F4394">
        <f>IF($C4394="","",YEAR($C4394)&amp;"-Q"&amp;ROUNDUP(MONTH($C4394)/3,0))</f>
        <v/>
      </c>
      <c r="L4394">
        <f>IF($G4394&lt;&gt;"ALCOHOL","",IF($K4394="","",$H4394*IFERROR(VLOOKUP($K4394,Drink_Templates!$A:$G,7,FALSE),0)))</f>
        <v/>
      </c>
    </row>
    <row r="4395" ht="15" customHeight="1">
      <c r="C4395">
        <f>IF($B4395="","",INT($B4395))</f>
        <v/>
      </c>
      <c r="D4395">
        <f>IF($C4395="","",$C4395-WEEKDAY($C4395,2)+1)</f>
        <v/>
      </c>
      <c r="E4395">
        <f>IF($C4395="","",DATE(YEAR($C4395),MONTH($C4395),1))</f>
        <v/>
      </c>
      <c r="F4395">
        <f>IF($C4395="","",YEAR($C4395)&amp;"-Q"&amp;ROUNDUP(MONTH($C4395)/3,0))</f>
        <v/>
      </c>
      <c r="L4395">
        <f>IF($G4395&lt;&gt;"ALCOHOL","",IF($K4395="","",$H4395*IFERROR(VLOOKUP($K4395,Drink_Templates!$A:$G,7,FALSE),0)))</f>
        <v/>
      </c>
    </row>
    <row r="4396" ht="15" customHeight="1">
      <c r="C4396">
        <f>IF($B4396="","",INT($B4396))</f>
        <v/>
      </c>
      <c r="D4396">
        <f>IF($C4396="","",$C4396-WEEKDAY($C4396,2)+1)</f>
        <v/>
      </c>
      <c r="E4396">
        <f>IF($C4396="","",DATE(YEAR($C4396),MONTH($C4396),1))</f>
        <v/>
      </c>
      <c r="F4396">
        <f>IF($C4396="","",YEAR($C4396)&amp;"-Q"&amp;ROUNDUP(MONTH($C4396)/3,0))</f>
        <v/>
      </c>
      <c r="L4396">
        <f>IF($G4396&lt;&gt;"ALCOHOL","",IF($K4396="","",$H4396*IFERROR(VLOOKUP($K4396,Drink_Templates!$A:$G,7,FALSE),0)))</f>
        <v/>
      </c>
    </row>
    <row r="4397" ht="15" customHeight="1">
      <c r="C4397">
        <f>IF($B4397="","",INT($B4397))</f>
        <v/>
      </c>
      <c r="D4397">
        <f>IF($C4397="","",$C4397-WEEKDAY($C4397,2)+1)</f>
        <v/>
      </c>
      <c r="E4397">
        <f>IF($C4397="","",DATE(YEAR($C4397),MONTH($C4397),1))</f>
        <v/>
      </c>
      <c r="F4397">
        <f>IF($C4397="","",YEAR($C4397)&amp;"-Q"&amp;ROUNDUP(MONTH($C4397)/3,0))</f>
        <v/>
      </c>
      <c r="L4397">
        <f>IF($G4397&lt;&gt;"ALCOHOL","",IF($K4397="","",$H4397*IFERROR(VLOOKUP($K4397,Drink_Templates!$A:$G,7,FALSE),0)))</f>
        <v/>
      </c>
    </row>
    <row r="4398" ht="15" customHeight="1">
      <c r="C4398">
        <f>IF($B4398="","",INT($B4398))</f>
        <v/>
      </c>
      <c r="D4398">
        <f>IF($C4398="","",$C4398-WEEKDAY($C4398,2)+1)</f>
        <v/>
      </c>
      <c r="E4398">
        <f>IF($C4398="","",DATE(YEAR($C4398),MONTH($C4398),1))</f>
        <v/>
      </c>
      <c r="F4398">
        <f>IF($C4398="","",YEAR($C4398)&amp;"-Q"&amp;ROUNDUP(MONTH($C4398)/3,0))</f>
        <v/>
      </c>
      <c r="L4398">
        <f>IF($G4398&lt;&gt;"ALCOHOL","",IF($K4398="","",$H4398*IFERROR(VLOOKUP($K4398,Drink_Templates!$A:$G,7,FALSE),0)))</f>
        <v/>
      </c>
    </row>
    <row r="4399" ht="15" customHeight="1">
      <c r="C4399">
        <f>IF($B4399="","",INT($B4399))</f>
        <v/>
      </c>
      <c r="D4399">
        <f>IF($C4399="","",$C4399-WEEKDAY($C4399,2)+1)</f>
        <v/>
      </c>
      <c r="E4399">
        <f>IF($C4399="","",DATE(YEAR($C4399),MONTH($C4399),1))</f>
        <v/>
      </c>
      <c r="F4399">
        <f>IF($C4399="","",YEAR($C4399)&amp;"-Q"&amp;ROUNDUP(MONTH($C4399)/3,0))</f>
        <v/>
      </c>
      <c r="L4399">
        <f>IF($G4399&lt;&gt;"ALCOHOL","",IF($K4399="","",$H4399*IFERROR(VLOOKUP($K4399,Drink_Templates!$A:$G,7,FALSE),0)))</f>
        <v/>
      </c>
    </row>
    <row r="4400" ht="15" customHeight="1">
      <c r="C4400">
        <f>IF($B4400="","",INT($B4400))</f>
        <v/>
      </c>
      <c r="D4400">
        <f>IF($C4400="","",$C4400-WEEKDAY($C4400,2)+1)</f>
        <v/>
      </c>
      <c r="E4400">
        <f>IF($C4400="","",DATE(YEAR($C4400),MONTH($C4400),1))</f>
        <v/>
      </c>
      <c r="F4400">
        <f>IF($C4400="","",YEAR($C4400)&amp;"-Q"&amp;ROUNDUP(MONTH($C4400)/3,0))</f>
        <v/>
      </c>
      <c r="L4400">
        <f>IF($G4400&lt;&gt;"ALCOHOL","",IF($K4400="","",$H4400*IFERROR(VLOOKUP($K4400,Drink_Templates!$A:$G,7,FALSE),0)))</f>
        <v/>
      </c>
    </row>
    <row r="4401" ht="15" customHeight="1">
      <c r="C4401">
        <f>IF($B4401="","",INT($B4401))</f>
        <v/>
      </c>
      <c r="D4401">
        <f>IF($C4401="","",$C4401-WEEKDAY($C4401,2)+1)</f>
        <v/>
      </c>
      <c r="E4401">
        <f>IF($C4401="","",DATE(YEAR($C4401),MONTH($C4401),1))</f>
        <v/>
      </c>
      <c r="F4401">
        <f>IF($C4401="","",YEAR($C4401)&amp;"-Q"&amp;ROUNDUP(MONTH($C4401)/3,0))</f>
        <v/>
      </c>
      <c r="L4401">
        <f>IF($G4401&lt;&gt;"ALCOHOL","",IF($K4401="","",$H4401*IFERROR(VLOOKUP($K4401,Drink_Templates!$A:$G,7,FALSE),0)))</f>
        <v/>
      </c>
    </row>
    <row r="4402" ht="15" customHeight="1">
      <c r="C4402">
        <f>IF($B4402="","",INT($B4402))</f>
        <v/>
      </c>
      <c r="D4402">
        <f>IF($C4402="","",$C4402-WEEKDAY($C4402,2)+1)</f>
        <v/>
      </c>
      <c r="E4402">
        <f>IF($C4402="","",DATE(YEAR($C4402),MONTH($C4402),1))</f>
        <v/>
      </c>
      <c r="F4402">
        <f>IF($C4402="","",YEAR($C4402)&amp;"-Q"&amp;ROUNDUP(MONTH($C4402)/3,0))</f>
        <v/>
      </c>
      <c r="L4402">
        <f>IF($G4402&lt;&gt;"ALCOHOL","",IF($K4402="","",$H4402*IFERROR(VLOOKUP($K4402,Drink_Templates!$A:$G,7,FALSE),0)))</f>
        <v/>
      </c>
    </row>
    <row r="4403" ht="15" customHeight="1">
      <c r="C4403">
        <f>IF($B4403="","",INT($B4403))</f>
        <v/>
      </c>
      <c r="D4403">
        <f>IF($C4403="","",$C4403-WEEKDAY($C4403,2)+1)</f>
        <v/>
      </c>
      <c r="E4403">
        <f>IF($C4403="","",DATE(YEAR($C4403),MONTH($C4403),1))</f>
        <v/>
      </c>
      <c r="F4403">
        <f>IF($C4403="","",YEAR($C4403)&amp;"-Q"&amp;ROUNDUP(MONTH($C4403)/3,0))</f>
        <v/>
      </c>
      <c r="L4403">
        <f>IF($G4403&lt;&gt;"ALCOHOL","",IF($K4403="","",$H4403*IFERROR(VLOOKUP($K4403,Drink_Templates!$A:$G,7,FALSE),0)))</f>
        <v/>
      </c>
    </row>
    <row r="4404" ht="15" customHeight="1">
      <c r="C4404">
        <f>IF($B4404="","",INT($B4404))</f>
        <v/>
      </c>
      <c r="D4404">
        <f>IF($C4404="","",$C4404-WEEKDAY($C4404,2)+1)</f>
        <v/>
      </c>
      <c r="E4404">
        <f>IF($C4404="","",DATE(YEAR($C4404),MONTH($C4404),1))</f>
        <v/>
      </c>
      <c r="F4404">
        <f>IF($C4404="","",YEAR($C4404)&amp;"-Q"&amp;ROUNDUP(MONTH($C4404)/3,0))</f>
        <v/>
      </c>
      <c r="L4404">
        <f>IF($G4404&lt;&gt;"ALCOHOL","",IF($K4404="","",$H4404*IFERROR(VLOOKUP($K4404,Drink_Templates!$A:$G,7,FALSE),0)))</f>
        <v/>
      </c>
    </row>
    <row r="4405" ht="15" customHeight="1">
      <c r="C4405">
        <f>IF($B4405="","",INT($B4405))</f>
        <v/>
      </c>
      <c r="D4405">
        <f>IF($C4405="","",$C4405-WEEKDAY($C4405,2)+1)</f>
        <v/>
      </c>
      <c r="E4405">
        <f>IF($C4405="","",DATE(YEAR($C4405),MONTH($C4405),1))</f>
        <v/>
      </c>
      <c r="F4405">
        <f>IF($C4405="","",YEAR($C4405)&amp;"-Q"&amp;ROUNDUP(MONTH($C4405)/3,0))</f>
        <v/>
      </c>
      <c r="L4405">
        <f>IF($G4405&lt;&gt;"ALCOHOL","",IF($K4405="","",$H4405*IFERROR(VLOOKUP($K4405,Drink_Templates!$A:$G,7,FALSE),0)))</f>
        <v/>
      </c>
    </row>
    <row r="4406" ht="15" customHeight="1">
      <c r="C4406">
        <f>IF($B4406="","",INT($B4406))</f>
        <v/>
      </c>
      <c r="D4406">
        <f>IF($C4406="","",$C4406-WEEKDAY($C4406,2)+1)</f>
        <v/>
      </c>
      <c r="E4406">
        <f>IF($C4406="","",DATE(YEAR($C4406),MONTH($C4406),1))</f>
        <v/>
      </c>
      <c r="F4406">
        <f>IF($C4406="","",YEAR($C4406)&amp;"-Q"&amp;ROUNDUP(MONTH($C4406)/3,0))</f>
        <v/>
      </c>
      <c r="L4406">
        <f>IF($G4406&lt;&gt;"ALCOHOL","",IF($K4406="","",$H4406*IFERROR(VLOOKUP($K4406,Drink_Templates!$A:$G,7,FALSE),0)))</f>
        <v/>
      </c>
    </row>
    <row r="4407" ht="15" customHeight="1">
      <c r="C4407">
        <f>IF($B4407="","",INT($B4407))</f>
        <v/>
      </c>
      <c r="D4407">
        <f>IF($C4407="","",$C4407-WEEKDAY($C4407,2)+1)</f>
        <v/>
      </c>
      <c r="E4407">
        <f>IF($C4407="","",DATE(YEAR($C4407),MONTH($C4407),1))</f>
        <v/>
      </c>
      <c r="F4407">
        <f>IF($C4407="","",YEAR($C4407)&amp;"-Q"&amp;ROUNDUP(MONTH($C4407)/3,0))</f>
        <v/>
      </c>
      <c r="L4407">
        <f>IF($G4407&lt;&gt;"ALCOHOL","",IF($K4407="","",$H4407*IFERROR(VLOOKUP($K4407,Drink_Templates!$A:$G,7,FALSE),0)))</f>
        <v/>
      </c>
    </row>
    <row r="4408" ht="15" customHeight="1">
      <c r="C4408">
        <f>IF($B4408="","",INT($B4408))</f>
        <v/>
      </c>
      <c r="D4408">
        <f>IF($C4408="","",$C4408-WEEKDAY($C4408,2)+1)</f>
        <v/>
      </c>
      <c r="E4408">
        <f>IF($C4408="","",DATE(YEAR($C4408),MONTH($C4408),1))</f>
        <v/>
      </c>
      <c r="F4408">
        <f>IF($C4408="","",YEAR($C4408)&amp;"-Q"&amp;ROUNDUP(MONTH($C4408)/3,0))</f>
        <v/>
      </c>
      <c r="L4408">
        <f>IF($G4408&lt;&gt;"ALCOHOL","",IF($K4408="","",$H4408*IFERROR(VLOOKUP($K4408,Drink_Templates!$A:$G,7,FALSE),0)))</f>
        <v/>
      </c>
    </row>
    <row r="4409" ht="15" customHeight="1">
      <c r="C4409">
        <f>IF($B4409="","",INT($B4409))</f>
        <v/>
      </c>
      <c r="D4409">
        <f>IF($C4409="","",$C4409-WEEKDAY($C4409,2)+1)</f>
        <v/>
      </c>
      <c r="E4409">
        <f>IF($C4409="","",DATE(YEAR($C4409),MONTH($C4409),1))</f>
        <v/>
      </c>
      <c r="F4409">
        <f>IF($C4409="","",YEAR($C4409)&amp;"-Q"&amp;ROUNDUP(MONTH($C4409)/3,0))</f>
        <v/>
      </c>
      <c r="L4409">
        <f>IF($G4409&lt;&gt;"ALCOHOL","",IF($K4409="","",$H4409*IFERROR(VLOOKUP($K4409,Drink_Templates!$A:$G,7,FALSE),0)))</f>
        <v/>
      </c>
    </row>
    <row r="4410" ht="15" customHeight="1">
      <c r="C4410">
        <f>IF($B4410="","",INT($B4410))</f>
        <v/>
      </c>
      <c r="D4410">
        <f>IF($C4410="","",$C4410-WEEKDAY($C4410,2)+1)</f>
        <v/>
      </c>
      <c r="E4410">
        <f>IF($C4410="","",DATE(YEAR($C4410),MONTH($C4410),1))</f>
        <v/>
      </c>
      <c r="F4410">
        <f>IF($C4410="","",YEAR($C4410)&amp;"-Q"&amp;ROUNDUP(MONTH($C4410)/3,0))</f>
        <v/>
      </c>
      <c r="L4410">
        <f>IF($G4410&lt;&gt;"ALCOHOL","",IF($K4410="","",$H4410*IFERROR(VLOOKUP($K4410,Drink_Templates!$A:$G,7,FALSE),0)))</f>
        <v/>
      </c>
    </row>
    <row r="4411" ht="15" customHeight="1">
      <c r="C4411">
        <f>IF($B4411="","",INT($B4411))</f>
        <v/>
      </c>
      <c r="D4411">
        <f>IF($C4411="","",$C4411-WEEKDAY($C4411,2)+1)</f>
        <v/>
      </c>
      <c r="E4411">
        <f>IF($C4411="","",DATE(YEAR($C4411),MONTH($C4411),1))</f>
        <v/>
      </c>
      <c r="F4411">
        <f>IF($C4411="","",YEAR($C4411)&amp;"-Q"&amp;ROUNDUP(MONTH($C4411)/3,0))</f>
        <v/>
      </c>
      <c r="L4411">
        <f>IF($G4411&lt;&gt;"ALCOHOL","",IF($K4411="","",$H4411*IFERROR(VLOOKUP($K4411,Drink_Templates!$A:$G,7,FALSE),0)))</f>
        <v/>
      </c>
    </row>
    <row r="4412" ht="15" customHeight="1">
      <c r="C4412">
        <f>IF($B4412="","",INT($B4412))</f>
        <v/>
      </c>
      <c r="D4412">
        <f>IF($C4412="","",$C4412-WEEKDAY($C4412,2)+1)</f>
        <v/>
      </c>
      <c r="E4412">
        <f>IF($C4412="","",DATE(YEAR($C4412),MONTH($C4412),1))</f>
        <v/>
      </c>
      <c r="F4412">
        <f>IF($C4412="","",YEAR($C4412)&amp;"-Q"&amp;ROUNDUP(MONTH($C4412)/3,0))</f>
        <v/>
      </c>
      <c r="L4412">
        <f>IF($G4412&lt;&gt;"ALCOHOL","",IF($K4412="","",$H4412*IFERROR(VLOOKUP($K4412,Drink_Templates!$A:$G,7,FALSE),0)))</f>
        <v/>
      </c>
    </row>
    <row r="4413" ht="15" customHeight="1">
      <c r="C4413">
        <f>IF($B4413="","",INT($B4413))</f>
        <v/>
      </c>
      <c r="D4413">
        <f>IF($C4413="","",$C4413-WEEKDAY($C4413,2)+1)</f>
        <v/>
      </c>
      <c r="E4413">
        <f>IF($C4413="","",DATE(YEAR($C4413),MONTH($C4413),1))</f>
        <v/>
      </c>
      <c r="F4413">
        <f>IF($C4413="","",YEAR($C4413)&amp;"-Q"&amp;ROUNDUP(MONTH($C4413)/3,0))</f>
        <v/>
      </c>
      <c r="L4413">
        <f>IF($G4413&lt;&gt;"ALCOHOL","",IF($K4413="","",$H4413*IFERROR(VLOOKUP($K4413,Drink_Templates!$A:$G,7,FALSE),0)))</f>
        <v/>
      </c>
    </row>
    <row r="4414" ht="15" customHeight="1">
      <c r="C4414">
        <f>IF($B4414="","",INT($B4414))</f>
        <v/>
      </c>
      <c r="D4414">
        <f>IF($C4414="","",$C4414-WEEKDAY($C4414,2)+1)</f>
        <v/>
      </c>
      <c r="E4414">
        <f>IF($C4414="","",DATE(YEAR($C4414),MONTH($C4414),1))</f>
        <v/>
      </c>
      <c r="F4414">
        <f>IF($C4414="","",YEAR($C4414)&amp;"-Q"&amp;ROUNDUP(MONTH($C4414)/3,0))</f>
        <v/>
      </c>
      <c r="L4414">
        <f>IF($G4414&lt;&gt;"ALCOHOL","",IF($K4414="","",$H4414*IFERROR(VLOOKUP($K4414,Drink_Templates!$A:$G,7,FALSE),0)))</f>
        <v/>
      </c>
    </row>
    <row r="4415" ht="15" customHeight="1">
      <c r="C4415">
        <f>IF($B4415="","",INT($B4415))</f>
        <v/>
      </c>
      <c r="D4415">
        <f>IF($C4415="","",$C4415-WEEKDAY($C4415,2)+1)</f>
        <v/>
      </c>
      <c r="E4415">
        <f>IF($C4415="","",DATE(YEAR($C4415),MONTH($C4415),1))</f>
        <v/>
      </c>
      <c r="F4415">
        <f>IF($C4415="","",YEAR($C4415)&amp;"-Q"&amp;ROUNDUP(MONTH($C4415)/3,0))</f>
        <v/>
      </c>
      <c r="L4415">
        <f>IF($G4415&lt;&gt;"ALCOHOL","",IF($K4415="","",$H4415*IFERROR(VLOOKUP($K4415,Drink_Templates!$A:$G,7,FALSE),0)))</f>
        <v/>
      </c>
    </row>
    <row r="4416" ht="15" customHeight="1">
      <c r="C4416">
        <f>IF($B4416="","",INT($B4416))</f>
        <v/>
      </c>
      <c r="D4416">
        <f>IF($C4416="","",$C4416-WEEKDAY($C4416,2)+1)</f>
        <v/>
      </c>
      <c r="E4416">
        <f>IF($C4416="","",DATE(YEAR($C4416),MONTH($C4416),1))</f>
        <v/>
      </c>
      <c r="F4416">
        <f>IF($C4416="","",YEAR($C4416)&amp;"-Q"&amp;ROUNDUP(MONTH($C4416)/3,0))</f>
        <v/>
      </c>
      <c r="L4416">
        <f>IF($G4416&lt;&gt;"ALCOHOL","",IF($K4416="","",$H4416*IFERROR(VLOOKUP($K4416,Drink_Templates!$A:$G,7,FALSE),0)))</f>
        <v/>
      </c>
    </row>
    <row r="4417" ht="15" customHeight="1">
      <c r="C4417">
        <f>IF($B4417="","",INT($B4417))</f>
        <v/>
      </c>
      <c r="D4417">
        <f>IF($C4417="","",$C4417-WEEKDAY($C4417,2)+1)</f>
        <v/>
      </c>
      <c r="E4417">
        <f>IF($C4417="","",DATE(YEAR($C4417),MONTH($C4417),1))</f>
        <v/>
      </c>
      <c r="F4417">
        <f>IF($C4417="","",YEAR($C4417)&amp;"-Q"&amp;ROUNDUP(MONTH($C4417)/3,0))</f>
        <v/>
      </c>
      <c r="L4417">
        <f>IF($G4417&lt;&gt;"ALCOHOL","",IF($K4417="","",$H4417*IFERROR(VLOOKUP($K4417,Drink_Templates!$A:$G,7,FALSE),0)))</f>
        <v/>
      </c>
    </row>
    <row r="4418" ht="15" customHeight="1">
      <c r="C4418">
        <f>IF($B4418="","",INT($B4418))</f>
        <v/>
      </c>
      <c r="D4418">
        <f>IF($C4418="","",$C4418-WEEKDAY($C4418,2)+1)</f>
        <v/>
      </c>
      <c r="E4418">
        <f>IF($C4418="","",DATE(YEAR($C4418),MONTH($C4418),1))</f>
        <v/>
      </c>
      <c r="F4418">
        <f>IF($C4418="","",YEAR($C4418)&amp;"-Q"&amp;ROUNDUP(MONTH($C4418)/3,0))</f>
        <v/>
      </c>
      <c r="L4418">
        <f>IF($G4418&lt;&gt;"ALCOHOL","",IF($K4418="","",$H4418*IFERROR(VLOOKUP($K4418,Drink_Templates!$A:$G,7,FALSE),0)))</f>
        <v/>
      </c>
    </row>
    <row r="4419" ht="15" customHeight="1">
      <c r="C4419">
        <f>IF($B4419="","",INT($B4419))</f>
        <v/>
      </c>
      <c r="D4419">
        <f>IF($C4419="","",$C4419-WEEKDAY($C4419,2)+1)</f>
        <v/>
      </c>
      <c r="E4419">
        <f>IF($C4419="","",DATE(YEAR($C4419),MONTH($C4419),1))</f>
        <v/>
      </c>
      <c r="F4419">
        <f>IF($C4419="","",YEAR($C4419)&amp;"-Q"&amp;ROUNDUP(MONTH($C4419)/3,0))</f>
        <v/>
      </c>
      <c r="L4419">
        <f>IF($G4419&lt;&gt;"ALCOHOL","",IF($K4419="","",$H4419*IFERROR(VLOOKUP($K4419,Drink_Templates!$A:$G,7,FALSE),0)))</f>
        <v/>
      </c>
    </row>
    <row r="4420" ht="15" customHeight="1">
      <c r="C4420">
        <f>IF($B4420="","",INT($B4420))</f>
        <v/>
      </c>
      <c r="D4420">
        <f>IF($C4420="","",$C4420-WEEKDAY($C4420,2)+1)</f>
        <v/>
      </c>
      <c r="E4420">
        <f>IF($C4420="","",DATE(YEAR($C4420),MONTH($C4420),1))</f>
        <v/>
      </c>
      <c r="F4420">
        <f>IF($C4420="","",YEAR($C4420)&amp;"-Q"&amp;ROUNDUP(MONTH($C4420)/3,0))</f>
        <v/>
      </c>
      <c r="L4420">
        <f>IF($G4420&lt;&gt;"ALCOHOL","",IF($K4420="","",$H4420*IFERROR(VLOOKUP($K4420,Drink_Templates!$A:$G,7,FALSE),0)))</f>
        <v/>
      </c>
    </row>
    <row r="4421" ht="15" customHeight="1">
      <c r="C4421">
        <f>IF($B4421="","",INT($B4421))</f>
        <v/>
      </c>
      <c r="D4421">
        <f>IF($C4421="","",$C4421-WEEKDAY($C4421,2)+1)</f>
        <v/>
      </c>
      <c r="E4421">
        <f>IF($C4421="","",DATE(YEAR($C4421),MONTH($C4421),1))</f>
        <v/>
      </c>
      <c r="F4421">
        <f>IF($C4421="","",YEAR($C4421)&amp;"-Q"&amp;ROUNDUP(MONTH($C4421)/3,0))</f>
        <v/>
      </c>
      <c r="L4421">
        <f>IF($G4421&lt;&gt;"ALCOHOL","",IF($K4421="","",$H4421*IFERROR(VLOOKUP($K4421,Drink_Templates!$A:$G,7,FALSE),0)))</f>
        <v/>
      </c>
    </row>
    <row r="4422" ht="15" customHeight="1">
      <c r="C4422">
        <f>IF($B4422="","",INT($B4422))</f>
        <v/>
      </c>
      <c r="D4422">
        <f>IF($C4422="","",$C4422-WEEKDAY($C4422,2)+1)</f>
        <v/>
      </c>
      <c r="E4422">
        <f>IF($C4422="","",DATE(YEAR($C4422),MONTH($C4422),1))</f>
        <v/>
      </c>
      <c r="F4422">
        <f>IF($C4422="","",YEAR($C4422)&amp;"-Q"&amp;ROUNDUP(MONTH($C4422)/3,0))</f>
        <v/>
      </c>
      <c r="L4422">
        <f>IF($G4422&lt;&gt;"ALCOHOL","",IF($K4422="","",$H4422*IFERROR(VLOOKUP($K4422,Drink_Templates!$A:$G,7,FALSE),0)))</f>
        <v/>
      </c>
    </row>
    <row r="4423" ht="15" customHeight="1">
      <c r="C4423">
        <f>IF($B4423="","",INT($B4423))</f>
        <v/>
      </c>
      <c r="D4423">
        <f>IF($C4423="","",$C4423-WEEKDAY($C4423,2)+1)</f>
        <v/>
      </c>
      <c r="E4423">
        <f>IF($C4423="","",DATE(YEAR($C4423),MONTH($C4423),1))</f>
        <v/>
      </c>
      <c r="F4423">
        <f>IF($C4423="","",YEAR($C4423)&amp;"-Q"&amp;ROUNDUP(MONTH($C4423)/3,0))</f>
        <v/>
      </c>
      <c r="L4423">
        <f>IF($G4423&lt;&gt;"ALCOHOL","",IF($K4423="","",$H4423*IFERROR(VLOOKUP($K4423,Drink_Templates!$A:$G,7,FALSE),0)))</f>
        <v/>
      </c>
    </row>
    <row r="4424" ht="15" customHeight="1">
      <c r="C4424">
        <f>IF($B4424="","",INT($B4424))</f>
        <v/>
      </c>
      <c r="D4424">
        <f>IF($C4424="","",$C4424-WEEKDAY($C4424,2)+1)</f>
        <v/>
      </c>
      <c r="E4424">
        <f>IF($C4424="","",DATE(YEAR($C4424),MONTH($C4424),1))</f>
        <v/>
      </c>
      <c r="F4424">
        <f>IF($C4424="","",YEAR($C4424)&amp;"-Q"&amp;ROUNDUP(MONTH($C4424)/3,0))</f>
        <v/>
      </c>
      <c r="L4424">
        <f>IF($G4424&lt;&gt;"ALCOHOL","",IF($K4424="","",$H4424*IFERROR(VLOOKUP($K4424,Drink_Templates!$A:$G,7,FALSE),0)))</f>
        <v/>
      </c>
    </row>
    <row r="4425" ht="15" customHeight="1">
      <c r="C4425">
        <f>IF($B4425="","",INT($B4425))</f>
        <v/>
      </c>
      <c r="D4425">
        <f>IF($C4425="","",$C4425-WEEKDAY($C4425,2)+1)</f>
        <v/>
      </c>
      <c r="E4425">
        <f>IF($C4425="","",DATE(YEAR($C4425),MONTH($C4425),1))</f>
        <v/>
      </c>
      <c r="F4425">
        <f>IF($C4425="","",YEAR($C4425)&amp;"-Q"&amp;ROUNDUP(MONTH($C4425)/3,0))</f>
        <v/>
      </c>
      <c r="L4425">
        <f>IF($G4425&lt;&gt;"ALCOHOL","",IF($K4425="","",$H4425*IFERROR(VLOOKUP($K4425,Drink_Templates!$A:$G,7,FALSE),0)))</f>
        <v/>
      </c>
    </row>
    <row r="4426" ht="15" customHeight="1">
      <c r="C4426">
        <f>IF($B4426="","",INT($B4426))</f>
        <v/>
      </c>
      <c r="D4426">
        <f>IF($C4426="","",$C4426-WEEKDAY($C4426,2)+1)</f>
        <v/>
      </c>
      <c r="E4426">
        <f>IF($C4426="","",DATE(YEAR($C4426),MONTH($C4426),1))</f>
        <v/>
      </c>
      <c r="F4426">
        <f>IF($C4426="","",YEAR($C4426)&amp;"-Q"&amp;ROUNDUP(MONTH($C4426)/3,0))</f>
        <v/>
      </c>
      <c r="L4426">
        <f>IF($G4426&lt;&gt;"ALCOHOL","",IF($K4426="","",$H4426*IFERROR(VLOOKUP($K4426,Drink_Templates!$A:$G,7,FALSE),0)))</f>
        <v/>
      </c>
    </row>
    <row r="4427" ht="15" customHeight="1">
      <c r="C4427">
        <f>IF($B4427="","",INT($B4427))</f>
        <v/>
      </c>
      <c r="D4427">
        <f>IF($C4427="","",$C4427-WEEKDAY($C4427,2)+1)</f>
        <v/>
      </c>
      <c r="E4427">
        <f>IF($C4427="","",DATE(YEAR($C4427),MONTH($C4427),1))</f>
        <v/>
      </c>
      <c r="F4427">
        <f>IF($C4427="","",YEAR($C4427)&amp;"-Q"&amp;ROUNDUP(MONTH($C4427)/3,0))</f>
        <v/>
      </c>
      <c r="L4427">
        <f>IF($G4427&lt;&gt;"ALCOHOL","",IF($K4427="","",$H4427*IFERROR(VLOOKUP($K4427,Drink_Templates!$A:$G,7,FALSE),0)))</f>
        <v/>
      </c>
    </row>
    <row r="4428" ht="15" customHeight="1">
      <c r="C4428">
        <f>IF($B4428="","",INT($B4428))</f>
        <v/>
      </c>
      <c r="D4428">
        <f>IF($C4428="","",$C4428-WEEKDAY($C4428,2)+1)</f>
        <v/>
      </c>
      <c r="E4428">
        <f>IF($C4428="","",DATE(YEAR($C4428),MONTH($C4428),1))</f>
        <v/>
      </c>
      <c r="F4428">
        <f>IF($C4428="","",YEAR($C4428)&amp;"-Q"&amp;ROUNDUP(MONTH($C4428)/3,0))</f>
        <v/>
      </c>
      <c r="L4428">
        <f>IF($G4428&lt;&gt;"ALCOHOL","",IF($K4428="","",$H4428*IFERROR(VLOOKUP($K4428,Drink_Templates!$A:$G,7,FALSE),0)))</f>
        <v/>
      </c>
    </row>
    <row r="4429" ht="15" customHeight="1">
      <c r="C4429">
        <f>IF($B4429="","",INT($B4429))</f>
        <v/>
      </c>
      <c r="D4429">
        <f>IF($C4429="","",$C4429-WEEKDAY($C4429,2)+1)</f>
        <v/>
      </c>
      <c r="E4429">
        <f>IF($C4429="","",DATE(YEAR($C4429),MONTH($C4429),1))</f>
        <v/>
      </c>
      <c r="F4429">
        <f>IF($C4429="","",YEAR($C4429)&amp;"-Q"&amp;ROUNDUP(MONTH($C4429)/3,0))</f>
        <v/>
      </c>
      <c r="L4429">
        <f>IF($G4429&lt;&gt;"ALCOHOL","",IF($K4429="","",$H4429*IFERROR(VLOOKUP($K4429,Drink_Templates!$A:$G,7,FALSE),0)))</f>
        <v/>
      </c>
    </row>
    <row r="4430" ht="15" customHeight="1">
      <c r="C4430">
        <f>IF($B4430="","",INT($B4430))</f>
        <v/>
      </c>
      <c r="D4430">
        <f>IF($C4430="","",$C4430-WEEKDAY($C4430,2)+1)</f>
        <v/>
      </c>
      <c r="E4430">
        <f>IF($C4430="","",DATE(YEAR($C4430),MONTH($C4430),1))</f>
        <v/>
      </c>
      <c r="F4430">
        <f>IF($C4430="","",YEAR($C4430)&amp;"-Q"&amp;ROUNDUP(MONTH($C4430)/3,0))</f>
        <v/>
      </c>
      <c r="L4430">
        <f>IF($G4430&lt;&gt;"ALCOHOL","",IF($K4430="","",$H4430*IFERROR(VLOOKUP($K4430,Drink_Templates!$A:$G,7,FALSE),0)))</f>
        <v/>
      </c>
    </row>
    <row r="4431" ht="15" customHeight="1">
      <c r="C4431">
        <f>IF($B4431="","",INT($B4431))</f>
        <v/>
      </c>
      <c r="D4431">
        <f>IF($C4431="","",$C4431-WEEKDAY($C4431,2)+1)</f>
        <v/>
      </c>
      <c r="E4431">
        <f>IF($C4431="","",DATE(YEAR($C4431),MONTH($C4431),1))</f>
        <v/>
      </c>
      <c r="F4431">
        <f>IF($C4431="","",YEAR($C4431)&amp;"-Q"&amp;ROUNDUP(MONTH($C4431)/3,0))</f>
        <v/>
      </c>
      <c r="L4431">
        <f>IF($G4431&lt;&gt;"ALCOHOL","",IF($K4431="","",$H4431*IFERROR(VLOOKUP($K4431,Drink_Templates!$A:$G,7,FALSE),0)))</f>
        <v/>
      </c>
    </row>
    <row r="4432" ht="15" customHeight="1">
      <c r="C4432">
        <f>IF($B4432="","",INT($B4432))</f>
        <v/>
      </c>
      <c r="D4432">
        <f>IF($C4432="","",$C4432-WEEKDAY($C4432,2)+1)</f>
        <v/>
      </c>
      <c r="E4432">
        <f>IF($C4432="","",DATE(YEAR($C4432),MONTH($C4432),1))</f>
        <v/>
      </c>
      <c r="F4432">
        <f>IF($C4432="","",YEAR($C4432)&amp;"-Q"&amp;ROUNDUP(MONTH($C4432)/3,0))</f>
        <v/>
      </c>
      <c r="L4432">
        <f>IF($G4432&lt;&gt;"ALCOHOL","",IF($K4432="","",$H4432*IFERROR(VLOOKUP($K4432,Drink_Templates!$A:$G,7,FALSE),0)))</f>
        <v/>
      </c>
    </row>
    <row r="4433" ht="15" customHeight="1">
      <c r="C4433">
        <f>IF($B4433="","",INT($B4433))</f>
        <v/>
      </c>
      <c r="D4433">
        <f>IF($C4433="","",$C4433-WEEKDAY($C4433,2)+1)</f>
        <v/>
      </c>
      <c r="E4433">
        <f>IF($C4433="","",DATE(YEAR($C4433),MONTH($C4433),1))</f>
        <v/>
      </c>
      <c r="F4433">
        <f>IF($C4433="","",YEAR($C4433)&amp;"-Q"&amp;ROUNDUP(MONTH($C4433)/3,0))</f>
        <v/>
      </c>
      <c r="L4433">
        <f>IF($G4433&lt;&gt;"ALCOHOL","",IF($K4433="","",$H4433*IFERROR(VLOOKUP($K4433,Drink_Templates!$A:$G,7,FALSE),0)))</f>
        <v/>
      </c>
    </row>
    <row r="4434" ht="15" customHeight="1">
      <c r="C4434">
        <f>IF($B4434="","",INT($B4434))</f>
        <v/>
      </c>
      <c r="D4434">
        <f>IF($C4434="","",$C4434-WEEKDAY($C4434,2)+1)</f>
        <v/>
      </c>
      <c r="E4434">
        <f>IF($C4434="","",DATE(YEAR($C4434),MONTH($C4434),1))</f>
        <v/>
      </c>
      <c r="F4434">
        <f>IF($C4434="","",YEAR($C4434)&amp;"-Q"&amp;ROUNDUP(MONTH($C4434)/3,0))</f>
        <v/>
      </c>
      <c r="L4434">
        <f>IF($G4434&lt;&gt;"ALCOHOL","",IF($K4434="","",$H4434*IFERROR(VLOOKUP($K4434,Drink_Templates!$A:$G,7,FALSE),0)))</f>
        <v/>
      </c>
    </row>
    <row r="4435" ht="15" customHeight="1">
      <c r="C4435">
        <f>IF($B4435="","",INT($B4435))</f>
        <v/>
      </c>
      <c r="D4435">
        <f>IF($C4435="","",$C4435-WEEKDAY($C4435,2)+1)</f>
        <v/>
      </c>
      <c r="E4435">
        <f>IF($C4435="","",DATE(YEAR($C4435),MONTH($C4435),1))</f>
        <v/>
      </c>
      <c r="F4435">
        <f>IF($C4435="","",YEAR($C4435)&amp;"-Q"&amp;ROUNDUP(MONTH($C4435)/3,0))</f>
        <v/>
      </c>
      <c r="L4435">
        <f>IF($G4435&lt;&gt;"ALCOHOL","",IF($K4435="","",$H4435*IFERROR(VLOOKUP($K4435,Drink_Templates!$A:$G,7,FALSE),0)))</f>
        <v/>
      </c>
    </row>
    <row r="4436" ht="15" customHeight="1">
      <c r="C4436">
        <f>IF($B4436="","",INT($B4436))</f>
        <v/>
      </c>
      <c r="D4436">
        <f>IF($C4436="","",$C4436-WEEKDAY($C4436,2)+1)</f>
        <v/>
      </c>
      <c r="E4436">
        <f>IF($C4436="","",DATE(YEAR($C4436),MONTH($C4436),1))</f>
        <v/>
      </c>
      <c r="F4436">
        <f>IF($C4436="","",YEAR($C4436)&amp;"-Q"&amp;ROUNDUP(MONTH($C4436)/3,0))</f>
        <v/>
      </c>
      <c r="L4436">
        <f>IF($G4436&lt;&gt;"ALCOHOL","",IF($K4436="","",$H4436*IFERROR(VLOOKUP($K4436,Drink_Templates!$A:$G,7,FALSE),0)))</f>
        <v/>
      </c>
    </row>
    <row r="4437" ht="15" customHeight="1">
      <c r="C4437">
        <f>IF($B4437="","",INT($B4437))</f>
        <v/>
      </c>
      <c r="D4437">
        <f>IF($C4437="","",$C4437-WEEKDAY($C4437,2)+1)</f>
        <v/>
      </c>
      <c r="E4437">
        <f>IF($C4437="","",DATE(YEAR($C4437),MONTH($C4437),1))</f>
        <v/>
      </c>
      <c r="F4437">
        <f>IF($C4437="","",YEAR($C4437)&amp;"-Q"&amp;ROUNDUP(MONTH($C4437)/3,0))</f>
        <v/>
      </c>
      <c r="L4437">
        <f>IF($G4437&lt;&gt;"ALCOHOL","",IF($K4437="","",$H4437*IFERROR(VLOOKUP($K4437,Drink_Templates!$A:$G,7,FALSE),0)))</f>
        <v/>
      </c>
    </row>
    <row r="4438" ht="15" customHeight="1">
      <c r="C4438">
        <f>IF($B4438="","",INT($B4438))</f>
        <v/>
      </c>
      <c r="D4438">
        <f>IF($C4438="","",$C4438-WEEKDAY($C4438,2)+1)</f>
        <v/>
      </c>
      <c r="E4438">
        <f>IF($C4438="","",DATE(YEAR($C4438),MONTH($C4438),1))</f>
        <v/>
      </c>
      <c r="F4438">
        <f>IF($C4438="","",YEAR($C4438)&amp;"-Q"&amp;ROUNDUP(MONTH($C4438)/3,0))</f>
        <v/>
      </c>
      <c r="L4438">
        <f>IF($G4438&lt;&gt;"ALCOHOL","",IF($K4438="","",$H4438*IFERROR(VLOOKUP($K4438,Drink_Templates!$A:$G,7,FALSE),0)))</f>
        <v/>
      </c>
    </row>
    <row r="4439" ht="15" customHeight="1">
      <c r="C4439">
        <f>IF($B4439="","",INT($B4439))</f>
        <v/>
      </c>
      <c r="D4439">
        <f>IF($C4439="","",$C4439-WEEKDAY($C4439,2)+1)</f>
        <v/>
      </c>
      <c r="E4439">
        <f>IF($C4439="","",DATE(YEAR($C4439),MONTH($C4439),1))</f>
        <v/>
      </c>
      <c r="F4439">
        <f>IF($C4439="","",YEAR($C4439)&amp;"-Q"&amp;ROUNDUP(MONTH($C4439)/3,0))</f>
        <v/>
      </c>
      <c r="L4439">
        <f>IF($G4439&lt;&gt;"ALCOHOL","",IF($K4439="","",$H4439*IFERROR(VLOOKUP($K4439,Drink_Templates!$A:$G,7,FALSE),0)))</f>
        <v/>
      </c>
    </row>
    <row r="4440" ht="15" customHeight="1">
      <c r="C4440">
        <f>IF($B4440="","",INT($B4440))</f>
        <v/>
      </c>
      <c r="D4440">
        <f>IF($C4440="","",$C4440-WEEKDAY($C4440,2)+1)</f>
        <v/>
      </c>
      <c r="E4440">
        <f>IF($C4440="","",DATE(YEAR($C4440),MONTH($C4440),1))</f>
        <v/>
      </c>
      <c r="F4440">
        <f>IF($C4440="","",YEAR($C4440)&amp;"-Q"&amp;ROUNDUP(MONTH($C4440)/3,0))</f>
        <v/>
      </c>
      <c r="L4440">
        <f>IF($G4440&lt;&gt;"ALCOHOL","",IF($K4440="","",$H4440*IFERROR(VLOOKUP($K4440,Drink_Templates!$A:$G,7,FALSE),0)))</f>
        <v/>
      </c>
    </row>
    <row r="4441" ht="15" customHeight="1">
      <c r="C4441">
        <f>IF($B4441="","",INT($B4441))</f>
        <v/>
      </c>
      <c r="D4441">
        <f>IF($C4441="","",$C4441-WEEKDAY($C4441,2)+1)</f>
        <v/>
      </c>
      <c r="E4441">
        <f>IF($C4441="","",DATE(YEAR($C4441),MONTH($C4441),1))</f>
        <v/>
      </c>
      <c r="F4441">
        <f>IF($C4441="","",YEAR($C4441)&amp;"-Q"&amp;ROUNDUP(MONTH($C4441)/3,0))</f>
        <v/>
      </c>
      <c r="L4441">
        <f>IF($G4441&lt;&gt;"ALCOHOL","",IF($K4441="","",$H4441*IFERROR(VLOOKUP($K4441,Drink_Templates!$A:$G,7,FALSE),0)))</f>
        <v/>
      </c>
    </row>
    <row r="4442" ht="15" customHeight="1">
      <c r="C4442">
        <f>IF($B4442="","",INT($B4442))</f>
        <v/>
      </c>
      <c r="D4442">
        <f>IF($C4442="","",$C4442-WEEKDAY($C4442,2)+1)</f>
        <v/>
      </c>
      <c r="E4442">
        <f>IF($C4442="","",DATE(YEAR($C4442),MONTH($C4442),1))</f>
        <v/>
      </c>
      <c r="F4442">
        <f>IF($C4442="","",YEAR($C4442)&amp;"-Q"&amp;ROUNDUP(MONTH($C4442)/3,0))</f>
        <v/>
      </c>
      <c r="L4442">
        <f>IF($G4442&lt;&gt;"ALCOHOL","",IF($K4442="","",$H4442*IFERROR(VLOOKUP($K4442,Drink_Templates!$A:$G,7,FALSE),0)))</f>
        <v/>
      </c>
    </row>
    <row r="4443" ht="15" customHeight="1">
      <c r="C4443">
        <f>IF($B4443="","",INT($B4443))</f>
        <v/>
      </c>
      <c r="D4443">
        <f>IF($C4443="","",$C4443-WEEKDAY($C4443,2)+1)</f>
        <v/>
      </c>
      <c r="E4443">
        <f>IF($C4443="","",DATE(YEAR($C4443),MONTH($C4443),1))</f>
        <v/>
      </c>
      <c r="F4443">
        <f>IF($C4443="","",YEAR($C4443)&amp;"-Q"&amp;ROUNDUP(MONTH($C4443)/3,0))</f>
        <v/>
      </c>
      <c r="L4443">
        <f>IF($G4443&lt;&gt;"ALCOHOL","",IF($K4443="","",$H4443*IFERROR(VLOOKUP($K4443,Drink_Templates!$A:$G,7,FALSE),0)))</f>
        <v/>
      </c>
    </row>
    <row r="4444" ht="15" customHeight="1">
      <c r="C4444">
        <f>IF($B4444="","",INT($B4444))</f>
        <v/>
      </c>
      <c r="D4444">
        <f>IF($C4444="","",$C4444-WEEKDAY($C4444,2)+1)</f>
        <v/>
      </c>
      <c r="E4444">
        <f>IF($C4444="","",DATE(YEAR($C4444),MONTH($C4444),1))</f>
        <v/>
      </c>
      <c r="F4444">
        <f>IF($C4444="","",YEAR($C4444)&amp;"-Q"&amp;ROUNDUP(MONTH($C4444)/3,0))</f>
        <v/>
      </c>
      <c r="L4444">
        <f>IF($G4444&lt;&gt;"ALCOHOL","",IF($K4444="","",$H4444*IFERROR(VLOOKUP($K4444,Drink_Templates!$A:$G,7,FALSE),0)))</f>
        <v/>
      </c>
    </row>
    <row r="4445" ht="15" customHeight="1">
      <c r="C4445">
        <f>IF($B4445="","",INT($B4445))</f>
        <v/>
      </c>
      <c r="D4445">
        <f>IF($C4445="","",$C4445-WEEKDAY($C4445,2)+1)</f>
        <v/>
      </c>
      <c r="E4445">
        <f>IF($C4445="","",DATE(YEAR($C4445),MONTH($C4445),1))</f>
        <v/>
      </c>
      <c r="F4445">
        <f>IF($C4445="","",YEAR($C4445)&amp;"-Q"&amp;ROUNDUP(MONTH($C4445)/3,0))</f>
        <v/>
      </c>
      <c r="L4445">
        <f>IF($G4445&lt;&gt;"ALCOHOL","",IF($K4445="","",$H4445*IFERROR(VLOOKUP($K4445,Drink_Templates!$A:$G,7,FALSE),0)))</f>
        <v/>
      </c>
    </row>
    <row r="4446" ht="15" customHeight="1">
      <c r="C4446">
        <f>IF($B4446="","",INT($B4446))</f>
        <v/>
      </c>
      <c r="D4446">
        <f>IF($C4446="","",$C4446-WEEKDAY($C4446,2)+1)</f>
        <v/>
      </c>
      <c r="E4446">
        <f>IF($C4446="","",DATE(YEAR($C4446),MONTH($C4446),1))</f>
        <v/>
      </c>
      <c r="F4446">
        <f>IF($C4446="","",YEAR($C4446)&amp;"-Q"&amp;ROUNDUP(MONTH($C4446)/3,0))</f>
        <v/>
      </c>
      <c r="L4446">
        <f>IF($G4446&lt;&gt;"ALCOHOL","",IF($K4446="","",$H4446*IFERROR(VLOOKUP($K4446,Drink_Templates!$A:$G,7,FALSE),0)))</f>
        <v/>
      </c>
    </row>
    <row r="4447" ht="15" customHeight="1">
      <c r="C4447">
        <f>IF($B4447="","",INT($B4447))</f>
        <v/>
      </c>
      <c r="D4447">
        <f>IF($C4447="","",$C4447-WEEKDAY($C4447,2)+1)</f>
        <v/>
      </c>
      <c r="E4447">
        <f>IF($C4447="","",DATE(YEAR($C4447),MONTH($C4447),1))</f>
        <v/>
      </c>
      <c r="F4447">
        <f>IF($C4447="","",YEAR($C4447)&amp;"-Q"&amp;ROUNDUP(MONTH($C4447)/3,0))</f>
        <v/>
      </c>
      <c r="L4447">
        <f>IF($G4447&lt;&gt;"ALCOHOL","",IF($K4447="","",$H4447*IFERROR(VLOOKUP($K4447,Drink_Templates!$A:$G,7,FALSE),0)))</f>
        <v/>
      </c>
    </row>
    <row r="4448" ht="15" customHeight="1">
      <c r="C4448">
        <f>IF($B4448="","",INT($B4448))</f>
        <v/>
      </c>
      <c r="D4448">
        <f>IF($C4448="","",$C4448-WEEKDAY($C4448,2)+1)</f>
        <v/>
      </c>
      <c r="E4448">
        <f>IF($C4448="","",DATE(YEAR($C4448),MONTH($C4448),1))</f>
        <v/>
      </c>
      <c r="F4448">
        <f>IF($C4448="","",YEAR($C4448)&amp;"-Q"&amp;ROUNDUP(MONTH($C4448)/3,0))</f>
        <v/>
      </c>
      <c r="L4448">
        <f>IF($G4448&lt;&gt;"ALCOHOL","",IF($K4448="","",$H4448*IFERROR(VLOOKUP($K4448,Drink_Templates!$A:$G,7,FALSE),0)))</f>
        <v/>
      </c>
    </row>
    <row r="4449" ht="15" customHeight="1">
      <c r="C4449">
        <f>IF($B4449="","",INT($B4449))</f>
        <v/>
      </c>
      <c r="D4449">
        <f>IF($C4449="","",$C4449-WEEKDAY($C4449,2)+1)</f>
        <v/>
      </c>
      <c r="E4449">
        <f>IF($C4449="","",DATE(YEAR($C4449),MONTH($C4449),1))</f>
        <v/>
      </c>
      <c r="F4449">
        <f>IF($C4449="","",YEAR($C4449)&amp;"-Q"&amp;ROUNDUP(MONTH($C4449)/3,0))</f>
        <v/>
      </c>
      <c r="L4449">
        <f>IF($G4449&lt;&gt;"ALCOHOL","",IF($K4449="","",$H4449*IFERROR(VLOOKUP($K4449,Drink_Templates!$A:$G,7,FALSE),0)))</f>
        <v/>
      </c>
    </row>
    <row r="4450" ht="15" customHeight="1">
      <c r="C4450">
        <f>IF($B4450="","",INT($B4450))</f>
        <v/>
      </c>
      <c r="D4450">
        <f>IF($C4450="","",$C4450-WEEKDAY($C4450,2)+1)</f>
        <v/>
      </c>
      <c r="E4450">
        <f>IF($C4450="","",DATE(YEAR($C4450),MONTH($C4450),1))</f>
        <v/>
      </c>
      <c r="F4450">
        <f>IF($C4450="","",YEAR($C4450)&amp;"-Q"&amp;ROUNDUP(MONTH($C4450)/3,0))</f>
        <v/>
      </c>
      <c r="L4450">
        <f>IF($G4450&lt;&gt;"ALCOHOL","",IF($K4450="","",$H4450*IFERROR(VLOOKUP($K4450,Drink_Templates!$A:$G,7,FALSE),0)))</f>
        <v/>
      </c>
    </row>
    <row r="4451" ht="15" customHeight="1">
      <c r="C4451">
        <f>IF($B4451="","",INT($B4451))</f>
        <v/>
      </c>
      <c r="D4451">
        <f>IF($C4451="","",$C4451-WEEKDAY($C4451,2)+1)</f>
        <v/>
      </c>
      <c r="E4451">
        <f>IF($C4451="","",DATE(YEAR($C4451),MONTH($C4451),1))</f>
        <v/>
      </c>
      <c r="F4451">
        <f>IF($C4451="","",YEAR($C4451)&amp;"-Q"&amp;ROUNDUP(MONTH($C4451)/3,0))</f>
        <v/>
      </c>
      <c r="L4451">
        <f>IF($G4451&lt;&gt;"ALCOHOL","",IF($K4451="","",$H4451*IFERROR(VLOOKUP($K4451,Drink_Templates!$A:$G,7,FALSE),0)))</f>
        <v/>
      </c>
    </row>
    <row r="4452" ht="15" customHeight="1">
      <c r="C4452">
        <f>IF($B4452="","",INT($B4452))</f>
        <v/>
      </c>
      <c r="D4452">
        <f>IF($C4452="","",$C4452-WEEKDAY($C4452,2)+1)</f>
        <v/>
      </c>
      <c r="E4452">
        <f>IF($C4452="","",DATE(YEAR($C4452),MONTH($C4452),1))</f>
        <v/>
      </c>
      <c r="F4452">
        <f>IF($C4452="","",YEAR($C4452)&amp;"-Q"&amp;ROUNDUP(MONTH($C4452)/3,0))</f>
        <v/>
      </c>
      <c r="L4452">
        <f>IF($G4452&lt;&gt;"ALCOHOL","",IF($K4452="","",$H4452*IFERROR(VLOOKUP($K4452,Drink_Templates!$A:$G,7,FALSE),0)))</f>
        <v/>
      </c>
    </row>
    <row r="4453" ht="15" customHeight="1">
      <c r="C4453">
        <f>IF($B4453="","",INT($B4453))</f>
        <v/>
      </c>
      <c r="D4453">
        <f>IF($C4453="","",$C4453-WEEKDAY($C4453,2)+1)</f>
        <v/>
      </c>
      <c r="E4453">
        <f>IF($C4453="","",DATE(YEAR($C4453),MONTH($C4453),1))</f>
        <v/>
      </c>
      <c r="F4453">
        <f>IF($C4453="","",YEAR($C4453)&amp;"-Q"&amp;ROUNDUP(MONTH($C4453)/3,0))</f>
        <v/>
      </c>
      <c r="L4453">
        <f>IF($G4453&lt;&gt;"ALCOHOL","",IF($K4453="","",$H4453*IFERROR(VLOOKUP($K4453,Drink_Templates!$A:$G,7,FALSE),0)))</f>
        <v/>
      </c>
    </row>
    <row r="4454" ht="15" customHeight="1">
      <c r="C4454">
        <f>IF($B4454="","",INT($B4454))</f>
        <v/>
      </c>
      <c r="D4454">
        <f>IF($C4454="","",$C4454-WEEKDAY($C4454,2)+1)</f>
        <v/>
      </c>
      <c r="E4454">
        <f>IF($C4454="","",DATE(YEAR($C4454),MONTH($C4454),1))</f>
        <v/>
      </c>
      <c r="F4454">
        <f>IF($C4454="","",YEAR($C4454)&amp;"-Q"&amp;ROUNDUP(MONTH($C4454)/3,0))</f>
        <v/>
      </c>
      <c r="L4454">
        <f>IF($G4454&lt;&gt;"ALCOHOL","",IF($K4454="","",$H4454*IFERROR(VLOOKUP($K4454,Drink_Templates!$A:$G,7,FALSE),0)))</f>
        <v/>
      </c>
    </row>
    <row r="4455" ht="15" customHeight="1">
      <c r="C4455">
        <f>IF($B4455="","",INT($B4455))</f>
        <v/>
      </c>
      <c r="D4455">
        <f>IF($C4455="","",$C4455-WEEKDAY($C4455,2)+1)</f>
        <v/>
      </c>
      <c r="E4455">
        <f>IF($C4455="","",DATE(YEAR($C4455),MONTH($C4455),1))</f>
        <v/>
      </c>
      <c r="F4455">
        <f>IF($C4455="","",YEAR($C4455)&amp;"-Q"&amp;ROUNDUP(MONTH($C4455)/3,0))</f>
        <v/>
      </c>
      <c r="L4455">
        <f>IF($G4455&lt;&gt;"ALCOHOL","",IF($K4455="","",$H4455*IFERROR(VLOOKUP($K4455,Drink_Templates!$A:$G,7,FALSE),0)))</f>
        <v/>
      </c>
    </row>
    <row r="4456" ht="15" customHeight="1">
      <c r="C4456">
        <f>IF($B4456="","",INT($B4456))</f>
        <v/>
      </c>
      <c r="D4456">
        <f>IF($C4456="","",$C4456-WEEKDAY($C4456,2)+1)</f>
        <v/>
      </c>
      <c r="E4456">
        <f>IF($C4456="","",DATE(YEAR($C4456),MONTH($C4456),1))</f>
        <v/>
      </c>
      <c r="F4456">
        <f>IF($C4456="","",YEAR($C4456)&amp;"-Q"&amp;ROUNDUP(MONTH($C4456)/3,0))</f>
        <v/>
      </c>
      <c r="L4456">
        <f>IF($G4456&lt;&gt;"ALCOHOL","",IF($K4456="","",$H4456*IFERROR(VLOOKUP($K4456,Drink_Templates!$A:$G,7,FALSE),0)))</f>
        <v/>
      </c>
    </row>
    <row r="4457" ht="15" customHeight="1">
      <c r="C4457">
        <f>IF($B4457="","",INT($B4457))</f>
        <v/>
      </c>
      <c r="D4457">
        <f>IF($C4457="","",$C4457-WEEKDAY($C4457,2)+1)</f>
        <v/>
      </c>
      <c r="E4457">
        <f>IF($C4457="","",DATE(YEAR($C4457),MONTH($C4457),1))</f>
        <v/>
      </c>
      <c r="F4457">
        <f>IF($C4457="","",YEAR($C4457)&amp;"-Q"&amp;ROUNDUP(MONTH($C4457)/3,0))</f>
        <v/>
      </c>
      <c r="L4457">
        <f>IF($G4457&lt;&gt;"ALCOHOL","",IF($K4457="","",$H4457*IFERROR(VLOOKUP($K4457,Drink_Templates!$A:$G,7,FALSE),0)))</f>
        <v/>
      </c>
    </row>
    <row r="4458" ht="15" customHeight="1">
      <c r="C4458">
        <f>IF($B4458="","",INT($B4458))</f>
        <v/>
      </c>
      <c r="D4458">
        <f>IF($C4458="","",$C4458-WEEKDAY($C4458,2)+1)</f>
        <v/>
      </c>
      <c r="E4458">
        <f>IF($C4458="","",DATE(YEAR($C4458),MONTH($C4458),1))</f>
        <v/>
      </c>
      <c r="F4458">
        <f>IF($C4458="","",YEAR($C4458)&amp;"-Q"&amp;ROUNDUP(MONTH($C4458)/3,0))</f>
        <v/>
      </c>
      <c r="L4458">
        <f>IF($G4458&lt;&gt;"ALCOHOL","",IF($K4458="","",$H4458*IFERROR(VLOOKUP($K4458,Drink_Templates!$A:$G,7,FALSE),0)))</f>
        <v/>
      </c>
    </row>
    <row r="4459" ht="15" customHeight="1">
      <c r="C4459">
        <f>IF($B4459="","",INT($B4459))</f>
        <v/>
      </c>
      <c r="D4459">
        <f>IF($C4459="","",$C4459-WEEKDAY($C4459,2)+1)</f>
        <v/>
      </c>
      <c r="E4459">
        <f>IF($C4459="","",DATE(YEAR($C4459),MONTH($C4459),1))</f>
        <v/>
      </c>
      <c r="F4459">
        <f>IF($C4459="","",YEAR($C4459)&amp;"-Q"&amp;ROUNDUP(MONTH($C4459)/3,0))</f>
        <v/>
      </c>
      <c r="L4459">
        <f>IF($G4459&lt;&gt;"ALCOHOL","",IF($K4459="","",$H4459*IFERROR(VLOOKUP($K4459,Drink_Templates!$A:$G,7,FALSE),0)))</f>
        <v/>
      </c>
    </row>
    <row r="4460" ht="15" customHeight="1">
      <c r="C4460">
        <f>IF($B4460="","",INT($B4460))</f>
        <v/>
      </c>
      <c r="D4460">
        <f>IF($C4460="","",$C4460-WEEKDAY($C4460,2)+1)</f>
        <v/>
      </c>
      <c r="E4460">
        <f>IF($C4460="","",DATE(YEAR($C4460),MONTH($C4460),1))</f>
        <v/>
      </c>
      <c r="F4460">
        <f>IF($C4460="","",YEAR($C4460)&amp;"-Q"&amp;ROUNDUP(MONTH($C4460)/3,0))</f>
        <v/>
      </c>
      <c r="L4460">
        <f>IF($G4460&lt;&gt;"ALCOHOL","",IF($K4460="","",$H4460*IFERROR(VLOOKUP($K4460,Drink_Templates!$A:$G,7,FALSE),0)))</f>
        <v/>
      </c>
    </row>
    <row r="4461" ht="15" customHeight="1">
      <c r="C4461">
        <f>IF($B4461="","",INT($B4461))</f>
        <v/>
      </c>
      <c r="D4461">
        <f>IF($C4461="","",$C4461-WEEKDAY($C4461,2)+1)</f>
        <v/>
      </c>
      <c r="E4461">
        <f>IF($C4461="","",DATE(YEAR($C4461),MONTH($C4461),1))</f>
        <v/>
      </c>
      <c r="F4461">
        <f>IF($C4461="","",YEAR($C4461)&amp;"-Q"&amp;ROUNDUP(MONTH($C4461)/3,0))</f>
        <v/>
      </c>
      <c r="L4461">
        <f>IF($G4461&lt;&gt;"ALCOHOL","",IF($K4461="","",$H4461*IFERROR(VLOOKUP($K4461,Drink_Templates!$A:$G,7,FALSE),0)))</f>
        <v/>
      </c>
    </row>
    <row r="4462" ht="15" customHeight="1">
      <c r="C4462">
        <f>IF($B4462="","",INT($B4462))</f>
        <v/>
      </c>
      <c r="D4462">
        <f>IF($C4462="","",$C4462-WEEKDAY($C4462,2)+1)</f>
        <v/>
      </c>
      <c r="E4462">
        <f>IF($C4462="","",DATE(YEAR($C4462),MONTH($C4462),1))</f>
        <v/>
      </c>
      <c r="F4462">
        <f>IF($C4462="","",YEAR($C4462)&amp;"-Q"&amp;ROUNDUP(MONTH($C4462)/3,0))</f>
        <v/>
      </c>
      <c r="L4462">
        <f>IF($G4462&lt;&gt;"ALCOHOL","",IF($K4462="","",$H4462*IFERROR(VLOOKUP($K4462,Drink_Templates!$A:$G,7,FALSE),0)))</f>
        <v/>
      </c>
    </row>
    <row r="4463" ht="15" customHeight="1">
      <c r="C4463">
        <f>IF($B4463="","",INT($B4463))</f>
        <v/>
      </c>
      <c r="D4463">
        <f>IF($C4463="","",$C4463-WEEKDAY($C4463,2)+1)</f>
        <v/>
      </c>
      <c r="E4463">
        <f>IF($C4463="","",DATE(YEAR($C4463),MONTH($C4463),1))</f>
        <v/>
      </c>
      <c r="F4463">
        <f>IF($C4463="","",YEAR($C4463)&amp;"-Q"&amp;ROUNDUP(MONTH($C4463)/3,0))</f>
        <v/>
      </c>
      <c r="L4463">
        <f>IF($G4463&lt;&gt;"ALCOHOL","",IF($K4463="","",$H4463*IFERROR(VLOOKUP($K4463,Drink_Templates!$A:$G,7,FALSE),0)))</f>
        <v/>
      </c>
    </row>
    <row r="4464" ht="15" customHeight="1">
      <c r="C4464">
        <f>IF($B4464="","",INT($B4464))</f>
        <v/>
      </c>
      <c r="D4464">
        <f>IF($C4464="","",$C4464-WEEKDAY($C4464,2)+1)</f>
        <v/>
      </c>
      <c r="E4464">
        <f>IF($C4464="","",DATE(YEAR($C4464),MONTH($C4464),1))</f>
        <v/>
      </c>
      <c r="F4464">
        <f>IF($C4464="","",YEAR($C4464)&amp;"-Q"&amp;ROUNDUP(MONTH($C4464)/3,0))</f>
        <v/>
      </c>
      <c r="L4464">
        <f>IF($G4464&lt;&gt;"ALCOHOL","",IF($K4464="","",$H4464*IFERROR(VLOOKUP($K4464,Drink_Templates!$A:$G,7,FALSE),0)))</f>
        <v/>
      </c>
    </row>
    <row r="4465" ht="15" customHeight="1">
      <c r="C4465">
        <f>IF($B4465="","",INT($B4465))</f>
        <v/>
      </c>
      <c r="D4465">
        <f>IF($C4465="","",$C4465-WEEKDAY($C4465,2)+1)</f>
        <v/>
      </c>
      <c r="E4465">
        <f>IF($C4465="","",DATE(YEAR($C4465),MONTH($C4465),1))</f>
        <v/>
      </c>
      <c r="F4465">
        <f>IF($C4465="","",YEAR($C4465)&amp;"-Q"&amp;ROUNDUP(MONTH($C4465)/3,0))</f>
        <v/>
      </c>
      <c r="L4465">
        <f>IF($G4465&lt;&gt;"ALCOHOL","",IF($K4465="","",$H4465*IFERROR(VLOOKUP($K4465,Drink_Templates!$A:$G,7,FALSE),0)))</f>
        <v/>
      </c>
    </row>
    <row r="4466" ht="15" customHeight="1">
      <c r="C4466">
        <f>IF($B4466="","",INT($B4466))</f>
        <v/>
      </c>
      <c r="D4466">
        <f>IF($C4466="","",$C4466-WEEKDAY($C4466,2)+1)</f>
        <v/>
      </c>
      <c r="E4466">
        <f>IF($C4466="","",DATE(YEAR($C4466),MONTH($C4466),1))</f>
        <v/>
      </c>
      <c r="F4466">
        <f>IF($C4466="","",YEAR($C4466)&amp;"-Q"&amp;ROUNDUP(MONTH($C4466)/3,0))</f>
        <v/>
      </c>
      <c r="L4466">
        <f>IF($G4466&lt;&gt;"ALCOHOL","",IF($K4466="","",$H4466*IFERROR(VLOOKUP($K4466,Drink_Templates!$A:$G,7,FALSE),0)))</f>
        <v/>
      </c>
    </row>
    <row r="4467" ht="15" customHeight="1">
      <c r="C4467">
        <f>IF($B4467="","",INT($B4467))</f>
        <v/>
      </c>
      <c r="D4467">
        <f>IF($C4467="","",$C4467-WEEKDAY($C4467,2)+1)</f>
        <v/>
      </c>
      <c r="E4467">
        <f>IF($C4467="","",DATE(YEAR($C4467),MONTH($C4467),1))</f>
        <v/>
      </c>
      <c r="F4467">
        <f>IF($C4467="","",YEAR($C4467)&amp;"-Q"&amp;ROUNDUP(MONTH($C4467)/3,0))</f>
        <v/>
      </c>
      <c r="L4467">
        <f>IF($G4467&lt;&gt;"ALCOHOL","",IF($K4467="","",$H4467*IFERROR(VLOOKUP($K4467,Drink_Templates!$A:$G,7,FALSE),0)))</f>
        <v/>
      </c>
    </row>
    <row r="4468" ht="15" customHeight="1">
      <c r="C4468">
        <f>IF($B4468="","",INT($B4468))</f>
        <v/>
      </c>
      <c r="D4468">
        <f>IF($C4468="","",$C4468-WEEKDAY($C4468,2)+1)</f>
        <v/>
      </c>
      <c r="E4468">
        <f>IF($C4468="","",DATE(YEAR($C4468),MONTH($C4468),1))</f>
        <v/>
      </c>
      <c r="F4468">
        <f>IF($C4468="","",YEAR($C4468)&amp;"-Q"&amp;ROUNDUP(MONTH($C4468)/3,0))</f>
        <v/>
      </c>
      <c r="L4468">
        <f>IF($G4468&lt;&gt;"ALCOHOL","",IF($K4468="","",$H4468*IFERROR(VLOOKUP($K4468,Drink_Templates!$A:$G,7,FALSE),0)))</f>
        <v/>
      </c>
    </row>
    <row r="4469" ht="15" customHeight="1">
      <c r="C4469">
        <f>IF($B4469="","",INT($B4469))</f>
        <v/>
      </c>
      <c r="D4469">
        <f>IF($C4469="","",$C4469-WEEKDAY($C4469,2)+1)</f>
        <v/>
      </c>
      <c r="E4469">
        <f>IF($C4469="","",DATE(YEAR($C4469),MONTH($C4469),1))</f>
        <v/>
      </c>
      <c r="F4469">
        <f>IF($C4469="","",YEAR($C4469)&amp;"-Q"&amp;ROUNDUP(MONTH($C4469)/3,0))</f>
        <v/>
      </c>
      <c r="L4469">
        <f>IF($G4469&lt;&gt;"ALCOHOL","",IF($K4469="","",$H4469*IFERROR(VLOOKUP($K4469,Drink_Templates!$A:$G,7,FALSE),0)))</f>
        <v/>
      </c>
    </row>
    <row r="4470" ht="15" customHeight="1">
      <c r="C4470">
        <f>IF($B4470="","",INT($B4470))</f>
        <v/>
      </c>
      <c r="D4470">
        <f>IF($C4470="","",$C4470-WEEKDAY($C4470,2)+1)</f>
        <v/>
      </c>
      <c r="E4470">
        <f>IF($C4470="","",DATE(YEAR($C4470),MONTH($C4470),1))</f>
        <v/>
      </c>
      <c r="F4470">
        <f>IF($C4470="","",YEAR($C4470)&amp;"-Q"&amp;ROUNDUP(MONTH($C4470)/3,0))</f>
        <v/>
      </c>
      <c r="L4470">
        <f>IF($G4470&lt;&gt;"ALCOHOL","",IF($K4470="","",$H4470*IFERROR(VLOOKUP($K4470,Drink_Templates!$A:$G,7,FALSE),0)))</f>
        <v/>
      </c>
    </row>
    <row r="4471" ht="15" customHeight="1">
      <c r="C4471">
        <f>IF($B4471="","",INT($B4471))</f>
        <v/>
      </c>
      <c r="D4471">
        <f>IF($C4471="","",$C4471-WEEKDAY($C4471,2)+1)</f>
        <v/>
      </c>
      <c r="E4471">
        <f>IF($C4471="","",DATE(YEAR($C4471),MONTH($C4471),1))</f>
        <v/>
      </c>
      <c r="F4471">
        <f>IF($C4471="","",YEAR($C4471)&amp;"-Q"&amp;ROUNDUP(MONTH($C4471)/3,0))</f>
        <v/>
      </c>
      <c r="L4471">
        <f>IF($G4471&lt;&gt;"ALCOHOL","",IF($K4471="","",$H4471*IFERROR(VLOOKUP($K4471,Drink_Templates!$A:$G,7,FALSE),0)))</f>
        <v/>
      </c>
    </row>
    <row r="4472" ht="15" customHeight="1">
      <c r="C4472">
        <f>IF($B4472="","",INT($B4472))</f>
        <v/>
      </c>
      <c r="D4472">
        <f>IF($C4472="","",$C4472-WEEKDAY($C4472,2)+1)</f>
        <v/>
      </c>
      <c r="E4472">
        <f>IF($C4472="","",DATE(YEAR($C4472),MONTH($C4472),1))</f>
        <v/>
      </c>
      <c r="F4472">
        <f>IF($C4472="","",YEAR($C4472)&amp;"-Q"&amp;ROUNDUP(MONTH($C4472)/3,0))</f>
        <v/>
      </c>
      <c r="L4472">
        <f>IF($G4472&lt;&gt;"ALCOHOL","",IF($K4472="","",$H4472*IFERROR(VLOOKUP($K4472,Drink_Templates!$A:$G,7,FALSE),0)))</f>
        <v/>
      </c>
    </row>
    <row r="4473" ht="15" customHeight="1">
      <c r="C4473">
        <f>IF($B4473="","",INT($B4473))</f>
        <v/>
      </c>
      <c r="D4473">
        <f>IF($C4473="","",$C4473-WEEKDAY($C4473,2)+1)</f>
        <v/>
      </c>
      <c r="E4473">
        <f>IF($C4473="","",DATE(YEAR($C4473),MONTH($C4473),1))</f>
        <v/>
      </c>
      <c r="F4473">
        <f>IF($C4473="","",YEAR($C4473)&amp;"-Q"&amp;ROUNDUP(MONTH($C4473)/3,0))</f>
        <v/>
      </c>
      <c r="L4473">
        <f>IF($G4473&lt;&gt;"ALCOHOL","",IF($K4473="","",$H4473*IFERROR(VLOOKUP($K4473,Drink_Templates!$A:$G,7,FALSE),0)))</f>
        <v/>
      </c>
    </row>
    <row r="4474" ht="15" customHeight="1">
      <c r="C4474">
        <f>IF($B4474="","",INT($B4474))</f>
        <v/>
      </c>
      <c r="D4474">
        <f>IF($C4474="","",$C4474-WEEKDAY($C4474,2)+1)</f>
        <v/>
      </c>
      <c r="E4474">
        <f>IF($C4474="","",DATE(YEAR($C4474),MONTH($C4474),1))</f>
        <v/>
      </c>
      <c r="F4474">
        <f>IF($C4474="","",YEAR($C4474)&amp;"-Q"&amp;ROUNDUP(MONTH($C4474)/3,0))</f>
        <v/>
      </c>
      <c r="L4474">
        <f>IF($G4474&lt;&gt;"ALCOHOL","",IF($K4474="","",$H4474*IFERROR(VLOOKUP($K4474,Drink_Templates!$A:$G,7,FALSE),0)))</f>
        <v/>
      </c>
    </row>
    <row r="4475" ht="15" customHeight="1">
      <c r="C4475">
        <f>IF($B4475="","",INT($B4475))</f>
        <v/>
      </c>
      <c r="D4475">
        <f>IF($C4475="","",$C4475-WEEKDAY($C4475,2)+1)</f>
        <v/>
      </c>
      <c r="E4475">
        <f>IF($C4475="","",DATE(YEAR($C4475),MONTH($C4475),1))</f>
        <v/>
      </c>
      <c r="F4475">
        <f>IF($C4475="","",YEAR($C4475)&amp;"-Q"&amp;ROUNDUP(MONTH($C4475)/3,0))</f>
        <v/>
      </c>
      <c r="L4475">
        <f>IF($G4475&lt;&gt;"ALCOHOL","",IF($K4475="","",$H4475*IFERROR(VLOOKUP($K4475,Drink_Templates!$A:$G,7,FALSE),0)))</f>
        <v/>
      </c>
    </row>
    <row r="4476" ht="15" customHeight="1">
      <c r="C4476">
        <f>IF($B4476="","",INT($B4476))</f>
        <v/>
      </c>
      <c r="D4476">
        <f>IF($C4476="","",$C4476-WEEKDAY($C4476,2)+1)</f>
        <v/>
      </c>
      <c r="E4476">
        <f>IF($C4476="","",DATE(YEAR($C4476),MONTH($C4476),1))</f>
        <v/>
      </c>
      <c r="F4476">
        <f>IF($C4476="","",YEAR($C4476)&amp;"-Q"&amp;ROUNDUP(MONTH($C4476)/3,0))</f>
        <v/>
      </c>
      <c r="L4476">
        <f>IF($G4476&lt;&gt;"ALCOHOL","",IF($K4476="","",$H4476*IFERROR(VLOOKUP($K4476,Drink_Templates!$A:$G,7,FALSE),0)))</f>
        <v/>
      </c>
    </row>
    <row r="4477" ht="15" customHeight="1">
      <c r="C4477">
        <f>IF($B4477="","",INT($B4477))</f>
        <v/>
      </c>
      <c r="D4477">
        <f>IF($C4477="","",$C4477-WEEKDAY($C4477,2)+1)</f>
        <v/>
      </c>
      <c r="E4477">
        <f>IF($C4477="","",DATE(YEAR($C4477),MONTH($C4477),1))</f>
        <v/>
      </c>
      <c r="F4477">
        <f>IF($C4477="","",YEAR($C4477)&amp;"-Q"&amp;ROUNDUP(MONTH($C4477)/3,0))</f>
        <v/>
      </c>
      <c r="L4477">
        <f>IF($G4477&lt;&gt;"ALCOHOL","",IF($K4477="","",$H4477*IFERROR(VLOOKUP($K4477,Drink_Templates!$A:$G,7,FALSE),0)))</f>
        <v/>
      </c>
    </row>
    <row r="4478" ht="15" customHeight="1">
      <c r="C4478">
        <f>IF($B4478="","",INT($B4478))</f>
        <v/>
      </c>
      <c r="D4478">
        <f>IF($C4478="","",$C4478-WEEKDAY($C4478,2)+1)</f>
        <v/>
      </c>
      <c r="E4478">
        <f>IF($C4478="","",DATE(YEAR($C4478),MONTH($C4478),1))</f>
        <v/>
      </c>
      <c r="F4478">
        <f>IF($C4478="","",YEAR($C4478)&amp;"-Q"&amp;ROUNDUP(MONTH($C4478)/3,0))</f>
        <v/>
      </c>
      <c r="L4478">
        <f>IF($G4478&lt;&gt;"ALCOHOL","",IF($K4478="","",$H4478*IFERROR(VLOOKUP($K4478,Drink_Templates!$A:$G,7,FALSE),0)))</f>
        <v/>
      </c>
    </row>
    <row r="4479" ht="15" customHeight="1">
      <c r="C4479">
        <f>IF($B4479="","",INT($B4479))</f>
        <v/>
      </c>
      <c r="D4479">
        <f>IF($C4479="","",$C4479-WEEKDAY($C4479,2)+1)</f>
        <v/>
      </c>
      <c r="E4479">
        <f>IF($C4479="","",DATE(YEAR($C4479),MONTH($C4479),1))</f>
        <v/>
      </c>
      <c r="F4479">
        <f>IF($C4479="","",YEAR($C4479)&amp;"-Q"&amp;ROUNDUP(MONTH($C4479)/3,0))</f>
        <v/>
      </c>
      <c r="L4479">
        <f>IF($G4479&lt;&gt;"ALCOHOL","",IF($K4479="","",$H4479*IFERROR(VLOOKUP($K4479,Drink_Templates!$A:$G,7,FALSE),0)))</f>
        <v/>
      </c>
    </row>
    <row r="4480" ht="15" customHeight="1">
      <c r="C4480">
        <f>IF($B4480="","",INT($B4480))</f>
        <v/>
      </c>
      <c r="D4480">
        <f>IF($C4480="","",$C4480-WEEKDAY($C4480,2)+1)</f>
        <v/>
      </c>
      <c r="E4480">
        <f>IF($C4480="","",DATE(YEAR($C4480),MONTH($C4480),1))</f>
        <v/>
      </c>
      <c r="F4480">
        <f>IF($C4480="","",YEAR($C4480)&amp;"-Q"&amp;ROUNDUP(MONTH($C4480)/3,0))</f>
        <v/>
      </c>
      <c r="L4480">
        <f>IF($G4480&lt;&gt;"ALCOHOL","",IF($K4480="","",$H4480*IFERROR(VLOOKUP($K4480,Drink_Templates!$A:$G,7,FALSE),0)))</f>
        <v/>
      </c>
    </row>
    <row r="4481" ht="15" customHeight="1">
      <c r="C4481">
        <f>IF($B4481="","",INT($B4481))</f>
        <v/>
      </c>
      <c r="D4481">
        <f>IF($C4481="","",$C4481-WEEKDAY($C4481,2)+1)</f>
        <v/>
      </c>
      <c r="E4481">
        <f>IF($C4481="","",DATE(YEAR($C4481),MONTH($C4481),1))</f>
        <v/>
      </c>
      <c r="F4481">
        <f>IF($C4481="","",YEAR($C4481)&amp;"-Q"&amp;ROUNDUP(MONTH($C4481)/3,0))</f>
        <v/>
      </c>
      <c r="L4481">
        <f>IF($G4481&lt;&gt;"ALCOHOL","",IF($K4481="","",$H4481*IFERROR(VLOOKUP($K4481,Drink_Templates!$A:$G,7,FALSE),0)))</f>
        <v/>
      </c>
    </row>
    <row r="4482" ht="15" customHeight="1">
      <c r="C4482">
        <f>IF($B4482="","",INT($B4482))</f>
        <v/>
      </c>
      <c r="D4482">
        <f>IF($C4482="","",$C4482-WEEKDAY($C4482,2)+1)</f>
        <v/>
      </c>
      <c r="E4482">
        <f>IF($C4482="","",DATE(YEAR($C4482),MONTH($C4482),1))</f>
        <v/>
      </c>
      <c r="F4482">
        <f>IF($C4482="","",YEAR($C4482)&amp;"-Q"&amp;ROUNDUP(MONTH($C4482)/3,0))</f>
        <v/>
      </c>
      <c r="L4482">
        <f>IF($G4482&lt;&gt;"ALCOHOL","",IF($K4482="","",$H4482*IFERROR(VLOOKUP($K4482,Drink_Templates!$A:$G,7,FALSE),0)))</f>
        <v/>
      </c>
    </row>
    <row r="4483" ht="15" customHeight="1">
      <c r="C4483">
        <f>IF($B4483="","",INT($B4483))</f>
        <v/>
      </c>
      <c r="D4483">
        <f>IF($C4483="","",$C4483-WEEKDAY($C4483,2)+1)</f>
        <v/>
      </c>
      <c r="E4483">
        <f>IF($C4483="","",DATE(YEAR($C4483),MONTH($C4483),1))</f>
        <v/>
      </c>
      <c r="F4483">
        <f>IF($C4483="","",YEAR($C4483)&amp;"-Q"&amp;ROUNDUP(MONTH($C4483)/3,0))</f>
        <v/>
      </c>
      <c r="L4483">
        <f>IF($G4483&lt;&gt;"ALCOHOL","",IF($K4483="","",$H4483*IFERROR(VLOOKUP($K4483,Drink_Templates!$A:$G,7,FALSE),0)))</f>
        <v/>
      </c>
    </row>
    <row r="4484" ht="15" customHeight="1">
      <c r="C4484">
        <f>IF($B4484="","",INT($B4484))</f>
        <v/>
      </c>
      <c r="D4484">
        <f>IF($C4484="","",$C4484-WEEKDAY($C4484,2)+1)</f>
        <v/>
      </c>
      <c r="E4484">
        <f>IF($C4484="","",DATE(YEAR($C4484),MONTH($C4484),1))</f>
        <v/>
      </c>
      <c r="F4484">
        <f>IF($C4484="","",YEAR($C4484)&amp;"-Q"&amp;ROUNDUP(MONTH($C4484)/3,0))</f>
        <v/>
      </c>
      <c r="L4484">
        <f>IF($G4484&lt;&gt;"ALCOHOL","",IF($K4484="","",$H4484*IFERROR(VLOOKUP($K4484,Drink_Templates!$A:$G,7,FALSE),0)))</f>
        <v/>
      </c>
    </row>
    <row r="4485" ht="15" customHeight="1">
      <c r="C4485">
        <f>IF($B4485="","",INT($B4485))</f>
        <v/>
      </c>
      <c r="D4485">
        <f>IF($C4485="","",$C4485-WEEKDAY($C4485,2)+1)</f>
        <v/>
      </c>
      <c r="E4485">
        <f>IF($C4485="","",DATE(YEAR($C4485),MONTH($C4485),1))</f>
        <v/>
      </c>
      <c r="F4485">
        <f>IF($C4485="","",YEAR($C4485)&amp;"-Q"&amp;ROUNDUP(MONTH($C4485)/3,0))</f>
        <v/>
      </c>
      <c r="L4485">
        <f>IF($G4485&lt;&gt;"ALCOHOL","",IF($K4485="","",$H4485*IFERROR(VLOOKUP($K4485,Drink_Templates!$A:$G,7,FALSE),0)))</f>
        <v/>
      </c>
    </row>
    <row r="4486" ht="15" customHeight="1">
      <c r="C4486">
        <f>IF($B4486="","",INT($B4486))</f>
        <v/>
      </c>
      <c r="D4486">
        <f>IF($C4486="","",$C4486-WEEKDAY($C4486,2)+1)</f>
        <v/>
      </c>
      <c r="E4486">
        <f>IF($C4486="","",DATE(YEAR($C4486),MONTH($C4486),1))</f>
        <v/>
      </c>
      <c r="F4486">
        <f>IF($C4486="","",YEAR($C4486)&amp;"-Q"&amp;ROUNDUP(MONTH($C4486)/3,0))</f>
        <v/>
      </c>
      <c r="L4486">
        <f>IF($G4486&lt;&gt;"ALCOHOL","",IF($K4486="","",$H4486*IFERROR(VLOOKUP($K4486,Drink_Templates!$A:$G,7,FALSE),0)))</f>
        <v/>
      </c>
    </row>
    <row r="4487" ht="15" customHeight="1">
      <c r="C4487">
        <f>IF($B4487="","",INT($B4487))</f>
        <v/>
      </c>
      <c r="D4487">
        <f>IF($C4487="","",$C4487-WEEKDAY($C4487,2)+1)</f>
        <v/>
      </c>
      <c r="E4487">
        <f>IF($C4487="","",DATE(YEAR($C4487),MONTH($C4487),1))</f>
        <v/>
      </c>
      <c r="F4487">
        <f>IF($C4487="","",YEAR($C4487)&amp;"-Q"&amp;ROUNDUP(MONTH($C4487)/3,0))</f>
        <v/>
      </c>
      <c r="L4487">
        <f>IF($G4487&lt;&gt;"ALCOHOL","",IF($K4487="","",$H4487*IFERROR(VLOOKUP($K4487,Drink_Templates!$A:$G,7,FALSE),0)))</f>
        <v/>
      </c>
    </row>
    <row r="4488" ht="15" customHeight="1">
      <c r="C4488">
        <f>IF($B4488="","",INT($B4488))</f>
        <v/>
      </c>
      <c r="D4488">
        <f>IF($C4488="","",$C4488-WEEKDAY($C4488,2)+1)</f>
        <v/>
      </c>
      <c r="E4488">
        <f>IF($C4488="","",DATE(YEAR($C4488),MONTH($C4488),1))</f>
        <v/>
      </c>
      <c r="F4488">
        <f>IF($C4488="","",YEAR($C4488)&amp;"-Q"&amp;ROUNDUP(MONTH($C4488)/3,0))</f>
        <v/>
      </c>
      <c r="L4488">
        <f>IF($G4488&lt;&gt;"ALCOHOL","",IF($K4488="","",$H4488*IFERROR(VLOOKUP($K4488,Drink_Templates!$A:$G,7,FALSE),0)))</f>
        <v/>
      </c>
    </row>
    <row r="4489" ht="15" customHeight="1">
      <c r="C4489">
        <f>IF($B4489="","",INT($B4489))</f>
        <v/>
      </c>
      <c r="D4489">
        <f>IF($C4489="","",$C4489-WEEKDAY($C4489,2)+1)</f>
        <v/>
      </c>
      <c r="E4489">
        <f>IF($C4489="","",DATE(YEAR($C4489),MONTH($C4489),1))</f>
        <v/>
      </c>
      <c r="F4489">
        <f>IF($C4489="","",YEAR($C4489)&amp;"-Q"&amp;ROUNDUP(MONTH($C4489)/3,0))</f>
        <v/>
      </c>
      <c r="L4489">
        <f>IF($G4489&lt;&gt;"ALCOHOL","",IF($K4489="","",$H4489*IFERROR(VLOOKUP($K4489,Drink_Templates!$A:$G,7,FALSE),0)))</f>
        <v/>
      </c>
    </row>
    <row r="4490" ht="15" customHeight="1">
      <c r="C4490">
        <f>IF($B4490="","",INT($B4490))</f>
        <v/>
      </c>
      <c r="D4490">
        <f>IF($C4490="","",$C4490-WEEKDAY($C4490,2)+1)</f>
        <v/>
      </c>
      <c r="E4490">
        <f>IF($C4490="","",DATE(YEAR($C4490),MONTH($C4490),1))</f>
        <v/>
      </c>
      <c r="F4490">
        <f>IF($C4490="","",YEAR($C4490)&amp;"-Q"&amp;ROUNDUP(MONTH($C4490)/3,0))</f>
        <v/>
      </c>
      <c r="L4490">
        <f>IF($G4490&lt;&gt;"ALCOHOL","",IF($K4490="","",$H4490*IFERROR(VLOOKUP($K4490,Drink_Templates!$A:$G,7,FALSE),0)))</f>
        <v/>
      </c>
    </row>
    <row r="4491" ht="15" customHeight="1">
      <c r="C4491">
        <f>IF($B4491="","",INT($B4491))</f>
        <v/>
      </c>
      <c r="D4491">
        <f>IF($C4491="","",$C4491-WEEKDAY($C4491,2)+1)</f>
        <v/>
      </c>
      <c r="E4491">
        <f>IF($C4491="","",DATE(YEAR($C4491),MONTH($C4491),1))</f>
        <v/>
      </c>
      <c r="F4491">
        <f>IF($C4491="","",YEAR($C4491)&amp;"-Q"&amp;ROUNDUP(MONTH($C4491)/3,0))</f>
        <v/>
      </c>
      <c r="L4491">
        <f>IF($G4491&lt;&gt;"ALCOHOL","",IF($K4491="","",$H4491*IFERROR(VLOOKUP($K4491,Drink_Templates!$A:$G,7,FALSE),0)))</f>
        <v/>
      </c>
    </row>
    <row r="4492" ht="15" customHeight="1">
      <c r="C4492">
        <f>IF($B4492="","",INT($B4492))</f>
        <v/>
      </c>
      <c r="D4492">
        <f>IF($C4492="","",$C4492-WEEKDAY($C4492,2)+1)</f>
        <v/>
      </c>
      <c r="E4492">
        <f>IF($C4492="","",DATE(YEAR($C4492),MONTH($C4492),1))</f>
        <v/>
      </c>
      <c r="F4492">
        <f>IF($C4492="","",YEAR($C4492)&amp;"-Q"&amp;ROUNDUP(MONTH($C4492)/3,0))</f>
        <v/>
      </c>
      <c r="L4492">
        <f>IF($G4492&lt;&gt;"ALCOHOL","",IF($K4492="","",$H4492*IFERROR(VLOOKUP($K4492,Drink_Templates!$A:$G,7,FALSE),0)))</f>
        <v/>
      </c>
    </row>
    <row r="4493" ht="15" customHeight="1">
      <c r="C4493">
        <f>IF($B4493="","",INT($B4493))</f>
        <v/>
      </c>
      <c r="D4493">
        <f>IF($C4493="","",$C4493-WEEKDAY($C4493,2)+1)</f>
        <v/>
      </c>
      <c r="E4493">
        <f>IF($C4493="","",DATE(YEAR($C4493),MONTH($C4493),1))</f>
        <v/>
      </c>
      <c r="F4493">
        <f>IF($C4493="","",YEAR($C4493)&amp;"-Q"&amp;ROUNDUP(MONTH($C4493)/3,0))</f>
        <v/>
      </c>
      <c r="L4493">
        <f>IF($G4493&lt;&gt;"ALCOHOL","",IF($K4493="","",$H4493*IFERROR(VLOOKUP($K4493,Drink_Templates!$A:$G,7,FALSE),0)))</f>
        <v/>
      </c>
    </row>
    <row r="4494" ht="15" customHeight="1">
      <c r="C4494">
        <f>IF($B4494="","",INT($B4494))</f>
        <v/>
      </c>
      <c r="D4494">
        <f>IF($C4494="","",$C4494-WEEKDAY($C4494,2)+1)</f>
        <v/>
      </c>
      <c r="E4494">
        <f>IF($C4494="","",DATE(YEAR($C4494),MONTH($C4494),1))</f>
        <v/>
      </c>
      <c r="F4494">
        <f>IF($C4494="","",YEAR($C4494)&amp;"-Q"&amp;ROUNDUP(MONTH($C4494)/3,0))</f>
        <v/>
      </c>
      <c r="L4494">
        <f>IF($G4494&lt;&gt;"ALCOHOL","",IF($K4494="","",$H4494*IFERROR(VLOOKUP($K4494,Drink_Templates!$A:$G,7,FALSE),0)))</f>
        <v/>
      </c>
    </row>
    <row r="4495" ht="15" customHeight="1">
      <c r="C4495">
        <f>IF($B4495="","",INT($B4495))</f>
        <v/>
      </c>
      <c r="D4495">
        <f>IF($C4495="","",$C4495-WEEKDAY($C4495,2)+1)</f>
        <v/>
      </c>
      <c r="E4495">
        <f>IF($C4495="","",DATE(YEAR($C4495),MONTH($C4495),1))</f>
        <v/>
      </c>
      <c r="F4495">
        <f>IF($C4495="","",YEAR($C4495)&amp;"-Q"&amp;ROUNDUP(MONTH($C4495)/3,0))</f>
        <v/>
      </c>
      <c r="L4495">
        <f>IF($G4495&lt;&gt;"ALCOHOL","",IF($K4495="","",$H4495*IFERROR(VLOOKUP($K4495,Drink_Templates!$A:$G,7,FALSE),0)))</f>
        <v/>
      </c>
    </row>
    <row r="4496" ht="15" customHeight="1">
      <c r="C4496">
        <f>IF($B4496="","",INT($B4496))</f>
        <v/>
      </c>
      <c r="D4496">
        <f>IF($C4496="","",$C4496-WEEKDAY($C4496,2)+1)</f>
        <v/>
      </c>
      <c r="E4496">
        <f>IF($C4496="","",DATE(YEAR($C4496),MONTH($C4496),1))</f>
        <v/>
      </c>
      <c r="F4496">
        <f>IF($C4496="","",YEAR($C4496)&amp;"-Q"&amp;ROUNDUP(MONTH($C4496)/3,0))</f>
        <v/>
      </c>
      <c r="L4496">
        <f>IF($G4496&lt;&gt;"ALCOHOL","",IF($K4496="","",$H4496*IFERROR(VLOOKUP($K4496,Drink_Templates!$A:$G,7,FALSE),0)))</f>
        <v/>
      </c>
    </row>
    <row r="4497" ht="15" customHeight="1">
      <c r="C4497">
        <f>IF($B4497="","",INT($B4497))</f>
        <v/>
      </c>
      <c r="D4497">
        <f>IF($C4497="","",$C4497-WEEKDAY($C4497,2)+1)</f>
        <v/>
      </c>
      <c r="E4497">
        <f>IF($C4497="","",DATE(YEAR($C4497),MONTH($C4497),1))</f>
        <v/>
      </c>
      <c r="F4497">
        <f>IF($C4497="","",YEAR($C4497)&amp;"-Q"&amp;ROUNDUP(MONTH($C4497)/3,0))</f>
        <v/>
      </c>
      <c r="L4497">
        <f>IF($G4497&lt;&gt;"ALCOHOL","",IF($K4497="","",$H4497*IFERROR(VLOOKUP($K4497,Drink_Templates!$A:$G,7,FALSE),0)))</f>
        <v/>
      </c>
    </row>
    <row r="4498" ht="15" customHeight="1">
      <c r="C4498">
        <f>IF($B4498="","",INT($B4498))</f>
        <v/>
      </c>
      <c r="D4498">
        <f>IF($C4498="","",$C4498-WEEKDAY($C4498,2)+1)</f>
        <v/>
      </c>
      <c r="E4498">
        <f>IF($C4498="","",DATE(YEAR($C4498),MONTH($C4498),1))</f>
        <v/>
      </c>
      <c r="F4498">
        <f>IF($C4498="","",YEAR($C4498)&amp;"-Q"&amp;ROUNDUP(MONTH($C4498)/3,0))</f>
        <v/>
      </c>
      <c r="L4498">
        <f>IF($G4498&lt;&gt;"ALCOHOL","",IF($K4498="","",$H4498*IFERROR(VLOOKUP($K4498,Drink_Templates!$A:$G,7,FALSE),0)))</f>
        <v/>
      </c>
    </row>
    <row r="4499" ht="15" customHeight="1">
      <c r="C4499">
        <f>IF($B4499="","",INT($B4499))</f>
        <v/>
      </c>
      <c r="D4499">
        <f>IF($C4499="","",$C4499-WEEKDAY($C4499,2)+1)</f>
        <v/>
      </c>
      <c r="E4499">
        <f>IF($C4499="","",DATE(YEAR($C4499),MONTH($C4499),1))</f>
        <v/>
      </c>
      <c r="F4499">
        <f>IF($C4499="","",YEAR($C4499)&amp;"-Q"&amp;ROUNDUP(MONTH($C4499)/3,0))</f>
        <v/>
      </c>
      <c r="L4499">
        <f>IF($G4499&lt;&gt;"ALCOHOL","",IF($K4499="","",$H4499*IFERROR(VLOOKUP($K4499,Drink_Templates!$A:$G,7,FALSE),0)))</f>
        <v/>
      </c>
    </row>
    <row r="4500" ht="15" customHeight="1">
      <c r="C4500">
        <f>IF($B4500="","",INT($B4500))</f>
        <v/>
      </c>
      <c r="D4500">
        <f>IF($C4500="","",$C4500-WEEKDAY($C4500,2)+1)</f>
        <v/>
      </c>
      <c r="E4500">
        <f>IF($C4500="","",DATE(YEAR($C4500),MONTH($C4500),1))</f>
        <v/>
      </c>
      <c r="F4500">
        <f>IF($C4500="","",YEAR($C4500)&amp;"-Q"&amp;ROUNDUP(MONTH($C4500)/3,0))</f>
        <v/>
      </c>
      <c r="L4500">
        <f>IF($G4500&lt;&gt;"ALCOHOL","",IF($K4500="","",$H4500*IFERROR(VLOOKUP($K4500,Drink_Templates!$A:$G,7,FALSE),0)))</f>
        <v/>
      </c>
    </row>
    <row r="4501" ht="15" customHeight="1">
      <c r="C4501">
        <f>IF($B4501="","",INT($B4501))</f>
        <v/>
      </c>
      <c r="D4501">
        <f>IF($C4501="","",$C4501-WEEKDAY($C4501,2)+1)</f>
        <v/>
      </c>
      <c r="E4501">
        <f>IF($C4501="","",DATE(YEAR($C4501),MONTH($C4501),1))</f>
        <v/>
      </c>
      <c r="F4501">
        <f>IF($C4501="","",YEAR($C4501)&amp;"-Q"&amp;ROUNDUP(MONTH($C4501)/3,0))</f>
        <v/>
      </c>
      <c r="L4501">
        <f>IF($G4501&lt;&gt;"ALCOHOL","",IF($K4501="","",$H4501*IFERROR(VLOOKUP($K4501,Drink_Templates!$A:$G,7,FALSE),0)))</f>
        <v/>
      </c>
    </row>
    <row r="4502" ht="15" customHeight="1">
      <c r="C4502">
        <f>IF($B4502="","",INT($B4502))</f>
        <v/>
      </c>
      <c r="D4502">
        <f>IF($C4502="","",$C4502-WEEKDAY($C4502,2)+1)</f>
        <v/>
      </c>
      <c r="E4502">
        <f>IF($C4502="","",DATE(YEAR($C4502),MONTH($C4502),1))</f>
        <v/>
      </c>
      <c r="F4502">
        <f>IF($C4502="","",YEAR($C4502)&amp;"-Q"&amp;ROUNDUP(MONTH($C4502)/3,0))</f>
        <v/>
      </c>
      <c r="L4502">
        <f>IF($G4502&lt;&gt;"ALCOHOL","",IF($K4502="","",$H4502*IFERROR(VLOOKUP($K4502,Drink_Templates!$A:$G,7,FALSE),0)))</f>
        <v/>
      </c>
    </row>
    <row r="4503" ht="15" customHeight="1">
      <c r="C4503">
        <f>IF($B4503="","",INT($B4503))</f>
        <v/>
      </c>
      <c r="D4503">
        <f>IF($C4503="","",$C4503-WEEKDAY($C4503,2)+1)</f>
        <v/>
      </c>
      <c r="E4503">
        <f>IF($C4503="","",DATE(YEAR($C4503),MONTH($C4503),1))</f>
        <v/>
      </c>
      <c r="F4503">
        <f>IF($C4503="","",YEAR($C4503)&amp;"-Q"&amp;ROUNDUP(MONTH($C4503)/3,0))</f>
        <v/>
      </c>
      <c r="L4503">
        <f>IF($G4503&lt;&gt;"ALCOHOL","",IF($K4503="","",$H4503*IFERROR(VLOOKUP($K4503,Drink_Templates!$A:$G,7,FALSE),0)))</f>
        <v/>
      </c>
    </row>
    <row r="4504" ht="15" customHeight="1">
      <c r="C4504">
        <f>IF($B4504="","",INT($B4504))</f>
        <v/>
      </c>
      <c r="D4504">
        <f>IF($C4504="","",$C4504-WEEKDAY($C4504,2)+1)</f>
        <v/>
      </c>
      <c r="E4504">
        <f>IF($C4504="","",DATE(YEAR($C4504),MONTH($C4504),1))</f>
        <v/>
      </c>
      <c r="F4504">
        <f>IF($C4504="","",YEAR($C4504)&amp;"-Q"&amp;ROUNDUP(MONTH($C4504)/3,0))</f>
        <v/>
      </c>
      <c r="L4504">
        <f>IF($G4504&lt;&gt;"ALCOHOL","",IF($K4504="","",$H4504*IFERROR(VLOOKUP($K4504,Drink_Templates!$A:$G,7,FALSE),0)))</f>
        <v/>
      </c>
    </row>
    <row r="4505" ht="15" customHeight="1">
      <c r="C4505">
        <f>IF($B4505="","",INT($B4505))</f>
        <v/>
      </c>
      <c r="D4505">
        <f>IF($C4505="","",$C4505-WEEKDAY($C4505,2)+1)</f>
        <v/>
      </c>
      <c r="E4505">
        <f>IF($C4505="","",DATE(YEAR($C4505),MONTH($C4505),1))</f>
        <v/>
      </c>
      <c r="F4505">
        <f>IF($C4505="","",YEAR($C4505)&amp;"-Q"&amp;ROUNDUP(MONTH($C4505)/3,0))</f>
        <v/>
      </c>
      <c r="L4505">
        <f>IF($G4505&lt;&gt;"ALCOHOL","",IF($K4505="","",$H4505*IFERROR(VLOOKUP($K4505,Drink_Templates!$A:$G,7,FALSE),0)))</f>
        <v/>
      </c>
    </row>
    <row r="4506" ht="15" customHeight="1">
      <c r="C4506">
        <f>IF($B4506="","",INT($B4506))</f>
        <v/>
      </c>
      <c r="D4506">
        <f>IF($C4506="","",$C4506-WEEKDAY($C4506,2)+1)</f>
        <v/>
      </c>
      <c r="E4506">
        <f>IF($C4506="","",DATE(YEAR($C4506),MONTH($C4506),1))</f>
        <v/>
      </c>
      <c r="F4506">
        <f>IF($C4506="","",YEAR($C4506)&amp;"-Q"&amp;ROUNDUP(MONTH($C4506)/3,0))</f>
        <v/>
      </c>
      <c r="L4506">
        <f>IF($G4506&lt;&gt;"ALCOHOL","",IF($K4506="","",$H4506*IFERROR(VLOOKUP($K4506,Drink_Templates!$A:$G,7,FALSE),0)))</f>
        <v/>
      </c>
    </row>
    <row r="4507" ht="15" customHeight="1">
      <c r="C4507">
        <f>IF($B4507="","",INT($B4507))</f>
        <v/>
      </c>
      <c r="D4507">
        <f>IF($C4507="","",$C4507-WEEKDAY($C4507,2)+1)</f>
        <v/>
      </c>
      <c r="E4507">
        <f>IF($C4507="","",DATE(YEAR($C4507),MONTH($C4507),1))</f>
        <v/>
      </c>
      <c r="F4507">
        <f>IF($C4507="","",YEAR($C4507)&amp;"-Q"&amp;ROUNDUP(MONTH($C4507)/3,0))</f>
        <v/>
      </c>
      <c r="L4507">
        <f>IF($G4507&lt;&gt;"ALCOHOL","",IF($K4507="","",$H4507*IFERROR(VLOOKUP($K4507,Drink_Templates!$A:$G,7,FALSE),0)))</f>
        <v/>
      </c>
    </row>
    <row r="4508" ht="15" customHeight="1">
      <c r="C4508">
        <f>IF($B4508="","",INT($B4508))</f>
        <v/>
      </c>
      <c r="D4508">
        <f>IF($C4508="","",$C4508-WEEKDAY($C4508,2)+1)</f>
        <v/>
      </c>
      <c r="E4508">
        <f>IF($C4508="","",DATE(YEAR($C4508),MONTH($C4508),1))</f>
        <v/>
      </c>
      <c r="F4508">
        <f>IF($C4508="","",YEAR($C4508)&amp;"-Q"&amp;ROUNDUP(MONTH($C4508)/3,0))</f>
        <v/>
      </c>
      <c r="L4508">
        <f>IF($G4508&lt;&gt;"ALCOHOL","",IF($K4508="","",$H4508*IFERROR(VLOOKUP($K4508,Drink_Templates!$A:$G,7,FALSE),0)))</f>
        <v/>
      </c>
    </row>
    <row r="4509" ht="15" customHeight="1">
      <c r="C4509">
        <f>IF($B4509="","",INT($B4509))</f>
        <v/>
      </c>
      <c r="D4509">
        <f>IF($C4509="","",$C4509-WEEKDAY($C4509,2)+1)</f>
        <v/>
      </c>
      <c r="E4509">
        <f>IF($C4509="","",DATE(YEAR($C4509),MONTH($C4509),1))</f>
        <v/>
      </c>
      <c r="F4509">
        <f>IF($C4509="","",YEAR($C4509)&amp;"-Q"&amp;ROUNDUP(MONTH($C4509)/3,0))</f>
        <v/>
      </c>
      <c r="L4509">
        <f>IF($G4509&lt;&gt;"ALCOHOL","",IF($K4509="","",$H4509*IFERROR(VLOOKUP($K4509,Drink_Templates!$A:$G,7,FALSE),0)))</f>
        <v/>
      </c>
    </row>
    <row r="4510" ht="15" customHeight="1">
      <c r="C4510">
        <f>IF($B4510="","",INT($B4510))</f>
        <v/>
      </c>
      <c r="D4510">
        <f>IF($C4510="","",$C4510-WEEKDAY($C4510,2)+1)</f>
        <v/>
      </c>
      <c r="E4510">
        <f>IF($C4510="","",DATE(YEAR($C4510),MONTH($C4510),1))</f>
        <v/>
      </c>
      <c r="F4510">
        <f>IF($C4510="","",YEAR($C4510)&amp;"-Q"&amp;ROUNDUP(MONTH($C4510)/3,0))</f>
        <v/>
      </c>
      <c r="L4510">
        <f>IF($G4510&lt;&gt;"ALCOHOL","",IF($K4510="","",$H4510*IFERROR(VLOOKUP($K4510,Drink_Templates!$A:$G,7,FALSE),0)))</f>
        <v/>
      </c>
    </row>
    <row r="4511" ht="15" customHeight="1">
      <c r="C4511">
        <f>IF($B4511="","",INT($B4511))</f>
        <v/>
      </c>
      <c r="D4511">
        <f>IF($C4511="","",$C4511-WEEKDAY($C4511,2)+1)</f>
        <v/>
      </c>
      <c r="E4511">
        <f>IF($C4511="","",DATE(YEAR($C4511),MONTH($C4511),1))</f>
        <v/>
      </c>
      <c r="F4511">
        <f>IF($C4511="","",YEAR($C4511)&amp;"-Q"&amp;ROUNDUP(MONTH($C4511)/3,0))</f>
        <v/>
      </c>
      <c r="L4511">
        <f>IF($G4511&lt;&gt;"ALCOHOL","",IF($K4511="","",$H4511*IFERROR(VLOOKUP($K4511,Drink_Templates!$A:$G,7,FALSE),0)))</f>
        <v/>
      </c>
    </row>
    <row r="4512" ht="15" customHeight="1">
      <c r="C4512">
        <f>IF($B4512="","",INT($B4512))</f>
        <v/>
      </c>
      <c r="D4512">
        <f>IF($C4512="","",$C4512-WEEKDAY($C4512,2)+1)</f>
        <v/>
      </c>
      <c r="E4512">
        <f>IF($C4512="","",DATE(YEAR($C4512),MONTH($C4512),1))</f>
        <v/>
      </c>
      <c r="F4512">
        <f>IF($C4512="","",YEAR($C4512)&amp;"-Q"&amp;ROUNDUP(MONTH($C4512)/3,0))</f>
        <v/>
      </c>
      <c r="L4512">
        <f>IF($G4512&lt;&gt;"ALCOHOL","",IF($K4512="","",$H4512*IFERROR(VLOOKUP($K4512,Drink_Templates!$A:$G,7,FALSE),0)))</f>
        <v/>
      </c>
    </row>
    <row r="4513" ht="15" customHeight="1">
      <c r="C4513">
        <f>IF($B4513="","",INT($B4513))</f>
        <v/>
      </c>
      <c r="D4513">
        <f>IF($C4513="","",$C4513-WEEKDAY($C4513,2)+1)</f>
        <v/>
      </c>
      <c r="E4513">
        <f>IF($C4513="","",DATE(YEAR($C4513),MONTH($C4513),1))</f>
        <v/>
      </c>
      <c r="F4513">
        <f>IF($C4513="","",YEAR($C4513)&amp;"-Q"&amp;ROUNDUP(MONTH($C4513)/3,0))</f>
        <v/>
      </c>
      <c r="L4513">
        <f>IF($G4513&lt;&gt;"ALCOHOL","",IF($K4513="","",$H4513*IFERROR(VLOOKUP($K4513,Drink_Templates!$A:$G,7,FALSE),0)))</f>
        <v/>
      </c>
    </row>
    <row r="4514" ht="15" customHeight="1">
      <c r="C4514">
        <f>IF($B4514="","",INT($B4514))</f>
        <v/>
      </c>
      <c r="D4514">
        <f>IF($C4514="","",$C4514-WEEKDAY($C4514,2)+1)</f>
        <v/>
      </c>
      <c r="E4514">
        <f>IF($C4514="","",DATE(YEAR($C4514),MONTH($C4514),1))</f>
        <v/>
      </c>
      <c r="F4514">
        <f>IF($C4514="","",YEAR($C4514)&amp;"-Q"&amp;ROUNDUP(MONTH($C4514)/3,0))</f>
        <v/>
      </c>
      <c r="L4514">
        <f>IF($G4514&lt;&gt;"ALCOHOL","",IF($K4514="","",$H4514*IFERROR(VLOOKUP($K4514,Drink_Templates!$A:$G,7,FALSE),0)))</f>
        <v/>
      </c>
    </row>
    <row r="4515" ht="15" customHeight="1">
      <c r="C4515">
        <f>IF($B4515="","",INT($B4515))</f>
        <v/>
      </c>
      <c r="D4515">
        <f>IF($C4515="","",$C4515-WEEKDAY($C4515,2)+1)</f>
        <v/>
      </c>
      <c r="E4515">
        <f>IF($C4515="","",DATE(YEAR($C4515),MONTH($C4515),1))</f>
        <v/>
      </c>
      <c r="F4515">
        <f>IF($C4515="","",YEAR($C4515)&amp;"-Q"&amp;ROUNDUP(MONTH($C4515)/3,0))</f>
        <v/>
      </c>
      <c r="L4515">
        <f>IF($G4515&lt;&gt;"ALCOHOL","",IF($K4515="","",$H4515*IFERROR(VLOOKUP($K4515,Drink_Templates!$A:$G,7,FALSE),0)))</f>
        <v/>
      </c>
    </row>
    <row r="4516" ht="15" customHeight="1">
      <c r="C4516">
        <f>IF($B4516="","",INT($B4516))</f>
        <v/>
      </c>
      <c r="D4516">
        <f>IF($C4516="","",$C4516-WEEKDAY($C4516,2)+1)</f>
        <v/>
      </c>
      <c r="E4516">
        <f>IF($C4516="","",DATE(YEAR($C4516),MONTH($C4516),1))</f>
        <v/>
      </c>
      <c r="F4516">
        <f>IF($C4516="","",YEAR($C4516)&amp;"-Q"&amp;ROUNDUP(MONTH($C4516)/3,0))</f>
        <v/>
      </c>
      <c r="L4516">
        <f>IF($G4516&lt;&gt;"ALCOHOL","",IF($K4516="","",$H4516*IFERROR(VLOOKUP($K4516,Drink_Templates!$A:$G,7,FALSE),0)))</f>
        <v/>
      </c>
    </row>
    <row r="4517" ht="15" customHeight="1">
      <c r="C4517">
        <f>IF($B4517="","",INT($B4517))</f>
        <v/>
      </c>
      <c r="D4517">
        <f>IF($C4517="","",$C4517-WEEKDAY($C4517,2)+1)</f>
        <v/>
      </c>
      <c r="E4517">
        <f>IF($C4517="","",DATE(YEAR($C4517),MONTH($C4517),1))</f>
        <v/>
      </c>
      <c r="F4517">
        <f>IF($C4517="","",YEAR($C4517)&amp;"-Q"&amp;ROUNDUP(MONTH($C4517)/3,0))</f>
        <v/>
      </c>
      <c r="L4517">
        <f>IF($G4517&lt;&gt;"ALCOHOL","",IF($K4517="","",$H4517*IFERROR(VLOOKUP($K4517,Drink_Templates!$A:$G,7,FALSE),0)))</f>
        <v/>
      </c>
    </row>
    <row r="4518" ht="15" customHeight="1">
      <c r="C4518">
        <f>IF($B4518="","",INT($B4518))</f>
        <v/>
      </c>
      <c r="D4518">
        <f>IF($C4518="","",$C4518-WEEKDAY($C4518,2)+1)</f>
        <v/>
      </c>
      <c r="E4518">
        <f>IF($C4518="","",DATE(YEAR($C4518),MONTH($C4518),1))</f>
        <v/>
      </c>
      <c r="F4518">
        <f>IF($C4518="","",YEAR($C4518)&amp;"-Q"&amp;ROUNDUP(MONTH($C4518)/3,0))</f>
        <v/>
      </c>
      <c r="L4518">
        <f>IF($G4518&lt;&gt;"ALCOHOL","",IF($K4518="","",$H4518*IFERROR(VLOOKUP($K4518,Drink_Templates!$A:$G,7,FALSE),0)))</f>
        <v/>
      </c>
    </row>
    <row r="4519" ht="15" customHeight="1">
      <c r="C4519">
        <f>IF($B4519="","",INT($B4519))</f>
        <v/>
      </c>
      <c r="D4519">
        <f>IF($C4519="","",$C4519-WEEKDAY($C4519,2)+1)</f>
        <v/>
      </c>
      <c r="E4519">
        <f>IF($C4519="","",DATE(YEAR($C4519),MONTH($C4519),1))</f>
        <v/>
      </c>
      <c r="F4519">
        <f>IF($C4519="","",YEAR($C4519)&amp;"-Q"&amp;ROUNDUP(MONTH($C4519)/3,0))</f>
        <v/>
      </c>
      <c r="L4519">
        <f>IF($G4519&lt;&gt;"ALCOHOL","",IF($K4519="","",$H4519*IFERROR(VLOOKUP($K4519,Drink_Templates!$A:$G,7,FALSE),0)))</f>
        <v/>
      </c>
    </row>
    <row r="4520" ht="15" customHeight="1">
      <c r="C4520">
        <f>IF($B4520="","",INT($B4520))</f>
        <v/>
      </c>
      <c r="D4520">
        <f>IF($C4520="","",$C4520-WEEKDAY($C4520,2)+1)</f>
        <v/>
      </c>
      <c r="E4520">
        <f>IF($C4520="","",DATE(YEAR($C4520),MONTH($C4520),1))</f>
        <v/>
      </c>
      <c r="F4520">
        <f>IF($C4520="","",YEAR($C4520)&amp;"-Q"&amp;ROUNDUP(MONTH($C4520)/3,0))</f>
        <v/>
      </c>
      <c r="L4520">
        <f>IF($G4520&lt;&gt;"ALCOHOL","",IF($K4520="","",$H4520*IFERROR(VLOOKUP($K4520,Drink_Templates!$A:$G,7,FALSE),0)))</f>
        <v/>
      </c>
    </row>
    <row r="4521" ht="15" customHeight="1">
      <c r="C4521">
        <f>IF($B4521="","",INT($B4521))</f>
        <v/>
      </c>
      <c r="D4521">
        <f>IF($C4521="","",$C4521-WEEKDAY($C4521,2)+1)</f>
        <v/>
      </c>
      <c r="E4521">
        <f>IF($C4521="","",DATE(YEAR($C4521),MONTH($C4521),1))</f>
        <v/>
      </c>
      <c r="F4521">
        <f>IF($C4521="","",YEAR($C4521)&amp;"-Q"&amp;ROUNDUP(MONTH($C4521)/3,0))</f>
        <v/>
      </c>
      <c r="L4521">
        <f>IF($G4521&lt;&gt;"ALCOHOL","",IF($K4521="","",$H4521*IFERROR(VLOOKUP($K4521,Drink_Templates!$A:$G,7,FALSE),0)))</f>
        <v/>
      </c>
    </row>
    <row r="4522" ht="15" customHeight="1">
      <c r="C4522">
        <f>IF($B4522="","",INT($B4522))</f>
        <v/>
      </c>
      <c r="D4522">
        <f>IF($C4522="","",$C4522-WEEKDAY($C4522,2)+1)</f>
        <v/>
      </c>
      <c r="E4522">
        <f>IF($C4522="","",DATE(YEAR($C4522),MONTH($C4522),1))</f>
        <v/>
      </c>
      <c r="F4522">
        <f>IF($C4522="","",YEAR($C4522)&amp;"-Q"&amp;ROUNDUP(MONTH($C4522)/3,0))</f>
        <v/>
      </c>
      <c r="L4522">
        <f>IF($G4522&lt;&gt;"ALCOHOL","",IF($K4522="","",$H4522*IFERROR(VLOOKUP($K4522,Drink_Templates!$A:$G,7,FALSE),0)))</f>
        <v/>
      </c>
    </row>
    <row r="4523" ht="15" customHeight="1">
      <c r="C4523">
        <f>IF($B4523="","",INT($B4523))</f>
        <v/>
      </c>
      <c r="D4523">
        <f>IF($C4523="","",$C4523-WEEKDAY($C4523,2)+1)</f>
        <v/>
      </c>
      <c r="E4523">
        <f>IF($C4523="","",DATE(YEAR($C4523),MONTH($C4523),1))</f>
        <v/>
      </c>
      <c r="F4523">
        <f>IF($C4523="","",YEAR($C4523)&amp;"-Q"&amp;ROUNDUP(MONTH($C4523)/3,0))</f>
        <v/>
      </c>
      <c r="L4523">
        <f>IF($G4523&lt;&gt;"ALCOHOL","",IF($K4523="","",$H4523*IFERROR(VLOOKUP($K4523,Drink_Templates!$A:$G,7,FALSE),0)))</f>
        <v/>
      </c>
    </row>
    <row r="4524" ht="15" customHeight="1">
      <c r="C4524">
        <f>IF($B4524="","",INT($B4524))</f>
        <v/>
      </c>
      <c r="D4524">
        <f>IF($C4524="","",$C4524-WEEKDAY($C4524,2)+1)</f>
        <v/>
      </c>
      <c r="E4524">
        <f>IF($C4524="","",DATE(YEAR($C4524),MONTH($C4524),1))</f>
        <v/>
      </c>
      <c r="F4524">
        <f>IF($C4524="","",YEAR($C4524)&amp;"-Q"&amp;ROUNDUP(MONTH($C4524)/3,0))</f>
        <v/>
      </c>
      <c r="L4524">
        <f>IF($G4524&lt;&gt;"ALCOHOL","",IF($K4524="","",$H4524*IFERROR(VLOOKUP($K4524,Drink_Templates!$A:$G,7,FALSE),0)))</f>
        <v/>
      </c>
    </row>
    <row r="4525" ht="15" customHeight="1">
      <c r="C4525">
        <f>IF($B4525="","",INT($B4525))</f>
        <v/>
      </c>
      <c r="D4525">
        <f>IF($C4525="","",$C4525-WEEKDAY($C4525,2)+1)</f>
        <v/>
      </c>
      <c r="E4525">
        <f>IF($C4525="","",DATE(YEAR($C4525),MONTH($C4525),1))</f>
        <v/>
      </c>
      <c r="F4525">
        <f>IF($C4525="","",YEAR($C4525)&amp;"-Q"&amp;ROUNDUP(MONTH($C4525)/3,0))</f>
        <v/>
      </c>
      <c r="L4525">
        <f>IF($G4525&lt;&gt;"ALCOHOL","",IF($K4525="","",$H4525*IFERROR(VLOOKUP($K4525,Drink_Templates!$A:$G,7,FALSE),0)))</f>
        <v/>
      </c>
    </row>
    <row r="4526" ht="15" customHeight="1">
      <c r="C4526">
        <f>IF($B4526="","",INT($B4526))</f>
        <v/>
      </c>
      <c r="D4526">
        <f>IF($C4526="","",$C4526-WEEKDAY($C4526,2)+1)</f>
        <v/>
      </c>
      <c r="E4526">
        <f>IF($C4526="","",DATE(YEAR($C4526),MONTH($C4526),1))</f>
        <v/>
      </c>
      <c r="F4526">
        <f>IF($C4526="","",YEAR($C4526)&amp;"-Q"&amp;ROUNDUP(MONTH($C4526)/3,0))</f>
        <v/>
      </c>
      <c r="L4526">
        <f>IF($G4526&lt;&gt;"ALCOHOL","",IF($K4526="","",$H4526*IFERROR(VLOOKUP($K4526,Drink_Templates!$A:$G,7,FALSE),0)))</f>
        <v/>
      </c>
    </row>
    <row r="4527" ht="15" customHeight="1">
      <c r="C4527">
        <f>IF($B4527="","",INT($B4527))</f>
        <v/>
      </c>
      <c r="D4527">
        <f>IF($C4527="","",$C4527-WEEKDAY($C4527,2)+1)</f>
        <v/>
      </c>
      <c r="E4527">
        <f>IF($C4527="","",DATE(YEAR($C4527),MONTH($C4527),1))</f>
        <v/>
      </c>
      <c r="F4527">
        <f>IF($C4527="","",YEAR($C4527)&amp;"-Q"&amp;ROUNDUP(MONTH($C4527)/3,0))</f>
        <v/>
      </c>
      <c r="L4527">
        <f>IF($G4527&lt;&gt;"ALCOHOL","",IF($K4527="","",$H4527*IFERROR(VLOOKUP($K4527,Drink_Templates!$A:$G,7,FALSE),0)))</f>
        <v/>
      </c>
    </row>
    <row r="4528" ht="15" customHeight="1">
      <c r="C4528">
        <f>IF($B4528="","",INT($B4528))</f>
        <v/>
      </c>
      <c r="D4528">
        <f>IF($C4528="","",$C4528-WEEKDAY($C4528,2)+1)</f>
        <v/>
      </c>
      <c r="E4528">
        <f>IF($C4528="","",DATE(YEAR($C4528),MONTH($C4528),1))</f>
        <v/>
      </c>
      <c r="F4528">
        <f>IF($C4528="","",YEAR($C4528)&amp;"-Q"&amp;ROUNDUP(MONTH($C4528)/3,0))</f>
        <v/>
      </c>
      <c r="L4528">
        <f>IF($G4528&lt;&gt;"ALCOHOL","",IF($K4528="","",$H4528*IFERROR(VLOOKUP($K4528,Drink_Templates!$A:$G,7,FALSE),0)))</f>
        <v/>
      </c>
    </row>
    <row r="4529" ht="15" customHeight="1">
      <c r="C4529">
        <f>IF($B4529="","",INT($B4529))</f>
        <v/>
      </c>
      <c r="D4529">
        <f>IF($C4529="","",$C4529-WEEKDAY($C4529,2)+1)</f>
        <v/>
      </c>
      <c r="E4529">
        <f>IF($C4529="","",DATE(YEAR($C4529),MONTH($C4529),1))</f>
        <v/>
      </c>
      <c r="F4529">
        <f>IF($C4529="","",YEAR($C4529)&amp;"-Q"&amp;ROUNDUP(MONTH($C4529)/3,0))</f>
        <v/>
      </c>
      <c r="L4529">
        <f>IF($G4529&lt;&gt;"ALCOHOL","",IF($K4529="","",$H4529*IFERROR(VLOOKUP($K4529,Drink_Templates!$A:$G,7,FALSE),0)))</f>
        <v/>
      </c>
    </row>
    <row r="4530" ht="15" customHeight="1">
      <c r="C4530">
        <f>IF($B4530="","",INT($B4530))</f>
        <v/>
      </c>
      <c r="D4530">
        <f>IF($C4530="","",$C4530-WEEKDAY($C4530,2)+1)</f>
        <v/>
      </c>
      <c r="E4530">
        <f>IF($C4530="","",DATE(YEAR($C4530),MONTH($C4530),1))</f>
        <v/>
      </c>
      <c r="F4530">
        <f>IF($C4530="","",YEAR($C4530)&amp;"-Q"&amp;ROUNDUP(MONTH($C4530)/3,0))</f>
        <v/>
      </c>
      <c r="L4530">
        <f>IF($G4530&lt;&gt;"ALCOHOL","",IF($K4530="","",$H4530*IFERROR(VLOOKUP($K4530,Drink_Templates!$A:$G,7,FALSE),0)))</f>
        <v/>
      </c>
    </row>
    <row r="4531" ht="15" customHeight="1">
      <c r="C4531">
        <f>IF($B4531="","",INT($B4531))</f>
        <v/>
      </c>
      <c r="D4531">
        <f>IF($C4531="","",$C4531-WEEKDAY($C4531,2)+1)</f>
        <v/>
      </c>
      <c r="E4531">
        <f>IF($C4531="","",DATE(YEAR($C4531),MONTH($C4531),1))</f>
        <v/>
      </c>
      <c r="F4531">
        <f>IF($C4531="","",YEAR($C4531)&amp;"-Q"&amp;ROUNDUP(MONTH($C4531)/3,0))</f>
        <v/>
      </c>
      <c r="L4531">
        <f>IF($G4531&lt;&gt;"ALCOHOL","",IF($K4531="","",$H4531*IFERROR(VLOOKUP($K4531,Drink_Templates!$A:$G,7,FALSE),0)))</f>
        <v/>
      </c>
    </row>
    <row r="4532" ht="15" customHeight="1">
      <c r="C4532">
        <f>IF($B4532="","",INT($B4532))</f>
        <v/>
      </c>
      <c r="D4532">
        <f>IF($C4532="","",$C4532-WEEKDAY($C4532,2)+1)</f>
        <v/>
      </c>
      <c r="E4532">
        <f>IF($C4532="","",DATE(YEAR($C4532),MONTH($C4532),1))</f>
        <v/>
      </c>
      <c r="F4532">
        <f>IF($C4532="","",YEAR($C4532)&amp;"-Q"&amp;ROUNDUP(MONTH($C4532)/3,0))</f>
        <v/>
      </c>
      <c r="L4532">
        <f>IF($G4532&lt;&gt;"ALCOHOL","",IF($K4532="","",$H4532*IFERROR(VLOOKUP($K4532,Drink_Templates!$A:$G,7,FALSE),0)))</f>
        <v/>
      </c>
    </row>
    <row r="4533" ht="15" customHeight="1">
      <c r="C4533">
        <f>IF($B4533="","",INT($B4533))</f>
        <v/>
      </c>
      <c r="D4533">
        <f>IF($C4533="","",$C4533-WEEKDAY($C4533,2)+1)</f>
        <v/>
      </c>
      <c r="E4533">
        <f>IF($C4533="","",DATE(YEAR($C4533),MONTH($C4533),1))</f>
        <v/>
      </c>
      <c r="F4533">
        <f>IF($C4533="","",YEAR($C4533)&amp;"-Q"&amp;ROUNDUP(MONTH($C4533)/3,0))</f>
        <v/>
      </c>
      <c r="L4533">
        <f>IF($G4533&lt;&gt;"ALCOHOL","",IF($K4533="","",$H4533*IFERROR(VLOOKUP($K4533,Drink_Templates!$A:$G,7,FALSE),0)))</f>
        <v/>
      </c>
    </row>
    <row r="4534" ht="15" customHeight="1">
      <c r="C4534">
        <f>IF($B4534="","",INT($B4534))</f>
        <v/>
      </c>
      <c r="D4534">
        <f>IF($C4534="","",$C4534-WEEKDAY($C4534,2)+1)</f>
        <v/>
      </c>
      <c r="E4534">
        <f>IF($C4534="","",DATE(YEAR($C4534),MONTH($C4534),1))</f>
        <v/>
      </c>
      <c r="F4534">
        <f>IF($C4534="","",YEAR($C4534)&amp;"-Q"&amp;ROUNDUP(MONTH($C4534)/3,0))</f>
        <v/>
      </c>
      <c r="L4534">
        <f>IF($G4534&lt;&gt;"ALCOHOL","",IF($K4534="","",$H4534*IFERROR(VLOOKUP($K4534,Drink_Templates!$A:$G,7,FALSE),0)))</f>
        <v/>
      </c>
    </row>
    <row r="4535" ht="15" customHeight="1">
      <c r="C4535">
        <f>IF($B4535="","",INT($B4535))</f>
        <v/>
      </c>
      <c r="D4535">
        <f>IF($C4535="","",$C4535-WEEKDAY($C4535,2)+1)</f>
        <v/>
      </c>
      <c r="E4535">
        <f>IF($C4535="","",DATE(YEAR($C4535),MONTH($C4535),1))</f>
        <v/>
      </c>
      <c r="F4535">
        <f>IF($C4535="","",YEAR($C4535)&amp;"-Q"&amp;ROUNDUP(MONTH($C4535)/3,0))</f>
        <v/>
      </c>
      <c r="L4535">
        <f>IF($G4535&lt;&gt;"ALCOHOL","",IF($K4535="","",$H4535*IFERROR(VLOOKUP($K4535,Drink_Templates!$A:$G,7,FALSE),0)))</f>
        <v/>
      </c>
    </row>
    <row r="4536" ht="15" customHeight="1">
      <c r="C4536">
        <f>IF($B4536="","",INT($B4536))</f>
        <v/>
      </c>
      <c r="D4536">
        <f>IF($C4536="","",$C4536-WEEKDAY($C4536,2)+1)</f>
        <v/>
      </c>
      <c r="E4536">
        <f>IF($C4536="","",DATE(YEAR($C4536),MONTH($C4536),1))</f>
        <v/>
      </c>
      <c r="F4536">
        <f>IF($C4536="","",YEAR($C4536)&amp;"-Q"&amp;ROUNDUP(MONTH($C4536)/3,0))</f>
        <v/>
      </c>
      <c r="L4536">
        <f>IF($G4536&lt;&gt;"ALCOHOL","",IF($K4536="","",$H4536*IFERROR(VLOOKUP($K4536,Drink_Templates!$A:$G,7,FALSE),0)))</f>
        <v/>
      </c>
    </row>
    <row r="4537" ht="15" customHeight="1">
      <c r="C4537">
        <f>IF($B4537="","",INT($B4537))</f>
        <v/>
      </c>
      <c r="D4537">
        <f>IF($C4537="","",$C4537-WEEKDAY($C4537,2)+1)</f>
        <v/>
      </c>
      <c r="E4537">
        <f>IF($C4537="","",DATE(YEAR($C4537),MONTH($C4537),1))</f>
        <v/>
      </c>
      <c r="F4537">
        <f>IF($C4537="","",YEAR($C4537)&amp;"-Q"&amp;ROUNDUP(MONTH($C4537)/3,0))</f>
        <v/>
      </c>
      <c r="L4537">
        <f>IF($G4537&lt;&gt;"ALCOHOL","",IF($K4537="","",$H4537*IFERROR(VLOOKUP($K4537,Drink_Templates!$A:$G,7,FALSE),0)))</f>
        <v/>
      </c>
    </row>
    <row r="4538" ht="15" customHeight="1">
      <c r="C4538">
        <f>IF($B4538="","",INT($B4538))</f>
        <v/>
      </c>
      <c r="D4538">
        <f>IF($C4538="","",$C4538-WEEKDAY($C4538,2)+1)</f>
        <v/>
      </c>
      <c r="E4538">
        <f>IF($C4538="","",DATE(YEAR($C4538),MONTH($C4538),1))</f>
        <v/>
      </c>
      <c r="F4538">
        <f>IF($C4538="","",YEAR($C4538)&amp;"-Q"&amp;ROUNDUP(MONTH($C4538)/3,0))</f>
        <v/>
      </c>
      <c r="L4538">
        <f>IF($G4538&lt;&gt;"ALCOHOL","",IF($K4538="","",$H4538*IFERROR(VLOOKUP($K4538,Drink_Templates!$A:$G,7,FALSE),0)))</f>
        <v/>
      </c>
    </row>
    <row r="4539" ht="15" customHeight="1">
      <c r="C4539">
        <f>IF($B4539="","",INT($B4539))</f>
        <v/>
      </c>
      <c r="D4539">
        <f>IF($C4539="","",$C4539-WEEKDAY($C4539,2)+1)</f>
        <v/>
      </c>
      <c r="E4539">
        <f>IF($C4539="","",DATE(YEAR($C4539),MONTH($C4539),1))</f>
        <v/>
      </c>
      <c r="F4539">
        <f>IF($C4539="","",YEAR($C4539)&amp;"-Q"&amp;ROUNDUP(MONTH($C4539)/3,0))</f>
        <v/>
      </c>
      <c r="L4539">
        <f>IF($G4539&lt;&gt;"ALCOHOL","",IF($K4539="","",$H4539*IFERROR(VLOOKUP($K4539,Drink_Templates!$A:$G,7,FALSE),0)))</f>
        <v/>
      </c>
    </row>
    <row r="4540" ht="15" customHeight="1">
      <c r="C4540">
        <f>IF($B4540="","",INT($B4540))</f>
        <v/>
      </c>
      <c r="D4540">
        <f>IF($C4540="","",$C4540-WEEKDAY($C4540,2)+1)</f>
        <v/>
      </c>
      <c r="E4540">
        <f>IF($C4540="","",DATE(YEAR($C4540),MONTH($C4540),1))</f>
        <v/>
      </c>
      <c r="F4540">
        <f>IF($C4540="","",YEAR($C4540)&amp;"-Q"&amp;ROUNDUP(MONTH($C4540)/3,0))</f>
        <v/>
      </c>
      <c r="L4540">
        <f>IF($G4540&lt;&gt;"ALCOHOL","",IF($K4540="","",$H4540*IFERROR(VLOOKUP($K4540,Drink_Templates!$A:$G,7,FALSE),0)))</f>
        <v/>
      </c>
    </row>
    <row r="4541" ht="15" customHeight="1">
      <c r="C4541">
        <f>IF($B4541="","",INT($B4541))</f>
        <v/>
      </c>
      <c r="D4541">
        <f>IF($C4541="","",$C4541-WEEKDAY($C4541,2)+1)</f>
        <v/>
      </c>
      <c r="E4541">
        <f>IF($C4541="","",DATE(YEAR($C4541),MONTH($C4541),1))</f>
        <v/>
      </c>
      <c r="F4541">
        <f>IF($C4541="","",YEAR($C4541)&amp;"-Q"&amp;ROUNDUP(MONTH($C4541)/3,0))</f>
        <v/>
      </c>
      <c r="L4541">
        <f>IF($G4541&lt;&gt;"ALCOHOL","",IF($K4541="","",$H4541*IFERROR(VLOOKUP($K4541,Drink_Templates!$A:$G,7,FALSE),0)))</f>
        <v/>
      </c>
    </row>
    <row r="4542" ht="15" customHeight="1">
      <c r="C4542">
        <f>IF($B4542="","",INT($B4542))</f>
        <v/>
      </c>
      <c r="D4542">
        <f>IF($C4542="","",$C4542-WEEKDAY($C4542,2)+1)</f>
        <v/>
      </c>
      <c r="E4542">
        <f>IF($C4542="","",DATE(YEAR($C4542),MONTH($C4542),1))</f>
        <v/>
      </c>
      <c r="F4542">
        <f>IF($C4542="","",YEAR($C4542)&amp;"-Q"&amp;ROUNDUP(MONTH($C4542)/3,0))</f>
        <v/>
      </c>
      <c r="L4542">
        <f>IF($G4542&lt;&gt;"ALCOHOL","",IF($K4542="","",$H4542*IFERROR(VLOOKUP($K4542,Drink_Templates!$A:$G,7,FALSE),0)))</f>
        <v/>
      </c>
    </row>
    <row r="4543" ht="15" customHeight="1">
      <c r="C4543">
        <f>IF($B4543="","",INT($B4543))</f>
        <v/>
      </c>
      <c r="D4543">
        <f>IF($C4543="","",$C4543-WEEKDAY($C4543,2)+1)</f>
        <v/>
      </c>
      <c r="E4543">
        <f>IF($C4543="","",DATE(YEAR($C4543),MONTH($C4543),1))</f>
        <v/>
      </c>
      <c r="F4543">
        <f>IF($C4543="","",YEAR($C4543)&amp;"-Q"&amp;ROUNDUP(MONTH($C4543)/3,0))</f>
        <v/>
      </c>
      <c r="L4543">
        <f>IF($G4543&lt;&gt;"ALCOHOL","",IF($K4543="","",$H4543*IFERROR(VLOOKUP($K4543,Drink_Templates!$A:$G,7,FALSE),0)))</f>
        <v/>
      </c>
    </row>
    <row r="4544" ht="15" customHeight="1">
      <c r="C4544">
        <f>IF($B4544="","",INT($B4544))</f>
        <v/>
      </c>
      <c r="D4544">
        <f>IF($C4544="","",$C4544-WEEKDAY($C4544,2)+1)</f>
        <v/>
      </c>
      <c r="E4544">
        <f>IF($C4544="","",DATE(YEAR($C4544),MONTH($C4544),1))</f>
        <v/>
      </c>
      <c r="F4544">
        <f>IF($C4544="","",YEAR($C4544)&amp;"-Q"&amp;ROUNDUP(MONTH($C4544)/3,0))</f>
        <v/>
      </c>
      <c r="L4544">
        <f>IF($G4544&lt;&gt;"ALCOHOL","",IF($K4544="","",$H4544*IFERROR(VLOOKUP($K4544,Drink_Templates!$A:$G,7,FALSE),0)))</f>
        <v/>
      </c>
    </row>
    <row r="4545" ht="15" customHeight="1">
      <c r="C4545">
        <f>IF($B4545="","",INT($B4545))</f>
        <v/>
      </c>
      <c r="D4545">
        <f>IF($C4545="","",$C4545-WEEKDAY($C4545,2)+1)</f>
        <v/>
      </c>
      <c r="E4545">
        <f>IF($C4545="","",DATE(YEAR($C4545),MONTH($C4545),1))</f>
        <v/>
      </c>
      <c r="F4545">
        <f>IF($C4545="","",YEAR($C4545)&amp;"-Q"&amp;ROUNDUP(MONTH($C4545)/3,0))</f>
        <v/>
      </c>
      <c r="L4545">
        <f>IF($G4545&lt;&gt;"ALCOHOL","",IF($K4545="","",$H4545*IFERROR(VLOOKUP($K4545,Drink_Templates!$A:$G,7,FALSE),0)))</f>
        <v/>
      </c>
    </row>
    <row r="4546" ht="15" customHeight="1">
      <c r="C4546">
        <f>IF($B4546="","",INT($B4546))</f>
        <v/>
      </c>
      <c r="D4546">
        <f>IF($C4546="","",$C4546-WEEKDAY($C4546,2)+1)</f>
        <v/>
      </c>
      <c r="E4546">
        <f>IF($C4546="","",DATE(YEAR($C4546),MONTH($C4546),1))</f>
        <v/>
      </c>
      <c r="F4546">
        <f>IF($C4546="","",YEAR($C4546)&amp;"-Q"&amp;ROUNDUP(MONTH($C4546)/3,0))</f>
        <v/>
      </c>
      <c r="L4546">
        <f>IF($G4546&lt;&gt;"ALCOHOL","",IF($K4546="","",$H4546*IFERROR(VLOOKUP($K4546,Drink_Templates!$A:$G,7,FALSE),0)))</f>
        <v/>
      </c>
    </row>
    <row r="4547" ht="15" customHeight="1">
      <c r="C4547">
        <f>IF($B4547="","",INT($B4547))</f>
        <v/>
      </c>
      <c r="D4547">
        <f>IF($C4547="","",$C4547-WEEKDAY($C4547,2)+1)</f>
        <v/>
      </c>
      <c r="E4547">
        <f>IF($C4547="","",DATE(YEAR($C4547),MONTH($C4547),1))</f>
        <v/>
      </c>
      <c r="F4547">
        <f>IF($C4547="","",YEAR($C4547)&amp;"-Q"&amp;ROUNDUP(MONTH($C4547)/3,0))</f>
        <v/>
      </c>
      <c r="L4547">
        <f>IF($G4547&lt;&gt;"ALCOHOL","",IF($K4547="","",$H4547*IFERROR(VLOOKUP($K4547,Drink_Templates!$A:$G,7,FALSE),0)))</f>
        <v/>
      </c>
    </row>
    <row r="4548" ht="15" customHeight="1">
      <c r="C4548">
        <f>IF($B4548="","",INT($B4548))</f>
        <v/>
      </c>
      <c r="D4548">
        <f>IF($C4548="","",$C4548-WEEKDAY($C4548,2)+1)</f>
        <v/>
      </c>
      <c r="E4548">
        <f>IF($C4548="","",DATE(YEAR($C4548),MONTH($C4548),1))</f>
        <v/>
      </c>
      <c r="F4548">
        <f>IF($C4548="","",YEAR($C4548)&amp;"-Q"&amp;ROUNDUP(MONTH($C4548)/3,0))</f>
        <v/>
      </c>
      <c r="L4548">
        <f>IF($G4548&lt;&gt;"ALCOHOL","",IF($K4548="","",$H4548*IFERROR(VLOOKUP($K4548,Drink_Templates!$A:$G,7,FALSE),0)))</f>
        <v/>
      </c>
    </row>
    <row r="4549" ht="15" customHeight="1">
      <c r="C4549">
        <f>IF($B4549="","",INT($B4549))</f>
        <v/>
      </c>
      <c r="D4549">
        <f>IF($C4549="","",$C4549-WEEKDAY($C4549,2)+1)</f>
        <v/>
      </c>
      <c r="E4549">
        <f>IF($C4549="","",DATE(YEAR($C4549),MONTH($C4549),1))</f>
        <v/>
      </c>
      <c r="F4549">
        <f>IF($C4549="","",YEAR($C4549)&amp;"-Q"&amp;ROUNDUP(MONTH($C4549)/3,0))</f>
        <v/>
      </c>
      <c r="L4549">
        <f>IF($G4549&lt;&gt;"ALCOHOL","",IF($K4549="","",$H4549*IFERROR(VLOOKUP($K4549,Drink_Templates!$A:$G,7,FALSE),0)))</f>
        <v/>
      </c>
    </row>
    <row r="4550" ht="15" customHeight="1">
      <c r="C4550">
        <f>IF($B4550="","",INT($B4550))</f>
        <v/>
      </c>
      <c r="D4550">
        <f>IF($C4550="","",$C4550-WEEKDAY($C4550,2)+1)</f>
        <v/>
      </c>
      <c r="E4550">
        <f>IF($C4550="","",DATE(YEAR($C4550),MONTH($C4550),1))</f>
        <v/>
      </c>
      <c r="F4550">
        <f>IF($C4550="","",YEAR($C4550)&amp;"-Q"&amp;ROUNDUP(MONTH($C4550)/3,0))</f>
        <v/>
      </c>
      <c r="L4550">
        <f>IF($G4550&lt;&gt;"ALCOHOL","",IF($K4550="","",$H4550*IFERROR(VLOOKUP($K4550,Drink_Templates!$A:$G,7,FALSE),0)))</f>
        <v/>
      </c>
    </row>
    <row r="4551" ht="15" customHeight="1">
      <c r="C4551">
        <f>IF($B4551="","",INT($B4551))</f>
        <v/>
      </c>
      <c r="D4551">
        <f>IF($C4551="","",$C4551-WEEKDAY($C4551,2)+1)</f>
        <v/>
      </c>
      <c r="E4551">
        <f>IF($C4551="","",DATE(YEAR($C4551),MONTH($C4551),1))</f>
        <v/>
      </c>
      <c r="F4551">
        <f>IF($C4551="","",YEAR($C4551)&amp;"-Q"&amp;ROUNDUP(MONTH($C4551)/3,0))</f>
        <v/>
      </c>
      <c r="L4551">
        <f>IF($G4551&lt;&gt;"ALCOHOL","",IF($K4551="","",$H4551*IFERROR(VLOOKUP($K4551,Drink_Templates!$A:$G,7,FALSE),0)))</f>
        <v/>
      </c>
    </row>
    <row r="4552" ht="15" customHeight="1">
      <c r="C4552">
        <f>IF($B4552="","",INT($B4552))</f>
        <v/>
      </c>
      <c r="D4552">
        <f>IF($C4552="","",$C4552-WEEKDAY($C4552,2)+1)</f>
        <v/>
      </c>
      <c r="E4552">
        <f>IF($C4552="","",DATE(YEAR($C4552),MONTH($C4552),1))</f>
        <v/>
      </c>
      <c r="F4552">
        <f>IF($C4552="","",YEAR($C4552)&amp;"-Q"&amp;ROUNDUP(MONTH($C4552)/3,0))</f>
        <v/>
      </c>
      <c r="L4552">
        <f>IF($G4552&lt;&gt;"ALCOHOL","",IF($K4552="","",$H4552*IFERROR(VLOOKUP($K4552,Drink_Templates!$A:$G,7,FALSE),0)))</f>
        <v/>
      </c>
    </row>
    <row r="4553" ht="15" customHeight="1">
      <c r="C4553">
        <f>IF($B4553="","",INT($B4553))</f>
        <v/>
      </c>
      <c r="D4553">
        <f>IF($C4553="","",$C4553-WEEKDAY($C4553,2)+1)</f>
        <v/>
      </c>
      <c r="E4553">
        <f>IF($C4553="","",DATE(YEAR($C4553),MONTH($C4553),1))</f>
        <v/>
      </c>
      <c r="F4553">
        <f>IF($C4553="","",YEAR($C4553)&amp;"-Q"&amp;ROUNDUP(MONTH($C4553)/3,0))</f>
        <v/>
      </c>
      <c r="L4553">
        <f>IF($G4553&lt;&gt;"ALCOHOL","",IF($K4553="","",$H4553*IFERROR(VLOOKUP($K4553,Drink_Templates!$A:$G,7,FALSE),0)))</f>
        <v/>
      </c>
    </row>
    <row r="4554" ht="15" customHeight="1">
      <c r="C4554">
        <f>IF($B4554="","",INT($B4554))</f>
        <v/>
      </c>
      <c r="D4554">
        <f>IF($C4554="","",$C4554-WEEKDAY($C4554,2)+1)</f>
        <v/>
      </c>
      <c r="E4554">
        <f>IF($C4554="","",DATE(YEAR($C4554),MONTH($C4554),1))</f>
        <v/>
      </c>
      <c r="F4554">
        <f>IF($C4554="","",YEAR($C4554)&amp;"-Q"&amp;ROUNDUP(MONTH($C4554)/3,0))</f>
        <v/>
      </c>
      <c r="L4554">
        <f>IF($G4554&lt;&gt;"ALCOHOL","",IF($K4554="","",$H4554*IFERROR(VLOOKUP($K4554,Drink_Templates!$A:$G,7,FALSE),0)))</f>
        <v/>
      </c>
    </row>
    <row r="4555" ht="15" customHeight="1">
      <c r="C4555">
        <f>IF($B4555="","",INT($B4555))</f>
        <v/>
      </c>
      <c r="D4555">
        <f>IF($C4555="","",$C4555-WEEKDAY($C4555,2)+1)</f>
        <v/>
      </c>
      <c r="E4555">
        <f>IF($C4555="","",DATE(YEAR($C4555),MONTH($C4555),1))</f>
        <v/>
      </c>
      <c r="F4555">
        <f>IF($C4555="","",YEAR($C4555)&amp;"-Q"&amp;ROUNDUP(MONTH($C4555)/3,0))</f>
        <v/>
      </c>
      <c r="L4555">
        <f>IF($G4555&lt;&gt;"ALCOHOL","",IF($K4555="","",$H4555*IFERROR(VLOOKUP($K4555,Drink_Templates!$A:$G,7,FALSE),0)))</f>
        <v/>
      </c>
    </row>
    <row r="4556" ht="15" customHeight="1">
      <c r="C4556">
        <f>IF($B4556="","",INT($B4556))</f>
        <v/>
      </c>
      <c r="D4556">
        <f>IF($C4556="","",$C4556-WEEKDAY($C4556,2)+1)</f>
        <v/>
      </c>
      <c r="E4556">
        <f>IF($C4556="","",DATE(YEAR($C4556),MONTH($C4556),1))</f>
        <v/>
      </c>
      <c r="F4556">
        <f>IF($C4556="","",YEAR($C4556)&amp;"-Q"&amp;ROUNDUP(MONTH($C4556)/3,0))</f>
        <v/>
      </c>
      <c r="L4556">
        <f>IF($G4556&lt;&gt;"ALCOHOL","",IF($K4556="","",$H4556*IFERROR(VLOOKUP($K4556,Drink_Templates!$A:$G,7,FALSE),0)))</f>
        <v/>
      </c>
    </row>
    <row r="4557" ht="15" customHeight="1">
      <c r="C4557">
        <f>IF($B4557="","",INT($B4557))</f>
        <v/>
      </c>
      <c r="D4557">
        <f>IF($C4557="","",$C4557-WEEKDAY($C4557,2)+1)</f>
        <v/>
      </c>
      <c r="E4557">
        <f>IF($C4557="","",DATE(YEAR($C4557),MONTH($C4557),1))</f>
        <v/>
      </c>
      <c r="F4557">
        <f>IF($C4557="","",YEAR($C4557)&amp;"-Q"&amp;ROUNDUP(MONTH($C4557)/3,0))</f>
        <v/>
      </c>
      <c r="L4557">
        <f>IF($G4557&lt;&gt;"ALCOHOL","",IF($K4557="","",$H4557*IFERROR(VLOOKUP($K4557,Drink_Templates!$A:$G,7,FALSE),0)))</f>
        <v/>
      </c>
    </row>
    <row r="4558" ht="15" customHeight="1">
      <c r="C4558">
        <f>IF($B4558="","",INT($B4558))</f>
        <v/>
      </c>
      <c r="D4558">
        <f>IF($C4558="","",$C4558-WEEKDAY($C4558,2)+1)</f>
        <v/>
      </c>
      <c r="E4558">
        <f>IF($C4558="","",DATE(YEAR($C4558),MONTH($C4558),1))</f>
        <v/>
      </c>
      <c r="F4558">
        <f>IF($C4558="","",YEAR($C4558)&amp;"-Q"&amp;ROUNDUP(MONTH($C4558)/3,0))</f>
        <v/>
      </c>
      <c r="L4558">
        <f>IF($G4558&lt;&gt;"ALCOHOL","",IF($K4558="","",$H4558*IFERROR(VLOOKUP($K4558,Drink_Templates!$A:$G,7,FALSE),0)))</f>
        <v/>
      </c>
    </row>
    <row r="4559" ht="15" customHeight="1">
      <c r="C4559">
        <f>IF($B4559="","",INT($B4559))</f>
        <v/>
      </c>
      <c r="D4559">
        <f>IF($C4559="","",$C4559-WEEKDAY($C4559,2)+1)</f>
        <v/>
      </c>
      <c r="E4559">
        <f>IF($C4559="","",DATE(YEAR($C4559),MONTH($C4559),1))</f>
        <v/>
      </c>
      <c r="F4559">
        <f>IF($C4559="","",YEAR($C4559)&amp;"-Q"&amp;ROUNDUP(MONTH($C4559)/3,0))</f>
        <v/>
      </c>
      <c r="L4559">
        <f>IF($G4559&lt;&gt;"ALCOHOL","",IF($K4559="","",$H4559*IFERROR(VLOOKUP($K4559,Drink_Templates!$A:$G,7,FALSE),0)))</f>
        <v/>
      </c>
    </row>
    <row r="4560" ht="15" customHeight="1">
      <c r="C4560">
        <f>IF($B4560="","",INT($B4560))</f>
        <v/>
      </c>
      <c r="D4560">
        <f>IF($C4560="","",$C4560-WEEKDAY($C4560,2)+1)</f>
        <v/>
      </c>
      <c r="E4560">
        <f>IF($C4560="","",DATE(YEAR($C4560),MONTH($C4560),1))</f>
        <v/>
      </c>
      <c r="F4560">
        <f>IF($C4560="","",YEAR($C4560)&amp;"-Q"&amp;ROUNDUP(MONTH($C4560)/3,0))</f>
        <v/>
      </c>
      <c r="L4560">
        <f>IF($G4560&lt;&gt;"ALCOHOL","",IF($K4560="","",$H4560*IFERROR(VLOOKUP($K4560,Drink_Templates!$A:$G,7,FALSE),0)))</f>
        <v/>
      </c>
    </row>
    <row r="4561" ht="15" customHeight="1">
      <c r="C4561">
        <f>IF($B4561="","",INT($B4561))</f>
        <v/>
      </c>
      <c r="D4561">
        <f>IF($C4561="","",$C4561-WEEKDAY($C4561,2)+1)</f>
        <v/>
      </c>
      <c r="E4561">
        <f>IF($C4561="","",DATE(YEAR($C4561),MONTH($C4561),1))</f>
        <v/>
      </c>
      <c r="F4561">
        <f>IF($C4561="","",YEAR($C4561)&amp;"-Q"&amp;ROUNDUP(MONTH($C4561)/3,0))</f>
        <v/>
      </c>
      <c r="L4561">
        <f>IF($G4561&lt;&gt;"ALCOHOL","",IF($K4561="","",$H4561*IFERROR(VLOOKUP($K4561,Drink_Templates!$A:$G,7,FALSE),0)))</f>
        <v/>
      </c>
    </row>
    <row r="4562" ht="15" customHeight="1">
      <c r="C4562">
        <f>IF($B4562="","",INT($B4562))</f>
        <v/>
      </c>
      <c r="D4562">
        <f>IF($C4562="","",$C4562-WEEKDAY($C4562,2)+1)</f>
        <v/>
      </c>
      <c r="E4562">
        <f>IF($C4562="","",DATE(YEAR($C4562),MONTH($C4562),1))</f>
        <v/>
      </c>
      <c r="F4562">
        <f>IF($C4562="","",YEAR($C4562)&amp;"-Q"&amp;ROUNDUP(MONTH($C4562)/3,0))</f>
        <v/>
      </c>
      <c r="L4562">
        <f>IF($G4562&lt;&gt;"ALCOHOL","",IF($K4562="","",$H4562*IFERROR(VLOOKUP($K4562,Drink_Templates!$A:$G,7,FALSE),0)))</f>
        <v/>
      </c>
    </row>
    <row r="4563" ht="15" customHeight="1">
      <c r="C4563">
        <f>IF($B4563="","",INT($B4563))</f>
        <v/>
      </c>
      <c r="D4563">
        <f>IF($C4563="","",$C4563-WEEKDAY($C4563,2)+1)</f>
        <v/>
      </c>
      <c r="E4563">
        <f>IF($C4563="","",DATE(YEAR($C4563),MONTH($C4563),1))</f>
        <v/>
      </c>
      <c r="F4563">
        <f>IF($C4563="","",YEAR($C4563)&amp;"-Q"&amp;ROUNDUP(MONTH($C4563)/3,0))</f>
        <v/>
      </c>
      <c r="L4563">
        <f>IF($G4563&lt;&gt;"ALCOHOL","",IF($K4563="","",$H4563*IFERROR(VLOOKUP($K4563,Drink_Templates!$A:$G,7,FALSE),0)))</f>
        <v/>
      </c>
    </row>
    <row r="4564" ht="15" customHeight="1">
      <c r="C4564">
        <f>IF($B4564="","",INT($B4564))</f>
        <v/>
      </c>
      <c r="D4564">
        <f>IF($C4564="","",$C4564-WEEKDAY($C4564,2)+1)</f>
        <v/>
      </c>
      <c r="E4564">
        <f>IF($C4564="","",DATE(YEAR($C4564),MONTH($C4564),1))</f>
        <v/>
      </c>
      <c r="F4564">
        <f>IF($C4564="","",YEAR($C4564)&amp;"-Q"&amp;ROUNDUP(MONTH($C4564)/3,0))</f>
        <v/>
      </c>
      <c r="L4564">
        <f>IF($G4564&lt;&gt;"ALCOHOL","",IF($K4564="","",$H4564*IFERROR(VLOOKUP($K4564,Drink_Templates!$A:$G,7,FALSE),0)))</f>
        <v/>
      </c>
    </row>
    <row r="4565" ht="15" customHeight="1">
      <c r="C4565">
        <f>IF($B4565="","",INT($B4565))</f>
        <v/>
      </c>
      <c r="D4565">
        <f>IF($C4565="","",$C4565-WEEKDAY($C4565,2)+1)</f>
        <v/>
      </c>
      <c r="E4565">
        <f>IF($C4565="","",DATE(YEAR($C4565),MONTH($C4565),1))</f>
        <v/>
      </c>
      <c r="F4565">
        <f>IF($C4565="","",YEAR($C4565)&amp;"-Q"&amp;ROUNDUP(MONTH($C4565)/3,0))</f>
        <v/>
      </c>
      <c r="L4565">
        <f>IF($G4565&lt;&gt;"ALCOHOL","",IF($K4565="","",$H4565*IFERROR(VLOOKUP($K4565,Drink_Templates!$A:$G,7,FALSE),0)))</f>
        <v/>
      </c>
    </row>
    <row r="4566" ht="15" customHeight="1">
      <c r="C4566">
        <f>IF($B4566="","",INT($B4566))</f>
        <v/>
      </c>
      <c r="D4566">
        <f>IF($C4566="","",$C4566-WEEKDAY($C4566,2)+1)</f>
        <v/>
      </c>
      <c r="E4566">
        <f>IF($C4566="","",DATE(YEAR($C4566),MONTH($C4566),1))</f>
        <v/>
      </c>
      <c r="F4566">
        <f>IF($C4566="","",YEAR($C4566)&amp;"-Q"&amp;ROUNDUP(MONTH($C4566)/3,0))</f>
        <v/>
      </c>
      <c r="L4566">
        <f>IF($G4566&lt;&gt;"ALCOHOL","",IF($K4566="","",$H4566*IFERROR(VLOOKUP($K4566,Drink_Templates!$A:$G,7,FALSE),0)))</f>
        <v/>
      </c>
    </row>
    <row r="4567" ht="15" customHeight="1">
      <c r="C4567">
        <f>IF($B4567="","",INT($B4567))</f>
        <v/>
      </c>
      <c r="D4567">
        <f>IF($C4567="","",$C4567-WEEKDAY($C4567,2)+1)</f>
        <v/>
      </c>
      <c r="E4567">
        <f>IF($C4567="","",DATE(YEAR($C4567),MONTH($C4567),1))</f>
        <v/>
      </c>
      <c r="F4567">
        <f>IF($C4567="","",YEAR($C4567)&amp;"-Q"&amp;ROUNDUP(MONTH($C4567)/3,0))</f>
        <v/>
      </c>
      <c r="L4567">
        <f>IF($G4567&lt;&gt;"ALCOHOL","",IF($K4567="","",$H4567*IFERROR(VLOOKUP($K4567,Drink_Templates!$A:$G,7,FALSE),0)))</f>
        <v/>
      </c>
    </row>
    <row r="4568" ht="15" customHeight="1">
      <c r="C4568">
        <f>IF($B4568="","",INT($B4568))</f>
        <v/>
      </c>
      <c r="D4568">
        <f>IF($C4568="","",$C4568-WEEKDAY($C4568,2)+1)</f>
        <v/>
      </c>
      <c r="E4568">
        <f>IF($C4568="","",DATE(YEAR($C4568),MONTH($C4568),1))</f>
        <v/>
      </c>
      <c r="F4568">
        <f>IF($C4568="","",YEAR($C4568)&amp;"-Q"&amp;ROUNDUP(MONTH($C4568)/3,0))</f>
        <v/>
      </c>
      <c r="L4568">
        <f>IF($G4568&lt;&gt;"ALCOHOL","",IF($K4568="","",$H4568*IFERROR(VLOOKUP($K4568,Drink_Templates!$A:$G,7,FALSE),0)))</f>
        <v/>
      </c>
    </row>
    <row r="4569" ht="15" customHeight="1">
      <c r="C4569">
        <f>IF($B4569="","",INT($B4569))</f>
        <v/>
      </c>
      <c r="D4569">
        <f>IF($C4569="","",$C4569-WEEKDAY($C4569,2)+1)</f>
        <v/>
      </c>
      <c r="E4569">
        <f>IF($C4569="","",DATE(YEAR($C4569),MONTH($C4569),1))</f>
        <v/>
      </c>
      <c r="F4569">
        <f>IF($C4569="","",YEAR($C4569)&amp;"-Q"&amp;ROUNDUP(MONTH($C4569)/3,0))</f>
        <v/>
      </c>
      <c r="L4569">
        <f>IF($G4569&lt;&gt;"ALCOHOL","",IF($K4569="","",$H4569*IFERROR(VLOOKUP($K4569,Drink_Templates!$A:$G,7,FALSE),0)))</f>
        <v/>
      </c>
    </row>
    <row r="4570" ht="15" customHeight="1">
      <c r="C4570">
        <f>IF($B4570="","",INT($B4570))</f>
        <v/>
      </c>
      <c r="D4570">
        <f>IF($C4570="","",$C4570-WEEKDAY($C4570,2)+1)</f>
        <v/>
      </c>
      <c r="E4570">
        <f>IF($C4570="","",DATE(YEAR($C4570),MONTH($C4570),1))</f>
        <v/>
      </c>
      <c r="F4570">
        <f>IF($C4570="","",YEAR($C4570)&amp;"-Q"&amp;ROUNDUP(MONTH($C4570)/3,0))</f>
        <v/>
      </c>
      <c r="L4570">
        <f>IF($G4570&lt;&gt;"ALCOHOL","",IF($K4570="","",$H4570*IFERROR(VLOOKUP($K4570,Drink_Templates!$A:$G,7,FALSE),0)))</f>
        <v/>
      </c>
    </row>
    <row r="4571" ht="15" customHeight="1">
      <c r="C4571">
        <f>IF($B4571="","",INT($B4571))</f>
        <v/>
      </c>
      <c r="D4571">
        <f>IF($C4571="","",$C4571-WEEKDAY($C4571,2)+1)</f>
        <v/>
      </c>
      <c r="E4571">
        <f>IF($C4571="","",DATE(YEAR($C4571),MONTH($C4571),1))</f>
        <v/>
      </c>
      <c r="F4571">
        <f>IF($C4571="","",YEAR($C4571)&amp;"-Q"&amp;ROUNDUP(MONTH($C4571)/3,0))</f>
        <v/>
      </c>
      <c r="L4571">
        <f>IF($G4571&lt;&gt;"ALCOHOL","",IF($K4571="","",$H4571*IFERROR(VLOOKUP($K4571,Drink_Templates!$A:$G,7,FALSE),0)))</f>
        <v/>
      </c>
    </row>
    <row r="4572" ht="15" customHeight="1">
      <c r="C4572">
        <f>IF($B4572="","",INT($B4572))</f>
        <v/>
      </c>
      <c r="D4572">
        <f>IF($C4572="","",$C4572-WEEKDAY($C4572,2)+1)</f>
        <v/>
      </c>
      <c r="E4572">
        <f>IF($C4572="","",DATE(YEAR($C4572),MONTH($C4572),1))</f>
        <v/>
      </c>
      <c r="F4572">
        <f>IF($C4572="","",YEAR($C4572)&amp;"-Q"&amp;ROUNDUP(MONTH($C4572)/3,0))</f>
        <v/>
      </c>
      <c r="L4572">
        <f>IF($G4572&lt;&gt;"ALCOHOL","",IF($K4572="","",$H4572*IFERROR(VLOOKUP($K4572,Drink_Templates!$A:$G,7,FALSE),0)))</f>
        <v/>
      </c>
    </row>
    <row r="4573" ht="15" customHeight="1">
      <c r="C4573">
        <f>IF($B4573="","",INT($B4573))</f>
        <v/>
      </c>
      <c r="D4573">
        <f>IF($C4573="","",$C4573-WEEKDAY($C4573,2)+1)</f>
        <v/>
      </c>
      <c r="E4573">
        <f>IF($C4573="","",DATE(YEAR($C4573),MONTH($C4573),1))</f>
        <v/>
      </c>
      <c r="F4573">
        <f>IF($C4573="","",YEAR($C4573)&amp;"-Q"&amp;ROUNDUP(MONTH($C4573)/3,0))</f>
        <v/>
      </c>
      <c r="L4573">
        <f>IF($G4573&lt;&gt;"ALCOHOL","",IF($K4573="","",$H4573*IFERROR(VLOOKUP($K4573,Drink_Templates!$A:$G,7,FALSE),0)))</f>
        <v/>
      </c>
    </row>
    <row r="4574" ht="15" customHeight="1">
      <c r="C4574">
        <f>IF($B4574="","",INT($B4574))</f>
        <v/>
      </c>
      <c r="D4574">
        <f>IF($C4574="","",$C4574-WEEKDAY($C4574,2)+1)</f>
        <v/>
      </c>
      <c r="E4574">
        <f>IF($C4574="","",DATE(YEAR($C4574),MONTH($C4574),1))</f>
        <v/>
      </c>
      <c r="F4574">
        <f>IF($C4574="","",YEAR($C4574)&amp;"-Q"&amp;ROUNDUP(MONTH($C4574)/3,0))</f>
        <v/>
      </c>
      <c r="L4574">
        <f>IF($G4574&lt;&gt;"ALCOHOL","",IF($K4574="","",$H4574*IFERROR(VLOOKUP($K4574,Drink_Templates!$A:$G,7,FALSE),0)))</f>
        <v/>
      </c>
    </row>
    <row r="4575" ht="15" customHeight="1">
      <c r="C4575">
        <f>IF($B4575="","",INT($B4575))</f>
        <v/>
      </c>
      <c r="D4575">
        <f>IF($C4575="","",$C4575-WEEKDAY($C4575,2)+1)</f>
        <v/>
      </c>
      <c r="E4575">
        <f>IF($C4575="","",DATE(YEAR($C4575),MONTH($C4575),1))</f>
        <v/>
      </c>
      <c r="F4575">
        <f>IF($C4575="","",YEAR($C4575)&amp;"-Q"&amp;ROUNDUP(MONTH($C4575)/3,0))</f>
        <v/>
      </c>
      <c r="L4575">
        <f>IF($G4575&lt;&gt;"ALCOHOL","",IF($K4575="","",$H4575*IFERROR(VLOOKUP($K4575,Drink_Templates!$A:$G,7,FALSE),0)))</f>
        <v/>
      </c>
    </row>
    <row r="4576" ht="15" customHeight="1">
      <c r="C4576">
        <f>IF($B4576="","",INT($B4576))</f>
        <v/>
      </c>
      <c r="D4576">
        <f>IF($C4576="","",$C4576-WEEKDAY($C4576,2)+1)</f>
        <v/>
      </c>
      <c r="E4576">
        <f>IF($C4576="","",DATE(YEAR($C4576),MONTH($C4576),1))</f>
        <v/>
      </c>
      <c r="F4576">
        <f>IF($C4576="","",YEAR($C4576)&amp;"-Q"&amp;ROUNDUP(MONTH($C4576)/3,0))</f>
        <v/>
      </c>
      <c r="L4576">
        <f>IF($G4576&lt;&gt;"ALCOHOL","",IF($K4576="","",$H4576*IFERROR(VLOOKUP($K4576,Drink_Templates!$A:$G,7,FALSE),0)))</f>
        <v/>
      </c>
    </row>
    <row r="4577" ht="15" customHeight="1">
      <c r="C4577">
        <f>IF($B4577="","",INT($B4577))</f>
        <v/>
      </c>
      <c r="D4577">
        <f>IF($C4577="","",$C4577-WEEKDAY($C4577,2)+1)</f>
        <v/>
      </c>
      <c r="E4577">
        <f>IF($C4577="","",DATE(YEAR($C4577),MONTH($C4577),1))</f>
        <v/>
      </c>
      <c r="F4577">
        <f>IF($C4577="","",YEAR($C4577)&amp;"-Q"&amp;ROUNDUP(MONTH($C4577)/3,0))</f>
        <v/>
      </c>
      <c r="L4577">
        <f>IF($G4577&lt;&gt;"ALCOHOL","",IF($K4577="","",$H4577*IFERROR(VLOOKUP($K4577,Drink_Templates!$A:$G,7,FALSE),0)))</f>
        <v/>
      </c>
    </row>
    <row r="4578" ht="15" customHeight="1">
      <c r="C4578">
        <f>IF($B4578="","",INT($B4578))</f>
        <v/>
      </c>
      <c r="D4578">
        <f>IF($C4578="","",$C4578-WEEKDAY($C4578,2)+1)</f>
        <v/>
      </c>
      <c r="E4578">
        <f>IF($C4578="","",DATE(YEAR($C4578),MONTH($C4578),1))</f>
        <v/>
      </c>
      <c r="F4578">
        <f>IF($C4578="","",YEAR($C4578)&amp;"-Q"&amp;ROUNDUP(MONTH($C4578)/3,0))</f>
        <v/>
      </c>
      <c r="L4578">
        <f>IF($G4578&lt;&gt;"ALCOHOL","",IF($K4578="","",$H4578*IFERROR(VLOOKUP($K4578,Drink_Templates!$A:$G,7,FALSE),0)))</f>
        <v/>
      </c>
    </row>
    <row r="4579" ht="15" customHeight="1">
      <c r="C4579">
        <f>IF($B4579="","",INT($B4579))</f>
        <v/>
      </c>
      <c r="D4579">
        <f>IF($C4579="","",$C4579-WEEKDAY($C4579,2)+1)</f>
        <v/>
      </c>
      <c r="E4579">
        <f>IF($C4579="","",DATE(YEAR($C4579),MONTH($C4579),1))</f>
        <v/>
      </c>
      <c r="F4579">
        <f>IF($C4579="","",YEAR($C4579)&amp;"-Q"&amp;ROUNDUP(MONTH($C4579)/3,0))</f>
        <v/>
      </c>
      <c r="L4579">
        <f>IF($G4579&lt;&gt;"ALCOHOL","",IF($K4579="","",$H4579*IFERROR(VLOOKUP($K4579,Drink_Templates!$A:$G,7,FALSE),0)))</f>
        <v/>
      </c>
    </row>
    <row r="4580" ht="15" customHeight="1">
      <c r="C4580">
        <f>IF($B4580="","",INT($B4580))</f>
        <v/>
      </c>
      <c r="D4580">
        <f>IF($C4580="","",$C4580-WEEKDAY($C4580,2)+1)</f>
        <v/>
      </c>
      <c r="E4580">
        <f>IF($C4580="","",DATE(YEAR($C4580),MONTH($C4580),1))</f>
        <v/>
      </c>
      <c r="F4580">
        <f>IF($C4580="","",YEAR($C4580)&amp;"-Q"&amp;ROUNDUP(MONTH($C4580)/3,0))</f>
        <v/>
      </c>
      <c r="L4580">
        <f>IF($G4580&lt;&gt;"ALCOHOL","",IF($K4580="","",$H4580*IFERROR(VLOOKUP($K4580,Drink_Templates!$A:$G,7,FALSE),0)))</f>
        <v/>
      </c>
    </row>
    <row r="4581" ht="15" customHeight="1">
      <c r="C4581">
        <f>IF($B4581="","",INT($B4581))</f>
        <v/>
      </c>
      <c r="D4581">
        <f>IF($C4581="","",$C4581-WEEKDAY($C4581,2)+1)</f>
        <v/>
      </c>
      <c r="E4581">
        <f>IF($C4581="","",DATE(YEAR($C4581),MONTH($C4581),1))</f>
        <v/>
      </c>
      <c r="F4581">
        <f>IF($C4581="","",YEAR($C4581)&amp;"-Q"&amp;ROUNDUP(MONTH($C4581)/3,0))</f>
        <v/>
      </c>
      <c r="L4581">
        <f>IF($G4581&lt;&gt;"ALCOHOL","",IF($K4581="","",$H4581*IFERROR(VLOOKUP($K4581,Drink_Templates!$A:$G,7,FALSE),0)))</f>
        <v/>
      </c>
    </row>
    <row r="4582" ht="15" customHeight="1">
      <c r="C4582">
        <f>IF($B4582="","",INT($B4582))</f>
        <v/>
      </c>
      <c r="D4582">
        <f>IF($C4582="","",$C4582-WEEKDAY($C4582,2)+1)</f>
        <v/>
      </c>
      <c r="E4582">
        <f>IF($C4582="","",DATE(YEAR($C4582),MONTH($C4582),1))</f>
        <v/>
      </c>
      <c r="F4582">
        <f>IF($C4582="","",YEAR($C4582)&amp;"-Q"&amp;ROUNDUP(MONTH($C4582)/3,0))</f>
        <v/>
      </c>
      <c r="L4582">
        <f>IF($G4582&lt;&gt;"ALCOHOL","",IF($K4582="","",$H4582*IFERROR(VLOOKUP($K4582,Drink_Templates!$A:$G,7,FALSE),0)))</f>
        <v/>
      </c>
    </row>
    <row r="4583" ht="15" customHeight="1">
      <c r="C4583">
        <f>IF($B4583="","",INT($B4583))</f>
        <v/>
      </c>
      <c r="D4583">
        <f>IF($C4583="","",$C4583-WEEKDAY($C4583,2)+1)</f>
        <v/>
      </c>
      <c r="E4583">
        <f>IF($C4583="","",DATE(YEAR($C4583),MONTH($C4583),1))</f>
        <v/>
      </c>
      <c r="F4583">
        <f>IF($C4583="","",YEAR($C4583)&amp;"-Q"&amp;ROUNDUP(MONTH($C4583)/3,0))</f>
        <v/>
      </c>
      <c r="L4583">
        <f>IF($G4583&lt;&gt;"ALCOHOL","",IF($K4583="","",$H4583*IFERROR(VLOOKUP($K4583,Drink_Templates!$A:$G,7,FALSE),0)))</f>
        <v/>
      </c>
    </row>
    <row r="4584" ht="15" customHeight="1">
      <c r="C4584">
        <f>IF($B4584="","",INT($B4584))</f>
        <v/>
      </c>
      <c r="D4584">
        <f>IF($C4584="","",$C4584-WEEKDAY($C4584,2)+1)</f>
        <v/>
      </c>
      <c r="E4584">
        <f>IF($C4584="","",DATE(YEAR($C4584),MONTH($C4584),1))</f>
        <v/>
      </c>
      <c r="F4584">
        <f>IF($C4584="","",YEAR($C4584)&amp;"-Q"&amp;ROUNDUP(MONTH($C4584)/3,0))</f>
        <v/>
      </c>
      <c r="L4584">
        <f>IF($G4584&lt;&gt;"ALCOHOL","",IF($K4584="","",$H4584*IFERROR(VLOOKUP($K4584,Drink_Templates!$A:$G,7,FALSE),0)))</f>
        <v/>
      </c>
    </row>
    <row r="4585" ht="15" customHeight="1">
      <c r="C4585">
        <f>IF($B4585="","",INT($B4585))</f>
        <v/>
      </c>
      <c r="D4585">
        <f>IF($C4585="","",$C4585-WEEKDAY($C4585,2)+1)</f>
        <v/>
      </c>
      <c r="E4585">
        <f>IF($C4585="","",DATE(YEAR($C4585),MONTH($C4585),1))</f>
        <v/>
      </c>
      <c r="F4585">
        <f>IF($C4585="","",YEAR($C4585)&amp;"-Q"&amp;ROUNDUP(MONTH($C4585)/3,0))</f>
        <v/>
      </c>
      <c r="L4585">
        <f>IF($G4585&lt;&gt;"ALCOHOL","",IF($K4585="","",$H4585*IFERROR(VLOOKUP($K4585,Drink_Templates!$A:$G,7,FALSE),0)))</f>
        <v/>
      </c>
    </row>
    <row r="4586" ht="15" customHeight="1">
      <c r="C4586">
        <f>IF($B4586="","",INT($B4586))</f>
        <v/>
      </c>
      <c r="D4586">
        <f>IF($C4586="","",$C4586-WEEKDAY($C4586,2)+1)</f>
        <v/>
      </c>
      <c r="E4586">
        <f>IF($C4586="","",DATE(YEAR($C4586),MONTH($C4586),1))</f>
        <v/>
      </c>
      <c r="F4586">
        <f>IF($C4586="","",YEAR($C4586)&amp;"-Q"&amp;ROUNDUP(MONTH($C4586)/3,0))</f>
        <v/>
      </c>
      <c r="L4586">
        <f>IF($G4586&lt;&gt;"ALCOHOL","",IF($K4586="","",$H4586*IFERROR(VLOOKUP($K4586,Drink_Templates!$A:$G,7,FALSE),0)))</f>
        <v/>
      </c>
    </row>
    <row r="4587" ht="15" customHeight="1">
      <c r="C4587">
        <f>IF($B4587="","",INT($B4587))</f>
        <v/>
      </c>
      <c r="D4587">
        <f>IF($C4587="","",$C4587-WEEKDAY($C4587,2)+1)</f>
        <v/>
      </c>
      <c r="E4587">
        <f>IF($C4587="","",DATE(YEAR($C4587),MONTH($C4587),1))</f>
        <v/>
      </c>
      <c r="F4587">
        <f>IF($C4587="","",YEAR($C4587)&amp;"-Q"&amp;ROUNDUP(MONTH($C4587)/3,0))</f>
        <v/>
      </c>
      <c r="L4587">
        <f>IF($G4587&lt;&gt;"ALCOHOL","",IF($K4587="","",$H4587*IFERROR(VLOOKUP($K4587,Drink_Templates!$A:$G,7,FALSE),0)))</f>
        <v/>
      </c>
    </row>
    <row r="4588" ht="15" customHeight="1">
      <c r="C4588">
        <f>IF($B4588="","",INT($B4588))</f>
        <v/>
      </c>
      <c r="D4588">
        <f>IF($C4588="","",$C4588-WEEKDAY($C4588,2)+1)</f>
        <v/>
      </c>
      <c r="E4588">
        <f>IF($C4588="","",DATE(YEAR($C4588),MONTH($C4588),1))</f>
        <v/>
      </c>
      <c r="F4588">
        <f>IF($C4588="","",YEAR($C4588)&amp;"-Q"&amp;ROUNDUP(MONTH($C4588)/3,0))</f>
        <v/>
      </c>
      <c r="L4588">
        <f>IF($G4588&lt;&gt;"ALCOHOL","",IF($K4588="","",$H4588*IFERROR(VLOOKUP($K4588,Drink_Templates!$A:$G,7,FALSE),0)))</f>
        <v/>
      </c>
    </row>
    <row r="4589" ht="15" customHeight="1">
      <c r="C4589">
        <f>IF($B4589="","",INT($B4589))</f>
        <v/>
      </c>
      <c r="D4589">
        <f>IF($C4589="","",$C4589-WEEKDAY($C4589,2)+1)</f>
        <v/>
      </c>
      <c r="E4589">
        <f>IF($C4589="","",DATE(YEAR($C4589),MONTH($C4589),1))</f>
        <v/>
      </c>
      <c r="F4589">
        <f>IF($C4589="","",YEAR($C4589)&amp;"-Q"&amp;ROUNDUP(MONTH($C4589)/3,0))</f>
        <v/>
      </c>
      <c r="L4589">
        <f>IF($G4589&lt;&gt;"ALCOHOL","",IF($K4589="","",$H4589*IFERROR(VLOOKUP($K4589,Drink_Templates!$A:$G,7,FALSE),0)))</f>
        <v/>
      </c>
    </row>
    <row r="4590" ht="15" customHeight="1">
      <c r="C4590">
        <f>IF($B4590="","",INT($B4590))</f>
        <v/>
      </c>
      <c r="D4590">
        <f>IF($C4590="","",$C4590-WEEKDAY($C4590,2)+1)</f>
        <v/>
      </c>
      <c r="E4590">
        <f>IF($C4590="","",DATE(YEAR($C4590),MONTH($C4590),1))</f>
        <v/>
      </c>
      <c r="F4590">
        <f>IF($C4590="","",YEAR($C4590)&amp;"-Q"&amp;ROUNDUP(MONTH($C4590)/3,0))</f>
        <v/>
      </c>
      <c r="L4590">
        <f>IF($G4590&lt;&gt;"ALCOHOL","",IF($K4590="","",$H4590*IFERROR(VLOOKUP($K4590,Drink_Templates!$A:$G,7,FALSE),0)))</f>
        <v/>
      </c>
    </row>
    <row r="4591" ht="15" customHeight="1">
      <c r="C4591">
        <f>IF($B4591="","",INT($B4591))</f>
        <v/>
      </c>
      <c r="D4591">
        <f>IF($C4591="","",$C4591-WEEKDAY($C4591,2)+1)</f>
        <v/>
      </c>
      <c r="E4591">
        <f>IF($C4591="","",DATE(YEAR($C4591),MONTH($C4591),1))</f>
        <v/>
      </c>
      <c r="F4591">
        <f>IF($C4591="","",YEAR($C4591)&amp;"-Q"&amp;ROUNDUP(MONTH($C4591)/3,0))</f>
        <v/>
      </c>
      <c r="L4591">
        <f>IF($G4591&lt;&gt;"ALCOHOL","",IF($K4591="","",$H4591*IFERROR(VLOOKUP($K4591,Drink_Templates!$A:$G,7,FALSE),0)))</f>
        <v/>
      </c>
    </row>
    <row r="4592" ht="15" customHeight="1">
      <c r="C4592">
        <f>IF($B4592="","",INT($B4592))</f>
        <v/>
      </c>
      <c r="D4592">
        <f>IF($C4592="","",$C4592-WEEKDAY($C4592,2)+1)</f>
        <v/>
      </c>
      <c r="E4592">
        <f>IF($C4592="","",DATE(YEAR($C4592),MONTH($C4592),1))</f>
        <v/>
      </c>
      <c r="F4592">
        <f>IF($C4592="","",YEAR($C4592)&amp;"-Q"&amp;ROUNDUP(MONTH($C4592)/3,0))</f>
        <v/>
      </c>
      <c r="L4592">
        <f>IF($G4592&lt;&gt;"ALCOHOL","",IF($K4592="","",$H4592*IFERROR(VLOOKUP($K4592,Drink_Templates!$A:$G,7,FALSE),0)))</f>
        <v/>
      </c>
    </row>
    <row r="4593" ht="15" customHeight="1">
      <c r="C4593">
        <f>IF($B4593="","",INT($B4593))</f>
        <v/>
      </c>
      <c r="D4593">
        <f>IF($C4593="","",$C4593-WEEKDAY($C4593,2)+1)</f>
        <v/>
      </c>
      <c r="E4593">
        <f>IF($C4593="","",DATE(YEAR($C4593),MONTH($C4593),1))</f>
        <v/>
      </c>
      <c r="F4593">
        <f>IF($C4593="","",YEAR($C4593)&amp;"-Q"&amp;ROUNDUP(MONTH($C4593)/3,0))</f>
        <v/>
      </c>
      <c r="L4593">
        <f>IF($G4593&lt;&gt;"ALCOHOL","",IF($K4593="","",$H4593*IFERROR(VLOOKUP($K4593,Drink_Templates!$A:$G,7,FALSE),0)))</f>
        <v/>
      </c>
    </row>
    <row r="4594" ht="15" customHeight="1">
      <c r="C4594">
        <f>IF($B4594="","",INT($B4594))</f>
        <v/>
      </c>
      <c r="D4594">
        <f>IF($C4594="","",$C4594-WEEKDAY($C4594,2)+1)</f>
        <v/>
      </c>
      <c r="E4594">
        <f>IF($C4594="","",DATE(YEAR($C4594),MONTH($C4594),1))</f>
        <v/>
      </c>
      <c r="F4594">
        <f>IF($C4594="","",YEAR($C4594)&amp;"-Q"&amp;ROUNDUP(MONTH($C4594)/3,0))</f>
        <v/>
      </c>
      <c r="L4594">
        <f>IF($G4594&lt;&gt;"ALCOHOL","",IF($K4594="","",$H4594*IFERROR(VLOOKUP($K4594,Drink_Templates!$A:$G,7,FALSE),0)))</f>
        <v/>
      </c>
    </row>
    <row r="4595" ht="15" customHeight="1">
      <c r="C4595">
        <f>IF($B4595="","",INT($B4595))</f>
        <v/>
      </c>
      <c r="D4595">
        <f>IF($C4595="","",$C4595-WEEKDAY($C4595,2)+1)</f>
        <v/>
      </c>
      <c r="E4595">
        <f>IF($C4595="","",DATE(YEAR($C4595),MONTH($C4595),1))</f>
        <v/>
      </c>
      <c r="F4595">
        <f>IF($C4595="","",YEAR($C4595)&amp;"-Q"&amp;ROUNDUP(MONTH($C4595)/3,0))</f>
        <v/>
      </c>
      <c r="L4595">
        <f>IF($G4595&lt;&gt;"ALCOHOL","",IF($K4595="","",$H4595*IFERROR(VLOOKUP($K4595,Drink_Templates!$A:$G,7,FALSE),0)))</f>
        <v/>
      </c>
    </row>
    <row r="4596" ht="15" customHeight="1">
      <c r="C4596">
        <f>IF($B4596="","",INT($B4596))</f>
        <v/>
      </c>
      <c r="D4596">
        <f>IF($C4596="","",$C4596-WEEKDAY($C4596,2)+1)</f>
        <v/>
      </c>
      <c r="E4596">
        <f>IF($C4596="","",DATE(YEAR($C4596),MONTH($C4596),1))</f>
        <v/>
      </c>
      <c r="F4596">
        <f>IF($C4596="","",YEAR($C4596)&amp;"-Q"&amp;ROUNDUP(MONTH($C4596)/3,0))</f>
        <v/>
      </c>
      <c r="L4596">
        <f>IF($G4596&lt;&gt;"ALCOHOL","",IF($K4596="","",$H4596*IFERROR(VLOOKUP($K4596,Drink_Templates!$A:$G,7,FALSE),0)))</f>
        <v/>
      </c>
    </row>
    <row r="4597" ht="15" customHeight="1">
      <c r="C4597">
        <f>IF($B4597="","",INT($B4597))</f>
        <v/>
      </c>
      <c r="D4597">
        <f>IF($C4597="","",$C4597-WEEKDAY($C4597,2)+1)</f>
        <v/>
      </c>
      <c r="E4597">
        <f>IF($C4597="","",DATE(YEAR($C4597),MONTH($C4597),1))</f>
        <v/>
      </c>
      <c r="F4597">
        <f>IF($C4597="","",YEAR($C4597)&amp;"-Q"&amp;ROUNDUP(MONTH($C4597)/3,0))</f>
        <v/>
      </c>
      <c r="L4597">
        <f>IF($G4597&lt;&gt;"ALCOHOL","",IF($K4597="","",$H4597*IFERROR(VLOOKUP($K4597,Drink_Templates!$A:$G,7,FALSE),0)))</f>
        <v/>
      </c>
    </row>
    <row r="4598" ht="15" customHeight="1">
      <c r="C4598">
        <f>IF($B4598="","",INT($B4598))</f>
        <v/>
      </c>
      <c r="D4598">
        <f>IF($C4598="","",$C4598-WEEKDAY($C4598,2)+1)</f>
        <v/>
      </c>
      <c r="E4598">
        <f>IF($C4598="","",DATE(YEAR($C4598),MONTH($C4598),1))</f>
        <v/>
      </c>
      <c r="F4598">
        <f>IF($C4598="","",YEAR($C4598)&amp;"-Q"&amp;ROUNDUP(MONTH($C4598)/3,0))</f>
        <v/>
      </c>
      <c r="L4598">
        <f>IF($G4598&lt;&gt;"ALCOHOL","",IF($K4598="","",$H4598*IFERROR(VLOOKUP($K4598,Drink_Templates!$A:$G,7,FALSE),0)))</f>
        <v/>
      </c>
    </row>
    <row r="4599" ht="15" customHeight="1">
      <c r="C4599">
        <f>IF($B4599="","",INT($B4599))</f>
        <v/>
      </c>
      <c r="D4599">
        <f>IF($C4599="","",$C4599-WEEKDAY($C4599,2)+1)</f>
        <v/>
      </c>
      <c r="E4599">
        <f>IF($C4599="","",DATE(YEAR($C4599),MONTH($C4599),1))</f>
        <v/>
      </c>
      <c r="F4599">
        <f>IF($C4599="","",YEAR($C4599)&amp;"-Q"&amp;ROUNDUP(MONTH($C4599)/3,0))</f>
        <v/>
      </c>
      <c r="L4599">
        <f>IF($G4599&lt;&gt;"ALCOHOL","",IF($K4599="","",$H4599*IFERROR(VLOOKUP($K4599,Drink_Templates!$A:$G,7,FALSE),0)))</f>
        <v/>
      </c>
    </row>
    <row r="4600" ht="15" customHeight="1">
      <c r="C4600">
        <f>IF($B4600="","",INT($B4600))</f>
        <v/>
      </c>
      <c r="D4600">
        <f>IF($C4600="","",$C4600-WEEKDAY($C4600,2)+1)</f>
        <v/>
      </c>
      <c r="E4600">
        <f>IF($C4600="","",DATE(YEAR($C4600),MONTH($C4600),1))</f>
        <v/>
      </c>
      <c r="F4600">
        <f>IF($C4600="","",YEAR($C4600)&amp;"-Q"&amp;ROUNDUP(MONTH($C4600)/3,0))</f>
        <v/>
      </c>
      <c r="L4600">
        <f>IF($G4600&lt;&gt;"ALCOHOL","",IF($K4600="","",$H4600*IFERROR(VLOOKUP($K4600,Drink_Templates!$A:$G,7,FALSE),0)))</f>
        <v/>
      </c>
    </row>
    <row r="4601" ht="15" customHeight="1">
      <c r="C4601">
        <f>IF($B4601="","",INT($B4601))</f>
        <v/>
      </c>
      <c r="D4601">
        <f>IF($C4601="","",$C4601-WEEKDAY($C4601,2)+1)</f>
        <v/>
      </c>
      <c r="E4601">
        <f>IF($C4601="","",DATE(YEAR($C4601),MONTH($C4601),1))</f>
        <v/>
      </c>
      <c r="F4601">
        <f>IF($C4601="","",YEAR($C4601)&amp;"-Q"&amp;ROUNDUP(MONTH($C4601)/3,0))</f>
        <v/>
      </c>
      <c r="L4601">
        <f>IF($G4601&lt;&gt;"ALCOHOL","",IF($K4601="","",$H4601*IFERROR(VLOOKUP($K4601,Drink_Templates!$A:$G,7,FALSE),0)))</f>
        <v/>
      </c>
    </row>
    <row r="4602" ht="15" customHeight="1">
      <c r="C4602">
        <f>IF($B4602="","",INT($B4602))</f>
        <v/>
      </c>
      <c r="D4602">
        <f>IF($C4602="","",$C4602-WEEKDAY($C4602,2)+1)</f>
        <v/>
      </c>
      <c r="E4602">
        <f>IF($C4602="","",DATE(YEAR($C4602),MONTH($C4602),1))</f>
        <v/>
      </c>
      <c r="F4602">
        <f>IF($C4602="","",YEAR($C4602)&amp;"-Q"&amp;ROUNDUP(MONTH($C4602)/3,0))</f>
        <v/>
      </c>
      <c r="L4602">
        <f>IF($G4602&lt;&gt;"ALCOHOL","",IF($K4602="","",$H4602*IFERROR(VLOOKUP($K4602,Drink_Templates!$A:$G,7,FALSE),0)))</f>
        <v/>
      </c>
    </row>
    <row r="4603" ht="15" customHeight="1">
      <c r="C4603">
        <f>IF($B4603="","",INT($B4603))</f>
        <v/>
      </c>
      <c r="D4603">
        <f>IF($C4603="","",$C4603-WEEKDAY($C4603,2)+1)</f>
        <v/>
      </c>
      <c r="E4603">
        <f>IF($C4603="","",DATE(YEAR($C4603),MONTH($C4603),1))</f>
        <v/>
      </c>
      <c r="F4603">
        <f>IF($C4603="","",YEAR($C4603)&amp;"-Q"&amp;ROUNDUP(MONTH($C4603)/3,0))</f>
        <v/>
      </c>
      <c r="L4603">
        <f>IF($G4603&lt;&gt;"ALCOHOL","",IF($K4603="","",$H4603*IFERROR(VLOOKUP($K4603,Drink_Templates!$A:$G,7,FALSE),0)))</f>
        <v/>
      </c>
    </row>
    <row r="4604" ht="15" customHeight="1">
      <c r="C4604">
        <f>IF($B4604="","",INT($B4604))</f>
        <v/>
      </c>
      <c r="D4604">
        <f>IF($C4604="","",$C4604-WEEKDAY($C4604,2)+1)</f>
        <v/>
      </c>
      <c r="E4604">
        <f>IF($C4604="","",DATE(YEAR($C4604),MONTH($C4604),1))</f>
        <v/>
      </c>
      <c r="F4604">
        <f>IF($C4604="","",YEAR($C4604)&amp;"-Q"&amp;ROUNDUP(MONTH($C4604)/3,0))</f>
        <v/>
      </c>
      <c r="L4604">
        <f>IF($G4604&lt;&gt;"ALCOHOL","",IF($K4604="","",$H4604*IFERROR(VLOOKUP($K4604,Drink_Templates!$A:$G,7,FALSE),0)))</f>
        <v/>
      </c>
    </row>
    <row r="4605" ht="15" customHeight="1">
      <c r="C4605">
        <f>IF($B4605="","",INT($B4605))</f>
        <v/>
      </c>
      <c r="D4605">
        <f>IF($C4605="","",$C4605-WEEKDAY($C4605,2)+1)</f>
        <v/>
      </c>
      <c r="E4605">
        <f>IF($C4605="","",DATE(YEAR($C4605),MONTH($C4605),1))</f>
        <v/>
      </c>
      <c r="F4605">
        <f>IF($C4605="","",YEAR($C4605)&amp;"-Q"&amp;ROUNDUP(MONTH($C4605)/3,0))</f>
        <v/>
      </c>
      <c r="L4605">
        <f>IF($G4605&lt;&gt;"ALCOHOL","",IF($K4605="","",$H4605*IFERROR(VLOOKUP($K4605,Drink_Templates!$A:$G,7,FALSE),0)))</f>
        <v/>
      </c>
    </row>
    <row r="4606" ht="15" customHeight="1">
      <c r="C4606">
        <f>IF($B4606="","",INT($B4606))</f>
        <v/>
      </c>
      <c r="D4606">
        <f>IF($C4606="","",$C4606-WEEKDAY($C4606,2)+1)</f>
        <v/>
      </c>
      <c r="E4606">
        <f>IF($C4606="","",DATE(YEAR($C4606),MONTH($C4606),1))</f>
        <v/>
      </c>
      <c r="F4606">
        <f>IF($C4606="","",YEAR($C4606)&amp;"-Q"&amp;ROUNDUP(MONTH($C4606)/3,0))</f>
        <v/>
      </c>
      <c r="L4606">
        <f>IF($G4606&lt;&gt;"ALCOHOL","",IF($K4606="","",$H4606*IFERROR(VLOOKUP($K4606,Drink_Templates!$A:$G,7,FALSE),0)))</f>
        <v/>
      </c>
    </row>
    <row r="4607" ht="15" customHeight="1">
      <c r="C4607">
        <f>IF($B4607="","",INT($B4607))</f>
        <v/>
      </c>
      <c r="D4607">
        <f>IF($C4607="","",$C4607-WEEKDAY($C4607,2)+1)</f>
        <v/>
      </c>
      <c r="E4607">
        <f>IF($C4607="","",DATE(YEAR($C4607),MONTH($C4607),1))</f>
        <v/>
      </c>
      <c r="F4607">
        <f>IF($C4607="","",YEAR($C4607)&amp;"-Q"&amp;ROUNDUP(MONTH($C4607)/3,0))</f>
        <v/>
      </c>
      <c r="L4607">
        <f>IF($G4607&lt;&gt;"ALCOHOL","",IF($K4607="","",$H4607*IFERROR(VLOOKUP($K4607,Drink_Templates!$A:$G,7,FALSE),0)))</f>
        <v/>
      </c>
    </row>
    <row r="4608" ht="15" customHeight="1">
      <c r="C4608">
        <f>IF($B4608="","",INT($B4608))</f>
        <v/>
      </c>
      <c r="D4608">
        <f>IF($C4608="","",$C4608-WEEKDAY($C4608,2)+1)</f>
        <v/>
      </c>
      <c r="E4608">
        <f>IF($C4608="","",DATE(YEAR($C4608),MONTH($C4608),1))</f>
        <v/>
      </c>
      <c r="F4608">
        <f>IF($C4608="","",YEAR($C4608)&amp;"-Q"&amp;ROUNDUP(MONTH($C4608)/3,0))</f>
        <v/>
      </c>
      <c r="L4608">
        <f>IF($G4608&lt;&gt;"ALCOHOL","",IF($K4608="","",$H4608*IFERROR(VLOOKUP($K4608,Drink_Templates!$A:$G,7,FALSE),0)))</f>
        <v/>
      </c>
    </row>
    <row r="4609" ht="15" customHeight="1">
      <c r="C4609">
        <f>IF($B4609="","",INT($B4609))</f>
        <v/>
      </c>
      <c r="D4609">
        <f>IF($C4609="","",$C4609-WEEKDAY($C4609,2)+1)</f>
        <v/>
      </c>
      <c r="E4609">
        <f>IF($C4609="","",DATE(YEAR($C4609),MONTH($C4609),1))</f>
        <v/>
      </c>
      <c r="F4609">
        <f>IF($C4609="","",YEAR($C4609)&amp;"-Q"&amp;ROUNDUP(MONTH($C4609)/3,0))</f>
        <v/>
      </c>
      <c r="L4609">
        <f>IF($G4609&lt;&gt;"ALCOHOL","",IF($K4609="","",$H4609*IFERROR(VLOOKUP($K4609,Drink_Templates!$A:$G,7,FALSE),0)))</f>
        <v/>
      </c>
    </row>
    <row r="4610" ht="15" customHeight="1">
      <c r="C4610">
        <f>IF($B4610="","",INT($B4610))</f>
        <v/>
      </c>
      <c r="D4610">
        <f>IF($C4610="","",$C4610-WEEKDAY($C4610,2)+1)</f>
        <v/>
      </c>
      <c r="E4610">
        <f>IF($C4610="","",DATE(YEAR($C4610),MONTH($C4610),1))</f>
        <v/>
      </c>
      <c r="F4610">
        <f>IF($C4610="","",YEAR($C4610)&amp;"-Q"&amp;ROUNDUP(MONTH($C4610)/3,0))</f>
        <v/>
      </c>
      <c r="L4610">
        <f>IF($G4610&lt;&gt;"ALCOHOL","",IF($K4610="","",$H4610*IFERROR(VLOOKUP($K4610,Drink_Templates!$A:$G,7,FALSE),0)))</f>
        <v/>
      </c>
    </row>
    <row r="4611" ht="15" customHeight="1">
      <c r="C4611">
        <f>IF($B4611="","",INT($B4611))</f>
        <v/>
      </c>
      <c r="D4611">
        <f>IF($C4611="","",$C4611-WEEKDAY($C4611,2)+1)</f>
        <v/>
      </c>
      <c r="E4611">
        <f>IF($C4611="","",DATE(YEAR($C4611),MONTH($C4611),1))</f>
        <v/>
      </c>
      <c r="F4611">
        <f>IF($C4611="","",YEAR($C4611)&amp;"-Q"&amp;ROUNDUP(MONTH($C4611)/3,0))</f>
        <v/>
      </c>
      <c r="L4611">
        <f>IF($G4611&lt;&gt;"ALCOHOL","",IF($K4611="","",$H4611*IFERROR(VLOOKUP($K4611,Drink_Templates!$A:$G,7,FALSE),0)))</f>
        <v/>
      </c>
    </row>
    <row r="4612" ht="15" customHeight="1">
      <c r="C4612">
        <f>IF($B4612="","",INT($B4612))</f>
        <v/>
      </c>
      <c r="D4612">
        <f>IF($C4612="","",$C4612-WEEKDAY($C4612,2)+1)</f>
        <v/>
      </c>
      <c r="E4612">
        <f>IF($C4612="","",DATE(YEAR($C4612),MONTH($C4612),1))</f>
        <v/>
      </c>
      <c r="F4612">
        <f>IF($C4612="","",YEAR($C4612)&amp;"-Q"&amp;ROUNDUP(MONTH($C4612)/3,0))</f>
        <v/>
      </c>
      <c r="L4612">
        <f>IF($G4612&lt;&gt;"ALCOHOL","",IF($K4612="","",$H4612*IFERROR(VLOOKUP($K4612,Drink_Templates!$A:$G,7,FALSE),0)))</f>
        <v/>
      </c>
    </row>
    <row r="4613" ht="15" customHeight="1">
      <c r="C4613">
        <f>IF($B4613="","",INT($B4613))</f>
        <v/>
      </c>
      <c r="D4613">
        <f>IF($C4613="","",$C4613-WEEKDAY($C4613,2)+1)</f>
        <v/>
      </c>
      <c r="E4613">
        <f>IF($C4613="","",DATE(YEAR($C4613),MONTH($C4613),1))</f>
        <v/>
      </c>
      <c r="F4613">
        <f>IF($C4613="","",YEAR($C4613)&amp;"-Q"&amp;ROUNDUP(MONTH($C4613)/3,0))</f>
        <v/>
      </c>
      <c r="L4613">
        <f>IF($G4613&lt;&gt;"ALCOHOL","",IF($K4613="","",$H4613*IFERROR(VLOOKUP($K4613,Drink_Templates!$A:$G,7,FALSE),0)))</f>
        <v/>
      </c>
    </row>
    <row r="4614" ht="15" customHeight="1">
      <c r="C4614">
        <f>IF($B4614="","",INT($B4614))</f>
        <v/>
      </c>
      <c r="D4614">
        <f>IF($C4614="","",$C4614-WEEKDAY($C4614,2)+1)</f>
        <v/>
      </c>
      <c r="E4614">
        <f>IF($C4614="","",DATE(YEAR($C4614),MONTH($C4614),1))</f>
        <v/>
      </c>
      <c r="F4614">
        <f>IF($C4614="","",YEAR($C4614)&amp;"-Q"&amp;ROUNDUP(MONTH($C4614)/3,0))</f>
        <v/>
      </c>
      <c r="L4614">
        <f>IF($G4614&lt;&gt;"ALCOHOL","",IF($K4614="","",$H4614*IFERROR(VLOOKUP($K4614,Drink_Templates!$A:$G,7,FALSE),0)))</f>
        <v/>
      </c>
    </row>
    <row r="4615" ht="15" customHeight="1">
      <c r="C4615">
        <f>IF($B4615="","",INT($B4615))</f>
        <v/>
      </c>
      <c r="D4615">
        <f>IF($C4615="","",$C4615-WEEKDAY($C4615,2)+1)</f>
        <v/>
      </c>
      <c r="E4615">
        <f>IF($C4615="","",DATE(YEAR($C4615),MONTH($C4615),1))</f>
        <v/>
      </c>
      <c r="F4615">
        <f>IF($C4615="","",YEAR($C4615)&amp;"-Q"&amp;ROUNDUP(MONTH($C4615)/3,0))</f>
        <v/>
      </c>
      <c r="L4615">
        <f>IF($G4615&lt;&gt;"ALCOHOL","",IF($K4615="","",$H4615*IFERROR(VLOOKUP($K4615,Drink_Templates!$A:$G,7,FALSE),0)))</f>
        <v/>
      </c>
    </row>
    <row r="4616" ht="15" customHeight="1">
      <c r="C4616">
        <f>IF($B4616="","",INT($B4616))</f>
        <v/>
      </c>
      <c r="D4616">
        <f>IF($C4616="","",$C4616-WEEKDAY($C4616,2)+1)</f>
        <v/>
      </c>
      <c r="E4616">
        <f>IF($C4616="","",DATE(YEAR($C4616),MONTH($C4616),1))</f>
        <v/>
      </c>
      <c r="F4616">
        <f>IF($C4616="","",YEAR($C4616)&amp;"-Q"&amp;ROUNDUP(MONTH($C4616)/3,0))</f>
        <v/>
      </c>
      <c r="L4616">
        <f>IF($G4616&lt;&gt;"ALCOHOL","",IF($K4616="","",$H4616*IFERROR(VLOOKUP($K4616,Drink_Templates!$A:$G,7,FALSE),0)))</f>
        <v/>
      </c>
    </row>
    <row r="4617" ht="15" customHeight="1">
      <c r="C4617">
        <f>IF($B4617="","",INT($B4617))</f>
        <v/>
      </c>
      <c r="D4617">
        <f>IF($C4617="","",$C4617-WEEKDAY($C4617,2)+1)</f>
        <v/>
      </c>
      <c r="E4617">
        <f>IF($C4617="","",DATE(YEAR($C4617),MONTH($C4617),1))</f>
        <v/>
      </c>
      <c r="F4617">
        <f>IF($C4617="","",YEAR($C4617)&amp;"-Q"&amp;ROUNDUP(MONTH($C4617)/3,0))</f>
        <v/>
      </c>
      <c r="L4617">
        <f>IF($G4617&lt;&gt;"ALCOHOL","",IF($K4617="","",$H4617*IFERROR(VLOOKUP($K4617,Drink_Templates!$A:$G,7,FALSE),0)))</f>
        <v/>
      </c>
    </row>
    <row r="4618" ht="15" customHeight="1">
      <c r="C4618">
        <f>IF($B4618="","",INT($B4618))</f>
        <v/>
      </c>
      <c r="D4618">
        <f>IF($C4618="","",$C4618-WEEKDAY($C4618,2)+1)</f>
        <v/>
      </c>
      <c r="E4618">
        <f>IF($C4618="","",DATE(YEAR($C4618),MONTH($C4618),1))</f>
        <v/>
      </c>
      <c r="F4618">
        <f>IF($C4618="","",YEAR($C4618)&amp;"-Q"&amp;ROUNDUP(MONTH($C4618)/3,0))</f>
        <v/>
      </c>
      <c r="L4618">
        <f>IF($G4618&lt;&gt;"ALCOHOL","",IF($K4618="","",$H4618*IFERROR(VLOOKUP($K4618,Drink_Templates!$A:$G,7,FALSE),0)))</f>
        <v/>
      </c>
    </row>
    <row r="4619" ht="15" customHeight="1">
      <c r="C4619">
        <f>IF($B4619="","",INT($B4619))</f>
        <v/>
      </c>
      <c r="D4619">
        <f>IF($C4619="","",$C4619-WEEKDAY($C4619,2)+1)</f>
        <v/>
      </c>
      <c r="E4619">
        <f>IF($C4619="","",DATE(YEAR($C4619),MONTH($C4619),1))</f>
        <v/>
      </c>
      <c r="F4619">
        <f>IF($C4619="","",YEAR($C4619)&amp;"-Q"&amp;ROUNDUP(MONTH($C4619)/3,0))</f>
        <v/>
      </c>
      <c r="L4619">
        <f>IF($G4619&lt;&gt;"ALCOHOL","",IF($K4619="","",$H4619*IFERROR(VLOOKUP($K4619,Drink_Templates!$A:$G,7,FALSE),0)))</f>
        <v/>
      </c>
    </row>
    <row r="4620" ht="15" customHeight="1">
      <c r="C4620">
        <f>IF($B4620="","",INT($B4620))</f>
        <v/>
      </c>
      <c r="D4620">
        <f>IF($C4620="","",$C4620-WEEKDAY($C4620,2)+1)</f>
        <v/>
      </c>
      <c r="E4620">
        <f>IF($C4620="","",DATE(YEAR($C4620),MONTH($C4620),1))</f>
        <v/>
      </c>
      <c r="F4620">
        <f>IF($C4620="","",YEAR($C4620)&amp;"-Q"&amp;ROUNDUP(MONTH($C4620)/3,0))</f>
        <v/>
      </c>
      <c r="L4620">
        <f>IF($G4620&lt;&gt;"ALCOHOL","",IF($K4620="","",$H4620*IFERROR(VLOOKUP($K4620,Drink_Templates!$A:$G,7,FALSE),0)))</f>
        <v/>
      </c>
    </row>
    <row r="4621" ht="15" customHeight="1">
      <c r="C4621">
        <f>IF($B4621="","",INT($B4621))</f>
        <v/>
      </c>
      <c r="D4621">
        <f>IF($C4621="","",$C4621-WEEKDAY($C4621,2)+1)</f>
        <v/>
      </c>
      <c r="E4621">
        <f>IF($C4621="","",DATE(YEAR($C4621),MONTH($C4621),1))</f>
        <v/>
      </c>
      <c r="F4621">
        <f>IF($C4621="","",YEAR($C4621)&amp;"-Q"&amp;ROUNDUP(MONTH($C4621)/3,0))</f>
        <v/>
      </c>
      <c r="L4621">
        <f>IF($G4621&lt;&gt;"ALCOHOL","",IF($K4621="","",$H4621*IFERROR(VLOOKUP($K4621,Drink_Templates!$A:$G,7,FALSE),0)))</f>
        <v/>
      </c>
    </row>
    <row r="4622" ht="15" customHeight="1">
      <c r="C4622">
        <f>IF($B4622="","",INT($B4622))</f>
        <v/>
      </c>
      <c r="D4622">
        <f>IF($C4622="","",$C4622-WEEKDAY($C4622,2)+1)</f>
        <v/>
      </c>
      <c r="E4622">
        <f>IF($C4622="","",DATE(YEAR($C4622),MONTH($C4622),1))</f>
        <v/>
      </c>
      <c r="F4622">
        <f>IF($C4622="","",YEAR($C4622)&amp;"-Q"&amp;ROUNDUP(MONTH($C4622)/3,0))</f>
        <v/>
      </c>
      <c r="L4622">
        <f>IF($G4622&lt;&gt;"ALCOHOL","",IF($K4622="","",$H4622*IFERROR(VLOOKUP($K4622,Drink_Templates!$A:$G,7,FALSE),0)))</f>
        <v/>
      </c>
    </row>
    <row r="4623" ht="15" customHeight="1">
      <c r="C4623">
        <f>IF($B4623="","",INT($B4623))</f>
        <v/>
      </c>
      <c r="D4623">
        <f>IF($C4623="","",$C4623-WEEKDAY($C4623,2)+1)</f>
        <v/>
      </c>
      <c r="E4623">
        <f>IF($C4623="","",DATE(YEAR($C4623),MONTH($C4623),1))</f>
        <v/>
      </c>
      <c r="F4623">
        <f>IF($C4623="","",YEAR($C4623)&amp;"-Q"&amp;ROUNDUP(MONTH($C4623)/3,0))</f>
        <v/>
      </c>
      <c r="L4623">
        <f>IF($G4623&lt;&gt;"ALCOHOL","",IF($K4623="","",$H4623*IFERROR(VLOOKUP($K4623,Drink_Templates!$A:$G,7,FALSE),0)))</f>
        <v/>
      </c>
    </row>
    <row r="4624" ht="15" customHeight="1">
      <c r="C4624">
        <f>IF($B4624="","",INT($B4624))</f>
        <v/>
      </c>
      <c r="D4624">
        <f>IF($C4624="","",$C4624-WEEKDAY($C4624,2)+1)</f>
        <v/>
      </c>
      <c r="E4624">
        <f>IF($C4624="","",DATE(YEAR($C4624),MONTH($C4624),1))</f>
        <v/>
      </c>
      <c r="F4624">
        <f>IF($C4624="","",YEAR($C4624)&amp;"-Q"&amp;ROUNDUP(MONTH($C4624)/3,0))</f>
        <v/>
      </c>
      <c r="L4624">
        <f>IF($G4624&lt;&gt;"ALCOHOL","",IF($K4624="","",$H4624*IFERROR(VLOOKUP($K4624,Drink_Templates!$A:$G,7,FALSE),0)))</f>
        <v/>
      </c>
    </row>
    <row r="4625" ht="15" customHeight="1">
      <c r="C4625">
        <f>IF($B4625="","",INT($B4625))</f>
        <v/>
      </c>
      <c r="D4625">
        <f>IF($C4625="","",$C4625-WEEKDAY($C4625,2)+1)</f>
        <v/>
      </c>
      <c r="E4625">
        <f>IF($C4625="","",DATE(YEAR($C4625),MONTH($C4625),1))</f>
        <v/>
      </c>
      <c r="F4625">
        <f>IF($C4625="","",YEAR($C4625)&amp;"-Q"&amp;ROUNDUP(MONTH($C4625)/3,0))</f>
        <v/>
      </c>
      <c r="L4625">
        <f>IF($G4625&lt;&gt;"ALCOHOL","",IF($K4625="","",$H4625*IFERROR(VLOOKUP($K4625,Drink_Templates!$A:$G,7,FALSE),0)))</f>
        <v/>
      </c>
    </row>
    <row r="4626" ht="15" customHeight="1">
      <c r="C4626">
        <f>IF($B4626="","",INT($B4626))</f>
        <v/>
      </c>
      <c r="D4626">
        <f>IF($C4626="","",$C4626-WEEKDAY($C4626,2)+1)</f>
        <v/>
      </c>
      <c r="E4626">
        <f>IF($C4626="","",DATE(YEAR($C4626),MONTH($C4626),1))</f>
        <v/>
      </c>
      <c r="F4626">
        <f>IF($C4626="","",YEAR($C4626)&amp;"-Q"&amp;ROUNDUP(MONTH($C4626)/3,0))</f>
        <v/>
      </c>
      <c r="L4626">
        <f>IF($G4626&lt;&gt;"ALCOHOL","",IF($K4626="","",$H4626*IFERROR(VLOOKUP($K4626,Drink_Templates!$A:$G,7,FALSE),0)))</f>
        <v/>
      </c>
    </row>
    <row r="4627" ht="15" customHeight="1">
      <c r="C4627">
        <f>IF($B4627="","",INT($B4627))</f>
        <v/>
      </c>
      <c r="D4627">
        <f>IF($C4627="","",$C4627-WEEKDAY($C4627,2)+1)</f>
        <v/>
      </c>
      <c r="E4627">
        <f>IF($C4627="","",DATE(YEAR($C4627),MONTH($C4627),1))</f>
        <v/>
      </c>
      <c r="F4627">
        <f>IF($C4627="","",YEAR($C4627)&amp;"-Q"&amp;ROUNDUP(MONTH($C4627)/3,0))</f>
        <v/>
      </c>
      <c r="L4627">
        <f>IF($G4627&lt;&gt;"ALCOHOL","",IF($K4627="","",$H4627*IFERROR(VLOOKUP($K4627,Drink_Templates!$A:$G,7,FALSE),0)))</f>
        <v/>
      </c>
    </row>
    <row r="4628" ht="15" customHeight="1">
      <c r="C4628">
        <f>IF($B4628="","",INT($B4628))</f>
        <v/>
      </c>
      <c r="D4628">
        <f>IF($C4628="","",$C4628-WEEKDAY($C4628,2)+1)</f>
        <v/>
      </c>
      <c r="E4628">
        <f>IF($C4628="","",DATE(YEAR($C4628),MONTH($C4628),1))</f>
        <v/>
      </c>
      <c r="F4628">
        <f>IF($C4628="","",YEAR($C4628)&amp;"-Q"&amp;ROUNDUP(MONTH($C4628)/3,0))</f>
        <v/>
      </c>
      <c r="L4628">
        <f>IF($G4628&lt;&gt;"ALCOHOL","",IF($K4628="","",$H4628*IFERROR(VLOOKUP($K4628,Drink_Templates!$A:$G,7,FALSE),0)))</f>
        <v/>
      </c>
    </row>
    <row r="4629" ht="15" customHeight="1">
      <c r="C4629">
        <f>IF($B4629="","",INT($B4629))</f>
        <v/>
      </c>
      <c r="D4629">
        <f>IF($C4629="","",$C4629-WEEKDAY($C4629,2)+1)</f>
        <v/>
      </c>
      <c r="E4629">
        <f>IF($C4629="","",DATE(YEAR($C4629),MONTH($C4629),1))</f>
        <v/>
      </c>
      <c r="F4629">
        <f>IF($C4629="","",YEAR($C4629)&amp;"-Q"&amp;ROUNDUP(MONTH($C4629)/3,0))</f>
        <v/>
      </c>
      <c r="L4629">
        <f>IF($G4629&lt;&gt;"ALCOHOL","",IF($K4629="","",$H4629*IFERROR(VLOOKUP($K4629,Drink_Templates!$A:$G,7,FALSE),0)))</f>
        <v/>
      </c>
    </row>
    <row r="4630" ht="15" customHeight="1">
      <c r="C4630">
        <f>IF($B4630="","",INT($B4630))</f>
        <v/>
      </c>
      <c r="D4630">
        <f>IF($C4630="","",$C4630-WEEKDAY($C4630,2)+1)</f>
        <v/>
      </c>
      <c r="E4630">
        <f>IF($C4630="","",DATE(YEAR($C4630),MONTH($C4630),1))</f>
        <v/>
      </c>
      <c r="F4630">
        <f>IF($C4630="","",YEAR($C4630)&amp;"-Q"&amp;ROUNDUP(MONTH($C4630)/3,0))</f>
        <v/>
      </c>
      <c r="L4630">
        <f>IF($G4630&lt;&gt;"ALCOHOL","",IF($K4630="","",$H4630*IFERROR(VLOOKUP($K4630,Drink_Templates!$A:$G,7,FALSE),0)))</f>
        <v/>
      </c>
    </row>
    <row r="4631" ht="15" customHeight="1">
      <c r="C4631">
        <f>IF($B4631="","",INT($B4631))</f>
        <v/>
      </c>
      <c r="D4631">
        <f>IF($C4631="","",$C4631-WEEKDAY($C4631,2)+1)</f>
        <v/>
      </c>
      <c r="E4631">
        <f>IF($C4631="","",DATE(YEAR($C4631),MONTH($C4631),1))</f>
        <v/>
      </c>
      <c r="F4631">
        <f>IF($C4631="","",YEAR($C4631)&amp;"-Q"&amp;ROUNDUP(MONTH($C4631)/3,0))</f>
        <v/>
      </c>
      <c r="L4631">
        <f>IF($G4631&lt;&gt;"ALCOHOL","",IF($K4631="","",$H4631*IFERROR(VLOOKUP($K4631,Drink_Templates!$A:$G,7,FALSE),0)))</f>
        <v/>
      </c>
    </row>
    <row r="4632" ht="15" customHeight="1">
      <c r="C4632">
        <f>IF($B4632="","",INT($B4632))</f>
        <v/>
      </c>
      <c r="D4632">
        <f>IF($C4632="","",$C4632-WEEKDAY($C4632,2)+1)</f>
        <v/>
      </c>
      <c r="E4632">
        <f>IF($C4632="","",DATE(YEAR($C4632),MONTH($C4632),1))</f>
        <v/>
      </c>
      <c r="F4632">
        <f>IF($C4632="","",YEAR($C4632)&amp;"-Q"&amp;ROUNDUP(MONTH($C4632)/3,0))</f>
        <v/>
      </c>
      <c r="L4632">
        <f>IF($G4632&lt;&gt;"ALCOHOL","",IF($K4632="","",$H4632*IFERROR(VLOOKUP($K4632,Drink_Templates!$A:$G,7,FALSE),0)))</f>
        <v/>
      </c>
    </row>
    <row r="4633" ht="15" customHeight="1">
      <c r="C4633">
        <f>IF($B4633="","",INT($B4633))</f>
        <v/>
      </c>
      <c r="D4633">
        <f>IF($C4633="","",$C4633-WEEKDAY($C4633,2)+1)</f>
        <v/>
      </c>
      <c r="E4633">
        <f>IF($C4633="","",DATE(YEAR($C4633),MONTH($C4633),1))</f>
        <v/>
      </c>
      <c r="F4633">
        <f>IF($C4633="","",YEAR($C4633)&amp;"-Q"&amp;ROUNDUP(MONTH($C4633)/3,0))</f>
        <v/>
      </c>
      <c r="L4633">
        <f>IF($G4633&lt;&gt;"ALCOHOL","",IF($K4633="","",$H4633*IFERROR(VLOOKUP($K4633,Drink_Templates!$A:$G,7,FALSE),0)))</f>
        <v/>
      </c>
    </row>
    <row r="4634" ht="15" customHeight="1">
      <c r="C4634">
        <f>IF($B4634="","",INT($B4634))</f>
        <v/>
      </c>
      <c r="D4634">
        <f>IF($C4634="","",$C4634-WEEKDAY($C4634,2)+1)</f>
        <v/>
      </c>
      <c r="E4634">
        <f>IF($C4634="","",DATE(YEAR($C4634),MONTH($C4634),1))</f>
        <v/>
      </c>
      <c r="F4634">
        <f>IF($C4634="","",YEAR($C4634)&amp;"-Q"&amp;ROUNDUP(MONTH($C4634)/3,0))</f>
        <v/>
      </c>
      <c r="L4634">
        <f>IF($G4634&lt;&gt;"ALCOHOL","",IF($K4634="","",$H4634*IFERROR(VLOOKUP($K4634,Drink_Templates!$A:$G,7,FALSE),0)))</f>
        <v/>
      </c>
    </row>
    <row r="4635" ht="15" customHeight="1">
      <c r="C4635">
        <f>IF($B4635="","",INT($B4635))</f>
        <v/>
      </c>
      <c r="D4635">
        <f>IF($C4635="","",$C4635-WEEKDAY($C4635,2)+1)</f>
        <v/>
      </c>
      <c r="E4635">
        <f>IF($C4635="","",DATE(YEAR($C4635),MONTH($C4635),1))</f>
        <v/>
      </c>
      <c r="F4635">
        <f>IF($C4635="","",YEAR($C4635)&amp;"-Q"&amp;ROUNDUP(MONTH($C4635)/3,0))</f>
        <v/>
      </c>
      <c r="L4635">
        <f>IF($G4635&lt;&gt;"ALCOHOL","",IF($K4635="","",$H4635*IFERROR(VLOOKUP($K4635,Drink_Templates!$A:$G,7,FALSE),0)))</f>
        <v/>
      </c>
    </row>
    <row r="4636" ht="15" customHeight="1">
      <c r="C4636">
        <f>IF($B4636="","",INT($B4636))</f>
        <v/>
      </c>
      <c r="D4636">
        <f>IF($C4636="","",$C4636-WEEKDAY($C4636,2)+1)</f>
        <v/>
      </c>
      <c r="E4636">
        <f>IF($C4636="","",DATE(YEAR($C4636),MONTH($C4636),1))</f>
        <v/>
      </c>
      <c r="F4636">
        <f>IF($C4636="","",YEAR($C4636)&amp;"-Q"&amp;ROUNDUP(MONTH($C4636)/3,0))</f>
        <v/>
      </c>
      <c r="L4636">
        <f>IF($G4636&lt;&gt;"ALCOHOL","",IF($K4636="","",$H4636*IFERROR(VLOOKUP($K4636,Drink_Templates!$A:$G,7,FALSE),0)))</f>
        <v/>
      </c>
    </row>
    <row r="4637" ht="15" customHeight="1">
      <c r="C4637">
        <f>IF($B4637="","",INT($B4637))</f>
        <v/>
      </c>
      <c r="D4637">
        <f>IF($C4637="","",$C4637-WEEKDAY($C4637,2)+1)</f>
        <v/>
      </c>
      <c r="E4637">
        <f>IF($C4637="","",DATE(YEAR($C4637),MONTH($C4637),1))</f>
        <v/>
      </c>
      <c r="F4637">
        <f>IF($C4637="","",YEAR($C4637)&amp;"-Q"&amp;ROUNDUP(MONTH($C4637)/3,0))</f>
        <v/>
      </c>
      <c r="L4637">
        <f>IF($G4637&lt;&gt;"ALCOHOL","",IF($K4637="","",$H4637*IFERROR(VLOOKUP($K4637,Drink_Templates!$A:$G,7,FALSE),0)))</f>
        <v/>
      </c>
    </row>
    <row r="4638" ht="15" customHeight="1">
      <c r="C4638">
        <f>IF($B4638="","",INT($B4638))</f>
        <v/>
      </c>
      <c r="D4638">
        <f>IF($C4638="","",$C4638-WEEKDAY($C4638,2)+1)</f>
        <v/>
      </c>
      <c r="E4638">
        <f>IF($C4638="","",DATE(YEAR($C4638),MONTH($C4638),1))</f>
        <v/>
      </c>
      <c r="F4638">
        <f>IF($C4638="","",YEAR($C4638)&amp;"-Q"&amp;ROUNDUP(MONTH($C4638)/3,0))</f>
        <v/>
      </c>
      <c r="L4638">
        <f>IF($G4638&lt;&gt;"ALCOHOL","",IF($K4638="","",$H4638*IFERROR(VLOOKUP($K4638,Drink_Templates!$A:$G,7,FALSE),0)))</f>
        <v/>
      </c>
    </row>
    <row r="4639" ht="15" customHeight="1">
      <c r="C4639">
        <f>IF($B4639="","",INT($B4639))</f>
        <v/>
      </c>
      <c r="D4639">
        <f>IF($C4639="","",$C4639-WEEKDAY($C4639,2)+1)</f>
        <v/>
      </c>
      <c r="E4639">
        <f>IF($C4639="","",DATE(YEAR($C4639),MONTH($C4639),1))</f>
        <v/>
      </c>
      <c r="F4639">
        <f>IF($C4639="","",YEAR($C4639)&amp;"-Q"&amp;ROUNDUP(MONTH($C4639)/3,0))</f>
        <v/>
      </c>
      <c r="L4639">
        <f>IF($G4639&lt;&gt;"ALCOHOL","",IF($K4639="","",$H4639*IFERROR(VLOOKUP($K4639,Drink_Templates!$A:$G,7,FALSE),0)))</f>
        <v/>
      </c>
    </row>
    <row r="4640" ht="15" customHeight="1">
      <c r="C4640">
        <f>IF($B4640="","",INT($B4640))</f>
        <v/>
      </c>
      <c r="D4640">
        <f>IF($C4640="","",$C4640-WEEKDAY($C4640,2)+1)</f>
        <v/>
      </c>
      <c r="E4640">
        <f>IF($C4640="","",DATE(YEAR($C4640),MONTH($C4640),1))</f>
        <v/>
      </c>
      <c r="F4640">
        <f>IF($C4640="","",YEAR($C4640)&amp;"-Q"&amp;ROUNDUP(MONTH($C4640)/3,0))</f>
        <v/>
      </c>
      <c r="L4640">
        <f>IF($G4640&lt;&gt;"ALCOHOL","",IF($K4640="","",$H4640*IFERROR(VLOOKUP($K4640,Drink_Templates!$A:$G,7,FALSE),0)))</f>
        <v/>
      </c>
    </row>
    <row r="4641" ht="15" customHeight="1">
      <c r="C4641">
        <f>IF($B4641="","",INT($B4641))</f>
        <v/>
      </c>
      <c r="D4641">
        <f>IF($C4641="","",$C4641-WEEKDAY($C4641,2)+1)</f>
        <v/>
      </c>
      <c r="E4641">
        <f>IF($C4641="","",DATE(YEAR($C4641),MONTH($C4641),1))</f>
        <v/>
      </c>
      <c r="F4641">
        <f>IF($C4641="","",YEAR($C4641)&amp;"-Q"&amp;ROUNDUP(MONTH($C4641)/3,0))</f>
        <v/>
      </c>
      <c r="L4641">
        <f>IF($G4641&lt;&gt;"ALCOHOL","",IF($K4641="","",$H4641*IFERROR(VLOOKUP($K4641,Drink_Templates!$A:$G,7,FALSE),0)))</f>
        <v/>
      </c>
    </row>
    <row r="4642" ht="15" customHeight="1">
      <c r="C4642">
        <f>IF($B4642="","",INT($B4642))</f>
        <v/>
      </c>
      <c r="D4642">
        <f>IF($C4642="","",$C4642-WEEKDAY($C4642,2)+1)</f>
        <v/>
      </c>
      <c r="E4642">
        <f>IF($C4642="","",DATE(YEAR($C4642),MONTH($C4642),1))</f>
        <v/>
      </c>
      <c r="F4642">
        <f>IF($C4642="","",YEAR($C4642)&amp;"-Q"&amp;ROUNDUP(MONTH($C4642)/3,0))</f>
        <v/>
      </c>
      <c r="L4642">
        <f>IF($G4642&lt;&gt;"ALCOHOL","",IF($K4642="","",$H4642*IFERROR(VLOOKUP($K4642,Drink_Templates!$A:$G,7,FALSE),0)))</f>
        <v/>
      </c>
    </row>
    <row r="4643" ht="15" customHeight="1">
      <c r="C4643">
        <f>IF($B4643="","",INT($B4643))</f>
        <v/>
      </c>
      <c r="D4643">
        <f>IF($C4643="","",$C4643-WEEKDAY($C4643,2)+1)</f>
        <v/>
      </c>
      <c r="E4643">
        <f>IF($C4643="","",DATE(YEAR($C4643),MONTH($C4643),1))</f>
        <v/>
      </c>
      <c r="F4643">
        <f>IF($C4643="","",YEAR($C4643)&amp;"-Q"&amp;ROUNDUP(MONTH($C4643)/3,0))</f>
        <v/>
      </c>
      <c r="L4643">
        <f>IF($G4643&lt;&gt;"ALCOHOL","",IF($K4643="","",$H4643*IFERROR(VLOOKUP($K4643,Drink_Templates!$A:$G,7,FALSE),0)))</f>
        <v/>
      </c>
    </row>
    <row r="4644" ht="15" customHeight="1">
      <c r="C4644">
        <f>IF($B4644="","",INT($B4644))</f>
        <v/>
      </c>
      <c r="D4644">
        <f>IF($C4644="","",$C4644-WEEKDAY($C4644,2)+1)</f>
        <v/>
      </c>
      <c r="E4644">
        <f>IF($C4644="","",DATE(YEAR($C4644),MONTH($C4644),1))</f>
        <v/>
      </c>
      <c r="F4644">
        <f>IF($C4644="","",YEAR($C4644)&amp;"-Q"&amp;ROUNDUP(MONTH($C4644)/3,0))</f>
        <v/>
      </c>
      <c r="L4644">
        <f>IF($G4644&lt;&gt;"ALCOHOL","",IF($K4644="","",$H4644*IFERROR(VLOOKUP($K4644,Drink_Templates!$A:$G,7,FALSE),0)))</f>
        <v/>
      </c>
    </row>
    <row r="4645" ht="15" customHeight="1">
      <c r="C4645">
        <f>IF($B4645="","",INT($B4645))</f>
        <v/>
      </c>
      <c r="D4645">
        <f>IF($C4645="","",$C4645-WEEKDAY($C4645,2)+1)</f>
        <v/>
      </c>
      <c r="E4645">
        <f>IF($C4645="","",DATE(YEAR($C4645),MONTH($C4645),1))</f>
        <v/>
      </c>
      <c r="F4645">
        <f>IF($C4645="","",YEAR($C4645)&amp;"-Q"&amp;ROUNDUP(MONTH($C4645)/3,0))</f>
        <v/>
      </c>
      <c r="L4645">
        <f>IF($G4645&lt;&gt;"ALCOHOL","",IF($K4645="","",$H4645*IFERROR(VLOOKUP($K4645,Drink_Templates!$A:$G,7,FALSE),0)))</f>
        <v/>
      </c>
    </row>
    <row r="4646" ht="15" customHeight="1">
      <c r="C4646">
        <f>IF($B4646="","",INT($B4646))</f>
        <v/>
      </c>
      <c r="D4646">
        <f>IF($C4646="","",$C4646-WEEKDAY($C4646,2)+1)</f>
        <v/>
      </c>
      <c r="E4646">
        <f>IF($C4646="","",DATE(YEAR($C4646),MONTH($C4646),1))</f>
        <v/>
      </c>
      <c r="F4646">
        <f>IF($C4646="","",YEAR($C4646)&amp;"-Q"&amp;ROUNDUP(MONTH($C4646)/3,0))</f>
        <v/>
      </c>
      <c r="L4646">
        <f>IF($G4646&lt;&gt;"ALCOHOL","",IF($K4646="","",$H4646*IFERROR(VLOOKUP($K4646,Drink_Templates!$A:$G,7,FALSE),0)))</f>
        <v/>
      </c>
    </row>
    <row r="4647" ht="15" customHeight="1">
      <c r="C4647">
        <f>IF($B4647="","",INT($B4647))</f>
        <v/>
      </c>
      <c r="D4647">
        <f>IF($C4647="","",$C4647-WEEKDAY($C4647,2)+1)</f>
        <v/>
      </c>
      <c r="E4647">
        <f>IF($C4647="","",DATE(YEAR($C4647),MONTH($C4647),1))</f>
        <v/>
      </c>
      <c r="F4647">
        <f>IF($C4647="","",YEAR($C4647)&amp;"-Q"&amp;ROUNDUP(MONTH($C4647)/3,0))</f>
        <v/>
      </c>
      <c r="L4647">
        <f>IF($G4647&lt;&gt;"ALCOHOL","",IF($K4647="","",$H4647*IFERROR(VLOOKUP($K4647,Drink_Templates!$A:$G,7,FALSE),0)))</f>
        <v/>
      </c>
    </row>
    <row r="4648" ht="15" customHeight="1">
      <c r="C4648">
        <f>IF($B4648="","",INT($B4648))</f>
        <v/>
      </c>
      <c r="D4648">
        <f>IF($C4648="","",$C4648-WEEKDAY($C4648,2)+1)</f>
        <v/>
      </c>
      <c r="E4648">
        <f>IF($C4648="","",DATE(YEAR($C4648),MONTH($C4648),1))</f>
        <v/>
      </c>
      <c r="F4648">
        <f>IF($C4648="","",YEAR($C4648)&amp;"-Q"&amp;ROUNDUP(MONTH($C4648)/3,0))</f>
        <v/>
      </c>
      <c r="L4648">
        <f>IF($G4648&lt;&gt;"ALCOHOL","",IF($K4648="","",$H4648*IFERROR(VLOOKUP($K4648,Drink_Templates!$A:$G,7,FALSE),0)))</f>
        <v/>
      </c>
    </row>
    <row r="4649" ht="15" customHeight="1">
      <c r="C4649">
        <f>IF($B4649="","",INT($B4649))</f>
        <v/>
      </c>
      <c r="D4649">
        <f>IF($C4649="","",$C4649-WEEKDAY($C4649,2)+1)</f>
        <v/>
      </c>
      <c r="E4649">
        <f>IF($C4649="","",DATE(YEAR($C4649),MONTH($C4649),1))</f>
        <v/>
      </c>
      <c r="F4649">
        <f>IF($C4649="","",YEAR($C4649)&amp;"-Q"&amp;ROUNDUP(MONTH($C4649)/3,0))</f>
        <v/>
      </c>
      <c r="L4649">
        <f>IF($G4649&lt;&gt;"ALCOHOL","",IF($K4649="","",$H4649*IFERROR(VLOOKUP($K4649,Drink_Templates!$A:$G,7,FALSE),0)))</f>
        <v/>
      </c>
    </row>
    <row r="4650" ht="15" customHeight="1">
      <c r="C4650">
        <f>IF($B4650="","",INT($B4650))</f>
        <v/>
      </c>
      <c r="D4650">
        <f>IF($C4650="","",$C4650-WEEKDAY($C4650,2)+1)</f>
        <v/>
      </c>
      <c r="E4650">
        <f>IF($C4650="","",DATE(YEAR($C4650),MONTH($C4650),1))</f>
        <v/>
      </c>
      <c r="F4650">
        <f>IF($C4650="","",YEAR($C4650)&amp;"-Q"&amp;ROUNDUP(MONTH($C4650)/3,0))</f>
        <v/>
      </c>
      <c r="L4650">
        <f>IF($G4650&lt;&gt;"ALCOHOL","",IF($K4650="","",$H4650*IFERROR(VLOOKUP($K4650,Drink_Templates!$A:$G,7,FALSE),0)))</f>
        <v/>
      </c>
    </row>
    <row r="4651" ht="15" customHeight="1">
      <c r="C4651">
        <f>IF($B4651="","",INT($B4651))</f>
        <v/>
      </c>
      <c r="D4651">
        <f>IF($C4651="","",$C4651-WEEKDAY($C4651,2)+1)</f>
        <v/>
      </c>
      <c r="E4651">
        <f>IF($C4651="","",DATE(YEAR($C4651),MONTH($C4651),1))</f>
        <v/>
      </c>
      <c r="F4651">
        <f>IF($C4651="","",YEAR($C4651)&amp;"-Q"&amp;ROUNDUP(MONTH($C4651)/3,0))</f>
        <v/>
      </c>
      <c r="L4651">
        <f>IF($G4651&lt;&gt;"ALCOHOL","",IF($K4651="","",$H4651*IFERROR(VLOOKUP($K4651,Drink_Templates!$A:$G,7,FALSE),0)))</f>
        <v/>
      </c>
    </row>
    <row r="4652" ht="15" customHeight="1">
      <c r="C4652">
        <f>IF($B4652="","",INT($B4652))</f>
        <v/>
      </c>
      <c r="D4652">
        <f>IF($C4652="","",$C4652-WEEKDAY($C4652,2)+1)</f>
        <v/>
      </c>
      <c r="E4652">
        <f>IF($C4652="","",DATE(YEAR($C4652),MONTH($C4652),1))</f>
        <v/>
      </c>
      <c r="F4652">
        <f>IF($C4652="","",YEAR($C4652)&amp;"-Q"&amp;ROUNDUP(MONTH($C4652)/3,0))</f>
        <v/>
      </c>
      <c r="L4652">
        <f>IF($G4652&lt;&gt;"ALCOHOL","",IF($K4652="","",$H4652*IFERROR(VLOOKUP($K4652,Drink_Templates!$A:$G,7,FALSE),0)))</f>
        <v/>
      </c>
    </row>
    <row r="4653" ht="15" customHeight="1">
      <c r="C4653">
        <f>IF($B4653="","",INT($B4653))</f>
        <v/>
      </c>
      <c r="D4653">
        <f>IF($C4653="","",$C4653-WEEKDAY($C4653,2)+1)</f>
        <v/>
      </c>
      <c r="E4653">
        <f>IF($C4653="","",DATE(YEAR($C4653),MONTH($C4653),1))</f>
        <v/>
      </c>
      <c r="F4653">
        <f>IF($C4653="","",YEAR($C4653)&amp;"-Q"&amp;ROUNDUP(MONTH($C4653)/3,0))</f>
        <v/>
      </c>
      <c r="L4653">
        <f>IF($G4653&lt;&gt;"ALCOHOL","",IF($K4653="","",$H4653*IFERROR(VLOOKUP($K4653,Drink_Templates!$A:$G,7,FALSE),0)))</f>
        <v/>
      </c>
    </row>
    <row r="4654" ht="15" customHeight="1">
      <c r="C4654">
        <f>IF($B4654="","",INT($B4654))</f>
        <v/>
      </c>
      <c r="D4654">
        <f>IF($C4654="","",$C4654-WEEKDAY($C4654,2)+1)</f>
        <v/>
      </c>
      <c r="E4654">
        <f>IF($C4654="","",DATE(YEAR($C4654),MONTH($C4654),1))</f>
        <v/>
      </c>
      <c r="F4654">
        <f>IF($C4654="","",YEAR($C4654)&amp;"-Q"&amp;ROUNDUP(MONTH($C4654)/3,0))</f>
        <v/>
      </c>
      <c r="L4654">
        <f>IF($G4654&lt;&gt;"ALCOHOL","",IF($K4654="","",$H4654*IFERROR(VLOOKUP($K4654,Drink_Templates!$A:$G,7,FALSE),0)))</f>
        <v/>
      </c>
    </row>
    <row r="4655" ht="15" customHeight="1">
      <c r="C4655">
        <f>IF($B4655="","",INT($B4655))</f>
        <v/>
      </c>
      <c r="D4655">
        <f>IF($C4655="","",$C4655-WEEKDAY($C4655,2)+1)</f>
        <v/>
      </c>
      <c r="E4655">
        <f>IF($C4655="","",DATE(YEAR($C4655),MONTH($C4655),1))</f>
        <v/>
      </c>
      <c r="F4655">
        <f>IF($C4655="","",YEAR($C4655)&amp;"-Q"&amp;ROUNDUP(MONTH($C4655)/3,0))</f>
        <v/>
      </c>
      <c r="L4655">
        <f>IF($G4655&lt;&gt;"ALCOHOL","",IF($K4655="","",$H4655*IFERROR(VLOOKUP($K4655,Drink_Templates!$A:$G,7,FALSE),0)))</f>
        <v/>
      </c>
    </row>
    <row r="4656" ht="15" customHeight="1">
      <c r="C4656">
        <f>IF($B4656="","",INT($B4656))</f>
        <v/>
      </c>
      <c r="D4656">
        <f>IF($C4656="","",$C4656-WEEKDAY($C4656,2)+1)</f>
        <v/>
      </c>
      <c r="E4656">
        <f>IF($C4656="","",DATE(YEAR($C4656),MONTH($C4656),1))</f>
        <v/>
      </c>
      <c r="F4656">
        <f>IF($C4656="","",YEAR($C4656)&amp;"-Q"&amp;ROUNDUP(MONTH($C4656)/3,0))</f>
        <v/>
      </c>
      <c r="L4656">
        <f>IF($G4656&lt;&gt;"ALCOHOL","",IF($K4656="","",$H4656*IFERROR(VLOOKUP($K4656,Drink_Templates!$A:$G,7,FALSE),0)))</f>
        <v/>
      </c>
    </row>
    <row r="4657" ht="15" customHeight="1">
      <c r="C4657">
        <f>IF($B4657="","",INT($B4657))</f>
        <v/>
      </c>
      <c r="D4657">
        <f>IF($C4657="","",$C4657-WEEKDAY($C4657,2)+1)</f>
        <v/>
      </c>
      <c r="E4657">
        <f>IF($C4657="","",DATE(YEAR($C4657),MONTH($C4657),1))</f>
        <v/>
      </c>
      <c r="F4657">
        <f>IF($C4657="","",YEAR($C4657)&amp;"-Q"&amp;ROUNDUP(MONTH($C4657)/3,0))</f>
        <v/>
      </c>
      <c r="L4657">
        <f>IF($G4657&lt;&gt;"ALCOHOL","",IF($K4657="","",$H4657*IFERROR(VLOOKUP($K4657,Drink_Templates!$A:$G,7,FALSE),0)))</f>
        <v/>
      </c>
    </row>
    <row r="4658" ht="15" customHeight="1">
      <c r="C4658">
        <f>IF($B4658="","",INT($B4658))</f>
        <v/>
      </c>
      <c r="D4658">
        <f>IF($C4658="","",$C4658-WEEKDAY($C4658,2)+1)</f>
        <v/>
      </c>
      <c r="E4658">
        <f>IF($C4658="","",DATE(YEAR($C4658),MONTH($C4658),1))</f>
        <v/>
      </c>
      <c r="F4658">
        <f>IF($C4658="","",YEAR($C4658)&amp;"-Q"&amp;ROUNDUP(MONTH($C4658)/3,0))</f>
        <v/>
      </c>
      <c r="L4658">
        <f>IF($G4658&lt;&gt;"ALCOHOL","",IF($K4658="","",$H4658*IFERROR(VLOOKUP($K4658,Drink_Templates!$A:$G,7,FALSE),0)))</f>
        <v/>
      </c>
    </row>
    <row r="4659" ht="15" customHeight="1">
      <c r="C4659">
        <f>IF($B4659="","",INT($B4659))</f>
        <v/>
      </c>
      <c r="D4659">
        <f>IF($C4659="","",$C4659-WEEKDAY($C4659,2)+1)</f>
        <v/>
      </c>
      <c r="E4659">
        <f>IF($C4659="","",DATE(YEAR($C4659),MONTH($C4659),1))</f>
        <v/>
      </c>
      <c r="F4659">
        <f>IF($C4659="","",YEAR($C4659)&amp;"-Q"&amp;ROUNDUP(MONTH($C4659)/3,0))</f>
        <v/>
      </c>
      <c r="L4659">
        <f>IF($G4659&lt;&gt;"ALCOHOL","",IF($K4659="","",$H4659*IFERROR(VLOOKUP($K4659,Drink_Templates!$A:$G,7,FALSE),0)))</f>
        <v/>
      </c>
    </row>
    <row r="4660" ht="15" customHeight="1">
      <c r="C4660">
        <f>IF($B4660="","",INT($B4660))</f>
        <v/>
      </c>
      <c r="D4660">
        <f>IF($C4660="","",$C4660-WEEKDAY($C4660,2)+1)</f>
        <v/>
      </c>
      <c r="E4660">
        <f>IF($C4660="","",DATE(YEAR($C4660),MONTH($C4660),1))</f>
        <v/>
      </c>
      <c r="F4660">
        <f>IF($C4660="","",YEAR($C4660)&amp;"-Q"&amp;ROUNDUP(MONTH($C4660)/3,0))</f>
        <v/>
      </c>
      <c r="L4660">
        <f>IF($G4660&lt;&gt;"ALCOHOL","",IF($K4660="","",$H4660*IFERROR(VLOOKUP($K4660,Drink_Templates!$A:$G,7,FALSE),0)))</f>
        <v/>
      </c>
    </row>
    <row r="4661" ht="15" customHeight="1">
      <c r="C4661">
        <f>IF($B4661="","",INT($B4661))</f>
        <v/>
      </c>
      <c r="D4661">
        <f>IF($C4661="","",$C4661-WEEKDAY($C4661,2)+1)</f>
        <v/>
      </c>
      <c r="E4661">
        <f>IF($C4661="","",DATE(YEAR($C4661),MONTH($C4661),1))</f>
        <v/>
      </c>
      <c r="F4661">
        <f>IF($C4661="","",YEAR($C4661)&amp;"-Q"&amp;ROUNDUP(MONTH($C4661)/3,0))</f>
        <v/>
      </c>
      <c r="L4661">
        <f>IF($G4661&lt;&gt;"ALCOHOL","",IF($K4661="","",$H4661*IFERROR(VLOOKUP($K4661,Drink_Templates!$A:$G,7,FALSE),0)))</f>
        <v/>
      </c>
    </row>
    <row r="4662" ht="15" customHeight="1">
      <c r="C4662">
        <f>IF($B4662="","",INT($B4662))</f>
        <v/>
      </c>
      <c r="D4662">
        <f>IF($C4662="","",$C4662-WEEKDAY($C4662,2)+1)</f>
        <v/>
      </c>
      <c r="E4662">
        <f>IF($C4662="","",DATE(YEAR($C4662),MONTH($C4662),1))</f>
        <v/>
      </c>
      <c r="F4662">
        <f>IF($C4662="","",YEAR($C4662)&amp;"-Q"&amp;ROUNDUP(MONTH($C4662)/3,0))</f>
        <v/>
      </c>
      <c r="L4662">
        <f>IF($G4662&lt;&gt;"ALCOHOL","",IF($K4662="","",$H4662*IFERROR(VLOOKUP($K4662,Drink_Templates!$A:$G,7,FALSE),0)))</f>
        <v/>
      </c>
    </row>
    <row r="4663" ht="15" customHeight="1">
      <c r="C4663">
        <f>IF($B4663="","",INT($B4663))</f>
        <v/>
      </c>
      <c r="D4663">
        <f>IF($C4663="","",$C4663-WEEKDAY($C4663,2)+1)</f>
        <v/>
      </c>
      <c r="E4663">
        <f>IF($C4663="","",DATE(YEAR($C4663),MONTH($C4663),1))</f>
        <v/>
      </c>
      <c r="F4663">
        <f>IF($C4663="","",YEAR($C4663)&amp;"-Q"&amp;ROUNDUP(MONTH($C4663)/3,0))</f>
        <v/>
      </c>
      <c r="L4663">
        <f>IF($G4663&lt;&gt;"ALCOHOL","",IF($K4663="","",$H4663*IFERROR(VLOOKUP($K4663,Drink_Templates!$A:$G,7,FALSE),0)))</f>
        <v/>
      </c>
    </row>
    <row r="4664" ht="15" customHeight="1">
      <c r="C4664">
        <f>IF($B4664="","",INT($B4664))</f>
        <v/>
      </c>
      <c r="D4664">
        <f>IF($C4664="","",$C4664-WEEKDAY($C4664,2)+1)</f>
        <v/>
      </c>
      <c r="E4664">
        <f>IF($C4664="","",DATE(YEAR($C4664),MONTH($C4664),1))</f>
        <v/>
      </c>
      <c r="F4664">
        <f>IF($C4664="","",YEAR($C4664)&amp;"-Q"&amp;ROUNDUP(MONTH($C4664)/3,0))</f>
        <v/>
      </c>
      <c r="L4664">
        <f>IF($G4664&lt;&gt;"ALCOHOL","",IF($K4664="","",$H4664*IFERROR(VLOOKUP($K4664,Drink_Templates!$A:$G,7,FALSE),0)))</f>
        <v/>
      </c>
    </row>
    <row r="4665" ht="15" customHeight="1">
      <c r="C4665">
        <f>IF($B4665="","",INT($B4665))</f>
        <v/>
      </c>
      <c r="D4665">
        <f>IF($C4665="","",$C4665-WEEKDAY($C4665,2)+1)</f>
        <v/>
      </c>
      <c r="E4665">
        <f>IF($C4665="","",DATE(YEAR($C4665),MONTH($C4665),1))</f>
        <v/>
      </c>
      <c r="F4665">
        <f>IF($C4665="","",YEAR($C4665)&amp;"-Q"&amp;ROUNDUP(MONTH($C4665)/3,0))</f>
        <v/>
      </c>
      <c r="L4665">
        <f>IF($G4665&lt;&gt;"ALCOHOL","",IF($K4665="","",$H4665*IFERROR(VLOOKUP($K4665,Drink_Templates!$A:$G,7,FALSE),0)))</f>
        <v/>
      </c>
    </row>
    <row r="4666" ht="15" customHeight="1">
      <c r="C4666">
        <f>IF($B4666="","",INT($B4666))</f>
        <v/>
      </c>
      <c r="D4666">
        <f>IF($C4666="","",$C4666-WEEKDAY($C4666,2)+1)</f>
        <v/>
      </c>
      <c r="E4666">
        <f>IF($C4666="","",DATE(YEAR($C4666),MONTH($C4666),1))</f>
        <v/>
      </c>
      <c r="F4666">
        <f>IF($C4666="","",YEAR($C4666)&amp;"-Q"&amp;ROUNDUP(MONTH($C4666)/3,0))</f>
        <v/>
      </c>
      <c r="L4666">
        <f>IF($G4666&lt;&gt;"ALCOHOL","",IF($K4666="","",$H4666*IFERROR(VLOOKUP($K4666,Drink_Templates!$A:$G,7,FALSE),0)))</f>
        <v/>
      </c>
    </row>
    <row r="4667" ht="15" customHeight="1">
      <c r="C4667">
        <f>IF($B4667="","",INT($B4667))</f>
        <v/>
      </c>
      <c r="D4667">
        <f>IF($C4667="","",$C4667-WEEKDAY($C4667,2)+1)</f>
        <v/>
      </c>
      <c r="E4667">
        <f>IF($C4667="","",DATE(YEAR($C4667),MONTH($C4667),1))</f>
        <v/>
      </c>
      <c r="F4667">
        <f>IF($C4667="","",YEAR($C4667)&amp;"-Q"&amp;ROUNDUP(MONTH($C4667)/3,0))</f>
        <v/>
      </c>
      <c r="L4667">
        <f>IF($G4667&lt;&gt;"ALCOHOL","",IF($K4667="","",$H4667*IFERROR(VLOOKUP($K4667,Drink_Templates!$A:$G,7,FALSE),0)))</f>
        <v/>
      </c>
    </row>
    <row r="4668" ht="15" customHeight="1">
      <c r="C4668">
        <f>IF($B4668="","",INT($B4668))</f>
        <v/>
      </c>
      <c r="D4668">
        <f>IF($C4668="","",$C4668-WEEKDAY($C4668,2)+1)</f>
        <v/>
      </c>
      <c r="E4668">
        <f>IF($C4668="","",DATE(YEAR($C4668),MONTH($C4668),1))</f>
        <v/>
      </c>
      <c r="F4668">
        <f>IF($C4668="","",YEAR($C4668)&amp;"-Q"&amp;ROUNDUP(MONTH($C4668)/3,0))</f>
        <v/>
      </c>
      <c r="L4668">
        <f>IF($G4668&lt;&gt;"ALCOHOL","",IF($K4668="","",$H4668*IFERROR(VLOOKUP($K4668,Drink_Templates!$A:$G,7,FALSE),0)))</f>
        <v/>
      </c>
    </row>
    <row r="4669" ht="15" customHeight="1">
      <c r="C4669">
        <f>IF($B4669="","",INT($B4669))</f>
        <v/>
      </c>
      <c r="D4669">
        <f>IF($C4669="","",$C4669-WEEKDAY($C4669,2)+1)</f>
        <v/>
      </c>
      <c r="E4669">
        <f>IF($C4669="","",DATE(YEAR($C4669),MONTH($C4669),1))</f>
        <v/>
      </c>
      <c r="F4669">
        <f>IF($C4669="","",YEAR($C4669)&amp;"-Q"&amp;ROUNDUP(MONTH($C4669)/3,0))</f>
        <v/>
      </c>
      <c r="L4669">
        <f>IF($G4669&lt;&gt;"ALCOHOL","",IF($K4669="","",$H4669*IFERROR(VLOOKUP($K4669,Drink_Templates!$A:$G,7,FALSE),0)))</f>
        <v/>
      </c>
    </row>
    <row r="4670" ht="15" customHeight="1">
      <c r="C4670">
        <f>IF($B4670="","",INT($B4670))</f>
        <v/>
      </c>
      <c r="D4670">
        <f>IF($C4670="","",$C4670-WEEKDAY($C4670,2)+1)</f>
        <v/>
      </c>
      <c r="E4670">
        <f>IF($C4670="","",DATE(YEAR($C4670),MONTH($C4670),1))</f>
        <v/>
      </c>
      <c r="F4670">
        <f>IF($C4670="","",YEAR($C4670)&amp;"-Q"&amp;ROUNDUP(MONTH($C4670)/3,0))</f>
        <v/>
      </c>
      <c r="L4670">
        <f>IF($G4670&lt;&gt;"ALCOHOL","",IF($K4670="","",$H4670*IFERROR(VLOOKUP($K4670,Drink_Templates!$A:$G,7,FALSE),0)))</f>
        <v/>
      </c>
    </row>
    <row r="4671" ht="15" customHeight="1">
      <c r="C4671">
        <f>IF($B4671="","",INT($B4671))</f>
        <v/>
      </c>
      <c r="D4671">
        <f>IF($C4671="","",$C4671-WEEKDAY($C4671,2)+1)</f>
        <v/>
      </c>
      <c r="E4671">
        <f>IF($C4671="","",DATE(YEAR($C4671),MONTH($C4671),1))</f>
        <v/>
      </c>
      <c r="F4671">
        <f>IF($C4671="","",YEAR($C4671)&amp;"-Q"&amp;ROUNDUP(MONTH($C4671)/3,0))</f>
        <v/>
      </c>
      <c r="L4671">
        <f>IF($G4671&lt;&gt;"ALCOHOL","",IF($K4671="","",$H4671*IFERROR(VLOOKUP($K4671,Drink_Templates!$A:$G,7,FALSE),0)))</f>
        <v/>
      </c>
    </row>
    <row r="4672" ht="15" customHeight="1">
      <c r="C4672">
        <f>IF($B4672="","",INT($B4672))</f>
        <v/>
      </c>
      <c r="D4672">
        <f>IF($C4672="","",$C4672-WEEKDAY($C4672,2)+1)</f>
        <v/>
      </c>
      <c r="E4672">
        <f>IF($C4672="","",DATE(YEAR($C4672),MONTH($C4672),1))</f>
        <v/>
      </c>
      <c r="F4672">
        <f>IF($C4672="","",YEAR($C4672)&amp;"-Q"&amp;ROUNDUP(MONTH($C4672)/3,0))</f>
        <v/>
      </c>
      <c r="L4672">
        <f>IF($G4672&lt;&gt;"ALCOHOL","",IF($K4672="","",$H4672*IFERROR(VLOOKUP($K4672,Drink_Templates!$A:$G,7,FALSE),0)))</f>
        <v/>
      </c>
    </row>
    <row r="4673" ht="15" customHeight="1">
      <c r="C4673">
        <f>IF($B4673="","",INT($B4673))</f>
        <v/>
      </c>
      <c r="D4673">
        <f>IF($C4673="","",$C4673-WEEKDAY($C4673,2)+1)</f>
        <v/>
      </c>
      <c r="E4673">
        <f>IF($C4673="","",DATE(YEAR($C4673),MONTH($C4673),1))</f>
        <v/>
      </c>
      <c r="F4673">
        <f>IF($C4673="","",YEAR($C4673)&amp;"-Q"&amp;ROUNDUP(MONTH($C4673)/3,0))</f>
        <v/>
      </c>
      <c r="L4673">
        <f>IF($G4673&lt;&gt;"ALCOHOL","",IF($K4673="","",$H4673*IFERROR(VLOOKUP($K4673,Drink_Templates!$A:$G,7,FALSE),0)))</f>
        <v/>
      </c>
    </row>
    <row r="4674" ht="15" customHeight="1">
      <c r="C4674">
        <f>IF($B4674="","",INT($B4674))</f>
        <v/>
      </c>
      <c r="D4674">
        <f>IF($C4674="","",$C4674-WEEKDAY($C4674,2)+1)</f>
        <v/>
      </c>
      <c r="E4674">
        <f>IF($C4674="","",DATE(YEAR($C4674),MONTH($C4674),1))</f>
        <v/>
      </c>
      <c r="F4674">
        <f>IF($C4674="","",YEAR($C4674)&amp;"-Q"&amp;ROUNDUP(MONTH($C4674)/3,0))</f>
        <v/>
      </c>
      <c r="L4674">
        <f>IF($G4674&lt;&gt;"ALCOHOL","",IF($K4674="","",$H4674*IFERROR(VLOOKUP($K4674,Drink_Templates!$A:$G,7,FALSE),0)))</f>
        <v/>
      </c>
    </row>
    <row r="4675" ht="15" customHeight="1">
      <c r="C4675">
        <f>IF($B4675="","",INT($B4675))</f>
        <v/>
      </c>
      <c r="D4675">
        <f>IF($C4675="","",$C4675-WEEKDAY($C4675,2)+1)</f>
        <v/>
      </c>
      <c r="E4675">
        <f>IF($C4675="","",DATE(YEAR($C4675),MONTH($C4675),1))</f>
        <v/>
      </c>
      <c r="F4675">
        <f>IF($C4675="","",YEAR($C4675)&amp;"-Q"&amp;ROUNDUP(MONTH($C4675)/3,0))</f>
        <v/>
      </c>
      <c r="L4675">
        <f>IF($G4675&lt;&gt;"ALCOHOL","",IF($K4675="","",$H4675*IFERROR(VLOOKUP($K4675,Drink_Templates!$A:$G,7,FALSE),0)))</f>
        <v/>
      </c>
    </row>
    <row r="4676" ht="15" customHeight="1">
      <c r="C4676">
        <f>IF($B4676="","",INT($B4676))</f>
        <v/>
      </c>
      <c r="D4676">
        <f>IF($C4676="","",$C4676-WEEKDAY($C4676,2)+1)</f>
        <v/>
      </c>
      <c r="E4676">
        <f>IF($C4676="","",DATE(YEAR($C4676),MONTH($C4676),1))</f>
        <v/>
      </c>
      <c r="F4676">
        <f>IF($C4676="","",YEAR($C4676)&amp;"-Q"&amp;ROUNDUP(MONTH($C4676)/3,0))</f>
        <v/>
      </c>
      <c r="L4676">
        <f>IF($G4676&lt;&gt;"ALCOHOL","",IF($K4676="","",$H4676*IFERROR(VLOOKUP($K4676,Drink_Templates!$A:$G,7,FALSE),0)))</f>
        <v/>
      </c>
    </row>
    <row r="4677" ht="15" customHeight="1">
      <c r="C4677">
        <f>IF($B4677="","",INT($B4677))</f>
        <v/>
      </c>
      <c r="D4677">
        <f>IF($C4677="","",$C4677-WEEKDAY($C4677,2)+1)</f>
        <v/>
      </c>
      <c r="E4677">
        <f>IF($C4677="","",DATE(YEAR($C4677),MONTH($C4677),1))</f>
        <v/>
      </c>
      <c r="F4677">
        <f>IF($C4677="","",YEAR($C4677)&amp;"-Q"&amp;ROUNDUP(MONTH($C4677)/3,0))</f>
        <v/>
      </c>
      <c r="L4677">
        <f>IF($G4677&lt;&gt;"ALCOHOL","",IF($K4677="","",$H4677*IFERROR(VLOOKUP($K4677,Drink_Templates!$A:$G,7,FALSE),0)))</f>
        <v/>
      </c>
    </row>
    <row r="4678" ht="15" customHeight="1">
      <c r="C4678">
        <f>IF($B4678="","",INT($B4678))</f>
        <v/>
      </c>
      <c r="D4678">
        <f>IF($C4678="","",$C4678-WEEKDAY($C4678,2)+1)</f>
        <v/>
      </c>
      <c r="E4678">
        <f>IF($C4678="","",DATE(YEAR($C4678),MONTH($C4678),1))</f>
        <v/>
      </c>
      <c r="F4678">
        <f>IF($C4678="","",YEAR($C4678)&amp;"-Q"&amp;ROUNDUP(MONTH($C4678)/3,0))</f>
        <v/>
      </c>
      <c r="L4678">
        <f>IF($G4678&lt;&gt;"ALCOHOL","",IF($K4678="","",$H4678*IFERROR(VLOOKUP($K4678,Drink_Templates!$A:$G,7,FALSE),0)))</f>
        <v/>
      </c>
    </row>
    <row r="4679" ht="15" customHeight="1">
      <c r="C4679">
        <f>IF($B4679="","",INT($B4679))</f>
        <v/>
      </c>
      <c r="D4679">
        <f>IF($C4679="","",$C4679-WEEKDAY($C4679,2)+1)</f>
        <v/>
      </c>
      <c r="E4679">
        <f>IF($C4679="","",DATE(YEAR($C4679),MONTH($C4679),1))</f>
        <v/>
      </c>
      <c r="F4679">
        <f>IF($C4679="","",YEAR($C4679)&amp;"-Q"&amp;ROUNDUP(MONTH($C4679)/3,0))</f>
        <v/>
      </c>
      <c r="L4679">
        <f>IF($G4679&lt;&gt;"ALCOHOL","",IF($K4679="","",$H4679*IFERROR(VLOOKUP($K4679,Drink_Templates!$A:$G,7,FALSE),0)))</f>
        <v/>
      </c>
    </row>
    <row r="4680" ht="15" customHeight="1">
      <c r="C4680">
        <f>IF($B4680="","",INT($B4680))</f>
        <v/>
      </c>
      <c r="D4680">
        <f>IF($C4680="","",$C4680-WEEKDAY($C4680,2)+1)</f>
        <v/>
      </c>
      <c r="E4680">
        <f>IF($C4680="","",DATE(YEAR($C4680),MONTH($C4680),1))</f>
        <v/>
      </c>
      <c r="F4680">
        <f>IF($C4680="","",YEAR($C4680)&amp;"-Q"&amp;ROUNDUP(MONTH($C4680)/3,0))</f>
        <v/>
      </c>
      <c r="L4680">
        <f>IF($G4680&lt;&gt;"ALCOHOL","",IF($K4680="","",$H4680*IFERROR(VLOOKUP($K4680,Drink_Templates!$A:$G,7,FALSE),0)))</f>
        <v/>
      </c>
    </row>
    <row r="4681" ht="15" customHeight="1">
      <c r="C4681">
        <f>IF($B4681="","",INT($B4681))</f>
        <v/>
      </c>
      <c r="D4681">
        <f>IF($C4681="","",$C4681-WEEKDAY($C4681,2)+1)</f>
        <v/>
      </c>
      <c r="E4681">
        <f>IF($C4681="","",DATE(YEAR($C4681),MONTH($C4681),1))</f>
        <v/>
      </c>
      <c r="F4681">
        <f>IF($C4681="","",YEAR($C4681)&amp;"-Q"&amp;ROUNDUP(MONTH($C4681)/3,0))</f>
        <v/>
      </c>
      <c r="L4681">
        <f>IF($G4681&lt;&gt;"ALCOHOL","",IF($K4681="","",$H4681*IFERROR(VLOOKUP($K4681,Drink_Templates!$A:$G,7,FALSE),0)))</f>
        <v/>
      </c>
    </row>
    <row r="4682" ht="15" customHeight="1">
      <c r="C4682">
        <f>IF($B4682="","",INT($B4682))</f>
        <v/>
      </c>
      <c r="D4682">
        <f>IF($C4682="","",$C4682-WEEKDAY($C4682,2)+1)</f>
        <v/>
      </c>
      <c r="E4682">
        <f>IF($C4682="","",DATE(YEAR($C4682),MONTH($C4682),1))</f>
        <v/>
      </c>
      <c r="F4682">
        <f>IF($C4682="","",YEAR($C4682)&amp;"-Q"&amp;ROUNDUP(MONTH($C4682)/3,0))</f>
        <v/>
      </c>
      <c r="L4682">
        <f>IF($G4682&lt;&gt;"ALCOHOL","",IF($K4682="","",$H4682*IFERROR(VLOOKUP($K4682,Drink_Templates!$A:$G,7,FALSE),0)))</f>
        <v/>
      </c>
    </row>
    <row r="4683" ht="15" customHeight="1">
      <c r="C4683">
        <f>IF($B4683="","",INT($B4683))</f>
        <v/>
      </c>
      <c r="D4683">
        <f>IF($C4683="","",$C4683-WEEKDAY($C4683,2)+1)</f>
        <v/>
      </c>
      <c r="E4683">
        <f>IF($C4683="","",DATE(YEAR($C4683),MONTH($C4683),1))</f>
        <v/>
      </c>
      <c r="F4683">
        <f>IF($C4683="","",YEAR($C4683)&amp;"-Q"&amp;ROUNDUP(MONTH($C4683)/3,0))</f>
        <v/>
      </c>
      <c r="L4683">
        <f>IF($G4683&lt;&gt;"ALCOHOL","",IF($K4683="","",$H4683*IFERROR(VLOOKUP($K4683,Drink_Templates!$A:$G,7,FALSE),0)))</f>
        <v/>
      </c>
    </row>
    <row r="4684" ht="15" customHeight="1">
      <c r="C4684">
        <f>IF($B4684="","",INT($B4684))</f>
        <v/>
      </c>
      <c r="D4684">
        <f>IF($C4684="","",$C4684-WEEKDAY($C4684,2)+1)</f>
        <v/>
      </c>
      <c r="E4684">
        <f>IF($C4684="","",DATE(YEAR($C4684),MONTH($C4684),1))</f>
        <v/>
      </c>
      <c r="F4684">
        <f>IF($C4684="","",YEAR($C4684)&amp;"-Q"&amp;ROUNDUP(MONTH($C4684)/3,0))</f>
        <v/>
      </c>
      <c r="L4684">
        <f>IF($G4684&lt;&gt;"ALCOHOL","",IF($K4684="","",$H4684*IFERROR(VLOOKUP($K4684,Drink_Templates!$A:$G,7,FALSE),0)))</f>
        <v/>
      </c>
    </row>
    <row r="4685" ht="15" customHeight="1">
      <c r="C4685">
        <f>IF($B4685="","",INT($B4685))</f>
        <v/>
      </c>
      <c r="D4685">
        <f>IF($C4685="","",$C4685-WEEKDAY($C4685,2)+1)</f>
        <v/>
      </c>
      <c r="E4685">
        <f>IF($C4685="","",DATE(YEAR($C4685),MONTH($C4685),1))</f>
        <v/>
      </c>
      <c r="F4685">
        <f>IF($C4685="","",YEAR($C4685)&amp;"-Q"&amp;ROUNDUP(MONTH($C4685)/3,0))</f>
        <v/>
      </c>
      <c r="L4685">
        <f>IF($G4685&lt;&gt;"ALCOHOL","",IF($K4685="","",$H4685*IFERROR(VLOOKUP($K4685,Drink_Templates!$A:$G,7,FALSE),0)))</f>
        <v/>
      </c>
    </row>
    <row r="4686" ht="15" customHeight="1">
      <c r="C4686">
        <f>IF($B4686="","",INT($B4686))</f>
        <v/>
      </c>
      <c r="D4686">
        <f>IF($C4686="","",$C4686-WEEKDAY($C4686,2)+1)</f>
        <v/>
      </c>
      <c r="E4686">
        <f>IF($C4686="","",DATE(YEAR($C4686),MONTH($C4686),1))</f>
        <v/>
      </c>
      <c r="F4686">
        <f>IF($C4686="","",YEAR($C4686)&amp;"-Q"&amp;ROUNDUP(MONTH($C4686)/3,0))</f>
        <v/>
      </c>
      <c r="L4686">
        <f>IF($G4686&lt;&gt;"ALCOHOL","",IF($K4686="","",$H4686*IFERROR(VLOOKUP($K4686,Drink_Templates!$A:$G,7,FALSE),0)))</f>
        <v/>
      </c>
    </row>
    <row r="4687" ht="15" customHeight="1">
      <c r="C4687">
        <f>IF($B4687="","",INT($B4687))</f>
        <v/>
      </c>
      <c r="D4687">
        <f>IF($C4687="","",$C4687-WEEKDAY($C4687,2)+1)</f>
        <v/>
      </c>
      <c r="E4687">
        <f>IF($C4687="","",DATE(YEAR($C4687),MONTH($C4687),1))</f>
        <v/>
      </c>
      <c r="F4687">
        <f>IF($C4687="","",YEAR($C4687)&amp;"-Q"&amp;ROUNDUP(MONTH($C4687)/3,0))</f>
        <v/>
      </c>
      <c r="L4687">
        <f>IF($G4687&lt;&gt;"ALCOHOL","",IF($K4687="","",$H4687*IFERROR(VLOOKUP($K4687,Drink_Templates!$A:$G,7,FALSE),0)))</f>
        <v/>
      </c>
    </row>
    <row r="4688" ht="15" customHeight="1">
      <c r="C4688">
        <f>IF($B4688="","",INT($B4688))</f>
        <v/>
      </c>
      <c r="D4688">
        <f>IF($C4688="","",$C4688-WEEKDAY($C4688,2)+1)</f>
        <v/>
      </c>
      <c r="E4688">
        <f>IF($C4688="","",DATE(YEAR($C4688),MONTH($C4688),1))</f>
        <v/>
      </c>
      <c r="F4688">
        <f>IF($C4688="","",YEAR($C4688)&amp;"-Q"&amp;ROUNDUP(MONTH($C4688)/3,0))</f>
        <v/>
      </c>
      <c r="L4688">
        <f>IF($G4688&lt;&gt;"ALCOHOL","",IF($K4688="","",$H4688*IFERROR(VLOOKUP($K4688,Drink_Templates!$A:$G,7,FALSE),0)))</f>
        <v/>
      </c>
    </row>
    <row r="4689" ht="15" customHeight="1">
      <c r="C4689">
        <f>IF($B4689="","",INT($B4689))</f>
        <v/>
      </c>
      <c r="D4689">
        <f>IF($C4689="","",$C4689-WEEKDAY($C4689,2)+1)</f>
        <v/>
      </c>
      <c r="E4689">
        <f>IF($C4689="","",DATE(YEAR($C4689),MONTH($C4689),1))</f>
        <v/>
      </c>
      <c r="F4689">
        <f>IF($C4689="","",YEAR($C4689)&amp;"-Q"&amp;ROUNDUP(MONTH($C4689)/3,0))</f>
        <v/>
      </c>
      <c r="L4689">
        <f>IF($G4689&lt;&gt;"ALCOHOL","",IF($K4689="","",$H4689*IFERROR(VLOOKUP($K4689,Drink_Templates!$A:$G,7,FALSE),0)))</f>
        <v/>
      </c>
    </row>
    <row r="4690" ht="15" customHeight="1">
      <c r="C4690">
        <f>IF($B4690="","",INT($B4690))</f>
        <v/>
      </c>
      <c r="D4690">
        <f>IF($C4690="","",$C4690-WEEKDAY($C4690,2)+1)</f>
        <v/>
      </c>
      <c r="E4690">
        <f>IF($C4690="","",DATE(YEAR($C4690),MONTH($C4690),1))</f>
        <v/>
      </c>
      <c r="F4690">
        <f>IF($C4690="","",YEAR($C4690)&amp;"-Q"&amp;ROUNDUP(MONTH($C4690)/3,0))</f>
        <v/>
      </c>
      <c r="L4690">
        <f>IF($G4690&lt;&gt;"ALCOHOL","",IF($K4690="","",$H4690*IFERROR(VLOOKUP($K4690,Drink_Templates!$A:$G,7,FALSE),0)))</f>
        <v/>
      </c>
    </row>
    <row r="4691" ht="15" customHeight="1">
      <c r="C4691">
        <f>IF($B4691="","",INT($B4691))</f>
        <v/>
      </c>
      <c r="D4691">
        <f>IF($C4691="","",$C4691-WEEKDAY($C4691,2)+1)</f>
        <v/>
      </c>
      <c r="E4691">
        <f>IF($C4691="","",DATE(YEAR($C4691),MONTH($C4691),1))</f>
        <v/>
      </c>
      <c r="F4691">
        <f>IF($C4691="","",YEAR($C4691)&amp;"-Q"&amp;ROUNDUP(MONTH($C4691)/3,0))</f>
        <v/>
      </c>
      <c r="L4691">
        <f>IF($G4691&lt;&gt;"ALCOHOL","",IF($K4691="","",$H4691*IFERROR(VLOOKUP($K4691,Drink_Templates!$A:$G,7,FALSE),0)))</f>
        <v/>
      </c>
    </row>
    <row r="4692" ht="15" customHeight="1">
      <c r="C4692">
        <f>IF($B4692="","",INT($B4692))</f>
        <v/>
      </c>
      <c r="D4692">
        <f>IF($C4692="","",$C4692-WEEKDAY($C4692,2)+1)</f>
        <v/>
      </c>
      <c r="E4692">
        <f>IF($C4692="","",DATE(YEAR($C4692),MONTH($C4692),1))</f>
        <v/>
      </c>
      <c r="F4692">
        <f>IF($C4692="","",YEAR($C4692)&amp;"-Q"&amp;ROUNDUP(MONTH($C4692)/3,0))</f>
        <v/>
      </c>
      <c r="L4692">
        <f>IF($G4692&lt;&gt;"ALCOHOL","",IF($K4692="","",$H4692*IFERROR(VLOOKUP($K4692,Drink_Templates!$A:$G,7,FALSE),0)))</f>
        <v/>
      </c>
    </row>
    <row r="4693" ht="15" customHeight="1">
      <c r="C4693">
        <f>IF($B4693="","",INT($B4693))</f>
        <v/>
      </c>
      <c r="D4693">
        <f>IF($C4693="","",$C4693-WEEKDAY($C4693,2)+1)</f>
        <v/>
      </c>
      <c r="E4693">
        <f>IF($C4693="","",DATE(YEAR($C4693),MONTH($C4693),1))</f>
        <v/>
      </c>
      <c r="F4693">
        <f>IF($C4693="","",YEAR($C4693)&amp;"-Q"&amp;ROUNDUP(MONTH($C4693)/3,0))</f>
        <v/>
      </c>
      <c r="L4693">
        <f>IF($G4693&lt;&gt;"ALCOHOL","",IF($K4693="","",$H4693*IFERROR(VLOOKUP($K4693,Drink_Templates!$A:$G,7,FALSE),0)))</f>
        <v/>
      </c>
    </row>
    <row r="4694" ht="15" customHeight="1">
      <c r="C4694">
        <f>IF($B4694="","",INT($B4694))</f>
        <v/>
      </c>
      <c r="D4694">
        <f>IF($C4694="","",$C4694-WEEKDAY($C4694,2)+1)</f>
        <v/>
      </c>
      <c r="E4694">
        <f>IF($C4694="","",DATE(YEAR($C4694),MONTH($C4694),1))</f>
        <v/>
      </c>
      <c r="F4694">
        <f>IF($C4694="","",YEAR($C4694)&amp;"-Q"&amp;ROUNDUP(MONTH($C4694)/3,0))</f>
        <v/>
      </c>
      <c r="L4694">
        <f>IF($G4694&lt;&gt;"ALCOHOL","",IF($K4694="","",$H4694*IFERROR(VLOOKUP($K4694,Drink_Templates!$A:$G,7,FALSE),0)))</f>
        <v/>
      </c>
    </row>
    <row r="4695" ht="15" customHeight="1">
      <c r="C4695">
        <f>IF($B4695="","",INT($B4695))</f>
        <v/>
      </c>
      <c r="D4695">
        <f>IF($C4695="","",$C4695-WEEKDAY($C4695,2)+1)</f>
        <v/>
      </c>
      <c r="E4695">
        <f>IF($C4695="","",DATE(YEAR($C4695),MONTH($C4695),1))</f>
        <v/>
      </c>
      <c r="F4695">
        <f>IF($C4695="","",YEAR($C4695)&amp;"-Q"&amp;ROUNDUP(MONTH($C4695)/3,0))</f>
        <v/>
      </c>
      <c r="L4695">
        <f>IF($G4695&lt;&gt;"ALCOHOL","",IF($K4695="","",$H4695*IFERROR(VLOOKUP($K4695,Drink_Templates!$A:$G,7,FALSE),0)))</f>
        <v/>
      </c>
    </row>
    <row r="4696" ht="15" customHeight="1">
      <c r="C4696">
        <f>IF($B4696="","",INT($B4696))</f>
        <v/>
      </c>
      <c r="D4696">
        <f>IF($C4696="","",$C4696-WEEKDAY($C4696,2)+1)</f>
        <v/>
      </c>
      <c r="E4696">
        <f>IF($C4696="","",DATE(YEAR($C4696),MONTH($C4696),1))</f>
        <v/>
      </c>
      <c r="F4696">
        <f>IF($C4696="","",YEAR($C4696)&amp;"-Q"&amp;ROUNDUP(MONTH($C4696)/3,0))</f>
        <v/>
      </c>
      <c r="L4696">
        <f>IF($G4696&lt;&gt;"ALCOHOL","",IF($K4696="","",$H4696*IFERROR(VLOOKUP($K4696,Drink_Templates!$A:$G,7,FALSE),0)))</f>
        <v/>
      </c>
    </row>
    <row r="4697" ht="15" customHeight="1">
      <c r="C4697">
        <f>IF($B4697="","",INT($B4697))</f>
        <v/>
      </c>
      <c r="D4697">
        <f>IF($C4697="","",$C4697-WEEKDAY($C4697,2)+1)</f>
        <v/>
      </c>
      <c r="E4697">
        <f>IF($C4697="","",DATE(YEAR($C4697),MONTH($C4697),1))</f>
        <v/>
      </c>
      <c r="F4697">
        <f>IF($C4697="","",YEAR($C4697)&amp;"-Q"&amp;ROUNDUP(MONTH($C4697)/3,0))</f>
        <v/>
      </c>
      <c r="L4697">
        <f>IF($G4697&lt;&gt;"ALCOHOL","",IF($K4697="","",$H4697*IFERROR(VLOOKUP($K4697,Drink_Templates!$A:$G,7,FALSE),0)))</f>
        <v/>
      </c>
    </row>
    <row r="4698" ht="15" customHeight="1">
      <c r="C4698">
        <f>IF($B4698="","",INT($B4698))</f>
        <v/>
      </c>
      <c r="D4698">
        <f>IF($C4698="","",$C4698-WEEKDAY($C4698,2)+1)</f>
        <v/>
      </c>
      <c r="E4698">
        <f>IF($C4698="","",DATE(YEAR($C4698),MONTH($C4698),1))</f>
        <v/>
      </c>
      <c r="F4698">
        <f>IF($C4698="","",YEAR($C4698)&amp;"-Q"&amp;ROUNDUP(MONTH($C4698)/3,0))</f>
        <v/>
      </c>
      <c r="L4698">
        <f>IF($G4698&lt;&gt;"ALCOHOL","",IF($K4698="","",$H4698*IFERROR(VLOOKUP($K4698,Drink_Templates!$A:$G,7,FALSE),0)))</f>
        <v/>
      </c>
    </row>
    <row r="4699" ht="15" customHeight="1">
      <c r="C4699">
        <f>IF($B4699="","",INT($B4699))</f>
        <v/>
      </c>
      <c r="D4699">
        <f>IF($C4699="","",$C4699-WEEKDAY($C4699,2)+1)</f>
        <v/>
      </c>
      <c r="E4699">
        <f>IF($C4699="","",DATE(YEAR($C4699),MONTH($C4699),1))</f>
        <v/>
      </c>
      <c r="F4699">
        <f>IF($C4699="","",YEAR($C4699)&amp;"-Q"&amp;ROUNDUP(MONTH($C4699)/3,0))</f>
        <v/>
      </c>
      <c r="L4699">
        <f>IF($G4699&lt;&gt;"ALCOHOL","",IF($K4699="","",$H4699*IFERROR(VLOOKUP($K4699,Drink_Templates!$A:$G,7,FALSE),0)))</f>
        <v/>
      </c>
    </row>
    <row r="4700" ht="15" customHeight="1">
      <c r="C4700">
        <f>IF($B4700="","",INT($B4700))</f>
        <v/>
      </c>
      <c r="D4700">
        <f>IF($C4700="","",$C4700-WEEKDAY($C4700,2)+1)</f>
        <v/>
      </c>
      <c r="E4700">
        <f>IF($C4700="","",DATE(YEAR($C4700),MONTH($C4700),1))</f>
        <v/>
      </c>
      <c r="F4700">
        <f>IF($C4700="","",YEAR($C4700)&amp;"-Q"&amp;ROUNDUP(MONTH($C4700)/3,0))</f>
        <v/>
      </c>
      <c r="L4700">
        <f>IF($G4700&lt;&gt;"ALCOHOL","",IF($K4700="","",$H4700*IFERROR(VLOOKUP($K4700,Drink_Templates!$A:$G,7,FALSE),0)))</f>
        <v/>
      </c>
    </row>
    <row r="4701" ht="15" customHeight="1">
      <c r="C4701">
        <f>IF($B4701="","",INT($B4701))</f>
        <v/>
      </c>
      <c r="D4701">
        <f>IF($C4701="","",$C4701-WEEKDAY($C4701,2)+1)</f>
        <v/>
      </c>
      <c r="E4701">
        <f>IF($C4701="","",DATE(YEAR($C4701),MONTH($C4701),1))</f>
        <v/>
      </c>
      <c r="F4701">
        <f>IF($C4701="","",YEAR($C4701)&amp;"-Q"&amp;ROUNDUP(MONTH($C4701)/3,0))</f>
        <v/>
      </c>
      <c r="L4701">
        <f>IF($G4701&lt;&gt;"ALCOHOL","",IF($K4701="","",$H4701*IFERROR(VLOOKUP($K4701,Drink_Templates!$A:$G,7,FALSE),0)))</f>
        <v/>
      </c>
    </row>
    <row r="4702" ht="15" customHeight="1">
      <c r="C4702">
        <f>IF($B4702="","",INT($B4702))</f>
        <v/>
      </c>
      <c r="D4702">
        <f>IF($C4702="","",$C4702-WEEKDAY($C4702,2)+1)</f>
        <v/>
      </c>
      <c r="E4702">
        <f>IF($C4702="","",DATE(YEAR($C4702),MONTH($C4702),1))</f>
        <v/>
      </c>
      <c r="F4702">
        <f>IF($C4702="","",YEAR($C4702)&amp;"-Q"&amp;ROUNDUP(MONTH($C4702)/3,0))</f>
        <v/>
      </c>
      <c r="L4702">
        <f>IF($G4702&lt;&gt;"ALCOHOL","",IF($K4702="","",$H4702*IFERROR(VLOOKUP($K4702,Drink_Templates!$A:$G,7,FALSE),0)))</f>
        <v/>
      </c>
    </row>
    <row r="4703" ht="15" customHeight="1">
      <c r="C4703">
        <f>IF($B4703="","",INT($B4703))</f>
        <v/>
      </c>
      <c r="D4703">
        <f>IF($C4703="","",$C4703-WEEKDAY($C4703,2)+1)</f>
        <v/>
      </c>
      <c r="E4703">
        <f>IF($C4703="","",DATE(YEAR($C4703),MONTH($C4703),1))</f>
        <v/>
      </c>
      <c r="F4703">
        <f>IF($C4703="","",YEAR($C4703)&amp;"-Q"&amp;ROUNDUP(MONTH($C4703)/3,0))</f>
        <v/>
      </c>
      <c r="L4703">
        <f>IF($G4703&lt;&gt;"ALCOHOL","",IF($K4703="","",$H4703*IFERROR(VLOOKUP($K4703,Drink_Templates!$A:$G,7,FALSE),0)))</f>
        <v/>
      </c>
    </row>
    <row r="4704" ht="15" customHeight="1">
      <c r="C4704">
        <f>IF($B4704="","",INT($B4704))</f>
        <v/>
      </c>
      <c r="D4704">
        <f>IF($C4704="","",$C4704-WEEKDAY($C4704,2)+1)</f>
        <v/>
      </c>
      <c r="E4704">
        <f>IF($C4704="","",DATE(YEAR($C4704),MONTH($C4704),1))</f>
        <v/>
      </c>
      <c r="F4704">
        <f>IF($C4704="","",YEAR($C4704)&amp;"-Q"&amp;ROUNDUP(MONTH($C4704)/3,0))</f>
        <v/>
      </c>
      <c r="L4704">
        <f>IF($G4704&lt;&gt;"ALCOHOL","",IF($K4704="","",$H4704*IFERROR(VLOOKUP($K4704,Drink_Templates!$A:$G,7,FALSE),0)))</f>
        <v/>
      </c>
    </row>
    <row r="4705" ht="15" customHeight="1">
      <c r="C4705">
        <f>IF($B4705="","",INT($B4705))</f>
        <v/>
      </c>
      <c r="D4705">
        <f>IF($C4705="","",$C4705-WEEKDAY($C4705,2)+1)</f>
        <v/>
      </c>
      <c r="E4705">
        <f>IF($C4705="","",DATE(YEAR($C4705),MONTH($C4705),1))</f>
        <v/>
      </c>
      <c r="F4705">
        <f>IF($C4705="","",YEAR($C4705)&amp;"-Q"&amp;ROUNDUP(MONTH($C4705)/3,0))</f>
        <v/>
      </c>
      <c r="L4705">
        <f>IF($G4705&lt;&gt;"ALCOHOL","",IF($K4705="","",$H4705*IFERROR(VLOOKUP($K4705,Drink_Templates!$A:$G,7,FALSE),0)))</f>
        <v/>
      </c>
    </row>
    <row r="4706" ht="15" customHeight="1">
      <c r="C4706">
        <f>IF($B4706="","",INT($B4706))</f>
        <v/>
      </c>
      <c r="D4706">
        <f>IF($C4706="","",$C4706-WEEKDAY($C4706,2)+1)</f>
        <v/>
      </c>
      <c r="E4706">
        <f>IF($C4706="","",DATE(YEAR($C4706),MONTH($C4706),1))</f>
        <v/>
      </c>
      <c r="F4706">
        <f>IF($C4706="","",YEAR($C4706)&amp;"-Q"&amp;ROUNDUP(MONTH($C4706)/3,0))</f>
        <v/>
      </c>
      <c r="L4706">
        <f>IF($G4706&lt;&gt;"ALCOHOL","",IF($K4706="","",$H4706*IFERROR(VLOOKUP($K4706,Drink_Templates!$A:$G,7,FALSE),0)))</f>
        <v/>
      </c>
    </row>
    <row r="4707" ht="15" customHeight="1">
      <c r="C4707">
        <f>IF($B4707="","",INT($B4707))</f>
        <v/>
      </c>
      <c r="D4707">
        <f>IF($C4707="","",$C4707-WEEKDAY($C4707,2)+1)</f>
        <v/>
      </c>
      <c r="E4707">
        <f>IF($C4707="","",DATE(YEAR($C4707),MONTH($C4707),1))</f>
        <v/>
      </c>
      <c r="F4707">
        <f>IF($C4707="","",YEAR($C4707)&amp;"-Q"&amp;ROUNDUP(MONTH($C4707)/3,0))</f>
        <v/>
      </c>
      <c r="L4707">
        <f>IF($G4707&lt;&gt;"ALCOHOL","",IF($K4707="","",$H4707*IFERROR(VLOOKUP($K4707,Drink_Templates!$A:$G,7,FALSE),0)))</f>
        <v/>
      </c>
    </row>
    <row r="4708" ht="15" customHeight="1">
      <c r="C4708">
        <f>IF($B4708="","",INT($B4708))</f>
        <v/>
      </c>
      <c r="D4708">
        <f>IF($C4708="","",$C4708-WEEKDAY($C4708,2)+1)</f>
        <v/>
      </c>
      <c r="E4708">
        <f>IF($C4708="","",DATE(YEAR($C4708),MONTH($C4708),1))</f>
        <v/>
      </c>
      <c r="F4708">
        <f>IF($C4708="","",YEAR($C4708)&amp;"-Q"&amp;ROUNDUP(MONTH($C4708)/3,0))</f>
        <v/>
      </c>
      <c r="L4708">
        <f>IF($G4708&lt;&gt;"ALCOHOL","",IF($K4708="","",$H4708*IFERROR(VLOOKUP($K4708,Drink_Templates!$A:$G,7,FALSE),0)))</f>
        <v/>
      </c>
    </row>
    <row r="4709" ht="15" customHeight="1">
      <c r="C4709">
        <f>IF($B4709="","",INT($B4709))</f>
        <v/>
      </c>
      <c r="D4709">
        <f>IF($C4709="","",$C4709-WEEKDAY($C4709,2)+1)</f>
        <v/>
      </c>
      <c r="E4709">
        <f>IF($C4709="","",DATE(YEAR($C4709),MONTH($C4709),1))</f>
        <v/>
      </c>
      <c r="F4709">
        <f>IF($C4709="","",YEAR($C4709)&amp;"-Q"&amp;ROUNDUP(MONTH($C4709)/3,0))</f>
        <v/>
      </c>
      <c r="L4709">
        <f>IF($G4709&lt;&gt;"ALCOHOL","",IF($K4709="","",$H4709*IFERROR(VLOOKUP($K4709,Drink_Templates!$A:$G,7,FALSE),0)))</f>
        <v/>
      </c>
    </row>
    <row r="4710" ht="15" customHeight="1">
      <c r="C4710">
        <f>IF($B4710="","",INT($B4710))</f>
        <v/>
      </c>
      <c r="D4710">
        <f>IF($C4710="","",$C4710-WEEKDAY($C4710,2)+1)</f>
        <v/>
      </c>
      <c r="E4710">
        <f>IF($C4710="","",DATE(YEAR($C4710),MONTH($C4710),1))</f>
        <v/>
      </c>
      <c r="F4710">
        <f>IF($C4710="","",YEAR($C4710)&amp;"-Q"&amp;ROUNDUP(MONTH($C4710)/3,0))</f>
        <v/>
      </c>
      <c r="L4710">
        <f>IF($G4710&lt;&gt;"ALCOHOL","",IF($K4710="","",$H4710*IFERROR(VLOOKUP($K4710,Drink_Templates!$A:$G,7,FALSE),0)))</f>
        <v/>
      </c>
    </row>
    <row r="4711" ht="15" customHeight="1">
      <c r="C4711">
        <f>IF($B4711="","",INT($B4711))</f>
        <v/>
      </c>
      <c r="D4711">
        <f>IF($C4711="","",$C4711-WEEKDAY($C4711,2)+1)</f>
        <v/>
      </c>
      <c r="E4711">
        <f>IF($C4711="","",DATE(YEAR($C4711),MONTH($C4711),1))</f>
        <v/>
      </c>
      <c r="F4711">
        <f>IF($C4711="","",YEAR($C4711)&amp;"-Q"&amp;ROUNDUP(MONTH($C4711)/3,0))</f>
        <v/>
      </c>
      <c r="L4711">
        <f>IF($G4711&lt;&gt;"ALCOHOL","",IF($K4711="","",$H4711*IFERROR(VLOOKUP($K4711,Drink_Templates!$A:$G,7,FALSE),0)))</f>
        <v/>
      </c>
    </row>
    <row r="4712" ht="15" customHeight="1">
      <c r="C4712">
        <f>IF($B4712="","",INT($B4712))</f>
        <v/>
      </c>
      <c r="D4712">
        <f>IF($C4712="","",$C4712-WEEKDAY($C4712,2)+1)</f>
        <v/>
      </c>
      <c r="E4712">
        <f>IF($C4712="","",DATE(YEAR($C4712),MONTH($C4712),1))</f>
        <v/>
      </c>
      <c r="F4712">
        <f>IF($C4712="","",YEAR($C4712)&amp;"-Q"&amp;ROUNDUP(MONTH($C4712)/3,0))</f>
        <v/>
      </c>
      <c r="L4712">
        <f>IF($G4712&lt;&gt;"ALCOHOL","",IF($K4712="","",$H4712*IFERROR(VLOOKUP($K4712,Drink_Templates!$A:$G,7,FALSE),0)))</f>
        <v/>
      </c>
    </row>
    <row r="4713" ht="15" customHeight="1">
      <c r="C4713">
        <f>IF($B4713="","",INT($B4713))</f>
        <v/>
      </c>
      <c r="D4713">
        <f>IF($C4713="","",$C4713-WEEKDAY($C4713,2)+1)</f>
        <v/>
      </c>
      <c r="E4713">
        <f>IF($C4713="","",DATE(YEAR($C4713),MONTH($C4713),1))</f>
        <v/>
      </c>
      <c r="F4713">
        <f>IF($C4713="","",YEAR($C4713)&amp;"-Q"&amp;ROUNDUP(MONTH($C4713)/3,0))</f>
        <v/>
      </c>
      <c r="L4713">
        <f>IF($G4713&lt;&gt;"ALCOHOL","",IF($K4713="","",$H4713*IFERROR(VLOOKUP($K4713,Drink_Templates!$A:$G,7,FALSE),0)))</f>
        <v/>
      </c>
    </row>
    <row r="4714" ht="15" customHeight="1">
      <c r="C4714">
        <f>IF($B4714="","",INT($B4714))</f>
        <v/>
      </c>
      <c r="D4714">
        <f>IF($C4714="","",$C4714-WEEKDAY($C4714,2)+1)</f>
        <v/>
      </c>
      <c r="E4714">
        <f>IF($C4714="","",DATE(YEAR($C4714),MONTH($C4714),1))</f>
        <v/>
      </c>
      <c r="F4714">
        <f>IF($C4714="","",YEAR($C4714)&amp;"-Q"&amp;ROUNDUP(MONTH($C4714)/3,0))</f>
        <v/>
      </c>
      <c r="L4714">
        <f>IF($G4714&lt;&gt;"ALCOHOL","",IF($K4714="","",$H4714*IFERROR(VLOOKUP($K4714,Drink_Templates!$A:$G,7,FALSE),0)))</f>
        <v/>
      </c>
    </row>
    <row r="4715" ht="15" customHeight="1">
      <c r="C4715">
        <f>IF($B4715="","",INT($B4715))</f>
        <v/>
      </c>
      <c r="D4715">
        <f>IF($C4715="","",$C4715-WEEKDAY($C4715,2)+1)</f>
        <v/>
      </c>
      <c r="E4715">
        <f>IF($C4715="","",DATE(YEAR($C4715),MONTH($C4715),1))</f>
        <v/>
      </c>
      <c r="F4715">
        <f>IF($C4715="","",YEAR($C4715)&amp;"-Q"&amp;ROUNDUP(MONTH($C4715)/3,0))</f>
        <v/>
      </c>
      <c r="L4715">
        <f>IF($G4715&lt;&gt;"ALCOHOL","",IF($K4715="","",$H4715*IFERROR(VLOOKUP($K4715,Drink_Templates!$A:$G,7,FALSE),0)))</f>
        <v/>
      </c>
    </row>
    <row r="4716" ht="15" customHeight="1">
      <c r="C4716">
        <f>IF($B4716="","",INT($B4716))</f>
        <v/>
      </c>
      <c r="D4716">
        <f>IF($C4716="","",$C4716-WEEKDAY($C4716,2)+1)</f>
        <v/>
      </c>
      <c r="E4716">
        <f>IF($C4716="","",DATE(YEAR($C4716),MONTH($C4716),1))</f>
        <v/>
      </c>
      <c r="F4716">
        <f>IF($C4716="","",YEAR($C4716)&amp;"-Q"&amp;ROUNDUP(MONTH($C4716)/3,0))</f>
        <v/>
      </c>
      <c r="L4716">
        <f>IF($G4716&lt;&gt;"ALCOHOL","",IF($K4716="","",$H4716*IFERROR(VLOOKUP($K4716,Drink_Templates!$A:$G,7,FALSE),0)))</f>
        <v/>
      </c>
    </row>
    <row r="4717" ht="15" customHeight="1">
      <c r="C4717">
        <f>IF($B4717="","",INT($B4717))</f>
        <v/>
      </c>
      <c r="D4717">
        <f>IF($C4717="","",$C4717-WEEKDAY($C4717,2)+1)</f>
        <v/>
      </c>
      <c r="E4717">
        <f>IF($C4717="","",DATE(YEAR($C4717),MONTH($C4717),1))</f>
        <v/>
      </c>
      <c r="F4717">
        <f>IF($C4717="","",YEAR($C4717)&amp;"-Q"&amp;ROUNDUP(MONTH($C4717)/3,0))</f>
        <v/>
      </c>
      <c r="L4717">
        <f>IF($G4717&lt;&gt;"ALCOHOL","",IF($K4717="","",$H4717*IFERROR(VLOOKUP($K4717,Drink_Templates!$A:$G,7,FALSE),0)))</f>
        <v/>
      </c>
    </row>
    <row r="4718" ht="15" customHeight="1">
      <c r="C4718">
        <f>IF($B4718="","",INT($B4718))</f>
        <v/>
      </c>
      <c r="D4718">
        <f>IF($C4718="","",$C4718-WEEKDAY($C4718,2)+1)</f>
        <v/>
      </c>
      <c r="E4718">
        <f>IF($C4718="","",DATE(YEAR($C4718),MONTH($C4718),1))</f>
        <v/>
      </c>
      <c r="F4718">
        <f>IF($C4718="","",YEAR($C4718)&amp;"-Q"&amp;ROUNDUP(MONTH($C4718)/3,0))</f>
        <v/>
      </c>
      <c r="L4718">
        <f>IF($G4718&lt;&gt;"ALCOHOL","",IF($K4718="","",$H4718*IFERROR(VLOOKUP($K4718,Drink_Templates!$A:$G,7,FALSE),0)))</f>
        <v/>
      </c>
    </row>
    <row r="4719" ht="15" customHeight="1">
      <c r="C4719">
        <f>IF($B4719="","",INT($B4719))</f>
        <v/>
      </c>
      <c r="D4719">
        <f>IF($C4719="","",$C4719-WEEKDAY($C4719,2)+1)</f>
        <v/>
      </c>
      <c r="E4719">
        <f>IF($C4719="","",DATE(YEAR($C4719),MONTH($C4719),1))</f>
        <v/>
      </c>
      <c r="F4719">
        <f>IF($C4719="","",YEAR($C4719)&amp;"-Q"&amp;ROUNDUP(MONTH($C4719)/3,0))</f>
        <v/>
      </c>
      <c r="L4719">
        <f>IF($G4719&lt;&gt;"ALCOHOL","",IF($K4719="","",$H4719*IFERROR(VLOOKUP($K4719,Drink_Templates!$A:$G,7,FALSE),0)))</f>
        <v/>
      </c>
    </row>
    <row r="4720" ht="15" customHeight="1">
      <c r="C4720">
        <f>IF($B4720="","",INT($B4720))</f>
        <v/>
      </c>
      <c r="D4720">
        <f>IF($C4720="","",$C4720-WEEKDAY($C4720,2)+1)</f>
        <v/>
      </c>
      <c r="E4720">
        <f>IF($C4720="","",DATE(YEAR($C4720),MONTH($C4720),1))</f>
        <v/>
      </c>
      <c r="F4720">
        <f>IF($C4720="","",YEAR($C4720)&amp;"-Q"&amp;ROUNDUP(MONTH($C4720)/3,0))</f>
        <v/>
      </c>
      <c r="L4720">
        <f>IF($G4720&lt;&gt;"ALCOHOL","",IF($K4720="","",$H4720*IFERROR(VLOOKUP($K4720,Drink_Templates!$A:$G,7,FALSE),0)))</f>
        <v/>
      </c>
    </row>
    <row r="4721" ht="15" customHeight="1">
      <c r="C4721">
        <f>IF($B4721="","",INT($B4721))</f>
        <v/>
      </c>
      <c r="D4721">
        <f>IF($C4721="","",$C4721-WEEKDAY($C4721,2)+1)</f>
        <v/>
      </c>
      <c r="E4721">
        <f>IF($C4721="","",DATE(YEAR($C4721),MONTH($C4721),1))</f>
        <v/>
      </c>
      <c r="F4721">
        <f>IF($C4721="","",YEAR($C4721)&amp;"-Q"&amp;ROUNDUP(MONTH($C4721)/3,0))</f>
        <v/>
      </c>
      <c r="L4721">
        <f>IF($G4721&lt;&gt;"ALCOHOL","",IF($K4721="","",$H4721*IFERROR(VLOOKUP($K4721,Drink_Templates!$A:$G,7,FALSE),0)))</f>
        <v/>
      </c>
    </row>
    <row r="4722" ht="15" customHeight="1">
      <c r="C4722">
        <f>IF($B4722="","",INT($B4722))</f>
        <v/>
      </c>
      <c r="D4722">
        <f>IF($C4722="","",$C4722-WEEKDAY($C4722,2)+1)</f>
        <v/>
      </c>
      <c r="E4722">
        <f>IF($C4722="","",DATE(YEAR($C4722),MONTH($C4722),1))</f>
        <v/>
      </c>
      <c r="F4722">
        <f>IF($C4722="","",YEAR($C4722)&amp;"-Q"&amp;ROUNDUP(MONTH($C4722)/3,0))</f>
        <v/>
      </c>
      <c r="L4722">
        <f>IF($G4722&lt;&gt;"ALCOHOL","",IF($K4722="","",$H4722*IFERROR(VLOOKUP($K4722,Drink_Templates!$A:$G,7,FALSE),0)))</f>
        <v/>
      </c>
    </row>
    <row r="4723" ht="15" customHeight="1">
      <c r="C4723">
        <f>IF($B4723="","",INT($B4723))</f>
        <v/>
      </c>
      <c r="D4723">
        <f>IF($C4723="","",$C4723-WEEKDAY($C4723,2)+1)</f>
        <v/>
      </c>
      <c r="E4723">
        <f>IF($C4723="","",DATE(YEAR($C4723),MONTH($C4723),1))</f>
        <v/>
      </c>
      <c r="F4723">
        <f>IF($C4723="","",YEAR($C4723)&amp;"-Q"&amp;ROUNDUP(MONTH($C4723)/3,0))</f>
        <v/>
      </c>
      <c r="L4723">
        <f>IF($G4723&lt;&gt;"ALCOHOL","",IF($K4723="","",$H4723*IFERROR(VLOOKUP($K4723,Drink_Templates!$A:$G,7,FALSE),0)))</f>
        <v/>
      </c>
    </row>
    <row r="4724" ht="15" customHeight="1">
      <c r="C4724">
        <f>IF($B4724="","",INT($B4724))</f>
        <v/>
      </c>
      <c r="D4724">
        <f>IF($C4724="","",$C4724-WEEKDAY($C4724,2)+1)</f>
        <v/>
      </c>
      <c r="E4724">
        <f>IF($C4724="","",DATE(YEAR($C4724),MONTH($C4724),1))</f>
        <v/>
      </c>
      <c r="F4724">
        <f>IF($C4724="","",YEAR($C4724)&amp;"-Q"&amp;ROUNDUP(MONTH($C4724)/3,0))</f>
        <v/>
      </c>
      <c r="L4724">
        <f>IF($G4724&lt;&gt;"ALCOHOL","",IF($K4724="","",$H4724*IFERROR(VLOOKUP($K4724,Drink_Templates!$A:$G,7,FALSE),0)))</f>
        <v/>
      </c>
    </row>
    <row r="4725" ht="15" customHeight="1">
      <c r="C4725">
        <f>IF($B4725="","",INT($B4725))</f>
        <v/>
      </c>
      <c r="D4725">
        <f>IF($C4725="","",$C4725-WEEKDAY($C4725,2)+1)</f>
        <v/>
      </c>
      <c r="E4725">
        <f>IF($C4725="","",DATE(YEAR($C4725),MONTH($C4725),1))</f>
        <v/>
      </c>
      <c r="F4725">
        <f>IF($C4725="","",YEAR($C4725)&amp;"-Q"&amp;ROUNDUP(MONTH($C4725)/3,0))</f>
        <v/>
      </c>
      <c r="L4725">
        <f>IF($G4725&lt;&gt;"ALCOHOL","",IF($K4725="","",$H4725*IFERROR(VLOOKUP($K4725,Drink_Templates!$A:$G,7,FALSE),0)))</f>
        <v/>
      </c>
    </row>
    <row r="4726" ht="15" customHeight="1">
      <c r="C4726">
        <f>IF($B4726="","",INT($B4726))</f>
        <v/>
      </c>
      <c r="D4726">
        <f>IF($C4726="","",$C4726-WEEKDAY($C4726,2)+1)</f>
        <v/>
      </c>
      <c r="E4726">
        <f>IF($C4726="","",DATE(YEAR($C4726),MONTH($C4726),1))</f>
        <v/>
      </c>
      <c r="F4726">
        <f>IF($C4726="","",YEAR($C4726)&amp;"-Q"&amp;ROUNDUP(MONTH($C4726)/3,0))</f>
        <v/>
      </c>
      <c r="L4726">
        <f>IF($G4726&lt;&gt;"ALCOHOL","",IF($K4726="","",$H4726*IFERROR(VLOOKUP($K4726,Drink_Templates!$A:$G,7,FALSE),0)))</f>
        <v/>
      </c>
    </row>
    <row r="4727" ht="15" customHeight="1">
      <c r="C4727">
        <f>IF($B4727="","",INT($B4727))</f>
        <v/>
      </c>
      <c r="D4727">
        <f>IF($C4727="","",$C4727-WEEKDAY($C4727,2)+1)</f>
        <v/>
      </c>
      <c r="E4727">
        <f>IF($C4727="","",DATE(YEAR($C4727),MONTH($C4727),1))</f>
        <v/>
      </c>
      <c r="F4727">
        <f>IF($C4727="","",YEAR($C4727)&amp;"-Q"&amp;ROUNDUP(MONTH($C4727)/3,0))</f>
        <v/>
      </c>
      <c r="L4727">
        <f>IF($G4727&lt;&gt;"ALCOHOL","",IF($K4727="","",$H4727*IFERROR(VLOOKUP($K4727,Drink_Templates!$A:$G,7,FALSE),0)))</f>
        <v/>
      </c>
    </row>
    <row r="4728" ht="15" customHeight="1">
      <c r="C4728">
        <f>IF($B4728="","",INT($B4728))</f>
        <v/>
      </c>
      <c r="D4728">
        <f>IF($C4728="","",$C4728-WEEKDAY($C4728,2)+1)</f>
        <v/>
      </c>
      <c r="E4728">
        <f>IF($C4728="","",DATE(YEAR($C4728),MONTH($C4728),1))</f>
        <v/>
      </c>
      <c r="F4728">
        <f>IF($C4728="","",YEAR($C4728)&amp;"-Q"&amp;ROUNDUP(MONTH($C4728)/3,0))</f>
        <v/>
      </c>
      <c r="L4728">
        <f>IF($G4728&lt;&gt;"ALCOHOL","",IF($K4728="","",$H4728*IFERROR(VLOOKUP($K4728,Drink_Templates!$A:$G,7,FALSE),0)))</f>
        <v/>
      </c>
    </row>
    <row r="4729" ht="15" customHeight="1">
      <c r="C4729">
        <f>IF($B4729="","",INT($B4729))</f>
        <v/>
      </c>
      <c r="D4729">
        <f>IF($C4729="","",$C4729-WEEKDAY($C4729,2)+1)</f>
        <v/>
      </c>
      <c r="E4729">
        <f>IF($C4729="","",DATE(YEAR($C4729),MONTH($C4729),1))</f>
        <v/>
      </c>
      <c r="F4729">
        <f>IF($C4729="","",YEAR($C4729)&amp;"-Q"&amp;ROUNDUP(MONTH($C4729)/3,0))</f>
        <v/>
      </c>
      <c r="L4729">
        <f>IF($G4729&lt;&gt;"ALCOHOL","",IF($K4729="","",$H4729*IFERROR(VLOOKUP($K4729,Drink_Templates!$A:$G,7,FALSE),0)))</f>
        <v/>
      </c>
    </row>
    <row r="4730" ht="15" customHeight="1">
      <c r="C4730">
        <f>IF($B4730="","",INT($B4730))</f>
        <v/>
      </c>
      <c r="D4730">
        <f>IF($C4730="","",$C4730-WEEKDAY($C4730,2)+1)</f>
        <v/>
      </c>
      <c r="E4730">
        <f>IF($C4730="","",DATE(YEAR($C4730),MONTH($C4730),1))</f>
        <v/>
      </c>
      <c r="F4730">
        <f>IF($C4730="","",YEAR($C4730)&amp;"-Q"&amp;ROUNDUP(MONTH($C4730)/3,0))</f>
        <v/>
      </c>
      <c r="L4730">
        <f>IF($G4730&lt;&gt;"ALCOHOL","",IF($K4730="","",$H4730*IFERROR(VLOOKUP($K4730,Drink_Templates!$A:$G,7,FALSE),0)))</f>
        <v/>
      </c>
    </row>
    <row r="4731" ht="15" customHeight="1">
      <c r="C4731">
        <f>IF($B4731="","",INT($B4731))</f>
        <v/>
      </c>
      <c r="D4731">
        <f>IF($C4731="","",$C4731-WEEKDAY($C4731,2)+1)</f>
        <v/>
      </c>
      <c r="E4731">
        <f>IF($C4731="","",DATE(YEAR($C4731),MONTH($C4731),1))</f>
        <v/>
      </c>
      <c r="F4731">
        <f>IF($C4731="","",YEAR($C4731)&amp;"-Q"&amp;ROUNDUP(MONTH($C4731)/3,0))</f>
        <v/>
      </c>
      <c r="L4731">
        <f>IF($G4731&lt;&gt;"ALCOHOL","",IF($K4731="","",$H4731*IFERROR(VLOOKUP($K4731,Drink_Templates!$A:$G,7,FALSE),0)))</f>
        <v/>
      </c>
    </row>
    <row r="4732" ht="15" customHeight="1">
      <c r="C4732">
        <f>IF($B4732="","",INT($B4732))</f>
        <v/>
      </c>
      <c r="D4732">
        <f>IF($C4732="","",$C4732-WEEKDAY($C4732,2)+1)</f>
        <v/>
      </c>
      <c r="E4732">
        <f>IF($C4732="","",DATE(YEAR($C4732),MONTH($C4732),1))</f>
        <v/>
      </c>
      <c r="F4732">
        <f>IF($C4732="","",YEAR($C4732)&amp;"-Q"&amp;ROUNDUP(MONTH($C4732)/3,0))</f>
        <v/>
      </c>
      <c r="L4732">
        <f>IF($G4732&lt;&gt;"ALCOHOL","",IF($K4732="","",$H4732*IFERROR(VLOOKUP($K4732,Drink_Templates!$A:$G,7,FALSE),0)))</f>
        <v/>
      </c>
    </row>
    <row r="4733" ht="15" customHeight="1">
      <c r="C4733">
        <f>IF($B4733="","",INT($B4733))</f>
        <v/>
      </c>
      <c r="D4733">
        <f>IF($C4733="","",$C4733-WEEKDAY($C4733,2)+1)</f>
        <v/>
      </c>
      <c r="E4733">
        <f>IF($C4733="","",DATE(YEAR($C4733),MONTH($C4733),1))</f>
        <v/>
      </c>
      <c r="F4733">
        <f>IF($C4733="","",YEAR($C4733)&amp;"-Q"&amp;ROUNDUP(MONTH($C4733)/3,0))</f>
        <v/>
      </c>
      <c r="L4733">
        <f>IF($G4733&lt;&gt;"ALCOHOL","",IF($K4733="","",$H4733*IFERROR(VLOOKUP($K4733,Drink_Templates!$A:$G,7,FALSE),0)))</f>
        <v/>
      </c>
    </row>
    <row r="4734" ht="15" customHeight="1">
      <c r="C4734">
        <f>IF($B4734="","",INT($B4734))</f>
        <v/>
      </c>
      <c r="D4734">
        <f>IF($C4734="","",$C4734-WEEKDAY($C4734,2)+1)</f>
        <v/>
      </c>
      <c r="E4734">
        <f>IF($C4734="","",DATE(YEAR($C4734),MONTH($C4734),1))</f>
        <v/>
      </c>
      <c r="F4734">
        <f>IF($C4734="","",YEAR($C4734)&amp;"-Q"&amp;ROUNDUP(MONTH($C4734)/3,0))</f>
        <v/>
      </c>
      <c r="L4734">
        <f>IF($G4734&lt;&gt;"ALCOHOL","",IF($K4734="","",$H4734*IFERROR(VLOOKUP($K4734,Drink_Templates!$A:$G,7,FALSE),0)))</f>
        <v/>
      </c>
    </row>
    <row r="4735" ht="15" customHeight="1">
      <c r="C4735">
        <f>IF($B4735="","",INT($B4735))</f>
        <v/>
      </c>
      <c r="D4735">
        <f>IF($C4735="","",$C4735-WEEKDAY($C4735,2)+1)</f>
        <v/>
      </c>
      <c r="E4735">
        <f>IF($C4735="","",DATE(YEAR($C4735),MONTH($C4735),1))</f>
        <v/>
      </c>
      <c r="F4735">
        <f>IF($C4735="","",YEAR($C4735)&amp;"-Q"&amp;ROUNDUP(MONTH($C4735)/3,0))</f>
        <v/>
      </c>
      <c r="L4735">
        <f>IF($G4735&lt;&gt;"ALCOHOL","",IF($K4735="","",$H4735*IFERROR(VLOOKUP($K4735,Drink_Templates!$A:$G,7,FALSE),0)))</f>
        <v/>
      </c>
    </row>
    <row r="4736" ht="15" customHeight="1">
      <c r="C4736">
        <f>IF($B4736="","",INT($B4736))</f>
        <v/>
      </c>
      <c r="D4736">
        <f>IF($C4736="","",$C4736-WEEKDAY($C4736,2)+1)</f>
        <v/>
      </c>
      <c r="E4736">
        <f>IF($C4736="","",DATE(YEAR($C4736),MONTH($C4736),1))</f>
        <v/>
      </c>
      <c r="F4736">
        <f>IF($C4736="","",YEAR($C4736)&amp;"-Q"&amp;ROUNDUP(MONTH($C4736)/3,0))</f>
        <v/>
      </c>
      <c r="L4736">
        <f>IF($G4736&lt;&gt;"ALCOHOL","",IF($K4736="","",$H4736*IFERROR(VLOOKUP($K4736,Drink_Templates!$A:$G,7,FALSE),0)))</f>
        <v/>
      </c>
    </row>
    <row r="4737" ht="15" customHeight="1">
      <c r="C4737">
        <f>IF($B4737="","",INT($B4737))</f>
        <v/>
      </c>
      <c r="D4737">
        <f>IF($C4737="","",$C4737-WEEKDAY($C4737,2)+1)</f>
        <v/>
      </c>
      <c r="E4737">
        <f>IF($C4737="","",DATE(YEAR($C4737),MONTH($C4737),1))</f>
        <v/>
      </c>
      <c r="F4737">
        <f>IF($C4737="","",YEAR($C4737)&amp;"-Q"&amp;ROUNDUP(MONTH($C4737)/3,0))</f>
        <v/>
      </c>
      <c r="L4737">
        <f>IF($G4737&lt;&gt;"ALCOHOL","",IF($K4737="","",$H4737*IFERROR(VLOOKUP($K4737,Drink_Templates!$A:$G,7,FALSE),0)))</f>
        <v/>
      </c>
    </row>
    <row r="4738" ht="15" customHeight="1">
      <c r="C4738">
        <f>IF($B4738="","",INT($B4738))</f>
        <v/>
      </c>
      <c r="D4738">
        <f>IF($C4738="","",$C4738-WEEKDAY($C4738,2)+1)</f>
        <v/>
      </c>
      <c r="E4738">
        <f>IF($C4738="","",DATE(YEAR($C4738),MONTH($C4738),1))</f>
        <v/>
      </c>
      <c r="F4738">
        <f>IF($C4738="","",YEAR($C4738)&amp;"-Q"&amp;ROUNDUP(MONTH($C4738)/3,0))</f>
        <v/>
      </c>
      <c r="L4738">
        <f>IF($G4738&lt;&gt;"ALCOHOL","",IF($K4738="","",$H4738*IFERROR(VLOOKUP($K4738,Drink_Templates!$A:$G,7,FALSE),0)))</f>
        <v/>
      </c>
    </row>
    <row r="4739" ht="15" customHeight="1">
      <c r="C4739">
        <f>IF($B4739="","",INT($B4739))</f>
        <v/>
      </c>
      <c r="D4739">
        <f>IF($C4739="","",$C4739-WEEKDAY($C4739,2)+1)</f>
        <v/>
      </c>
      <c r="E4739">
        <f>IF($C4739="","",DATE(YEAR($C4739),MONTH($C4739),1))</f>
        <v/>
      </c>
      <c r="F4739">
        <f>IF($C4739="","",YEAR($C4739)&amp;"-Q"&amp;ROUNDUP(MONTH($C4739)/3,0))</f>
        <v/>
      </c>
      <c r="L4739">
        <f>IF($G4739&lt;&gt;"ALCOHOL","",IF($K4739="","",$H4739*IFERROR(VLOOKUP($K4739,Drink_Templates!$A:$G,7,FALSE),0)))</f>
        <v/>
      </c>
    </row>
    <row r="4740" ht="15" customHeight="1">
      <c r="C4740">
        <f>IF($B4740="","",INT($B4740))</f>
        <v/>
      </c>
      <c r="D4740">
        <f>IF($C4740="","",$C4740-WEEKDAY($C4740,2)+1)</f>
        <v/>
      </c>
      <c r="E4740">
        <f>IF($C4740="","",DATE(YEAR($C4740),MONTH($C4740),1))</f>
        <v/>
      </c>
      <c r="F4740">
        <f>IF($C4740="","",YEAR($C4740)&amp;"-Q"&amp;ROUNDUP(MONTH($C4740)/3,0))</f>
        <v/>
      </c>
      <c r="L4740">
        <f>IF($G4740&lt;&gt;"ALCOHOL","",IF($K4740="","",$H4740*IFERROR(VLOOKUP($K4740,Drink_Templates!$A:$G,7,FALSE),0)))</f>
        <v/>
      </c>
    </row>
    <row r="4741" ht="15" customHeight="1">
      <c r="C4741">
        <f>IF($B4741="","",INT($B4741))</f>
        <v/>
      </c>
      <c r="D4741">
        <f>IF($C4741="","",$C4741-WEEKDAY($C4741,2)+1)</f>
        <v/>
      </c>
      <c r="E4741">
        <f>IF($C4741="","",DATE(YEAR($C4741),MONTH($C4741),1))</f>
        <v/>
      </c>
      <c r="F4741">
        <f>IF($C4741="","",YEAR($C4741)&amp;"-Q"&amp;ROUNDUP(MONTH($C4741)/3,0))</f>
        <v/>
      </c>
      <c r="L4741">
        <f>IF($G4741&lt;&gt;"ALCOHOL","",IF($K4741="","",$H4741*IFERROR(VLOOKUP($K4741,Drink_Templates!$A:$G,7,FALSE),0)))</f>
        <v/>
      </c>
    </row>
    <row r="4742" ht="15" customHeight="1">
      <c r="C4742">
        <f>IF($B4742="","",INT($B4742))</f>
        <v/>
      </c>
      <c r="D4742">
        <f>IF($C4742="","",$C4742-WEEKDAY($C4742,2)+1)</f>
        <v/>
      </c>
      <c r="E4742">
        <f>IF($C4742="","",DATE(YEAR($C4742),MONTH($C4742),1))</f>
        <v/>
      </c>
      <c r="F4742">
        <f>IF($C4742="","",YEAR($C4742)&amp;"-Q"&amp;ROUNDUP(MONTH($C4742)/3,0))</f>
        <v/>
      </c>
      <c r="L4742">
        <f>IF($G4742&lt;&gt;"ALCOHOL","",IF($K4742="","",$H4742*IFERROR(VLOOKUP($K4742,Drink_Templates!$A:$G,7,FALSE),0)))</f>
        <v/>
      </c>
    </row>
    <row r="4743" ht="15" customHeight="1">
      <c r="C4743">
        <f>IF($B4743="","",INT($B4743))</f>
        <v/>
      </c>
      <c r="D4743">
        <f>IF($C4743="","",$C4743-WEEKDAY($C4743,2)+1)</f>
        <v/>
      </c>
      <c r="E4743">
        <f>IF($C4743="","",DATE(YEAR($C4743),MONTH($C4743),1))</f>
        <v/>
      </c>
      <c r="F4743">
        <f>IF($C4743="","",YEAR($C4743)&amp;"-Q"&amp;ROUNDUP(MONTH($C4743)/3,0))</f>
        <v/>
      </c>
      <c r="L4743">
        <f>IF($G4743&lt;&gt;"ALCOHOL","",IF($K4743="","",$H4743*IFERROR(VLOOKUP($K4743,Drink_Templates!$A:$G,7,FALSE),0)))</f>
        <v/>
      </c>
    </row>
    <row r="4744" ht="15" customHeight="1">
      <c r="C4744">
        <f>IF($B4744="","",INT($B4744))</f>
        <v/>
      </c>
      <c r="D4744">
        <f>IF($C4744="","",$C4744-WEEKDAY($C4744,2)+1)</f>
        <v/>
      </c>
      <c r="E4744">
        <f>IF($C4744="","",DATE(YEAR($C4744),MONTH($C4744),1))</f>
        <v/>
      </c>
      <c r="F4744">
        <f>IF($C4744="","",YEAR($C4744)&amp;"-Q"&amp;ROUNDUP(MONTH($C4744)/3,0))</f>
        <v/>
      </c>
      <c r="L4744">
        <f>IF($G4744&lt;&gt;"ALCOHOL","",IF($K4744="","",$H4744*IFERROR(VLOOKUP($K4744,Drink_Templates!$A:$G,7,FALSE),0)))</f>
        <v/>
      </c>
    </row>
    <row r="4745" ht="15" customHeight="1">
      <c r="C4745">
        <f>IF($B4745="","",INT($B4745))</f>
        <v/>
      </c>
      <c r="D4745">
        <f>IF($C4745="","",$C4745-WEEKDAY($C4745,2)+1)</f>
        <v/>
      </c>
      <c r="E4745">
        <f>IF($C4745="","",DATE(YEAR($C4745),MONTH($C4745),1))</f>
        <v/>
      </c>
      <c r="F4745">
        <f>IF($C4745="","",YEAR($C4745)&amp;"-Q"&amp;ROUNDUP(MONTH($C4745)/3,0))</f>
        <v/>
      </c>
      <c r="L4745">
        <f>IF($G4745&lt;&gt;"ALCOHOL","",IF($K4745="","",$H4745*IFERROR(VLOOKUP($K4745,Drink_Templates!$A:$G,7,FALSE),0)))</f>
        <v/>
      </c>
    </row>
    <row r="4746" ht="15" customHeight="1">
      <c r="C4746">
        <f>IF($B4746="","",INT($B4746))</f>
        <v/>
      </c>
      <c r="D4746">
        <f>IF($C4746="","",$C4746-WEEKDAY($C4746,2)+1)</f>
        <v/>
      </c>
      <c r="E4746">
        <f>IF($C4746="","",DATE(YEAR($C4746),MONTH($C4746),1))</f>
        <v/>
      </c>
      <c r="F4746">
        <f>IF($C4746="","",YEAR($C4746)&amp;"-Q"&amp;ROUNDUP(MONTH($C4746)/3,0))</f>
        <v/>
      </c>
      <c r="L4746">
        <f>IF($G4746&lt;&gt;"ALCOHOL","",IF($K4746="","",$H4746*IFERROR(VLOOKUP($K4746,Drink_Templates!$A:$G,7,FALSE),0)))</f>
        <v/>
      </c>
    </row>
    <row r="4747" ht="15" customHeight="1">
      <c r="C4747">
        <f>IF($B4747="","",INT($B4747))</f>
        <v/>
      </c>
      <c r="D4747">
        <f>IF($C4747="","",$C4747-WEEKDAY($C4747,2)+1)</f>
        <v/>
      </c>
      <c r="E4747">
        <f>IF($C4747="","",DATE(YEAR($C4747),MONTH($C4747),1))</f>
        <v/>
      </c>
      <c r="F4747">
        <f>IF($C4747="","",YEAR($C4747)&amp;"-Q"&amp;ROUNDUP(MONTH($C4747)/3,0))</f>
        <v/>
      </c>
      <c r="L4747">
        <f>IF($G4747&lt;&gt;"ALCOHOL","",IF($K4747="","",$H4747*IFERROR(VLOOKUP($K4747,Drink_Templates!$A:$G,7,FALSE),0)))</f>
        <v/>
      </c>
    </row>
    <row r="4748" ht="15" customHeight="1">
      <c r="C4748">
        <f>IF($B4748="","",INT($B4748))</f>
        <v/>
      </c>
      <c r="D4748">
        <f>IF($C4748="","",$C4748-WEEKDAY($C4748,2)+1)</f>
        <v/>
      </c>
      <c r="E4748">
        <f>IF($C4748="","",DATE(YEAR($C4748),MONTH($C4748),1))</f>
        <v/>
      </c>
      <c r="F4748">
        <f>IF($C4748="","",YEAR($C4748)&amp;"-Q"&amp;ROUNDUP(MONTH($C4748)/3,0))</f>
        <v/>
      </c>
      <c r="L4748">
        <f>IF($G4748&lt;&gt;"ALCOHOL","",IF($K4748="","",$H4748*IFERROR(VLOOKUP($K4748,Drink_Templates!$A:$G,7,FALSE),0)))</f>
        <v/>
      </c>
    </row>
    <row r="4749" ht="15" customHeight="1">
      <c r="C4749">
        <f>IF($B4749="","",INT($B4749))</f>
        <v/>
      </c>
      <c r="D4749">
        <f>IF($C4749="","",$C4749-WEEKDAY($C4749,2)+1)</f>
        <v/>
      </c>
      <c r="E4749">
        <f>IF($C4749="","",DATE(YEAR($C4749),MONTH($C4749),1))</f>
        <v/>
      </c>
      <c r="F4749">
        <f>IF($C4749="","",YEAR($C4749)&amp;"-Q"&amp;ROUNDUP(MONTH($C4749)/3,0))</f>
        <v/>
      </c>
      <c r="L4749">
        <f>IF($G4749&lt;&gt;"ALCOHOL","",IF($K4749="","",$H4749*IFERROR(VLOOKUP($K4749,Drink_Templates!$A:$G,7,FALSE),0)))</f>
        <v/>
      </c>
    </row>
    <row r="4750" ht="15" customHeight="1">
      <c r="C4750">
        <f>IF($B4750="","",INT($B4750))</f>
        <v/>
      </c>
      <c r="D4750">
        <f>IF($C4750="","",$C4750-WEEKDAY($C4750,2)+1)</f>
        <v/>
      </c>
      <c r="E4750">
        <f>IF($C4750="","",DATE(YEAR($C4750),MONTH($C4750),1))</f>
        <v/>
      </c>
      <c r="F4750">
        <f>IF($C4750="","",YEAR($C4750)&amp;"-Q"&amp;ROUNDUP(MONTH($C4750)/3,0))</f>
        <v/>
      </c>
      <c r="L4750">
        <f>IF($G4750&lt;&gt;"ALCOHOL","",IF($K4750="","",$H4750*IFERROR(VLOOKUP($K4750,Drink_Templates!$A:$G,7,FALSE),0)))</f>
        <v/>
      </c>
    </row>
    <row r="4751" ht="15" customHeight="1">
      <c r="C4751">
        <f>IF($B4751="","",INT($B4751))</f>
        <v/>
      </c>
      <c r="D4751">
        <f>IF($C4751="","",$C4751-WEEKDAY($C4751,2)+1)</f>
        <v/>
      </c>
      <c r="E4751">
        <f>IF($C4751="","",DATE(YEAR($C4751),MONTH($C4751),1))</f>
        <v/>
      </c>
      <c r="F4751">
        <f>IF($C4751="","",YEAR($C4751)&amp;"-Q"&amp;ROUNDUP(MONTH($C4751)/3,0))</f>
        <v/>
      </c>
      <c r="L4751">
        <f>IF($G4751&lt;&gt;"ALCOHOL","",IF($K4751="","",$H4751*IFERROR(VLOOKUP($K4751,Drink_Templates!$A:$G,7,FALSE),0)))</f>
        <v/>
      </c>
    </row>
    <row r="4752" ht="15" customHeight="1">
      <c r="C4752">
        <f>IF($B4752="","",INT($B4752))</f>
        <v/>
      </c>
      <c r="D4752">
        <f>IF($C4752="","",$C4752-WEEKDAY($C4752,2)+1)</f>
        <v/>
      </c>
      <c r="E4752">
        <f>IF($C4752="","",DATE(YEAR($C4752),MONTH($C4752),1))</f>
        <v/>
      </c>
      <c r="F4752">
        <f>IF($C4752="","",YEAR($C4752)&amp;"-Q"&amp;ROUNDUP(MONTH($C4752)/3,0))</f>
        <v/>
      </c>
      <c r="L4752">
        <f>IF($G4752&lt;&gt;"ALCOHOL","",IF($K4752="","",$H4752*IFERROR(VLOOKUP($K4752,Drink_Templates!$A:$G,7,FALSE),0)))</f>
        <v/>
      </c>
    </row>
    <row r="4753" ht="15" customHeight="1">
      <c r="C4753">
        <f>IF($B4753="","",INT($B4753))</f>
        <v/>
      </c>
      <c r="D4753">
        <f>IF($C4753="","",$C4753-WEEKDAY($C4753,2)+1)</f>
        <v/>
      </c>
      <c r="E4753">
        <f>IF($C4753="","",DATE(YEAR($C4753),MONTH($C4753),1))</f>
        <v/>
      </c>
      <c r="F4753">
        <f>IF($C4753="","",YEAR($C4753)&amp;"-Q"&amp;ROUNDUP(MONTH($C4753)/3,0))</f>
        <v/>
      </c>
      <c r="L4753">
        <f>IF($G4753&lt;&gt;"ALCOHOL","",IF($K4753="","",$H4753*IFERROR(VLOOKUP($K4753,Drink_Templates!$A:$G,7,FALSE),0)))</f>
        <v/>
      </c>
    </row>
    <row r="4754" ht="15" customHeight="1">
      <c r="C4754">
        <f>IF($B4754="","",INT($B4754))</f>
        <v/>
      </c>
      <c r="D4754">
        <f>IF($C4754="","",$C4754-WEEKDAY($C4754,2)+1)</f>
        <v/>
      </c>
      <c r="E4754">
        <f>IF($C4754="","",DATE(YEAR($C4754),MONTH($C4754),1))</f>
        <v/>
      </c>
      <c r="F4754">
        <f>IF($C4754="","",YEAR($C4754)&amp;"-Q"&amp;ROUNDUP(MONTH($C4754)/3,0))</f>
        <v/>
      </c>
      <c r="L4754">
        <f>IF($G4754&lt;&gt;"ALCOHOL","",IF($K4754="","",$H4754*IFERROR(VLOOKUP($K4754,Drink_Templates!$A:$G,7,FALSE),0)))</f>
        <v/>
      </c>
    </row>
    <row r="4755" ht="15" customHeight="1">
      <c r="C4755">
        <f>IF($B4755="","",INT($B4755))</f>
        <v/>
      </c>
      <c r="D4755">
        <f>IF($C4755="","",$C4755-WEEKDAY($C4755,2)+1)</f>
        <v/>
      </c>
      <c r="E4755">
        <f>IF($C4755="","",DATE(YEAR($C4755),MONTH($C4755),1))</f>
        <v/>
      </c>
      <c r="F4755">
        <f>IF($C4755="","",YEAR($C4755)&amp;"-Q"&amp;ROUNDUP(MONTH($C4755)/3,0))</f>
        <v/>
      </c>
      <c r="L4755">
        <f>IF($G4755&lt;&gt;"ALCOHOL","",IF($K4755="","",$H4755*IFERROR(VLOOKUP($K4755,Drink_Templates!$A:$G,7,FALSE),0)))</f>
        <v/>
      </c>
    </row>
    <row r="4756" ht="15" customHeight="1">
      <c r="C4756">
        <f>IF($B4756="","",INT($B4756))</f>
        <v/>
      </c>
      <c r="D4756">
        <f>IF($C4756="","",$C4756-WEEKDAY($C4756,2)+1)</f>
        <v/>
      </c>
      <c r="E4756">
        <f>IF($C4756="","",DATE(YEAR($C4756),MONTH($C4756),1))</f>
        <v/>
      </c>
      <c r="F4756">
        <f>IF($C4756="","",YEAR($C4756)&amp;"-Q"&amp;ROUNDUP(MONTH($C4756)/3,0))</f>
        <v/>
      </c>
      <c r="L4756">
        <f>IF($G4756&lt;&gt;"ALCOHOL","",IF($K4756="","",$H4756*IFERROR(VLOOKUP($K4756,Drink_Templates!$A:$G,7,FALSE),0)))</f>
        <v/>
      </c>
    </row>
    <row r="4757" ht="15" customHeight="1">
      <c r="C4757">
        <f>IF($B4757="","",INT($B4757))</f>
        <v/>
      </c>
      <c r="D4757">
        <f>IF($C4757="","",$C4757-WEEKDAY($C4757,2)+1)</f>
        <v/>
      </c>
      <c r="E4757">
        <f>IF($C4757="","",DATE(YEAR($C4757),MONTH($C4757),1))</f>
        <v/>
      </c>
      <c r="F4757">
        <f>IF($C4757="","",YEAR($C4757)&amp;"-Q"&amp;ROUNDUP(MONTH($C4757)/3,0))</f>
        <v/>
      </c>
      <c r="L4757">
        <f>IF($G4757&lt;&gt;"ALCOHOL","",IF($K4757="","",$H4757*IFERROR(VLOOKUP($K4757,Drink_Templates!$A:$G,7,FALSE),0)))</f>
        <v/>
      </c>
    </row>
    <row r="4758" ht="15" customHeight="1">
      <c r="C4758">
        <f>IF($B4758="","",INT($B4758))</f>
        <v/>
      </c>
      <c r="D4758">
        <f>IF($C4758="","",$C4758-WEEKDAY($C4758,2)+1)</f>
        <v/>
      </c>
      <c r="E4758">
        <f>IF($C4758="","",DATE(YEAR($C4758),MONTH($C4758),1))</f>
        <v/>
      </c>
      <c r="F4758">
        <f>IF($C4758="","",YEAR($C4758)&amp;"-Q"&amp;ROUNDUP(MONTH($C4758)/3,0))</f>
        <v/>
      </c>
      <c r="L4758">
        <f>IF($G4758&lt;&gt;"ALCOHOL","",IF($K4758="","",$H4758*IFERROR(VLOOKUP($K4758,Drink_Templates!$A:$G,7,FALSE),0)))</f>
        <v/>
      </c>
    </row>
    <row r="4759" ht="15" customHeight="1">
      <c r="C4759">
        <f>IF($B4759="","",INT($B4759))</f>
        <v/>
      </c>
      <c r="D4759">
        <f>IF($C4759="","",$C4759-WEEKDAY($C4759,2)+1)</f>
        <v/>
      </c>
      <c r="E4759">
        <f>IF($C4759="","",DATE(YEAR($C4759),MONTH($C4759),1))</f>
        <v/>
      </c>
      <c r="F4759">
        <f>IF($C4759="","",YEAR($C4759)&amp;"-Q"&amp;ROUNDUP(MONTH($C4759)/3,0))</f>
        <v/>
      </c>
      <c r="L4759">
        <f>IF($G4759&lt;&gt;"ALCOHOL","",IF($K4759="","",$H4759*IFERROR(VLOOKUP($K4759,Drink_Templates!$A:$G,7,FALSE),0)))</f>
        <v/>
      </c>
    </row>
    <row r="4760" ht="15" customHeight="1">
      <c r="C4760">
        <f>IF($B4760="","",INT($B4760))</f>
        <v/>
      </c>
      <c r="D4760">
        <f>IF($C4760="","",$C4760-WEEKDAY($C4760,2)+1)</f>
        <v/>
      </c>
      <c r="E4760">
        <f>IF($C4760="","",DATE(YEAR($C4760),MONTH($C4760),1))</f>
        <v/>
      </c>
      <c r="F4760">
        <f>IF($C4760="","",YEAR($C4760)&amp;"-Q"&amp;ROUNDUP(MONTH($C4760)/3,0))</f>
        <v/>
      </c>
      <c r="L4760">
        <f>IF($G4760&lt;&gt;"ALCOHOL","",IF($K4760="","",$H4760*IFERROR(VLOOKUP($K4760,Drink_Templates!$A:$G,7,FALSE),0)))</f>
        <v/>
      </c>
    </row>
    <row r="4761" ht="15" customHeight="1">
      <c r="C4761">
        <f>IF($B4761="","",INT($B4761))</f>
        <v/>
      </c>
      <c r="D4761">
        <f>IF($C4761="","",$C4761-WEEKDAY($C4761,2)+1)</f>
        <v/>
      </c>
      <c r="E4761">
        <f>IF($C4761="","",DATE(YEAR($C4761),MONTH($C4761),1))</f>
        <v/>
      </c>
      <c r="F4761">
        <f>IF($C4761="","",YEAR($C4761)&amp;"-Q"&amp;ROUNDUP(MONTH($C4761)/3,0))</f>
        <v/>
      </c>
      <c r="L4761">
        <f>IF($G4761&lt;&gt;"ALCOHOL","",IF($K4761="","",$H4761*IFERROR(VLOOKUP($K4761,Drink_Templates!$A:$G,7,FALSE),0)))</f>
        <v/>
      </c>
    </row>
    <row r="4762" ht="15" customHeight="1">
      <c r="C4762">
        <f>IF($B4762="","",INT($B4762))</f>
        <v/>
      </c>
      <c r="D4762">
        <f>IF($C4762="","",$C4762-WEEKDAY($C4762,2)+1)</f>
        <v/>
      </c>
      <c r="E4762">
        <f>IF($C4762="","",DATE(YEAR($C4762),MONTH($C4762),1))</f>
        <v/>
      </c>
      <c r="F4762">
        <f>IF($C4762="","",YEAR($C4762)&amp;"-Q"&amp;ROUNDUP(MONTH($C4762)/3,0))</f>
        <v/>
      </c>
      <c r="L4762">
        <f>IF($G4762&lt;&gt;"ALCOHOL","",IF($K4762="","",$H4762*IFERROR(VLOOKUP($K4762,Drink_Templates!$A:$G,7,FALSE),0)))</f>
        <v/>
      </c>
    </row>
    <row r="4763" ht="15" customHeight="1">
      <c r="C4763">
        <f>IF($B4763="","",INT($B4763))</f>
        <v/>
      </c>
      <c r="D4763">
        <f>IF($C4763="","",$C4763-WEEKDAY($C4763,2)+1)</f>
        <v/>
      </c>
      <c r="E4763">
        <f>IF($C4763="","",DATE(YEAR($C4763),MONTH($C4763),1))</f>
        <v/>
      </c>
      <c r="F4763">
        <f>IF($C4763="","",YEAR($C4763)&amp;"-Q"&amp;ROUNDUP(MONTH($C4763)/3,0))</f>
        <v/>
      </c>
      <c r="L4763">
        <f>IF($G4763&lt;&gt;"ALCOHOL","",IF($K4763="","",$H4763*IFERROR(VLOOKUP($K4763,Drink_Templates!$A:$G,7,FALSE),0)))</f>
        <v/>
      </c>
    </row>
    <row r="4764" ht="15" customHeight="1">
      <c r="C4764">
        <f>IF($B4764="","",INT($B4764))</f>
        <v/>
      </c>
      <c r="D4764">
        <f>IF($C4764="","",$C4764-WEEKDAY($C4764,2)+1)</f>
        <v/>
      </c>
      <c r="E4764">
        <f>IF($C4764="","",DATE(YEAR($C4764),MONTH($C4764),1))</f>
        <v/>
      </c>
      <c r="F4764">
        <f>IF($C4764="","",YEAR($C4764)&amp;"-Q"&amp;ROUNDUP(MONTH($C4764)/3,0))</f>
        <v/>
      </c>
      <c r="L4764">
        <f>IF($G4764&lt;&gt;"ALCOHOL","",IF($K4764="","",$H4764*IFERROR(VLOOKUP($K4764,Drink_Templates!$A:$G,7,FALSE),0)))</f>
        <v/>
      </c>
    </row>
    <row r="4765" ht="15" customHeight="1">
      <c r="C4765">
        <f>IF($B4765="","",INT($B4765))</f>
        <v/>
      </c>
      <c r="D4765">
        <f>IF($C4765="","",$C4765-WEEKDAY($C4765,2)+1)</f>
        <v/>
      </c>
      <c r="E4765">
        <f>IF($C4765="","",DATE(YEAR($C4765),MONTH($C4765),1))</f>
        <v/>
      </c>
      <c r="F4765">
        <f>IF($C4765="","",YEAR($C4765)&amp;"-Q"&amp;ROUNDUP(MONTH($C4765)/3,0))</f>
        <v/>
      </c>
      <c r="L4765">
        <f>IF($G4765&lt;&gt;"ALCOHOL","",IF($K4765="","",$H4765*IFERROR(VLOOKUP($K4765,Drink_Templates!$A:$G,7,FALSE),0)))</f>
        <v/>
      </c>
    </row>
    <row r="4766" ht="15" customHeight="1">
      <c r="C4766">
        <f>IF($B4766="","",INT($B4766))</f>
        <v/>
      </c>
      <c r="D4766">
        <f>IF($C4766="","",$C4766-WEEKDAY($C4766,2)+1)</f>
        <v/>
      </c>
      <c r="E4766">
        <f>IF($C4766="","",DATE(YEAR($C4766),MONTH($C4766),1))</f>
        <v/>
      </c>
      <c r="F4766">
        <f>IF($C4766="","",YEAR($C4766)&amp;"-Q"&amp;ROUNDUP(MONTH($C4766)/3,0))</f>
        <v/>
      </c>
      <c r="L4766">
        <f>IF($G4766&lt;&gt;"ALCOHOL","",IF($K4766="","",$H4766*IFERROR(VLOOKUP($K4766,Drink_Templates!$A:$G,7,FALSE),0)))</f>
        <v/>
      </c>
    </row>
    <row r="4767" ht="15" customHeight="1">
      <c r="C4767">
        <f>IF($B4767="","",INT($B4767))</f>
        <v/>
      </c>
      <c r="D4767">
        <f>IF($C4767="","",$C4767-WEEKDAY($C4767,2)+1)</f>
        <v/>
      </c>
      <c r="E4767">
        <f>IF($C4767="","",DATE(YEAR($C4767),MONTH($C4767),1))</f>
        <v/>
      </c>
      <c r="F4767">
        <f>IF($C4767="","",YEAR($C4767)&amp;"-Q"&amp;ROUNDUP(MONTH($C4767)/3,0))</f>
        <v/>
      </c>
      <c r="L4767">
        <f>IF($G4767&lt;&gt;"ALCOHOL","",IF($K4767="","",$H4767*IFERROR(VLOOKUP($K4767,Drink_Templates!$A:$G,7,FALSE),0)))</f>
        <v/>
      </c>
    </row>
    <row r="4768" ht="15" customHeight="1">
      <c r="C4768">
        <f>IF($B4768="","",INT($B4768))</f>
        <v/>
      </c>
      <c r="D4768">
        <f>IF($C4768="","",$C4768-WEEKDAY($C4768,2)+1)</f>
        <v/>
      </c>
      <c r="E4768">
        <f>IF($C4768="","",DATE(YEAR($C4768),MONTH($C4768),1))</f>
        <v/>
      </c>
      <c r="F4768">
        <f>IF($C4768="","",YEAR($C4768)&amp;"-Q"&amp;ROUNDUP(MONTH($C4768)/3,0))</f>
        <v/>
      </c>
      <c r="L4768">
        <f>IF($G4768&lt;&gt;"ALCOHOL","",IF($K4768="","",$H4768*IFERROR(VLOOKUP($K4768,Drink_Templates!$A:$G,7,FALSE),0)))</f>
        <v/>
      </c>
    </row>
    <row r="4769" ht="15" customHeight="1">
      <c r="C4769">
        <f>IF($B4769="","",INT($B4769))</f>
        <v/>
      </c>
      <c r="D4769">
        <f>IF($C4769="","",$C4769-WEEKDAY($C4769,2)+1)</f>
        <v/>
      </c>
      <c r="E4769">
        <f>IF($C4769="","",DATE(YEAR($C4769),MONTH($C4769),1))</f>
        <v/>
      </c>
      <c r="F4769">
        <f>IF($C4769="","",YEAR($C4769)&amp;"-Q"&amp;ROUNDUP(MONTH($C4769)/3,0))</f>
        <v/>
      </c>
      <c r="L4769">
        <f>IF($G4769&lt;&gt;"ALCOHOL","",IF($K4769="","",$H4769*IFERROR(VLOOKUP($K4769,Drink_Templates!$A:$G,7,FALSE),0)))</f>
        <v/>
      </c>
    </row>
    <row r="4770" ht="15" customHeight="1">
      <c r="C4770">
        <f>IF($B4770="","",INT($B4770))</f>
        <v/>
      </c>
      <c r="D4770">
        <f>IF($C4770="","",$C4770-WEEKDAY($C4770,2)+1)</f>
        <v/>
      </c>
      <c r="E4770">
        <f>IF($C4770="","",DATE(YEAR($C4770),MONTH($C4770),1))</f>
        <v/>
      </c>
      <c r="F4770">
        <f>IF($C4770="","",YEAR($C4770)&amp;"-Q"&amp;ROUNDUP(MONTH($C4770)/3,0))</f>
        <v/>
      </c>
      <c r="L4770">
        <f>IF($G4770&lt;&gt;"ALCOHOL","",IF($K4770="","",$H4770*IFERROR(VLOOKUP($K4770,Drink_Templates!$A:$G,7,FALSE),0)))</f>
        <v/>
      </c>
    </row>
    <row r="4771" ht="15" customHeight="1">
      <c r="C4771">
        <f>IF($B4771="","",INT($B4771))</f>
        <v/>
      </c>
      <c r="D4771">
        <f>IF($C4771="","",$C4771-WEEKDAY($C4771,2)+1)</f>
        <v/>
      </c>
      <c r="E4771">
        <f>IF($C4771="","",DATE(YEAR($C4771),MONTH($C4771),1))</f>
        <v/>
      </c>
      <c r="F4771">
        <f>IF($C4771="","",YEAR($C4771)&amp;"-Q"&amp;ROUNDUP(MONTH($C4771)/3,0))</f>
        <v/>
      </c>
      <c r="L4771">
        <f>IF($G4771&lt;&gt;"ALCOHOL","",IF($K4771="","",$H4771*IFERROR(VLOOKUP($K4771,Drink_Templates!$A:$G,7,FALSE),0)))</f>
        <v/>
      </c>
    </row>
    <row r="4772" ht="15" customHeight="1">
      <c r="C4772">
        <f>IF($B4772="","",INT($B4772))</f>
        <v/>
      </c>
      <c r="D4772">
        <f>IF($C4772="","",$C4772-WEEKDAY($C4772,2)+1)</f>
        <v/>
      </c>
      <c r="E4772">
        <f>IF($C4772="","",DATE(YEAR($C4772),MONTH($C4772),1))</f>
        <v/>
      </c>
      <c r="F4772">
        <f>IF($C4772="","",YEAR($C4772)&amp;"-Q"&amp;ROUNDUP(MONTH($C4772)/3,0))</f>
        <v/>
      </c>
      <c r="L4772">
        <f>IF($G4772&lt;&gt;"ALCOHOL","",IF($K4772="","",$H4772*IFERROR(VLOOKUP($K4772,Drink_Templates!$A:$G,7,FALSE),0)))</f>
        <v/>
      </c>
    </row>
    <row r="4773" ht="15" customHeight="1">
      <c r="C4773">
        <f>IF($B4773="","",INT($B4773))</f>
        <v/>
      </c>
      <c r="D4773">
        <f>IF($C4773="","",$C4773-WEEKDAY($C4773,2)+1)</f>
        <v/>
      </c>
      <c r="E4773">
        <f>IF($C4773="","",DATE(YEAR($C4773),MONTH($C4773),1))</f>
        <v/>
      </c>
      <c r="F4773">
        <f>IF($C4773="","",YEAR($C4773)&amp;"-Q"&amp;ROUNDUP(MONTH($C4773)/3,0))</f>
        <v/>
      </c>
      <c r="L4773">
        <f>IF($G4773&lt;&gt;"ALCOHOL","",IF($K4773="","",$H4773*IFERROR(VLOOKUP($K4773,Drink_Templates!$A:$G,7,FALSE),0)))</f>
        <v/>
      </c>
    </row>
    <row r="4774" ht="15" customHeight="1">
      <c r="C4774">
        <f>IF($B4774="","",INT($B4774))</f>
        <v/>
      </c>
      <c r="D4774">
        <f>IF($C4774="","",$C4774-WEEKDAY($C4774,2)+1)</f>
        <v/>
      </c>
      <c r="E4774">
        <f>IF($C4774="","",DATE(YEAR($C4774),MONTH($C4774),1))</f>
        <v/>
      </c>
      <c r="F4774">
        <f>IF($C4774="","",YEAR($C4774)&amp;"-Q"&amp;ROUNDUP(MONTH($C4774)/3,0))</f>
        <v/>
      </c>
      <c r="L4774">
        <f>IF($G4774&lt;&gt;"ALCOHOL","",IF($K4774="","",$H4774*IFERROR(VLOOKUP($K4774,Drink_Templates!$A:$G,7,FALSE),0)))</f>
        <v/>
      </c>
    </row>
    <row r="4775" ht="15" customHeight="1">
      <c r="C4775">
        <f>IF($B4775="","",INT($B4775))</f>
        <v/>
      </c>
      <c r="D4775">
        <f>IF($C4775="","",$C4775-WEEKDAY($C4775,2)+1)</f>
        <v/>
      </c>
      <c r="E4775">
        <f>IF($C4775="","",DATE(YEAR($C4775),MONTH($C4775),1))</f>
        <v/>
      </c>
      <c r="F4775">
        <f>IF($C4775="","",YEAR($C4775)&amp;"-Q"&amp;ROUNDUP(MONTH($C4775)/3,0))</f>
        <v/>
      </c>
      <c r="L4775">
        <f>IF($G4775&lt;&gt;"ALCOHOL","",IF($K4775="","",$H4775*IFERROR(VLOOKUP($K4775,Drink_Templates!$A:$G,7,FALSE),0)))</f>
        <v/>
      </c>
    </row>
    <row r="4776" ht="15" customHeight="1">
      <c r="C4776">
        <f>IF($B4776="","",INT($B4776))</f>
        <v/>
      </c>
      <c r="D4776">
        <f>IF($C4776="","",$C4776-WEEKDAY($C4776,2)+1)</f>
        <v/>
      </c>
      <c r="E4776">
        <f>IF($C4776="","",DATE(YEAR($C4776),MONTH($C4776),1))</f>
        <v/>
      </c>
      <c r="F4776">
        <f>IF($C4776="","",YEAR($C4776)&amp;"-Q"&amp;ROUNDUP(MONTH($C4776)/3,0))</f>
        <v/>
      </c>
      <c r="L4776">
        <f>IF($G4776&lt;&gt;"ALCOHOL","",IF($K4776="","",$H4776*IFERROR(VLOOKUP($K4776,Drink_Templates!$A:$G,7,FALSE),0)))</f>
        <v/>
      </c>
    </row>
    <row r="4777" ht="15" customHeight="1">
      <c r="C4777">
        <f>IF($B4777="","",INT($B4777))</f>
        <v/>
      </c>
      <c r="D4777">
        <f>IF($C4777="","",$C4777-WEEKDAY($C4777,2)+1)</f>
        <v/>
      </c>
      <c r="E4777">
        <f>IF($C4777="","",DATE(YEAR($C4777),MONTH($C4777),1))</f>
        <v/>
      </c>
      <c r="F4777">
        <f>IF($C4777="","",YEAR($C4777)&amp;"-Q"&amp;ROUNDUP(MONTH($C4777)/3,0))</f>
        <v/>
      </c>
      <c r="L4777">
        <f>IF($G4777&lt;&gt;"ALCOHOL","",IF($K4777="","",$H4777*IFERROR(VLOOKUP($K4777,Drink_Templates!$A:$G,7,FALSE),0)))</f>
        <v/>
      </c>
    </row>
    <row r="4778" ht="15" customHeight="1">
      <c r="C4778">
        <f>IF($B4778="","",INT($B4778))</f>
        <v/>
      </c>
      <c r="D4778">
        <f>IF($C4778="","",$C4778-WEEKDAY($C4778,2)+1)</f>
        <v/>
      </c>
      <c r="E4778">
        <f>IF($C4778="","",DATE(YEAR($C4778),MONTH($C4778),1))</f>
        <v/>
      </c>
      <c r="F4778">
        <f>IF($C4778="","",YEAR($C4778)&amp;"-Q"&amp;ROUNDUP(MONTH($C4778)/3,0))</f>
        <v/>
      </c>
      <c r="L4778">
        <f>IF($G4778&lt;&gt;"ALCOHOL","",IF($K4778="","",$H4778*IFERROR(VLOOKUP($K4778,Drink_Templates!$A:$G,7,FALSE),0)))</f>
        <v/>
      </c>
    </row>
    <row r="4779" ht="15" customHeight="1">
      <c r="C4779">
        <f>IF($B4779="","",INT($B4779))</f>
        <v/>
      </c>
      <c r="D4779">
        <f>IF($C4779="","",$C4779-WEEKDAY($C4779,2)+1)</f>
        <v/>
      </c>
      <c r="E4779">
        <f>IF($C4779="","",DATE(YEAR($C4779),MONTH($C4779),1))</f>
        <v/>
      </c>
      <c r="F4779">
        <f>IF($C4779="","",YEAR($C4779)&amp;"-Q"&amp;ROUNDUP(MONTH($C4779)/3,0))</f>
        <v/>
      </c>
      <c r="L4779">
        <f>IF($G4779&lt;&gt;"ALCOHOL","",IF($K4779="","",$H4779*IFERROR(VLOOKUP($K4779,Drink_Templates!$A:$G,7,FALSE),0)))</f>
        <v/>
      </c>
    </row>
    <row r="4780" ht="15" customHeight="1">
      <c r="C4780">
        <f>IF($B4780="","",INT($B4780))</f>
        <v/>
      </c>
      <c r="D4780">
        <f>IF($C4780="","",$C4780-WEEKDAY($C4780,2)+1)</f>
        <v/>
      </c>
      <c r="E4780">
        <f>IF($C4780="","",DATE(YEAR($C4780),MONTH($C4780),1))</f>
        <v/>
      </c>
      <c r="F4780">
        <f>IF($C4780="","",YEAR($C4780)&amp;"-Q"&amp;ROUNDUP(MONTH($C4780)/3,0))</f>
        <v/>
      </c>
      <c r="L4780">
        <f>IF($G4780&lt;&gt;"ALCOHOL","",IF($K4780="","",$H4780*IFERROR(VLOOKUP($K4780,Drink_Templates!$A:$G,7,FALSE),0)))</f>
        <v/>
      </c>
    </row>
    <row r="4781" ht="15" customHeight="1">
      <c r="C4781">
        <f>IF($B4781="","",INT($B4781))</f>
        <v/>
      </c>
      <c r="D4781">
        <f>IF($C4781="","",$C4781-WEEKDAY($C4781,2)+1)</f>
        <v/>
      </c>
      <c r="E4781">
        <f>IF($C4781="","",DATE(YEAR($C4781),MONTH($C4781),1))</f>
        <v/>
      </c>
      <c r="F4781">
        <f>IF($C4781="","",YEAR($C4781)&amp;"-Q"&amp;ROUNDUP(MONTH($C4781)/3,0))</f>
        <v/>
      </c>
      <c r="L4781">
        <f>IF($G4781&lt;&gt;"ALCOHOL","",IF($K4781="","",$H4781*IFERROR(VLOOKUP($K4781,Drink_Templates!$A:$G,7,FALSE),0)))</f>
        <v/>
      </c>
    </row>
    <row r="4782" ht="15" customHeight="1">
      <c r="C4782">
        <f>IF($B4782="","",INT($B4782))</f>
        <v/>
      </c>
      <c r="D4782">
        <f>IF($C4782="","",$C4782-WEEKDAY($C4782,2)+1)</f>
        <v/>
      </c>
      <c r="E4782">
        <f>IF($C4782="","",DATE(YEAR($C4782),MONTH($C4782),1))</f>
        <v/>
      </c>
      <c r="F4782">
        <f>IF($C4782="","",YEAR($C4782)&amp;"-Q"&amp;ROUNDUP(MONTH($C4782)/3,0))</f>
        <v/>
      </c>
      <c r="L4782">
        <f>IF($G4782&lt;&gt;"ALCOHOL","",IF($K4782="","",$H4782*IFERROR(VLOOKUP($K4782,Drink_Templates!$A:$G,7,FALSE),0)))</f>
        <v/>
      </c>
    </row>
    <row r="4783" ht="15" customHeight="1">
      <c r="C4783">
        <f>IF($B4783="","",INT($B4783))</f>
        <v/>
      </c>
      <c r="D4783">
        <f>IF($C4783="","",$C4783-WEEKDAY($C4783,2)+1)</f>
        <v/>
      </c>
      <c r="E4783">
        <f>IF($C4783="","",DATE(YEAR($C4783),MONTH($C4783),1))</f>
        <v/>
      </c>
      <c r="F4783">
        <f>IF($C4783="","",YEAR($C4783)&amp;"-Q"&amp;ROUNDUP(MONTH($C4783)/3,0))</f>
        <v/>
      </c>
      <c r="L4783">
        <f>IF($G4783&lt;&gt;"ALCOHOL","",IF($K4783="","",$H4783*IFERROR(VLOOKUP($K4783,Drink_Templates!$A:$G,7,FALSE),0)))</f>
        <v/>
      </c>
    </row>
    <row r="4784" ht="15" customHeight="1">
      <c r="C4784">
        <f>IF($B4784="","",INT($B4784))</f>
        <v/>
      </c>
      <c r="D4784">
        <f>IF($C4784="","",$C4784-WEEKDAY($C4784,2)+1)</f>
        <v/>
      </c>
      <c r="E4784">
        <f>IF($C4784="","",DATE(YEAR($C4784),MONTH($C4784),1))</f>
        <v/>
      </c>
      <c r="F4784">
        <f>IF($C4784="","",YEAR($C4784)&amp;"-Q"&amp;ROUNDUP(MONTH($C4784)/3,0))</f>
        <v/>
      </c>
      <c r="L4784">
        <f>IF($G4784&lt;&gt;"ALCOHOL","",IF($K4784="","",$H4784*IFERROR(VLOOKUP($K4784,Drink_Templates!$A:$G,7,FALSE),0)))</f>
        <v/>
      </c>
    </row>
    <row r="4785" ht="15" customHeight="1">
      <c r="C4785">
        <f>IF($B4785="","",INT($B4785))</f>
        <v/>
      </c>
      <c r="D4785">
        <f>IF($C4785="","",$C4785-WEEKDAY($C4785,2)+1)</f>
        <v/>
      </c>
      <c r="E4785">
        <f>IF($C4785="","",DATE(YEAR($C4785),MONTH($C4785),1))</f>
        <v/>
      </c>
      <c r="F4785">
        <f>IF($C4785="","",YEAR($C4785)&amp;"-Q"&amp;ROUNDUP(MONTH($C4785)/3,0))</f>
        <v/>
      </c>
      <c r="L4785">
        <f>IF($G4785&lt;&gt;"ALCOHOL","",IF($K4785="","",$H4785*IFERROR(VLOOKUP($K4785,Drink_Templates!$A:$G,7,FALSE),0)))</f>
        <v/>
      </c>
    </row>
    <row r="4786" ht="15" customHeight="1">
      <c r="C4786">
        <f>IF($B4786="","",INT($B4786))</f>
        <v/>
      </c>
      <c r="D4786">
        <f>IF($C4786="","",$C4786-WEEKDAY($C4786,2)+1)</f>
        <v/>
      </c>
      <c r="E4786">
        <f>IF($C4786="","",DATE(YEAR($C4786),MONTH($C4786),1))</f>
        <v/>
      </c>
      <c r="F4786">
        <f>IF($C4786="","",YEAR($C4786)&amp;"-Q"&amp;ROUNDUP(MONTH($C4786)/3,0))</f>
        <v/>
      </c>
      <c r="L4786">
        <f>IF($G4786&lt;&gt;"ALCOHOL","",IF($K4786="","",$H4786*IFERROR(VLOOKUP($K4786,Drink_Templates!$A:$G,7,FALSE),0)))</f>
        <v/>
      </c>
    </row>
    <row r="4787" ht="15" customHeight="1">
      <c r="C4787">
        <f>IF($B4787="","",INT($B4787))</f>
        <v/>
      </c>
      <c r="D4787">
        <f>IF($C4787="","",$C4787-WEEKDAY($C4787,2)+1)</f>
        <v/>
      </c>
      <c r="E4787">
        <f>IF($C4787="","",DATE(YEAR($C4787),MONTH($C4787),1))</f>
        <v/>
      </c>
      <c r="F4787">
        <f>IF($C4787="","",YEAR($C4787)&amp;"-Q"&amp;ROUNDUP(MONTH($C4787)/3,0))</f>
        <v/>
      </c>
      <c r="L4787">
        <f>IF($G4787&lt;&gt;"ALCOHOL","",IF($K4787="","",$H4787*IFERROR(VLOOKUP($K4787,Drink_Templates!$A:$G,7,FALSE),0)))</f>
        <v/>
      </c>
    </row>
    <row r="4788" ht="15" customHeight="1">
      <c r="C4788">
        <f>IF($B4788="","",INT($B4788))</f>
        <v/>
      </c>
      <c r="D4788">
        <f>IF($C4788="","",$C4788-WEEKDAY($C4788,2)+1)</f>
        <v/>
      </c>
      <c r="E4788">
        <f>IF($C4788="","",DATE(YEAR($C4788),MONTH($C4788),1))</f>
        <v/>
      </c>
      <c r="F4788">
        <f>IF($C4788="","",YEAR($C4788)&amp;"-Q"&amp;ROUNDUP(MONTH($C4788)/3,0))</f>
        <v/>
      </c>
      <c r="L4788">
        <f>IF($G4788&lt;&gt;"ALCOHOL","",IF($K4788="","",$H4788*IFERROR(VLOOKUP($K4788,Drink_Templates!$A:$G,7,FALSE),0)))</f>
        <v/>
      </c>
    </row>
    <row r="4789" ht="15" customHeight="1">
      <c r="C4789">
        <f>IF($B4789="","",INT($B4789))</f>
        <v/>
      </c>
      <c r="D4789">
        <f>IF($C4789="","",$C4789-WEEKDAY($C4789,2)+1)</f>
        <v/>
      </c>
      <c r="E4789">
        <f>IF($C4789="","",DATE(YEAR($C4789),MONTH($C4789),1))</f>
        <v/>
      </c>
      <c r="F4789">
        <f>IF($C4789="","",YEAR($C4789)&amp;"-Q"&amp;ROUNDUP(MONTH($C4789)/3,0))</f>
        <v/>
      </c>
      <c r="L4789">
        <f>IF($G4789&lt;&gt;"ALCOHOL","",IF($K4789="","",$H4789*IFERROR(VLOOKUP($K4789,Drink_Templates!$A:$G,7,FALSE),0)))</f>
        <v/>
      </c>
    </row>
    <row r="4790" ht="15" customHeight="1">
      <c r="C4790">
        <f>IF($B4790="","",INT($B4790))</f>
        <v/>
      </c>
      <c r="D4790">
        <f>IF($C4790="","",$C4790-WEEKDAY($C4790,2)+1)</f>
        <v/>
      </c>
      <c r="E4790">
        <f>IF($C4790="","",DATE(YEAR($C4790),MONTH($C4790),1))</f>
        <v/>
      </c>
      <c r="F4790">
        <f>IF($C4790="","",YEAR($C4790)&amp;"-Q"&amp;ROUNDUP(MONTH($C4790)/3,0))</f>
        <v/>
      </c>
      <c r="L4790">
        <f>IF($G4790&lt;&gt;"ALCOHOL","",IF($K4790="","",$H4790*IFERROR(VLOOKUP($K4790,Drink_Templates!$A:$G,7,FALSE),0)))</f>
        <v/>
      </c>
    </row>
    <row r="4791" ht="15" customHeight="1">
      <c r="C4791">
        <f>IF($B4791="","",INT($B4791))</f>
        <v/>
      </c>
      <c r="D4791">
        <f>IF($C4791="","",$C4791-WEEKDAY($C4791,2)+1)</f>
        <v/>
      </c>
      <c r="E4791">
        <f>IF($C4791="","",DATE(YEAR($C4791),MONTH($C4791),1))</f>
        <v/>
      </c>
      <c r="F4791">
        <f>IF($C4791="","",YEAR($C4791)&amp;"-Q"&amp;ROUNDUP(MONTH($C4791)/3,0))</f>
        <v/>
      </c>
      <c r="L4791">
        <f>IF($G4791&lt;&gt;"ALCOHOL","",IF($K4791="","",$H4791*IFERROR(VLOOKUP($K4791,Drink_Templates!$A:$G,7,FALSE),0)))</f>
        <v/>
      </c>
    </row>
    <row r="4792" ht="15" customHeight="1">
      <c r="C4792">
        <f>IF($B4792="","",INT($B4792))</f>
        <v/>
      </c>
      <c r="D4792">
        <f>IF($C4792="","",$C4792-WEEKDAY($C4792,2)+1)</f>
        <v/>
      </c>
      <c r="E4792">
        <f>IF($C4792="","",DATE(YEAR($C4792),MONTH($C4792),1))</f>
        <v/>
      </c>
      <c r="F4792">
        <f>IF($C4792="","",YEAR($C4792)&amp;"-Q"&amp;ROUNDUP(MONTH($C4792)/3,0))</f>
        <v/>
      </c>
      <c r="L4792">
        <f>IF($G4792&lt;&gt;"ALCOHOL","",IF($K4792="","",$H4792*IFERROR(VLOOKUP($K4792,Drink_Templates!$A:$G,7,FALSE),0)))</f>
        <v/>
      </c>
    </row>
    <row r="4793" ht="15" customHeight="1">
      <c r="C4793">
        <f>IF($B4793="","",INT($B4793))</f>
        <v/>
      </c>
      <c r="D4793">
        <f>IF($C4793="","",$C4793-WEEKDAY($C4793,2)+1)</f>
        <v/>
      </c>
      <c r="E4793">
        <f>IF($C4793="","",DATE(YEAR($C4793),MONTH($C4793),1))</f>
        <v/>
      </c>
      <c r="F4793">
        <f>IF($C4793="","",YEAR($C4793)&amp;"-Q"&amp;ROUNDUP(MONTH($C4793)/3,0))</f>
        <v/>
      </c>
      <c r="L4793">
        <f>IF($G4793&lt;&gt;"ALCOHOL","",IF($K4793="","",$H4793*IFERROR(VLOOKUP($K4793,Drink_Templates!$A:$G,7,FALSE),0)))</f>
        <v/>
      </c>
    </row>
    <row r="4794" ht="15" customHeight="1">
      <c r="C4794">
        <f>IF($B4794="","",INT($B4794))</f>
        <v/>
      </c>
      <c r="D4794">
        <f>IF($C4794="","",$C4794-WEEKDAY($C4794,2)+1)</f>
        <v/>
      </c>
      <c r="E4794">
        <f>IF($C4794="","",DATE(YEAR($C4794),MONTH($C4794),1))</f>
        <v/>
      </c>
      <c r="F4794">
        <f>IF($C4794="","",YEAR($C4794)&amp;"-Q"&amp;ROUNDUP(MONTH($C4794)/3,0))</f>
        <v/>
      </c>
      <c r="L4794">
        <f>IF($G4794&lt;&gt;"ALCOHOL","",IF($K4794="","",$H4794*IFERROR(VLOOKUP($K4794,Drink_Templates!$A:$G,7,FALSE),0)))</f>
        <v/>
      </c>
    </row>
    <row r="4795" ht="15" customHeight="1">
      <c r="C4795">
        <f>IF($B4795="","",INT($B4795))</f>
        <v/>
      </c>
      <c r="D4795">
        <f>IF($C4795="","",$C4795-WEEKDAY($C4795,2)+1)</f>
        <v/>
      </c>
      <c r="E4795">
        <f>IF($C4795="","",DATE(YEAR($C4795),MONTH($C4795),1))</f>
        <v/>
      </c>
      <c r="F4795">
        <f>IF($C4795="","",YEAR($C4795)&amp;"-Q"&amp;ROUNDUP(MONTH($C4795)/3,0))</f>
        <v/>
      </c>
      <c r="L4795">
        <f>IF($G4795&lt;&gt;"ALCOHOL","",IF($K4795="","",$H4795*IFERROR(VLOOKUP($K4795,Drink_Templates!$A:$G,7,FALSE),0)))</f>
        <v/>
      </c>
    </row>
    <row r="4796" ht="15" customHeight="1">
      <c r="C4796">
        <f>IF($B4796="","",INT($B4796))</f>
        <v/>
      </c>
      <c r="D4796">
        <f>IF($C4796="","",$C4796-WEEKDAY($C4796,2)+1)</f>
        <v/>
      </c>
      <c r="E4796">
        <f>IF($C4796="","",DATE(YEAR($C4796),MONTH($C4796),1))</f>
        <v/>
      </c>
      <c r="F4796">
        <f>IF($C4796="","",YEAR($C4796)&amp;"-Q"&amp;ROUNDUP(MONTH($C4796)/3,0))</f>
        <v/>
      </c>
      <c r="L4796">
        <f>IF($G4796&lt;&gt;"ALCOHOL","",IF($K4796="","",$H4796*IFERROR(VLOOKUP($K4796,Drink_Templates!$A:$G,7,FALSE),0)))</f>
        <v/>
      </c>
    </row>
    <row r="4797" ht="15" customHeight="1">
      <c r="C4797">
        <f>IF($B4797="","",INT($B4797))</f>
        <v/>
      </c>
      <c r="D4797">
        <f>IF($C4797="","",$C4797-WEEKDAY($C4797,2)+1)</f>
        <v/>
      </c>
      <c r="E4797">
        <f>IF($C4797="","",DATE(YEAR($C4797),MONTH($C4797),1))</f>
        <v/>
      </c>
      <c r="F4797">
        <f>IF($C4797="","",YEAR($C4797)&amp;"-Q"&amp;ROUNDUP(MONTH($C4797)/3,0))</f>
        <v/>
      </c>
      <c r="L4797">
        <f>IF($G4797&lt;&gt;"ALCOHOL","",IF($K4797="","",$H4797*IFERROR(VLOOKUP($K4797,Drink_Templates!$A:$G,7,FALSE),0)))</f>
        <v/>
      </c>
    </row>
    <row r="4798" ht="15" customHeight="1">
      <c r="C4798">
        <f>IF($B4798="","",INT($B4798))</f>
        <v/>
      </c>
      <c r="D4798">
        <f>IF($C4798="","",$C4798-WEEKDAY($C4798,2)+1)</f>
        <v/>
      </c>
      <c r="E4798">
        <f>IF($C4798="","",DATE(YEAR($C4798),MONTH($C4798),1))</f>
        <v/>
      </c>
      <c r="F4798">
        <f>IF($C4798="","",YEAR($C4798)&amp;"-Q"&amp;ROUNDUP(MONTH($C4798)/3,0))</f>
        <v/>
      </c>
      <c r="L4798">
        <f>IF($G4798&lt;&gt;"ALCOHOL","",IF($K4798="","",$H4798*IFERROR(VLOOKUP($K4798,Drink_Templates!$A:$G,7,FALSE),0)))</f>
        <v/>
      </c>
    </row>
    <row r="4799" ht="15" customHeight="1">
      <c r="C4799">
        <f>IF($B4799="","",INT($B4799))</f>
        <v/>
      </c>
      <c r="D4799">
        <f>IF($C4799="","",$C4799-WEEKDAY($C4799,2)+1)</f>
        <v/>
      </c>
      <c r="E4799">
        <f>IF($C4799="","",DATE(YEAR($C4799),MONTH($C4799),1))</f>
        <v/>
      </c>
      <c r="F4799">
        <f>IF($C4799="","",YEAR($C4799)&amp;"-Q"&amp;ROUNDUP(MONTH($C4799)/3,0))</f>
        <v/>
      </c>
      <c r="L4799">
        <f>IF($G4799&lt;&gt;"ALCOHOL","",IF($K4799="","",$H4799*IFERROR(VLOOKUP($K4799,Drink_Templates!$A:$G,7,FALSE),0)))</f>
        <v/>
      </c>
    </row>
    <row r="4800" ht="15" customHeight="1">
      <c r="C4800">
        <f>IF($B4800="","",INT($B4800))</f>
        <v/>
      </c>
      <c r="D4800">
        <f>IF($C4800="","",$C4800-WEEKDAY($C4800,2)+1)</f>
        <v/>
      </c>
      <c r="E4800">
        <f>IF($C4800="","",DATE(YEAR($C4800),MONTH($C4800),1))</f>
        <v/>
      </c>
      <c r="F4800">
        <f>IF($C4800="","",YEAR($C4800)&amp;"-Q"&amp;ROUNDUP(MONTH($C4800)/3,0))</f>
        <v/>
      </c>
      <c r="L4800">
        <f>IF($G4800&lt;&gt;"ALCOHOL","",IF($K4800="","",$H4800*IFERROR(VLOOKUP($K4800,Drink_Templates!$A:$G,7,FALSE),0)))</f>
        <v/>
      </c>
    </row>
    <row r="4801" ht="15" customHeight="1">
      <c r="C4801">
        <f>IF($B4801="","",INT($B4801))</f>
        <v/>
      </c>
      <c r="D4801">
        <f>IF($C4801="","",$C4801-WEEKDAY($C4801,2)+1)</f>
        <v/>
      </c>
      <c r="E4801">
        <f>IF($C4801="","",DATE(YEAR($C4801),MONTH($C4801),1))</f>
        <v/>
      </c>
      <c r="F4801">
        <f>IF($C4801="","",YEAR($C4801)&amp;"-Q"&amp;ROUNDUP(MONTH($C4801)/3,0))</f>
        <v/>
      </c>
      <c r="L4801">
        <f>IF($G4801&lt;&gt;"ALCOHOL","",IF($K4801="","",$H4801*IFERROR(VLOOKUP($K4801,Drink_Templates!$A:$G,7,FALSE),0)))</f>
        <v/>
      </c>
    </row>
    <row r="4802" ht="15" customHeight="1">
      <c r="C4802">
        <f>IF($B4802="","",INT($B4802))</f>
        <v/>
      </c>
      <c r="D4802">
        <f>IF($C4802="","",$C4802-WEEKDAY($C4802,2)+1)</f>
        <v/>
      </c>
      <c r="E4802">
        <f>IF($C4802="","",DATE(YEAR($C4802),MONTH($C4802),1))</f>
        <v/>
      </c>
      <c r="F4802">
        <f>IF($C4802="","",YEAR($C4802)&amp;"-Q"&amp;ROUNDUP(MONTH($C4802)/3,0))</f>
        <v/>
      </c>
      <c r="L4802">
        <f>IF($G4802&lt;&gt;"ALCOHOL","",IF($K4802="","",$H4802*IFERROR(VLOOKUP($K4802,Drink_Templates!$A:$G,7,FALSE),0)))</f>
        <v/>
      </c>
    </row>
    <row r="4803" ht="15" customHeight="1">
      <c r="C4803">
        <f>IF($B4803="","",INT($B4803))</f>
        <v/>
      </c>
      <c r="D4803">
        <f>IF($C4803="","",$C4803-WEEKDAY($C4803,2)+1)</f>
        <v/>
      </c>
      <c r="E4803">
        <f>IF($C4803="","",DATE(YEAR($C4803),MONTH($C4803),1))</f>
        <v/>
      </c>
      <c r="F4803">
        <f>IF($C4803="","",YEAR($C4803)&amp;"-Q"&amp;ROUNDUP(MONTH($C4803)/3,0))</f>
        <v/>
      </c>
      <c r="L4803">
        <f>IF($G4803&lt;&gt;"ALCOHOL","",IF($K4803="","",$H4803*IFERROR(VLOOKUP($K4803,Drink_Templates!$A:$G,7,FALSE),0)))</f>
        <v/>
      </c>
    </row>
    <row r="4804" ht="15" customHeight="1">
      <c r="C4804">
        <f>IF($B4804="","",INT($B4804))</f>
        <v/>
      </c>
      <c r="D4804">
        <f>IF($C4804="","",$C4804-WEEKDAY($C4804,2)+1)</f>
        <v/>
      </c>
      <c r="E4804">
        <f>IF($C4804="","",DATE(YEAR($C4804),MONTH($C4804),1))</f>
        <v/>
      </c>
      <c r="F4804">
        <f>IF($C4804="","",YEAR($C4804)&amp;"-Q"&amp;ROUNDUP(MONTH($C4804)/3,0))</f>
        <v/>
      </c>
      <c r="L4804">
        <f>IF($G4804&lt;&gt;"ALCOHOL","",IF($K4804="","",$H4804*IFERROR(VLOOKUP($K4804,Drink_Templates!$A:$G,7,FALSE),0)))</f>
        <v/>
      </c>
    </row>
    <row r="4805" ht="15" customHeight="1">
      <c r="C4805">
        <f>IF($B4805="","",INT($B4805))</f>
        <v/>
      </c>
      <c r="D4805">
        <f>IF($C4805="","",$C4805-WEEKDAY($C4805,2)+1)</f>
        <v/>
      </c>
      <c r="E4805">
        <f>IF($C4805="","",DATE(YEAR($C4805),MONTH($C4805),1))</f>
        <v/>
      </c>
      <c r="F4805">
        <f>IF($C4805="","",YEAR($C4805)&amp;"-Q"&amp;ROUNDUP(MONTH($C4805)/3,0))</f>
        <v/>
      </c>
      <c r="L4805">
        <f>IF($G4805&lt;&gt;"ALCOHOL","",IF($K4805="","",$H4805*IFERROR(VLOOKUP($K4805,Drink_Templates!$A:$G,7,FALSE),0)))</f>
        <v/>
      </c>
    </row>
    <row r="4806" ht="15" customHeight="1">
      <c r="C4806">
        <f>IF($B4806="","",INT($B4806))</f>
        <v/>
      </c>
      <c r="D4806">
        <f>IF($C4806="","",$C4806-WEEKDAY($C4806,2)+1)</f>
        <v/>
      </c>
      <c r="E4806">
        <f>IF($C4806="","",DATE(YEAR($C4806),MONTH($C4806),1))</f>
        <v/>
      </c>
      <c r="F4806">
        <f>IF($C4806="","",YEAR($C4806)&amp;"-Q"&amp;ROUNDUP(MONTH($C4806)/3,0))</f>
        <v/>
      </c>
      <c r="L4806">
        <f>IF($G4806&lt;&gt;"ALCOHOL","",IF($K4806="","",$H4806*IFERROR(VLOOKUP($K4806,Drink_Templates!$A:$G,7,FALSE),0)))</f>
        <v/>
      </c>
    </row>
    <row r="4807" ht="15" customHeight="1">
      <c r="C4807">
        <f>IF($B4807="","",INT($B4807))</f>
        <v/>
      </c>
      <c r="D4807">
        <f>IF($C4807="","",$C4807-WEEKDAY($C4807,2)+1)</f>
        <v/>
      </c>
      <c r="E4807">
        <f>IF($C4807="","",DATE(YEAR($C4807),MONTH($C4807),1))</f>
        <v/>
      </c>
      <c r="F4807">
        <f>IF($C4807="","",YEAR($C4807)&amp;"-Q"&amp;ROUNDUP(MONTH($C4807)/3,0))</f>
        <v/>
      </c>
      <c r="L4807">
        <f>IF($G4807&lt;&gt;"ALCOHOL","",IF($K4807="","",$H4807*IFERROR(VLOOKUP($K4807,Drink_Templates!$A:$G,7,FALSE),0)))</f>
        <v/>
      </c>
    </row>
    <row r="4808" ht="15" customHeight="1">
      <c r="C4808">
        <f>IF($B4808="","",INT($B4808))</f>
        <v/>
      </c>
      <c r="D4808">
        <f>IF($C4808="","",$C4808-WEEKDAY($C4808,2)+1)</f>
        <v/>
      </c>
      <c r="E4808">
        <f>IF($C4808="","",DATE(YEAR($C4808),MONTH($C4808),1))</f>
        <v/>
      </c>
      <c r="F4808">
        <f>IF($C4808="","",YEAR($C4808)&amp;"-Q"&amp;ROUNDUP(MONTH($C4808)/3,0))</f>
        <v/>
      </c>
      <c r="L4808">
        <f>IF($G4808&lt;&gt;"ALCOHOL","",IF($K4808="","",$H4808*IFERROR(VLOOKUP($K4808,Drink_Templates!$A:$G,7,FALSE),0)))</f>
        <v/>
      </c>
    </row>
    <row r="4809" ht="15" customHeight="1">
      <c r="C4809">
        <f>IF($B4809="","",INT($B4809))</f>
        <v/>
      </c>
      <c r="D4809">
        <f>IF($C4809="","",$C4809-WEEKDAY($C4809,2)+1)</f>
        <v/>
      </c>
      <c r="E4809">
        <f>IF($C4809="","",DATE(YEAR($C4809),MONTH($C4809),1))</f>
        <v/>
      </c>
      <c r="F4809">
        <f>IF($C4809="","",YEAR($C4809)&amp;"-Q"&amp;ROUNDUP(MONTH($C4809)/3,0))</f>
        <v/>
      </c>
      <c r="L4809">
        <f>IF($G4809&lt;&gt;"ALCOHOL","",IF($K4809="","",$H4809*IFERROR(VLOOKUP($K4809,Drink_Templates!$A:$G,7,FALSE),0)))</f>
        <v/>
      </c>
    </row>
    <row r="4810" ht="15" customHeight="1">
      <c r="C4810">
        <f>IF($B4810="","",INT($B4810))</f>
        <v/>
      </c>
      <c r="D4810">
        <f>IF($C4810="","",$C4810-WEEKDAY($C4810,2)+1)</f>
        <v/>
      </c>
      <c r="E4810">
        <f>IF($C4810="","",DATE(YEAR($C4810),MONTH($C4810),1))</f>
        <v/>
      </c>
      <c r="F4810">
        <f>IF($C4810="","",YEAR($C4810)&amp;"-Q"&amp;ROUNDUP(MONTH($C4810)/3,0))</f>
        <v/>
      </c>
      <c r="L4810">
        <f>IF($G4810&lt;&gt;"ALCOHOL","",IF($K4810="","",$H4810*IFERROR(VLOOKUP($K4810,Drink_Templates!$A:$G,7,FALSE),0)))</f>
        <v/>
      </c>
    </row>
    <row r="4811" ht="15" customHeight="1">
      <c r="C4811">
        <f>IF($B4811="","",INT($B4811))</f>
        <v/>
      </c>
      <c r="D4811">
        <f>IF($C4811="","",$C4811-WEEKDAY($C4811,2)+1)</f>
        <v/>
      </c>
      <c r="E4811">
        <f>IF($C4811="","",DATE(YEAR($C4811),MONTH($C4811),1))</f>
        <v/>
      </c>
      <c r="F4811">
        <f>IF($C4811="","",YEAR($C4811)&amp;"-Q"&amp;ROUNDUP(MONTH($C4811)/3,0))</f>
        <v/>
      </c>
      <c r="L4811">
        <f>IF($G4811&lt;&gt;"ALCOHOL","",IF($K4811="","",$H4811*IFERROR(VLOOKUP($K4811,Drink_Templates!$A:$G,7,FALSE),0)))</f>
        <v/>
      </c>
    </row>
    <row r="4812" ht="15" customHeight="1">
      <c r="C4812">
        <f>IF($B4812="","",INT($B4812))</f>
        <v/>
      </c>
      <c r="D4812">
        <f>IF($C4812="","",$C4812-WEEKDAY($C4812,2)+1)</f>
        <v/>
      </c>
      <c r="E4812">
        <f>IF($C4812="","",DATE(YEAR($C4812),MONTH($C4812),1))</f>
        <v/>
      </c>
      <c r="F4812">
        <f>IF($C4812="","",YEAR($C4812)&amp;"-Q"&amp;ROUNDUP(MONTH($C4812)/3,0))</f>
        <v/>
      </c>
      <c r="L4812">
        <f>IF($G4812&lt;&gt;"ALCOHOL","",IF($K4812="","",$H4812*IFERROR(VLOOKUP($K4812,Drink_Templates!$A:$G,7,FALSE),0)))</f>
        <v/>
      </c>
    </row>
    <row r="4813" ht="15" customHeight="1">
      <c r="C4813">
        <f>IF($B4813="","",INT($B4813))</f>
        <v/>
      </c>
      <c r="D4813">
        <f>IF($C4813="","",$C4813-WEEKDAY($C4813,2)+1)</f>
        <v/>
      </c>
      <c r="E4813">
        <f>IF($C4813="","",DATE(YEAR($C4813),MONTH($C4813),1))</f>
        <v/>
      </c>
      <c r="F4813">
        <f>IF($C4813="","",YEAR($C4813)&amp;"-Q"&amp;ROUNDUP(MONTH($C4813)/3,0))</f>
        <v/>
      </c>
      <c r="L4813">
        <f>IF($G4813&lt;&gt;"ALCOHOL","",IF($K4813="","",$H4813*IFERROR(VLOOKUP($K4813,Drink_Templates!$A:$G,7,FALSE),0)))</f>
        <v/>
      </c>
    </row>
    <row r="4814" ht="15" customHeight="1">
      <c r="C4814">
        <f>IF($B4814="","",INT($B4814))</f>
        <v/>
      </c>
      <c r="D4814">
        <f>IF($C4814="","",$C4814-WEEKDAY($C4814,2)+1)</f>
        <v/>
      </c>
      <c r="E4814">
        <f>IF($C4814="","",DATE(YEAR($C4814),MONTH($C4814),1))</f>
        <v/>
      </c>
      <c r="F4814">
        <f>IF($C4814="","",YEAR($C4814)&amp;"-Q"&amp;ROUNDUP(MONTH($C4814)/3,0))</f>
        <v/>
      </c>
      <c r="L4814">
        <f>IF($G4814&lt;&gt;"ALCOHOL","",IF($K4814="","",$H4814*IFERROR(VLOOKUP($K4814,Drink_Templates!$A:$G,7,FALSE),0)))</f>
        <v/>
      </c>
    </row>
    <row r="4815" ht="15" customHeight="1">
      <c r="C4815">
        <f>IF($B4815="","",INT($B4815))</f>
        <v/>
      </c>
      <c r="D4815">
        <f>IF($C4815="","",$C4815-WEEKDAY($C4815,2)+1)</f>
        <v/>
      </c>
      <c r="E4815">
        <f>IF($C4815="","",DATE(YEAR($C4815),MONTH($C4815),1))</f>
        <v/>
      </c>
      <c r="F4815">
        <f>IF($C4815="","",YEAR($C4815)&amp;"-Q"&amp;ROUNDUP(MONTH($C4815)/3,0))</f>
        <v/>
      </c>
      <c r="L4815">
        <f>IF($G4815&lt;&gt;"ALCOHOL","",IF($K4815="","",$H4815*IFERROR(VLOOKUP($K4815,Drink_Templates!$A:$G,7,FALSE),0)))</f>
        <v/>
      </c>
    </row>
    <row r="4816" ht="15" customHeight="1">
      <c r="C4816">
        <f>IF($B4816="","",INT($B4816))</f>
        <v/>
      </c>
      <c r="D4816">
        <f>IF($C4816="","",$C4816-WEEKDAY($C4816,2)+1)</f>
        <v/>
      </c>
      <c r="E4816">
        <f>IF($C4816="","",DATE(YEAR($C4816),MONTH($C4816),1))</f>
        <v/>
      </c>
      <c r="F4816">
        <f>IF($C4816="","",YEAR($C4816)&amp;"-Q"&amp;ROUNDUP(MONTH($C4816)/3,0))</f>
        <v/>
      </c>
      <c r="L4816">
        <f>IF($G4816&lt;&gt;"ALCOHOL","",IF($K4816="","",$H4816*IFERROR(VLOOKUP($K4816,Drink_Templates!$A:$G,7,FALSE),0)))</f>
        <v/>
      </c>
    </row>
    <row r="4817" ht="15" customHeight="1">
      <c r="C4817">
        <f>IF($B4817="","",INT($B4817))</f>
        <v/>
      </c>
      <c r="D4817">
        <f>IF($C4817="","",$C4817-WEEKDAY($C4817,2)+1)</f>
        <v/>
      </c>
      <c r="E4817">
        <f>IF($C4817="","",DATE(YEAR($C4817),MONTH($C4817),1))</f>
        <v/>
      </c>
      <c r="F4817">
        <f>IF($C4817="","",YEAR($C4817)&amp;"-Q"&amp;ROUNDUP(MONTH($C4817)/3,0))</f>
        <v/>
      </c>
      <c r="L4817">
        <f>IF($G4817&lt;&gt;"ALCOHOL","",IF($K4817="","",$H4817*IFERROR(VLOOKUP($K4817,Drink_Templates!$A:$G,7,FALSE),0)))</f>
        <v/>
      </c>
    </row>
    <row r="4818" ht="15" customHeight="1">
      <c r="C4818">
        <f>IF($B4818="","",INT($B4818))</f>
        <v/>
      </c>
      <c r="D4818">
        <f>IF($C4818="","",$C4818-WEEKDAY($C4818,2)+1)</f>
        <v/>
      </c>
      <c r="E4818">
        <f>IF($C4818="","",DATE(YEAR($C4818),MONTH($C4818),1))</f>
        <v/>
      </c>
      <c r="F4818">
        <f>IF($C4818="","",YEAR($C4818)&amp;"-Q"&amp;ROUNDUP(MONTH($C4818)/3,0))</f>
        <v/>
      </c>
      <c r="L4818">
        <f>IF($G4818&lt;&gt;"ALCOHOL","",IF($K4818="","",$H4818*IFERROR(VLOOKUP($K4818,Drink_Templates!$A:$G,7,FALSE),0)))</f>
        <v/>
      </c>
    </row>
    <row r="4819" ht="15" customHeight="1">
      <c r="C4819">
        <f>IF($B4819="","",INT($B4819))</f>
        <v/>
      </c>
      <c r="D4819">
        <f>IF($C4819="","",$C4819-WEEKDAY($C4819,2)+1)</f>
        <v/>
      </c>
      <c r="E4819">
        <f>IF($C4819="","",DATE(YEAR($C4819),MONTH($C4819),1))</f>
        <v/>
      </c>
      <c r="F4819">
        <f>IF($C4819="","",YEAR($C4819)&amp;"-Q"&amp;ROUNDUP(MONTH($C4819)/3,0))</f>
        <v/>
      </c>
      <c r="L4819">
        <f>IF($G4819&lt;&gt;"ALCOHOL","",IF($K4819="","",$H4819*IFERROR(VLOOKUP($K4819,Drink_Templates!$A:$G,7,FALSE),0)))</f>
        <v/>
      </c>
    </row>
    <row r="4820" ht="15" customHeight="1">
      <c r="C4820">
        <f>IF($B4820="","",INT($B4820))</f>
        <v/>
      </c>
      <c r="D4820">
        <f>IF($C4820="","",$C4820-WEEKDAY($C4820,2)+1)</f>
        <v/>
      </c>
      <c r="E4820">
        <f>IF($C4820="","",DATE(YEAR($C4820),MONTH($C4820),1))</f>
        <v/>
      </c>
      <c r="F4820">
        <f>IF($C4820="","",YEAR($C4820)&amp;"-Q"&amp;ROUNDUP(MONTH($C4820)/3,0))</f>
        <v/>
      </c>
      <c r="L4820">
        <f>IF($G4820&lt;&gt;"ALCOHOL","",IF($K4820="","",$H4820*IFERROR(VLOOKUP($K4820,Drink_Templates!$A:$G,7,FALSE),0)))</f>
        <v/>
      </c>
    </row>
    <row r="4821" ht="15" customHeight="1">
      <c r="C4821">
        <f>IF($B4821="","",INT($B4821))</f>
        <v/>
      </c>
      <c r="D4821">
        <f>IF($C4821="","",$C4821-WEEKDAY($C4821,2)+1)</f>
        <v/>
      </c>
      <c r="E4821">
        <f>IF($C4821="","",DATE(YEAR($C4821),MONTH($C4821),1))</f>
        <v/>
      </c>
      <c r="F4821">
        <f>IF($C4821="","",YEAR($C4821)&amp;"-Q"&amp;ROUNDUP(MONTH($C4821)/3,0))</f>
        <v/>
      </c>
      <c r="L4821">
        <f>IF($G4821&lt;&gt;"ALCOHOL","",IF($K4821="","",$H4821*IFERROR(VLOOKUP($K4821,Drink_Templates!$A:$G,7,FALSE),0)))</f>
        <v/>
      </c>
    </row>
    <row r="4822" ht="15" customHeight="1">
      <c r="C4822">
        <f>IF($B4822="","",INT($B4822))</f>
        <v/>
      </c>
      <c r="D4822">
        <f>IF($C4822="","",$C4822-WEEKDAY($C4822,2)+1)</f>
        <v/>
      </c>
      <c r="E4822">
        <f>IF($C4822="","",DATE(YEAR($C4822),MONTH($C4822),1))</f>
        <v/>
      </c>
      <c r="F4822">
        <f>IF($C4822="","",YEAR($C4822)&amp;"-Q"&amp;ROUNDUP(MONTH($C4822)/3,0))</f>
        <v/>
      </c>
      <c r="L4822">
        <f>IF($G4822&lt;&gt;"ALCOHOL","",IF($K4822="","",$H4822*IFERROR(VLOOKUP($K4822,Drink_Templates!$A:$G,7,FALSE),0)))</f>
        <v/>
      </c>
    </row>
    <row r="4823" ht="15" customHeight="1">
      <c r="C4823">
        <f>IF($B4823="","",INT($B4823))</f>
        <v/>
      </c>
      <c r="D4823">
        <f>IF($C4823="","",$C4823-WEEKDAY($C4823,2)+1)</f>
        <v/>
      </c>
      <c r="E4823">
        <f>IF($C4823="","",DATE(YEAR($C4823),MONTH($C4823),1))</f>
        <v/>
      </c>
      <c r="F4823">
        <f>IF($C4823="","",YEAR($C4823)&amp;"-Q"&amp;ROUNDUP(MONTH($C4823)/3,0))</f>
        <v/>
      </c>
      <c r="L4823">
        <f>IF($G4823&lt;&gt;"ALCOHOL","",IF($K4823="","",$H4823*IFERROR(VLOOKUP($K4823,Drink_Templates!$A:$G,7,FALSE),0)))</f>
        <v/>
      </c>
    </row>
    <row r="4824" ht="15" customHeight="1">
      <c r="C4824">
        <f>IF($B4824="","",INT($B4824))</f>
        <v/>
      </c>
      <c r="D4824">
        <f>IF($C4824="","",$C4824-WEEKDAY($C4824,2)+1)</f>
        <v/>
      </c>
      <c r="E4824">
        <f>IF($C4824="","",DATE(YEAR($C4824),MONTH($C4824),1))</f>
        <v/>
      </c>
      <c r="F4824">
        <f>IF($C4824="","",YEAR($C4824)&amp;"-Q"&amp;ROUNDUP(MONTH($C4824)/3,0))</f>
        <v/>
      </c>
      <c r="L4824">
        <f>IF($G4824&lt;&gt;"ALCOHOL","",IF($K4824="","",$H4824*IFERROR(VLOOKUP($K4824,Drink_Templates!$A:$G,7,FALSE),0)))</f>
        <v/>
      </c>
    </row>
    <row r="4825" ht="15" customHeight="1">
      <c r="C4825">
        <f>IF($B4825="","",INT($B4825))</f>
        <v/>
      </c>
      <c r="D4825">
        <f>IF($C4825="","",$C4825-WEEKDAY($C4825,2)+1)</f>
        <v/>
      </c>
      <c r="E4825">
        <f>IF($C4825="","",DATE(YEAR($C4825),MONTH($C4825),1))</f>
        <v/>
      </c>
      <c r="F4825">
        <f>IF($C4825="","",YEAR($C4825)&amp;"-Q"&amp;ROUNDUP(MONTH($C4825)/3,0))</f>
        <v/>
      </c>
      <c r="L4825">
        <f>IF($G4825&lt;&gt;"ALCOHOL","",IF($K4825="","",$H4825*IFERROR(VLOOKUP($K4825,Drink_Templates!$A:$G,7,FALSE),0)))</f>
        <v/>
      </c>
    </row>
    <row r="4826" ht="15" customHeight="1">
      <c r="C4826">
        <f>IF($B4826="","",INT($B4826))</f>
        <v/>
      </c>
      <c r="D4826">
        <f>IF($C4826="","",$C4826-WEEKDAY($C4826,2)+1)</f>
        <v/>
      </c>
      <c r="E4826">
        <f>IF($C4826="","",DATE(YEAR($C4826),MONTH($C4826),1))</f>
        <v/>
      </c>
      <c r="F4826">
        <f>IF($C4826="","",YEAR($C4826)&amp;"-Q"&amp;ROUNDUP(MONTH($C4826)/3,0))</f>
        <v/>
      </c>
      <c r="L4826">
        <f>IF($G4826&lt;&gt;"ALCOHOL","",IF($K4826="","",$H4826*IFERROR(VLOOKUP($K4826,Drink_Templates!$A:$G,7,FALSE),0)))</f>
        <v/>
      </c>
    </row>
    <row r="4827" ht="15" customHeight="1">
      <c r="C4827">
        <f>IF($B4827="","",INT($B4827))</f>
        <v/>
      </c>
      <c r="D4827">
        <f>IF($C4827="","",$C4827-WEEKDAY($C4827,2)+1)</f>
        <v/>
      </c>
      <c r="E4827">
        <f>IF($C4827="","",DATE(YEAR($C4827),MONTH($C4827),1))</f>
        <v/>
      </c>
      <c r="F4827">
        <f>IF($C4827="","",YEAR($C4827)&amp;"-Q"&amp;ROUNDUP(MONTH($C4827)/3,0))</f>
        <v/>
      </c>
      <c r="L4827">
        <f>IF($G4827&lt;&gt;"ALCOHOL","",IF($K4827="","",$H4827*IFERROR(VLOOKUP($K4827,Drink_Templates!$A:$G,7,FALSE),0)))</f>
        <v/>
      </c>
    </row>
    <row r="4828" ht="15" customHeight="1">
      <c r="C4828">
        <f>IF($B4828="","",INT($B4828))</f>
        <v/>
      </c>
      <c r="D4828">
        <f>IF($C4828="","",$C4828-WEEKDAY($C4828,2)+1)</f>
        <v/>
      </c>
      <c r="E4828">
        <f>IF($C4828="","",DATE(YEAR($C4828),MONTH($C4828),1))</f>
        <v/>
      </c>
      <c r="F4828">
        <f>IF($C4828="","",YEAR($C4828)&amp;"-Q"&amp;ROUNDUP(MONTH($C4828)/3,0))</f>
        <v/>
      </c>
      <c r="L4828">
        <f>IF($G4828&lt;&gt;"ALCOHOL","",IF($K4828="","",$H4828*IFERROR(VLOOKUP($K4828,Drink_Templates!$A:$G,7,FALSE),0)))</f>
        <v/>
      </c>
    </row>
    <row r="4829" ht="15" customHeight="1">
      <c r="C4829">
        <f>IF($B4829="","",INT($B4829))</f>
        <v/>
      </c>
      <c r="D4829">
        <f>IF($C4829="","",$C4829-WEEKDAY($C4829,2)+1)</f>
        <v/>
      </c>
      <c r="E4829">
        <f>IF($C4829="","",DATE(YEAR($C4829),MONTH($C4829),1))</f>
        <v/>
      </c>
      <c r="F4829">
        <f>IF($C4829="","",YEAR($C4829)&amp;"-Q"&amp;ROUNDUP(MONTH($C4829)/3,0))</f>
        <v/>
      </c>
      <c r="L4829">
        <f>IF($G4829&lt;&gt;"ALCOHOL","",IF($K4829="","",$H4829*IFERROR(VLOOKUP($K4829,Drink_Templates!$A:$G,7,FALSE),0)))</f>
        <v/>
      </c>
    </row>
    <row r="4830" ht="15" customHeight="1">
      <c r="C4830">
        <f>IF($B4830="","",INT($B4830))</f>
        <v/>
      </c>
      <c r="D4830">
        <f>IF($C4830="","",$C4830-WEEKDAY($C4830,2)+1)</f>
        <v/>
      </c>
      <c r="E4830">
        <f>IF($C4830="","",DATE(YEAR($C4830),MONTH($C4830),1))</f>
        <v/>
      </c>
      <c r="F4830">
        <f>IF($C4830="","",YEAR($C4830)&amp;"-Q"&amp;ROUNDUP(MONTH($C4830)/3,0))</f>
        <v/>
      </c>
      <c r="L4830">
        <f>IF($G4830&lt;&gt;"ALCOHOL","",IF($K4830="","",$H4830*IFERROR(VLOOKUP($K4830,Drink_Templates!$A:$G,7,FALSE),0)))</f>
        <v/>
      </c>
    </row>
    <row r="4831" ht="15" customHeight="1">
      <c r="C4831">
        <f>IF($B4831="","",INT($B4831))</f>
        <v/>
      </c>
      <c r="D4831">
        <f>IF($C4831="","",$C4831-WEEKDAY($C4831,2)+1)</f>
        <v/>
      </c>
      <c r="E4831">
        <f>IF($C4831="","",DATE(YEAR($C4831),MONTH($C4831),1))</f>
        <v/>
      </c>
      <c r="F4831">
        <f>IF($C4831="","",YEAR($C4831)&amp;"-Q"&amp;ROUNDUP(MONTH($C4831)/3,0))</f>
        <v/>
      </c>
      <c r="L4831">
        <f>IF($G4831&lt;&gt;"ALCOHOL","",IF($K4831="","",$H4831*IFERROR(VLOOKUP($K4831,Drink_Templates!$A:$G,7,FALSE),0)))</f>
        <v/>
      </c>
    </row>
    <row r="4832" ht="15" customHeight="1">
      <c r="C4832">
        <f>IF($B4832="","",INT($B4832))</f>
        <v/>
      </c>
      <c r="D4832">
        <f>IF($C4832="","",$C4832-WEEKDAY($C4832,2)+1)</f>
        <v/>
      </c>
      <c r="E4832">
        <f>IF($C4832="","",DATE(YEAR($C4832),MONTH($C4832),1))</f>
        <v/>
      </c>
      <c r="F4832">
        <f>IF($C4832="","",YEAR($C4832)&amp;"-Q"&amp;ROUNDUP(MONTH($C4832)/3,0))</f>
        <v/>
      </c>
      <c r="L4832">
        <f>IF($G4832&lt;&gt;"ALCOHOL","",IF($K4832="","",$H4832*IFERROR(VLOOKUP($K4832,Drink_Templates!$A:$G,7,FALSE),0)))</f>
        <v/>
      </c>
    </row>
    <row r="4833" ht="15" customHeight="1">
      <c r="C4833">
        <f>IF($B4833="","",INT($B4833))</f>
        <v/>
      </c>
      <c r="D4833">
        <f>IF($C4833="","",$C4833-WEEKDAY($C4833,2)+1)</f>
        <v/>
      </c>
      <c r="E4833">
        <f>IF($C4833="","",DATE(YEAR($C4833),MONTH($C4833),1))</f>
        <v/>
      </c>
      <c r="F4833">
        <f>IF($C4833="","",YEAR($C4833)&amp;"-Q"&amp;ROUNDUP(MONTH($C4833)/3,0))</f>
        <v/>
      </c>
      <c r="L4833">
        <f>IF($G4833&lt;&gt;"ALCOHOL","",IF($K4833="","",$H4833*IFERROR(VLOOKUP($K4833,Drink_Templates!$A:$G,7,FALSE),0)))</f>
        <v/>
      </c>
    </row>
    <row r="4834" ht="15" customHeight="1">
      <c r="C4834">
        <f>IF($B4834="","",INT($B4834))</f>
        <v/>
      </c>
      <c r="D4834">
        <f>IF($C4834="","",$C4834-WEEKDAY($C4834,2)+1)</f>
        <v/>
      </c>
      <c r="E4834">
        <f>IF($C4834="","",DATE(YEAR($C4834),MONTH($C4834),1))</f>
        <v/>
      </c>
      <c r="F4834">
        <f>IF($C4834="","",YEAR($C4834)&amp;"-Q"&amp;ROUNDUP(MONTH($C4834)/3,0))</f>
        <v/>
      </c>
      <c r="L4834">
        <f>IF($G4834&lt;&gt;"ALCOHOL","",IF($K4834="","",$H4834*IFERROR(VLOOKUP($K4834,Drink_Templates!$A:$G,7,FALSE),0)))</f>
        <v/>
      </c>
    </row>
    <row r="4835" ht="15" customHeight="1">
      <c r="C4835">
        <f>IF($B4835="","",INT($B4835))</f>
        <v/>
      </c>
      <c r="D4835">
        <f>IF($C4835="","",$C4835-WEEKDAY($C4835,2)+1)</f>
        <v/>
      </c>
      <c r="E4835">
        <f>IF($C4835="","",DATE(YEAR($C4835),MONTH($C4835),1))</f>
        <v/>
      </c>
      <c r="F4835">
        <f>IF($C4835="","",YEAR($C4835)&amp;"-Q"&amp;ROUNDUP(MONTH($C4835)/3,0))</f>
        <v/>
      </c>
      <c r="L4835">
        <f>IF($G4835&lt;&gt;"ALCOHOL","",IF($K4835="","",$H4835*IFERROR(VLOOKUP($K4835,Drink_Templates!$A:$G,7,FALSE),0)))</f>
        <v/>
      </c>
    </row>
    <row r="4836" ht="15" customHeight="1">
      <c r="C4836">
        <f>IF($B4836="","",INT($B4836))</f>
        <v/>
      </c>
      <c r="D4836">
        <f>IF($C4836="","",$C4836-WEEKDAY($C4836,2)+1)</f>
        <v/>
      </c>
      <c r="E4836">
        <f>IF($C4836="","",DATE(YEAR($C4836),MONTH($C4836),1))</f>
        <v/>
      </c>
      <c r="F4836">
        <f>IF($C4836="","",YEAR($C4836)&amp;"-Q"&amp;ROUNDUP(MONTH($C4836)/3,0))</f>
        <v/>
      </c>
      <c r="L4836">
        <f>IF($G4836&lt;&gt;"ALCOHOL","",IF($K4836="","",$H4836*IFERROR(VLOOKUP($K4836,Drink_Templates!$A:$G,7,FALSE),0)))</f>
        <v/>
      </c>
    </row>
    <row r="4837" ht="15" customHeight="1">
      <c r="C4837">
        <f>IF($B4837="","",INT($B4837))</f>
        <v/>
      </c>
      <c r="D4837">
        <f>IF($C4837="","",$C4837-WEEKDAY($C4837,2)+1)</f>
        <v/>
      </c>
      <c r="E4837">
        <f>IF($C4837="","",DATE(YEAR($C4837),MONTH($C4837),1))</f>
        <v/>
      </c>
      <c r="F4837">
        <f>IF($C4837="","",YEAR($C4837)&amp;"-Q"&amp;ROUNDUP(MONTH($C4837)/3,0))</f>
        <v/>
      </c>
      <c r="L4837">
        <f>IF($G4837&lt;&gt;"ALCOHOL","",IF($K4837="","",$H4837*IFERROR(VLOOKUP($K4837,Drink_Templates!$A:$G,7,FALSE),0)))</f>
        <v/>
      </c>
    </row>
    <row r="4838" ht="15" customHeight="1">
      <c r="C4838">
        <f>IF($B4838="","",INT($B4838))</f>
        <v/>
      </c>
      <c r="D4838">
        <f>IF($C4838="","",$C4838-WEEKDAY($C4838,2)+1)</f>
        <v/>
      </c>
      <c r="E4838">
        <f>IF($C4838="","",DATE(YEAR($C4838),MONTH($C4838),1))</f>
        <v/>
      </c>
      <c r="F4838">
        <f>IF($C4838="","",YEAR($C4838)&amp;"-Q"&amp;ROUNDUP(MONTH($C4838)/3,0))</f>
        <v/>
      </c>
      <c r="L4838">
        <f>IF($G4838&lt;&gt;"ALCOHOL","",IF($K4838="","",$H4838*IFERROR(VLOOKUP($K4838,Drink_Templates!$A:$G,7,FALSE),0)))</f>
        <v/>
      </c>
    </row>
    <row r="4839" ht="15" customHeight="1">
      <c r="C4839">
        <f>IF($B4839="","",INT($B4839))</f>
        <v/>
      </c>
      <c r="D4839">
        <f>IF($C4839="","",$C4839-WEEKDAY($C4839,2)+1)</f>
        <v/>
      </c>
      <c r="E4839">
        <f>IF($C4839="","",DATE(YEAR($C4839),MONTH($C4839),1))</f>
        <v/>
      </c>
      <c r="F4839">
        <f>IF($C4839="","",YEAR($C4839)&amp;"-Q"&amp;ROUNDUP(MONTH($C4839)/3,0))</f>
        <v/>
      </c>
      <c r="L4839">
        <f>IF($G4839&lt;&gt;"ALCOHOL","",IF($K4839="","",$H4839*IFERROR(VLOOKUP($K4839,Drink_Templates!$A:$G,7,FALSE),0)))</f>
        <v/>
      </c>
    </row>
    <row r="4840" ht="15" customHeight="1">
      <c r="C4840">
        <f>IF($B4840="","",INT($B4840))</f>
        <v/>
      </c>
      <c r="D4840">
        <f>IF($C4840="","",$C4840-WEEKDAY($C4840,2)+1)</f>
        <v/>
      </c>
      <c r="E4840">
        <f>IF($C4840="","",DATE(YEAR($C4840),MONTH($C4840),1))</f>
        <v/>
      </c>
      <c r="F4840">
        <f>IF($C4840="","",YEAR($C4840)&amp;"-Q"&amp;ROUNDUP(MONTH($C4840)/3,0))</f>
        <v/>
      </c>
      <c r="L4840">
        <f>IF($G4840&lt;&gt;"ALCOHOL","",IF($K4840="","",$H4840*IFERROR(VLOOKUP($K4840,Drink_Templates!$A:$G,7,FALSE),0)))</f>
        <v/>
      </c>
    </row>
    <row r="4841" ht="15" customHeight="1">
      <c r="C4841">
        <f>IF($B4841="","",INT($B4841))</f>
        <v/>
      </c>
      <c r="D4841">
        <f>IF($C4841="","",$C4841-WEEKDAY($C4841,2)+1)</f>
        <v/>
      </c>
      <c r="E4841">
        <f>IF($C4841="","",DATE(YEAR($C4841),MONTH($C4841),1))</f>
        <v/>
      </c>
      <c r="F4841">
        <f>IF($C4841="","",YEAR($C4841)&amp;"-Q"&amp;ROUNDUP(MONTH($C4841)/3,0))</f>
        <v/>
      </c>
      <c r="L4841">
        <f>IF($G4841&lt;&gt;"ALCOHOL","",IF($K4841="","",$H4841*IFERROR(VLOOKUP($K4841,Drink_Templates!$A:$G,7,FALSE),0)))</f>
        <v/>
      </c>
    </row>
    <row r="4842" ht="15" customHeight="1">
      <c r="C4842">
        <f>IF($B4842="","",INT($B4842))</f>
        <v/>
      </c>
      <c r="D4842">
        <f>IF($C4842="","",$C4842-WEEKDAY($C4842,2)+1)</f>
        <v/>
      </c>
      <c r="E4842">
        <f>IF($C4842="","",DATE(YEAR($C4842),MONTH($C4842),1))</f>
        <v/>
      </c>
      <c r="F4842">
        <f>IF($C4842="","",YEAR($C4842)&amp;"-Q"&amp;ROUNDUP(MONTH($C4842)/3,0))</f>
        <v/>
      </c>
      <c r="L4842">
        <f>IF($G4842&lt;&gt;"ALCOHOL","",IF($K4842="","",$H4842*IFERROR(VLOOKUP($K4842,Drink_Templates!$A:$G,7,FALSE),0)))</f>
        <v/>
      </c>
    </row>
    <row r="4843" ht="15" customHeight="1">
      <c r="C4843">
        <f>IF($B4843="","",INT($B4843))</f>
        <v/>
      </c>
      <c r="D4843">
        <f>IF($C4843="","",$C4843-WEEKDAY($C4843,2)+1)</f>
        <v/>
      </c>
      <c r="E4843">
        <f>IF($C4843="","",DATE(YEAR($C4843),MONTH($C4843),1))</f>
        <v/>
      </c>
      <c r="F4843">
        <f>IF($C4843="","",YEAR($C4843)&amp;"-Q"&amp;ROUNDUP(MONTH($C4843)/3,0))</f>
        <v/>
      </c>
      <c r="L4843">
        <f>IF($G4843&lt;&gt;"ALCOHOL","",IF($K4843="","",$H4843*IFERROR(VLOOKUP($K4843,Drink_Templates!$A:$G,7,FALSE),0)))</f>
        <v/>
      </c>
    </row>
    <row r="4844" ht="15" customHeight="1">
      <c r="C4844">
        <f>IF($B4844="","",INT($B4844))</f>
        <v/>
      </c>
      <c r="D4844">
        <f>IF($C4844="","",$C4844-WEEKDAY($C4844,2)+1)</f>
        <v/>
      </c>
      <c r="E4844">
        <f>IF($C4844="","",DATE(YEAR($C4844),MONTH($C4844),1))</f>
        <v/>
      </c>
      <c r="F4844">
        <f>IF($C4844="","",YEAR($C4844)&amp;"-Q"&amp;ROUNDUP(MONTH($C4844)/3,0))</f>
        <v/>
      </c>
      <c r="L4844">
        <f>IF($G4844&lt;&gt;"ALCOHOL","",IF($K4844="","",$H4844*IFERROR(VLOOKUP($K4844,Drink_Templates!$A:$G,7,FALSE),0)))</f>
        <v/>
      </c>
    </row>
    <row r="4845" ht="15" customHeight="1">
      <c r="C4845">
        <f>IF($B4845="","",INT($B4845))</f>
        <v/>
      </c>
      <c r="D4845">
        <f>IF($C4845="","",$C4845-WEEKDAY($C4845,2)+1)</f>
        <v/>
      </c>
      <c r="E4845">
        <f>IF($C4845="","",DATE(YEAR($C4845),MONTH($C4845),1))</f>
        <v/>
      </c>
      <c r="F4845">
        <f>IF($C4845="","",YEAR($C4845)&amp;"-Q"&amp;ROUNDUP(MONTH($C4845)/3,0))</f>
        <v/>
      </c>
      <c r="L4845">
        <f>IF($G4845&lt;&gt;"ALCOHOL","",IF($K4845="","",$H4845*IFERROR(VLOOKUP($K4845,Drink_Templates!$A:$G,7,FALSE),0)))</f>
        <v/>
      </c>
    </row>
    <row r="4846" ht="15" customHeight="1">
      <c r="C4846">
        <f>IF($B4846="","",INT($B4846))</f>
        <v/>
      </c>
      <c r="D4846">
        <f>IF($C4846="","",$C4846-WEEKDAY($C4846,2)+1)</f>
        <v/>
      </c>
      <c r="E4846">
        <f>IF($C4846="","",DATE(YEAR($C4846),MONTH($C4846),1))</f>
        <v/>
      </c>
      <c r="F4846">
        <f>IF($C4846="","",YEAR($C4846)&amp;"-Q"&amp;ROUNDUP(MONTH($C4846)/3,0))</f>
        <v/>
      </c>
      <c r="L4846">
        <f>IF($G4846&lt;&gt;"ALCOHOL","",IF($K4846="","",$H4846*IFERROR(VLOOKUP($K4846,Drink_Templates!$A:$G,7,FALSE),0)))</f>
        <v/>
      </c>
    </row>
    <row r="4847" ht="15" customHeight="1">
      <c r="C4847">
        <f>IF($B4847="","",INT($B4847))</f>
        <v/>
      </c>
      <c r="D4847">
        <f>IF($C4847="","",$C4847-WEEKDAY($C4847,2)+1)</f>
        <v/>
      </c>
      <c r="E4847">
        <f>IF($C4847="","",DATE(YEAR($C4847),MONTH($C4847),1))</f>
        <v/>
      </c>
      <c r="F4847">
        <f>IF($C4847="","",YEAR($C4847)&amp;"-Q"&amp;ROUNDUP(MONTH($C4847)/3,0))</f>
        <v/>
      </c>
      <c r="L4847">
        <f>IF($G4847&lt;&gt;"ALCOHOL","",IF($K4847="","",$H4847*IFERROR(VLOOKUP($K4847,Drink_Templates!$A:$G,7,FALSE),0)))</f>
        <v/>
      </c>
    </row>
    <row r="4848" ht="15" customHeight="1">
      <c r="C4848">
        <f>IF($B4848="","",INT($B4848))</f>
        <v/>
      </c>
      <c r="D4848">
        <f>IF($C4848="","",$C4848-WEEKDAY($C4848,2)+1)</f>
        <v/>
      </c>
      <c r="E4848">
        <f>IF($C4848="","",DATE(YEAR($C4848),MONTH($C4848),1))</f>
        <v/>
      </c>
      <c r="F4848">
        <f>IF($C4848="","",YEAR($C4848)&amp;"-Q"&amp;ROUNDUP(MONTH($C4848)/3,0))</f>
        <v/>
      </c>
      <c r="L4848">
        <f>IF($G4848&lt;&gt;"ALCOHOL","",IF($K4848="","",$H4848*IFERROR(VLOOKUP($K4848,Drink_Templates!$A:$G,7,FALSE),0)))</f>
        <v/>
      </c>
    </row>
    <row r="4849" ht="15" customHeight="1">
      <c r="C4849">
        <f>IF($B4849="","",INT($B4849))</f>
        <v/>
      </c>
      <c r="D4849">
        <f>IF($C4849="","",$C4849-WEEKDAY($C4849,2)+1)</f>
        <v/>
      </c>
      <c r="E4849">
        <f>IF($C4849="","",DATE(YEAR($C4849),MONTH($C4849),1))</f>
        <v/>
      </c>
      <c r="F4849">
        <f>IF($C4849="","",YEAR($C4849)&amp;"-Q"&amp;ROUNDUP(MONTH($C4849)/3,0))</f>
        <v/>
      </c>
      <c r="L4849">
        <f>IF($G4849&lt;&gt;"ALCOHOL","",IF($K4849="","",$H4849*IFERROR(VLOOKUP($K4849,Drink_Templates!$A:$G,7,FALSE),0)))</f>
        <v/>
      </c>
    </row>
    <row r="4850" ht="15" customHeight="1">
      <c r="C4850">
        <f>IF($B4850="","",INT($B4850))</f>
        <v/>
      </c>
      <c r="D4850">
        <f>IF($C4850="","",$C4850-WEEKDAY($C4850,2)+1)</f>
        <v/>
      </c>
      <c r="E4850">
        <f>IF($C4850="","",DATE(YEAR($C4850),MONTH($C4850),1))</f>
        <v/>
      </c>
      <c r="F4850">
        <f>IF($C4850="","",YEAR($C4850)&amp;"-Q"&amp;ROUNDUP(MONTH($C4850)/3,0))</f>
        <v/>
      </c>
      <c r="L4850">
        <f>IF($G4850&lt;&gt;"ALCOHOL","",IF($K4850="","",$H4850*IFERROR(VLOOKUP($K4850,Drink_Templates!$A:$G,7,FALSE),0)))</f>
        <v/>
      </c>
    </row>
    <row r="4851" ht="15" customHeight="1">
      <c r="C4851">
        <f>IF($B4851="","",INT($B4851))</f>
        <v/>
      </c>
      <c r="D4851">
        <f>IF($C4851="","",$C4851-WEEKDAY($C4851,2)+1)</f>
        <v/>
      </c>
      <c r="E4851">
        <f>IF($C4851="","",DATE(YEAR($C4851),MONTH($C4851),1))</f>
        <v/>
      </c>
      <c r="F4851">
        <f>IF($C4851="","",YEAR($C4851)&amp;"-Q"&amp;ROUNDUP(MONTH($C4851)/3,0))</f>
        <v/>
      </c>
      <c r="L4851">
        <f>IF($G4851&lt;&gt;"ALCOHOL","",IF($K4851="","",$H4851*IFERROR(VLOOKUP($K4851,Drink_Templates!$A:$G,7,FALSE),0)))</f>
        <v/>
      </c>
    </row>
    <row r="4852" ht="15" customHeight="1">
      <c r="C4852">
        <f>IF($B4852="","",INT($B4852))</f>
        <v/>
      </c>
      <c r="D4852">
        <f>IF($C4852="","",$C4852-WEEKDAY($C4852,2)+1)</f>
        <v/>
      </c>
      <c r="E4852">
        <f>IF($C4852="","",DATE(YEAR($C4852),MONTH($C4852),1))</f>
        <v/>
      </c>
      <c r="F4852">
        <f>IF($C4852="","",YEAR($C4852)&amp;"-Q"&amp;ROUNDUP(MONTH($C4852)/3,0))</f>
        <v/>
      </c>
      <c r="L4852">
        <f>IF($G4852&lt;&gt;"ALCOHOL","",IF($K4852="","",$H4852*IFERROR(VLOOKUP($K4852,Drink_Templates!$A:$G,7,FALSE),0)))</f>
        <v/>
      </c>
    </row>
    <row r="4853" ht="15" customHeight="1">
      <c r="C4853">
        <f>IF($B4853="","",INT($B4853))</f>
        <v/>
      </c>
      <c r="D4853">
        <f>IF($C4853="","",$C4853-WEEKDAY($C4853,2)+1)</f>
        <v/>
      </c>
      <c r="E4853">
        <f>IF($C4853="","",DATE(YEAR($C4853),MONTH($C4853),1))</f>
        <v/>
      </c>
      <c r="F4853">
        <f>IF($C4853="","",YEAR($C4853)&amp;"-Q"&amp;ROUNDUP(MONTH($C4853)/3,0))</f>
        <v/>
      </c>
      <c r="L4853">
        <f>IF($G4853&lt;&gt;"ALCOHOL","",IF($K4853="","",$H4853*IFERROR(VLOOKUP($K4853,Drink_Templates!$A:$G,7,FALSE),0)))</f>
        <v/>
      </c>
    </row>
    <row r="4854" ht="15" customHeight="1">
      <c r="C4854">
        <f>IF($B4854="","",INT($B4854))</f>
        <v/>
      </c>
      <c r="D4854">
        <f>IF($C4854="","",$C4854-WEEKDAY($C4854,2)+1)</f>
        <v/>
      </c>
      <c r="E4854">
        <f>IF($C4854="","",DATE(YEAR($C4854),MONTH($C4854),1))</f>
        <v/>
      </c>
      <c r="F4854">
        <f>IF($C4854="","",YEAR($C4854)&amp;"-Q"&amp;ROUNDUP(MONTH($C4854)/3,0))</f>
        <v/>
      </c>
      <c r="L4854">
        <f>IF($G4854&lt;&gt;"ALCOHOL","",IF($K4854="","",$H4854*IFERROR(VLOOKUP($K4854,Drink_Templates!$A:$G,7,FALSE),0)))</f>
        <v/>
      </c>
    </row>
    <row r="4855" ht="15" customHeight="1">
      <c r="C4855">
        <f>IF($B4855="","",INT($B4855))</f>
        <v/>
      </c>
      <c r="D4855">
        <f>IF($C4855="","",$C4855-WEEKDAY($C4855,2)+1)</f>
        <v/>
      </c>
      <c r="E4855">
        <f>IF($C4855="","",DATE(YEAR($C4855),MONTH($C4855),1))</f>
        <v/>
      </c>
      <c r="F4855">
        <f>IF($C4855="","",YEAR($C4855)&amp;"-Q"&amp;ROUNDUP(MONTH($C4855)/3,0))</f>
        <v/>
      </c>
      <c r="L4855">
        <f>IF($G4855&lt;&gt;"ALCOHOL","",IF($K4855="","",$H4855*IFERROR(VLOOKUP($K4855,Drink_Templates!$A:$G,7,FALSE),0)))</f>
        <v/>
      </c>
    </row>
    <row r="4856" ht="15" customHeight="1">
      <c r="C4856">
        <f>IF($B4856="","",INT($B4856))</f>
        <v/>
      </c>
      <c r="D4856">
        <f>IF($C4856="","",$C4856-WEEKDAY($C4856,2)+1)</f>
        <v/>
      </c>
      <c r="E4856">
        <f>IF($C4856="","",DATE(YEAR($C4856),MONTH($C4856),1))</f>
        <v/>
      </c>
      <c r="F4856">
        <f>IF($C4856="","",YEAR($C4856)&amp;"-Q"&amp;ROUNDUP(MONTH($C4856)/3,0))</f>
        <v/>
      </c>
      <c r="L4856">
        <f>IF($G4856&lt;&gt;"ALCOHOL","",IF($K4856="","",$H4856*IFERROR(VLOOKUP($K4856,Drink_Templates!$A:$G,7,FALSE),0)))</f>
        <v/>
      </c>
    </row>
    <row r="4857" ht="15" customHeight="1">
      <c r="C4857">
        <f>IF($B4857="","",INT($B4857))</f>
        <v/>
      </c>
      <c r="D4857">
        <f>IF($C4857="","",$C4857-WEEKDAY($C4857,2)+1)</f>
        <v/>
      </c>
      <c r="E4857">
        <f>IF($C4857="","",DATE(YEAR($C4857),MONTH($C4857),1))</f>
        <v/>
      </c>
      <c r="F4857">
        <f>IF($C4857="","",YEAR($C4857)&amp;"-Q"&amp;ROUNDUP(MONTH($C4857)/3,0))</f>
        <v/>
      </c>
      <c r="L4857">
        <f>IF($G4857&lt;&gt;"ALCOHOL","",IF($K4857="","",$H4857*IFERROR(VLOOKUP($K4857,Drink_Templates!$A:$G,7,FALSE),0)))</f>
        <v/>
      </c>
    </row>
    <row r="4858" ht="15" customHeight="1">
      <c r="C4858">
        <f>IF($B4858="","",INT($B4858))</f>
        <v/>
      </c>
      <c r="D4858">
        <f>IF($C4858="","",$C4858-WEEKDAY($C4858,2)+1)</f>
        <v/>
      </c>
      <c r="E4858">
        <f>IF($C4858="","",DATE(YEAR($C4858),MONTH($C4858),1))</f>
        <v/>
      </c>
      <c r="F4858">
        <f>IF($C4858="","",YEAR($C4858)&amp;"-Q"&amp;ROUNDUP(MONTH($C4858)/3,0))</f>
        <v/>
      </c>
      <c r="L4858">
        <f>IF($G4858&lt;&gt;"ALCOHOL","",IF($K4858="","",$H4858*IFERROR(VLOOKUP($K4858,Drink_Templates!$A:$G,7,FALSE),0)))</f>
        <v/>
      </c>
    </row>
    <row r="4859" ht="15" customHeight="1">
      <c r="C4859">
        <f>IF($B4859="","",INT($B4859))</f>
        <v/>
      </c>
      <c r="D4859">
        <f>IF($C4859="","",$C4859-WEEKDAY($C4859,2)+1)</f>
        <v/>
      </c>
      <c r="E4859">
        <f>IF($C4859="","",DATE(YEAR($C4859),MONTH($C4859),1))</f>
        <v/>
      </c>
      <c r="F4859">
        <f>IF($C4859="","",YEAR($C4859)&amp;"-Q"&amp;ROUNDUP(MONTH($C4859)/3,0))</f>
        <v/>
      </c>
      <c r="L4859">
        <f>IF($G4859&lt;&gt;"ALCOHOL","",IF($K4859="","",$H4859*IFERROR(VLOOKUP($K4859,Drink_Templates!$A:$G,7,FALSE),0)))</f>
        <v/>
      </c>
    </row>
    <row r="4860" ht="15" customHeight="1">
      <c r="C4860">
        <f>IF($B4860="","",INT($B4860))</f>
        <v/>
      </c>
      <c r="D4860">
        <f>IF($C4860="","",$C4860-WEEKDAY($C4860,2)+1)</f>
        <v/>
      </c>
      <c r="E4860">
        <f>IF($C4860="","",DATE(YEAR($C4860),MONTH($C4860),1))</f>
        <v/>
      </c>
      <c r="F4860">
        <f>IF($C4860="","",YEAR($C4860)&amp;"-Q"&amp;ROUNDUP(MONTH($C4860)/3,0))</f>
        <v/>
      </c>
      <c r="L4860">
        <f>IF($G4860&lt;&gt;"ALCOHOL","",IF($K4860="","",$H4860*IFERROR(VLOOKUP($K4860,Drink_Templates!$A:$G,7,FALSE),0)))</f>
        <v/>
      </c>
    </row>
    <row r="4861" ht="15" customHeight="1">
      <c r="C4861">
        <f>IF($B4861="","",INT($B4861))</f>
        <v/>
      </c>
      <c r="D4861">
        <f>IF($C4861="","",$C4861-WEEKDAY($C4861,2)+1)</f>
        <v/>
      </c>
      <c r="E4861">
        <f>IF($C4861="","",DATE(YEAR($C4861),MONTH($C4861),1))</f>
        <v/>
      </c>
      <c r="F4861">
        <f>IF($C4861="","",YEAR($C4861)&amp;"-Q"&amp;ROUNDUP(MONTH($C4861)/3,0))</f>
        <v/>
      </c>
      <c r="L4861">
        <f>IF($G4861&lt;&gt;"ALCOHOL","",IF($K4861="","",$H4861*IFERROR(VLOOKUP($K4861,Drink_Templates!$A:$G,7,FALSE),0)))</f>
        <v/>
      </c>
    </row>
    <row r="4862" ht="15" customHeight="1">
      <c r="C4862">
        <f>IF($B4862="","",INT($B4862))</f>
        <v/>
      </c>
      <c r="D4862">
        <f>IF($C4862="","",$C4862-WEEKDAY($C4862,2)+1)</f>
        <v/>
      </c>
      <c r="E4862">
        <f>IF($C4862="","",DATE(YEAR($C4862),MONTH($C4862),1))</f>
        <v/>
      </c>
      <c r="F4862">
        <f>IF($C4862="","",YEAR($C4862)&amp;"-Q"&amp;ROUNDUP(MONTH($C4862)/3,0))</f>
        <v/>
      </c>
      <c r="L4862">
        <f>IF($G4862&lt;&gt;"ALCOHOL","",IF($K4862="","",$H4862*IFERROR(VLOOKUP($K4862,Drink_Templates!$A:$G,7,FALSE),0)))</f>
        <v/>
      </c>
    </row>
    <row r="4863" ht="15" customHeight="1">
      <c r="C4863">
        <f>IF($B4863="","",INT($B4863))</f>
        <v/>
      </c>
      <c r="D4863">
        <f>IF($C4863="","",$C4863-WEEKDAY($C4863,2)+1)</f>
        <v/>
      </c>
      <c r="E4863">
        <f>IF($C4863="","",DATE(YEAR($C4863),MONTH($C4863),1))</f>
        <v/>
      </c>
      <c r="F4863">
        <f>IF($C4863="","",YEAR($C4863)&amp;"-Q"&amp;ROUNDUP(MONTH($C4863)/3,0))</f>
        <v/>
      </c>
      <c r="L4863">
        <f>IF($G4863&lt;&gt;"ALCOHOL","",IF($K4863="","",$H4863*IFERROR(VLOOKUP($K4863,Drink_Templates!$A:$G,7,FALSE),0)))</f>
        <v/>
      </c>
    </row>
    <row r="4864" ht="15" customHeight="1">
      <c r="C4864">
        <f>IF($B4864="","",INT($B4864))</f>
        <v/>
      </c>
      <c r="D4864">
        <f>IF($C4864="","",$C4864-WEEKDAY($C4864,2)+1)</f>
        <v/>
      </c>
      <c r="E4864">
        <f>IF($C4864="","",DATE(YEAR($C4864),MONTH($C4864),1))</f>
        <v/>
      </c>
      <c r="F4864">
        <f>IF($C4864="","",YEAR($C4864)&amp;"-Q"&amp;ROUNDUP(MONTH($C4864)/3,0))</f>
        <v/>
      </c>
      <c r="L4864">
        <f>IF($G4864&lt;&gt;"ALCOHOL","",IF($K4864="","",$H4864*IFERROR(VLOOKUP($K4864,Drink_Templates!$A:$G,7,FALSE),0)))</f>
        <v/>
      </c>
    </row>
    <row r="4865" ht="15" customHeight="1">
      <c r="C4865">
        <f>IF($B4865="","",INT($B4865))</f>
        <v/>
      </c>
      <c r="D4865">
        <f>IF($C4865="","",$C4865-WEEKDAY($C4865,2)+1)</f>
        <v/>
      </c>
      <c r="E4865">
        <f>IF($C4865="","",DATE(YEAR($C4865),MONTH($C4865),1))</f>
        <v/>
      </c>
      <c r="F4865">
        <f>IF($C4865="","",YEAR($C4865)&amp;"-Q"&amp;ROUNDUP(MONTH($C4865)/3,0))</f>
        <v/>
      </c>
      <c r="L4865">
        <f>IF($G4865&lt;&gt;"ALCOHOL","",IF($K4865="","",$H4865*IFERROR(VLOOKUP($K4865,Drink_Templates!$A:$G,7,FALSE),0)))</f>
        <v/>
      </c>
    </row>
    <row r="4866" ht="15" customHeight="1">
      <c r="C4866">
        <f>IF($B4866="","",INT($B4866))</f>
        <v/>
      </c>
      <c r="D4866">
        <f>IF($C4866="","",$C4866-WEEKDAY($C4866,2)+1)</f>
        <v/>
      </c>
      <c r="E4866">
        <f>IF($C4866="","",DATE(YEAR($C4866),MONTH($C4866),1))</f>
        <v/>
      </c>
      <c r="F4866">
        <f>IF($C4866="","",YEAR($C4866)&amp;"-Q"&amp;ROUNDUP(MONTH($C4866)/3,0))</f>
        <v/>
      </c>
      <c r="L4866">
        <f>IF($G4866&lt;&gt;"ALCOHOL","",IF($K4866="","",$H4866*IFERROR(VLOOKUP($K4866,Drink_Templates!$A:$G,7,FALSE),0)))</f>
        <v/>
      </c>
    </row>
    <row r="4867" ht="15" customHeight="1">
      <c r="C4867">
        <f>IF($B4867="","",INT($B4867))</f>
        <v/>
      </c>
      <c r="D4867">
        <f>IF($C4867="","",$C4867-WEEKDAY($C4867,2)+1)</f>
        <v/>
      </c>
      <c r="E4867">
        <f>IF($C4867="","",DATE(YEAR($C4867),MONTH($C4867),1))</f>
        <v/>
      </c>
      <c r="F4867">
        <f>IF($C4867="","",YEAR($C4867)&amp;"-Q"&amp;ROUNDUP(MONTH($C4867)/3,0))</f>
        <v/>
      </c>
      <c r="L4867">
        <f>IF($G4867&lt;&gt;"ALCOHOL","",IF($K4867="","",$H4867*IFERROR(VLOOKUP($K4867,Drink_Templates!$A:$G,7,FALSE),0)))</f>
        <v/>
      </c>
    </row>
    <row r="4868" ht="15" customHeight="1">
      <c r="C4868">
        <f>IF($B4868="","",INT($B4868))</f>
        <v/>
      </c>
      <c r="D4868">
        <f>IF($C4868="","",$C4868-WEEKDAY($C4868,2)+1)</f>
        <v/>
      </c>
      <c r="E4868">
        <f>IF($C4868="","",DATE(YEAR($C4868),MONTH($C4868),1))</f>
        <v/>
      </c>
      <c r="F4868">
        <f>IF($C4868="","",YEAR($C4868)&amp;"-Q"&amp;ROUNDUP(MONTH($C4868)/3,0))</f>
        <v/>
      </c>
      <c r="L4868">
        <f>IF($G4868&lt;&gt;"ALCOHOL","",IF($K4868="","",$H4868*IFERROR(VLOOKUP($K4868,Drink_Templates!$A:$G,7,FALSE),0)))</f>
        <v/>
      </c>
    </row>
    <row r="4869" ht="15" customHeight="1">
      <c r="C4869">
        <f>IF($B4869="","",INT($B4869))</f>
        <v/>
      </c>
      <c r="D4869">
        <f>IF($C4869="","",$C4869-WEEKDAY($C4869,2)+1)</f>
        <v/>
      </c>
      <c r="E4869">
        <f>IF($C4869="","",DATE(YEAR($C4869),MONTH($C4869),1))</f>
        <v/>
      </c>
      <c r="F4869">
        <f>IF($C4869="","",YEAR($C4869)&amp;"-Q"&amp;ROUNDUP(MONTH($C4869)/3,0))</f>
        <v/>
      </c>
      <c r="L4869">
        <f>IF($G4869&lt;&gt;"ALCOHOL","",IF($K4869="","",$H4869*IFERROR(VLOOKUP($K4869,Drink_Templates!$A:$G,7,FALSE),0)))</f>
        <v/>
      </c>
    </row>
    <row r="4870" ht="15" customHeight="1">
      <c r="C4870">
        <f>IF($B4870="","",INT($B4870))</f>
        <v/>
      </c>
      <c r="D4870">
        <f>IF($C4870="","",$C4870-WEEKDAY($C4870,2)+1)</f>
        <v/>
      </c>
      <c r="E4870">
        <f>IF($C4870="","",DATE(YEAR($C4870),MONTH($C4870),1))</f>
        <v/>
      </c>
      <c r="F4870">
        <f>IF($C4870="","",YEAR($C4870)&amp;"-Q"&amp;ROUNDUP(MONTH($C4870)/3,0))</f>
        <v/>
      </c>
      <c r="L4870">
        <f>IF($G4870&lt;&gt;"ALCOHOL","",IF($K4870="","",$H4870*IFERROR(VLOOKUP($K4870,Drink_Templates!$A:$G,7,FALSE),0)))</f>
        <v/>
      </c>
    </row>
    <row r="4871" ht="15" customHeight="1">
      <c r="C4871">
        <f>IF($B4871="","",INT($B4871))</f>
        <v/>
      </c>
      <c r="D4871">
        <f>IF($C4871="","",$C4871-WEEKDAY($C4871,2)+1)</f>
        <v/>
      </c>
      <c r="E4871">
        <f>IF($C4871="","",DATE(YEAR($C4871),MONTH($C4871),1))</f>
        <v/>
      </c>
      <c r="F4871">
        <f>IF($C4871="","",YEAR($C4871)&amp;"-Q"&amp;ROUNDUP(MONTH($C4871)/3,0))</f>
        <v/>
      </c>
      <c r="L4871">
        <f>IF($G4871&lt;&gt;"ALCOHOL","",IF($K4871="","",$H4871*IFERROR(VLOOKUP($K4871,Drink_Templates!$A:$G,7,FALSE),0)))</f>
        <v/>
      </c>
    </row>
    <row r="4872" ht="15" customHeight="1">
      <c r="C4872">
        <f>IF($B4872="","",INT($B4872))</f>
        <v/>
      </c>
      <c r="D4872">
        <f>IF($C4872="","",$C4872-WEEKDAY($C4872,2)+1)</f>
        <v/>
      </c>
      <c r="E4872">
        <f>IF($C4872="","",DATE(YEAR($C4872),MONTH($C4872),1))</f>
        <v/>
      </c>
      <c r="F4872">
        <f>IF($C4872="","",YEAR($C4872)&amp;"-Q"&amp;ROUNDUP(MONTH($C4872)/3,0))</f>
        <v/>
      </c>
      <c r="L4872">
        <f>IF($G4872&lt;&gt;"ALCOHOL","",IF($K4872="","",$H4872*IFERROR(VLOOKUP($K4872,Drink_Templates!$A:$G,7,FALSE),0)))</f>
        <v/>
      </c>
    </row>
    <row r="4873" ht="15" customHeight="1">
      <c r="C4873">
        <f>IF($B4873="","",INT($B4873))</f>
        <v/>
      </c>
      <c r="D4873">
        <f>IF($C4873="","",$C4873-WEEKDAY($C4873,2)+1)</f>
        <v/>
      </c>
      <c r="E4873">
        <f>IF($C4873="","",DATE(YEAR($C4873),MONTH($C4873),1))</f>
        <v/>
      </c>
      <c r="F4873">
        <f>IF($C4873="","",YEAR($C4873)&amp;"-Q"&amp;ROUNDUP(MONTH($C4873)/3,0))</f>
        <v/>
      </c>
      <c r="L4873">
        <f>IF($G4873&lt;&gt;"ALCOHOL","",IF($K4873="","",$H4873*IFERROR(VLOOKUP($K4873,Drink_Templates!$A:$G,7,FALSE),0)))</f>
        <v/>
      </c>
    </row>
    <row r="4874" ht="15" customHeight="1">
      <c r="C4874">
        <f>IF($B4874="","",INT($B4874))</f>
        <v/>
      </c>
      <c r="D4874">
        <f>IF($C4874="","",$C4874-WEEKDAY($C4874,2)+1)</f>
        <v/>
      </c>
      <c r="E4874">
        <f>IF($C4874="","",DATE(YEAR($C4874),MONTH($C4874),1))</f>
        <v/>
      </c>
      <c r="F4874">
        <f>IF($C4874="","",YEAR($C4874)&amp;"-Q"&amp;ROUNDUP(MONTH($C4874)/3,0))</f>
        <v/>
      </c>
      <c r="L4874">
        <f>IF($G4874&lt;&gt;"ALCOHOL","",IF($K4874="","",$H4874*IFERROR(VLOOKUP($K4874,Drink_Templates!$A:$G,7,FALSE),0)))</f>
        <v/>
      </c>
    </row>
    <row r="4875" ht="15" customHeight="1">
      <c r="C4875">
        <f>IF($B4875="","",INT($B4875))</f>
        <v/>
      </c>
      <c r="D4875">
        <f>IF($C4875="","",$C4875-WEEKDAY($C4875,2)+1)</f>
        <v/>
      </c>
      <c r="E4875">
        <f>IF($C4875="","",DATE(YEAR($C4875),MONTH($C4875),1))</f>
        <v/>
      </c>
      <c r="F4875">
        <f>IF($C4875="","",YEAR($C4875)&amp;"-Q"&amp;ROUNDUP(MONTH($C4875)/3,0))</f>
        <v/>
      </c>
      <c r="L4875">
        <f>IF($G4875&lt;&gt;"ALCOHOL","",IF($K4875="","",$H4875*IFERROR(VLOOKUP($K4875,Drink_Templates!$A:$G,7,FALSE),0)))</f>
        <v/>
      </c>
    </row>
    <row r="4876" ht="15" customHeight="1">
      <c r="C4876">
        <f>IF($B4876="","",INT($B4876))</f>
        <v/>
      </c>
      <c r="D4876">
        <f>IF($C4876="","",$C4876-WEEKDAY($C4876,2)+1)</f>
        <v/>
      </c>
      <c r="E4876">
        <f>IF($C4876="","",DATE(YEAR($C4876),MONTH($C4876),1))</f>
        <v/>
      </c>
      <c r="F4876">
        <f>IF($C4876="","",YEAR($C4876)&amp;"-Q"&amp;ROUNDUP(MONTH($C4876)/3,0))</f>
        <v/>
      </c>
      <c r="L4876">
        <f>IF($G4876&lt;&gt;"ALCOHOL","",IF($K4876="","",$H4876*IFERROR(VLOOKUP($K4876,Drink_Templates!$A:$G,7,FALSE),0)))</f>
        <v/>
      </c>
    </row>
    <row r="4877" ht="15" customHeight="1">
      <c r="C4877">
        <f>IF($B4877="","",INT($B4877))</f>
        <v/>
      </c>
      <c r="D4877">
        <f>IF($C4877="","",$C4877-WEEKDAY($C4877,2)+1)</f>
        <v/>
      </c>
      <c r="E4877">
        <f>IF($C4877="","",DATE(YEAR($C4877),MONTH($C4877),1))</f>
        <v/>
      </c>
      <c r="F4877">
        <f>IF($C4877="","",YEAR($C4877)&amp;"-Q"&amp;ROUNDUP(MONTH($C4877)/3,0))</f>
        <v/>
      </c>
      <c r="L4877">
        <f>IF($G4877&lt;&gt;"ALCOHOL","",IF($K4877="","",$H4877*IFERROR(VLOOKUP($K4877,Drink_Templates!$A:$G,7,FALSE),0)))</f>
        <v/>
      </c>
    </row>
    <row r="4878" ht="15" customHeight="1">
      <c r="C4878">
        <f>IF($B4878="","",INT($B4878))</f>
        <v/>
      </c>
      <c r="D4878">
        <f>IF($C4878="","",$C4878-WEEKDAY($C4878,2)+1)</f>
        <v/>
      </c>
      <c r="E4878">
        <f>IF($C4878="","",DATE(YEAR($C4878),MONTH($C4878),1))</f>
        <v/>
      </c>
      <c r="F4878">
        <f>IF($C4878="","",YEAR($C4878)&amp;"-Q"&amp;ROUNDUP(MONTH($C4878)/3,0))</f>
        <v/>
      </c>
      <c r="L4878">
        <f>IF($G4878&lt;&gt;"ALCOHOL","",IF($K4878="","",$H4878*IFERROR(VLOOKUP($K4878,Drink_Templates!$A:$G,7,FALSE),0)))</f>
        <v/>
      </c>
    </row>
    <row r="4879" ht="15" customHeight="1">
      <c r="C4879">
        <f>IF($B4879="","",INT($B4879))</f>
        <v/>
      </c>
      <c r="D4879">
        <f>IF($C4879="","",$C4879-WEEKDAY($C4879,2)+1)</f>
        <v/>
      </c>
      <c r="E4879">
        <f>IF($C4879="","",DATE(YEAR($C4879),MONTH($C4879),1))</f>
        <v/>
      </c>
      <c r="F4879">
        <f>IF($C4879="","",YEAR($C4879)&amp;"-Q"&amp;ROUNDUP(MONTH($C4879)/3,0))</f>
        <v/>
      </c>
      <c r="L4879">
        <f>IF($G4879&lt;&gt;"ALCOHOL","",IF($K4879="","",$H4879*IFERROR(VLOOKUP($K4879,Drink_Templates!$A:$G,7,FALSE),0)))</f>
        <v/>
      </c>
    </row>
    <row r="4880" ht="15" customHeight="1">
      <c r="C4880">
        <f>IF($B4880="","",INT($B4880))</f>
        <v/>
      </c>
      <c r="D4880">
        <f>IF($C4880="","",$C4880-WEEKDAY($C4880,2)+1)</f>
        <v/>
      </c>
      <c r="E4880">
        <f>IF($C4880="","",DATE(YEAR($C4880),MONTH($C4880),1))</f>
        <v/>
      </c>
      <c r="F4880">
        <f>IF($C4880="","",YEAR($C4880)&amp;"-Q"&amp;ROUNDUP(MONTH($C4880)/3,0))</f>
        <v/>
      </c>
      <c r="L4880">
        <f>IF($G4880&lt;&gt;"ALCOHOL","",IF($K4880="","",$H4880*IFERROR(VLOOKUP($K4880,Drink_Templates!$A:$G,7,FALSE),0)))</f>
        <v/>
      </c>
    </row>
    <row r="4881" ht="15" customHeight="1">
      <c r="C4881">
        <f>IF($B4881="","",INT($B4881))</f>
        <v/>
      </c>
      <c r="D4881">
        <f>IF($C4881="","",$C4881-WEEKDAY($C4881,2)+1)</f>
        <v/>
      </c>
      <c r="E4881">
        <f>IF($C4881="","",DATE(YEAR($C4881),MONTH($C4881),1))</f>
        <v/>
      </c>
      <c r="F4881">
        <f>IF($C4881="","",YEAR($C4881)&amp;"-Q"&amp;ROUNDUP(MONTH($C4881)/3,0))</f>
        <v/>
      </c>
      <c r="L4881">
        <f>IF($G4881&lt;&gt;"ALCOHOL","",IF($K4881="","",$H4881*IFERROR(VLOOKUP($K4881,Drink_Templates!$A:$G,7,FALSE),0)))</f>
        <v/>
      </c>
    </row>
    <row r="4882" ht="15" customHeight="1">
      <c r="C4882">
        <f>IF($B4882="","",INT($B4882))</f>
        <v/>
      </c>
      <c r="D4882">
        <f>IF($C4882="","",$C4882-WEEKDAY($C4882,2)+1)</f>
        <v/>
      </c>
      <c r="E4882">
        <f>IF($C4882="","",DATE(YEAR($C4882),MONTH($C4882),1))</f>
        <v/>
      </c>
      <c r="F4882">
        <f>IF($C4882="","",YEAR($C4882)&amp;"-Q"&amp;ROUNDUP(MONTH($C4882)/3,0))</f>
        <v/>
      </c>
      <c r="L4882">
        <f>IF($G4882&lt;&gt;"ALCOHOL","",IF($K4882="","",$H4882*IFERROR(VLOOKUP($K4882,Drink_Templates!$A:$G,7,FALSE),0)))</f>
        <v/>
      </c>
    </row>
    <row r="4883" ht="15" customHeight="1">
      <c r="C4883">
        <f>IF($B4883="","",INT($B4883))</f>
        <v/>
      </c>
      <c r="D4883">
        <f>IF($C4883="","",$C4883-WEEKDAY($C4883,2)+1)</f>
        <v/>
      </c>
      <c r="E4883">
        <f>IF($C4883="","",DATE(YEAR($C4883),MONTH($C4883),1))</f>
        <v/>
      </c>
      <c r="F4883">
        <f>IF($C4883="","",YEAR($C4883)&amp;"-Q"&amp;ROUNDUP(MONTH($C4883)/3,0))</f>
        <v/>
      </c>
      <c r="L4883">
        <f>IF($G4883&lt;&gt;"ALCOHOL","",IF($K4883="","",$H4883*IFERROR(VLOOKUP($K4883,Drink_Templates!$A:$G,7,FALSE),0)))</f>
        <v/>
      </c>
    </row>
    <row r="4884" ht="15" customHeight="1">
      <c r="C4884">
        <f>IF($B4884="","",INT($B4884))</f>
        <v/>
      </c>
      <c r="D4884">
        <f>IF($C4884="","",$C4884-WEEKDAY($C4884,2)+1)</f>
        <v/>
      </c>
      <c r="E4884">
        <f>IF($C4884="","",DATE(YEAR($C4884),MONTH($C4884),1))</f>
        <v/>
      </c>
      <c r="F4884">
        <f>IF($C4884="","",YEAR($C4884)&amp;"-Q"&amp;ROUNDUP(MONTH($C4884)/3,0))</f>
        <v/>
      </c>
      <c r="L4884">
        <f>IF($G4884&lt;&gt;"ALCOHOL","",IF($K4884="","",$H4884*IFERROR(VLOOKUP($K4884,Drink_Templates!$A:$G,7,FALSE),0)))</f>
        <v/>
      </c>
    </row>
    <row r="4885" ht="15" customHeight="1">
      <c r="C4885">
        <f>IF($B4885="","",INT($B4885))</f>
        <v/>
      </c>
      <c r="D4885">
        <f>IF($C4885="","",$C4885-WEEKDAY($C4885,2)+1)</f>
        <v/>
      </c>
      <c r="E4885">
        <f>IF($C4885="","",DATE(YEAR($C4885),MONTH($C4885),1))</f>
        <v/>
      </c>
      <c r="F4885">
        <f>IF($C4885="","",YEAR($C4885)&amp;"-Q"&amp;ROUNDUP(MONTH($C4885)/3,0))</f>
        <v/>
      </c>
      <c r="L4885">
        <f>IF($G4885&lt;&gt;"ALCOHOL","",IF($K4885="","",$H4885*IFERROR(VLOOKUP($K4885,Drink_Templates!$A:$G,7,FALSE),0)))</f>
        <v/>
      </c>
    </row>
    <row r="4886" ht="15" customHeight="1">
      <c r="C4886">
        <f>IF($B4886="","",INT($B4886))</f>
        <v/>
      </c>
      <c r="D4886">
        <f>IF($C4886="","",$C4886-WEEKDAY($C4886,2)+1)</f>
        <v/>
      </c>
      <c r="E4886">
        <f>IF($C4886="","",DATE(YEAR($C4886),MONTH($C4886),1))</f>
        <v/>
      </c>
      <c r="F4886">
        <f>IF($C4886="","",YEAR($C4886)&amp;"-Q"&amp;ROUNDUP(MONTH($C4886)/3,0))</f>
        <v/>
      </c>
      <c r="L4886">
        <f>IF($G4886&lt;&gt;"ALCOHOL","",IF($K4886="","",$H4886*IFERROR(VLOOKUP($K4886,Drink_Templates!$A:$G,7,FALSE),0)))</f>
        <v/>
      </c>
    </row>
    <row r="4887" ht="15" customHeight="1">
      <c r="C4887">
        <f>IF($B4887="","",INT($B4887))</f>
        <v/>
      </c>
      <c r="D4887">
        <f>IF($C4887="","",$C4887-WEEKDAY($C4887,2)+1)</f>
        <v/>
      </c>
      <c r="E4887">
        <f>IF($C4887="","",DATE(YEAR($C4887),MONTH($C4887),1))</f>
        <v/>
      </c>
      <c r="F4887">
        <f>IF($C4887="","",YEAR($C4887)&amp;"-Q"&amp;ROUNDUP(MONTH($C4887)/3,0))</f>
        <v/>
      </c>
      <c r="L4887">
        <f>IF($G4887&lt;&gt;"ALCOHOL","",IF($K4887="","",$H4887*IFERROR(VLOOKUP($K4887,Drink_Templates!$A:$G,7,FALSE),0)))</f>
        <v/>
      </c>
    </row>
    <row r="4888" ht="15" customHeight="1">
      <c r="C4888">
        <f>IF($B4888="","",INT($B4888))</f>
        <v/>
      </c>
      <c r="D4888">
        <f>IF($C4888="","",$C4888-WEEKDAY($C4888,2)+1)</f>
        <v/>
      </c>
      <c r="E4888">
        <f>IF($C4888="","",DATE(YEAR($C4888),MONTH($C4888),1))</f>
        <v/>
      </c>
      <c r="F4888">
        <f>IF($C4888="","",YEAR($C4888)&amp;"-Q"&amp;ROUNDUP(MONTH($C4888)/3,0))</f>
        <v/>
      </c>
      <c r="L4888">
        <f>IF($G4888&lt;&gt;"ALCOHOL","",IF($K4888="","",$H4888*IFERROR(VLOOKUP($K4888,Drink_Templates!$A:$G,7,FALSE),0)))</f>
        <v/>
      </c>
    </row>
    <row r="4889" ht="15" customHeight="1">
      <c r="C4889">
        <f>IF($B4889="","",INT($B4889))</f>
        <v/>
      </c>
      <c r="D4889">
        <f>IF($C4889="","",$C4889-WEEKDAY($C4889,2)+1)</f>
        <v/>
      </c>
      <c r="E4889">
        <f>IF($C4889="","",DATE(YEAR($C4889),MONTH($C4889),1))</f>
        <v/>
      </c>
      <c r="F4889">
        <f>IF($C4889="","",YEAR($C4889)&amp;"-Q"&amp;ROUNDUP(MONTH($C4889)/3,0))</f>
        <v/>
      </c>
      <c r="L4889">
        <f>IF($G4889&lt;&gt;"ALCOHOL","",IF($K4889="","",$H4889*IFERROR(VLOOKUP($K4889,Drink_Templates!$A:$G,7,FALSE),0)))</f>
        <v/>
      </c>
    </row>
    <row r="4890" ht="15" customHeight="1">
      <c r="C4890">
        <f>IF($B4890="","",INT($B4890))</f>
        <v/>
      </c>
      <c r="D4890">
        <f>IF($C4890="","",$C4890-WEEKDAY($C4890,2)+1)</f>
        <v/>
      </c>
      <c r="E4890">
        <f>IF($C4890="","",DATE(YEAR($C4890),MONTH($C4890),1))</f>
        <v/>
      </c>
      <c r="F4890">
        <f>IF($C4890="","",YEAR($C4890)&amp;"-Q"&amp;ROUNDUP(MONTH($C4890)/3,0))</f>
        <v/>
      </c>
      <c r="L4890">
        <f>IF($G4890&lt;&gt;"ALCOHOL","",IF($K4890="","",$H4890*IFERROR(VLOOKUP($K4890,Drink_Templates!$A:$G,7,FALSE),0)))</f>
        <v/>
      </c>
    </row>
    <row r="4891" ht="15" customHeight="1">
      <c r="C4891">
        <f>IF($B4891="","",INT($B4891))</f>
        <v/>
      </c>
      <c r="D4891">
        <f>IF($C4891="","",$C4891-WEEKDAY($C4891,2)+1)</f>
        <v/>
      </c>
      <c r="E4891">
        <f>IF($C4891="","",DATE(YEAR($C4891),MONTH($C4891),1))</f>
        <v/>
      </c>
      <c r="F4891">
        <f>IF($C4891="","",YEAR($C4891)&amp;"-Q"&amp;ROUNDUP(MONTH($C4891)/3,0))</f>
        <v/>
      </c>
      <c r="L4891">
        <f>IF($G4891&lt;&gt;"ALCOHOL","",IF($K4891="","",$H4891*IFERROR(VLOOKUP($K4891,Drink_Templates!$A:$G,7,FALSE),0)))</f>
        <v/>
      </c>
    </row>
    <row r="4892" ht="15" customHeight="1">
      <c r="C4892">
        <f>IF($B4892="","",INT($B4892))</f>
        <v/>
      </c>
      <c r="D4892">
        <f>IF($C4892="","",$C4892-WEEKDAY($C4892,2)+1)</f>
        <v/>
      </c>
      <c r="E4892">
        <f>IF($C4892="","",DATE(YEAR($C4892),MONTH($C4892),1))</f>
        <v/>
      </c>
      <c r="F4892">
        <f>IF($C4892="","",YEAR($C4892)&amp;"-Q"&amp;ROUNDUP(MONTH($C4892)/3,0))</f>
        <v/>
      </c>
      <c r="L4892">
        <f>IF($G4892&lt;&gt;"ALCOHOL","",IF($K4892="","",$H4892*IFERROR(VLOOKUP($K4892,Drink_Templates!$A:$G,7,FALSE),0)))</f>
        <v/>
      </c>
    </row>
    <row r="4893" ht="15" customHeight="1">
      <c r="C4893">
        <f>IF($B4893="","",INT($B4893))</f>
        <v/>
      </c>
      <c r="D4893">
        <f>IF($C4893="","",$C4893-WEEKDAY($C4893,2)+1)</f>
        <v/>
      </c>
      <c r="E4893">
        <f>IF($C4893="","",DATE(YEAR($C4893),MONTH($C4893),1))</f>
        <v/>
      </c>
      <c r="F4893">
        <f>IF($C4893="","",YEAR($C4893)&amp;"-Q"&amp;ROUNDUP(MONTH($C4893)/3,0))</f>
        <v/>
      </c>
      <c r="L4893">
        <f>IF($G4893&lt;&gt;"ALCOHOL","",IF($K4893="","",$H4893*IFERROR(VLOOKUP($K4893,Drink_Templates!$A:$G,7,FALSE),0)))</f>
        <v/>
      </c>
    </row>
    <row r="4894" ht="15" customHeight="1">
      <c r="C4894">
        <f>IF($B4894="","",INT($B4894))</f>
        <v/>
      </c>
      <c r="D4894">
        <f>IF($C4894="","",$C4894-WEEKDAY($C4894,2)+1)</f>
        <v/>
      </c>
      <c r="E4894">
        <f>IF($C4894="","",DATE(YEAR($C4894),MONTH($C4894),1))</f>
        <v/>
      </c>
      <c r="F4894">
        <f>IF($C4894="","",YEAR($C4894)&amp;"-Q"&amp;ROUNDUP(MONTH($C4894)/3,0))</f>
        <v/>
      </c>
      <c r="L4894">
        <f>IF($G4894&lt;&gt;"ALCOHOL","",IF($K4894="","",$H4894*IFERROR(VLOOKUP($K4894,Drink_Templates!$A:$G,7,FALSE),0)))</f>
        <v/>
      </c>
    </row>
    <row r="4895" ht="15" customHeight="1">
      <c r="C4895">
        <f>IF($B4895="","",INT($B4895))</f>
        <v/>
      </c>
      <c r="D4895">
        <f>IF($C4895="","",$C4895-WEEKDAY($C4895,2)+1)</f>
        <v/>
      </c>
      <c r="E4895">
        <f>IF($C4895="","",DATE(YEAR($C4895),MONTH($C4895),1))</f>
        <v/>
      </c>
      <c r="F4895">
        <f>IF($C4895="","",YEAR($C4895)&amp;"-Q"&amp;ROUNDUP(MONTH($C4895)/3,0))</f>
        <v/>
      </c>
      <c r="L4895">
        <f>IF($G4895&lt;&gt;"ALCOHOL","",IF($K4895="","",$H4895*IFERROR(VLOOKUP($K4895,Drink_Templates!$A:$G,7,FALSE),0)))</f>
        <v/>
      </c>
    </row>
    <row r="4896" ht="15" customHeight="1">
      <c r="C4896">
        <f>IF($B4896="","",INT($B4896))</f>
        <v/>
      </c>
      <c r="D4896">
        <f>IF($C4896="","",$C4896-WEEKDAY($C4896,2)+1)</f>
        <v/>
      </c>
      <c r="E4896">
        <f>IF($C4896="","",DATE(YEAR($C4896),MONTH($C4896),1))</f>
        <v/>
      </c>
      <c r="F4896">
        <f>IF($C4896="","",YEAR($C4896)&amp;"-Q"&amp;ROUNDUP(MONTH($C4896)/3,0))</f>
        <v/>
      </c>
      <c r="L4896">
        <f>IF($G4896&lt;&gt;"ALCOHOL","",IF($K4896="","",$H4896*IFERROR(VLOOKUP($K4896,Drink_Templates!$A:$G,7,FALSE),0)))</f>
        <v/>
      </c>
    </row>
    <row r="4897" ht="15" customHeight="1">
      <c r="C4897">
        <f>IF($B4897="","",INT($B4897))</f>
        <v/>
      </c>
      <c r="D4897">
        <f>IF($C4897="","",$C4897-WEEKDAY($C4897,2)+1)</f>
        <v/>
      </c>
      <c r="E4897">
        <f>IF($C4897="","",DATE(YEAR($C4897),MONTH($C4897),1))</f>
        <v/>
      </c>
      <c r="F4897">
        <f>IF($C4897="","",YEAR($C4897)&amp;"-Q"&amp;ROUNDUP(MONTH($C4897)/3,0))</f>
        <v/>
      </c>
      <c r="L4897">
        <f>IF($G4897&lt;&gt;"ALCOHOL","",IF($K4897="","",$H4897*IFERROR(VLOOKUP($K4897,Drink_Templates!$A:$G,7,FALSE),0)))</f>
        <v/>
      </c>
    </row>
    <row r="4898" ht="15" customHeight="1">
      <c r="C4898">
        <f>IF($B4898="","",INT($B4898))</f>
        <v/>
      </c>
      <c r="D4898">
        <f>IF($C4898="","",$C4898-WEEKDAY($C4898,2)+1)</f>
        <v/>
      </c>
      <c r="E4898">
        <f>IF($C4898="","",DATE(YEAR($C4898),MONTH($C4898),1))</f>
        <v/>
      </c>
      <c r="F4898">
        <f>IF($C4898="","",YEAR($C4898)&amp;"-Q"&amp;ROUNDUP(MONTH($C4898)/3,0))</f>
        <v/>
      </c>
      <c r="L4898">
        <f>IF($G4898&lt;&gt;"ALCOHOL","",IF($K4898="","",$H4898*IFERROR(VLOOKUP($K4898,Drink_Templates!$A:$G,7,FALSE),0)))</f>
        <v/>
      </c>
    </row>
    <row r="4899" ht="15" customHeight="1">
      <c r="C4899">
        <f>IF($B4899="","",INT($B4899))</f>
        <v/>
      </c>
      <c r="D4899">
        <f>IF($C4899="","",$C4899-WEEKDAY($C4899,2)+1)</f>
        <v/>
      </c>
      <c r="E4899">
        <f>IF($C4899="","",DATE(YEAR($C4899),MONTH($C4899),1))</f>
        <v/>
      </c>
      <c r="F4899">
        <f>IF($C4899="","",YEAR($C4899)&amp;"-Q"&amp;ROUNDUP(MONTH($C4899)/3,0))</f>
        <v/>
      </c>
      <c r="L4899">
        <f>IF($G4899&lt;&gt;"ALCOHOL","",IF($K4899="","",$H4899*IFERROR(VLOOKUP($K4899,Drink_Templates!$A:$G,7,FALSE),0)))</f>
        <v/>
      </c>
    </row>
    <row r="4900" ht="15" customHeight="1">
      <c r="C4900">
        <f>IF($B4900="","",INT($B4900))</f>
        <v/>
      </c>
      <c r="D4900">
        <f>IF($C4900="","",$C4900-WEEKDAY($C4900,2)+1)</f>
        <v/>
      </c>
      <c r="E4900">
        <f>IF($C4900="","",DATE(YEAR($C4900),MONTH($C4900),1))</f>
        <v/>
      </c>
      <c r="F4900">
        <f>IF($C4900="","",YEAR($C4900)&amp;"-Q"&amp;ROUNDUP(MONTH($C4900)/3,0))</f>
        <v/>
      </c>
      <c r="L4900">
        <f>IF($G4900&lt;&gt;"ALCOHOL","",IF($K4900="","",$H4900*IFERROR(VLOOKUP($K4900,Drink_Templates!$A:$G,7,FALSE),0)))</f>
        <v/>
      </c>
    </row>
    <row r="4901" ht="15" customHeight="1">
      <c r="C4901">
        <f>IF($B4901="","",INT($B4901))</f>
        <v/>
      </c>
      <c r="D4901">
        <f>IF($C4901="","",$C4901-WEEKDAY($C4901,2)+1)</f>
        <v/>
      </c>
      <c r="E4901">
        <f>IF($C4901="","",DATE(YEAR($C4901),MONTH($C4901),1))</f>
        <v/>
      </c>
      <c r="F4901">
        <f>IF($C4901="","",YEAR($C4901)&amp;"-Q"&amp;ROUNDUP(MONTH($C4901)/3,0))</f>
        <v/>
      </c>
      <c r="L4901">
        <f>IF($G4901&lt;&gt;"ALCOHOL","",IF($K4901="","",$H4901*IFERROR(VLOOKUP($K4901,Drink_Templates!$A:$G,7,FALSE),0)))</f>
        <v/>
      </c>
    </row>
    <row r="4902" ht="15" customHeight="1">
      <c r="C4902">
        <f>IF($B4902="","",INT($B4902))</f>
        <v/>
      </c>
      <c r="D4902">
        <f>IF($C4902="","",$C4902-WEEKDAY($C4902,2)+1)</f>
        <v/>
      </c>
      <c r="E4902">
        <f>IF($C4902="","",DATE(YEAR($C4902),MONTH($C4902),1))</f>
        <v/>
      </c>
      <c r="F4902">
        <f>IF($C4902="","",YEAR($C4902)&amp;"-Q"&amp;ROUNDUP(MONTH($C4902)/3,0))</f>
        <v/>
      </c>
      <c r="L4902">
        <f>IF($G4902&lt;&gt;"ALCOHOL","",IF($K4902="","",$H4902*IFERROR(VLOOKUP($K4902,Drink_Templates!$A:$G,7,FALSE),0)))</f>
        <v/>
      </c>
    </row>
    <row r="4903" ht="15" customHeight="1">
      <c r="C4903">
        <f>IF($B4903="","",INT($B4903))</f>
        <v/>
      </c>
      <c r="D4903">
        <f>IF($C4903="","",$C4903-WEEKDAY($C4903,2)+1)</f>
        <v/>
      </c>
      <c r="E4903">
        <f>IF($C4903="","",DATE(YEAR($C4903),MONTH($C4903),1))</f>
        <v/>
      </c>
      <c r="F4903">
        <f>IF($C4903="","",YEAR($C4903)&amp;"-Q"&amp;ROUNDUP(MONTH($C4903)/3,0))</f>
        <v/>
      </c>
      <c r="L4903">
        <f>IF($G4903&lt;&gt;"ALCOHOL","",IF($K4903="","",$H4903*IFERROR(VLOOKUP($K4903,Drink_Templates!$A:$G,7,FALSE),0)))</f>
        <v/>
      </c>
    </row>
    <row r="4904" ht="15" customHeight="1">
      <c r="C4904">
        <f>IF($B4904="","",INT($B4904))</f>
        <v/>
      </c>
      <c r="D4904">
        <f>IF($C4904="","",$C4904-WEEKDAY($C4904,2)+1)</f>
        <v/>
      </c>
      <c r="E4904">
        <f>IF($C4904="","",DATE(YEAR($C4904),MONTH($C4904),1))</f>
        <v/>
      </c>
      <c r="F4904">
        <f>IF($C4904="","",YEAR($C4904)&amp;"-Q"&amp;ROUNDUP(MONTH($C4904)/3,0))</f>
        <v/>
      </c>
      <c r="L4904">
        <f>IF($G4904&lt;&gt;"ALCOHOL","",IF($K4904="","",$H4904*IFERROR(VLOOKUP($K4904,Drink_Templates!$A:$G,7,FALSE),0)))</f>
        <v/>
      </c>
    </row>
    <row r="4905" ht="15" customHeight="1">
      <c r="C4905">
        <f>IF($B4905="","",INT($B4905))</f>
        <v/>
      </c>
      <c r="D4905">
        <f>IF($C4905="","",$C4905-WEEKDAY($C4905,2)+1)</f>
        <v/>
      </c>
      <c r="E4905">
        <f>IF($C4905="","",DATE(YEAR($C4905),MONTH($C4905),1))</f>
        <v/>
      </c>
      <c r="F4905">
        <f>IF($C4905="","",YEAR($C4905)&amp;"-Q"&amp;ROUNDUP(MONTH($C4905)/3,0))</f>
        <v/>
      </c>
      <c r="L4905">
        <f>IF($G4905&lt;&gt;"ALCOHOL","",IF($K4905="","",$H4905*IFERROR(VLOOKUP($K4905,Drink_Templates!$A:$G,7,FALSE),0)))</f>
        <v/>
      </c>
    </row>
    <row r="4906" ht="15" customHeight="1">
      <c r="C4906">
        <f>IF($B4906="","",INT($B4906))</f>
        <v/>
      </c>
      <c r="D4906">
        <f>IF($C4906="","",$C4906-WEEKDAY($C4906,2)+1)</f>
        <v/>
      </c>
      <c r="E4906">
        <f>IF($C4906="","",DATE(YEAR($C4906),MONTH($C4906),1))</f>
        <v/>
      </c>
      <c r="F4906">
        <f>IF($C4906="","",YEAR($C4906)&amp;"-Q"&amp;ROUNDUP(MONTH($C4906)/3,0))</f>
        <v/>
      </c>
      <c r="L4906">
        <f>IF($G4906&lt;&gt;"ALCOHOL","",IF($K4906="","",$H4906*IFERROR(VLOOKUP($K4906,Drink_Templates!$A:$G,7,FALSE),0)))</f>
        <v/>
      </c>
    </row>
    <row r="4907" ht="15" customHeight="1">
      <c r="C4907">
        <f>IF($B4907="","",INT($B4907))</f>
        <v/>
      </c>
      <c r="D4907">
        <f>IF($C4907="","",$C4907-WEEKDAY($C4907,2)+1)</f>
        <v/>
      </c>
      <c r="E4907">
        <f>IF($C4907="","",DATE(YEAR($C4907),MONTH($C4907),1))</f>
        <v/>
      </c>
      <c r="F4907">
        <f>IF($C4907="","",YEAR($C4907)&amp;"-Q"&amp;ROUNDUP(MONTH($C4907)/3,0))</f>
        <v/>
      </c>
      <c r="L4907">
        <f>IF($G4907&lt;&gt;"ALCOHOL","",IF($K4907="","",$H4907*IFERROR(VLOOKUP($K4907,Drink_Templates!$A:$G,7,FALSE),0)))</f>
        <v/>
      </c>
    </row>
    <row r="4908" ht="15" customHeight="1">
      <c r="C4908">
        <f>IF($B4908="","",INT($B4908))</f>
        <v/>
      </c>
      <c r="D4908">
        <f>IF($C4908="","",$C4908-WEEKDAY($C4908,2)+1)</f>
        <v/>
      </c>
      <c r="E4908">
        <f>IF($C4908="","",DATE(YEAR($C4908),MONTH($C4908),1))</f>
        <v/>
      </c>
      <c r="F4908">
        <f>IF($C4908="","",YEAR($C4908)&amp;"-Q"&amp;ROUNDUP(MONTH($C4908)/3,0))</f>
        <v/>
      </c>
      <c r="L4908">
        <f>IF($G4908&lt;&gt;"ALCOHOL","",IF($K4908="","",$H4908*IFERROR(VLOOKUP($K4908,Drink_Templates!$A:$G,7,FALSE),0)))</f>
        <v/>
      </c>
    </row>
    <row r="4909" ht="15" customHeight="1">
      <c r="C4909">
        <f>IF($B4909="","",INT($B4909))</f>
        <v/>
      </c>
      <c r="D4909">
        <f>IF($C4909="","",$C4909-WEEKDAY($C4909,2)+1)</f>
        <v/>
      </c>
      <c r="E4909">
        <f>IF($C4909="","",DATE(YEAR($C4909),MONTH($C4909),1))</f>
        <v/>
      </c>
      <c r="F4909">
        <f>IF($C4909="","",YEAR($C4909)&amp;"-Q"&amp;ROUNDUP(MONTH($C4909)/3,0))</f>
        <v/>
      </c>
      <c r="L4909">
        <f>IF($G4909&lt;&gt;"ALCOHOL","",IF($K4909="","",$H4909*IFERROR(VLOOKUP($K4909,Drink_Templates!$A:$G,7,FALSE),0)))</f>
        <v/>
      </c>
    </row>
    <row r="4910" ht="15" customHeight="1">
      <c r="C4910">
        <f>IF($B4910="","",INT($B4910))</f>
        <v/>
      </c>
      <c r="D4910">
        <f>IF($C4910="","",$C4910-WEEKDAY($C4910,2)+1)</f>
        <v/>
      </c>
      <c r="E4910">
        <f>IF($C4910="","",DATE(YEAR($C4910),MONTH($C4910),1))</f>
        <v/>
      </c>
      <c r="F4910">
        <f>IF($C4910="","",YEAR($C4910)&amp;"-Q"&amp;ROUNDUP(MONTH($C4910)/3,0))</f>
        <v/>
      </c>
      <c r="L4910">
        <f>IF($G4910&lt;&gt;"ALCOHOL","",IF($K4910="","",$H4910*IFERROR(VLOOKUP($K4910,Drink_Templates!$A:$G,7,FALSE),0)))</f>
        <v/>
      </c>
    </row>
    <row r="4911" ht="15" customHeight="1">
      <c r="C4911">
        <f>IF($B4911="","",INT($B4911))</f>
        <v/>
      </c>
      <c r="D4911">
        <f>IF($C4911="","",$C4911-WEEKDAY($C4911,2)+1)</f>
        <v/>
      </c>
      <c r="E4911">
        <f>IF($C4911="","",DATE(YEAR($C4911),MONTH($C4911),1))</f>
        <v/>
      </c>
      <c r="F4911">
        <f>IF($C4911="","",YEAR($C4911)&amp;"-Q"&amp;ROUNDUP(MONTH($C4911)/3,0))</f>
        <v/>
      </c>
      <c r="L4911">
        <f>IF($G4911&lt;&gt;"ALCOHOL","",IF($K4911="","",$H4911*IFERROR(VLOOKUP($K4911,Drink_Templates!$A:$G,7,FALSE),0)))</f>
        <v/>
      </c>
    </row>
    <row r="4912" ht="15" customHeight="1">
      <c r="C4912">
        <f>IF($B4912="","",INT($B4912))</f>
        <v/>
      </c>
      <c r="D4912">
        <f>IF($C4912="","",$C4912-WEEKDAY($C4912,2)+1)</f>
        <v/>
      </c>
      <c r="E4912">
        <f>IF($C4912="","",DATE(YEAR($C4912),MONTH($C4912),1))</f>
        <v/>
      </c>
      <c r="F4912">
        <f>IF($C4912="","",YEAR($C4912)&amp;"-Q"&amp;ROUNDUP(MONTH($C4912)/3,0))</f>
        <v/>
      </c>
      <c r="L4912">
        <f>IF($G4912&lt;&gt;"ALCOHOL","",IF($K4912="","",$H4912*IFERROR(VLOOKUP($K4912,Drink_Templates!$A:$G,7,FALSE),0)))</f>
        <v/>
      </c>
    </row>
    <row r="4913" ht="15" customHeight="1">
      <c r="C4913">
        <f>IF($B4913="","",INT($B4913))</f>
        <v/>
      </c>
      <c r="D4913">
        <f>IF($C4913="","",$C4913-WEEKDAY($C4913,2)+1)</f>
        <v/>
      </c>
      <c r="E4913">
        <f>IF($C4913="","",DATE(YEAR($C4913),MONTH($C4913),1))</f>
        <v/>
      </c>
      <c r="F4913">
        <f>IF($C4913="","",YEAR($C4913)&amp;"-Q"&amp;ROUNDUP(MONTH($C4913)/3,0))</f>
        <v/>
      </c>
      <c r="L4913">
        <f>IF($G4913&lt;&gt;"ALCOHOL","",IF($K4913="","",$H4913*IFERROR(VLOOKUP($K4913,Drink_Templates!$A:$G,7,FALSE),0)))</f>
        <v/>
      </c>
    </row>
    <row r="4914" ht="15" customHeight="1">
      <c r="C4914">
        <f>IF($B4914="","",INT($B4914))</f>
        <v/>
      </c>
      <c r="D4914">
        <f>IF($C4914="","",$C4914-WEEKDAY($C4914,2)+1)</f>
        <v/>
      </c>
      <c r="E4914">
        <f>IF($C4914="","",DATE(YEAR($C4914),MONTH($C4914),1))</f>
        <v/>
      </c>
      <c r="F4914">
        <f>IF($C4914="","",YEAR($C4914)&amp;"-Q"&amp;ROUNDUP(MONTH($C4914)/3,0))</f>
        <v/>
      </c>
      <c r="L4914">
        <f>IF($G4914&lt;&gt;"ALCOHOL","",IF($K4914="","",$H4914*IFERROR(VLOOKUP($K4914,Drink_Templates!$A:$G,7,FALSE),0)))</f>
        <v/>
      </c>
    </row>
    <row r="4915" ht="15" customHeight="1">
      <c r="C4915">
        <f>IF($B4915="","",INT($B4915))</f>
        <v/>
      </c>
      <c r="D4915">
        <f>IF($C4915="","",$C4915-WEEKDAY($C4915,2)+1)</f>
        <v/>
      </c>
      <c r="E4915">
        <f>IF($C4915="","",DATE(YEAR($C4915),MONTH($C4915),1))</f>
        <v/>
      </c>
      <c r="F4915">
        <f>IF($C4915="","",YEAR($C4915)&amp;"-Q"&amp;ROUNDUP(MONTH($C4915)/3,0))</f>
        <v/>
      </c>
      <c r="L4915">
        <f>IF($G4915&lt;&gt;"ALCOHOL","",IF($K4915="","",$H4915*IFERROR(VLOOKUP($K4915,Drink_Templates!$A:$G,7,FALSE),0)))</f>
        <v/>
      </c>
    </row>
    <row r="4916" ht="15" customHeight="1">
      <c r="C4916">
        <f>IF($B4916="","",INT($B4916))</f>
        <v/>
      </c>
      <c r="D4916">
        <f>IF($C4916="","",$C4916-WEEKDAY($C4916,2)+1)</f>
        <v/>
      </c>
      <c r="E4916">
        <f>IF($C4916="","",DATE(YEAR($C4916),MONTH($C4916),1))</f>
        <v/>
      </c>
      <c r="F4916">
        <f>IF($C4916="","",YEAR($C4916)&amp;"-Q"&amp;ROUNDUP(MONTH($C4916)/3,0))</f>
        <v/>
      </c>
      <c r="L4916">
        <f>IF($G4916&lt;&gt;"ALCOHOL","",IF($K4916="","",$H4916*IFERROR(VLOOKUP($K4916,Drink_Templates!$A:$G,7,FALSE),0)))</f>
        <v/>
      </c>
    </row>
    <row r="4917" ht="15" customHeight="1">
      <c r="C4917">
        <f>IF($B4917="","",INT($B4917))</f>
        <v/>
      </c>
      <c r="D4917">
        <f>IF($C4917="","",$C4917-WEEKDAY($C4917,2)+1)</f>
        <v/>
      </c>
      <c r="E4917">
        <f>IF($C4917="","",DATE(YEAR($C4917),MONTH($C4917),1))</f>
        <v/>
      </c>
      <c r="F4917">
        <f>IF($C4917="","",YEAR($C4917)&amp;"-Q"&amp;ROUNDUP(MONTH($C4917)/3,0))</f>
        <v/>
      </c>
      <c r="L4917">
        <f>IF($G4917&lt;&gt;"ALCOHOL","",IF($K4917="","",$H4917*IFERROR(VLOOKUP($K4917,Drink_Templates!$A:$G,7,FALSE),0)))</f>
        <v/>
      </c>
    </row>
    <row r="4918" ht="15" customHeight="1">
      <c r="C4918">
        <f>IF($B4918="","",INT($B4918))</f>
        <v/>
      </c>
      <c r="D4918">
        <f>IF($C4918="","",$C4918-WEEKDAY($C4918,2)+1)</f>
        <v/>
      </c>
      <c r="E4918">
        <f>IF($C4918="","",DATE(YEAR($C4918),MONTH($C4918),1))</f>
        <v/>
      </c>
      <c r="F4918">
        <f>IF($C4918="","",YEAR($C4918)&amp;"-Q"&amp;ROUNDUP(MONTH($C4918)/3,0))</f>
        <v/>
      </c>
      <c r="L4918">
        <f>IF($G4918&lt;&gt;"ALCOHOL","",IF($K4918="","",$H4918*IFERROR(VLOOKUP($K4918,Drink_Templates!$A:$G,7,FALSE),0)))</f>
        <v/>
      </c>
    </row>
    <row r="4919" ht="15" customHeight="1">
      <c r="C4919">
        <f>IF($B4919="","",INT($B4919))</f>
        <v/>
      </c>
      <c r="D4919">
        <f>IF($C4919="","",$C4919-WEEKDAY($C4919,2)+1)</f>
        <v/>
      </c>
      <c r="E4919">
        <f>IF($C4919="","",DATE(YEAR($C4919),MONTH($C4919),1))</f>
        <v/>
      </c>
      <c r="F4919">
        <f>IF($C4919="","",YEAR($C4919)&amp;"-Q"&amp;ROUNDUP(MONTH($C4919)/3,0))</f>
        <v/>
      </c>
      <c r="L4919">
        <f>IF($G4919&lt;&gt;"ALCOHOL","",IF($K4919="","",$H4919*IFERROR(VLOOKUP($K4919,Drink_Templates!$A:$G,7,FALSE),0)))</f>
        <v/>
      </c>
    </row>
    <row r="4920" ht="15" customHeight="1">
      <c r="C4920">
        <f>IF($B4920="","",INT($B4920))</f>
        <v/>
      </c>
      <c r="D4920">
        <f>IF($C4920="","",$C4920-WEEKDAY($C4920,2)+1)</f>
        <v/>
      </c>
      <c r="E4920">
        <f>IF($C4920="","",DATE(YEAR($C4920),MONTH($C4920),1))</f>
        <v/>
      </c>
      <c r="F4920">
        <f>IF($C4920="","",YEAR($C4920)&amp;"-Q"&amp;ROUNDUP(MONTH($C4920)/3,0))</f>
        <v/>
      </c>
      <c r="L4920">
        <f>IF($G4920&lt;&gt;"ALCOHOL","",IF($K4920="","",$H4920*IFERROR(VLOOKUP($K4920,Drink_Templates!$A:$G,7,FALSE),0)))</f>
        <v/>
      </c>
    </row>
    <row r="4921" ht="15" customHeight="1">
      <c r="C4921">
        <f>IF($B4921="","",INT($B4921))</f>
        <v/>
      </c>
      <c r="D4921">
        <f>IF($C4921="","",$C4921-WEEKDAY($C4921,2)+1)</f>
        <v/>
      </c>
      <c r="E4921">
        <f>IF($C4921="","",DATE(YEAR($C4921),MONTH($C4921),1))</f>
        <v/>
      </c>
      <c r="F4921">
        <f>IF($C4921="","",YEAR($C4921)&amp;"-Q"&amp;ROUNDUP(MONTH($C4921)/3,0))</f>
        <v/>
      </c>
      <c r="L4921">
        <f>IF($G4921&lt;&gt;"ALCOHOL","",IF($K4921="","",$H4921*IFERROR(VLOOKUP($K4921,Drink_Templates!$A:$G,7,FALSE),0)))</f>
        <v/>
      </c>
    </row>
    <row r="4922" ht="15" customHeight="1">
      <c r="C4922">
        <f>IF($B4922="","",INT($B4922))</f>
        <v/>
      </c>
      <c r="D4922">
        <f>IF($C4922="","",$C4922-WEEKDAY($C4922,2)+1)</f>
        <v/>
      </c>
      <c r="E4922">
        <f>IF($C4922="","",DATE(YEAR($C4922),MONTH($C4922),1))</f>
        <v/>
      </c>
      <c r="F4922">
        <f>IF($C4922="","",YEAR($C4922)&amp;"-Q"&amp;ROUNDUP(MONTH($C4922)/3,0))</f>
        <v/>
      </c>
      <c r="L4922">
        <f>IF($G4922&lt;&gt;"ALCOHOL","",IF($K4922="","",$H4922*IFERROR(VLOOKUP($K4922,Drink_Templates!$A:$G,7,FALSE),0)))</f>
        <v/>
      </c>
    </row>
    <row r="4923" ht="15" customHeight="1">
      <c r="C4923">
        <f>IF($B4923="","",INT($B4923))</f>
        <v/>
      </c>
      <c r="D4923">
        <f>IF($C4923="","",$C4923-WEEKDAY($C4923,2)+1)</f>
        <v/>
      </c>
      <c r="E4923">
        <f>IF($C4923="","",DATE(YEAR($C4923),MONTH($C4923),1))</f>
        <v/>
      </c>
      <c r="F4923">
        <f>IF($C4923="","",YEAR($C4923)&amp;"-Q"&amp;ROUNDUP(MONTH($C4923)/3,0))</f>
        <v/>
      </c>
      <c r="L4923">
        <f>IF($G4923&lt;&gt;"ALCOHOL","",IF($K4923="","",$H4923*IFERROR(VLOOKUP($K4923,Drink_Templates!$A:$G,7,FALSE),0)))</f>
        <v/>
      </c>
    </row>
    <row r="4924" ht="15" customHeight="1">
      <c r="C4924">
        <f>IF($B4924="","",INT($B4924))</f>
        <v/>
      </c>
      <c r="D4924">
        <f>IF($C4924="","",$C4924-WEEKDAY($C4924,2)+1)</f>
        <v/>
      </c>
      <c r="E4924">
        <f>IF($C4924="","",DATE(YEAR($C4924),MONTH($C4924),1))</f>
        <v/>
      </c>
      <c r="F4924">
        <f>IF($C4924="","",YEAR($C4924)&amp;"-Q"&amp;ROUNDUP(MONTH($C4924)/3,0))</f>
        <v/>
      </c>
      <c r="L4924">
        <f>IF($G4924&lt;&gt;"ALCOHOL","",IF($K4924="","",$H4924*IFERROR(VLOOKUP($K4924,Drink_Templates!$A:$G,7,FALSE),0)))</f>
        <v/>
      </c>
    </row>
    <row r="4925" ht="15" customHeight="1">
      <c r="C4925">
        <f>IF($B4925="","",INT($B4925))</f>
        <v/>
      </c>
      <c r="D4925">
        <f>IF($C4925="","",$C4925-WEEKDAY($C4925,2)+1)</f>
        <v/>
      </c>
      <c r="E4925">
        <f>IF($C4925="","",DATE(YEAR($C4925),MONTH($C4925),1))</f>
        <v/>
      </c>
      <c r="F4925">
        <f>IF($C4925="","",YEAR($C4925)&amp;"-Q"&amp;ROUNDUP(MONTH($C4925)/3,0))</f>
        <v/>
      </c>
      <c r="L4925">
        <f>IF($G4925&lt;&gt;"ALCOHOL","",IF($K4925="","",$H4925*IFERROR(VLOOKUP($K4925,Drink_Templates!$A:$G,7,FALSE),0)))</f>
        <v/>
      </c>
    </row>
    <row r="4926" ht="15" customHeight="1">
      <c r="C4926">
        <f>IF($B4926="","",INT($B4926))</f>
        <v/>
      </c>
      <c r="D4926">
        <f>IF($C4926="","",$C4926-WEEKDAY($C4926,2)+1)</f>
        <v/>
      </c>
      <c r="E4926">
        <f>IF($C4926="","",DATE(YEAR($C4926),MONTH($C4926),1))</f>
        <v/>
      </c>
      <c r="F4926">
        <f>IF($C4926="","",YEAR($C4926)&amp;"-Q"&amp;ROUNDUP(MONTH($C4926)/3,0))</f>
        <v/>
      </c>
      <c r="L4926">
        <f>IF($G4926&lt;&gt;"ALCOHOL","",IF($K4926="","",$H4926*IFERROR(VLOOKUP($K4926,Drink_Templates!$A:$G,7,FALSE),0)))</f>
        <v/>
      </c>
    </row>
    <row r="4927" ht="15" customHeight="1">
      <c r="C4927">
        <f>IF($B4927="","",INT($B4927))</f>
        <v/>
      </c>
      <c r="D4927">
        <f>IF($C4927="","",$C4927-WEEKDAY($C4927,2)+1)</f>
        <v/>
      </c>
      <c r="E4927">
        <f>IF($C4927="","",DATE(YEAR($C4927),MONTH($C4927),1))</f>
        <v/>
      </c>
      <c r="F4927">
        <f>IF($C4927="","",YEAR($C4927)&amp;"-Q"&amp;ROUNDUP(MONTH($C4927)/3,0))</f>
        <v/>
      </c>
      <c r="L4927">
        <f>IF($G4927&lt;&gt;"ALCOHOL","",IF($K4927="","",$H4927*IFERROR(VLOOKUP($K4927,Drink_Templates!$A:$G,7,FALSE),0)))</f>
        <v/>
      </c>
    </row>
    <row r="4928" ht="15" customHeight="1">
      <c r="C4928">
        <f>IF($B4928="","",INT($B4928))</f>
        <v/>
      </c>
      <c r="D4928">
        <f>IF($C4928="","",$C4928-WEEKDAY($C4928,2)+1)</f>
        <v/>
      </c>
      <c r="E4928">
        <f>IF($C4928="","",DATE(YEAR($C4928),MONTH($C4928),1))</f>
        <v/>
      </c>
      <c r="F4928">
        <f>IF($C4928="","",YEAR($C4928)&amp;"-Q"&amp;ROUNDUP(MONTH($C4928)/3,0))</f>
        <v/>
      </c>
      <c r="L4928">
        <f>IF($G4928&lt;&gt;"ALCOHOL","",IF($K4928="","",$H4928*IFERROR(VLOOKUP($K4928,Drink_Templates!$A:$G,7,FALSE),0)))</f>
        <v/>
      </c>
    </row>
    <row r="4929" ht="15" customHeight="1">
      <c r="C4929">
        <f>IF($B4929="","",INT($B4929))</f>
        <v/>
      </c>
      <c r="D4929">
        <f>IF($C4929="","",$C4929-WEEKDAY($C4929,2)+1)</f>
        <v/>
      </c>
      <c r="E4929">
        <f>IF($C4929="","",DATE(YEAR($C4929),MONTH($C4929),1))</f>
        <v/>
      </c>
      <c r="F4929">
        <f>IF($C4929="","",YEAR($C4929)&amp;"-Q"&amp;ROUNDUP(MONTH($C4929)/3,0))</f>
        <v/>
      </c>
      <c r="L4929">
        <f>IF($G4929&lt;&gt;"ALCOHOL","",IF($K4929="","",$H4929*IFERROR(VLOOKUP($K4929,Drink_Templates!$A:$G,7,FALSE),0)))</f>
        <v/>
      </c>
    </row>
    <row r="4930" ht="15" customHeight="1">
      <c r="C4930">
        <f>IF($B4930="","",INT($B4930))</f>
        <v/>
      </c>
      <c r="D4930">
        <f>IF($C4930="","",$C4930-WEEKDAY($C4930,2)+1)</f>
        <v/>
      </c>
      <c r="E4930">
        <f>IF($C4930="","",DATE(YEAR($C4930),MONTH($C4930),1))</f>
        <v/>
      </c>
      <c r="F4930">
        <f>IF($C4930="","",YEAR($C4930)&amp;"-Q"&amp;ROUNDUP(MONTH($C4930)/3,0))</f>
        <v/>
      </c>
      <c r="L4930">
        <f>IF($G4930&lt;&gt;"ALCOHOL","",IF($K4930="","",$H4930*IFERROR(VLOOKUP($K4930,Drink_Templates!$A:$G,7,FALSE),0)))</f>
        <v/>
      </c>
    </row>
    <row r="4931" ht="15" customHeight="1">
      <c r="C4931">
        <f>IF($B4931="","",INT($B4931))</f>
        <v/>
      </c>
      <c r="D4931">
        <f>IF($C4931="","",$C4931-WEEKDAY($C4931,2)+1)</f>
        <v/>
      </c>
      <c r="E4931">
        <f>IF($C4931="","",DATE(YEAR($C4931),MONTH($C4931),1))</f>
        <v/>
      </c>
      <c r="F4931">
        <f>IF($C4931="","",YEAR($C4931)&amp;"-Q"&amp;ROUNDUP(MONTH($C4931)/3,0))</f>
        <v/>
      </c>
      <c r="L4931">
        <f>IF($G4931&lt;&gt;"ALCOHOL","",IF($K4931="","",$H4931*IFERROR(VLOOKUP($K4931,Drink_Templates!$A:$G,7,FALSE),0)))</f>
        <v/>
      </c>
    </row>
    <row r="4932" ht="15" customHeight="1">
      <c r="C4932">
        <f>IF($B4932="","",INT($B4932))</f>
        <v/>
      </c>
      <c r="D4932">
        <f>IF($C4932="","",$C4932-WEEKDAY($C4932,2)+1)</f>
        <v/>
      </c>
      <c r="E4932">
        <f>IF($C4932="","",DATE(YEAR($C4932),MONTH($C4932),1))</f>
        <v/>
      </c>
      <c r="F4932">
        <f>IF($C4932="","",YEAR($C4932)&amp;"-Q"&amp;ROUNDUP(MONTH($C4932)/3,0))</f>
        <v/>
      </c>
      <c r="L4932">
        <f>IF($G4932&lt;&gt;"ALCOHOL","",IF($K4932="","",$H4932*IFERROR(VLOOKUP($K4932,Drink_Templates!$A:$G,7,FALSE),0)))</f>
        <v/>
      </c>
    </row>
    <row r="4933" ht="15" customHeight="1">
      <c r="C4933">
        <f>IF($B4933="","",INT($B4933))</f>
        <v/>
      </c>
      <c r="D4933">
        <f>IF($C4933="","",$C4933-WEEKDAY($C4933,2)+1)</f>
        <v/>
      </c>
      <c r="E4933">
        <f>IF($C4933="","",DATE(YEAR($C4933),MONTH($C4933),1))</f>
        <v/>
      </c>
      <c r="F4933">
        <f>IF($C4933="","",YEAR($C4933)&amp;"-Q"&amp;ROUNDUP(MONTH($C4933)/3,0))</f>
        <v/>
      </c>
      <c r="L4933">
        <f>IF($G4933&lt;&gt;"ALCOHOL","",IF($K4933="","",$H4933*IFERROR(VLOOKUP($K4933,Drink_Templates!$A:$G,7,FALSE),0)))</f>
        <v/>
      </c>
    </row>
    <row r="4934" ht="15" customHeight="1">
      <c r="C4934">
        <f>IF($B4934="","",INT($B4934))</f>
        <v/>
      </c>
      <c r="D4934">
        <f>IF($C4934="","",$C4934-WEEKDAY($C4934,2)+1)</f>
        <v/>
      </c>
      <c r="E4934">
        <f>IF($C4934="","",DATE(YEAR($C4934),MONTH($C4934),1))</f>
        <v/>
      </c>
      <c r="F4934">
        <f>IF($C4934="","",YEAR($C4934)&amp;"-Q"&amp;ROUNDUP(MONTH($C4934)/3,0))</f>
        <v/>
      </c>
      <c r="L4934">
        <f>IF($G4934&lt;&gt;"ALCOHOL","",IF($K4934="","",$H4934*IFERROR(VLOOKUP($K4934,Drink_Templates!$A:$G,7,FALSE),0)))</f>
        <v/>
      </c>
    </row>
    <row r="4935" ht="15" customHeight="1">
      <c r="C4935">
        <f>IF($B4935="","",INT($B4935))</f>
        <v/>
      </c>
      <c r="D4935">
        <f>IF($C4935="","",$C4935-WEEKDAY($C4935,2)+1)</f>
        <v/>
      </c>
      <c r="E4935">
        <f>IF($C4935="","",DATE(YEAR($C4935),MONTH($C4935),1))</f>
        <v/>
      </c>
      <c r="F4935">
        <f>IF($C4935="","",YEAR($C4935)&amp;"-Q"&amp;ROUNDUP(MONTH($C4935)/3,0))</f>
        <v/>
      </c>
      <c r="L4935">
        <f>IF($G4935&lt;&gt;"ALCOHOL","",IF($K4935="","",$H4935*IFERROR(VLOOKUP($K4935,Drink_Templates!$A:$G,7,FALSE),0)))</f>
        <v/>
      </c>
    </row>
    <row r="4936" ht="15" customHeight="1">
      <c r="C4936">
        <f>IF($B4936="","",INT($B4936))</f>
        <v/>
      </c>
      <c r="D4936">
        <f>IF($C4936="","",$C4936-WEEKDAY($C4936,2)+1)</f>
        <v/>
      </c>
      <c r="E4936">
        <f>IF($C4936="","",DATE(YEAR($C4936),MONTH($C4936),1))</f>
        <v/>
      </c>
      <c r="F4936">
        <f>IF($C4936="","",YEAR($C4936)&amp;"-Q"&amp;ROUNDUP(MONTH($C4936)/3,0))</f>
        <v/>
      </c>
      <c r="L4936">
        <f>IF($G4936&lt;&gt;"ALCOHOL","",IF($K4936="","",$H4936*IFERROR(VLOOKUP($K4936,Drink_Templates!$A:$G,7,FALSE),0)))</f>
        <v/>
      </c>
    </row>
    <row r="4937" ht="15" customHeight="1">
      <c r="C4937">
        <f>IF($B4937="","",INT($B4937))</f>
        <v/>
      </c>
      <c r="D4937">
        <f>IF($C4937="","",$C4937-WEEKDAY($C4937,2)+1)</f>
        <v/>
      </c>
      <c r="E4937">
        <f>IF($C4937="","",DATE(YEAR($C4937),MONTH($C4937),1))</f>
        <v/>
      </c>
      <c r="F4937">
        <f>IF($C4937="","",YEAR($C4937)&amp;"-Q"&amp;ROUNDUP(MONTH($C4937)/3,0))</f>
        <v/>
      </c>
      <c r="L4937">
        <f>IF($G4937&lt;&gt;"ALCOHOL","",IF($K4937="","",$H4937*IFERROR(VLOOKUP($K4937,Drink_Templates!$A:$G,7,FALSE),0)))</f>
        <v/>
      </c>
    </row>
    <row r="4938" ht="15" customHeight="1">
      <c r="C4938">
        <f>IF($B4938="","",INT($B4938))</f>
        <v/>
      </c>
      <c r="D4938">
        <f>IF($C4938="","",$C4938-WEEKDAY($C4938,2)+1)</f>
        <v/>
      </c>
      <c r="E4938">
        <f>IF($C4938="","",DATE(YEAR($C4938),MONTH($C4938),1))</f>
        <v/>
      </c>
      <c r="F4938">
        <f>IF($C4938="","",YEAR($C4938)&amp;"-Q"&amp;ROUNDUP(MONTH($C4938)/3,0))</f>
        <v/>
      </c>
      <c r="L4938">
        <f>IF($G4938&lt;&gt;"ALCOHOL","",IF($K4938="","",$H4938*IFERROR(VLOOKUP($K4938,Drink_Templates!$A:$G,7,FALSE),0)))</f>
        <v/>
      </c>
    </row>
    <row r="4939" ht="15" customHeight="1">
      <c r="C4939">
        <f>IF($B4939="","",INT($B4939))</f>
        <v/>
      </c>
      <c r="D4939">
        <f>IF($C4939="","",$C4939-WEEKDAY($C4939,2)+1)</f>
        <v/>
      </c>
      <c r="E4939">
        <f>IF($C4939="","",DATE(YEAR($C4939),MONTH($C4939),1))</f>
        <v/>
      </c>
      <c r="F4939">
        <f>IF($C4939="","",YEAR($C4939)&amp;"-Q"&amp;ROUNDUP(MONTH($C4939)/3,0))</f>
        <v/>
      </c>
      <c r="L4939">
        <f>IF($G4939&lt;&gt;"ALCOHOL","",IF($K4939="","",$H4939*IFERROR(VLOOKUP($K4939,Drink_Templates!$A:$G,7,FALSE),0)))</f>
        <v/>
      </c>
    </row>
    <row r="4940" ht="15" customHeight="1">
      <c r="C4940">
        <f>IF($B4940="","",INT($B4940))</f>
        <v/>
      </c>
      <c r="D4940">
        <f>IF($C4940="","",$C4940-WEEKDAY($C4940,2)+1)</f>
        <v/>
      </c>
      <c r="E4940">
        <f>IF($C4940="","",DATE(YEAR($C4940),MONTH($C4940),1))</f>
        <v/>
      </c>
      <c r="F4940">
        <f>IF($C4940="","",YEAR($C4940)&amp;"-Q"&amp;ROUNDUP(MONTH($C4940)/3,0))</f>
        <v/>
      </c>
      <c r="L4940">
        <f>IF($G4940&lt;&gt;"ALCOHOL","",IF($K4940="","",$H4940*IFERROR(VLOOKUP($K4940,Drink_Templates!$A:$G,7,FALSE),0)))</f>
        <v/>
      </c>
    </row>
    <row r="4941" ht="15" customHeight="1">
      <c r="C4941">
        <f>IF($B4941="","",INT($B4941))</f>
        <v/>
      </c>
      <c r="D4941">
        <f>IF($C4941="","",$C4941-WEEKDAY($C4941,2)+1)</f>
        <v/>
      </c>
      <c r="E4941">
        <f>IF($C4941="","",DATE(YEAR($C4941),MONTH($C4941),1))</f>
        <v/>
      </c>
      <c r="F4941">
        <f>IF($C4941="","",YEAR($C4941)&amp;"-Q"&amp;ROUNDUP(MONTH($C4941)/3,0))</f>
        <v/>
      </c>
      <c r="L4941">
        <f>IF($G4941&lt;&gt;"ALCOHOL","",IF($K4941="","",$H4941*IFERROR(VLOOKUP($K4941,Drink_Templates!$A:$G,7,FALSE),0)))</f>
        <v/>
      </c>
    </row>
    <row r="4942" ht="15" customHeight="1">
      <c r="C4942">
        <f>IF($B4942="","",INT($B4942))</f>
        <v/>
      </c>
      <c r="D4942">
        <f>IF($C4942="","",$C4942-WEEKDAY($C4942,2)+1)</f>
        <v/>
      </c>
      <c r="E4942">
        <f>IF($C4942="","",DATE(YEAR($C4942),MONTH($C4942),1))</f>
        <v/>
      </c>
      <c r="F4942">
        <f>IF($C4942="","",YEAR($C4942)&amp;"-Q"&amp;ROUNDUP(MONTH($C4942)/3,0))</f>
        <v/>
      </c>
      <c r="L4942">
        <f>IF($G4942&lt;&gt;"ALCOHOL","",IF($K4942="","",$H4942*IFERROR(VLOOKUP($K4942,Drink_Templates!$A:$G,7,FALSE),0)))</f>
        <v/>
      </c>
    </row>
    <row r="4943" ht="15" customHeight="1">
      <c r="C4943">
        <f>IF($B4943="","",INT($B4943))</f>
        <v/>
      </c>
      <c r="D4943">
        <f>IF($C4943="","",$C4943-WEEKDAY($C4943,2)+1)</f>
        <v/>
      </c>
      <c r="E4943">
        <f>IF($C4943="","",DATE(YEAR($C4943),MONTH($C4943),1))</f>
        <v/>
      </c>
      <c r="F4943">
        <f>IF($C4943="","",YEAR($C4943)&amp;"-Q"&amp;ROUNDUP(MONTH($C4943)/3,0))</f>
        <v/>
      </c>
      <c r="L4943">
        <f>IF($G4943&lt;&gt;"ALCOHOL","",IF($K4943="","",$H4943*IFERROR(VLOOKUP($K4943,Drink_Templates!$A:$G,7,FALSE),0)))</f>
        <v/>
      </c>
    </row>
    <row r="4944" ht="15" customHeight="1">
      <c r="C4944">
        <f>IF($B4944="","",INT($B4944))</f>
        <v/>
      </c>
      <c r="D4944">
        <f>IF($C4944="","",$C4944-WEEKDAY($C4944,2)+1)</f>
        <v/>
      </c>
      <c r="E4944">
        <f>IF($C4944="","",DATE(YEAR($C4944),MONTH($C4944),1))</f>
        <v/>
      </c>
      <c r="F4944">
        <f>IF($C4944="","",YEAR($C4944)&amp;"-Q"&amp;ROUNDUP(MONTH($C4944)/3,0))</f>
        <v/>
      </c>
      <c r="L4944">
        <f>IF($G4944&lt;&gt;"ALCOHOL","",IF($K4944="","",$H4944*IFERROR(VLOOKUP($K4944,Drink_Templates!$A:$G,7,FALSE),0)))</f>
        <v/>
      </c>
    </row>
    <row r="4945" ht="15" customHeight="1">
      <c r="C4945">
        <f>IF($B4945="","",INT($B4945))</f>
        <v/>
      </c>
      <c r="D4945">
        <f>IF($C4945="","",$C4945-WEEKDAY($C4945,2)+1)</f>
        <v/>
      </c>
      <c r="E4945">
        <f>IF($C4945="","",DATE(YEAR($C4945),MONTH($C4945),1))</f>
        <v/>
      </c>
      <c r="F4945">
        <f>IF($C4945="","",YEAR($C4945)&amp;"-Q"&amp;ROUNDUP(MONTH($C4945)/3,0))</f>
        <v/>
      </c>
      <c r="L4945">
        <f>IF($G4945&lt;&gt;"ALCOHOL","",IF($K4945="","",$H4945*IFERROR(VLOOKUP($K4945,Drink_Templates!$A:$G,7,FALSE),0)))</f>
        <v/>
      </c>
    </row>
    <row r="4946" ht="15" customHeight="1">
      <c r="C4946">
        <f>IF($B4946="","",INT($B4946))</f>
        <v/>
      </c>
      <c r="D4946">
        <f>IF($C4946="","",$C4946-WEEKDAY($C4946,2)+1)</f>
        <v/>
      </c>
      <c r="E4946">
        <f>IF($C4946="","",DATE(YEAR($C4946),MONTH($C4946),1))</f>
        <v/>
      </c>
      <c r="F4946">
        <f>IF($C4946="","",YEAR($C4946)&amp;"-Q"&amp;ROUNDUP(MONTH($C4946)/3,0))</f>
        <v/>
      </c>
      <c r="L4946">
        <f>IF($G4946&lt;&gt;"ALCOHOL","",IF($K4946="","",$H4946*IFERROR(VLOOKUP($K4946,Drink_Templates!$A:$G,7,FALSE),0)))</f>
        <v/>
      </c>
    </row>
    <row r="4947" ht="15" customHeight="1">
      <c r="C4947">
        <f>IF($B4947="","",INT($B4947))</f>
        <v/>
      </c>
      <c r="D4947">
        <f>IF($C4947="","",$C4947-WEEKDAY($C4947,2)+1)</f>
        <v/>
      </c>
      <c r="E4947">
        <f>IF($C4947="","",DATE(YEAR($C4947),MONTH($C4947),1))</f>
        <v/>
      </c>
      <c r="F4947">
        <f>IF($C4947="","",YEAR($C4947)&amp;"-Q"&amp;ROUNDUP(MONTH($C4947)/3,0))</f>
        <v/>
      </c>
      <c r="L4947">
        <f>IF($G4947&lt;&gt;"ALCOHOL","",IF($K4947="","",$H4947*IFERROR(VLOOKUP($K4947,Drink_Templates!$A:$G,7,FALSE),0)))</f>
        <v/>
      </c>
    </row>
    <row r="4948" ht="15" customHeight="1">
      <c r="C4948">
        <f>IF($B4948="","",INT($B4948))</f>
        <v/>
      </c>
      <c r="D4948">
        <f>IF($C4948="","",$C4948-WEEKDAY($C4948,2)+1)</f>
        <v/>
      </c>
      <c r="E4948">
        <f>IF($C4948="","",DATE(YEAR($C4948),MONTH($C4948),1))</f>
        <v/>
      </c>
      <c r="F4948">
        <f>IF($C4948="","",YEAR($C4948)&amp;"-Q"&amp;ROUNDUP(MONTH($C4948)/3,0))</f>
        <v/>
      </c>
      <c r="L4948">
        <f>IF($G4948&lt;&gt;"ALCOHOL","",IF($K4948="","",$H4948*IFERROR(VLOOKUP($K4948,Drink_Templates!$A:$G,7,FALSE),0)))</f>
        <v/>
      </c>
    </row>
    <row r="4949" ht="15" customHeight="1">
      <c r="C4949">
        <f>IF($B4949="","",INT($B4949))</f>
        <v/>
      </c>
      <c r="D4949">
        <f>IF($C4949="","",$C4949-WEEKDAY($C4949,2)+1)</f>
        <v/>
      </c>
      <c r="E4949">
        <f>IF($C4949="","",DATE(YEAR($C4949),MONTH($C4949),1))</f>
        <v/>
      </c>
      <c r="F4949">
        <f>IF($C4949="","",YEAR($C4949)&amp;"-Q"&amp;ROUNDUP(MONTH($C4949)/3,0))</f>
        <v/>
      </c>
      <c r="L4949">
        <f>IF($G4949&lt;&gt;"ALCOHOL","",IF($K4949="","",$H4949*IFERROR(VLOOKUP($K4949,Drink_Templates!$A:$G,7,FALSE),0)))</f>
        <v/>
      </c>
    </row>
    <row r="4950" ht="15" customHeight="1">
      <c r="C4950">
        <f>IF($B4950="","",INT($B4950))</f>
        <v/>
      </c>
      <c r="D4950">
        <f>IF($C4950="","",$C4950-WEEKDAY($C4950,2)+1)</f>
        <v/>
      </c>
      <c r="E4950">
        <f>IF($C4950="","",DATE(YEAR($C4950),MONTH($C4950),1))</f>
        <v/>
      </c>
      <c r="F4950">
        <f>IF($C4950="","",YEAR($C4950)&amp;"-Q"&amp;ROUNDUP(MONTH($C4950)/3,0))</f>
        <v/>
      </c>
      <c r="L4950">
        <f>IF($G4950&lt;&gt;"ALCOHOL","",IF($K4950="","",$H4950*IFERROR(VLOOKUP($K4950,Drink_Templates!$A:$G,7,FALSE),0)))</f>
        <v/>
      </c>
    </row>
    <row r="4951" ht="15" customHeight="1">
      <c r="C4951">
        <f>IF($B4951="","",INT($B4951))</f>
        <v/>
      </c>
      <c r="D4951">
        <f>IF($C4951="","",$C4951-WEEKDAY($C4951,2)+1)</f>
        <v/>
      </c>
      <c r="E4951">
        <f>IF($C4951="","",DATE(YEAR($C4951),MONTH($C4951),1))</f>
        <v/>
      </c>
      <c r="F4951">
        <f>IF($C4951="","",YEAR($C4951)&amp;"-Q"&amp;ROUNDUP(MONTH($C4951)/3,0))</f>
        <v/>
      </c>
      <c r="L4951">
        <f>IF($G4951&lt;&gt;"ALCOHOL","",IF($K4951="","",$H4951*IFERROR(VLOOKUP($K4951,Drink_Templates!$A:$G,7,FALSE),0)))</f>
        <v/>
      </c>
    </row>
    <row r="4952" ht="15" customHeight="1">
      <c r="C4952">
        <f>IF($B4952="","",INT($B4952))</f>
        <v/>
      </c>
      <c r="D4952">
        <f>IF($C4952="","",$C4952-WEEKDAY($C4952,2)+1)</f>
        <v/>
      </c>
      <c r="E4952">
        <f>IF($C4952="","",DATE(YEAR($C4952),MONTH($C4952),1))</f>
        <v/>
      </c>
      <c r="F4952">
        <f>IF($C4952="","",YEAR($C4952)&amp;"-Q"&amp;ROUNDUP(MONTH($C4952)/3,0))</f>
        <v/>
      </c>
      <c r="L4952">
        <f>IF($G4952&lt;&gt;"ALCOHOL","",IF($K4952="","",$H4952*IFERROR(VLOOKUP($K4952,Drink_Templates!$A:$G,7,FALSE),0)))</f>
        <v/>
      </c>
    </row>
    <row r="4953" ht="15" customHeight="1">
      <c r="C4953">
        <f>IF($B4953="","",INT($B4953))</f>
        <v/>
      </c>
      <c r="D4953">
        <f>IF($C4953="","",$C4953-WEEKDAY($C4953,2)+1)</f>
        <v/>
      </c>
      <c r="E4953">
        <f>IF($C4953="","",DATE(YEAR($C4953),MONTH($C4953),1))</f>
        <v/>
      </c>
      <c r="F4953">
        <f>IF($C4953="","",YEAR($C4953)&amp;"-Q"&amp;ROUNDUP(MONTH($C4953)/3,0))</f>
        <v/>
      </c>
      <c r="L4953">
        <f>IF($G4953&lt;&gt;"ALCOHOL","",IF($K4953="","",$H4953*IFERROR(VLOOKUP($K4953,Drink_Templates!$A:$G,7,FALSE),0)))</f>
        <v/>
      </c>
    </row>
    <row r="4954" ht="15" customHeight="1">
      <c r="C4954">
        <f>IF($B4954="","",INT($B4954))</f>
        <v/>
      </c>
      <c r="D4954">
        <f>IF($C4954="","",$C4954-WEEKDAY($C4954,2)+1)</f>
        <v/>
      </c>
      <c r="E4954">
        <f>IF($C4954="","",DATE(YEAR($C4954),MONTH($C4954),1))</f>
        <v/>
      </c>
      <c r="F4954">
        <f>IF($C4954="","",YEAR($C4954)&amp;"-Q"&amp;ROUNDUP(MONTH($C4954)/3,0))</f>
        <v/>
      </c>
      <c r="L4954">
        <f>IF($G4954&lt;&gt;"ALCOHOL","",IF($K4954="","",$H4954*IFERROR(VLOOKUP($K4954,Drink_Templates!$A:$G,7,FALSE),0)))</f>
        <v/>
      </c>
    </row>
    <row r="4955" ht="15" customHeight="1">
      <c r="C4955">
        <f>IF($B4955="","",INT($B4955))</f>
        <v/>
      </c>
      <c r="D4955">
        <f>IF($C4955="","",$C4955-WEEKDAY($C4955,2)+1)</f>
        <v/>
      </c>
      <c r="E4955">
        <f>IF($C4955="","",DATE(YEAR($C4955),MONTH($C4955),1))</f>
        <v/>
      </c>
      <c r="F4955">
        <f>IF($C4955="","",YEAR($C4955)&amp;"-Q"&amp;ROUNDUP(MONTH($C4955)/3,0))</f>
        <v/>
      </c>
      <c r="L4955">
        <f>IF($G4955&lt;&gt;"ALCOHOL","",IF($K4955="","",$H4955*IFERROR(VLOOKUP($K4955,Drink_Templates!$A:$G,7,FALSE),0)))</f>
        <v/>
      </c>
    </row>
    <row r="4956" ht="15" customHeight="1">
      <c r="C4956">
        <f>IF($B4956="","",INT($B4956))</f>
        <v/>
      </c>
      <c r="D4956">
        <f>IF($C4956="","",$C4956-WEEKDAY($C4956,2)+1)</f>
        <v/>
      </c>
      <c r="E4956">
        <f>IF($C4956="","",DATE(YEAR($C4956),MONTH($C4956),1))</f>
        <v/>
      </c>
      <c r="F4956">
        <f>IF($C4956="","",YEAR($C4956)&amp;"-Q"&amp;ROUNDUP(MONTH($C4956)/3,0))</f>
        <v/>
      </c>
      <c r="L4956">
        <f>IF($G4956&lt;&gt;"ALCOHOL","",IF($K4956="","",$H4956*IFERROR(VLOOKUP($K4956,Drink_Templates!$A:$G,7,FALSE),0)))</f>
        <v/>
      </c>
    </row>
    <row r="4957" ht="15" customHeight="1">
      <c r="C4957">
        <f>IF($B4957="","",INT($B4957))</f>
        <v/>
      </c>
      <c r="D4957">
        <f>IF($C4957="","",$C4957-WEEKDAY($C4957,2)+1)</f>
        <v/>
      </c>
      <c r="E4957">
        <f>IF($C4957="","",DATE(YEAR($C4957),MONTH($C4957),1))</f>
        <v/>
      </c>
      <c r="F4957">
        <f>IF($C4957="","",YEAR($C4957)&amp;"-Q"&amp;ROUNDUP(MONTH($C4957)/3,0))</f>
        <v/>
      </c>
      <c r="L4957">
        <f>IF($G4957&lt;&gt;"ALCOHOL","",IF($K4957="","",$H4957*IFERROR(VLOOKUP($K4957,Drink_Templates!$A:$G,7,FALSE),0)))</f>
        <v/>
      </c>
    </row>
    <row r="4958" ht="15" customHeight="1">
      <c r="C4958">
        <f>IF($B4958="","",INT($B4958))</f>
        <v/>
      </c>
      <c r="D4958">
        <f>IF($C4958="","",$C4958-WEEKDAY($C4958,2)+1)</f>
        <v/>
      </c>
      <c r="E4958">
        <f>IF($C4958="","",DATE(YEAR($C4958),MONTH($C4958),1))</f>
        <v/>
      </c>
      <c r="F4958">
        <f>IF($C4958="","",YEAR($C4958)&amp;"-Q"&amp;ROUNDUP(MONTH($C4958)/3,0))</f>
        <v/>
      </c>
      <c r="L4958">
        <f>IF($G4958&lt;&gt;"ALCOHOL","",IF($K4958="","",$H4958*IFERROR(VLOOKUP($K4958,Drink_Templates!$A:$G,7,FALSE),0)))</f>
        <v/>
      </c>
    </row>
    <row r="4959" ht="15" customHeight="1">
      <c r="C4959">
        <f>IF($B4959="","",INT($B4959))</f>
        <v/>
      </c>
      <c r="D4959">
        <f>IF($C4959="","",$C4959-WEEKDAY($C4959,2)+1)</f>
        <v/>
      </c>
      <c r="E4959">
        <f>IF($C4959="","",DATE(YEAR($C4959),MONTH($C4959),1))</f>
        <v/>
      </c>
      <c r="F4959">
        <f>IF($C4959="","",YEAR($C4959)&amp;"-Q"&amp;ROUNDUP(MONTH($C4959)/3,0))</f>
        <v/>
      </c>
      <c r="L4959">
        <f>IF($G4959&lt;&gt;"ALCOHOL","",IF($K4959="","",$H4959*IFERROR(VLOOKUP($K4959,Drink_Templates!$A:$G,7,FALSE),0)))</f>
        <v/>
      </c>
    </row>
    <row r="4960" ht="15" customHeight="1">
      <c r="C4960">
        <f>IF($B4960="","",INT($B4960))</f>
        <v/>
      </c>
      <c r="D4960">
        <f>IF($C4960="","",$C4960-WEEKDAY($C4960,2)+1)</f>
        <v/>
      </c>
      <c r="E4960">
        <f>IF($C4960="","",DATE(YEAR($C4960),MONTH($C4960),1))</f>
        <v/>
      </c>
      <c r="F4960">
        <f>IF($C4960="","",YEAR($C4960)&amp;"-Q"&amp;ROUNDUP(MONTH($C4960)/3,0))</f>
        <v/>
      </c>
      <c r="L4960">
        <f>IF($G4960&lt;&gt;"ALCOHOL","",IF($K4960="","",$H4960*IFERROR(VLOOKUP($K4960,Drink_Templates!$A:$G,7,FALSE),0)))</f>
        <v/>
      </c>
    </row>
    <row r="4961" ht="15" customHeight="1">
      <c r="C4961">
        <f>IF($B4961="","",INT($B4961))</f>
        <v/>
      </c>
      <c r="D4961">
        <f>IF($C4961="","",$C4961-WEEKDAY($C4961,2)+1)</f>
        <v/>
      </c>
      <c r="E4961">
        <f>IF($C4961="","",DATE(YEAR($C4961),MONTH($C4961),1))</f>
        <v/>
      </c>
      <c r="F4961">
        <f>IF($C4961="","",YEAR($C4961)&amp;"-Q"&amp;ROUNDUP(MONTH($C4961)/3,0))</f>
        <v/>
      </c>
      <c r="L4961">
        <f>IF($G4961&lt;&gt;"ALCOHOL","",IF($K4961="","",$H4961*IFERROR(VLOOKUP($K4961,Drink_Templates!$A:$G,7,FALSE),0)))</f>
        <v/>
      </c>
    </row>
    <row r="4962" ht="15" customHeight="1">
      <c r="C4962">
        <f>IF($B4962="","",INT($B4962))</f>
        <v/>
      </c>
      <c r="D4962">
        <f>IF($C4962="","",$C4962-WEEKDAY($C4962,2)+1)</f>
        <v/>
      </c>
      <c r="E4962">
        <f>IF($C4962="","",DATE(YEAR($C4962),MONTH($C4962),1))</f>
        <v/>
      </c>
      <c r="F4962">
        <f>IF($C4962="","",YEAR($C4962)&amp;"-Q"&amp;ROUNDUP(MONTH($C4962)/3,0))</f>
        <v/>
      </c>
      <c r="L4962">
        <f>IF($G4962&lt;&gt;"ALCOHOL","",IF($K4962="","",$H4962*IFERROR(VLOOKUP($K4962,Drink_Templates!$A:$G,7,FALSE),0)))</f>
        <v/>
      </c>
    </row>
    <row r="4963" ht="15" customHeight="1">
      <c r="C4963">
        <f>IF($B4963="","",INT($B4963))</f>
        <v/>
      </c>
      <c r="D4963">
        <f>IF($C4963="","",$C4963-WEEKDAY($C4963,2)+1)</f>
        <v/>
      </c>
      <c r="E4963">
        <f>IF($C4963="","",DATE(YEAR($C4963),MONTH($C4963),1))</f>
        <v/>
      </c>
      <c r="F4963">
        <f>IF($C4963="","",YEAR($C4963)&amp;"-Q"&amp;ROUNDUP(MONTH($C4963)/3,0))</f>
        <v/>
      </c>
      <c r="L4963">
        <f>IF($G4963&lt;&gt;"ALCOHOL","",IF($K4963="","",$H4963*IFERROR(VLOOKUP($K4963,Drink_Templates!$A:$G,7,FALSE),0)))</f>
        <v/>
      </c>
    </row>
    <row r="4964" ht="15" customHeight="1">
      <c r="C4964">
        <f>IF($B4964="","",INT($B4964))</f>
        <v/>
      </c>
      <c r="D4964">
        <f>IF($C4964="","",$C4964-WEEKDAY($C4964,2)+1)</f>
        <v/>
      </c>
      <c r="E4964">
        <f>IF($C4964="","",DATE(YEAR($C4964),MONTH($C4964),1))</f>
        <v/>
      </c>
      <c r="F4964">
        <f>IF($C4964="","",YEAR($C4964)&amp;"-Q"&amp;ROUNDUP(MONTH($C4964)/3,0))</f>
        <v/>
      </c>
      <c r="L4964">
        <f>IF($G4964&lt;&gt;"ALCOHOL","",IF($K4964="","",$H4964*IFERROR(VLOOKUP($K4964,Drink_Templates!$A:$G,7,FALSE),0)))</f>
        <v/>
      </c>
    </row>
    <row r="4965" ht="15" customHeight="1">
      <c r="C4965">
        <f>IF($B4965="","",INT($B4965))</f>
        <v/>
      </c>
      <c r="D4965">
        <f>IF($C4965="","",$C4965-WEEKDAY($C4965,2)+1)</f>
        <v/>
      </c>
      <c r="E4965">
        <f>IF($C4965="","",DATE(YEAR($C4965),MONTH($C4965),1))</f>
        <v/>
      </c>
      <c r="F4965">
        <f>IF($C4965="","",YEAR($C4965)&amp;"-Q"&amp;ROUNDUP(MONTH($C4965)/3,0))</f>
        <v/>
      </c>
      <c r="L4965">
        <f>IF($G4965&lt;&gt;"ALCOHOL","",IF($K4965="","",$H4965*IFERROR(VLOOKUP($K4965,Drink_Templates!$A:$G,7,FALSE),0)))</f>
        <v/>
      </c>
    </row>
    <row r="4966" ht="15" customHeight="1">
      <c r="C4966">
        <f>IF($B4966="","",INT($B4966))</f>
        <v/>
      </c>
      <c r="D4966">
        <f>IF($C4966="","",$C4966-WEEKDAY($C4966,2)+1)</f>
        <v/>
      </c>
      <c r="E4966">
        <f>IF($C4966="","",DATE(YEAR($C4966),MONTH($C4966),1))</f>
        <v/>
      </c>
      <c r="F4966">
        <f>IF($C4966="","",YEAR($C4966)&amp;"-Q"&amp;ROUNDUP(MONTH($C4966)/3,0))</f>
        <v/>
      </c>
      <c r="L4966">
        <f>IF($G4966&lt;&gt;"ALCOHOL","",IF($K4966="","",$H4966*IFERROR(VLOOKUP($K4966,Drink_Templates!$A:$G,7,FALSE),0)))</f>
        <v/>
      </c>
    </row>
    <row r="4967" ht="15" customHeight="1">
      <c r="C4967">
        <f>IF($B4967="","",INT($B4967))</f>
        <v/>
      </c>
      <c r="D4967">
        <f>IF($C4967="","",$C4967-WEEKDAY($C4967,2)+1)</f>
        <v/>
      </c>
      <c r="E4967">
        <f>IF($C4967="","",DATE(YEAR($C4967),MONTH($C4967),1))</f>
        <v/>
      </c>
      <c r="F4967">
        <f>IF($C4967="","",YEAR($C4967)&amp;"-Q"&amp;ROUNDUP(MONTH($C4967)/3,0))</f>
        <v/>
      </c>
      <c r="L4967">
        <f>IF($G4967&lt;&gt;"ALCOHOL","",IF($K4967="","",$H4967*IFERROR(VLOOKUP($K4967,Drink_Templates!$A:$G,7,FALSE),0)))</f>
        <v/>
      </c>
    </row>
    <row r="4968" ht="15" customHeight="1">
      <c r="C4968">
        <f>IF($B4968="","",INT($B4968))</f>
        <v/>
      </c>
      <c r="D4968">
        <f>IF($C4968="","",$C4968-WEEKDAY($C4968,2)+1)</f>
        <v/>
      </c>
      <c r="E4968">
        <f>IF($C4968="","",DATE(YEAR($C4968),MONTH($C4968),1))</f>
        <v/>
      </c>
      <c r="F4968">
        <f>IF($C4968="","",YEAR($C4968)&amp;"-Q"&amp;ROUNDUP(MONTH($C4968)/3,0))</f>
        <v/>
      </c>
      <c r="L4968">
        <f>IF($G4968&lt;&gt;"ALCOHOL","",IF($K4968="","",$H4968*IFERROR(VLOOKUP($K4968,Drink_Templates!$A:$G,7,FALSE),0)))</f>
        <v/>
      </c>
    </row>
    <row r="4969" ht="15" customHeight="1">
      <c r="C4969">
        <f>IF($B4969="","",INT($B4969))</f>
        <v/>
      </c>
      <c r="D4969">
        <f>IF($C4969="","",$C4969-WEEKDAY($C4969,2)+1)</f>
        <v/>
      </c>
      <c r="E4969">
        <f>IF($C4969="","",DATE(YEAR($C4969),MONTH($C4969),1))</f>
        <v/>
      </c>
      <c r="F4969">
        <f>IF($C4969="","",YEAR($C4969)&amp;"-Q"&amp;ROUNDUP(MONTH($C4969)/3,0))</f>
        <v/>
      </c>
      <c r="L4969">
        <f>IF($G4969&lt;&gt;"ALCOHOL","",IF($K4969="","",$H4969*IFERROR(VLOOKUP($K4969,Drink_Templates!$A:$G,7,FALSE),0)))</f>
        <v/>
      </c>
    </row>
    <row r="4970" ht="15" customHeight="1">
      <c r="C4970">
        <f>IF($B4970="","",INT($B4970))</f>
        <v/>
      </c>
      <c r="D4970">
        <f>IF($C4970="","",$C4970-WEEKDAY($C4970,2)+1)</f>
        <v/>
      </c>
      <c r="E4970">
        <f>IF($C4970="","",DATE(YEAR($C4970),MONTH($C4970),1))</f>
        <v/>
      </c>
      <c r="F4970">
        <f>IF($C4970="","",YEAR($C4970)&amp;"-Q"&amp;ROUNDUP(MONTH($C4970)/3,0))</f>
        <v/>
      </c>
      <c r="L4970">
        <f>IF($G4970&lt;&gt;"ALCOHOL","",IF($K4970="","",$H4970*IFERROR(VLOOKUP($K4970,Drink_Templates!$A:$G,7,FALSE),0)))</f>
        <v/>
      </c>
    </row>
    <row r="4971" ht="15" customHeight="1">
      <c r="C4971">
        <f>IF($B4971="","",INT($B4971))</f>
        <v/>
      </c>
      <c r="D4971">
        <f>IF($C4971="","",$C4971-WEEKDAY($C4971,2)+1)</f>
        <v/>
      </c>
      <c r="E4971">
        <f>IF($C4971="","",DATE(YEAR($C4971),MONTH($C4971),1))</f>
        <v/>
      </c>
      <c r="F4971">
        <f>IF($C4971="","",YEAR($C4971)&amp;"-Q"&amp;ROUNDUP(MONTH($C4971)/3,0))</f>
        <v/>
      </c>
      <c r="L4971">
        <f>IF($G4971&lt;&gt;"ALCOHOL","",IF($K4971="","",$H4971*IFERROR(VLOOKUP($K4971,Drink_Templates!$A:$G,7,FALSE),0)))</f>
        <v/>
      </c>
    </row>
    <row r="4972" ht="15" customHeight="1">
      <c r="C4972">
        <f>IF($B4972="","",INT($B4972))</f>
        <v/>
      </c>
      <c r="D4972">
        <f>IF($C4972="","",$C4972-WEEKDAY($C4972,2)+1)</f>
        <v/>
      </c>
      <c r="E4972">
        <f>IF($C4972="","",DATE(YEAR($C4972),MONTH($C4972),1))</f>
        <v/>
      </c>
      <c r="F4972">
        <f>IF($C4972="","",YEAR($C4972)&amp;"-Q"&amp;ROUNDUP(MONTH($C4972)/3,0))</f>
        <v/>
      </c>
      <c r="L4972">
        <f>IF($G4972&lt;&gt;"ALCOHOL","",IF($K4972="","",$H4972*IFERROR(VLOOKUP($K4972,Drink_Templates!$A:$G,7,FALSE),0)))</f>
        <v/>
      </c>
    </row>
    <row r="4973" ht="15" customHeight="1">
      <c r="C4973">
        <f>IF($B4973="","",INT($B4973))</f>
        <v/>
      </c>
      <c r="D4973">
        <f>IF($C4973="","",$C4973-WEEKDAY($C4973,2)+1)</f>
        <v/>
      </c>
      <c r="E4973">
        <f>IF($C4973="","",DATE(YEAR($C4973),MONTH($C4973),1))</f>
        <v/>
      </c>
      <c r="F4973">
        <f>IF($C4973="","",YEAR($C4973)&amp;"-Q"&amp;ROUNDUP(MONTH($C4973)/3,0))</f>
        <v/>
      </c>
      <c r="L4973">
        <f>IF($G4973&lt;&gt;"ALCOHOL","",IF($K4973="","",$H4973*IFERROR(VLOOKUP($K4973,Drink_Templates!$A:$G,7,FALSE),0)))</f>
        <v/>
      </c>
    </row>
    <row r="4974" ht="15" customHeight="1">
      <c r="C4974">
        <f>IF($B4974="","",INT($B4974))</f>
        <v/>
      </c>
      <c r="D4974">
        <f>IF($C4974="","",$C4974-WEEKDAY($C4974,2)+1)</f>
        <v/>
      </c>
      <c r="E4974">
        <f>IF($C4974="","",DATE(YEAR($C4974),MONTH($C4974),1))</f>
        <v/>
      </c>
      <c r="F4974">
        <f>IF($C4974="","",YEAR($C4974)&amp;"-Q"&amp;ROUNDUP(MONTH($C4974)/3,0))</f>
        <v/>
      </c>
      <c r="L4974">
        <f>IF($G4974&lt;&gt;"ALCOHOL","",IF($K4974="","",$H4974*IFERROR(VLOOKUP($K4974,Drink_Templates!$A:$G,7,FALSE),0)))</f>
        <v/>
      </c>
    </row>
    <row r="4975" ht="15" customHeight="1">
      <c r="C4975">
        <f>IF($B4975="","",INT($B4975))</f>
        <v/>
      </c>
      <c r="D4975">
        <f>IF($C4975="","",$C4975-WEEKDAY($C4975,2)+1)</f>
        <v/>
      </c>
      <c r="E4975">
        <f>IF($C4975="","",DATE(YEAR($C4975),MONTH($C4975),1))</f>
        <v/>
      </c>
      <c r="F4975">
        <f>IF($C4975="","",YEAR($C4975)&amp;"-Q"&amp;ROUNDUP(MONTH($C4975)/3,0))</f>
        <v/>
      </c>
      <c r="L4975">
        <f>IF($G4975&lt;&gt;"ALCOHOL","",IF($K4975="","",$H4975*IFERROR(VLOOKUP($K4975,Drink_Templates!$A:$G,7,FALSE),0)))</f>
        <v/>
      </c>
    </row>
    <row r="4976" ht="15" customHeight="1">
      <c r="C4976">
        <f>IF($B4976="","",INT($B4976))</f>
        <v/>
      </c>
      <c r="D4976">
        <f>IF($C4976="","",$C4976-WEEKDAY($C4976,2)+1)</f>
        <v/>
      </c>
      <c r="E4976">
        <f>IF($C4976="","",DATE(YEAR($C4976),MONTH($C4976),1))</f>
        <v/>
      </c>
      <c r="F4976">
        <f>IF($C4976="","",YEAR($C4976)&amp;"-Q"&amp;ROUNDUP(MONTH($C4976)/3,0))</f>
        <v/>
      </c>
      <c r="L4976">
        <f>IF($G4976&lt;&gt;"ALCOHOL","",IF($K4976="","",$H4976*IFERROR(VLOOKUP($K4976,Drink_Templates!$A:$G,7,FALSE),0)))</f>
        <v/>
      </c>
    </row>
    <row r="4977" ht="15" customHeight="1">
      <c r="C4977">
        <f>IF($B4977="","",INT($B4977))</f>
        <v/>
      </c>
      <c r="D4977">
        <f>IF($C4977="","",$C4977-WEEKDAY($C4977,2)+1)</f>
        <v/>
      </c>
      <c r="E4977">
        <f>IF($C4977="","",DATE(YEAR($C4977),MONTH($C4977),1))</f>
        <v/>
      </c>
      <c r="F4977">
        <f>IF($C4977="","",YEAR($C4977)&amp;"-Q"&amp;ROUNDUP(MONTH($C4977)/3,0))</f>
        <v/>
      </c>
      <c r="L4977">
        <f>IF($G4977&lt;&gt;"ALCOHOL","",IF($K4977="","",$H4977*IFERROR(VLOOKUP($K4977,Drink_Templates!$A:$G,7,FALSE),0)))</f>
        <v/>
      </c>
    </row>
    <row r="4978" ht="15" customHeight="1">
      <c r="C4978">
        <f>IF($B4978="","",INT($B4978))</f>
        <v/>
      </c>
      <c r="D4978">
        <f>IF($C4978="","",$C4978-WEEKDAY($C4978,2)+1)</f>
        <v/>
      </c>
      <c r="E4978">
        <f>IF($C4978="","",DATE(YEAR($C4978),MONTH($C4978),1))</f>
        <v/>
      </c>
      <c r="F4978">
        <f>IF($C4978="","",YEAR($C4978)&amp;"-Q"&amp;ROUNDUP(MONTH($C4978)/3,0))</f>
        <v/>
      </c>
      <c r="L4978">
        <f>IF($G4978&lt;&gt;"ALCOHOL","",IF($K4978="","",$H4978*IFERROR(VLOOKUP($K4978,Drink_Templates!$A:$G,7,FALSE),0)))</f>
        <v/>
      </c>
    </row>
    <row r="4979" ht="15" customHeight="1">
      <c r="C4979">
        <f>IF($B4979="","",INT($B4979))</f>
        <v/>
      </c>
      <c r="D4979">
        <f>IF($C4979="","",$C4979-WEEKDAY($C4979,2)+1)</f>
        <v/>
      </c>
      <c r="E4979">
        <f>IF($C4979="","",DATE(YEAR($C4979),MONTH($C4979),1))</f>
        <v/>
      </c>
      <c r="F4979">
        <f>IF($C4979="","",YEAR($C4979)&amp;"-Q"&amp;ROUNDUP(MONTH($C4979)/3,0))</f>
        <v/>
      </c>
      <c r="L4979">
        <f>IF($G4979&lt;&gt;"ALCOHOL","",IF($K4979="","",$H4979*IFERROR(VLOOKUP($K4979,Drink_Templates!$A:$G,7,FALSE),0)))</f>
        <v/>
      </c>
    </row>
    <row r="4980" ht="15" customHeight="1">
      <c r="C4980">
        <f>IF($B4980="","",INT($B4980))</f>
        <v/>
      </c>
      <c r="D4980">
        <f>IF($C4980="","",$C4980-WEEKDAY($C4980,2)+1)</f>
        <v/>
      </c>
      <c r="E4980">
        <f>IF($C4980="","",DATE(YEAR($C4980),MONTH($C4980),1))</f>
        <v/>
      </c>
      <c r="F4980">
        <f>IF($C4980="","",YEAR($C4980)&amp;"-Q"&amp;ROUNDUP(MONTH($C4980)/3,0))</f>
        <v/>
      </c>
      <c r="L4980">
        <f>IF($G4980&lt;&gt;"ALCOHOL","",IF($K4980="","",$H4980*IFERROR(VLOOKUP($K4980,Drink_Templates!$A:$G,7,FALSE),0)))</f>
        <v/>
      </c>
    </row>
    <row r="4981" ht="15" customHeight="1">
      <c r="C4981">
        <f>IF($B4981="","",INT($B4981))</f>
        <v/>
      </c>
      <c r="D4981">
        <f>IF($C4981="","",$C4981-WEEKDAY($C4981,2)+1)</f>
        <v/>
      </c>
      <c r="E4981">
        <f>IF($C4981="","",DATE(YEAR($C4981),MONTH($C4981),1))</f>
        <v/>
      </c>
      <c r="F4981">
        <f>IF($C4981="","",YEAR($C4981)&amp;"-Q"&amp;ROUNDUP(MONTH($C4981)/3,0))</f>
        <v/>
      </c>
      <c r="L4981">
        <f>IF($G4981&lt;&gt;"ALCOHOL","",IF($K4981="","",$H4981*IFERROR(VLOOKUP($K4981,Drink_Templates!$A:$G,7,FALSE),0)))</f>
        <v/>
      </c>
    </row>
    <row r="4982" ht="15" customHeight="1">
      <c r="C4982">
        <f>IF($B4982="","",INT($B4982))</f>
        <v/>
      </c>
      <c r="D4982">
        <f>IF($C4982="","",$C4982-WEEKDAY($C4982,2)+1)</f>
        <v/>
      </c>
      <c r="E4982">
        <f>IF($C4982="","",DATE(YEAR($C4982),MONTH($C4982),1))</f>
        <v/>
      </c>
      <c r="F4982">
        <f>IF($C4982="","",YEAR($C4982)&amp;"-Q"&amp;ROUNDUP(MONTH($C4982)/3,0))</f>
        <v/>
      </c>
      <c r="L4982">
        <f>IF($G4982&lt;&gt;"ALCOHOL","",IF($K4982="","",$H4982*IFERROR(VLOOKUP($K4982,Drink_Templates!$A:$G,7,FALSE),0)))</f>
        <v/>
      </c>
    </row>
    <row r="4983" ht="15" customHeight="1">
      <c r="C4983">
        <f>IF($B4983="","",INT($B4983))</f>
        <v/>
      </c>
      <c r="D4983">
        <f>IF($C4983="","",$C4983-WEEKDAY($C4983,2)+1)</f>
        <v/>
      </c>
      <c r="E4983">
        <f>IF($C4983="","",DATE(YEAR($C4983),MONTH($C4983),1))</f>
        <v/>
      </c>
      <c r="F4983">
        <f>IF($C4983="","",YEAR($C4983)&amp;"-Q"&amp;ROUNDUP(MONTH($C4983)/3,0))</f>
        <v/>
      </c>
      <c r="L4983">
        <f>IF($G4983&lt;&gt;"ALCOHOL","",IF($K4983="","",$H4983*IFERROR(VLOOKUP($K4983,Drink_Templates!$A:$G,7,FALSE),0)))</f>
        <v/>
      </c>
    </row>
    <row r="4984" ht="15" customHeight="1">
      <c r="C4984">
        <f>IF($B4984="","",INT($B4984))</f>
        <v/>
      </c>
      <c r="D4984">
        <f>IF($C4984="","",$C4984-WEEKDAY($C4984,2)+1)</f>
        <v/>
      </c>
      <c r="E4984">
        <f>IF($C4984="","",DATE(YEAR($C4984),MONTH($C4984),1))</f>
        <v/>
      </c>
      <c r="F4984">
        <f>IF($C4984="","",YEAR($C4984)&amp;"-Q"&amp;ROUNDUP(MONTH($C4984)/3,0))</f>
        <v/>
      </c>
      <c r="L4984">
        <f>IF($G4984&lt;&gt;"ALCOHOL","",IF($K4984="","",$H4984*IFERROR(VLOOKUP($K4984,Drink_Templates!$A:$G,7,FALSE),0)))</f>
        <v/>
      </c>
    </row>
    <row r="4985" ht="15" customHeight="1">
      <c r="C4985">
        <f>IF($B4985="","",INT($B4985))</f>
        <v/>
      </c>
      <c r="D4985">
        <f>IF($C4985="","",$C4985-WEEKDAY($C4985,2)+1)</f>
        <v/>
      </c>
      <c r="E4985">
        <f>IF($C4985="","",DATE(YEAR($C4985),MONTH($C4985),1))</f>
        <v/>
      </c>
      <c r="F4985">
        <f>IF($C4985="","",YEAR($C4985)&amp;"-Q"&amp;ROUNDUP(MONTH($C4985)/3,0))</f>
        <v/>
      </c>
      <c r="L4985">
        <f>IF($G4985&lt;&gt;"ALCOHOL","",IF($K4985="","",$H4985*IFERROR(VLOOKUP($K4985,Drink_Templates!$A:$G,7,FALSE),0)))</f>
        <v/>
      </c>
    </row>
    <row r="4986" ht="15" customHeight="1">
      <c r="C4986">
        <f>IF($B4986="","",INT($B4986))</f>
        <v/>
      </c>
      <c r="D4986">
        <f>IF($C4986="","",$C4986-WEEKDAY($C4986,2)+1)</f>
        <v/>
      </c>
      <c r="E4986">
        <f>IF($C4986="","",DATE(YEAR($C4986),MONTH($C4986),1))</f>
        <v/>
      </c>
      <c r="F4986">
        <f>IF($C4986="","",YEAR($C4986)&amp;"-Q"&amp;ROUNDUP(MONTH($C4986)/3,0))</f>
        <v/>
      </c>
      <c r="L4986">
        <f>IF($G4986&lt;&gt;"ALCOHOL","",IF($K4986="","",$H4986*IFERROR(VLOOKUP($K4986,Drink_Templates!$A:$G,7,FALSE),0)))</f>
        <v/>
      </c>
    </row>
    <row r="4987" ht="15" customHeight="1">
      <c r="C4987">
        <f>IF($B4987="","",INT($B4987))</f>
        <v/>
      </c>
      <c r="D4987">
        <f>IF($C4987="","",$C4987-WEEKDAY($C4987,2)+1)</f>
        <v/>
      </c>
      <c r="E4987">
        <f>IF($C4987="","",DATE(YEAR($C4987),MONTH($C4987),1))</f>
        <v/>
      </c>
      <c r="F4987">
        <f>IF($C4987="","",YEAR($C4987)&amp;"-Q"&amp;ROUNDUP(MONTH($C4987)/3,0))</f>
        <v/>
      </c>
      <c r="L4987">
        <f>IF($G4987&lt;&gt;"ALCOHOL","",IF($K4987="","",$H4987*IFERROR(VLOOKUP($K4987,Drink_Templates!$A:$G,7,FALSE),0)))</f>
        <v/>
      </c>
    </row>
    <row r="4988" ht="15" customHeight="1">
      <c r="C4988">
        <f>IF($B4988="","",INT($B4988))</f>
        <v/>
      </c>
      <c r="D4988">
        <f>IF($C4988="","",$C4988-WEEKDAY($C4988,2)+1)</f>
        <v/>
      </c>
      <c r="E4988">
        <f>IF($C4988="","",DATE(YEAR($C4988),MONTH($C4988),1))</f>
        <v/>
      </c>
      <c r="F4988">
        <f>IF($C4988="","",YEAR($C4988)&amp;"-Q"&amp;ROUNDUP(MONTH($C4988)/3,0))</f>
        <v/>
      </c>
      <c r="L4988">
        <f>IF($G4988&lt;&gt;"ALCOHOL","",IF($K4988="","",$H4988*IFERROR(VLOOKUP($K4988,Drink_Templates!$A:$G,7,FALSE),0)))</f>
        <v/>
      </c>
    </row>
    <row r="4989" ht="15" customHeight="1">
      <c r="C4989">
        <f>IF($B4989="","",INT($B4989))</f>
        <v/>
      </c>
      <c r="D4989">
        <f>IF($C4989="","",$C4989-WEEKDAY($C4989,2)+1)</f>
        <v/>
      </c>
      <c r="E4989">
        <f>IF($C4989="","",DATE(YEAR($C4989),MONTH($C4989),1))</f>
        <v/>
      </c>
      <c r="F4989">
        <f>IF($C4989="","",YEAR($C4989)&amp;"-Q"&amp;ROUNDUP(MONTH($C4989)/3,0))</f>
        <v/>
      </c>
      <c r="L4989">
        <f>IF($G4989&lt;&gt;"ALCOHOL","",IF($K4989="","",$H4989*IFERROR(VLOOKUP($K4989,Drink_Templates!$A:$G,7,FALSE),0)))</f>
        <v/>
      </c>
    </row>
    <row r="4990" ht="15" customHeight="1">
      <c r="C4990">
        <f>IF($B4990="","",INT($B4990))</f>
        <v/>
      </c>
      <c r="D4990">
        <f>IF($C4990="","",$C4990-WEEKDAY($C4990,2)+1)</f>
        <v/>
      </c>
      <c r="E4990">
        <f>IF($C4990="","",DATE(YEAR($C4990),MONTH($C4990),1))</f>
        <v/>
      </c>
      <c r="F4990">
        <f>IF($C4990="","",YEAR($C4990)&amp;"-Q"&amp;ROUNDUP(MONTH($C4990)/3,0))</f>
        <v/>
      </c>
      <c r="L4990">
        <f>IF($G4990&lt;&gt;"ALCOHOL","",IF($K4990="","",$H4990*IFERROR(VLOOKUP($K4990,Drink_Templates!$A:$G,7,FALSE),0)))</f>
        <v/>
      </c>
    </row>
    <row r="4991" ht="15" customHeight="1">
      <c r="C4991">
        <f>IF($B4991="","",INT($B4991))</f>
        <v/>
      </c>
      <c r="D4991">
        <f>IF($C4991="","",$C4991-WEEKDAY($C4991,2)+1)</f>
        <v/>
      </c>
      <c r="E4991">
        <f>IF($C4991="","",DATE(YEAR($C4991),MONTH($C4991),1))</f>
        <v/>
      </c>
      <c r="F4991">
        <f>IF($C4991="","",YEAR($C4991)&amp;"-Q"&amp;ROUNDUP(MONTH($C4991)/3,0))</f>
        <v/>
      </c>
      <c r="L4991">
        <f>IF($G4991&lt;&gt;"ALCOHOL","",IF($K4991="","",$H4991*IFERROR(VLOOKUP($K4991,Drink_Templates!$A:$G,7,FALSE),0)))</f>
        <v/>
      </c>
    </row>
    <row r="4992" ht="15" customHeight="1">
      <c r="C4992">
        <f>IF($B4992="","",INT($B4992))</f>
        <v/>
      </c>
      <c r="D4992">
        <f>IF($C4992="","",$C4992-WEEKDAY($C4992,2)+1)</f>
        <v/>
      </c>
      <c r="E4992">
        <f>IF($C4992="","",DATE(YEAR($C4992),MONTH($C4992),1))</f>
        <v/>
      </c>
      <c r="F4992">
        <f>IF($C4992="","",YEAR($C4992)&amp;"-Q"&amp;ROUNDUP(MONTH($C4992)/3,0))</f>
        <v/>
      </c>
      <c r="L4992">
        <f>IF($G4992&lt;&gt;"ALCOHOL","",IF($K4992="","",$H4992*IFERROR(VLOOKUP($K4992,Drink_Templates!$A:$G,7,FALSE),0)))</f>
        <v/>
      </c>
    </row>
    <row r="4993" ht="15" customHeight="1">
      <c r="C4993">
        <f>IF($B4993="","",INT($B4993))</f>
        <v/>
      </c>
      <c r="D4993">
        <f>IF($C4993="","",$C4993-WEEKDAY($C4993,2)+1)</f>
        <v/>
      </c>
      <c r="E4993">
        <f>IF($C4993="","",DATE(YEAR($C4993),MONTH($C4993),1))</f>
        <v/>
      </c>
      <c r="F4993">
        <f>IF($C4993="","",YEAR($C4993)&amp;"-Q"&amp;ROUNDUP(MONTH($C4993)/3,0))</f>
        <v/>
      </c>
      <c r="L4993">
        <f>IF($G4993&lt;&gt;"ALCOHOL","",IF($K4993="","",$H4993*IFERROR(VLOOKUP($K4993,Drink_Templates!$A:$G,7,FALSE),0)))</f>
        <v/>
      </c>
    </row>
    <row r="4994" ht="15" customHeight="1">
      <c r="C4994">
        <f>IF($B4994="","",INT($B4994))</f>
        <v/>
      </c>
      <c r="D4994">
        <f>IF($C4994="","",$C4994-WEEKDAY($C4994,2)+1)</f>
        <v/>
      </c>
      <c r="E4994">
        <f>IF($C4994="","",DATE(YEAR($C4994),MONTH($C4994),1))</f>
        <v/>
      </c>
      <c r="F4994">
        <f>IF($C4994="","",YEAR($C4994)&amp;"-Q"&amp;ROUNDUP(MONTH($C4994)/3,0))</f>
        <v/>
      </c>
      <c r="L4994">
        <f>IF($G4994&lt;&gt;"ALCOHOL","",IF($K4994="","",$H4994*IFERROR(VLOOKUP($K4994,Drink_Templates!$A:$G,7,FALSE),0)))</f>
        <v/>
      </c>
    </row>
    <row r="4995" ht="15" customHeight="1">
      <c r="C4995">
        <f>IF($B4995="","",INT($B4995))</f>
        <v/>
      </c>
      <c r="D4995">
        <f>IF($C4995="","",$C4995-WEEKDAY($C4995,2)+1)</f>
        <v/>
      </c>
      <c r="E4995">
        <f>IF($C4995="","",DATE(YEAR($C4995),MONTH($C4995),1))</f>
        <v/>
      </c>
      <c r="F4995">
        <f>IF($C4995="","",YEAR($C4995)&amp;"-Q"&amp;ROUNDUP(MONTH($C4995)/3,0))</f>
        <v/>
      </c>
      <c r="L4995">
        <f>IF($G4995&lt;&gt;"ALCOHOL","",IF($K4995="","",$H4995*IFERROR(VLOOKUP($K4995,Drink_Templates!$A:$G,7,FALSE),0)))</f>
        <v/>
      </c>
    </row>
    <row r="4996" ht="15" customHeight="1">
      <c r="C4996">
        <f>IF($B4996="","",INT($B4996))</f>
        <v/>
      </c>
      <c r="D4996">
        <f>IF($C4996="","",$C4996-WEEKDAY($C4996,2)+1)</f>
        <v/>
      </c>
      <c r="E4996">
        <f>IF($C4996="","",DATE(YEAR($C4996),MONTH($C4996),1))</f>
        <v/>
      </c>
      <c r="F4996">
        <f>IF($C4996="","",YEAR($C4996)&amp;"-Q"&amp;ROUNDUP(MONTH($C4996)/3,0))</f>
        <v/>
      </c>
      <c r="L4996">
        <f>IF($G4996&lt;&gt;"ALCOHOL","",IF($K4996="","",$H4996*IFERROR(VLOOKUP($K4996,Drink_Templates!$A:$G,7,FALSE),0)))</f>
        <v/>
      </c>
    </row>
    <row r="4997" ht="15" customHeight="1">
      <c r="C4997">
        <f>IF($B4997="","",INT($B4997))</f>
        <v/>
      </c>
      <c r="D4997">
        <f>IF($C4997="","",$C4997-WEEKDAY($C4997,2)+1)</f>
        <v/>
      </c>
      <c r="E4997">
        <f>IF($C4997="","",DATE(YEAR($C4997),MONTH($C4997),1))</f>
        <v/>
      </c>
      <c r="F4997">
        <f>IF($C4997="","",YEAR($C4997)&amp;"-Q"&amp;ROUNDUP(MONTH($C4997)/3,0))</f>
        <v/>
      </c>
      <c r="L4997">
        <f>IF($G4997&lt;&gt;"ALCOHOL","",IF($K4997="","",$H4997*IFERROR(VLOOKUP($K4997,Drink_Templates!$A:$G,7,FALSE),0)))</f>
        <v/>
      </c>
    </row>
    <row r="4998" ht="15" customHeight="1">
      <c r="C4998">
        <f>IF($B4998="","",INT($B4998))</f>
        <v/>
      </c>
      <c r="D4998">
        <f>IF($C4998="","",$C4998-WEEKDAY($C4998,2)+1)</f>
        <v/>
      </c>
      <c r="E4998">
        <f>IF($C4998="","",DATE(YEAR($C4998),MONTH($C4998),1))</f>
        <v/>
      </c>
      <c r="F4998">
        <f>IF($C4998="","",YEAR($C4998)&amp;"-Q"&amp;ROUNDUP(MONTH($C4998)/3,0))</f>
        <v/>
      </c>
      <c r="L4998">
        <f>IF($G4998&lt;&gt;"ALCOHOL","",IF($K4998="","",$H4998*IFERROR(VLOOKUP($K4998,Drink_Templates!$A:$G,7,FALSE),0)))</f>
        <v/>
      </c>
    </row>
    <row r="4999" ht="15" customHeight="1">
      <c r="C4999">
        <f>IF($B4999="","",INT($B4999))</f>
        <v/>
      </c>
      <c r="D4999">
        <f>IF($C4999="","",$C4999-WEEKDAY($C4999,2)+1)</f>
        <v/>
      </c>
      <c r="E4999">
        <f>IF($C4999="","",DATE(YEAR($C4999),MONTH($C4999),1))</f>
        <v/>
      </c>
      <c r="F4999">
        <f>IF($C4999="","",YEAR($C4999)&amp;"-Q"&amp;ROUNDUP(MONTH($C4999)/3,0))</f>
        <v/>
      </c>
      <c r="L4999">
        <f>IF($G4999&lt;&gt;"ALCOHOL","",IF($K4999="","",$H4999*IFERROR(VLOOKUP($K4999,Drink_Templates!$A:$G,7,FALSE),0)))</f>
        <v/>
      </c>
    </row>
    <row r="5000" ht="15" customHeight="1">
      <c r="C5000">
        <f>IF($B5000="","",INT($B5000))</f>
        <v/>
      </c>
      <c r="D5000">
        <f>IF($C5000="","",$C5000-WEEKDAY($C5000,2)+1)</f>
        <v/>
      </c>
      <c r="E5000">
        <f>IF($C5000="","",DATE(YEAR($C5000),MONTH($C5000),1))</f>
        <v/>
      </c>
      <c r="F5000">
        <f>IF($C5000="","",YEAR($C5000)&amp;"-Q"&amp;ROUNDUP(MONTH($C5000)/3,0))</f>
        <v/>
      </c>
      <c r="L5000">
        <f>IF($G5000&lt;&gt;"ALCOHOL","",IF($K5000="","",$H5000*IFERROR(VLOOKUP($K5000,Drink_Templates!$A:$G,7,FALSE),0)))</f>
        <v/>
      </c>
    </row>
    <row r="5001" ht="15" customHeight="1">
      <c r="C5001">
        <f>IF($B5001="","",INT($B5001))</f>
        <v/>
      </c>
      <c r="D5001">
        <f>IF($C5001="","",$C5001-WEEKDAY($C5001,2)+1)</f>
        <v/>
      </c>
      <c r="E5001">
        <f>IF($C5001="","",DATE(YEAR($C5001),MONTH($C5001),1))</f>
        <v/>
      </c>
      <c r="F5001">
        <f>IF($C5001="","",YEAR($C5001)&amp;"-Q"&amp;ROUNDUP(MONTH($C5001)/3,0))</f>
        <v/>
      </c>
      <c r="L5001">
        <f>IF($G5001&lt;&gt;"ALCOHOL","",IF($K5001="","",$H5001*IFERROR(VLOOKUP($K5001,Drink_Templates!$A:$G,7,FALSE),0)))</f>
        <v/>
      </c>
    </row>
    <row r="5002" ht="15" customHeight="1">
      <c r="C5002">
        <f>IF($B5002="","",INT($B5002))</f>
        <v/>
      </c>
      <c r="D5002">
        <f>IF($C5002="","",$C5002-WEEKDAY($C5002,2)+1)</f>
        <v/>
      </c>
      <c r="E5002">
        <f>IF($C5002="","",DATE(YEAR($C5002),MONTH($C5002),1))</f>
        <v/>
      </c>
      <c r="F5002">
        <f>IF($C5002="","",YEAR($C5002)&amp;"-Q"&amp;ROUNDUP(MONTH($C5002)/3,0))</f>
        <v/>
      </c>
      <c r="L5002">
        <f>IF($G5002&lt;&gt;"ALCOHOL","",IF($K5002="","",$H5002*IFERROR(VLOOKUP($K5002,Drink_Templates!$A:$G,7,FALSE),0)))</f>
        <v/>
      </c>
    </row>
    <row r="5003" ht="15" customHeight="1">
      <c r="C5003">
        <f>IF($B5003="","",INT($B5003))</f>
        <v/>
      </c>
      <c r="D5003">
        <f>IF($C5003="","",$C5003-WEEKDAY($C5003,2)+1)</f>
        <v/>
      </c>
      <c r="E5003">
        <f>IF($C5003="","",DATE(YEAR($C5003),MONTH($C5003),1))</f>
        <v/>
      </c>
      <c r="F5003">
        <f>IF($C5003="","",YEAR($C5003)&amp;"-Q"&amp;ROUNDUP(MONTH($C5003)/3,0))</f>
        <v/>
      </c>
      <c r="L5003">
        <f>IF($G5003&lt;&gt;"ALCOHOL","",IF($K5003="","",$H5003*IFERROR(VLOOKUP($K5003,Drink_Templates!$A:$G,7,FALSE),0)))</f>
        <v/>
      </c>
    </row>
    <row r="5004" ht="15" customHeight="1">
      <c r="C5004">
        <f>IF($B5004="","",INT($B5004))</f>
        <v/>
      </c>
      <c r="D5004">
        <f>IF($C5004="","",$C5004-WEEKDAY($C5004,2)+1)</f>
        <v/>
      </c>
      <c r="E5004">
        <f>IF($C5004="","",DATE(YEAR($C5004),MONTH($C5004),1))</f>
        <v/>
      </c>
      <c r="F5004">
        <f>IF($C5004="","",YEAR($C5004)&amp;"-Q"&amp;ROUNDUP(MONTH($C5004)/3,0))</f>
        <v/>
      </c>
      <c r="L5004">
        <f>IF($G5004&lt;&gt;"ALCOHOL","",IF($K5004="","",$H5004*IFERROR(VLOOKUP($K5004,Drink_Templates!$A:$G,7,FALSE),0)))</f>
        <v/>
      </c>
    </row>
    <row r="5005" ht="15" customHeight="1">
      <c r="C5005">
        <f>IF($B5005="","",INT($B5005))</f>
        <v/>
      </c>
      <c r="D5005">
        <f>IF($C5005="","",$C5005-WEEKDAY($C5005,2)+1)</f>
        <v/>
      </c>
      <c r="E5005">
        <f>IF($C5005="","",DATE(YEAR($C5005),MONTH($C5005),1))</f>
        <v/>
      </c>
      <c r="F5005">
        <f>IF($C5005="","",YEAR($C5005)&amp;"-Q"&amp;ROUNDUP(MONTH($C5005)/3,0))</f>
        <v/>
      </c>
      <c r="L5005">
        <f>IF($G5005&lt;&gt;"ALCOHOL","",IF($K5005="","",$H5005*IFERROR(VLOOKUP($K5005,Drink_Templates!$A:$G,7,FALSE),0)))</f>
        <v/>
      </c>
    </row>
    <row r="5006" ht="15" customHeight="1">
      <c r="C5006">
        <f>IF($B5006="","",INT($B5006))</f>
        <v/>
      </c>
      <c r="D5006">
        <f>IF($C5006="","",$C5006-WEEKDAY($C5006,2)+1)</f>
        <v/>
      </c>
      <c r="E5006">
        <f>IF($C5006="","",DATE(YEAR($C5006),MONTH($C5006),1))</f>
        <v/>
      </c>
      <c r="F5006">
        <f>IF($C5006="","",YEAR($C5006)&amp;"-Q"&amp;ROUNDUP(MONTH($C5006)/3,0))</f>
        <v/>
      </c>
      <c r="L5006">
        <f>IF($G5006&lt;&gt;"ALCOHOL","",IF($K5006="","",$H5006*IFERROR(VLOOKUP($K5006,Drink_Templates!$A:$G,7,FALSE),0)))</f>
        <v/>
      </c>
    </row>
    <row r="5007" ht="15" customHeight="1">
      <c r="C5007">
        <f>IF($B5007="","",INT($B5007))</f>
        <v/>
      </c>
      <c r="D5007">
        <f>IF($C5007="","",$C5007-WEEKDAY($C5007,2)+1)</f>
        <v/>
      </c>
      <c r="E5007">
        <f>IF($C5007="","",DATE(YEAR($C5007),MONTH($C5007),1))</f>
        <v/>
      </c>
      <c r="F5007">
        <f>IF($C5007="","",YEAR($C5007)&amp;"-Q"&amp;ROUNDUP(MONTH($C5007)/3,0))</f>
        <v/>
      </c>
      <c r="L5007">
        <f>IF($G5007&lt;&gt;"ALCOHOL","",IF($K5007="","",$H5007*IFERROR(VLOOKUP($K5007,Drink_Templates!$A:$G,7,FALSE),0)))</f>
        <v/>
      </c>
    </row>
    <row r="5008" ht="15" customHeight="1">
      <c r="C5008">
        <f>IF($B5008="","",INT($B5008))</f>
        <v/>
      </c>
      <c r="D5008">
        <f>IF($C5008="","",$C5008-WEEKDAY($C5008,2)+1)</f>
        <v/>
      </c>
      <c r="E5008">
        <f>IF($C5008="","",DATE(YEAR($C5008),MONTH($C5008),1))</f>
        <v/>
      </c>
      <c r="F5008">
        <f>IF($C5008="","",YEAR($C5008)&amp;"-Q"&amp;ROUNDUP(MONTH($C5008)/3,0))</f>
        <v/>
      </c>
      <c r="L5008">
        <f>IF($G5008&lt;&gt;"ALCOHOL","",IF($K5008="","",$H5008*IFERROR(VLOOKUP($K5008,Drink_Templates!$A:$G,7,FALSE),0)))</f>
        <v/>
      </c>
    </row>
    <row r="5009" ht="15" customHeight="1">
      <c r="C5009">
        <f>IF($B5009="","",INT($B5009))</f>
        <v/>
      </c>
      <c r="D5009">
        <f>IF($C5009="","",$C5009-WEEKDAY($C5009,2)+1)</f>
        <v/>
      </c>
      <c r="E5009">
        <f>IF($C5009="","",DATE(YEAR($C5009),MONTH($C5009),1))</f>
        <v/>
      </c>
      <c r="F5009">
        <f>IF($C5009="","",YEAR($C5009)&amp;"-Q"&amp;ROUNDUP(MONTH($C5009)/3,0))</f>
        <v/>
      </c>
      <c r="L5009">
        <f>IF($G5009&lt;&gt;"ALCOHOL","",IF($K5009="","",$H5009*IFERROR(VLOOKUP($K5009,Drink_Templates!$A:$G,7,FALSE),0)))</f>
        <v/>
      </c>
    </row>
    <row r="5010" ht="15" customHeight="1">
      <c r="C5010">
        <f>IF($B5010="","",INT($B5010))</f>
        <v/>
      </c>
      <c r="D5010">
        <f>IF($C5010="","",$C5010-WEEKDAY($C5010,2)+1)</f>
        <v/>
      </c>
      <c r="E5010">
        <f>IF($C5010="","",DATE(YEAR($C5010),MONTH($C5010),1))</f>
        <v/>
      </c>
      <c r="F5010">
        <f>IF($C5010="","",YEAR($C5010)&amp;"-Q"&amp;ROUNDUP(MONTH($C5010)/3,0))</f>
        <v/>
      </c>
      <c r="L5010">
        <f>IF($G5010&lt;&gt;"ALCOHOL","",IF($K5010="","",$H5010*IFERROR(VLOOKUP($K5010,Drink_Templates!$A:$G,7,FALSE),0)))</f>
        <v/>
      </c>
    </row>
    <row r="5011" ht="15" customHeight="1">
      <c r="C5011">
        <f>IF($B5011="","",INT($B5011))</f>
        <v/>
      </c>
      <c r="D5011">
        <f>IF($C5011="","",$C5011-WEEKDAY($C5011,2)+1)</f>
        <v/>
      </c>
      <c r="E5011">
        <f>IF($C5011="","",DATE(YEAR($C5011),MONTH($C5011),1))</f>
        <v/>
      </c>
      <c r="F5011">
        <f>IF($C5011="","",YEAR($C5011)&amp;"-Q"&amp;ROUNDUP(MONTH($C5011)/3,0))</f>
        <v/>
      </c>
      <c r="L5011">
        <f>IF($G5011&lt;&gt;"ALCOHOL","",IF($K5011="","",$H5011*IFERROR(VLOOKUP($K5011,Drink_Templates!$A:$G,7,FALSE),0)))</f>
        <v/>
      </c>
    </row>
    <row r="5012" ht="15" customHeight="1">
      <c r="C5012">
        <f>IF($B5012="","",INT($B5012))</f>
        <v/>
      </c>
      <c r="D5012">
        <f>IF($C5012="","",$C5012-WEEKDAY($C5012,2)+1)</f>
        <v/>
      </c>
      <c r="E5012">
        <f>IF($C5012="","",DATE(YEAR($C5012),MONTH($C5012),1))</f>
        <v/>
      </c>
      <c r="F5012">
        <f>IF($C5012="","",YEAR($C5012)&amp;"-Q"&amp;ROUNDUP(MONTH($C5012)/3,0))</f>
        <v/>
      </c>
      <c r="L5012">
        <f>IF($G5012&lt;&gt;"ALCOHOL","",IF($K5012="","",$H5012*IFERROR(VLOOKUP($K5012,Drink_Templates!$A:$G,7,FALSE),0)))</f>
        <v/>
      </c>
    </row>
    <row r="5013" ht="15" customHeight="1">
      <c r="C5013">
        <f>IF($B5013="","",INT($B5013))</f>
        <v/>
      </c>
      <c r="D5013">
        <f>IF($C5013="","",$C5013-WEEKDAY($C5013,2)+1)</f>
        <v/>
      </c>
      <c r="E5013">
        <f>IF($C5013="","",DATE(YEAR($C5013),MONTH($C5013),1))</f>
        <v/>
      </c>
      <c r="F5013">
        <f>IF($C5013="","",YEAR($C5013)&amp;"-Q"&amp;ROUNDUP(MONTH($C5013)/3,0))</f>
        <v/>
      </c>
      <c r="L5013">
        <f>IF($G5013&lt;&gt;"ALCOHOL","",IF($K5013="","",$H5013*IFERROR(VLOOKUP($K5013,Drink_Templates!$A:$G,7,FALSE),0)))</f>
        <v/>
      </c>
    </row>
    <row r="5014" ht="15" customHeight="1">
      <c r="C5014">
        <f>IF($B5014="","",INT($B5014))</f>
        <v/>
      </c>
      <c r="D5014">
        <f>IF($C5014="","",$C5014-WEEKDAY($C5014,2)+1)</f>
        <v/>
      </c>
      <c r="E5014">
        <f>IF($C5014="","",DATE(YEAR($C5014),MONTH($C5014),1))</f>
        <v/>
      </c>
      <c r="F5014">
        <f>IF($C5014="","",YEAR($C5014)&amp;"-Q"&amp;ROUNDUP(MONTH($C5014)/3,0))</f>
        <v/>
      </c>
      <c r="L5014">
        <f>IF($G5014&lt;&gt;"ALCOHOL","",IF($K5014="","",$H5014*IFERROR(VLOOKUP($K5014,Drink_Templates!$A:$G,7,FALSE),0)))</f>
        <v/>
      </c>
    </row>
    <row r="5015" ht="15" customHeight="1">
      <c r="C5015">
        <f>IF($B5015="","",INT($B5015))</f>
        <v/>
      </c>
      <c r="D5015">
        <f>IF($C5015="","",$C5015-WEEKDAY($C5015,2)+1)</f>
        <v/>
      </c>
      <c r="E5015">
        <f>IF($C5015="","",DATE(YEAR($C5015),MONTH($C5015),1))</f>
        <v/>
      </c>
      <c r="F5015">
        <f>IF($C5015="","",YEAR($C5015)&amp;"-Q"&amp;ROUNDUP(MONTH($C5015)/3,0))</f>
        <v/>
      </c>
      <c r="L5015">
        <f>IF($G5015&lt;&gt;"ALCOHOL","",IF($K5015="","",$H5015*IFERROR(VLOOKUP($K5015,Drink_Templates!$A:$G,7,FALSE),0)))</f>
        <v/>
      </c>
    </row>
    <row r="5016" ht="15" customHeight="1">
      <c r="C5016">
        <f>IF($B5016="","",INT($B5016))</f>
        <v/>
      </c>
      <c r="D5016">
        <f>IF($C5016="","",$C5016-WEEKDAY($C5016,2)+1)</f>
        <v/>
      </c>
      <c r="E5016">
        <f>IF($C5016="","",DATE(YEAR($C5016),MONTH($C5016),1))</f>
        <v/>
      </c>
      <c r="F5016">
        <f>IF($C5016="","",YEAR($C5016)&amp;"-Q"&amp;ROUNDUP(MONTH($C5016)/3,0))</f>
        <v/>
      </c>
      <c r="L5016">
        <f>IF($G5016&lt;&gt;"ALCOHOL","",IF($K5016="","",$H5016*IFERROR(VLOOKUP($K5016,Drink_Templates!$A:$G,7,FALSE),0)))</f>
        <v/>
      </c>
    </row>
    <row r="5017" ht="15" customHeight="1">
      <c r="C5017">
        <f>IF($B5017="","",INT($B5017))</f>
        <v/>
      </c>
      <c r="D5017">
        <f>IF($C5017="","",$C5017-WEEKDAY($C5017,2)+1)</f>
        <v/>
      </c>
      <c r="E5017">
        <f>IF($C5017="","",DATE(YEAR($C5017),MONTH($C5017),1))</f>
        <v/>
      </c>
      <c r="F5017">
        <f>IF($C5017="","",YEAR($C5017)&amp;"-Q"&amp;ROUNDUP(MONTH($C5017)/3,0))</f>
        <v/>
      </c>
      <c r="L5017">
        <f>IF($G5017&lt;&gt;"ALCOHOL","",IF($K5017="","",$H5017*IFERROR(VLOOKUP($K5017,Drink_Templates!$A:$G,7,FALSE),0)))</f>
        <v/>
      </c>
    </row>
    <row r="5018" ht="15" customHeight="1">
      <c r="C5018">
        <f>IF($B5018="","",INT($B5018))</f>
        <v/>
      </c>
      <c r="D5018">
        <f>IF($C5018="","",$C5018-WEEKDAY($C5018,2)+1)</f>
        <v/>
      </c>
      <c r="E5018">
        <f>IF($C5018="","",DATE(YEAR($C5018),MONTH($C5018),1))</f>
        <v/>
      </c>
      <c r="F5018">
        <f>IF($C5018="","",YEAR($C5018)&amp;"-Q"&amp;ROUNDUP(MONTH($C5018)/3,0))</f>
        <v/>
      </c>
      <c r="L5018">
        <f>IF($G5018&lt;&gt;"ALCOHOL","",IF($K5018="","",$H5018*IFERROR(VLOOKUP($K5018,Drink_Templates!$A:$G,7,FALSE),0)))</f>
        <v/>
      </c>
    </row>
    <row r="5019" ht="15" customHeight="1">
      <c r="C5019">
        <f>IF($B5019="","",INT($B5019))</f>
        <v/>
      </c>
      <c r="D5019">
        <f>IF($C5019="","",$C5019-WEEKDAY($C5019,2)+1)</f>
        <v/>
      </c>
      <c r="E5019">
        <f>IF($C5019="","",DATE(YEAR($C5019),MONTH($C5019),1))</f>
        <v/>
      </c>
      <c r="F5019">
        <f>IF($C5019="","",YEAR($C5019)&amp;"-Q"&amp;ROUNDUP(MONTH($C5019)/3,0))</f>
        <v/>
      </c>
      <c r="L5019">
        <f>IF($G5019&lt;&gt;"ALCOHOL","",IF($K5019="","",$H5019*IFERROR(VLOOKUP($K5019,Drink_Templates!$A:$G,7,FALSE),0)))</f>
        <v/>
      </c>
    </row>
    <row r="5020" ht="15" customHeight="1">
      <c r="C5020">
        <f>IF($B5020="","",INT($B5020))</f>
        <v/>
      </c>
      <c r="D5020">
        <f>IF($C5020="","",$C5020-WEEKDAY($C5020,2)+1)</f>
        <v/>
      </c>
      <c r="E5020">
        <f>IF($C5020="","",DATE(YEAR($C5020),MONTH($C5020),1))</f>
        <v/>
      </c>
      <c r="F5020">
        <f>IF($C5020="","",YEAR($C5020)&amp;"-Q"&amp;ROUNDUP(MONTH($C5020)/3,0))</f>
        <v/>
      </c>
      <c r="L5020">
        <f>IF($G5020&lt;&gt;"ALCOHOL","",IF($K5020="","",$H5020*IFERROR(VLOOKUP($K5020,Drink_Templates!$A:$G,7,FALSE),0)))</f>
        <v/>
      </c>
    </row>
    <row r="5021" ht="15" customHeight="1">
      <c r="C5021">
        <f>IF($B5021="","",INT($B5021))</f>
        <v/>
      </c>
      <c r="D5021">
        <f>IF($C5021="","",$C5021-WEEKDAY($C5021,2)+1)</f>
        <v/>
      </c>
      <c r="E5021">
        <f>IF($C5021="","",DATE(YEAR($C5021),MONTH($C5021),1))</f>
        <v/>
      </c>
      <c r="F5021">
        <f>IF($C5021="","",YEAR($C5021)&amp;"-Q"&amp;ROUNDUP(MONTH($C5021)/3,0))</f>
        <v/>
      </c>
      <c r="L5021">
        <f>IF($G5021&lt;&gt;"ALCOHOL","",IF($K5021="","",$H5021*IFERROR(VLOOKUP($K5021,Drink_Templates!$A:$G,7,FALSE),0)))</f>
        <v/>
      </c>
    </row>
    <row r="5022" ht="15" customHeight="1">
      <c r="C5022">
        <f>IF($B5022="","",INT($B5022))</f>
        <v/>
      </c>
      <c r="D5022">
        <f>IF($C5022="","",$C5022-WEEKDAY($C5022,2)+1)</f>
        <v/>
      </c>
      <c r="E5022">
        <f>IF($C5022="","",DATE(YEAR($C5022),MONTH($C5022),1))</f>
        <v/>
      </c>
      <c r="F5022">
        <f>IF($C5022="","",YEAR($C5022)&amp;"-Q"&amp;ROUNDUP(MONTH($C5022)/3,0))</f>
        <v/>
      </c>
      <c r="L5022">
        <f>IF($G5022&lt;&gt;"ALCOHOL","",IF($K5022="","",$H5022*IFERROR(VLOOKUP($K5022,Drink_Templates!$A:$G,7,FALSE),0)))</f>
        <v/>
      </c>
    </row>
    <row r="5023" ht="15" customHeight="1">
      <c r="C5023">
        <f>IF($B5023="","",INT($B5023))</f>
        <v/>
      </c>
      <c r="D5023">
        <f>IF($C5023="","",$C5023-WEEKDAY($C5023,2)+1)</f>
        <v/>
      </c>
      <c r="E5023">
        <f>IF($C5023="","",DATE(YEAR($C5023),MONTH($C5023),1))</f>
        <v/>
      </c>
      <c r="F5023">
        <f>IF($C5023="","",YEAR($C5023)&amp;"-Q"&amp;ROUNDUP(MONTH($C5023)/3,0))</f>
        <v/>
      </c>
      <c r="L5023">
        <f>IF($G5023&lt;&gt;"ALCOHOL","",IF($K5023="","",$H5023*IFERROR(VLOOKUP($K5023,Drink_Templates!$A:$G,7,FALSE),0)))</f>
        <v/>
      </c>
    </row>
    <row r="5024" ht="15" customHeight="1">
      <c r="C5024">
        <f>IF($B5024="","",INT($B5024))</f>
        <v/>
      </c>
      <c r="D5024">
        <f>IF($C5024="","",$C5024-WEEKDAY($C5024,2)+1)</f>
        <v/>
      </c>
      <c r="E5024">
        <f>IF($C5024="","",DATE(YEAR($C5024),MONTH($C5024),1))</f>
        <v/>
      </c>
      <c r="F5024">
        <f>IF($C5024="","",YEAR($C5024)&amp;"-Q"&amp;ROUNDUP(MONTH($C5024)/3,0))</f>
        <v/>
      </c>
      <c r="L5024">
        <f>IF($G5024&lt;&gt;"ALCOHOL","",IF($K5024="","",$H5024*IFERROR(VLOOKUP($K5024,Drink_Templates!$A:$G,7,FALSE),0)))</f>
        <v/>
      </c>
    </row>
    <row r="5025" ht="15" customHeight="1">
      <c r="C5025">
        <f>IF($B5025="","",INT($B5025))</f>
        <v/>
      </c>
      <c r="D5025">
        <f>IF($C5025="","",$C5025-WEEKDAY($C5025,2)+1)</f>
        <v/>
      </c>
      <c r="E5025">
        <f>IF($C5025="","",DATE(YEAR($C5025),MONTH($C5025),1))</f>
        <v/>
      </c>
      <c r="F5025">
        <f>IF($C5025="","",YEAR($C5025)&amp;"-Q"&amp;ROUNDUP(MONTH($C5025)/3,0))</f>
        <v/>
      </c>
      <c r="L5025">
        <f>IF($G5025&lt;&gt;"ALCOHOL","",IF($K5025="","",$H5025*IFERROR(VLOOKUP($K5025,Drink_Templates!$A:$G,7,FALSE),0)))</f>
        <v/>
      </c>
    </row>
    <row r="5026" ht="15" customHeight="1">
      <c r="C5026">
        <f>IF($B5026="","",INT($B5026))</f>
        <v/>
      </c>
      <c r="D5026">
        <f>IF($C5026="","",$C5026-WEEKDAY($C5026,2)+1)</f>
        <v/>
      </c>
      <c r="E5026">
        <f>IF($C5026="","",DATE(YEAR($C5026),MONTH($C5026),1))</f>
        <v/>
      </c>
      <c r="F5026">
        <f>IF($C5026="","",YEAR($C5026)&amp;"-Q"&amp;ROUNDUP(MONTH($C5026)/3,0))</f>
        <v/>
      </c>
      <c r="L5026">
        <f>IF($G5026&lt;&gt;"ALCOHOL","",IF($K5026="","",$H5026*IFERROR(VLOOKUP($K5026,Drink_Templates!$A:$G,7,FALSE),0)))</f>
        <v/>
      </c>
    </row>
    <row r="5027" ht="15" customHeight="1">
      <c r="C5027">
        <f>IF($B5027="","",INT($B5027))</f>
        <v/>
      </c>
      <c r="D5027">
        <f>IF($C5027="","",$C5027-WEEKDAY($C5027,2)+1)</f>
        <v/>
      </c>
      <c r="E5027">
        <f>IF($C5027="","",DATE(YEAR($C5027),MONTH($C5027),1))</f>
        <v/>
      </c>
      <c r="F5027">
        <f>IF($C5027="","",YEAR($C5027)&amp;"-Q"&amp;ROUNDUP(MONTH($C5027)/3,0))</f>
        <v/>
      </c>
      <c r="L5027">
        <f>IF($G5027&lt;&gt;"ALCOHOL","",IF($K5027="","",$H5027*IFERROR(VLOOKUP($K5027,Drink_Templates!$A:$G,7,FALSE),0)))</f>
        <v/>
      </c>
    </row>
    <row r="5028" ht="15" customHeight="1">
      <c r="C5028">
        <f>IF($B5028="","",INT($B5028))</f>
        <v/>
      </c>
      <c r="D5028">
        <f>IF($C5028="","",$C5028-WEEKDAY($C5028,2)+1)</f>
        <v/>
      </c>
      <c r="E5028">
        <f>IF($C5028="","",DATE(YEAR($C5028),MONTH($C5028),1))</f>
        <v/>
      </c>
      <c r="F5028">
        <f>IF($C5028="","",YEAR($C5028)&amp;"-Q"&amp;ROUNDUP(MONTH($C5028)/3,0))</f>
        <v/>
      </c>
      <c r="L5028">
        <f>IF($G5028&lt;&gt;"ALCOHOL","",IF($K5028="","",$H5028*IFERROR(VLOOKUP($K5028,Drink_Templates!$A:$G,7,FALSE),0)))</f>
        <v/>
      </c>
    </row>
    <row r="5029" ht="15" customHeight="1">
      <c r="C5029">
        <f>IF($B5029="","",INT($B5029))</f>
        <v/>
      </c>
      <c r="D5029">
        <f>IF($C5029="","",$C5029-WEEKDAY($C5029,2)+1)</f>
        <v/>
      </c>
      <c r="E5029">
        <f>IF($C5029="","",DATE(YEAR($C5029),MONTH($C5029),1))</f>
        <v/>
      </c>
      <c r="F5029">
        <f>IF($C5029="","",YEAR($C5029)&amp;"-Q"&amp;ROUNDUP(MONTH($C5029)/3,0))</f>
        <v/>
      </c>
      <c r="L5029">
        <f>IF($G5029&lt;&gt;"ALCOHOL","",IF($K5029="","",$H5029*IFERROR(VLOOKUP($K5029,Drink_Templates!$A:$G,7,FALSE),0)))</f>
        <v/>
      </c>
    </row>
    <row r="5030" ht="15" customHeight="1">
      <c r="C5030">
        <f>IF($B5030="","",INT($B5030))</f>
        <v/>
      </c>
      <c r="D5030">
        <f>IF($C5030="","",$C5030-WEEKDAY($C5030,2)+1)</f>
        <v/>
      </c>
      <c r="E5030">
        <f>IF($C5030="","",DATE(YEAR($C5030),MONTH($C5030),1))</f>
        <v/>
      </c>
      <c r="F5030">
        <f>IF($C5030="","",YEAR($C5030)&amp;"-Q"&amp;ROUNDUP(MONTH($C5030)/3,0))</f>
        <v/>
      </c>
      <c r="L5030">
        <f>IF($G5030&lt;&gt;"ALCOHOL","",IF($K5030="","",$H5030*IFERROR(VLOOKUP($K5030,Drink_Templates!$A:$G,7,FALSE),0)))</f>
        <v/>
      </c>
    </row>
    <row r="5031" ht="15" customHeight="1">
      <c r="C5031">
        <f>IF($B5031="","",INT($B5031))</f>
        <v/>
      </c>
      <c r="D5031">
        <f>IF($C5031="","",$C5031-WEEKDAY($C5031,2)+1)</f>
        <v/>
      </c>
      <c r="E5031">
        <f>IF($C5031="","",DATE(YEAR($C5031),MONTH($C5031),1))</f>
        <v/>
      </c>
      <c r="F5031">
        <f>IF($C5031="","",YEAR($C5031)&amp;"-Q"&amp;ROUNDUP(MONTH($C5031)/3,0))</f>
        <v/>
      </c>
      <c r="L5031">
        <f>IF($G5031&lt;&gt;"ALCOHOL","",IF($K5031="","",$H5031*IFERROR(VLOOKUP($K5031,Drink_Templates!$A:$G,7,FALSE),0)))</f>
        <v/>
      </c>
    </row>
    <row r="5032" ht="15" customHeight="1">
      <c r="C5032">
        <f>IF($B5032="","",INT($B5032))</f>
        <v/>
      </c>
      <c r="D5032">
        <f>IF($C5032="","",$C5032-WEEKDAY($C5032,2)+1)</f>
        <v/>
      </c>
      <c r="E5032">
        <f>IF($C5032="","",DATE(YEAR($C5032),MONTH($C5032),1))</f>
        <v/>
      </c>
      <c r="F5032">
        <f>IF($C5032="","",YEAR($C5032)&amp;"-Q"&amp;ROUNDUP(MONTH($C5032)/3,0))</f>
        <v/>
      </c>
      <c r="L5032">
        <f>IF($G5032&lt;&gt;"ALCOHOL","",IF($K5032="","",$H5032*IFERROR(VLOOKUP($K5032,Drink_Templates!$A:$G,7,FALSE),0)))</f>
        <v/>
      </c>
    </row>
    <row r="5033" ht="15" customHeight="1">
      <c r="C5033">
        <f>IF($B5033="","",INT($B5033))</f>
        <v/>
      </c>
      <c r="D5033">
        <f>IF($C5033="","",$C5033-WEEKDAY($C5033,2)+1)</f>
        <v/>
      </c>
      <c r="E5033">
        <f>IF($C5033="","",DATE(YEAR($C5033),MONTH($C5033),1))</f>
        <v/>
      </c>
      <c r="F5033">
        <f>IF($C5033="","",YEAR($C5033)&amp;"-Q"&amp;ROUNDUP(MONTH($C5033)/3,0))</f>
        <v/>
      </c>
      <c r="L5033">
        <f>IF($G5033&lt;&gt;"ALCOHOL","",IF($K5033="","",$H5033*IFERROR(VLOOKUP($K5033,Drink_Templates!$A:$G,7,FALSE),0)))</f>
        <v/>
      </c>
    </row>
    <row r="5034" ht="15" customHeight="1">
      <c r="C5034">
        <f>IF($B5034="","",INT($B5034))</f>
        <v/>
      </c>
      <c r="D5034">
        <f>IF($C5034="","",$C5034-WEEKDAY($C5034,2)+1)</f>
        <v/>
      </c>
      <c r="E5034">
        <f>IF($C5034="","",DATE(YEAR($C5034),MONTH($C5034),1))</f>
        <v/>
      </c>
      <c r="F5034">
        <f>IF($C5034="","",YEAR($C5034)&amp;"-Q"&amp;ROUNDUP(MONTH($C5034)/3,0))</f>
        <v/>
      </c>
      <c r="L5034">
        <f>IF($G5034&lt;&gt;"ALCOHOL","",IF($K5034="","",$H5034*IFERROR(VLOOKUP($K5034,Drink_Templates!$A:$G,7,FALSE),0)))</f>
        <v/>
      </c>
    </row>
    <row r="5035" ht="15" customHeight="1">
      <c r="C5035">
        <f>IF($B5035="","",INT($B5035))</f>
        <v/>
      </c>
      <c r="D5035">
        <f>IF($C5035="","",$C5035-WEEKDAY($C5035,2)+1)</f>
        <v/>
      </c>
      <c r="E5035">
        <f>IF($C5035="","",DATE(YEAR($C5035),MONTH($C5035),1))</f>
        <v/>
      </c>
      <c r="F5035">
        <f>IF($C5035="","",YEAR($C5035)&amp;"-Q"&amp;ROUNDUP(MONTH($C5035)/3,0))</f>
        <v/>
      </c>
      <c r="L5035">
        <f>IF($G5035&lt;&gt;"ALCOHOL","",IF($K5035="","",$H5035*IFERROR(VLOOKUP($K5035,Drink_Templates!$A:$G,7,FALSE),0)))</f>
        <v/>
      </c>
    </row>
    <row r="5036" ht="15" customHeight="1">
      <c r="C5036">
        <f>IF($B5036="","",INT($B5036))</f>
        <v/>
      </c>
      <c r="D5036">
        <f>IF($C5036="","",$C5036-WEEKDAY($C5036,2)+1)</f>
        <v/>
      </c>
      <c r="E5036">
        <f>IF($C5036="","",DATE(YEAR($C5036),MONTH($C5036),1))</f>
        <v/>
      </c>
      <c r="F5036">
        <f>IF($C5036="","",YEAR($C5036)&amp;"-Q"&amp;ROUNDUP(MONTH($C5036)/3,0))</f>
        <v/>
      </c>
      <c r="L5036">
        <f>IF($G5036&lt;&gt;"ALCOHOL","",IF($K5036="","",$H5036*IFERROR(VLOOKUP($K5036,Drink_Templates!$A:$G,7,FALSE),0)))</f>
        <v/>
      </c>
    </row>
    <row r="5037" ht="15" customHeight="1">
      <c r="C5037">
        <f>IF($B5037="","",INT($B5037))</f>
        <v/>
      </c>
      <c r="D5037">
        <f>IF($C5037="","",$C5037-WEEKDAY($C5037,2)+1)</f>
        <v/>
      </c>
      <c r="E5037">
        <f>IF($C5037="","",DATE(YEAR($C5037),MONTH($C5037),1))</f>
        <v/>
      </c>
      <c r="F5037">
        <f>IF($C5037="","",YEAR($C5037)&amp;"-Q"&amp;ROUNDUP(MONTH($C5037)/3,0))</f>
        <v/>
      </c>
      <c r="L5037">
        <f>IF($G5037&lt;&gt;"ALCOHOL","",IF($K5037="","",$H5037*IFERROR(VLOOKUP($K5037,Drink_Templates!$A:$G,7,FALSE),0)))</f>
        <v/>
      </c>
    </row>
    <row r="5038" ht="15" customHeight="1">
      <c r="C5038">
        <f>IF($B5038="","",INT($B5038))</f>
        <v/>
      </c>
      <c r="D5038">
        <f>IF($C5038="","",$C5038-WEEKDAY($C5038,2)+1)</f>
        <v/>
      </c>
      <c r="E5038">
        <f>IF($C5038="","",DATE(YEAR($C5038),MONTH($C5038),1))</f>
        <v/>
      </c>
      <c r="F5038">
        <f>IF($C5038="","",YEAR($C5038)&amp;"-Q"&amp;ROUNDUP(MONTH($C5038)/3,0))</f>
        <v/>
      </c>
      <c r="L5038">
        <f>IF($G5038&lt;&gt;"ALCOHOL","",IF($K5038="","",$H5038*IFERROR(VLOOKUP($K5038,Drink_Templates!$A:$G,7,FALSE),0)))</f>
        <v/>
      </c>
    </row>
    <row r="5039" ht="15" customHeight="1">
      <c r="C5039">
        <f>IF($B5039="","",INT($B5039))</f>
        <v/>
      </c>
      <c r="D5039">
        <f>IF($C5039="","",$C5039-WEEKDAY($C5039,2)+1)</f>
        <v/>
      </c>
      <c r="E5039">
        <f>IF($C5039="","",DATE(YEAR($C5039),MONTH($C5039),1))</f>
        <v/>
      </c>
      <c r="F5039">
        <f>IF($C5039="","",YEAR($C5039)&amp;"-Q"&amp;ROUNDUP(MONTH($C5039)/3,0))</f>
        <v/>
      </c>
      <c r="L5039">
        <f>IF($G5039&lt;&gt;"ALCOHOL","",IF($K5039="","",$H5039*IFERROR(VLOOKUP($K5039,Drink_Templates!$A:$G,7,FALSE),0)))</f>
        <v/>
      </c>
    </row>
    <row r="5040" ht="15" customHeight="1">
      <c r="C5040">
        <f>IF($B5040="","",INT($B5040))</f>
        <v/>
      </c>
      <c r="D5040">
        <f>IF($C5040="","",$C5040-WEEKDAY($C5040,2)+1)</f>
        <v/>
      </c>
      <c r="E5040">
        <f>IF($C5040="","",DATE(YEAR($C5040),MONTH($C5040),1))</f>
        <v/>
      </c>
      <c r="F5040">
        <f>IF($C5040="","",YEAR($C5040)&amp;"-Q"&amp;ROUNDUP(MONTH($C5040)/3,0))</f>
        <v/>
      </c>
      <c r="L5040">
        <f>IF($G5040&lt;&gt;"ALCOHOL","",IF($K5040="","",$H5040*IFERROR(VLOOKUP($K5040,Drink_Templates!$A:$G,7,FALSE),0)))</f>
        <v/>
      </c>
    </row>
    <row r="5041" ht="15" customHeight="1">
      <c r="C5041">
        <f>IF($B5041="","",INT($B5041))</f>
        <v/>
      </c>
      <c r="D5041">
        <f>IF($C5041="","",$C5041-WEEKDAY($C5041,2)+1)</f>
        <v/>
      </c>
      <c r="E5041">
        <f>IF($C5041="","",DATE(YEAR($C5041),MONTH($C5041),1))</f>
        <v/>
      </c>
      <c r="F5041">
        <f>IF($C5041="","",YEAR($C5041)&amp;"-Q"&amp;ROUNDUP(MONTH($C5041)/3,0))</f>
        <v/>
      </c>
      <c r="L5041">
        <f>IF($G5041&lt;&gt;"ALCOHOL","",IF($K5041="","",$H5041*IFERROR(VLOOKUP($K5041,Drink_Templates!$A:$G,7,FALSE),0)))</f>
        <v/>
      </c>
    </row>
    <row r="5042" ht="15" customHeight="1">
      <c r="C5042">
        <f>IF($B5042="","",INT($B5042))</f>
        <v/>
      </c>
      <c r="D5042">
        <f>IF($C5042="","",$C5042-WEEKDAY($C5042,2)+1)</f>
        <v/>
      </c>
      <c r="E5042">
        <f>IF($C5042="","",DATE(YEAR($C5042),MONTH($C5042),1))</f>
        <v/>
      </c>
      <c r="F5042">
        <f>IF($C5042="","",YEAR($C5042)&amp;"-Q"&amp;ROUNDUP(MONTH($C5042)/3,0))</f>
        <v/>
      </c>
      <c r="L5042">
        <f>IF($G5042&lt;&gt;"ALCOHOL","",IF($K5042="","",$H5042*IFERROR(VLOOKUP($K5042,Drink_Templates!$A:$G,7,FALSE),0)))</f>
        <v/>
      </c>
    </row>
    <row r="5043" ht="15" customHeight="1">
      <c r="C5043">
        <f>IF($B5043="","",INT($B5043))</f>
        <v/>
      </c>
      <c r="D5043">
        <f>IF($C5043="","",$C5043-WEEKDAY($C5043,2)+1)</f>
        <v/>
      </c>
      <c r="E5043">
        <f>IF($C5043="","",DATE(YEAR($C5043),MONTH($C5043),1))</f>
        <v/>
      </c>
      <c r="F5043">
        <f>IF($C5043="","",YEAR($C5043)&amp;"-Q"&amp;ROUNDUP(MONTH($C5043)/3,0))</f>
        <v/>
      </c>
      <c r="L5043">
        <f>IF($G5043&lt;&gt;"ALCOHOL","",IF($K5043="","",$H5043*IFERROR(VLOOKUP($K5043,Drink_Templates!$A:$G,7,FALSE),0)))</f>
        <v/>
      </c>
    </row>
    <row r="5044" ht="15" customHeight="1">
      <c r="C5044">
        <f>IF($B5044="","",INT($B5044))</f>
        <v/>
      </c>
      <c r="D5044">
        <f>IF($C5044="","",$C5044-WEEKDAY($C5044,2)+1)</f>
        <v/>
      </c>
      <c r="E5044">
        <f>IF($C5044="","",DATE(YEAR($C5044),MONTH($C5044),1))</f>
        <v/>
      </c>
      <c r="F5044">
        <f>IF($C5044="","",YEAR($C5044)&amp;"-Q"&amp;ROUNDUP(MONTH($C5044)/3,0))</f>
        <v/>
      </c>
      <c r="L5044">
        <f>IF($G5044&lt;&gt;"ALCOHOL","",IF($K5044="","",$H5044*IFERROR(VLOOKUP($K5044,Drink_Templates!$A:$G,7,FALSE),0)))</f>
        <v/>
      </c>
    </row>
    <row r="5045" ht="15" customHeight="1">
      <c r="C5045">
        <f>IF($B5045="","",INT($B5045))</f>
        <v/>
      </c>
      <c r="D5045">
        <f>IF($C5045="","",$C5045-WEEKDAY($C5045,2)+1)</f>
        <v/>
      </c>
      <c r="E5045">
        <f>IF($C5045="","",DATE(YEAR($C5045),MONTH($C5045),1))</f>
        <v/>
      </c>
      <c r="F5045">
        <f>IF($C5045="","",YEAR($C5045)&amp;"-Q"&amp;ROUNDUP(MONTH($C5045)/3,0))</f>
        <v/>
      </c>
      <c r="L5045">
        <f>IF($G5045&lt;&gt;"ALCOHOL","",IF($K5045="","",$H5045*IFERROR(VLOOKUP($K5045,Drink_Templates!$A:$G,7,FALSE),0)))</f>
        <v/>
      </c>
    </row>
    <row r="5046" ht="15" customHeight="1">
      <c r="C5046">
        <f>IF($B5046="","",INT($B5046))</f>
        <v/>
      </c>
      <c r="D5046">
        <f>IF($C5046="","",$C5046-WEEKDAY($C5046,2)+1)</f>
        <v/>
      </c>
      <c r="E5046">
        <f>IF($C5046="","",DATE(YEAR($C5046),MONTH($C5046),1))</f>
        <v/>
      </c>
      <c r="F5046">
        <f>IF($C5046="","",YEAR($C5046)&amp;"-Q"&amp;ROUNDUP(MONTH($C5046)/3,0))</f>
        <v/>
      </c>
      <c r="L5046">
        <f>IF($G5046&lt;&gt;"ALCOHOL","",IF($K5046="","",$H5046*IFERROR(VLOOKUP($K5046,Drink_Templates!$A:$G,7,FALSE),0)))</f>
        <v/>
      </c>
    </row>
    <row r="5047" ht="15" customHeight="1">
      <c r="C5047">
        <f>IF($B5047="","",INT($B5047))</f>
        <v/>
      </c>
      <c r="D5047">
        <f>IF($C5047="","",$C5047-WEEKDAY($C5047,2)+1)</f>
        <v/>
      </c>
      <c r="E5047">
        <f>IF($C5047="","",DATE(YEAR($C5047),MONTH($C5047),1))</f>
        <v/>
      </c>
      <c r="F5047">
        <f>IF($C5047="","",YEAR($C5047)&amp;"-Q"&amp;ROUNDUP(MONTH($C5047)/3,0))</f>
        <v/>
      </c>
      <c r="L5047">
        <f>IF($G5047&lt;&gt;"ALCOHOL","",IF($K5047="","",$H5047*IFERROR(VLOOKUP($K5047,Drink_Templates!$A:$G,7,FALSE),0)))</f>
        <v/>
      </c>
    </row>
    <row r="5048" ht="15" customHeight="1">
      <c r="C5048">
        <f>IF($B5048="","",INT($B5048))</f>
        <v/>
      </c>
      <c r="D5048">
        <f>IF($C5048="","",$C5048-WEEKDAY($C5048,2)+1)</f>
        <v/>
      </c>
      <c r="E5048">
        <f>IF($C5048="","",DATE(YEAR($C5048),MONTH($C5048),1))</f>
        <v/>
      </c>
      <c r="F5048">
        <f>IF($C5048="","",YEAR($C5048)&amp;"-Q"&amp;ROUNDUP(MONTH($C5048)/3,0))</f>
        <v/>
      </c>
      <c r="L5048">
        <f>IF($G5048&lt;&gt;"ALCOHOL","",IF($K5048="","",$H5048*IFERROR(VLOOKUP($K5048,Drink_Templates!$A:$G,7,FALSE),0)))</f>
        <v/>
      </c>
    </row>
    <row r="5049" ht="15" customHeight="1">
      <c r="C5049">
        <f>IF($B5049="","",INT($B5049))</f>
        <v/>
      </c>
      <c r="D5049">
        <f>IF($C5049="","",$C5049-WEEKDAY($C5049,2)+1)</f>
        <v/>
      </c>
      <c r="E5049">
        <f>IF($C5049="","",DATE(YEAR($C5049),MONTH($C5049),1))</f>
        <v/>
      </c>
      <c r="F5049">
        <f>IF($C5049="","",YEAR($C5049)&amp;"-Q"&amp;ROUNDUP(MONTH($C5049)/3,0))</f>
        <v/>
      </c>
      <c r="L5049">
        <f>IF($G5049&lt;&gt;"ALCOHOL","",IF($K5049="","",$H5049*IFERROR(VLOOKUP($K5049,Drink_Templates!$A:$G,7,FALSE),0)))</f>
        <v/>
      </c>
    </row>
    <row r="5050" ht="15" customHeight="1">
      <c r="C5050">
        <f>IF($B5050="","",INT($B5050))</f>
        <v/>
      </c>
      <c r="D5050">
        <f>IF($C5050="","",$C5050-WEEKDAY($C5050,2)+1)</f>
        <v/>
      </c>
      <c r="E5050">
        <f>IF($C5050="","",DATE(YEAR($C5050),MONTH($C5050),1))</f>
        <v/>
      </c>
      <c r="F5050">
        <f>IF($C5050="","",YEAR($C5050)&amp;"-Q"&amp;ROUNDUP(MONTH($C5050)/3,0))</f>
        <v/>
      </c>
      <c r="L5050">
        <f>IF($G5050&lt;&gt;"ALCOHOL","",IF($K5050="","",$H5050*IFERROR(VLOOKUP($K5050,Drink_Templates!$A:$G,7,FALSE),0)))</f>
        <v/>
      </c>
    </row>
    <row r="5051" ht="15" customHeight="1">
      <c r="C5051">
        <f>IF($B5051="","",INT($B5051))</f>
        <v/>
      </c>
      <c r="D5051">
        <f>IF($C5051="","",$C5051-WEEKDAY($C5051,2)+1)</f>
        <v/>
      </c>
      <c r="E5051">
        <f>IF($C5051="","",DATE(YEAR($C5051),MONTH($C5051),1))</f>
        <v/>
      </c>
      <c r="F5051">
        <f>IF($C5051="","",YEAR($C5051)&amp;"-Q"&amp;ROUNDUP(MONTH($C5051)/3,0))</f>
        <v/>
      </c>
      <c r="L5051">
        <f>IF($G5051&lt;&gt;"ALCOHOL","",IF($K5051="","",$H5051*IFERROR(VLOOKUP($K5051,Drink_Templates!$A:$G,7,FALSE),0)))</f>
        <v/>
      </c>
    </row>
    <row r="5052" ht="15" customHeight="1">
      <c r="C5052">
        <f>IF($B5052="","",INT($B5052))</f>
        <v/>
      </c>
      <c r="D5052">
        <f>IF($C5052="","",$C5052-WEEKDAY($C5052,2)+1)</f>
        <v/>
      </c>
      <c r="E5052">
        <f>IF($C5052="","",DATE(YEAR($C5052),MONTH($C5052),1))</f>
        <v/>
      </c>
      <c r="F5052">
        <f>IF($C5052="","",YEAR($C5052)&amp;"-Q"&amp;ROUNDUP(MONTH($C5052)/3,0))</f>
        <v/>
      </c>
      <c r="L5052">
        <f>IF($G5052&lt;&gt;"ALCOHOL","",IF($K5052="","",$H5052*IFERROR(VLOOKUP($K5052,Drink_Templates!$A:$G,7,FALSE),0)))</f>
        <v/>
      </c>
    </row>
    <row r="5053" ht="15" customHeight="1">
      <c r="C5053">
        <f>IF($B5053="","",INT($B5053))</f>
        <v/>
      </c>
      <c r="D5053">
        <f>IF($C5053="","",$C5053-WEEKDAY($C5053,2)+1)</f>
        <v/>
      </c>
      <c r="E5053">
        <f>IF($C5053="","",DATE(YEAR($C5053),MONTH($C5053),1))</f>
        <v/>
      </c>
      <c r="F5053">
        <f>IF($C5053="","",YEAR($C5053)&amp;"-Q"&amp;ROUNDUP(MONTH($C5053)/3,0))</f>
        <v/>
      </c>
      <c r="L5053">
        <f>IF($G5053&lt;&gt;"ALCOHOL","",IF($K5053="","",$H5053*IFERROR(VLOOKUP($K5053,Drink_Templates!$A:$G,7,FALSE),0)))</f>
        <v/>
      </c>
    </row>
    <row r="5054" ht="15" customHeight="1">
      <c r="C5054">
        <f>IF($B5054="","",INT($B5054))</f>
        <v/>
      </c>
      <c r="D5054">
        <f>IF($C5054="","",$C5054-WEEKDAY($C5054,2)+1)</f>
        <v/>
      </c>
      <c r="E5054">
        <f>IF($C5054="","",DATE(YEAR($C5054),MONTH($C5054),1))</f>
        <v/>
      </c>
      <c r="F5054">
        <f>IF($C5054="","",YEAR($C5054)&amp;"-Q"&amp;ROUNDUP(MONTH($C5054)/3,0))</f>
        <v/>
      </c>
      <c r="L5054">
        <f>IF($G5054&lt;&gt;"ALCOHOL","",IF($K5054="","",$H5054*IFERROR(VLOOKUP($K5054,Drink_Templates!$A:$G,7,FALSE),0)))</f>
        <v/>
      </c>
    </row>
    <row r="5055" ht="15" customHeight="1">
      <c r="C5055">
        <f>IF($B5055="","",INT($B5055))</f>
        <v/>
      </c>
      <c r="D5055">
        <f>IF($C5055="","",$C5055-WEEKDAY($C5055,2)+1)</f>
        <v/>
      </c>
      <c r="E5055">
        <f>IF($C5055="","",DATE(YEAR($C5055),MONTH($C5055),1))</f>
        <v/>
      </c>
      <c r="F5055">
        <f>IF($C5055="","",YEAR($C5055)&amp;"-Q"&amp;ROUNDUP(MONTH($C5055)/3,0))</f>
        <v/>
      </c>
      <c r="L5055">
        <f>IF($G5055&lt;&gt;"ALCOHOL","",IF($K5055="","",$H5055*IFERROR(VLOOKUP($K5055,Drink_Templates!$A:$G,7,FALSE),0)))</f>
        <v/>
      </c>
    </row>
    <row r="5056" ht="15" customHeight="1">
      <c r="C5056">
        <f>IF($B5056="","",INT($B5056))</f>
        <v/>
      </c>
      <c r="D5056">
        <f>IF($C5056="","",$C5056-WEEKDAY($C5056,2)+1)</f>
        <v/>
      </c>
      <c r="E5056">
        <f>IF($C5056="","",DATE(YEAR($C5056),MONTH($C5056),1))</f>
        <v/>
      </c>
      <c r="F5056">
        <f>IF($C5056="","",YEAR($C5056)&amp;"-Q"&amp;ROUNDUP(MONTH($C5056)/3,0))</f>
        <v/>
      </c>
      <c r="L5056">
        <f>IF($G5056&lt;&gt;"ALCOHOL","",IF($K5056="","",$H5056*IFERROR(VLOOKUP($K5056,Drink_Templates!$A:$G,7,FALSE),0)))</f>
        <v/>
      </c>
    </row>
    <row r="5057" ht="15" customHeight="1">
      <c r="C5057">
        <f>IF($B5057="","",INT($B5057))</f>
        <v/>
      </c>
      <c r="D5057">
        <f>IF($C5057="","",$C5057-WEEKDAY($C5057,2)+1)</f>
        <v/>
      </c>
      <c r="E5057">
        <f>IF($C5057="","",DATE(YEAR($C5057),MONTH($C5057),1))</f>
        <v/>
      </c>
      <c r="F5057">
        <f>IF($C5057="","",YEAR($C5057)&amp;"-Q"&amp;ROUNDUP(MONTH($C5057)/3,0))</f>
        <v/>
      </c>
      <c r="L5057">
        <f>IF($G5057&lt;&gt;"ALCOHOL","",IF($K5057="","",$H5057*IFERROR(VLOOKUP($K5057,Drink_Templates!$A:$G,7,FALSE),0)))</f>
        <v/>
      </c>
    </row>
    <row r="5058" ht="15" customHeight="1">
      <c r="C5058">
        <f>IF($B5058="","",INT($B5058))</f>
        <v/>
      </c>
      <c r="D5058">
        <f>IF($C5058="","",$C5058-WEEKDAY($C5058,2)+1)</f>
        <v/>
      </c>
      <c r="E5058">
        <f>IF($C5058="","",DATE(YEAR($C5058),MONTH($C5058),1))</f>
        <v/>
      </c>
      <c r="F5058">
        <f>IF($C5058="","",YEAR($C5058)&amp;"-Q"&amp;ROUNDUP(MONTH($C5058)/3,0))</f>
        <v/>
      </c>
      <c r="L5058">
        <f>IF($G5058&lt;&gt;"ALCOHOL","",IF($K5058="","",$H5058*IFERROR(VLOOKUP($K5058,Drink_Templates!$A:$G,7,FALSE),0)))</f>
        <v/>
      </c>
    </row>
    <row r="5059" ht="15" customHeight="1">
      <c r="C5059">
        <f>IF($B5059="","",INT($B5059))</f>
        <v/>
      </c>
      <c r="D5059">
        <f>IF($C5059="","",$C5059-WEEKDAY($C5059,2)+1)</f>
        <v/>
      </c>
      <c r="E5059">
        <f>IF($C5059="","",DATE(YEAR($C5059),MONTH($C5059),1))</f>
        <v/>
      </c>
      <c r="F5059">
        <f>IF($C5059="","",YEAR($C5059)&amp;"-Q"&amp;ROUNDUP(MONTH($C5059)/3,0))</f>
        <v/>
      </c>
      <c r="L5059">
        <f>IF($G5059&lt;&gt;"ALCOHOL","",IF($K5059="","",$H5059*IFERROR(VLOOKUP($K5059,Drink_Templates!$A:$G,7,FALSE),0)))</f>
        <v/>
      </c>
    </row>
    <row r="5060" ht="15" customHeight="1">
      <c r="C5060">
        <f>IF($B5060="","",INT($B5060))</f>
        <v/>
      </c>
      <c r="D5060">
        <f>IF($C5060="","",$C5060-WEEKDAY($C5060,2)+1)</f>
        <v/>
      </c>
      <c r="E5060">
        <f>IF($C5060="","",DATE(YEAR($C5060),MONTH($C5060),1))</f>
        <v/>
      </c>
      <c r="F5060">
        <f>IF($C5060="","",YEAR($C5060)&amp;"-Q"&amp;ROUNDUP(MONTH($C5060)/3,0))</f>
        <v/>
      </c>
      <c r="L5060">
        <f>IF($G5060&lt;&gt;"ALCOHOL","",IF($K5060="","",$H5060*IFERROR(VLOOKUP($K5060,Drink_Templates!$A:$G,7,FALSE),0)))</f>
        <v/>
      </c>
    </row>
    <row r="5061" ht="15" customHeight="1">
      <c r="C5061">
        <f>IF($B5061="","",INT($B5061))</f>
        <v/>
      </c>
      <c r="D5061">
        <f>IF($C5061="","",$C5061-WEEKDAY($C5061,2)+1)</f>
        <v/>
      </c>
      <c r="E5061">
        <f>IF($C5061="","",DATE(YEAR($C5061),MONTH($C5061),1))</f>
        <v/>
      </c>
      <c r="F5061">
        <f>IF($C5061="","",YEAR($C5061)&amp;"-Q"&amp;ROUNDUP(MONTH($C5061)/3,0))</f>
        <v/>
      </c>
      <c r="L5061">
        <f>IF($G5061&lt;&gt;"ALCOHOL","",IF($K5061="","",$H5061*IFERROR(VLOOKUP($K5061,Drink_Templates!$A:$G,7,FALSE),0)))</f>
        <v/>
      </c>
    </row>
    <row r="5062" ht="15" customHeight="1">
      <c r="C5062">
        <f>IF($B5062="","",INT($B5062))</f>
        <v/>
      </c>
      <c r="D5062">
        <f>IF($C5062="","",$C5062-WEEKDAY($C5062,2)+1)</f>
        <v/>
      </c>
      <c r="E5062">
        <f>IF($C5062="","",DATE(YEAR($C5062),MONTH($C5062),1))</f>
        <v/>
      </c>
      <c r="F5062">
        <f>IF($C5062="","",YEAR($C5062)&amp;"-Q"&amp;ROUNDUP(MONTH($C5062)/3,0))</f>
        <v/>
      </c>
      <c r="L5062">
        <f>IF($G5062&lt;&gt;"ALCOHOL","",IF($K5062="","",$H5062*IFERROR(VLOOKUP($K5062,Drink_Templates!$A:$G,7,FALSE),0)))</f>
        <v/>
      </c>
    </row>
    <row r="5063" ht="15" customHeight="1">
      <c r="C5063">
        <f>IF($B5063="","",INT($B5063))</f>
        <v/>
      </c>
      <c r="D5063">
        <f>IF($C5063="","",$C5063-WEEKDAY($C5063,2)+1)</f>
        <v/>
      </c>
      <c r="E5063">
        <f>IF($C5063="","",DATE(YEAR($C5063),MONTH($C5063),1))</f>
        <v/>
      </c>
      <c r="F5063">
        <f>IF($C5063="","",YEAR($C5063)&amp;"-Q"&amp;ROUNDUP(MONTH($C5063)/3,0))</f>
        <v/>
      </c>
      <c r="L5063">
        <f>IF($G5063&lt;&gt;"ALCOHOL","",IF($K5063="","",$H5063*IFERROR(VLOOKUP($K5063,Drink_Templates!$A:$G,7,FALSE),0)))</f>
        <v/>
      </c>
    </row>
    <row r="5064" ht="15" customHeight="1">
      <c r="C5064">
        <f>IF($B5064="","",INT($B5064))</f>
        <v/>
      </c>
      <c r="D5064">
        <f>IF($C5064="","",$C5064-WEEKDAY($C5064,2)+1)</f>
        <v/>
      </c>
      <c r="E5064">
        <f>IF($C5064="","",DATE(YEAR($C5064),MONTH($C5064),1))</f>
        <v/>
      </c>
      <c r="F5064">
        <f>IF($C5064="","",YEAR($C5064)&amp;"-Q"&amp;ROUNDUP(MONTH($C5064)/3,0))</f>
        <v/>
      </c>
      <c r="L5064">
        <f>IF($G5064&lt;&gt;"ALCOHOL","",IF($K5064="","",$H5064*IFERROR(VLOOKUP($K5064,Drink_Templates!$A:$G,7,FALSE),0)))</f>
        <v/>
      </c>
    </row>
    <row r="5065" ht="15" customHeight="1">
      <c r="C5065">
        <f>IF($B5065="","",INT($B5065))</f>
        <v/>
      </c>
      <c r="D5065">
        <f>IF($C5065="","",$C5065-WEEKDAY($C5065,2)+1)</f>
        <v/>
      </c>
      <c r="E5065">
        <f>IF($C5065="","",DATE(YEAR($C5065),MONTH($C5065),1))</f>
        <v/>
      </c>
      <c r="F5065">
        <f>IF($C5065="","",YEAR($C5065)&amp;"-Q"&amp;ROUNDUP(MONTH($C5065)/3,0))</f>
        <v/>
      </c>
      <c r="L5065">
        <f>IF($G5065&lt;&gt;"ALCOHOL","",IF($K5065="","",$H5065*IFERROR(VLOOKUP($K5065,Drink_Templates!$A:$G,7,FALSE),0)))</f>
        <v/>
      </c>
    </row>
    <row r="5066" ht="15" customHeight="1">
      <c r="C5066">
        <f>IF($B5066="","",INT($B5066))</f>
        <v/>
      </c>
      <c r="D5066">
        <f>IF($C5066="","",$C5066-WEEKDAY($C5066,2)+1)</f>
        <v/>
      </c>
      <c r="E5066">
        <f>IF($C5066="","",DATE(YEAR($C5066),MONTH($C5066),1))</f>
        <v/>
      </c>
      <c r="F5066">
        <f>IF($C5066="","",YEAR($C5066)&amp;"-Q"&amp;ROUNDUP(MONTH($C5066)/3,0))</f>
        <v/>
      </c>
      <c r="L5066">
        <f>IF($G5066&lt;&gt;"ALCOHOL","",IF($K5066="","",$H5066*IFERROR(VLOOKUP($K5066,Drink_Templates!$A:$G,7,FALSE),0)))</f>
        <v/>
      </c>
    </row>
    <row r="5067" ht="15" customHeight="1">
      <c r="C5067">
        <f>IF($B5067="","",INT($B5067))</f>
        <v/>
      </c>
      <c r="D5067">
        <f>IF($C5067="","",$C5067-WEEKDAY($C5067,2)+1)</f>
        <v/>
      </c>
      <c r="E5067">
        <f>IF($C5067="","",DATE(YEAR($C5067),MONTH($C5067),1))</f>
        <v/>
      </c>
      <c r="F5067">
        <f>IF($C5067="","",YEAR($C5067)&amp;"-Q"&amp;ROUNDUP(MONTH($C5067)/3,0))</f>
        <v/>
      </c>
      <c r="L5067">
        <f>IF($G5067&lt;&gt;"ALCOHOL","",IF($K5067="","",$H5067*IFERROR(VLOOKUP($K5067,Drink_Templates!$A:$G,7,FALSE),0)))</f>
        <v/>
      </c>
    </row>
    <row r="5068" ht="15" customHeight="1">
      <c r="C5068">
        <f>IF($B5068="","",INT($B5068))</f>
        <v/>
      </c>
      <c r="D5068">
        <f>IF($C5068="","",$C5068-WEEKDAY($C5068,2)+1)</f>
        <v/>
      </c>
      <c r="E5068">
        <f>IF($C5068="","",DATE(YEAR($C5068),MONTH($C5068),1))</f>
        <v/>
      </c>
      <c r="F5068">
        <f>IF($C5068="","",YEAR($C5068)&amp;"-Q"&amp;ROUNDUP(MONTH($C5068)/3,0))</f>
        <v/>
      </c>
      <c r="L5068">
        <f>IF($G5068&lt;&gt;"ALCOHOL","",IF($K5068="","",$H5068*IFERROR(VLOOKUP($K5068,Drink_Templates!$A:$G,7,FALSE),0)))</f>
        <v/>
      </c>
    </row>
    <row r="5069" ht="15" customHeight="1">
      <c r="C5069">
        <f>IF($B5069="","",INT($B5069))</f>
        <v/>
      </c>
      <c r="D5069">
        <f>IF($C5069="","",$C5069-WEEKDAY($C5069,2)+1)</f>
        <v/>
      </c>
      <c r="E5069">
        <f>IF($C5069="","",DATE(YEAR($C5069),MONTH($C5069),1))</f>
        <v/>
      </c>
      <c r="F5069">
        <f>IF($C5069="","",YEAR($C5069)&amp;"-Q"&amp;ROUNDUP(MONTH($C5069)/3,0))</f>
        <v/>
      </c>
      <c r="L5069">
        <f>IF($G5069&lt;&gt;"ALCOHOL","",IF($K5069="","",$H5069*IFERROR(VLOOKUP($K5069,Drink_Templates!$A:$G,7,FALSE),0)))</f>
        <v/>
      </c>
    </row>
    <row r="5070" ht="15" customHeight="1">
      <c r="C5070">
        <f>IF($B5070="","",INT($B5070))</f>
        <v/>
      </c>
      <c r="D5070">
        <f>IF($C5070="","",$C5070-WEEKDAY($C5070,2)+1)</f>
        <v/>
      </c>
      <c r="E5070">
        <f>IF($C5070="","",DATE(YEAR($C5070),MONTH($C5070),1))</f>
        <v/>
      </c>
      <c r="F5070">
        <f>IF($C5070="","",YEAR($C5070)&amp;"-Q"&amp;ROUNDUP(MONTH($C5070)/3,0))</f>
        <v/>
      </c>
      <c r="L5070">
        <f>IF($G5070&lt;&gt;"ALCOHOL","",IF($K5070="","",$H5070*IFERROR(VLOOKUP($K5070,Drink_Templates!$A:$G,7,FALSE),0)))</f>
        <v/>
      </c>
    </row>
    <row r="5071" ht="15" customHeight="1">
      <c r="C5071">
        <f>IF($B5071="","",INT($B5071))</f>
        <v/>
      </c>
      <c r="D5071">
        <f>IF($C5071="","",$C5071-WEEKDAY($C5071,2)+1)</f>
        <v/>
      </c>
      <c r="E5071">
        <f>IF($C5071="","",DATE(YEAR($C5071),MONTH($C5071),1))</f>
        <v/>
      </c>
      <c r="F5071">
        <f>IF($C5071="","",YEAR($C5071)&amp;"-Q"&amp;ROUNDUP(MONTH($C5071)/3,0))</f>
        <v/>
      </c>
      <c r="L5071">
        <f>IF($G5071&lt;&gt;"ALCOHOL","",IF($K5071="","",$H5071*IFERROR(VLOOKUP($K5071,Drink_Templates!$A:$G,7,FALSE),0)))</f>
        <v/>
      </c>
    </row>
    <row r="5072" ht="15" customHeight="1">
      <c r="C5072">
        <f>IF($B5072="","",INT($B5072))</f>
        <v/>
      </c>
      <c r="D5072">
        <f>IF($C5072="","",$C5072-WEEKDAY($C5072,2)+1)</f>
        <v/>
      </c>
      <c r="E5072">
        <f>IF($C5072="","",DATE(YEAR($C5072),MONTH($C5072),1))</f>
        <v/>
      </c>
      <c r="F5072">
        <f>IF($C5072="","",YEAR($C5072)&amp;"-Q"&amp;ROUNDUP(MONTH($C5072)/3,0))</f>
        <v/>
      </c>
      <c r="L5072">
        <f>IF($G5072&lt;&gt;"ALCOHOL","",IF($K5072="","",$H5072*IFERROR(VLOOKUP($K5072,Drink_Templates!$A:$G,7,FALSE),0)))</f>
        <v/>
      </c>
    </row>
    <row r="5073" ht="15" customHeight="1">
      <c r="C5073">
        <f>IF($B5073="","",INT($B5073))</f>
        <v/>
      </c>
      <c r="D5073">
        <f>IF($C5073="","",$C5073-WEEKDAY($C5073,2)+1)</f>
        <v/>
      </c>
      <c r="E5073">
        <f>IF($C5073="","",DATE(YEAR($C5073),MONTH($C5073),1))</f>
        <v/>
      </c>
      <c r="F5073">
        <f>IF($C5073="","",YEAR($C5073)&amp;"-Q"&amp;ROUNDUP(MONTH($C5073)/3,0))</f>
        <v/>
      </c>
      <c r="L5073">
        <f>IF($G5073&lt;&gt;"ALCOHOL","",IF($K5073="","",$H5073*IFERROR(VLOOKUP($K5073,Drink_Templates!$A:$G,7,FALSE),0)))</f>
        <v/>
      </c>
    </row>
    <row r="5074" ht="15" customHeight="1">
      <c r="C5074">
        <f>IF($B5074="","",INT($B5074))</f>
        <v/>
      </c>
      <c r="D5074">
        <f>IF($C5074="","",$C5074-WEEKDAY($C5074,2)+1)</f>
        <v/>
      </c>
      <c r="E5074">
        <f>IF($C5074="","",DATE(YEAR($C5074),MONTH($C5074),1))</f>
        <v/>
      </c>
      <c r="F5074">
        <f>IF($C5074="","",YEAR($C5074)&amp;"-Q"&amp;ROUNDUP(MONTH($C5074)/3,0))</f>
        <v/>
      </c>
      <c r="L5074">
        <f>IF($G5074&lt;&gt;"ALCOHOL","",IF($K5074="","",$H5074*IFERROR(VLOOKUP($K5074,Drink_Templates!$A:$G,7,FALSE),0)))</f>
        <v/>
      </c>
    </row>
    <row r="5075" ht="15" customHeight="1">
      <c r="C5075">
        <f>IF($B5075="","",INT($B5075))</f>
        <v/>
      </c>
      <c r="D5075">
        <f>IF($C5075="","",$C5075-WEEKDAY($C5075,2)+1)</f>
        <v/>
      </c>
      <c r="E5075">
        <f>IF($C5075="","",DATE(YEAR($C5075),MONTH($C5075),1))</f>
        <v/>
      </c>
      <c r="F5075">
        <f>IF($C5075="","",YEAR($C5075)&amp;"-Q"&amp;ROUNDUP(MONTH($C5075)/3,0))</f>
        <v/>
      </c>
      <c r="L5075">
        <f>IF($G5075&lt;&gt;"ALCOHOL","",IF($K5075="","",$H5075*IFERROR(VLOOKUP($K5075,Drink_Templates!$A:$G,7,FALSE),0)))</f>
        <v/>
      </c>
    </row>
    <row r="5076" ht="15" customHeight="1">
      <c r="C5076">
        <f>IF($B5076="","",INT($B5076))</f>
        <v/>
      </c>
      <c r="D5076">
        <f>IF($C5076="","",$C5076-WEEKDAY($C5076,2)+1)</f>
        <v/>
      </c>
      <c r="E5076">
        <f>IF($C5076="","",DATE(YEAR($C5076),MONTH($C5076),1))</f>
        <v/>
      </c>
      <c r="F5076">
        <f>IF($C5076="","",YEAR($C5076)&amp;"-Q"&amp;ROUNDUP(MONTH($C5076)/3,0))</f>
        <v/>
      </c>
      <c r="L5076">
        <f>IF($G5076&lt;&gt;"ALCOHOL","",IF($K5076="","",$H5076*IFERROR(VLOOKUP($K5076,Drink_Templates!$A:$G,7,FALSE),0)))</f>
        <v/>
      </c>
    </row>
    <row r="5077" ht="15" customHeight="1">
      <c r="C5077">
        <f>IF($B5077="","",INT($B5077))</f>
        <v/>
      </c>
      <c r="D5077">
        <f>IF($C5077="","",$C5077-WEEKDAY($C5077,2)+1)</f>
        <v/>
      </c>
      <c r="E5077">
        <f>IF($C5077="","",DATE(YEAR($C5077),MONTH($C5077),1))</f>
        <v/>
      </c>
      <c r="F5077">
        <f>IF($C5077="","",YEAR($C5077)&amp;"-Q"&amp;ROUNDUP(MONTH($C5077)/3,0))</f>
        <v/>
      </c>
      <c r="L5077">
        <f>IF($G5077&lt;&gt;"ALCOHOL","",IF($K5077="","",$H5077*IFERROR(VLOOKUP($K5077,Drink_Templates!$A:$G,7,FALSE),0)))</f>
        <v/>
      </c>
    </row>
    <row r="5078" ht="15" customHeight="1">
      <c r="C5078">
        <f>IF($B5078="","",INT($B5078))</f>
        <v/>
      </c>
      <c r="D5078">
        <f>IF($C5078="","",$C5078-WEEKDAY($C5078,2)+1)</f>
        <v/>
      </c>
      <c r="E5078">
        <f>IF($C5078="","",DATE(YEAR($C5078),MONTH($C5078),1))</f>
        <v/>
      </c>
      <c r="F5078">
        <f>IF($C5078="","",YEAR($C5078)&amp;"-Q"&amp;ROUNDUP(MONTH($C5078)/3,0))</f>
        <v/>
      </c>
      <c r="L5078">
        <f>IF($G5078&lt;&gt;"ALCOHOL","",IF($K5078="","",$H5078*IFERROR(VLOOKUP($K5078,Drink_Templates!$A:$G,7,FALSE),0)))</f>
        <v/>
      </c>
    </row>
    <row r="5079" ht="15" customHeight="1">
      <c r="C5079">
        <f>IF($B5079="","",INT($B5079))</f>
        <v/>
      </c>
      <c r="D5079">
        <f>IF($C5079="","",$C5079-WEEKDAY($C5079,2)+1)</f>
        <v/>
      </c>
      <c r="E5079">
        <f>IF($C5079="","",DATE(YEAR($C5079),MONTH($C5079),1))</f>
        <v/>
      </c>
      <c r="F5079">
        <f>IF($C5079="","",YEAR($C5079)&amp;"-Q"&amp;ROUNDUP(MONTH($C5079)/3,0))</f>
        <v/>
      </c>
      <c r="L5079">
        <f>IF($G5079&lt;&gt;"ALCOHOL","",IF($K5079="","",$H5079*IFERROR(VLOOKUP($K5079,Drink_Templates!$A:$G,7,FALSE),0)))</f>
        <v/>
      </c>
    </row>
    <row r="5080" ht="15" customHeight="1">
      <c r="C5080">
        <f>IF($B5080="","",INT($B5080))</f>
        <v/>
      </c>
      <c r="D5080">
        <f>IF($C5080="","",$C5080-WEEKDAY($C5080,2)+1)</f>
        <v/>
      </c>
      <c r="E5080">
        <f>IF($C5080="","",DATE(YEAR($C5080),MONTH($C5080),1))</f>
        <v/>
      </c>
      <c r="F5080">
        <f>IF($C5080="","",YEAR($C5080)&amp;"-Q"&amp;ROUNDUP(MONTH($C5080)/3,0))</f>
        <v/>
      </c>
      <c r="L5080">
        <f>IF($G5080&lt;&gt;"ALCOHOL","",IF($K5080="","",$H5080*IFERROR(VLOOKUP($K5080,Drink_Templates!$A:$G,7,FALSE),0)))</f>
        <v/>
      </c>
    </row>
    <row r="5081" ht="15" customHeight="1">
      <c r="C5081">
        <f>IF($B5081="","",INT($B5081))</f>
        <v/>
      </c>
      <c r="D5081">
        <f>IF($C5081="","",$C5081-WEEKDAY($C5081,2)+1)</f>
        <v/>
      </c>
      <c r="E5081">
        <f>IF($C5081="","",DATE(YEAR($C5081),MONTH($C5081),1))</f>
        <v/>
      </c>
      <c r="F5081">
        <f>IF($C5081="","",YEAR($C5081)&amp;"-Q"&amp;ROUNDUP(MONTH($C5081)/3,0))</f>
        <v/>
      </c>
      <c r="L5081">
        <f>IF($G5081&lt;&gt;"ALCOHOL","",IF($K5081="","",$H5081*IFERROR(VLOOKUP($K5081,Drink_Templates!$A:$G,7,FALSE),0)))</f>
        <v/>
      </c>
    </row>
    <row r="5082" ht="15" customHeight="1">
      <c r="C5082">
        <f>IF($B5082="","",INT($B5082))</f>
        <v/>
      </c>
      <c r="D5082">
        <f>IF($C5082="","",$C5082-WEEKDAY($C5082,2)+1)</f>
        <v/>
      </c>
      <c r="E5082">
        <f>IF($C5082="","",DATE(YEAR($C5082),MONTH($C5082),1))</f>
        <v/>
      </c>
      <c r="F5082">
        <f>IF($C5082="","",YEAR($C5082)&amp;"-Q"&amp;ROUNDUP(MONTH($C5082)/3,0))</f>
        <v/>
      </c>
      <c r="L5082">
        <f>IF($G5082&lt;&gt;"ALCOHOL","",IF($K5082="","",$H5082*IFERROR(VLOOKUP($K5082,Drink_Templates!$A:$G,7,FALSE),0)))</f>
        <v/>
      </c>
    </row>
    <row r="5083" ht="15" customHeight="1">
      <c r="C5083">
        <f>IF($B5083="","",INT($B5083))</f>
        <v/>
      </c>
      <c r="D5083">
        <f>IF($C5083="","",$C5083-WEEKDAY($C5083,2)+1)</f>
        <v/>
      </c>
      <c r="E5083">
        <f>IF($C5083="","",DATE(YEAR($C5083),MONTH($C5083),1))</f>
        <v/>
      </c>
      <c r="F5083">
        <f>IF($C5083="","",YEAR($C5083)&amp;"-Q"&amp;ROUNDUP(MONTH($C5083)/3,0))</f>
        <v/>
      </c>
      <c r="L5083">
        <f>IF($G5083&lt;&gt;"ALCOHOL","",IF($K5083="","",$H5083*IFERROR(VLOOKUP($K5083,Drink_Templates!$A:$G,7,FALSE),0)))</f>
        <v/>
      </c>
    </row>
    <row r="5084" ht="15" customHeight="1">
      <c r="C5084">
        <f>IF($B5084="","",INT($B5084))</f>
        <v/>
      </c>
      <c r="D5084">
        <f>IF($C5084="","",$C5084-WEEKDAY($C5084,2)+1)</f>
        <v/>
      </c>
      <c r="E5084">
        <f>IF($C5084="","",DATE(YEAR($C5084),MONTH($C5084),1))</f>
        <v/>
      </c>
      <c r="F5084">
        <f>IF($C5084="","",YEAR($C5084)&amp;"-Q"&amp;ROUNDUP(MONTH($C5084)/3,0))</f>
        <v/>
      </c>
      <c r="L5084">
        <f>IF($G5084&lt;&gt;"ALCOHOL","",IF($K5084="","",$H5084*IFERROR(VLOOKUP($K5084,Drink_Templates!$A:$G,7,FALSE),0)))</f>
        <v/>
      </c>
    </row>
    <row r="5085" ht="15" customHeight="1">
      <c r="C5085">
        <f>IF($B5085="","",INT($B5085))</f>
        <v/>
      </c>
      <c r="D5085">
        <f>IF($C5085="","",$C5085-WEEKDAY($C5085,2)+1)</f>
        <v/>
      </c>
      <c r="E5085">
        <f>IF($C5085="","",DATE(YEAR($C5085),MONTH($C5085),1))</f>
        <v/>
      </c>
      <c r="F5085">
        <f>IF($C5085="","",YEAR($C5085)&amp;"-Q"&amp;ROUNDUP(MONTH($C5085)/3,0))</f>
        <v/>
      </c>
      <c r="L5085">
        <f>IF($G5085&lt;&gt;"ALCOHOL","",IF($K5085="","",$H5085*IFERROR(VLOOKUP($K5085,Drink_Templates!$A:$G,7,FALSE),0)))</f>
        <v/>
      </c>
    </row>
    <row r="5086" ht="15" customHeight="1">
      <c r="C5086">
        <f>IF($B5086="","",INT($B5086))</f>
        <v/>
      </c>
      <c r="D5086">
        <f>IF($C5086="","",$C5086-WEEKDAY($C5086,2)+1)</f>
        <v/>
      </c>
      <c r="E5086">
        <f>IF($C5086="","",DATE(YEAR($C5086),MONTH($C5086),1))</f>
        <v/>
      </c>
      <c r="F5086">
        <f>IF($C5086="","",YEAR($C5086)&amp;"-Q"&amp;ROUNDUP(MONTH($C5086)/3,0))</f>
        <v/>
      </c>
      <c r="L5086">
        <f>IF($G5086&lt;&gt;"ALCOHOL","",IF($K5086="","",$H5086*IFERROR(VLOOKUP($K5086,Drink_Templates!$A:$G,7,FALSE),0)))</f>
        <v/>
      </c>
    </row>
    <row r="5087" ht="15" customHeight="1">
      <c r="C5087">
        <f>IF($B5087="","",INT($B5087))</f>
        <v/>
      </c>
      <c r="D5087">
        <f>IF($C5087="","",$C5087-WEEKDAY($C5087,2)+1)</f>
        <v/>
      </c>
      <c r="E5087">
        <f>IF($C5087="","",DATE(YEAR($C5087),MONTH($C5087),1))</f>
        <v/>
      </c>
      <c r="F5087">
        <f>IF($C5087="","",YEAR($C5087)&amp;"-Q"&amp;ROUNDUP(MONTH($C5087)/3,0))</f>
        <v/>
      </c>
      <c r="L5087">
        <f>IF($G5087&lt;&gt;"ALCOHOL","",IF($K5087="","",$H5087*IFERROR(VLOOKUP($K5087,Drink_Templates!$A:$G,7,FALSE),0)))</f>
        <v/>
      </c>
    </row>
    <row r="5088" ht="15" customHeight="1">
      <c r="C5088">
        <f>IF($B5088="","",INT($B5088))</f>
        <v/>
      </c>
      <c r="D5088">
        <f>IF($C5088="","",$C5088-WEEKDAY($C5088,2)+1)</f>
        <v/>
      </c>
      <c r="E5088">
        <f>IF($C5088="","",DATE(YEAR($C5088),MONTH($C5088),1))</f>
        <v/>
      </c>
      <c r="F5088">
        <f>IF($C5088="","",YEAR($C5088)&amp;"-Q"&amp;ROUNDUP(MONTH($C5088)/3,0))</f>
        <v/>
      </c>
      <c r="L5088">
        <f>IF($G5088&lt;&gt;"ALCOHOL","",IF($K5088="","",$H5088*IFERROR(VLOOKUP($K5088,Drink_Templates!$A:$G,7,FALSE),0)))</f>
        <v/>
      </c>
    </row>
    <row r="5089" ht="15" customHeight="1">
      <c r="C5089">
        <f>IF($B5089="","",INT($B5089))</f>
        <v/>
      </c>
      <c r="D5089">
        <f>IF($C5089="","",$C5089-WEEKDAY($C5089,2)+1)</f>
        <v/>
      </c>
      <c r="E5089">
        <f>IF($C5089="","",DATE(YEAR($C5089),MONTH($C5089),1))</f>
        <v/>
      </c>
      <c r="F5089">
        <f>IF($C5089="","",YEAR($C5089)&amp;"-Q"&amp;ROUNDUP(MONTH($C5089)/3,0))</f>
        <v/>
      </c>
      <c r="L5089">
        <f>IF($G5089&lt;&gt;"ALCOHOL","",IF($K5089="","",$H5089*IFERROR(VLOOKUP($K5089,Drink_Templates!$A:$G,7,FALSE),0)))</f>
        <v/>
      </c>
    </row>
    <row r="5090" ht="15" customHeight="1">
      <c r="C5090">
        <f>IF($B5090="","",INT($B5090))</f>
        <v/>
      </c>
      <c r="D5090">
        <f>IF($C5090="","",$C5090-WEEKDAY($C5090,2)+1)</f>
        <v/>
      </c>
      <c r="E5090">
        <f>IF($C5090="","",DATE(YEAR($C5090),MONTH($C5090),1))</f>
        <v/>
      </c>
      <c r="F5090">
        <f>IF($C5090="","",YEAR($C5090)&amp;"-Q"&amp;ROUNDUP(MONTH($C5090)/3,0))</f>
        <v/>
      </c>
      <c r="L5090">
        <f>IF($G5090&lt;&gt;"ALCOHOL","",IF($K5090="","",$H5090*IFERROR(VLOOKUP($K5090,Drink_Templates!$A:$G,7,FALSE),0)))</f>
        <v/>
      </c>
    </row>
    <row r="5091" ht="15" customHeight="1">
      <c r="C5091">
        <f>IF($B5091="","",INT($B5091))</f>
        <v/>
      </c>
      <c r="D5091">
        <f>IF($C5091="","",$C5091-WEEKDAY($C5091,2)+1)</f>
        <v/>
      </c>
      <c r="E5091">
        <f>IF($C5091="","",DATE(YEAR($C5091),MONTH($C5091),1))</f>
        <v/>
      </c>
      <c r="F5091">
        <f>IF($C5091="","",YEAR($C5091)&amp;"-Q"&amp;ROUNDUP(MONTH($C5091)/3,0))</f>
        <v/>
      </c>
      <c r="L5091">
        <f>IF($G5091&lt;&gt;"ALCOHOL","",IF($K5091="","",$H5091*IFERROR(VLOOKUP($K5091,Drink_Templates!$A:$G,7,FALSE),0)))</f>
        <v/>
      </c>
    </row>
    <row r="5092" ht="15" customHeight="1">
      <c r="C5092">
        <f>IF($B5092="","",INT($B5092))</f>
        <v/>
      </c>
      <c r="D5092">
        <f>IF($C5092="","",$C5092-WEEKDAY($C5092,2)+1)</f>
        <v/>
      </c>
      <c r="E5092">
        <f>IF($C5092="","",DATE(YEAR($C5092),MONTH($C5092),1))</f>
        <v/>
      </c>
      <c r="F5092">
        <f>IF($C5092="","",YEAR($C5092)&amp;"-Q"&amp;ROUNDUP(MONTH($C5092)/3,0))</f>
        <v/>
      </c>
      <c r="L5092">
        <f>IF($G5092&lt;&gt;"ALCOHOL","",IF($K5092="","",$H5092*IFERROR(VLOOKUP($K5092,Drink_Templates!$A:$G,7,FALSE),0)))</f>
        <v/>
      </c>
    </row>
    <row r="5093" ht="15" customHeight="1">
      <c r="C5093">
        <f>IF($B5093="","",INT($B5093))</f>
        <v/>
      </c>
      <c r="D5093">
        <f>IF($C5093="","",$C5093-WEEKDAY($C5093,2)+1)</f>
        <v/>
      </c>
      <c r="E5093">
        <f>IF($C5093="","",DATE(YEAR($C5093),MONTH($C5093),1))</f>
        <v/>
      </c>
      <c r="F5093">
        <f>IF($C5093="","",YEAR($C5093)&amp;"-Q"&amp;ROUNDUP(MONTH($C5093)/3,0))</f>
        <v/>
      </c>
      <c r="L5093">
        <f>IF($G5093&lt;&gt;"ALCOHOL","",IF($K5093="","",$H5093*IFERROR(VLOOKUP($K5093,Drink_Templates!$A:$G,7,FALSE),0)))</f>
        <v/>
      </c>
    </row>
    <row r="5094" ht="15" customHeight="1">
      <c r="C5094">
        <f>IF($B5094="","",INT($B5094))</f>
        <v/>
      </c>
      <c r="D5094">
        <f>IF($C5094="","",$C5094-WEEKDAY($C5094,2)+1)</f>
        <v/>
      </c>
      <c r="E5094">
        <f>IF($C5094="","",DATE(YEAR($C5094),MONTH($C5094),1))</f>
        <v/>
      </c>
      <c r="F5094">
        <f>IF($C5094="","",YEAR($C5094)&amp;"-Q"&amp;ROUNDUP(MONTH($C5094)/3,0))</f>
        <v/>
      </c>
      <c r="L5094">
        <f>IF($G5094&lt;&gt;"ALCOHOL","",IF($K5094="","",$H5094*IFERROR(VLOOKUP($K5094,Drink_Templates!$A:$G,7,FALSE),0)))</f>
        <v/>
      </c>
    </row>
    <row r="5095" ht="15" customHeight="1">
      <c r="C5095">
        <f>IF($B5095="","",INT($B5095))</f>
        <v/>
      </c>
      <c r="D5095">
        <f>IF($C5095="","",$C5095-WEEKDAY($C5095,2)+1)</f>
        <v/>
      </c>
      <c r="E5095">
        <f>IF($C5095="","",DATE(YEAR($C5095),MONTH($C5095),1))</f>
        <v/>
      </c>
      <c r="F5095">
        <f>IF($C5095="","",YEAR($C5095)&amp;"-Q"&amp;ROUNDUP(MONTH($C5095)/3,0))</f>
        <v/>
      </c>
      <c r="L5095">
        <f>IF($G5095&lt;&gt;"ALCOHOL","",IF($K5095="","",$H5095*IFERROR(VLOOKUP($K5095,Drink_Templates!$A:$G,7,FALSE),0)))</f>
        <v/>
      </c>
    </row>
    <row r="5096" ht="15" customHeight="1">
      <c r="C5096">
        <f>IF($B5096="","",INT($B5096))</f>
        <v/>
      </c>
      <c r="D5096">
        <f>IF($C5096="","",$C5096-WEEKDAY($C5096,2)+1)</f>
        <v/>
      </c>
      <c r="E5096">
        <f>IF($C5096="","",DATE(YEAR($C5096),MONTH($C5096),1))</f>
        <v/>
      </c>
      <c r="F5096">
        <f>IF($C5096="","",YEAR($C5096)&amp;"-Q"&amp;ROUNDUP(MONTH($C5096)/3,0))</f>
        <v/>
      </c>
      <c r="L5096">
        <f>IF($G5096&lt;&gt;"ALCOHOL","",IF($K5096="","",$H5096*IFERROR(VLOOKUP($K5096,Drink_Templates!$A:$G,7,FALSE),0)))</f>
        <v/>
      </c>
    </row>
    <row r="5097" ht="15" customHeight="1">
      <c r="C5097">
        <f>IF($B5097="","",INT($B5097))</f>
        <v/>
      </c>
      <c r="D5097">
        <f>IF($C5097="","",$C5097-WEEKDAY($C5097,2)+1)</f>
        <v/>
      </c>
      <c r="E5097">
        <f>IF($C5097="","",DATE(YEAR($C5097),MONTH($C5097),1))</f>
        <v/>
      </c>
      <c r="F5097">
        <f>IF($C5097="","",YEAR($C5097)&amp;"-Q"&amp;ROUNDUP(MONTH($C5097)/3,0))</f>
        <v/>
      </c>
      <c r="L5097">
        <f>IF($G5097&lt;&gt;"ALCOHOL","",IF($K5097="","",$H5097*IFERROR(VLOOKUP($K5097,Drink_Templates!$A:$G,7,FALSE),0)))</f>
        <v/>
      </c>
    </row>
    <row r="5098" ht="15" customHeight="1">
      <c r="C5098">
        <f>IF($B5098="","",INT($B5098))</f>
        <v/>
      </c>
      <c r="D5098">
        <f>IF($C5098="","",$C5098-WEEKDAY($C5098,2)+1)</f>
        <v/>
      </c>
      <c r="E5098">
        <f>IF($C5098="","",DATE(YEAR($C5098),MONTH($C5098),1))</f>
        <v/>
      </c>
      <c r="F5098">
        <f>IF($C5098="","",YEAR($C5098)&amp;"-Q"&amp;ROUNDUP(MONTH($C5098)/3,0))</f>
        <v/>
      </c>
      <c r="L5098">
        <f>IF($G5098&lt;&gt;"ALCOHOL","",IF($K5098="","",$H5098*IFERROR(VLOOKUP($K5098,Drink_Templates!$A:$G,7,FALSE),0)))</f>
        <v/>
      </c>
    </row>
    <row r="5099" ht="15" customHeight="1">
      <c r="C5099">
        <f>IF($B5099="","",INT($B5099))</f>
        <v/>
      </c>
      <c r="D5099">
        <f>IF($C5099="","",$C5099-WEEKDAY($C5099,2)+1)</f>
        <v/>
      </c>
      <c r="E5099">
        <f>IF($C5099="","",DATE(YEAR($C5099),MONTH($C5099),1))</f>
        <v/>
      </c>
      <c r="F5099">
        <f>IF($C5099="","",YEAR($C5099)&amp;"-Q"&amp;ROUNDUP(MONTH($C5099)/3,0))</f>
        <v/>
      </c>
      <c r="L5099">
        <f>IF($G5099&lt;&gt;"ALCOHOL","",IF($K5099="","",$H5099*IFERROR(VLOOKUP($K5099,Drink_Templates!$A:$G,7,FALSE),0)))</f>
        <v/>
      </c>
    </row>
    <row r="5100" ht="15" customHeight="1">
      <c r="C5100">
        <f>IF($B5100="","",INT($B5100))</f>
        <v/>
      </c>
      <c r="D5100">
        <f>IF($C5100="","",$C5100-WEEKDAY($C5100,2)+1)</f>
        <v/>
      </c>
      <c r="E5100">
        <f>IF($C5100="","",DATE(YEAR($C5100),MONTH($C5100),1))</f>
        <v/>
      </c>
      <c r="F5100">
        <f>IF($C5100="","",YEAR($C5100)&amp;"-Q"&amp;ROUNDUP(MONTH($C5100)/3,0))</f>
        <v/>
      </c>
      <c r="L5100">
        <f>IF($G5100&lt;&gt;"ALCOHOL","",IF($K5100="","",$H5100*IFERROR(VLOOKUP($K5100,Drink_Templates!$A:$G,7,FALSE),0)))</f>
        <v/>
      </c>
    </row>
    <row r="5101" ht="15" customHeight="1">
      <c r="C5101">
        <f>IF($B5101="","",INT($B5101))</f>
        <v/>
      </c>
      <c r="D5101">
        <f>IF($C5101="","",$C5101-WEEKDAY($C5101,2)+1)</f>
        <v/>
      </c>
      <c r="E5101">
        <f>IF($C5101="","",DATE(YEAR($C5101),MONTH($C5101),1))</f>
        <v/>
      </c>
      <c r="F5101">
        <f>IF($C5101="","",YEAR($C5101)&amp;"-Q"&amp;ROUNDUP(MONTH($C5101)/3,0))</f>
        <v/>
      </c>
      <c r="L5101">
        <f>IF($G5101&lt;&gt;"ALCOHOL","",IF($K5101="","",$H5101*IFERROR(VLOOKUP($K5101,Drink_Templates!$A:$G,7,FALSE),0)))</f>
        <v/>
      </c>
    </row>
    <row r="5102" ht="15" customHeight="1">
      <c r="C5102">
        <f>IF($B5102="","",INT($B5102))</f>
        <v/>
      </c>
      <c r="D5102">
        <f>IF($C5102="","",$C5102-WEEKDAY($C5102,2)+1)</f>
        <v/>
      </c>
      <c r="E5102">
        <f>IF($C5102="","",DATE(YEAR($C5102),MONTH($C5102),1))</f>
        <v/>
      </c>
      <c r="F5102">
        <f>IF($C5102="","",YEAR($C5102)&amp;"-Q"&amp;ROUNDUP(MONTH($C5102)/3,0))</f>
        <v/>
      </c>
      <c r="L5102">
        <f>IF($G5102&lt;&gt;"ALCOHOL","",IF($K5102="","",$H5102*IFERROR(VLOOKUP($K5102,Drink_Templates!$A:$G,7,FALSE),0)))</f>
        <v/>
      </c>
    </row>
    <row r="5103" ht="15" customHeight="1">
      <c r="C5103">
        <f>IF($B5103="","",INT($B5103))</f>
        <v/>
      </c>
      <c r="D5103">
        <f>IF($C5103="","",$C5103-WEEKDAY($C5103,2)+1)</f>
        <v/>
      </c>
      <c r="E5103">
        <f>IF($C5103="","",DATE(YEAR($C5103),MONTH($C5103),1))</f>
        <v/>
      </c>
      <c r="F5103">
        <f>IF($C5103="","",YEAR($C5103)&amp;"-Q"&amp;ROUNDUP(MONTH($C5103)/3,0))</f>
        <v/>
      </c>
      <c r="L5103">
        <f>IF($G5103&lt;&gt;"ALCOHOL","",IF($K5103="","",$H5103*IFERROR(VLOOKUP($K5103,Drink_Templates!$A:$G,7,FALSE),0)))</f>
        <v/>
      </c>
    </row>
    <row r="5104" ht="15" customHeight="1">
      <c r="C5104">
        <f>IF($B5104="","",INT($B5104))</f>
        <v/>
      </c>
      <c r="D5104">
        <f>IF($C5104="","",$C5104-WEEKDAY($C5104,2)+1)</f>
        <v/>
      </c>
      <c r="E5104">
        <f>IF($C5104="","",DATE(YEAR($C5104),MONTH($C5104),1))</f>
        <v/>
      </c>
      <c r="F5104">
        <f>IF($C5104="","",YEAR($C5104)&amp;"-Q"&amp;ROUNDUP(MONTH($C5104)/3,0))</f>
        <v/>
      </c>
      <c r="L5104">
        <f>IF($G5104&lt;&gt;"ALCOHOL","",IF($K5104="","",$H5104*IFERROR(VLOOKUP($K5104,Drink_Templates!$A:$G,7,FALSE),0)))</f>
        <v/>
      </c>
    </row>
    <row r="5105" ht="15" customHeight="1">
      <c r="C5105">
        <f>IF($B5105="","",INT($B5105))</f>
        <v/>
      </c>
      <c r="D5105">
        <f>IF($C5105="","",$C5105-WEEKDAY($C5105,2)+1)</f>
        <v/>
      </c>
      <c r="E5105">
        <f>IF($C5105="","",DATE(YEAR($C5105),MONTH($C5105),1))</f>
        <v/>
      </c>
      <c r="F5105">
        <f>IF($C5105="","",YEAR($C5105)&amp;"-Q"&amp;ROUNDUP(MONTH($C5105)/3,0))</f>
        <v/>
      </c>
      <c r="L5105">
        <f>IF($G5105&lt;&gt;"ALCOHOL","",IF($K5105="","",$H5105*IFERROR(VLOOKUP($K5105,Drink_Templates!$A:$G,7,FALSE),0)))</f>
        <v/>
      </c>
    </row>
    <row r="5106" ht="15" customHeight="1">
      <c r="C5106">
        <f>IF($B5106="","",INT($B5106))</f>
        <v/>
      </c>
      <c r="D5106">
        <f>IF($C5106="","",$C5106-WEEKDAY($C5106,2)+1)</f>
        <v/>
      </c>
      <c r="E5106">
        <f>IF($C5106="","",DATE(YEAR($C5106),MONTH($C5106),1))</f>
        <v/>
      </c>
      <c r="F5106">
        <f>IF($C5106="","",YEAR($C5106)&amp;"-Q"&amp;ROUNDUP(MONTH($C5106)/3,0))</f>
        <v/>
      </c>
      <c r="L5106">
        <f>IF($G5106&lt;&gt;"ALCOHOL","",IF($K5106="","",$H5106*IFERROR(VLOOKUP($K5106,Drink_Templates!$A:$G,7,FALSE),0)))</f>
        <v/>
      </c>
    </row>
    <row r="5107" ht="15" customHeight="1">
      <c r="C5107">
        <f>IF($B5107="","",INT($B5107))</f>
        <v/>
      </c>
      <c r="D5107">
        <f>IF($C5107="","",$C5107-WEEKDAY($C5107,2)+1)</f>
        <v/>
      </c>
      <c r="E5107">
        <f>IF($C5107="","",DATE(YEAR($C5107),MONTH($C5107),1))</f>
        <v/>
      </c>
      <c r="F5107">
        <f>IF($C5107="","",YEAR($C5107)&amp;"-Q"&amp;ROUNDUP(MONTH($C5107)/3,0))</f>
        <v/>
      </c>
      <c r="L5107">
        <f>IF($G5107&lt;&gt;"ALCOHOL","",IF($K5107="","",$H5107*IFERROR(VLOOKUP($K5107,Drink_Templates!$A:$G,7,FALSE),0)))</f>
        <v/>
      </c>
    </row>
    <row r="5108" ht="15" customHeight="1">
      <c r="C5108">
        <f>IF($B5108="","",INT($B5108))</f>
        <v/>
      </c>
      <c r="D5108">
        <f>IF($C5108="","",$C5108-WEEKDAY($C5108,2)+1)</f>
        <v/>
      </c>
      <c r="E5108">
        <f>IF($C5108="","",DATE(YEAR($C5108),MONTH($C5108),1))</f>
        <v/>
      </c>
      <c r="F5108">
        <f>IF($C5108="","",YEAR($C5108)&amp;"-Q"&amp;ROUNDUP(MONTH($C5108)/3,0))</f>
        <v/>
      </c>
      <c r="L5108">
        <f>IF($G5108&lt;&gt;"ALCOHOL","",IF($K5108="","",$H5108*IFERROR(VLOOKUP($K5108,Drink_Templates!$A:$G,7,FALSE),0)))</f>
        <v/>
      </c>
    </row>
    <row r="5109" ht="15" customHeight="1">
      <c r="C5109">
        <f>IF($B5109="","",INT($B5109))</f>
        <v/>
      </c>
      <c r="D5109">
        <f>IF($C5109="","",$C5109-WEEKDAY($C5109,2)+1)</f>
        <v/>
      </c>
      <c r="E5109">
        <f>IF($C5109="","",DATE(YEAR($C5109),MONTH($C5109),1))</f>
        <v/>
      </c>
      <c r="F5109">
        <f>IF($C5109="","",YEAR($C5109)&amp;"-Q"&amp;ROUNDUP(MONTH($C5109)/3,0))</f>
        <v/>
      </c>
      <c r="L5109">
        <f>IF($G5109&lt;&gt;"ALCOHOL","",IF($K5109="","",$H5109*IFERROR(VLOOKUP($K5109,Drink_Templates!$A:$G,7,FALSE),0)))</f>
        <v/>
      </c>
    </row>
    <row r="5110" ht="15" customHeight="1">
      <c r="C5110">
        <f>IF($B5110="","",INT($B5110))</f>
        <v/>
      </c>
      <c r="D5110">
        <f>IF($C5110="","",$C5110-WEEKDAY($C5110,2)+1)</f>
        <v/>
      </c>
      <c r="E5110">
        <f>IF($C5110="","",DATE(YEAR($C5110),MONTH($C5110),1))</f>
        <v/>
      </c>
      <c r="F5110">
        <f>IF($C5110="","",YEAR($C5110)&amp;"-Q"&amp;ROUNDUP(MONTH($C5110)/3,0))</f>
        <v/>
      </c>
      <c r="L5110">
        <f>IF($G5110&lt;&gt;"ALCOHOL","",IF($K5110="","",$H5110*IFERROR(VLOOKUP($K5110,Drink_Templates!$A:$G,7,FALSE),0)))</f>
        <v/>
      </c>
    </row>
    <row r="5111" ht="15" customHeight="1">
      <c r="C5111">
        <f>IF($B5111="","",INT($B5111))</f>
        <v/>
      </c>
      <c r="D5111">
        <f>IF($C5111="","",$C5111-WEEKDAY($C5111,2)+1)</f>
        <v/>
      </c>
      <c r="E5111">
        <f>IF($C5111="","",DATE(YEAR($C5111),MONTH($C5111),1))</f>
        <v/>
      </c>
      <c r="F5111">
        <f>IF($C5111="","",YEAR($C5111)&amp;"-Q"&amp;ROUNDUP(MONTH($C5111)/3,0))</f>
        <v/>
      </c>
      <c r="L5111">
        <f>IF($G5111&lt;&gt;"ALCOHOL","",IF($K5111="","",$H5111*IFERROR(VLOOKUP($K5111,Drink_Templates!$A:$G,7,FALSE),0)))</f>
        <v/>
      </c>
    </row>
    <row r="5112" ht="15" customHeight="1">
      <c r="C5112">
        <f>IF($B5112="","",INT($B5112))</f>
        <v/>
      </c>
      <c r="D5112">
        <f>IF($C5112="","",$C5112-WEEKDAY($C5112,2)+1)</f>
        <v/>
      </c>
      <c r="E5112">
        <f>IF($C5112="","",DATE(YEAR($C5112),MONTH($C5112),1))</f>
        <v/>
      </c>
      <c r="F5112">
        <f>IF($C5112="","",YEAR($C5112)&amp;"-Q"&amp;ROUNDUP(MONTH($C5112)/3,0))</f>
        <v/>
      </c>
      <c r="L5112">
        <f>IF($G5112&lt;&gt;"ALCOHOL","",IF($K5112="","",$H5112*IFERROR(VLOOKUP($K5112,Drink_Templates!$A:$G,7,FALSE),0)))</f>
        <v/>
      </c>
    </row>
    <row r="5113" ht="15" customHeight="1">
      <c r="C5113">
        <f>IF($B5113="","",INT($B5113))</f>
        <v/>
      </c>
      <c r="D5113">
        <f>IF($C5113="","",$C5113-WEEKDAY($C5113,2)+1)</f>
        <v/>
      </c>
      <c r="E5113">
        <f>IF($C5113="","",DATE(YEAR($C5113),MONTH($C5113),1))</f>
        <v/>
      </c>
      <c r="F5113">
        <f>IF($C5113="","",YEAR($C5113)&amp;"-Q"&amp;ROUNDUP(MONTH($C5113)/3,0))</f>
        <v/>
      </c>
      <c r="L5113">
        <f>IF($G5113&lt;&gt;"ALCOHOL","",IF($K5113="","",$H5113*IFERROR(VLOOKUP($K5113,Drink_Templates!$A:$G,7,FALSE),0)))</f>
        <v/>
      </c>
    </row>
    <row r="5114" ht="15" customHeight="1">
      <c r="C5114">
        <f>IF($B5114="","",INT($B5114))</f>
        <v/>
      </c>
      <c r="D5114">
        <f>IF($C5114="","",$C5114-WEEKDAY($C5114,2)+1)</f>
        <v/>
      </c>
      <c r="E5114">
        <f>IF($C5114="","",DATE(YEAR($C5114),MONTH($C5114),1))</f>
        <v/>
      </c>
      <c r="F5114">
        <f>IF($C5114="","",YEAR($C5114)&amp;"-Q"&amp;ROUNDUP(MONTH($C5114)/3,0))</f>
        <v/>
      </c>
      <c r="L5114">
        <f>IF($G5114&lt;&gt;"ALCOHOL","",IF($K5114="","",$H5114*IFERROR(VLOOKUP($K5114,Drink_Templates!$A:$G,7,FALSE),0)))</f>
        <v/>
      </c>
    </row>
    <row r="5115" ht="15" customHeight="1">
      <c r="C5115">
        <f>IF($B5115="","",INT($B5115))</f>
        <v/>
      </c>
      <c r="D5115">
        <f>IF($C5115="","",$C5115-WEEKDAY($C5115,2)+1)</f>
        <v/>
      </c>
      <c r="E5115">
        <f>IF($C5115="","",DATE(YEAR($C5115),MONTH($C5115),1))</f>
        <v/>
      </c>
      <c r="F5115">
        <f>IF($C5115="","",YEAR($C5115)&amp;"-Q"&amp;ROUNDUP(MONTH($C5115)/3,0))</f>
        <v/>
      </c>
      <c r="L5115">
        <f>IF($G5115&lt;&gt;"ALCOHOL","",IF($K5115="","",$H5115*IFERROR(VLOOKUP($K5115,Drink_Templates!$A:$G,7,FALSE),0)))</f>
        <v/>
      </c>
    </row>
    <row r="5116" ht="15" customHeight="1">
      <c r="C5116">
        <f>IF($B5116="","",INT($B5116))</f>
        <v/>
      </c>
      <c r="D5116">
        <f>IF($C5116="","",$C5116-WEEKDAY($C5116,2)+1)</f>
        <v/>
      </c>
      <c r="E5116">
        <f>IF($C5116="","",DATE(YEAR($C5116),MONTH($C5116),1))</f>
        <v/>
      </c>
      <c r="F5116">
        <f>IF($C5116="","",YEAR($C5116)&amp;"-Q"&amp;ROUNDUP(MONTH($C5116)/3,0))</f>
        <v/>
      </c>
      <c r="L5116">
        <f>IF($G5116&lt;&gt;"ALCOHOL","",IF($K5116="","",$H5116*IFERROR(VLOOKUP($K5116,Drink_Templates!$A:$G,7,FALSE),0)))</f>
        <v/>
      </c>
    </row>
    <row r="5117" ht="15" customHeight="1">
      <c r="C5117">
        <f>IF($B5117="","",INT($B5117))</f>
        <v/>
      </c>
      <c r="D5117">
        <f>IF($C5117="","",$C5117-WEEKDAY($C5117,2)+1)</f>
        <v/>
      </c>
      <c r="E5117">
        <f>IF($C5117="","",DATE(YEAR($C5117),MONTH($C5117),1))</f>
        <v/>
      </c>
      <c r="F5117">
        <f>IF($C5117="","",YEAR($C5117)&amp;"-Q"&amp;ROUNDUP(MONTH($C5117)/3,0))</f>
        <v/>
      </c>
      <c r="L5117">
        <f>IF($G5117&lt;&gt;"ALCOHOL","",IF($K5117="","",$H5117*IFERROR(VLOOKUP($K5117,Drink_Templates!$A:$G,7,FALSE),0)))</f>
        <v/>
      </c>
    </row>
    <row r="5118" ht="15" customHeight="1">
      <c r="C5118">
        <f>IF($B5118="","",INT($B5118))</f>
        <v/>
      </c>
      <c r="D5118">
        <f>IF($C5118="","",$C5118-WEEKDAY($C5118,2)+1)</f>
        <v/>
      </c>
      <c r="E5118">
        <f>IF($C5118="","",DATE(YEAR($C5118),MONTH($C5118),1))</f>
        <v/>
      </c>
      <c r="F5118">
        <f>IF($C5118="","",YEAR($C5118)&amp;"-Q"&amp;ROUNDUP(MONTH($C5118)/3,0))</f>
        <v/>
      </c>
      <c r="L5118">
        <f>IF($G5118&lt;&gt;"ALCOHOL","",IF($K5118="","",$H5118*IFERROR(VLOOKUP($K5118,Drink_Templates!$A:$G,7,FALSE),0)))</f>
        <v/>
      </c>
    </row>
    <row r="5119" ht="15" customHeight="1">
      <c r="C5119">
        <f>IF($B5119="","",INT($B5119))</f>
        <v/>
      </c>
      <c r="D5119">
        <f>IF($C5119="","",$C5119-WEEKDAY($C5119,2)+1)</f>
        <v/>
      </c>
      <c r="E5119">
        <f>IF($C5119="","",DATE(YEAR($C5119),MONTH($C5119),1))</f>
        <v/>
      </c>
      <c r="F5119">
        <f>IF($C5119="","",YEAR($C5119)&amp;"-Q"&amp;ROUNDUP(MONTH($C5119)/3,0))</f>
        <v/>
      </c>
      <c r="L5119">
        <f>IF($G5119&lt;&gt;"ALCOHOL","",IF($K5119="","",$H5119*IFERROR(VLOOKUP($K5119,Drink_Templates!$A:$G,7,FALSE),0)))</f>
        <v/>
      </c>
    </row>
    <row r="5120" ht="15" customHeight="1">
      <c r="C5120">
        <f>IF($B5120="","",INT($B5120))</f>
        <v/>
      </c>
      <c r="D5120">
        <f>IF($C5120="","",$C5120-WEEKDAY($C5120,2)+1)</f>
        <v/>
      </c>
      <c r="E5120">
        <f>IF($C5120="","",DATE(YEAR($C5120),MONTH($C5120),1))</f>
        <v/>
      </c>
      <c r="F5120">
        <f>IF($C5120="","",YEAR($C5120)&amp;"-Q"&amp;ROUNDUP(MONTH($C5120)/3,0))</f>
        <v/>
      </c>
      <c r="L5120">
        <f>IF($G5120&lt;&gt;"ALCOHOL","",IF($K5120="","",$H5120*IFERROR(VLOOKUP($K5120,Drink_Templates!$A:$G,7,FALSE),0)))</f>
        <v/>
      </c>
    </row>
    <row r="5121" ht="15" customHeight="1">
      <c r="C5121">
        <f>IF($B5121="","",INT($B5121))</f>
        <v/>
      </c>
      <c r="D5121">
        <f>IF($C5121="","",$C5121-WEEKDAY($C5121,2)+1)</f>
        <v/>
      </c>
      <c r="E5121">
        <f>IF($C5121="","",DATE(YEAR($C5121),MONTH($C5121),1))</f>
        <v/>
      </c>
      <c r="F5121">
        <f>IF($C5121="","",YEAR($C5121)&amp;"-Q"&amp;ROUNDUP(MONTH($C5121)/3,0))</f>
        <v/>
      </c>
      <c r="L5121">
        <f>IF($G5121&lt;&gt;"ALCOHOL","",IF($K5121="","",$H5121*IFERROR(VLOOKUP($K5121,Drink_Templates!$A:$G,7,FALSE),0)))</f>
        <v/>
      </c>
    </row>
    <row r="5122" ht="15" customHeight="1">
      <c r="C5122">
        <f>IF($B5122="","",INT($B5122))</f>
        <v/>
      </c>
      <c r="D5122">
        <f>IF($C5122="","",$C5122-WEEKDAY($C5122,2)+1)</f>
        <v/>
      </c>
      <c r="E5122">
        <f>IF($C5122="","",DATE(YEAR($C5122),MONTH($C5122),1))</f>
        <v/>
      </c>
      <c r="F5122">
        <f>IF($C5122="","",YEAR($C5122)&amp;"-Q"&amp;ROUNDUP(MONTH($C5122)/3,0))</f>
        <v/>
      </c>
      <c r="L5122">
        <f>IF($G5122&lt;&gt;"ALCOHOL","",IF($K5122="","",$H5122*IFERROR(VLOOKUP($K5122,Drink_Templates!$A:$G,7,FALSE),0)))</f>
        <v/>
      </c>
    </row>
    <row r="5123" ht="15" customHeight="1">
      <c r="C5123">
        <f>IF($B5123="","",INT($B5123))</f>
        <v/>
      </c>
      <c r="D5123">
        <f>IF($C5123="","",$C5123-WEEKDAY($C5123,2)+1)</f>
        <v/>
      </c>
      <c r="E5123">
        <f>IF($C5123="","",DATE(YEAR($C5123),MONTH($C5123),1))</f>
        <v/>
      </c>
      <c r="F5123">
        <f>IF($C5123="","",YEAR($C5123)&amp;"-Q"&amp;ROUNDUP(MONTH($C5123)/3,0))</f>
        <v/>
      </c>
      <c r="L5123">
        <f>IF($G5123&lt;&gt;"ALCOHOL","",IF($K5123="","",$H5123*IFERROR(VLOOKUP($K5123,Drink_Templates!$A:$G,7,FALSE),0)))</f>
        <v/>
      </c>
    </row>
    <row r="5124" ht="15" customHeight="1">
      <c r="C5124">
        <f>IF($B5124="","",INT($B5124))</f>
        <v/>
      </c>
      <c r="D5124">
        <f>IF($C5124="","",$C5124-WEEKDAY($C5124,2)+1)</f>
        <v/>
      </c>
      <c r="E5124">
        <f>IF($C5124="","",DATE(YEAR($C5124),MONTH($C5124),1))</f>
        <v/>
      </c>
      <c r="F5124">
        <f>IF($C5124="","",YEAR($C5124)&amp;"-Q"&amp;ROUNDUP(MONTH($C5124)/3,0))</f>
        <v/>
      </c>
      <c r="L5124">
        <f>IF($G5124&lt;&gt;"ALCOHOL","",IF($K5124="","",$H5124*IFERROR(VLOOKUP($K5124,Drink_Templates!$A:$G,7,FALSE),0)))</f>
        <v/>
      </c>
    </row>
    <row r="5125" ht="15" customHeight="1">
      <c r="C5125">
        <f>IF($B5125="","",INT($B5125))</f>
        <v/>
      </c>
      <c r="D5125">
        <f>IF($C5125="","",$C5125-WEEKDAY($C5125,2)+1)</f>
        <v/>
      </c>
      <c r="E5125">
        <f>IF($C5125="","",DATE(YEAR($C5125),MONTH($C5125),1))</f>
        <v/>
      </c>
      <c r="F5125">
        <f>IF($C5125="","",YEAR($C5125)&amp;"-Q"&amp;ROUNDUP(MONTH($C5125)/3,0))</f>
        <v/>
      </c>
      <c r="L5125">
        <f>IF($G5125&lt;&gt;"ALCOHOL","",IF($K5125="","",$H5125*IFERROR(VLOOKUP($K5125,Drink_Templates!$A:$G,7,FALSE),0)))</f>
        <v/>
      </c>
    </row>
    <row r="5126" ht="15" customHeight="1">
      <c r="C5126">
        <f>IF($B5126="","",INT($B5126))</f>
        <v/>
      </c>
      <c r="D5126">
        <f>IF($C5126="","",$C5126-WEEKDAY($C5126,2)+1)</f>
        <v/>
      </c>
      <c r="E5126">
        <f>IF($C5126="","",DATE(YEAR($C5126),MONTH($C5126),1))</f>
        <v/>
      </c>
      <c r="F5126">
        <f>IF($C5126="","",YEAR($C5126)&amp;"-Q"&amp;ROUNDUP(MONTH($C5126)/3,0))</f>
        <v/>
      </c>
      <c r="L5126">
        <f>IF($G5126&lt;&gt;"ALCOHOL","",IF($K5126="","",$H5126*IFERROR(VLOOKUP($K5126,Drink_Templates!$A:$G,7,FALSE),0)))</f>
        <v/>
      </c>
    </row>
    <row r="5127" ht="15" customHeight="1">
      <c r="C5127">
        <f>IF($B5127="","",INT($B5127))</f>
        <v/>
      </c>
      <c r="D5127">
        <f>IF($C5127="","",$C5127-WEEKDAY($C5127,2)+1)</f>
        <v/>
      </c>
      <c r="E5127">
        <f>IF($C5127="","",DATE(YEAR($C5127),MONTH($C5127),1))</f>
        <v/>
      </c>
      <c r="F5127">
        <f>IF($C5127="","",YEAR($C5127)&amp;"-Q"&amp;ROUNDUP(MONTH($C5127)/3,0))</f>
        <v/>
      </c>
      <c r="L5127">
        <f>IF($G5127&lt;&gt;"ALCOHOL","",IF($K5127="","",$H5127*IFERROR(VLOOKUP($K5127,Drink_Templates!$A:$G,7,FALSE),0)))</f>
        <v/>
      </c>
    </row>
    <row r="5128" ht="15" customHeight="1">
      <c r="C5128">
        <f>IF($B5128="","",INT($B5128))</f>
        <v/>
      </c>
      <c r="D5128">
        <f>IF($C5128="","",$C5128-WEEKDAY($C5128,2)+1)</f>
        <v/>
      </c>
      <c r="E5128">
        <f>IF($C5128="","",DATE(YEAR($C5128),MONTH($C5128),1))</f>
        <v/>
      </c>
      <c r="F5128">
        <f>IF($C5128="","",YEAR($C5128)&amp;"-Q"&amp;ROUNDUP(MONTH($C5128)/3,0))</f>
        <v/>
      </c>
      <c r="L5128">
        <f>IF($G5128&lt;&gt;"ALCOHOL","",IF($K5128="","",$H5128*IFERROR(VLOOKUP($K5128,Drink_Templates!$A:$G,7,FALSE),0)))</f>
        <v/>
      </c>
    </row>
    <row r="5129" ht="15" customHeight="1">
      <c r="C5129">
        <f>IF($B5129="","",INT($B5129))</f>
        <v/>
      </c>
      <c r="D5129">
        <f>IF($C5129="","",$C5129-WEEKDAY($C5129,2)+1)</f>
        <v/>
      </c>
      <c r="E5129">
        <f>IF($C5129="","",DATE(YEAR($C5129),MONTH($C5129),1))</f>
        <v/>
      </c>
      <c r="F5129">
        <f>IF($C5129="","",YEAR($C5129)&amp;"-Q"&amp;ROUNDUP(MONTH($C5129)/3,0))</f>
        <v/>
      </c>
      <c r="L5129">
        <f>IF($G5129&lt;&gt;"ALCOHOL","",IF($K5129="","",$H5129*IFERROR(VLOOKUP($K5129,Drink_Templates!$A:$G,7,FALSE),0)))</f>
        <v/>
      </c>
    </row>
    <row r="5130" ht="15" customHeight="1">
      <c r="C5130">
        <f>IF($B5130="","",INT($B5130))</f>
        <v/>
      </c>
      <c r="D5130">
        <f>IF($C5130="","",$C5130-WEEKDAY($C5130,2)+1)</f>
        <v/>
      </c>
      <c r="E5130">
        <f>IF($C5130="","",DATE(YEAR($C5130),MONTH($C5130),1))</f>
        <v/>
      </c>
      <c r="F5130">
        <f>IF($C5130="","",YEAR($C5130)&amp;"-Q"&amp;ROUNDUP(MONTH($C5130)/3,0))</f>
        <v/>
      </c>
      <c r="L5130">
        <f>IF($G5130&lt;&gt;"ALCOHOL","",IF($K5130="","",$H5130*IFERROR(VLOOKUP($K5130,Drink_Templates!$A:$G,7,FALSE),0)))</f>
        <v/>
      </c>
    </row>
    <row r="5131" ht="15" customHeight="1">
      <c r="C5131">
        <f>IF($B5131="","",INT($B5131))</f>
        <v/>
      </c>
      <c r="D5131">
        <f>IF($C5131="","",$C5131-WEEKDAY($C5131,2)+1)</f>
        <v/>
      </c>
      <c r="E5131">
        <f>IF($C5131="","",DATE(YEAR($C5131),MONTH($C5131),1))</f>
        <v/>
      </c>
      <c r="F5131">
        <f>IF($C5131="","",YEAR($C5131)&amp;"-Q"&amp;ROUNDUP(MONTH($C5131)/3,0))</f>
        <v/>
      </c>
      <c r="L5131">
        <f>IF($G5131&lt;&gt;"ALCOHOL","",IF($K5131="","",$H5131*IFERROR(VLOOKUP($K5131,Drink_Templates!$A:$G,7,FALSE),0)))</f>
        <v/>
      </c>
    </row>
    <row r="5132" ht="15" customHeight="1">
      <c r="C5132">
        <f>IF($B5132="","",INT($B5132))</f>
        <v/>
      </c>
      <c r="D5132">
        <f>IF($C5132="","",$C5132-WEEKDAY($C5132,2)+1)</f>
        <v/>
      </c>
      <c r="E5132">
        <f>IF($C5132="","",DATE(YEAR($C5132),MONTH($C5132),1))</f>
        <v/>
      </c>
      <c r="F5132">
        <f>IF($C5132="","",YEAR($C5132)&amp;"-Q"&amp;ROUNDUP(MONTH($C5132)/3,0))</f>
        <v/>
      </c>
      <c r="L5132">
        <f>IF($G5132&lt;&gt;"ALCOHOL","",IF($K5132="","",$H5132*IFERROR(VLOOKUP($K5132,Drink_Templates!$A:$G,7,FALSE),0)))</f>
        <v/>
      </c>
    </row>
    <row r="5133" ht="15" customHeight="1">
      <c r="C5133">
        <f>IF($B5133="","",INT($B5133))</f>
        <v/>
      </c>
      <c r="D5133">
        <f>IF($C5133="","",$C5133-WEEKDAY($C5133,2)+1)</f>
        <v/>
      </c>
      <c r="E5133">
        <f>IF($C5133="","",DATE(YEAR($C5133),MONTH($C5133),1))</f>
        <v/>
      </c>
      <c r="F5133">
        <f>IF($C5133="","",YEAR($C5133)&amp;"-Q"&amp;ROUNDUP(MONTH($C5133)/3,0))</f>
        <v/>
      </c>
      <c r="L5133">
        <f>IF($G5133&lt;&gt;"ALCOHOL","",IF($K5133="","",$H5133*IFERROR(VLOOKUP($K5133,Drink_Templates!$A:$G,7,FALSE),0)))</f>
        <v/>
      </c>
    </row>
    <row r="5134" ht="15" customHeight="1">
      <c r="C5134">
        <f>IF($B5134="","",INT($B5134))</f>
        <v/>
      </c>
      <c r="D5134">
        <f>IF($C5134="","",$C5134-WEEKDAY($C5134,2)+1)</f>
        <v/>
      </c>
      <c r="E5134">
        <f>IF($C5134="","",DATE(YEAR($C5134),MONTH($C5134),1))</f>
        <v/>
      </c>
      <c r="F5134">
        <f>IF($C5134="","",YEAR($C5134)&amp;"-Q"&amp;ROUNDUP(MONTH($C5134)/3,0))</f>
        <v/>
      </c>
      <c r="L5134">
        <f>IF($G5134&lt;&gt;"ALCOHOL","",IF($K5134="","",$H5134*IFERROR(VLOOKUP($K5134,Drink_Templates!$A:$G,7,FALSE),0)))</f>
        <v/>
      </c>
    </row>
    <row r="5135" ht="15" customHeight="1">
      <c r="C5135">
        <f>IF($B5135="","",INT($B5135))</f>
        <v/>
      </c>
      <c r="D5135">
        <f>IF($C5135="","",$C5135-WEEKDAY($C5135,2)+1)</f>
        <v/>
      </c>
      <c r="E5135">
        <f>IF($C5135="","",DATE(YEAR($C5135),MONTH($C5135),1))</f>
        <v/>
      </c>
      <c r="F5135">
        <f>IF($C5135="","",YEAR($C5135)&amp;"-Q"&amp;ROUNDUP(MONTH($C5135)/3,0))</f>
        <v/>
      </c>
      <c r="L5135">
        <f>IF($G5135&lt;&gt;"ALCOHOL","",IF($K5135="","",$H5135*IFERROR(VLOOKUP($K5135,Drink_Templates!$A:$G,7,FALSE),0)))</f>
        <v/>
      </c>
    </row>
    <row r="5136" ht="15" customHeight="1">
      <c r="C5136">
        <f>IF($B5136="","",INT($B5136))</f>
        <v/>
      </c>
      <c r="D5136">
        <f>IF($C5136="","",$C5136-WEEKDAY($C5136,2)+1)</f>
        <v/>
      </c>
      <c r="E5136">
        <f>IF($C5136="","",DATE(YEAR($C5136),MONTH($C5136),1))</f>
        <v/>
      </c>
      <c r="F5136">
        <f>IF($C5136="","",YEAR($C5136)&amp;"-Q"&amp;ROUNDUP(MONTH($C5136)/3,0))</f>
        <v/>
      </c>
      <c r="L5136">
        <f>IF($G5136&lt;&gt;"ALCOHOL","",IF($K5136="","",$H5136*IFERROR(VLOOKUP($K5136,Drink_Templates!$A:$G,7,FALSE),0)))</f>
        <v/>
      </c>
    </row>
    <row r="5137" ht="15" customHeight="1">
      <c r="C5137">
        <f>IF($B5137="","",INT($B5137))</f>
        <v/>
      </c>
      <c r="D5137">
        <f>IF($C5137="","",$C5137-WEEKDAY($C5137,2)+1)</f>
        <v/>
      </c>
      <c r="E5137">
        <f>IF($C5137="","",DATE(YEAR($C5137),MONTH($C5137),1))</f>
        <v/>
      </c>
      <c r="F5137">
        <f>IF($C5137="","",YEAR($C5137)&amp;"-Q"&amp;ROUNDUP(MONTH($C5137)/3,0))</f>
        <v/>
      </c>
      <c r="L5137">
        <f>IF($G5137&lt;&gt;"ALCOHOL","",IF($K5137="","",$H5137*IFERROR(VLOOKUP($K5137,Drink_Templates!$A:$G,7,FALSE),0)))</f>
        <v/>
      </c>
    </row>
    <row r="5138" ht="15" customHeight="1">
      <c r="C5138">
        <f>IF($B5138="","",INT($B5138))</f>
        <v/>
      </c>
      <c r="D5138">
        <f>IF($C5138="","",$C5138-WEEKDAY($C5138,2)+1)</f>
        <v/>
      </c>
      <c r="E5138">
        <f>IF($C5138="","",DATE(YEAR($C5138),MONTH($C5138),1))</f>
        <v/>
      </c>
      <c r="F5138">
        <f>IF($C5138="","",YEAR($C5138)&amp;"-Q"&amp;ROUNDUP(MONTH($C5138)/3,0))</f>
        <v/>
      </c>
      <c r="L5138">
        <f>IF($G5138&lt;&gt;"ALCOHOL","",IF($K5138="","",$H5138*IFERROR(VLOOKUP($K5138,Drink_Templates!$A:$G,7,FALSE),0)))</f>
        <v/>
      </c>
    </row>
    <row r="5139" ht="15" customHeight="1">
      <c r="C5139">
        <f>IF($B5139="","",INT($B5139))</f>
        <v/>
      </c>
      <c r="D5139">
        <f>IF($C5139="","",$C5139-WEEKDAY($C5139,2)+1)</f>
        <v/>
      </c>
      <c r="E5139">
        <f>IF($C5139="","",DATE(YEAR($C5139),MONTH($C5139),1))</f>
        <v/>
      </c>
      <c r="F5139">
        <f>IF($C5139="","",YEAR($C5139)&amp;"-Q"&amp;ROUNDUP(MONTH($C5139)/3,0))</f>
        <v/>
      </c>
      <c r="L5139">
        <f>IF($G5139&lt;&gt;"ALCOHOL","",IF($K5139="","",$H5139*IFERROR(VLOOKUP($K5139,Drink_Templates!$A:$G,7,FALSE),0)))</f>
        <v/>
      </c>
    </row>
    <row r="5140" ht="15" customHeight="1">
      <c r="C5140">
        <f>IF($B5140="","",INT($B5140))</f>
        <v/>
      </c>
      <c r="D5140">
        <f>IF($C5140="","",$C5140-WEEKDAY($C5140,2)+1)</f>
        <v/>
      </c>
      <c r="E5140">
        <f>IF($C5140="","",DATE(YEAR($C5140),MONTH($C5140),1))</f>
        <v/>
      </c>
      <c r="F5140">
        <f>IF($C5140="","",YEAR($C5140)&amp;"-Q"&amp;ROUNDUP(MONTH($C5140)/3,0))</f>
        <v/>
      </c>
      <c r="L5140">
        <f>IF($G5140&lt;&gt;"ALCOHOL","",IF($K5140="","",$H5140*IFERROR(VLOOKUP($K5140,Drink_Templates!$A:$G,7,FALSE),0)))</f>
        <v/>
      </c>
    </row>
    <row r="5141" ht="15" customHeight="1">
      <c r="C5141">
        <f>IF($B5141="","",INT($B5141))</f>
        <v/>
      </c>
      <c r="D5141">
        <f>IF($C5141="","",$C5141-WEEKDAY($C5141,2)+1)</f>
        <v/>
      </c>
      <c r="E5141">
        <f>IF($C5141="","",DATE(YEAR($C5141),MONTH($C5141),1))</f>
        <v/>
      </c>
      <c r="F5141">
        <f>IF($C5141="","",YEAR($C5141)&amp;"-Q"&amp;ROUNDUP(MONTH($C5141)/3,0))</f>
        <v/>
      </c>
      <c r="L5141">
        <f>IF($G5141&lt;&gt;"ALCOHOL","",IF($K5141="","",$H5141*IFERROR(VLOOKUP($K5141,Drink_Templates!$A:$G,7,FALSE),0)))</f>
        <v/>
      </c>
    </row>
    <row r="5142" ht="15" customHeight="1">
      <c r="C5142">
        <f>IF($B5142="","",INT($B5142))</f>
        <v/>
      </c>
      <c r="D5142">
        <f>IF($C5142="","",$C5142-WEEKDAY($C5142,2)+1)</f>
        <v/>
      </c>
      <c r="E5142">
        <f>IF($C5142="","",DATE(YEAR($C5142),MONTH($C5142),1))</f>
        <v/>
      </c>
      <c r="F5142">
        <f>IF($C5142="","",YEAR($C5142)&amp;"-Q"&amp;ROUNDUP(MONTH($C5142)/3,0))</f>
        <v/>
      </c>
      <c r="L5142">
        <f>IF($G5142&lt;&gt;"ALCOHOL","",IF($K5142="","",$H5142*IFERROR(VLOOKUP($K5142,Drink_Templates!$A:$G,7,FALSE),0)))</f>
        <v/>
      </c>
    </row>
    <row r="5143" ht="15" customHeight="1">
      <c r="C5143">
        <f>IF($B5143="","",INT($B5143))</f>
        <v/>
      </c>
      <c r="D5143">
        <f>IF($C5143="","",$C5143-WEEKDAY($C5143,2)+1)</f>
        <v/>
      </c>
      <c r="E5143">
        <f>IF($C5143="","",DATE(YEAR($C5143),MONTH($C5143),1))</f>
        <v/>
      </c>
      <c r="F5143">
        <f>IF($C5143="","",YEAR($C5143)&amp;"-Q"&amp;ROUNDUP(MONTH($C5143)/3,0))</f>
        <v/>
      </c>
      <c r="L5143">
        <f>IF($G5143&lt;&gt;"ALCOHOL","",IF($K5143="","",$H5143*IFERROR(VLOOKUP($K5143,Drink_Templates!$A:$G,7,FALSE),0)))</f>
        <v/>
      </c>
    </row>
    <row r="5144" ht="15" customHeight="1">
      <c r="C5144">
        <f>IF($B5144="","",INT($B5144))</f>
        <v/>
      </c>
      <c r="D5144">
        <f>IF($C5144="","",$C5144-WEEKDAY($C5144,2)+1)</f>
        <v/>
      </c>
      <c r="E5144">
        <f>IF($C5144="","",DATE(YEAR($C5144),MONTH($C5144),1))</f>
        <v/>
      </c>
      <c r="F5144">
        <f>IF($C5144="","",YEAR($C5144)&amp;"-Q"&amp;ROUNDUP(MONTH($C5144)/3,0))</f>
        <v/>
      </c>
      <c r="L5144">
        <f>IF($G5144&lt;&gt;"ALCOHOL","",IF($K5144="","",$H5144*IFERROR(VLOOKUP($K5144,Drink_Templates!$A:$G,7,FALSE),0)))</f>
        <v/>
      </c>
    </row>
    <row r="5145" ht="15" customHeight="1">
      <c r="C5145">
        <f>IF($B5145="","",INT($B5145))</f>
        <v/>
      </c>
      <c r="D5145">
        <f>IF($C5145="","",$C5145-WEEKDAY($C5145,2)+1)</f>
        <v/>
      </c>
      <c r="E5145">
        <f>IF($C5145="","",DATE(YEAR($C5145),MONTH($C5145),1))</f>
        <v/>
      </c>
      <c r="F5145">
        <f>IF($C5145="","",YEAR($C5145)&amp;"-Q"&amp;ROUNDUP(MONTH($C5145)/3,0))</f>
        <v/>
      </c>
      <c r="L5145">
        <f>IF($G5145&lt;&gt;"ALCOHOL","",IF($K5145="","",$H5145*IFERROR(VLOOKUP($K5145,Drink_Templates!$A:$G,7,FALSE),0)))</f>
        <v/>
      </c>
    </row>
    <row r="5146" ht="15" customHeight="1">
      <c r="C5146">
        <f>IF($B5146="","",INT($B5146))</f>
        <v/>
      </c>
      <c r="D5146">
        <f>IF($C5146="","",$C5146-WEEKDAY($C5146,2)+1)</f>
        <v/>
      </c>
      <c r="E5146">
        <f>IF($C5146="","",DATE(YEAR($C5146),MONTH($C5146),1))</f>
        <v/>
      </c>
      <c r="F5146">
        <f>IF($C5146="","",YEAR($C5146)&amp;"-Q"&amp;ROUNDUP(MONTH($C5146)/3,0))</f>
        <v/>
      </c>
      <c r="L5146">
        <f>IF($G5146&lt;&gt;"ALCOHOL","",IF($K5146="","",$H5146*IFERROR(VLOOKUP($K5146,Drink_Templates!$A:$G,7,FALSE),0)))</f>
        <v/>
      </c>
    </row>
    <row r="5147" ht="15" customHeight="1">
      <c r="C5147">
        <f>IF($B5147="","",INT($B5147))</f>
        <v/>
      </c>
      <c r="D5147">
        <f>IF($C5147="","",$C5147-WEEKDAY($C5147,2)+1)</f>
        <v/>
      </c>
      <c r="E5147">
        <f>IF($C5147="","",DATE(YEAR($C5147),MONTH($C5147),1))</f>
        <v/>
      </c>
      <c r="F5147">
        <f>IF($C5147="","",YEAR($C5147)&amp;"-Q"&amp;ROUNDUP(MONTH($C5147)/3,0))</f>
        <v/>
      </c>
      <c r="L5147">
        <f>IF($G5147&lt;&gt;"ALCOHOL","",IF($K5147="","",$H5147*IFERROR(VLOOKUP($K5147,Drink_Templates!$A:$G,7,FALSE),0)))</f>
        <v/>
      </c>
    </row>
    <row r="5148" ht="15" customHeight="1">
      <c r="C5148">
        <f>IF($B5148="","",INT($B5148))</f>
        <v/>
      </c>
      <c r="D5148">
        <f>IF($C5148="","",$C5148-WEEKDAY($C5148,2)+1)</f>
        <v/>
      </c>
      <c r="E5148">
        <f>IF($C5148="","",DATE(YEAR($C5148),MONTH($C5148),1))</f>
        <v/>
      </c>
      <c r="F5148">
        <f>IF($C5148="","",YEAR($C5148)&amp;"-Q"&amp;ROUNDUP(MONTH($C5148)/3,0))</f>
        <v/>
      </c>
      <c r="L5148">
        <f>IF($G5148&lt;&gt;"ALCOHOL","",IF($K5148="","",$H5148*IFERROR(VLOOKUP($K5148,Drink_Templates!$A:$G,7,FALSE),0)))</f>
        <v/>
      </c>
    </row>
    <row r="5149" ht="15" customHeight="1">
      <c r="C5149">
        <f>IF($B5149="","",INT($B5149))</f>
        <v/>
      </c>
      <c r="D5149">
        <f>IF($C5149="","",$C5149-WEEKDAY($C5149,2)+1)</f>
        <v/>
      </c>
      <c r="E5149">
        <f>IF($C5149="","",DATE(YEAR($C5149),MONTH($C5149),1))</f>
        <v/>
      </c>
      <c r="F5149">
        <f>IF($C5149="","",YEAR($C5149)&amp;"-Q"&amp;ROUNDUP(MONTH($C5149)/3,0))</f>
        <v/>
      </c>
      <c r="L5149">
        <f>IF($G5149&lt;&gt;"ALCOHOL","",IF($K5149="","",$H5149*IFERROR(VLOOKUP($K5149,Drink_Templates!$A:$G,7,FALSE),0)))</f>
        <v/>
      </c>
    </row>
    <row r="5150" ht="15" customHeight="1">
      <c r="C5150">
        <f>IF($B5150="","",INT($B5150))</f>
        <v/>
      </c>
      <c r="D5150">
        <f>IF($C5150="","",$C5150-WEEKDAY($C5150,2)+1)</f>
        <v/>
      </c>
      <c r="E5150">
        <f>IF($C5150="","",DATE(YEAR($C5150),MONTH($C5150),1))</f>
        <v/>
      </c>
      <c r="F5150">
        <f>IF($C5150="","",YEAR($C5150)&amp;"-Q"&amp;ROUNDUP(MONTH($C5150)/3,0))</f>
        <v/>
      </c>
      <c r="L5150">
        <f>IF($G5150&lt;&gt;"ALCOHOL","",IF($K5150="","",$H5150*IFERROR(VLOOKUP($K5150,Drink_Templates!$A:$G,7,FALSE),0)))</f>
        <v/>
      </c>
    </row>
    <row r="5151" ht="15" customHeight="1">
      <c r="C5151">
        <f>IF($B5151="","",INT($B5151))</f>
        <v/>
      </c>
      <c r="D5151">
        <f>IF($C5151="","",$C5151-WEEKDAY($C5151,2)+1)</f>
        <v/>
      </c>
      <c r="E5151">
        <f>IF($C5151="","",DATE(YEAR($C5151),MONTH($C5151),1))</f>
        <v/>
      </c>
      <c r="F5151">
        <f>IF($C5151="","",YEAR($C5151)&amp;"-Q"&amp;ROUNDUP(MONTH($C5151)/3,0))</f>
        <v/>
      </c>
      <c r="L5151">
        <f>IF($G5151&lt;&gt;"ALCOHOL","",IF($K5151="","",$H5151*IFERROR(VLOOKUP($K5151,Drink_Templates!$A:$G,7,FALSE),0)))</f>
        <v/>
      </c>
    </row>
    <row r="5152" ht="15" customHeight="1">
      <c r="C5152">
        <f>IF($B5152="","",INT($B5152))</f>
        <v/>
      </c>
      <c r="D5152">
        <f>IF($C5152="","",$C5152-WEEKDAY($C5152,2)+1)</f>
        <v/>
      </c>
      <c r="E5152">
        <f>IF($C5152="","",DATE(YEAR($C5152),MONTH($C5152),1))</f>
        <v/>
      </c>
      <c r="F5152">
        <f>IF($C5152="","",YEAR($C5152)&amp;"-Q"&amp;ROUNDUP(MONTH($C5152)/3,0))</f>
        <v/>
      </c>
      <c r="L5152">
        <f>IF($G5152&lt;&gt;"ALCOHOL","",IF($K5152="","",$H5152*IFERROR(VLOOKUP($K5152,Drink_Templates!$A:$G,7,FALSE),0)))</f>
        <v/>
      </c>
    </row>
    <row r="5153" ht="15" customHeight="1">
      <c r="C5153">
        <f>IF($B5153="","",INT($B5153))</f>
        <v/>
      </c>
      <c r="D5153">
        <f>IF($C5153="","",$C5153-WEEKDAY($C5153,2)+1)</f>
        <v/>
      </c>
      <c r="E5153">
        <f>IF($C5153="","",DATE(YEAR($C5153),MONTH($C5153),1))</f>
        <v/>
      </c>
      <c r="F5153">
        <f>IF($C5153="","",YEAR($C5153)&amp;"-Q"&amp;ROUNDUP(MONTH($C5153)/3,0))</f>
        <v/>
      </c>
      <c r="L5153">
        <f>IF($G5153&lt;&gt;"ALCOHOL","",IF($K5153="","",$H5153*IFERROR(VLOOKUP($K5153,Drink_Templates!$A:$G,7,FALSE),0)))</f>
        <v/>
      </c>
    </row>
    <row r="5154" ht="15" customHeight="1">
      <c r="C5154">
        <f>IF($B5154="","",INT($B5154))</f>
        <v/>
      </c>
      <c r="D5154">
        <f>IF($C5154="","",$C5154-WEEKDAY($C5154,2)+1)</f>
        <v/>
      </c>
      <c r="E5154">
        <f>IF($C5154="","",DATE(YEAR($C5154),MONTH($C5154),1))</f>
        <v/>
      </c>
      <c r="F5154">
        <f>IF($C5154="","",YEAR($C5154)&amp;"-Q"&amp;ROUNDUP(MONTH($C5154)/3,0))</f>
        <v/>
      </c>
      <c r="L5154">
        <f>IF($G5154&lt;&gt;"ALCOHOL","",IF($K5154="","",$H5154*IFERROR(VLOOKUP($K5154,Drink_Templates!$A:$G,7,FALSE),0)))</f>
        <v/>
      </c>
    </row>
    <row r="5155" ht="15" customHeight="1">
      <c r="C5155">
        <f>IF($B5155="","",INT($B5155))</f>
        <v/>
      </c>
      <c r="D5155">
        <f>IF($C5155="","",$C5155-WEEKDAY($C5155,2)+1)</f>
        <v/>
      </c>
      <c r="E5155">
        <f>IF($C5155="","",DATE(YEAR($C5155),MONTH($C5155),1))</f>
        <v/>
      </c>
      <c r="F5155">
        <f>IF($C5155="","",YEAR($C5155)&amp;"-Q"&amp;ROUNDUP(MONTH($C5155)/3,0))</f>
        <v/>
      </c>
      <c r="L5155">
        <f>IF($G5155&lt;&gt;"ALCOHOL","",IF($K5155="","",$H5155*IFERROR(VLOOKUP($K5155,Drink_Templates!$A:$G,7,FALSE),0)))</f>
        <v/>
      </c>
    </row>
    <row r="5156" ht="15" customHeight="1">
      <c r="C5156">
        <f>IF($B5156="","",INT($B5156))</f>
        <v/>
      </c>
      <c r="D5156">
        <f>IF($C5156="","",$C5156-WEEKDAY($C5156,2)+1)</f>
        <v/>
      </c>
      <c r="E5156">
        <f>IF($C5156="","",DATE(YEAR($C5156),MONTH($C5156),1))</f>
        <v/>
      </c>
      <c r="F5156">
        <f>IF($C5156="","",YEAR($C5156)&amp;"-Q"&amp;ROUNDUP(MONTH($C5156)/3,0))</f>
        <v/>
      </c>
      <c r="L5156">
        <f>IF($G5156&lt;&gt;"ALCOHOL","",IF($K5156="","",$H5156*IFERROR(VLOOKUP($K5156,Drink_Templates!$A:$G,7,FALSE),0)))</f>
        <v/>
      </c>
    </row>
    <row r="5157" ht="15" customHeight="1">
      <c r="C5157">
        <f>IF($B5157="","",INT($B5157))</f>
        <v/>
      </c>
      <c r="D5157">
        <f>IF($C5157="","",$C5157-WEEKDAY($C5157,2)+1)</f>
        <v/>
      </c>
      <c r="E5157">
        <f>IF($C5157="","",DATE(YEAR($C5157),MONTH($C5157),1))</f>
        <v/>
      </c>
      <c r="F5157">
        <f>IF($C5157="","",YEAR($C5157)&amp;"-Q"&amp;ROUNDUP(MONTH($C5157)/3,0))</f>
        <v/>
      </c>
      <c r="L5157">
        <f>IF($G5157&lt;&gt;"ALCOHOL","",IF($K5157="","",$H5157*IFERROR(VLOOKUP($K5157,Drink_Templates!$A:$G,7,FALSE),0)))</f>
        <v/>
      </c>
    </row>
    <row r="5158" ht="15" customHeight="1">
      <c r="C5158">
        <f>IF($B5158="","",INT($B5158))</f>
        <v/>
      </c>
      <c r="D5158">
        <f>IF($C5158="","",$C5158-WEEKDAY($C5158,2)+1)</f>
        <v/>
      </c>
      <c r="E5158">
        <f>IF($C5158="","",DATE(YEAR($C5158),MONTH($C5158),1))</f>
        <v/>
      </c>
      <c r="F5158">
        <f>IF($C5158="","",YEAR($C5158)&amp;"-Q"&amp;ROUNDUP(MONTH($C5158)/3,0))</f>
        <v/>
      </c>
      <c r="L5158">
        <f>IF($G5158&lt;&gt;"ALCOHOL","",IF($K5158="","",$H5158*IFERROR(VLOOKUP($K5158,Drink_Templates!$A:$G,7,FALSE),0)))</f>
        <v/>
      </c>
    </row>
    <row r="5159" ht="15" customHeight="1">
      <c r="C5159">
        <f>IF($B5159="","",INT($B5159))</f>
        <v/>
      </c>
      <c r="D5159">
        <f>IF($C5159="","",$C5159-WEEKDAY($C5159,2)+1)</f>
        <v/>
      </c>
      <c r="E5159">
        <f>IF($C5159="","",DATE(YEAR($C5159),MONTH($C5159),1))</f>
        <v/>
      </c>
      <c r="F5159">
        <f>IF($C5159="","",YEAR($C5159)&amp;"-Q"&amp;ROUNDUP(MONTH($C5159)/3,0))</f>
        <v/>
      </c>
      <c r="L5159">
        <f>IF($G5159&lt;&gt;"ALCOHOL","",IF($K5159="","",$H5159*IFERROR(VLOOKUP($K5159,Drink_Templates!$A:$G,7,FALSE),0)))</f>
        <v/>
      </c>
    </row>
    <row r="5160" ht="15" customHeight="1">
      <c r="C5160">
        <f>IF($B5160="","",INT($B5160))</f>
        <v/>
      </c>
      <c r="D5160">
        <f>IF($C5160="","",$C5160-WEEKDAY($C5160,2)+1)</f>
        <v/>
      </c>
      <c r="E5160">
        <f>IF($C5160="","",DATE(YEAR($C5160),MONTH($C5160),1))</f>
        <v/>
      </c>
      <c r="F5160">
        <f>IF($C5160="","",YEAR($C5160)&amp;"-Q"&amp;ROUNDUP(MONTH($C5160)/3,0))</f>
        <v/>
      </c>
      <c r="L5160">
        <f>IF($G5160&lt;&gt;"ALCOHOL","",IF($K5160="","",$H5160*IFERROR(VLOOKUP($K5160,Drink_Templates!$A:$G,7,FALSE),0)))</f>
        <v/>
      </c>
    </row>
    <row r="5161" ht="15" customHeight="1">
      <c r="C5161">
        <f>IF($B5161="","",INT($B5161))</f>
        <v/>
      </c>
      <c r="D5161">
        <f>IF($C5161="","",$C5161-WEEKDAY($C5161,2)+1)</f>
        <v/>
      </c>
      <c r="E5161">
        <f>IF($C5161="","",DATE(YEAR($C5161),MONTH($C5161),1))</f>
        <v/>
      </c>
      <c r="F5161">
        <f>IF($C5161="","",YEAR($C5161)&amp;"-Q"&amp;ROUNDUP(MONTH($C5161)/3,0))</f>
        <v/>
      </c>
      <c r="L5161">
        <f>IF($G5161&lt;&gt;"ALCOHOL","",IF($K5161="","",$H5161*IFERROR(VLOOKUP($K5161,Drink_Templates!$A:$G,7,FALSE),0)))</f>
        <v/>
      </c>
    </row>
    <row r="5162" ht="15" customHeight="1">
      <c r="C5162">
        <f>IF($B5162="","",INT($B5162))</f>
        <v/>
      </c>
      <c r="D5162">
        <f>IF($C5162="","",$C5162-WEEKDAY($C5162,2)+1)</f>
        <v/>
      </c>
      <c r="E5162">
        <f>IF($C5162="","",DATE(YEAR($C5162),MONTH($C5162),1))</f>
        <v/>
      </c>
      <c r="F5162">
        <f>IF($C5162="","",YEAR($C5162)&amp;"-Q"&amp;ROUNDUP(MONTH($C5162)/3,0))</f>
        <v/>
      </c>
      <c r="L5162">
        <f>IF($G5162&lt;&gt;"ALCOHOL","",IF($K5162="","",$H5162*IFERROR(VLOOKUP($K5162,Drink_Templates!$A:$G,7,FALSE),0)))</f>
        <v/>
      </c>
    </row>
    <row r="5163" ht="15" customHeight="1">
      <c r="C5163">
        <f>IF($B5163="","",INT($B5163))</f>
        <v/>
      </c>
      <c r="D5163">
        <f>IF($C5163="","",$C5163-WEEKDAY($C5163,2)+1)</f>
        <v/>
      </c>
      <c r="E5163">
        <f>IF($C5163="","",DATE(YEAR($C5163),MONTH($C5163),1))</f>
        <v/>
      </c>
      <c r="F5163">
        <f>IF($C5163="","",YEAR($C5163)&amp;"-Q"&amp;ROUNDUP(MONTH($C5163)/3,0))</f>
        <v/>
      </c>
      <c r="L5163">
        <f>IF($G5163&lt;&gt;"ALCOHOL","",IF($K5163="","",$H5163*IFERROR(VLOOKUP($K5163,Drink_Templates!$A:$G,7,FALSE),0)))</f>
        <v/>
      </c>
    </row>
    <row r="5164" ht="15" customHeight="1">
      <c r="C5164">
        <f>IF($B5164="","",INT($B5164))</f>
        <v/>
      </c>
      <c r="D5164">
        <f>IF($C5164="","",$C5164-WEEKDAY($C5164,2)+1)</f>
        <v/>
      </c>
      <c r="E5164">
        <f>IF($C5164="","",DATE(YEAR($C5164),MONTH($C5164),1))</f>
        <v/>
      </c>
      <c r="F5164">
        <f>IF($C5164="","",YEAR($C5164)&amp;"-Q"&amp;ROUNDUP(MONTH($C5164)/3,0))</f>
        <v/>
      </c>
      <c r="L5164">
        <f>IF($G5164&lt;&gt;"ALCOHOL","",IF($K5164="","",$H5164*IFERROR(VLOOKUP($K5164,Drink_Templates!$A:$G,7,FALSE),0)))</f>
        <v/>
      </c>
    </row>
    <row r="5165" ht="15" customHeight="1">
      <c r="C5165">
        <f>IF($B5165="","",INT($B5165))</f>
        <v/>
      </c>
      <c r="D5165">
        <f>IF($C5165="","",$C5165-WEEKDAY($C5165,2)+1)</f>
        <v/>
      </c>
      <c r="E5165">
        <f>IF($C5165="","",DATE(YEAR($C5165),MONTH($C5165),1))</f>
        <v/>
      </c>
      <c r="F5165">
        <f>IF($C5165="","",YEAR($C5165)&amp;"-Q"&amp;ROUNDUP(MONTH($C5165)/3,0))</f>
        <v/>
      </c>
      <c r="L5165">
        <f>IF($G5165&lt;&gt;"ALCOHOL","",IF($K5165="","",$H5165*IFERROR(VLOOKUP($K5165,Drink_Templates!$A:$G,7,FALSE),0)))</f>
        <v/>
      </c>
    </row>
    <row r="5166" ht="15" customHeight="1">
      <c r="C5166">
        <f>IF($B5166="","",INT($B5166))</f>
        <v/>
      </c>
      <c r="D5166">
        <f>IF($C5166="","",$C5166-WEEKDAY($C5166,2)+1)</f>
        <v/>
      </c>
      <c r="E5166">
        <f>IF($C5166="","",DATE(YEAR($C5166),MONTH($C5166),1))</f>
        <v/>
      </c>
      <c r="F5166">
        <f>IF($C5166="","",YEAR($C5166)&amp;"-Q"&amp;ROUNDUP(MONTH($C5166)/3,0))</f>
        <v/>
      </c>
      <c r="L5166">
        <f>IF($G5166&lt;&gt;"ALCOHOL","",IF($K5166="","",$H5166*IFERROR(VLOOKUP($K5166,Drink_Templates!$A:$G,7,FALSE),0)))</f>
        <v/>
      </c>
    </row>
    <row r="5167" ht="15" customHeight="1">
      <c r="C5167">
        <f>IF($B5167="","",INT($B5167))</f>
        <v/>
      </c>
      <c r="D5167">
        <f>IF($C5167="","",$C5167-WEEKDAY($C5167,2)+1)</f>
        <v/>
      </c>
      <c r="E5167">
        <f>IF($C5167="","",DATE(YEAR($C5167),MONTH($C5167),1))</f>
        <v/>
      </c>
      <c r="F5167">
        <f>IF($C5167="","",YEAR($C5167)&amp;"-Q"&amp;ROUNDUP(MONTH($C5167)/3,0))</f>
        <v/>
      </c>
      <c r="L5167">
        <f>IF($G5167&lt;&gt;"ALCOHOL","",IF($K5167="","",$H5167*IFERROR(VLOOKUP($K5167,Drink_Templates!$A:$G,7,FALSE),0)))</f>
        <v/>
      </c>
    </row>
    <row r="5168" ht="15" customHeight="1">
      <c r="C5168">
        <f>IF($B5168="","",INT($B5168))</f>
        <v/>
      </c>
      <c r="D5168">
        <f>IF($C5168="","",$C5168-WEEKDAY($C5168,2)+1)</f>
        <v/>
      </c>
      <c r="E5168">
        <f>IF($C5168="","",DATE(YEAR($C5168),MONTH($C5168),1))</f>
        <v/>
      </c>
      <c r="F5168">
        <f>IF($C5168="","",YEAR($C5168)&amp;"-Q"&amp;ROUNDUP(MONTH($C5168)/3,0))</f>
        <v/>
      </c>
      <c r="L5168">
        <f>IF($G5168&lt;&gt;"ALCOHOL","",IF($K5168="","",$H5168*IFERROR(VLOOKUP($K5168,Drink_Templates!$A:$G,7,FALSE),0)))</f>
        <v/>
      </c>
    </row>
    <row r="5169" ht="15" customHeight="1">
      <c r="C5169">
        <f>IF($B5169="","",INT($B5169))</f>
        <v/>
      </c>
      <c r="D5169">
        <f>IF($C5169="","",$C5169-WEEKDAY($C5169,2)+1)</f>
        <v/>
      </c>
      <c r="E5169">
        <f>IF($C5169="","",DATE(YEAR($C5169),MONTH($C5169),1))</f>
        <v/>
      </c>
      <c r="F5169">
        <f>IF($C5169="","",YEAR($C5169)&amp;"-Q"&amp;ROUNDUP(MONTH($C5169)/3,0))</f>
        <v/>
      </c>
      <c r="L5169">
        <f>IF($G5169&lt;&gt;"ALCOHOL","",IF($K5169="","",$H5169*IFERROR(VLOOKUP($K5169,Drink_Templates!$A:$G,7,FALSE),0)))</f>
        <v/>
      </c>
    </row>
    <row r="5170" ht="15" customHeight="1">
      <c r="C5170">
        <f>IF($B5170="","",INT($B5170))</f>
        <v/>
      </c>
      <c r="D5170">
        <f>IF($C5170="","",$C5170-WEEKDAY($C5170,2)+1)</f>
        <v/>
      </c>
      <c r="E5170">
        <f>IF($C5170="","",DATE(YEAR($C5170),MONTH($C5170),1))</f>
        <v/>
      </c>
      <c r="F5170">
        <f>IF($C5170="","",YEAR($C5170)&amp;"-Q"&amp;ROUNDUP(MONTH($C5170)/3,0))</f>
        <v/>
      </c>
      <c r="L5170">
        <f>IF($G5170&lt;&gt;"ALCOHOL","",IF($K5170="","",$H5170*IFERROR(VLOOKUP($K5170,Drink_Templates!$A:$G,7,FALSE),0)))</f>
        <v/>
      </c>
    </row>
    <row r="5171" ht="15" customHeight="1">
      <c r="C5171">
        <f>IF($B5171="","",INT($B5171))</f>
        <v/>
      </c>
      <c r="D5171">
        <f>IF($C5171="","",$C5171-WEEKDAY($C5171,2)+1)</f>
        <v/>
      </c>
      <c r="E5171">
        <f>IF($C5171="","",DATE(YEAR($C5171),MONTH($C5171),1))</f>
        <v/>
      </c>
      <c r="F5171">
        <f>IF($C5171="","",YEAR($C5171)&amp;"-Q"&amp;ROUNDUP(MONTH($C5171)/3,0))</f>
        <v/>
      </c>
      <c r="L5171">
        <f>IF($G5171&lt;&gt;"ALCOHOL","",IF($K5171="","",$H5171*IFERROR(VLOOKUP($K5171,Drink_Templates!$A:$G,7,FALSE),0)))</f>
        <v/>
      </c>
    </row>
    <row r="5172" ht="15" customHeight="1">
      <c r="C5172">
        <f>IF($B5172="","",INT($B5172))</f>
        <v/>
      </c>
      <c r="D5172">
        <f>IF($C5172="","",$C5172-WEEKDAY($C5172,2)+1)</f>
        <v/>
      </c>
      <c r="E5172">
        <f>IF($C5172="","",DATE(YEAR($C5172),MONTH($C5172),1))</f>
        <v/>
      </c>
      <c r="F5172">
        <f>IF($C5172="","",YEAR($C5172)&amp;"-Q"&amp;ROUNDUP(MONTH($C5172)/3,0))</f>
        <v/>
      </c>
      <c r="L5172">
        <f>IF($G5172&lt;&gt;"ALCOHOL","",IF($K5172="","",$H5172*IFERROR(VLOOKUP($K5172,Drink_Templates!$A:$G,7,FALSE),0)))</f>
        <v/>
      </c>
    </row>
    <row r="5173" ht="15" customHeight="1">
      <c r="C5173">
        <f>IF($B5173="","",INT($B5173))</f>
        <v/>
      </c>
      <c r="D5173">
        <f>IF($C5173="","",$C5173-WEEKDAY($C5173,2)+1)</f>
        <v/>
      </c>
      <c r="E5173">
        <f>IF($C5173="","",DATE(YEAR($C5173),MONTH($C5173),1))</f>
        <v/>
      </c>
      <c r="F5173">
        <f>IF($C5173="","",YEAR($C5173)&amp;"-Q"&amp;ROUNDUP(MONTH($C5173)/3,0))</f>
        <v/>
      </c>
      <c r="L5173">
        <f>IF($G5173&lt;&gt;"ALCOHOL","",IF($K5173="","",$H5173*IFERROR(VLOOKUP($K5173,Drink_Templates!$A:$G,7,FALSE),0)))</f>
        <v/>
      </c>
    </row>
    <row r="5174" ht="15" customHeight="1">
      <c r="C5174">
        <f>IF($B5174="","",INT($B5174))</f>
        <v/>
      </c>
      <c r="D5174">
        <f>IF($C5174="","",$C5174-WEEKDAY($C5174,2)+1)</f>
        <v/>
      </c>
      <c r="E5174">
        <f>IF($C5174="","",DATE(YEAR($C5174),MONTH($C5174),1))</f>
        <v/>
      </c>
      <c r="F5174">
        <f>IF($C5174="","",YEAR($C5174)&amp;"-Q"&amp;ROUNDUP(MONTH($C5174)/3,0))</f>
        <v/>
      </c>
      <c r="L5174">
        <f>IF($G5174&lt;&gt;"ALCOHOL","",IF($K5174="","",$H5174*IFERROR(VLOOKUP($K5174,Drink_Templates!$A:$G,7,FALSE),0)))</f>
        <v/>
      </c>
    </row>
    <row r="5175" ht="15" customHeight="1">
      <c r="C5175">
        <f>IF($B5175="","",INT($B5175))</f>
        <v/>
      </c>
      <c r="D5175">
        <f>IF($C5175="","",$C5175-WEEKDAY($C5175,2)+1)</f>
        <v/>
      </c>
      <c r="E5175">
        <f>IF($C5175="","",DATE(YEAR($C5175),MONTH($C5175),1))</f>
        <v/>
      </c>
      <c r="F5175">
        <f>IF($C5175="","",YEAR($C5175)&amp;"-Q"&amp;ROUNDUP(MONTH($C5175)/3,0))</f>
        <v/>
      </c>
      <c r="L5175">
        <f>IF($G5175&lt;&gt;"ALCOHOL","",IF($K5175="","",$H5175*IFERROR(VLOOKUP($K5175,Drink_Templates!$A:$G,7,FALSE),0)))</f>
        <v/>
      </c>
    </row>
    <row r="5176" ht="15" customHeight="1">
      <c r="C5176">
        <f>IF($B5176="","",INT($B5176))</f>
        <v/>
      </c>
      <c r="D5176">
        <f>IF($C5176="","",$C5176-WEEKDAY($C5176,2)+1)</f>
        <v/>
      </c>
      <c r="E5176">
        <f>IF($C5176="","",DATE(YEAR($C5176),MONTH($C5176),1))</f>
        <v/>
      </c>
      <c r="F5176">
        <f>IF($C5176="","",YEAR($C5176)&amp;"-Q"&amp;ROUNDUP(MONTH($C5176)/3,0))</f>
        <v/>
      </c>
      <c r="L5176">
        <f>IF($G5176&lt;&gt;"ALCOHOL","",IF($K5176="","",$H5176*IFERROR(VLOOKUP($K5176,Drink_Templates!$A:$G,7,FALSE),0)))</f>
        <v/>
      </c>
    </row>
    <row r="5177" ht="15" customHeight="1">
      <c r="C5177">
        <f>IF($B5177="","",INT($B5177))</f>
        <v/>
      </c>
      <c r="D5177">
        <f>IF($C5177="","",$C5177-WEEKDAY($C5177,2)+1)</f>
        <v/>
      </c>
      <c r="E5177">
        <f>IF($C5177="","",DATE(YEAR($C5177),MONTH($C5177),1))</f>
        <v/>
      </c>
      <c r="F5177">
        <f>IF($C5177="","",YEAR($C5177)&amp;"-Q"&amp;ROUNDUP(MONTH($C5177)/3,0))</f>
        <v/>
      </c>
      <c r="L5177">
        <f>IF($G5177&lt;&gt;"ALCOHOL","",IF($K5177="","",$H5177*IFERROR(VLOOKUP($K5177,Drink_Templates!$A:$G,7,FALSE),0)))</f>
        <v/>
      </c>
    </row>
    <row r="5178" ht="15" customHeight="1">
      <c r="C5178">
        <f>IF($B5178="","",INT($B5178))</f>
        <v/>
      </c>
      <c r="D5178">
        <f>IF($C5178="","",$C5178-WEEKDAY($C5178,2)+1)</f>
        <v/>
      </c>
      <c r="E5178">
        <f>IF($C5178="","",DATE(YEAR($C5178),MONTH($C5178),1))</f>
        <v/>
      </c>
      <c r="F5178">
        <f>IF($C5178="","",YEAR($C5178)&amp;"-Q"&amp;ROUNDUP(MONTH($C5178)/3,0))</f>
        <v/>
      </c>
      <c r="L5178">
        <f>IF($G5178&lt;&gt;"ALCOHOL","",IF($K5178="","",$H5178*IFERROR(VLOOKUP($K5178,Drink_Templates!$A:$G,7,FALSE),0)))</f>
        <v/>
      </c>
    </row>
    <row r="5179" ht="15" customHeight="1">
      <c r="C5179">
        <f>IF($B5179="","",INT($B5179))</f>
        <v/>
      </c>
      <c r="D5179">
        <f>IF($C5179="","",$C5179-WEEKDAY($C5179,2)+1)</f>
        <v/>
      </c>
      <c r="E5179">
        <f>IF($C5179="","",DATE(YEAR($C5179),MONTH($C5179),1))</f>
        <v/>
      </c>
      <c r="F5179">
        <f>IF($C5179="","",YEAR($C5179)&amp;"-Q"&amp;ROUNDUP(MONTH($C5179)/3,0))</f>
        <v/>
      </c>
      <c r="L5179">
        <f>IF($G5179&lt;&gt;"ALCOHOL","",IF($K5179="","",$H5179*IFERROR(VLOOKUP($K5179,Drink_Templates!$A:$G,7,FALSE),0)))</f>
        <v/>
      </c>
    </row>
    <row r="5180" ht="15" customHeight="1">
      <c r="C5180">
        <f>IF($B5180="","",INT($B5180))</f>
        <v/>
      </c>
      <c r="D5180">
        <f>IF($C5180="","",$C5180-WEEKDAY($C5180,2)+1)</f>
        <v/>
      </c>
      <c r="E5180">
        <f>IF($C5180="","",DATE(YEAR($C5180),MONTH($C5180),1))</f>
        <v/>
      </c>
      <c r="F5180">
        <f>IF($C5180="","",YEAR($C5180)&amp;"-Q"&amp;ROUNDUP(MONTH($C5180)/3,0))</f>
        <v/>
      </c>
      <c r="L5180">
        <f>IF($G5180&lt;&gt;"ALCOHOL","",IF($K5180="","",$H5180*IFERROR(VLOOKUP($K5180,Drink_Templates!$A:$G,7,FALSE),0)))</f>
        <v/>
      </c>
    </row>
    <row r="5181" ht="15" customHeight="1">
      <c r="C5181">
        <f>IF($B5181="","",INT($B5181))</f>
        <v/>
      </c>
      <c r="D5181">
        <f>IF($C5181="","",$C5181-WEEKDAY($C5181,2)+1)</f>
        <v/>
      </c>
      <c r="E5181">
        <f>IF($C5181="","",DATE(YEAR($C5181),MONTH($C5181),1))</f>
        <v/>
      </c>
      <c r="F5181">
        <f>IF($C5181="","",YEAR($C5181)&amp;"-Q"&amp;ROUNDUP(MONTH($C5181)/3,0))</f>
        <v/>
      </c>
      <c r="L5181">
        <f>IF($G5181&lt;&gt;"ALCOHOL","",IF($K5181="","",$H5181*IFERROR(VLOOKUP($K5181,Drink_Templates!$A:$G,7,FALSE),0)))</f>
        <v/>
      </c>
    </row>
    <row r="5182" ht="15" customHeight="1">
      <c r="C5182">
        <f>IF($B5182="","",INT($B5182))</f>
        <v/>
      </c>
      <c r="D5182">
        <f>IF($C5182="","",$C5182-WEEKDAY($C5182,2)+1)</f>
        <v/>
      </c>
      <c r="E5182">
        <f>IF($C5182="","",DATE(YEAR($C5182),MONTH($C5182),1))</f>
        <v/>
      </c>
      <c r="F5182">
        <f>IF($C5182="","",YEAR($C5182)&amp;"-Q"&amp;ROUNDUP(MONTH($C5182)/3,0))</f>
        <v/>
      </c>
      <c r="L5182">
        <f>IF($G5182&lt;&gt;"ALCOHOL","",IF($K5182="","",$H5182*IFERROR(VLOOKUP($K5182,Drink_Templates!$A:$G,7,FALSE),0)))</f>
        <v/>
      </c>
    </row>
    <row r="5183" ht="15" customHeight="1">
      <c r="C5183">
        <f>IF($B5183="","",INT($B5183))</f>
        <v/>
      </c>
      <c r="D5183">
        <f>IF($C5183="","",$C5183-WEEKDAY($C5183,2)+1)</f>
        <v/>
      </c>
      <c r="E5183">
        <f>IF($C5183="","",DATE(YEAR($C5183),MONTH($C5183),1))</f>
        <v/>
      </c>
      <c r="F5183">
        <f>IF($C5183="","",YEAR($C5183)&amp;"-Q"&amp;ROUNDUP(MONTH($C5183)/3,0))</f>
        <v/>
      </c>
      <c r="L5183">
        <f>IF($G5183&lt;&gt;"ALCOHOL","",IF($K5183="","",$H5183*IFERROR(VLOOKUP($K5183,Drink_Templates!$A:$G,7,FALSE),0)))</f>
        <v/>
      </c>
    </row>
    <row r="5184" ht="15" customHeight="1">
      <c r="C5184">
        <f>IF($B5184="","",INT($B5184))</f>
        <v/>
      </c>
      <c r="D5184">
        <f>IF($C5184="","",$C5184-WEEKDAY($C5184,2)+1)</f>
        <v/>
      </c>
      <c r="E5184">
        <f>IF($C5184="","",DATE(YEAR($C5184),MONTH($C5184),1))</f>
        <v/>
      </c>
      <c r="F5184">
        <f>IF($C5184="","",YEAR($C5184)&amp;"-Q"&amp;ROUNDUP(MONTH($C5184)/3,0))</f>
        <v/>
      </c>
      <c r="L5184">
        <f>IF($G5184&lt;&gt;"ALCOHOL","",IF($K5184="","",$H5184*IFERROR(VLOOKUP($K5184,Drink_Templates!$A:$G,7,FALSE),0)))</f>
        <v/>
      </c>
    </row>
    <row r="5185" ht="15" customHeight="1">
      <c r="C5185">
        <f>IF($B5185="","",INT($B5185))</f>
        <v/>
      </c>
      <c r="D5185">
        <f>IF($C5185="","",$C5185-WEEKDAY($C5185,2)+1)</f>
        <v/>
      </c>
      <c r="E5185">
        <f>IF($C5185="","",DATE(YEAR($C5185),MONTH($C5185),1))</f>
        <v/>
      </c>
      <c r="F5185">
        <f>IF($C5185="","",YEAR($C5185)&amp;"-Q"&amp;ROUNDUP(MONTH($C5185)/3,0))</f>
        <v/>
      </c>
      <c r="L5185">
        <f>IF($G5185&lt;&gt;"ALCOHOL","",IF($K5185="","",$H5185*IFERROR(VLOOKUP($K5185,Drink_Templates!$A:$G,7,FALSE),0)))</f>
        <v/>
      </c>
    </row>
    <row r="5186" ht="15" customHeight="1">
      <c r="C5186">
        <f>IF($B5186="","",INT($B5186))</f>
        <v/>
      </c>
      <c r="D5186">
        <f>IF($C5186="","",$C5186-WEEKDAY($C5186,2)+1)</f>
        <v/>
      </c>
      <c r="E5186">
        <f>IF($C5186="","",DATE(YEAR($C5186),MONTH($C5186),1))</f>
        <v/>
      </c>
      <c r="F5186">
        <f>IF($C5186="","",YEAR($C5186)&amp;"-Q"&amp;ROUNDUP(MONTH($C5186)/3,0))</f>
        <v/>
      </c>
      <c r="L5186">
        <f>IF($G5186&lt;&gt;"ALCOHOL","",IF($K5186="","",$H5186*IFERROR(VLOOKUP($K5186,Drink_Templates!$A:$G,7,FALSE),0)))</f>
        <v/>
      </c>
    </row>
    <row r="5187" ht="15" customHeight="1">
      <c r="C5187">
        <f>IF($B5187="","",INT($B5187))</f>
        <v/>
      </c>
      <c r="D5187">
        <f>IF($C5187="","",$C5187-WEEKDAY($C5187,2)+1)</f>
        <v/>
      </c>
      <c r="E5187">
        <f>IF($C5187="","",DATE(YEAR($C5187),MONTH($C5187),1))</f>
        <v/>
      </c>
      <c r="F5187">
        <f>IF($C5187="","",YEAR($C5187)&amp;"-Q"&amp;ROUNDUP(MONTH($C5187)/3,0))</f>
        <v/>
      </c>
      <c r="L5187">
        <f>IF($G5187&lt;&gt;"ALCOHOL","",IF($K5187="","",$H5187*IFERROR(VLOOKUP($K5187,Drink_Templates!$A:$G,7,FALSE),0)))</f>
        <v/>
      </c>
    </row>
    <row r="5188" ht="15" customHeight="1">
      <c r="C5188">
        <f>IF($B5188="","",INT($B5188))</f>
        <v/>
      </c>
      <c r="D5188">
        <f>IF($C5188="","",$C5188-WEEKDAY($C5188,2)+1)</f>
        <v/>
      </c>
      <c r="E5188">
        <f>IF($C5188="","",DATE(YEAR($C5188),MONTH($C5188),1))</f>
        <v/>
      </c>
      <c r="F5188">
        <f>IF($C5188="","",YEAR($C5188)&amp;"-Q"&amp;ROUNDUP(MONTH($C5188)/3,0))</f>
        <v/>
      </c>
      <c r="L5188">
        <f>IF($G5188&lt;&gt;"ALCOHOL","",IF($K5188="","",$H5188*IFERROR(VLOOKUP($K5188,Drink_Templates!$A:$G,7,FALSE),0)))</f>
        <v/>
      </c>
    </row>
    <row r="5189" ht="15" customHeight="1">
      <c r="C5189">
        <f>IF($B5189="","",INT($B5189))</f>
        <v/>
      </c>
      <c r="D5189">
        <f>IF($C5189="","",$C5189-WEEKDAY($C5189,2)+1)</f>
        <v/>
      </c>
      <c r="E5189">
        <f>IF($C5189="","",DATE(YEAR($C5189),MONTH($C5189),1))</f>
        <v/>
      </c>
      <c r="F5189">
        <f>IF($C5189="","",YEAR($C5189)&amp;"-Q"&amp;ROUNDUP(MONTH($C5189)/3,0))</f>
        <v/>
      </c>
      <c r="L5189">
        <f>IF($G5189&lt;&gt;"ALCOHOL","",IF($K5189="","",$H5189*IFERROR(VLOOKUP($K5189,Drink_Templates!$A:$G,7,FALSE),0)))</f>
        <v/>
      </c>
    </row>
    <row r="5190" ht="15" customHeight="1">
      <c r="C5190">
        <f>IF($B5190="","",INT($B5190))</f>
        <v/>
      </c>
      <c r="D5190">
        <f>IF($C5190="","",$C5190-WEEKDAY($C5190,2)+1)</f>
        <v/>
      </c>
      <c r="E5190">
        <f>IF($C5190="","",DATE(YEAR($C5190),MONTH($C5190),1))</f>
        <v/>
      </c>
      <c r="F5190">
        <f>IF($C5190="","",YEAR($C5190)&amp;"-Q"&amp;ROUNDUP(MONTH($C5190)/3,0))</f>
        <v/>
      </c>
      <c r="L5190">
        <f>IF($G5190&lt;&gt;"ALCOHOL","",IF($K5190="","",$H5190*IFERROR(VLOOKUP($K5190,Drink_Templates!$A:$G,7,FALSE),0)))</f>
        <v/>
      </c>
    </row>
    <row r="5191" ht="15" customHeight="1">
      <c r="C5191">
        <f>IF($B5191="","",INT($B5191))</f>
        <v/>
      </c>
      <c r="D5191">
        <f>IF($C5191="","",$C5191-WEEKDAY($C5191,2)+1)</f>
        <v/>
      </c>
      <c r="E5191">
        <f>IF($C5191="","",DATE(YEAR($C5191),MONTH($C5191),1))</f>
        <v/>
      </c>
      <c r="F5191">
        <f>IF($C5191="","",YEAR($C5191)&amp;"-Q"&amp;ROUNDUP(MONTH($C5191)/3,0))</f>
        <v/>
      </c>
      <c r="L5191">
        <f>IF($G5191&lt;&gt;"ALCOHOL","",IF($K5191="","",$H5191*IFERROR(VLOOKUP($K5191,Drink_Templates!$A:$G,7,FALSE),0)))</f>
        <v/>
      </c>
    </row>
    <row r="5192" ht="15" customHeight="1">
      <c r="C5192">
        <f>IF($B5192="","",INT($B5192))</f>
        <v/>
      </c>
      <c r="D5192">
        <f>IF($C5192="","",$C5192-WEEKDAY($C5192,2)+1)</f>
        <v/>
      </c>
      <c r="E5192">
        <f>IF($C5192="","",DATE(YEAR($C5192),MONTH($C5192),1))</f>
        <v/>
      </c>
      <c r="F5192">
        <f>IF($C5192="","",YEAR($C5192)&amp;"-Q"&amp;ROUNDUP(MONTH($C5192)/3,0))</f>
        <v/>
      </c>
      <c r="L5192">
        <f>IF($G5192&lt;&gt;"ALCOHOL","",IF($K5192="","",$H5192*IFERROR(VLOOKUP($K5192,Drink_Templates!$A:$G,7,FALSE),0)))</f>
        <v/>
      </c>
    </row>
    <row r="5193" ht="15" customHeight="1">
      <c r="C5193">
        <f>IF($B5193="","",INT($B5193))</f>
        <v/>
      </c>
      <c r="D5193">
        <f>IF($C5193="","",$C5193-WEEKDAY($C5193,2)+1)</f>
        <v/>
      </c>
      <c r="E5193">
        <f>IF($C5193="","",DATE(YEAR($C5193),MONTH($C5193),1))</f>
        <v/>
      </c>
      <c r="F5193">
        <f>IF($C5193="","",YEAR($C5193)&amp;"-Q"&amp;ROUNDUP(MONTH($C5193)/3,0))</f>
        <v/>
      </c>
      <c r="L5193">
        <f>IF($G5193&lt;&gt;"ALCOHOL","",IF($K5193="","",$H5193*IFERROR(VLOOKUP($K5193,Drink_Templates!$A:$G,7,FALSE),0)))</f>
        <v/>
      </c>
    </row>
    <row r="5194" ht="15" customHeight="1">
      <c r="C5194">
        <f>IF($B5194="","",INT($B5194))</f>
        <v/>
      </c>
      <c r="D5194">
        <f>IF($C5194="","",$C5194-WEEKDAY($C5194,2)+1)</f>
        <v/>
      </c>
      <c r="E5194">
        <f>IF($C5194="","",DATE(YEAR($C5194),MONTH($C5194),1))</f>
        <v/>
      </c>
      <c r="F5194">
        <f>IF($C5194="","",YEAR($C5194)&amp;"-Q"&amp;ROUNDUP(MONTH($C5194)/3,0))</f>
        <v/>
      </c>
      <c r="L5194">
        <f>IF($G5194&lt;&gt;"ALCOHOL","",IF($K5194="","",$H5194*IFERROR(VLOOKUP($K5194,Drink_Templates!$A:$G,7,FALSE),0)))</f>
        <v/>
      </c>
    </row>
    <row r="5195" ht="15" customHeight="1">
      <c r="C5195">
        <f>IF($B5195="","",INT($B5195))</f>
        <v/>
      </c>
      <c r="D5195">
        <f>IF($C5195="","",$C5195-WEEKDAY($C5195,2)+1)</f>
        <v/>
      </c>
      <c r="E5195">
        <f>IF($C5195="","",DATE(YEAR($C5195),MONTH($C5195),1))</f>
        <v/>
      </c>
      <c r="F5195">
        <f>IF($C5195="","",YEAR($C5195)&amp;"-Q"&amp;ROUNDUP(MONTH($C5195)/3,0))</f>
        <v/>
      </c>
      <c r="L5195">
        <f>IF($G5195&lt;&gt;"ALCOHOL","",IF($K5195="","",$H5195*IFERROR(VLOOKUP($K5195,Drink_Templates!$A:$G,7,FALSE),0)))</f>
        <v/>
      </c>
    </row>
    <row r="5196" ht="15" customHeight="1">
      <c r="C5196">
        <f>IF($B5196="","",INT($B5196))</f>
        <v/>
      </c>
      <c r="D5196">
        <f>IF($C5196="","",$C5196-WEEKDAY($C5196,2)+1)</f>
        <v/>
      </c>
      <c r="E5196">
        <f>IF($C5196="","",DATE(YEAR($C5196),MONTH($C5196),1))</f>
        <v/>
      </c>
      <c r="F5196">
        <f>IF($C5196="","",YEAR($C5196)&amp;"-Q"&amp;ROUNDUP(MONTH($C5196)/3,0))</f>
        <v/>
      </c>
      <c r="L5196">
        <f>IF($G5196&lt;&gt;"ALCOHOL","",IF($K5196="","",$H5196*IFERROR(VLOOKUP($K5196,Drink_Templates!$A:$G,7,FALSE),0)))</f>
        <v/>
      </c>
    </row>
    <row r="5197" ht="15" customHeight="1">
      <c r="C5197">
        <f>IF($B5197="","",INT($B5197))</f>
        <v/>
      </c>
      <c r="D5197">
        <f>IF($C5197="","",$C5197-WEEKDAY($C5197,2)+1)</f>
        <v/>
      </c>
      <c r="E5197">
        <f>IF($C5197="","",DATE(YEAR($C5197),MONTH($C5197),1))</f>
        <v/>
      </c>
      <c r="F5197">
        <f>IF($C5197="","",YEAR($C5197)&amp;"-Q"&amp;ROUNDUP(MONTH($C5197)/3,0))</f>
        <v/>
      </c>
      <c r="L5197">
        <f>IF($G5197&lt;&gt;"ALCOHOL","",IF($K5197="","",$H5197*IFERROR(VLOOKUP($K5197,Drink_Templates!$A:$G,7,FALSE),0)))</f>
        <v/>
      </c>
    </row>
    <row r="5198" ht="15" customHeight="1">
      <c r="C5198">
        <f>IF($B5198="","",INT($B5198))</f>
        <v/>
      </c>
      <c r="D5198">
        <f>IF($C5198="","",$C5198-WEEKDAY($C5198,2)+1)</f>
        <v/>
      </c>
      <c r="E5198">
        <f>IF($C5198="","",DATE(YEAR($C5198),MONTH($C5198),1))</f>
        <v/>
      </c>
      <c r="F5198">
        <f>IF($C5198="","",YEAR($C5198)&amp;"-Q"&amp;ROUNDUP(MONTH($C5198)/3,0))</f>
        <v/>
      </c>
      <c r="L5198">
        <f>IF($G5198&lt;&gt;"ALCOHOL","",IF($K5198="","",$H5198*IFERROR(VLOOKUP($K5198,Drink_Templates!$A:$G,7,FALSE),0)))</f>
        <v/>
      </c>
    </row>
    <row r="5199" ht="15" customHeight="1">
      <c r="C5199">
        <f>IF($B5199="","",INT($B5199))</f>
        <v/>
      </c>
      <c r="D5199">
        <f>IF($C5199="","",$C5199-WEEKDAY($C5199,2)+1)</f>
        <v/>
      </c>
      <c r="E5199">
        <f>IF($C5199="","",DATE(YEAR($C5199),MONTH($C5199),1))</f>
        <v/>
      </c>
      <c r="F5199">
        <f>IF($C5199="","",YEAR($C5199)&amp;"-Q"&amp;ROUNDUP(MONTH($C5199)/3,0))</f>
        <v/>
      </c>
      <c r="L5199">
        <f>IF($G5199&lt;&gt;"ALCOHOL","",IF($K5199="","",$H5199*IFERROR(VLOOKUP($K5199,Drink_Templates!$A:$G,7,FALSE),0)))</f>
        <v/>
      </c>
    </row>
    <row r="5200" ht="15" customHeight="1">
      <c r="C5200">
        <f>IF($B5200="","",INT($B5200))</f>
        <v/>
      </c>
      <c r="D5200">
        <f>IF($C5200="","",$C5200-WEEKDAY($C5200,2)+1)</f>
        <v/>
      </c>
      <c r="E5200">
        <f>IF($C5200="","",DATE(YEAR($C5200),MONTH($C5200),1))</f>
        <v/>
      </c>
      <c r="F5200">
        <f>IF($C5200="","",YEAR($C5200)&amp;"-Q"&amp;ROUNDUP(MONTH($C5200)/3,0))</f>
        <v/>
      </c>
      <c r="L5200">
        <f>IF($G5200&lt;&gt;"ALCOHOL","",IF($K5200="","",$H5200*IFERROR(VLOOKUP($K5200,Drink_Templates!$A:$G,7,FALSE),0)))</f>
        <v/>
      </c>
    </row>
    <row r="5201" ht="15" customHeight="1">
      <c r="C5201">
        <f>IF($B5201="","",INT($B5201))</f>
        <v/>
      </c>
      <c r="D5201">
        <f>IF($C5201="","",$C5201-WEEKDAY($C5201,2)+1)</f>
        <v/>
      </c>
      <c r="E5201">
        <f>IF($C5201="","",DATE(YEAR($C5201),MONTH($C5201),1))</f>
        <v/>
      </c>
      <c r="F5201">
        <f>IF($C5201="","",YEAR($C5201)&amp;"-Q"&amp;ROUNDUP(MONTH($C5201)/3,0))</f>
        <v/>
      </c>
      <c r="L5201">
        <f>IF($G5201&lt;&gt;"ALCOHOL","",IF($K5201="","",$H5201*IFERROR(VLOOKUP($K5201,Drink_Templates!$A:$G,7,FALSE),0)))</f>
        <v/>
      </c>
    </row>
    <row r="5202" ht="15" customHeight="1">
      <c r="C5202">
        <f>IF($B5202="","",INT($B5202))</f>
        <v/>
      </c>
      <c r="D5202">
        <f>IF($C5202="","",$C5202-WEEKDAY($C5202,2)+1)</f>
        <v/>
      </c>
      <c r="E5202">
        <f>IF($C5202="","",DATE(YEAR($C5202),MONTH($C5202),1))</f>
        <v/>
      </c>
      <c r="F5202">
        <f>IF($C5202="","",YEAR($C5202)&amp;"-Q"&amp;ROUNDUP(MONTH($C5202)/3,0))</f>
        <v/>
      </c>
      <c r="L5202">
        <f>IF($G5202&lt;&gt;"ALCOHOL","",IF($K5202="","",$H5202*IFERROR(VLOOKUP($K5202,Drink_Templates!$A:$G,7,FALSE),0)))</f>
        <v/>
      </c>
    </row>
    <row r="5203" ht="15" customHeight="1">
      <c r="C5203">
        <f>IF($B5203="","",INT($B5203))</f>
        <v/>
      </c>
      <c r="D5203">
        <f>IF($C5203="","",$C5203-WEEKDAY($C5203,2)+1)</f>
        <v/>
      </c>
      <c r="E5203">
        <f>IF($C5203="","",DATE(YEAR($C5203),MONTH($C5203),1))</f>
        <v/>
      </c>
      <c r="F5203">
        <f>IF($C5203="","",YEAR($C5203)&amp;"-Q"&amp;ROUNDUP(MONTH($C5203)/3,0))</f>
        <v/>
      </c>
      <c r="L5203">
        <f>IF($G5203&lt;&gt;"ALCOHOL","",IF($K5203="","",$H5203*IFERROR(VLOOKUP($K5203,Drink_Templates!$A:$G,7,FALSE),0)))</f>
        <v/>
      </c>
    </row>
    <row r="5204" ht="15" customHeight="1">
      <c r="C5204">
        <f>IF($B5204="","",INT($B5204))</f>
        <v/>
      </c>
      <c r="D5204">
        <f>IF($C5204="","",$C5204-WEEKDAY($C5204,2)+1)</f>
        <v/>
      </c>
      <c r="E5204">
        <f>IF($C5204="","",DATE(YEAR($C5204),MONTH($C5204),1))</f>
        <v/>
      </c>
      <c r="F5204">
        <f>IF($C5204="","",YEAR($C5204)&amp;"-Q"&amp;ROUNDUP(MONTH($C5204)/3,0))</f>
        <v/>
      </c>
      <c r="L5204">
        <f>IF($G5204&lt;&gt;"ALCOHOL","",IF($K5204="","",$H5204*IFERROR(VLOOKUP($K5204,Drink_Templates!$A:$G,7,FALSE),0)))</f>
        <v/>
      </c>
    </row>
    <row r="5205" ht="15" customHeight="1">
      <c r="C5205">
        <f>IF($B5205="","",INT($B5205))</f>
        <v/>
      </c>
      <c r="D5205">
        <f>IF($C5205="","",$C5205-WEEKDAY($C5205,2)+1)</f>
        <v/>
      </c>
      <c r="E5205">
        <f>IF($C5205="","",DATE(YEAR($C5205),MONTH($C5205),1))</f>
        <v/>
      </c>
      <c r="F5205">
        <f>IF($C5205="","",YEAR($C5205)&amp;"-Q"&amp;ROUNDUP(MONTH($C5205)/3,0))</f>
        <v/>
      </c>
      <c r="L5205">
        <f>IF($G5205&lt;&gt;"ALCOHOL","",IF($K5205="","",$H5205*IFERROR(VLOOKUP($K5205,Drink_Templates!$A:$G,7,FALSE),0)))</f>
        <v/>
      </c>
    </row>
    <row r="5206" ht="15" customHeight="1">
      <c r="C5206">
        <f>IF($B5206="","",INT($B5206))</f>
        <v/>
      </c>
      <c r="D5206">
        <f>IF($C5206="","",$C5206-WEEKDAY($C5206,2)+1)</f>
        <v/>
      </c>
      <c r="E5206">
        <f>IF($C5206="","",DATE(YEAR($C5206),MONTH($C5206),1))</f>
        <v/>
      </c>
      <c r="F5206">
        <f>IF($C5206="","",YEAR($C5206)&amp;"-Q"&amp;ROUNDUP(MONTH($C5206)/3,0))</f>
        <v/>
      </c>
      <c r="L5206">
        <f>IF($G5206&lt;&gt;"ALCOHOL","",IF($K5206="","",$H5206*IFERROR(VLOOKUP($K5206,Drink_Templates!$A:$G,7,FALSE),0)))</f>
        <v/>
      </c>
    </row>
    <row r="5207" ht="15" customHeight="1">
      <c r="C5207">
        <f>IF($B5207="","",INT($B5207))</f>
        <v/>
      </c>
      <c r="D5207">
        <f>IF($C5207="","",$C5207-WEEKDAY($C5207,2)+1)</f>
        <v/>
      </c>
      <c r="E5207">
        <f>IF($C5207="","",DATE(YEAR($C5207),MONTH($C5207),1))</f>
        <v/>
      </c>
      <c r="F5207">
        <f>IF($C5207="","",YEAR($C5207)&amp;"-Q"&amp;ROUNDUP(MONTH($C5207)/3,0))</f>
        <v/>
      </c>
      <c r="L5207">
        <f>IF($G5207&lt;&gt;"ALCOHOL","",IF($K5207="","",$H5207*IFERROR(VLOOKUP($K5207,Drink_Templates!$A:$G,7,FALSE),0)))</f>
        <v/>
      </c>
    </row>
    <row r="5208" ht="15" customHeight="1">
      <c r="C5208">
        <f>IF($B5208="","",INT($B5208))</f>
        <v/>
      </c>
      <c r="D5208">
        <f>IF($C5208="","",$C5208-WEEKDAY($C5208,2)+1)</f>
        <v/>
      </c>
      <c r="E5208">
        <f>IF($C5208="","",DATE(YEAR($C5208),MONTH($C5208),1))</f>
        <v/>
      </c>
      <c r="F5208">
        <f>IF($C5208="","",YEAR($C5208)&amp;"-Q"&amp;ROUNDUP(MONTH($C5208)/3,0))</f>
        <v/>
      </c>
      <c r="L5208">
        <f>IF($G5208&lt;&gt;"ALCOHOL","",IF($K5208="","",$H5208*IFERROR(VLOOKUP($K5208,Drink_Templates!$A:$G,7,FALSE),0)))</f>
        <v/>
      </c>
    </row>
    <row r="5209" ht="15" customHeight="1">
      <c r="C5209">
        <f>IF($B5209="","",INT($B5209))</f>
        <v/>
      </c>
      <c r="D5209">
        <f>IF($C5209="","",$C5209-WEEKDAY($C5209,2)+1)</f>
        <v/>
      </c>
      <c r="E5209">
        <f>IF($C5209="","",DATE(YEAR($C5209),MONTH($C5209),1))</f>
        <v/>
      </c>
      <c r="F5209">
        <f>IF($C5209="","",YEAR($C5209)&amp;"-Q"&amp;ROUNDUP(MONTH($C5209)/3,0))</f>
        <v/>
      </c>
      <c r="L5209">
        <f>IF($G5209&lt;&gt;"ALCOHOL","",IF($K5209="","",$H5209*IFERROR(VLOOKUP($K5209,Drink_Templates!$A:$G,7,FALSE),0)))</f>
        <v/>
      </c>
    </row>
    <row r="5210" ht="15" customHeight="1">
      <c r="C5210">
        <f>IF($B5210="","",INT($B5210))</f>
        <v/>
      </c>
      <c r="D5210">
        <f>IF($C5210="","",$C5210-WEEKDAY($C5210,2)+1)</f>
        <v/>
      </c>
      <c r="E5210">
        <f>IF($C5210="","",DATE(YEAR($C5210),MONTH($C5210),1))</f>
        <v/>
      </c>
      <c r="F5210">
        <f>IF($C5210="","",YEAR($C5210)&amp;"-Q"&amp;ROUNDUP(MONTH($C5210)/3,0))</f>
        <v/>
      </c>
      <c r="L5210">
        <f>IF($G5210&lt;&gt;"ALCOHOL","",IF($K5210="","",$H5210*IFERROR(VLOOKUP($K5210,Drink_Templates!$A:$G,7,FALSE),0)))</f>
        <v/>
      </c>
    </row>
    <row r="5211" ht="15" customHeight="1">
      <c r="C5211">
        <f>IF($B5211="","",INT($B5211))</f>
        <v/>
      </c>
      <c r="D5211">
        <f>IF($C5211="","",$C5211-WEEKDAY($C5211,2)+1)</f>
        <v/>
      </c>
      <c r="E5211">
        <f>IF($C5211="","",DATE(YEAR($C5211),MONTH($C5211),1))</f>
        <v/>
      </c>
      <c r="F5211">
        <f>IF($C5211="","",YEAR($C5211)&amp;"-Q"&amp;ROUNDUP(MONTH($C5211)/3,0))</f>
        <v/>
      </c>
      <c r="L5211">
        <f>IF($G5211&lt;&gt;"ALCOHOL","",IF($K5211="","",$H5211*IFERROR(VLOOKUP($K5211,Drink_Templates!$A:$G,7,FALSE),0)))</f>
        <v/>
      </c>
    </row>
    <row r="5212" ht="15" customHeight="1">
      <c r="C5212">
        <f>IF($B5212="","",INT($B5212))</f>
        <v/>
      </c>
      <c r="D5212">
        <f>IF($C5212="","",$C5212-WEEKDAY($C5212,2)+1)</f>
        <v/>
      </c>
      <c r="E5212">
        <f>IF($C5212="","",DATE(YEAR($C5212),MONTH($C5212),1))</f>
        <v/>
      </c>
      <c r="F5212">
        <f>IF($C5212="","",YEAR($C5212)&amp;"-Q"&amp;ROUNDUP(MONTH($C5212)/3,0))</f>
        <v/>
      </c>
      <c r="L5212">
        <f>IF($G5212&lt;&gt;"ALCOHOL","",IF($K5212="","",$H5212*IFERROR(VLOOKUP($K5212,Drink_Templates!$A:$G,7,FALSE),0)))</f>
        <v/>
      </c>
    </row>
    <row r="5213" ht="15" customHeight="1">
      <c r="C5213">
        <f>IF($B5213="","",INT($B5213))</f>
        <v/>
      </c>
      <c r="D5213">
        <f>IF($C5213="","",$C5213-WEEKDAY($C5213,2)+1)</f>
        <v/>
      </c>
      <c r="E5213">
        <f>IF($C5213="","",DATE(YEAR($C5213),MONTH($C5213),1))</f>
        <v/>
      </c>
      <c r="F5213">
        <f>IF($C5213="","",YEAR($C5213)&amp;"-Q"&amp;ROUNDUP(MONTH($C5213)/3,0))</f>
        <v/>
      </c>
      <c r="L5213">
        <f>IF($G5213&lt;&gt;"ALCOHOL","",IF($K5213="","",$H5213*IFERROR(VLOOKUP($K5213,Drink_Templates!$A:$G,7,FALSE),0)))</f>
        <v/>
      </c>
    </row>
    <row r="5214" ht="15" customHeight="1">
      <c r="C5214">
        <f>IF($B5214="","",INT($B5214))</f>
        <v/>
      </c>
      <c r="D5214">
        <f>IF($C5214="","",$C5214-WEEKDAY($C5214,2)+1)</f>
        <v/>
      </c>
      <c r="E5214">
        <f>IF($C5214="","",DATE(YEAR($C5214),MONTH($C5214),1))</f>
        <v/>
      </c>
      <c r="F5214">
        <f>IF($C5214="","",YEAR($C5214)&amp;"-Q"&amp;ROUNDUP(MONTH($C5214)/3,0))</f>
        <v/>
      </c>
      <c r="L5214">
        <f>IF($G5214&lt;&gt;"ALCOHOL","",IF($K5214="","",$H5214*IFERROR(VLOOKUP($K5214,Drink_Templates!$A:$G,7,FALSE),0)))</f>
        <v/>
      </c>
    </row>
    <row r="5215" ht="15" customHeight="1">
      <c r="C5215">
        <f>IF($B5215="","",INT($B5215))</f>
        <v/>
      </c>
      <c r="D5215">
        <f>IF($C5215="","",$C5215-WEEKDAY($C5215,2)+1)</f>
        <v/>
      </c>
      <c r="E5215">
        <f>IF($C5215="","",DATE(YEAR($C5215),MONTH($C5215),1))</f>
        <v/>
      </c>
      <c r="F5215">
        <f>IF($C5215="","",YEAR($C5215)&amp;"-Q"&amp;ROUNDUP(MONTH($C5215)/3,0))</f>
        <v/>
      </c>
      <c r="L5215">
        <f>IF($G5215&lt;&gt;"ALCOHOL","",IF($K5215="","",$H5215*IFERROR(VLOOKUP($K5215,Drink_Templates!$A:$G,7,FALSE),0)))</f>
        <v/>
      </c>
    </row>
    <row r="5216" ht="15" customHeight="1">
      <c r="C5216">
        <f>IF($B5216="","",INT($B5216))</f>
        <v/>
      </c>
      <c r="D5216">
        <f>IF($C5216="","",$C5216-WEEKDAY($C5216,2)+1)</f>
        <v/>
      </c>
      <c r="E5216">
        <f>IF($C5216="","",DATE(YEAR($C5216),MONTH($C5216),1))</f>
        <v/>
      </c>
      <c r="F5216">
        <f>IF($C5216="","",YEAR($C5216)&amp;"-Q"&amp;ROUNDUP(MONTH($C5216)/3,0))</f>
        <v/>
      </c>
      <c r="L5216">
        <f>IF($G5216&lt;&gt;"ALCOHOL","",IF($K5216="","",$H5216*IFERROR(VLOOKUP($K5216,Drink_Templates!$A:$G,7,FALSE),0)))</f>
        <v/>
      </c>
    </row>
    <row r="5217" ht="15" customHeight="1">
      <c r="C5217">
        <f>IF($B5217="","",INT($B5217))</f>
        <v/>
      </c>
      <c r="D5217">
        <f>IF($C5217="","",$C5217-WEEKDAY($C5217,2)+1)</f>
        <v/>
      </c>
      <c r="E5217">
        <f>IF($C5217="","",DATE(YEAR($C5217),MONTH($C5217),1))</f>
        <v/>
      </c>
      <c r="F5217">
        <f>IF($C5217="","",YEAR($C5217)&amp;"-Q"&amp;ROUNDUP(MONTH($C5217)/3,0))</f>
        <v/>
      </c>
      <c r="L5217">
        <f>IF($G5217&lt;&gt;"ALCOHOL","",IF($K5217="","",$H5217*IFERROR(VLOOKUP($K5217,Drink_Templates!$A:$G,7,FALSE),0)))</f>
        <v/>
      </c>
    </row>
    <row r="5218" ht="15" customHeight="1">
      <c r="C5218">
        <f>IF($B5218="","",INT($B5218))</f>
        <v/>
      </c>
      <c r="D5218">
        <f>IF($C5218="","",$C5218-WEEKDAY($C5218,2)+1)</f>
        <v/>
      </c>
      <c r="E5218">
        <f>IF($C5218="","",DATE(YEAR($C5218),MONTH($C5218),1))</f>
        <v/>
      </c>
      <c r="F5218">
        <f>IF($C5218="","",YEAR($C5218)&amp;"-Q"&amp;ROUNDUP(MONTH($C5218)/3,0))</f>
        <v/>
      </c>
      <c r="L5218">
        <f>IF($G5218&lt;&gt;"ALCOHOL","",IF($K5218="","",$H5218*IFERROR(VLOOKUP($K5218,Drink_Templates!$A:$G,7,FALSE),0)))</f>
        <v/>
      </c>
    </row>
    <row r="5219" ht="15" customHeight="1">
      <c r="C5219">
        <f>IF($B5219="","",INT($B5219))</f>
        <v/>
      </c>
      <c r="D5219">
        <f>IF($C5219="","",$C5219-WEEKDAY($C5219,2)+1)</f>
        <v/>
      </c>
      <c r="E5219">
        <f>IF($C5219="","",DATE(YEAR($C5219),MONTH($C5219),1))</f>
        <v/>
      </c>
      <c r="F5219">
        <f>IF($C5219="","",YEAR($C5219)&amp;"-Q"&amp;ROUNDUP(MONTH($C5219)/3,0))</f>
        <v/>
      </c>
      <c r="L5219">
        <f>IF($G5219&lt;&gt;"ALCOHOL","",IF($K5219="","",$H5219*IFERROR(VLOOKUP($K5219,Drink_Templates!$A:$G,7,FALSE),0)))</f>
        <v/>
      </c>
    </row>
    <row r="5220" ht="15" customHeight="1">
      <c r="C5220">
        <f>IF($B5220="","",INT($B5220))</f>
        <v/>
      </c>
      <c r="D5220">
        <f>IF($C5220="","",$C5220-WEEKDAY($C5220,2)+1)</f>
        <v/>
      </c>
      <c r="E5220">
        <f>IF($C5220="","",DATE(YEAR($C5220),MONTH($C5220),1))</f>
        <v/>
      </c>
      <c r="F5220">
        <f>IF($C5220="","",YEAR($C5220)&amp;"-Q"&amp;ROUNDUP(MONTH($C5220)/3,0))</f>
        <v/>
      </c>
      <c r="L5220">
        <f>IF($G5220&lt;&gt;"ALCOHOL","",IF($K5220="","",$H5220*IFERROR(VLOOKUP($K5220,Drink_Templates!$A:$G,7,FALSE),0)))</f>
        <v/>
      </c>
    </row>
    <row r="5221" ht="15" customHeight="1">
      <c r="C5221">
        <f>IF($B5221="","",INT($B5221))</f>
        <v/>
      </c>
      <c r="D5221">
        <f>IF($C5221="","",$C5221-WEEKDAY($C5221,2)+1)</f>
        <v/>
      </c>
      <c r="E5221">
        <f>IF($C5221="","",DATE(YEAR($C5221),MONTH($C5221),1))</f>
        <v/>
      </c>
      <c r="F5221">
        <f>IF($C5221="","",YEAR($C5221)&amp;"-Q"&amp;ROUNDUP(MONTH($C5221)/3,0))</f>
        <v/>
      </c>
      <c r="L5221">
        <f>IF($G5221&lt;&gt;"ALCOHOL","",IF($K5221="","",$H5221*IFERROR(VLOOKUP($K5221,Drink_Templates!$A:$G,7,FALSE),0)))</f>
        <v/>
      </c>
    </row>
    <row r="5222" ht="15" customHeight="1">
      <c r="C5222">
        <f>IF($B5222="","",INT($B5222))</f>
        <v/>
      </c>
      <c r="D5222">
        <f>IF($C5222="","",$C5222-WEEKDAY($C5222,2)+1)</f>
        <v/>
      </c>
      <c r="E5222">
        <f>IF($C5222="","",DATE(YEAR($C5222),MONTH($C5222),1))</f>
        <v/>
      </c>
      <c r="F5222">
        <f>IF($C5222="","",YEAR($C5222)&amp;"-Q"&amp;ROUNDUP(MONTH($C5222)/3,0))</f>
        <v/>
      </c>
      <c r="L5222">
        <f>IF($G5222&lt;&gt;"ALCOHOL","",IF($K5222="","",$H5222*IFERROR(VLOOKUP($K5222,Drink_Templates!$A:$G,7,FALSE),0)))</f>
        <v/>
      </c>
    </row>
    <row r="5223" ht="15" customHeight="1">
      <c r="C5223">
        <f>IF($B5223="","",INT($B5223))</f>
        <v/>
      </c>
      <c r="D5223">
        <f>IF($C5223="","",$C5223-WEEKDAY($C5223,2)+1)</f>
        <v/>
      </c>
      <c r="E5223">
        <f>IF($C5223="","",DATE(YEAR($C5223),MONTH($C5223),1))</f>
        <v/>
      </c>
      <c r="F5223">
        <f>IF($C5223="","",YEAR($C5223)&amp;"-Q"&amp;ROUNDUP(MONTH($C5223)/3,0))</f>
        <v/>
      </c>
      <c r="L5223">
        <f>IF($G5223&lt;&gt;"ALCOHOL","",IF($K5223="","",$H5223*IFERROR(VLOOKUP($K5223,Drink_Templates!$A:$G,7,FALSE),0)))</f>
        <v/>
      </c>
    </row>
    <row r="5224" ht="15" customHeight="1">
      <c r="C5224">
        <f>IF($B5224="","",INT($B5224))</f>
        <v/>
      </c>
      <c r="D5224">
        <f>IF($C5224="","",$C5224-WEEKDAY($C5224,2)+1)</f>
        <v/>
      </c>
      <c r="E5224">
        <f>IF($C5224="","",DATE(YEAR($C5224),MONTH($C5224),1))</f>
        <v/>
      </c>
      <c r="F5224">
        <f>IF($C5224="","",YEAR($C5224)&amp;"-Q"&amp;ROUNDUP(MONTH($C5224)/3,0))</f>
        <v/>
      </c>
      <c r="L5224">
        <f>IF($G5224&lt;&gt;"ALCOHOL","",IF($K5224="","",$H5224*IFERROR(VLOOKUP($K5224,Drink_Templates!$A:$G,7,FALSE),0)))</f>
        <v/>
      </c>
    </row>
    <row r="5225" ht="15" customHeight="1">
      <c r="C5225">
        <f>IF($B5225="","",INT($B5225))</f>
        <v/>
      </c>
      <c r="D5225">
        <f>IF($C5225="","",$C5225-WEEKDAY($C5225,2)+1)</f>
        <v/>
      </c>
      <c r="E5225">
        <f>IF($C5225="","",DATE(YEAR($C5225),MONTH($C5225),1))</f>
        <v/>
      </c>
      <c r="F5225">
        <f>IF($C5225="","",YEAR($C5225)&amp;"-Q"&amp;ROUNDUP(MONTH($C5225)/3,0))</f>
        <v/>
      </c>
      <c r="L5225">
        <f>IF($G5225&lt;&gt;"ALCOHOL","",IF($K5225="","",$H5225*IFERROR(VLOOKUP($K5225,Drink_Templates!$A:$G,7,FALSE),0)))</f>
        <v/>
      </c>
    </row>
    <row r="5226" ht="15" customHeight="1">
      <c r="C5226">
        <f>IF($B5226="","",INT($B5226))</f>
        <v/>
      </c>
      <c r="D5226">
        <f>IF($C5226="","",$C5226-WEEKDAY($C5226,2)+1)</f>
        <v/>
      </c>
      <c r="E5226">
        <f>IF($C5226="","",DATE(YEAR($C5226),MONTH($C5226),1))</f>
        <v/>
      </c>
      <c r="F5226">
        <f>IF($C5226="","",YEAR($C5226)&amp;"-Q"&amp;ROUNDUP(MONTH($C5226)/3,0))</f>
        <v/>
      </c>
      <c r="L5226">
        <f>IF($G5226&lt;&gt;"ALCOHOL","",IF($K5226="","",$H5226*IFERROR(VLOOKUP($K5226,Drink_Templates!$A:$G,7,FALSE),0)))</f>
        <v/>
      </c>
    </row>
    <row r="5227" ht="15" customHeight="1">
      <c r="C5227">
        <f>IF($B5227="","",INT($B5227))</f>
        <v/>
      </c>
      <c r="D5227">
        <f>IF($C5227="","",$C5227-WEEKDAY($C5227,2)+1)</f>
        <v/>
      </c>
      <c r="E5227">
        <f>IF($C5227="","",DATE(YEAR($C5227),MONTH($C5227),1))</f>
        <v/>
      </c>
      <c r="F5227">
        <f>IF($C5227="","",YEAR($C5227)&amp;"-Q"&amp;ROUNDUP(MONTH($C5227)/3,0))</f>
        <v/>
      </c>
      <c r="L5227">
        <f>IF($G5227&lt;&gt;"ALCOHOL","",IF($K5227="","",$H5227*IFERROR(VLOOKUP($K5227,Drink_Templates!$A:$G,7,FALSE),0)))</f>
        <v/>
      </c>
    </row>
    <row r="5228" ht="15" customHeight="1">
      <c r="C5228">
        <f>IF($B5228="","",INT($B5228))</f>
        <v/>
      </c>
      <c r="D5228">
        <f>IF($C5228="","",$C5228-WEEKDAY($C5228,2)+1)</f>
        <v/>
      </c>
      <c r="E5228">
        <f>IF($C5228="","",DATE(YEAR($C5228),MONTH($C5228),1))</f>
        <v/>
      </c>
      <c r="F5228">
        <f>IF($C5228="","",YEAR($C5228)&amp;"-Q"&amp;ROUNDUP(MONTH($C5228)/3,0))</f>
        <v/>
      </c>
      <c r="L5228">
        <f>IF($G5228&lt;&gt;"ALCOHOL","",IF($K5228="","",$H5228*IFERROR(VLOOKUP($K5228,Drink_Templates!$A:$G,7,FALSE),0)))</f>
        <v/>
      </c>
    </row>
    <row r="5229" ht="15" customHeight="1">
      <c r="C5229">
        <f>IF($B5229="","",INT($B5229))</f>
        <v/>
      </c>
      <c r="D5229">
        <f>IF($C5229="","",$C5229-WEEKDAY($C5229,2)+1)</f>
        <v/>
      </c>
      <c r="E5229">
        <f>IF($C5229="","",DATE(YEAR($C5229),MONTH($C5229),1))</f>
        <v/>
      </c>
      <c r="F5229">
        <f>IF($C5229="","",YEAR($C5229)&amp;"-Q"&amp;ROUNDUP(MONTH($C5229)/3,0))</f>
        <v/>
      </c>
      <c r="L5229">
        <f>IF($G5229&lt;&gt;"ALCOHOL","",IF($K5229="","",$H5229*IFERROR(VLOOKUP($K5229,Drink_Templates!$A:$G,7,FALSE),0)))</f>
        <v/>
      </c>
    </row>
    <row r="5230" ht="15" customHeight="1">
      <c r="C5230">
        <f>IF($B5230="","",INT($B5230))</f>
        <v/>
      </c>
      <c r="D5230">
        <f>IF($C5230="","",$C5230-WEEKDAY($C5230,2)+1)</f>
        <v/>
      </c>
      <c r="E5230">
        <f>IF($C5230="","",DATE(YEAR($C5230),MONTH($C5230),1))</f>
        <v/>
      </c>
      <c r="F5230">
        <f>IF($C5230="","",YEAR($C5230)&amp;"-Q"&amp;ROUNDUP(MONTH($C5230)/3,0))</f>
        <v/>
      </c>
      <c r="L5230">
        <f>IF($G5230&lt;&gt;"ALCOHOL","",IF($K5230="","",$H5230*IFERROR(VLOOKUP($K5230,Drink_Templates!$A:$G,7,FALSE),0)))</f>
        <v/>
      </c>
    </row>
    <row r="5231" ht="15" customHeight="1">
      <c r="C5231">
        <f>IF($B5231="","",INT($B5231))</f>
        <v/>
      </c>
      <c r="D5231">
        <f>IF($C5231="","",$C5231-WEEKDAY($C5231,2)+1)</f>
        <v/>
      </c>
      <c r="E5231">
        <f>IF($C5231="","",DATE(YEAR($C5231),MONTH($C5231),1))</f>
        <v/>
      </c>
      <c r="F5231">
        <f>IF($C5231="","",YEAR($C5231)&amp;"-Q"&amp;ROUNDUP(MONTH($C5231)/3,0))</f>
        <v/>
      </c>
      <c r="L5231">
        <f>IF($G5231&lt;&gt;"ALCOHOL","",IF($K5231="","",$H5231*IFERROR(VLOOKUP($K5231,Drink_Templates!$A:$G,7,FALSE),0)))</f>
        <v/>
      </c>
    </row>
    <row r="5232" ht="15" customHeight="1">
      <c r="C5232">
        <f>IF($B5232="","",INT($B5232))</f>
        <v/>
      </c>
      <c r="D5232">
        <f>IF($C5232="","",$C5232-WEEKDAY($C5232,2)+1)</f>
        <v/>
      </c>
      <c r="E5232">
        <f>IF($C5232="","",DATE(YEAR($C5232),MONTH($C5232),1))</f>
        <v/>
      </c>
      <c r="F5232">
        <f>IF($C5232="","",YEAR($C5232)&amp;"-Q"&amp;ROUNDUP(MONTH($C5232)/3,0))</f>
        <v/>
      </c>
      <c r="L5232">
        <f>IF($G5232&lt;&gt;"ALCOHOL","",IF($K5232="","",$H5232*IFERROR(VLOOKUP($K5232,Drink_Templates!$A:$G,7,FALSE),0)))</f>
        <v/>
      </c>
    </row>
    <row r="5233" ht="15" customHeight="1">
      <c r="C5233">
        <f>IF($B5233="","",INT($B5233))</f>
        <v/>
      </c>
      <c r="D5233">
        <f>IF($C5233="","",$C5233-WEEKDAY($C5233,2)+1)</f>
        <v/>
      </c>
      <c r="E5233">
        <f>IF($C5233="","",DATE(YEAR($C5233),MONTH($C5233),1))</f>
        <v/>
      </c>
      <c r="F5233">
        <f>IF($C5233="","",YEAR($C5233)&amp;"-Q"&amp;ROUNDUP(MONTH($C5233)/3,0))</f>
        <v/>
      </c>
      <c r="L5233">
        <f>IF($G5233&lt;&gt;"ALCOHOL","",IF($K5233="","",$H5233*IFERROR(VLOOKUP($K5233,Drink_Templates!$A:$G,7,FALSE),0)))</f>
        <v/>
      </c>
    </row>
    <row r="5234" ht="15" customHeight="1">
      <c r="C5234">
        <f>IF($B5234="","",INT($B5234))</f>
        <v/>
      </c>
      <c r="D5234">
        <f>IF($C5234="","",$C5234-WEEKDAY($C5234,2)+1)</f>
        <v/>
      </c>
      <c r="E5234">
        <f>IF($C5234="","",DATE(YEAR($C5234),MONTH($C5234),1))</f>
        <v/>
      </c>
      <c r="F5234">
        <f>IF($C5234="","",YEAR($C5234)&amp;"-Q"&amp;ROUNDUP(MONTH($C5234)/3,0))</f>
        <v/>
      </c>
      <c r="L5234">
        <f>IF($G5234&lt;&gt;"ALCOHOL","",IF($K5234="","",$H5234*IFERROR(VLOOKUP($K5234,Drink_Templates!$A:$G,7,FALSE),0)))</f>
        <v/>
      </c>
    </row>
    <row r="5235" ht="15" customHeight="1">
      <c r="C5235">
        <f>IF($B5235="","",INT($B5235))</f>
        <v/>
      </c>
      <c r="D5235">
        <f>IF($C5235="","",$C5235-WEEKDAY($C5235,2)+1)</f>
        <v/>
      </c>
      <c r="E5235">
        <f>IF($C5235="","",DATE(YEAR($C5235),MONTH($C5235),1))</f>
        <v/>
      </c>
      <c r="F5235">
        <f>IF($C5235="","",YEAR($C5235)&amp;"-Q"&amp;ROUNDUP(MONTH($C5235)/3,0))</f>
        <v/>
      </c>
      <c r="L5235">
        <f>IF($G5235&lt;&gt;"ALCOHOL","",IF($K5235="","",$H5235*IFERROR(VLOOKUP($K5235,Drink_Templates!$A:$G,7,FALSE),0)))</f>
        <v/>
      </c>
    </row>
    <row r="5236" ht="15" customHeight="1">
      <c r="C5236">
        <f>IF($B5236="","",INT($B5236))</f>
        <v/>
      </c>
      <c r="D5236">
        <f>IF($C5236="","",$C5236-WEEKDAY($C5236,2)+1)</f>
        <v/>
      </c>
      <c r="E5236">
        <f>IF($C5236="","",DATE(YEAR($C5236),MONTH($C5236),1))</f>
        <v/>
      </c>
      <c r="F5236">
        <f>IF($C5236="","",YEAR($C5236)&amp;"-Q"&amp;ROUNDUP(MONTH($C5236)/3,0))</f>
        <v/>
      </c>
      <c r="L5236">
        <f>IF($G5236&lt;&gt;"ALCOHOL","",IF($K5236="","",$H5236*IFERROR(VLOOKUP($K5236,Drink_Templates!$A:$G,7,FALSE),0)))</f>
        <v/>
      </c>
    </row>
    <row r="5237" ht="15" customHeight="1">
      <c r="C5237">
        <f>IF($B5237="","",INT($B5237))</f>
        <v/>
      </c>
      <c r="D5237">
        <f>IF($C5237="","",$C5237-WEEKDAY($C5237,2)+1)</f>
        <v/>
      </c>
      <c r="E5237">
        <f>IF($C5237="","",DATE(YEAR($C5237),MONTH($C5237),1))</f>
        <v/>
      </c>
      <c r="F5237">
        <f>IF($C5237="","",YEAR($C5237)&amp;"-Q"&amp;ROUNDUP(MONTH($C5237)/3,0))</f>
        <v/>
      </c>
      <c r="L5237">
        <f>IF($G5237&lt;&gt;"ALCOHOL","",IF($K5237="","",$H5237*IFERROR(VLOOKUP($K5237,Drink_Templates!$A:$G,7,FALSE),0)))</f>
        <v/>
      </c>
    </row>
    <row r="5238" ht="15" customHeight="1">
      <c r="C5238">
        <f>IF($B5238="","",INT($B5238))</f>
        <v/>
      </c>
      <c r="D5238">
        <f>IF($C5238="","",$C5238-WEEKDAY($C5238,2)+1)</f>
        <v/>
      </c>
      <c r="E5238">
        <f>IF($C5238="","",DATE(YEAR($C5238),MONTH($C5238),1))</f>
        <v/>
      </c>
      <c r="F5238">
        <f>IF($C5238="","",YEAR($C5238)&amp;"-Q"&amp;ROUNDUP(MONTH($C5238)/3,0))</f>
        <v/>
      </c>
      <c r="L5238">
        <f>IF($G5238&lt;&gt;"ALCOHOL","",IF($K5238="","",$H5238*IFERROR(VLOOKUP($K5238,Drink_Templates!$A:$G,7,FALSE),0)))</f>
        <v/>
      </c>
    </row>
    <row r="5239" ht="15" customHeight="1">
      <c r="C5239">
        <f>IF($B5239="","",INT($B5239))</f>
        <v/>
      </c>
      <c r="D5239">
        <f>IF($C5239="","",$C5239-WEEKDAY($C5239,2)+1)</f>
        <v/>
      </c>
      <c r="E5239">
        <f>IF($C5239="","",DATE(YEAR($C5239),MONTH($C5239),1))</f>
        <v/>
      </c>
      <c r="F5239">
        <f>IF($C5239="","",YEAR($C5239)&amp;"-Q"&amp;ROUNDUP(MONTH($C5239)/3,0))</f>
        <v/>
      </c>
      <c r="L5239">
        <f>IF($G5239&lt;&gt;"ALCOHOL","",IF($K5239="","",$H5239*IFERROR(VLOOKUP($K5239,Drink_Templates!$A:$G,7,FALSE),0)))</f>
        <v/>
      </c>
    </row>
    <row r="5240" ht="15" customHeight="1">
      <c r="C5240">
        <f>IF($B5240="","",INT($B5240))</f>
        <v/>
      </c>
      <c r="D5240">
        <f>IF($C5240="","",$C5240-WEEKDAY($C5240,2)+1)</f>
        <v/>
      </c>
      <c r="E5240">
        <f>IF($C5240="","",DATE(YEAR($C5240),MONTH($C5240),1))</f>
        <v/>
      </c>
      <c r="F5240">
        <f>IF($C5240="","",YEAR($C5240)&amp;"-Q"&amp;ROUNDUP(MONTH($C5240)/3,0))</f>
        <v/>
      </c>
      <c r="L5240">
        <f>IF($G5240&lt;&gt;"ALCOHOL","",IF($K5240="","",$H5240*IFERROR(VLOOKUP($K5240,Drink_Templates!$A:$G,7,FALSE),0)))</f>
        <v/>
      </c>
    </row>
    <row r="5241" ht="15" customHeight="1">
      <c r="C5241">
        <f>IF($B5241="","",INT($B5241))</f>
        <v/>
      </c>
      <c r="D5241">
        <f>IF($C5241="","",$C5241-WEEKDAY($C5241,2)+1)</f>
        <v/>
      </c>
      <c r="E5241">
        <f>IF($C5241="","",DATE(YEAR($C5241),MONTH($C5241),1))</f>
        <v/>
      </c>
      <c r="F5241">
        <f>IF($C5241="","",YEAR($C5241)&amp;"-Q"&amp;ROUNDUP(MONTH($C5241)/3,0))</f>
        <v/>
      </c>
      <c r="L5241">
        <f>IF($G5241&lt;&gt;"ALCOHOL","",IF($K5241="","",$H5241*IFERROR(VLOOKUP($K5241,Drink_Templates!$A:$G,7,FALSE),0)))</f>
        <v/>
      </c>
    </row>
    <row r="5242" ht="15" customHeight="1">
      <c r="C5242">
        <f>IF($B5242="","",INT($B5242))</f>
        <v/>
      </c>
      <c r="D5242">
        <f>IF($C5242="","",$C5242-WEEKDAY($C5242,2)+1)</f>
        <v/>
      </c>
      <c r="E5242">
        <f>IF($C5242="","",DATE(YEAR($C5242),MONTH($C5242),1))</f>
        <v/>
      </c>
      <c r="F5242">
        <f>IF($C5242="","",YEAR($C5242)&amp;"-Q"&amp;ROUNDUP(MONTH($C5242)/3,0))</f>
        <v/>
      </c>
      <c r="L5242">
        <f>IF($G5242&lt;&gt;"ALCOHOL","",IF($K5242="","",$H5242*IFERROR(VLOOKUP($K5242,Drink_Templates!$A:$G,7,FALSE),0)))</f>
        <v/>
      </c>
    </row>
    <row r="5243" ht="15" customHeight="1">
      <c r="C5243">
        <f>IF($B5243="","",INT($B5243))</f>
        <v/>
      </c>
      <c r="D5243">
        <f>IF($C5243="","",$C5243-WEEKDAY($C5243,2)+1)</f>
        <v/>
      </c>
      <c r="E5243">
        <f>IF($C5243="","",DATE(YEAR($C5243),MONTH($C5243),1))</f>
        <v/>
      </c>
      <c r="F5243">
        <f>IF($C5243="","",YEAR($C5243)&amp;"-Q"&amp;ROUNDUP(MONTH($C5243)/3,0))</f>
        <v/>
      </c>
      <c r="L5243">
        <f>IF($G5243&lt;&gt;"ALCOHOL","",IF($K5243="","",$H5243*IFERROR(VLOOKUP($K5243,Drink_Templates!$A:$G,7,FALSE),0)))</f>
        <v/>
      </c>
    </row>
    <row r="5244" ht="15" customHeight="1">
      <c r="C5244">
        <f>IF($B5244="","",INT($B5244))</f>
        <v/>
      </c>
      <c r="D5244">
        <f>IF($C5244="","",$C5244-WEEKDAY($C5244,2)+1)</f>
        <v/>
      </c>
      <c r="E5244">
        <f>IF($C5244="","",DATE(YEAR($C5244),MONTH($C5244),1))</f>
        <v/>
      </c>
      <c r="F5244">
        <f>IF($C5244="","",YEAR($C5244)&amp;"-Q"&amp;ROUNDUP(MONTH($C5244)/3,0))</f>
        <v/>
      </c>
      <c r="L5244">
        <f>IF($G5244&lt;&gt;"ALCOHOL","",IF($K5244="","",$H5244*IFERROR(VLOOKUP($K5244,Drink_Templates!$A:$G,7,FALSE),0)))</f>
        <v/>
      </c>
    </row>
    <row r="5245" ht="15" customHeight="1">
      <c r="C5245">
        <f>IF($B5245="","",INT($B5245))</f>
        <v/>
      </c>
      <c r="D5245">
        <f>IF($C5245="","",$C5245-WEEKDAY($C5245,2)+1)</f>
        <v/>
      </c>
      <c r="E5245">
        <f>IF($C5245="","",DATE(YEAR($C5245),MONTH($C5245),1))</f>
        <v/>
      </c>
      <c r="F5245">
        <f>IF($C5245="","",YEAR($C5245)&amp;"-Q"&amp;ROUNDUP(MONTH($C5245)/3,0))</f>
        <v/>
      </c>
      <c r="L5245">
        <f>IF($G5245&lt;&gt;"ALCOHOL","",IF($K5245="","",$H5245*IFERROR(VLOOKUP($K5245,Drink_Templates!$A:$G,7,FALSE),0)))</f>
        <v/>
      </c>
    </row>
    <row r="5246" ht="15" customHeight="1">
      <c r="C5246">
        <f>IF($B5246="","",INT($B5246))</f>
        <v/>
      </c>
      <c r="D5246">
        <f>IF($C5246="","",$C5246-WEEKDAY($C5246,2)+1)</f>
        <v/>
      </c>
      <c r="E5246">
        <f>IF($C5246="","",DATE(YEAR($C5246),MONTH($C5246),1))</f>
        <v/>
      </c>
      <c r="F5246">
        <f>IF($C5246="","",YEAR($C5246)&amp;"-Q"&amp;ROUNDUP(MONTH($C5246)/3,0))</f>
        <v/>
      </c>
      <c r="L5246">
        <f>IF($G5246&lt;&gt;"ALCOHOL","",IF($K5246="","",$H5246*IFERROR(VLOOKUP($K5246,Drink_Templates!$A:$G,7,FALSE),0)))</f>
        <v/>
      </c>
    </row>
    <row r="5247" ht="15" customHeight="1">
      <c r="C5247">
        <f>IF($B5247="","",INT($B5247))</f>
        <v/>
      </c>
      <c r="D5247">
        <f>IF($C5247="","",$C5247-WEEKDAY($C5247,2)+1)</f>
        <v/>
      </c>
      <c r="E5247">
        <f>IF($C5247="","",DATE(YEAR($C5247),MONTH($C5247),1))</f>
        <v/>
      </c>
      <c r="F5247">
        <f>IF($C5247="","",YEAR($C5247)&amp;"-Q"&amp;ROUNDUP(MONTH($C5247)/3,0))</f>
        <v/>
      </c>
      <c r="L5247">
        <f>IF($G5247&lt;&gt;"ALCOHOL","",IF($K5247="","",$H5247*IFERROR(VLOOKUP($K5247,Drink_Templates!$A:$G,7,FALSE),0)))</f>
        <v/>
      </c>
    </row>
    <row r="5248" ht="15" customHeight="1">
      <c r="C5248">
        <f>IF($B5248="","",INT($B5248))</f>
        <v/>
      </c>
      <c r="D5248">
        <f>IF($C5248="","",$C5248-WEEKDAY($C5248,2)+1)</f>
        <v/>
      </c>
      <c r="E5248">
        <f>IF($C5248="","",DATE(YEAR($C5248),MONTH($C5248),1))</f>
        <v/>
      </c>
      <c r="F5248">
        <f>IF($C5248="","",YEAR($C5248)&amp;"-Q"&amp;ROUNDUP(MONTH($C5248)/3,0))</f>
        <v/>
      </c>
      <c r="L5248">
        <f>IF($G5248&lt;&gt;"ALCOHOL","",IF($K5248="","",$H5248*IFERROR(VLOOKUP($K5248,Drink_Templates!$A:$G,7,FALSE),0)))</f>
        <v/>
      </c>
    </row>
    <row r="5249" ht="15" customHeight="1">
      <c r="C5249">
        <f>IF($B5249="","",INT($B5249))</f>
        <v/>
      </c>
      <c r="D5249">
        <f>IF($C5249="","",$C5249-WEEKDAY($C5249,2)+1)</f>
        <v/>
      </c>
      <c r="E5249">
        <f>IF($C5249="","",DATE(YEAR($C5249),MONTH($C5249),1))</f>
        <v/>
      </c>
      <c r="F5249">
        <f>IF($C5249="","",YEAR($C5249)&amp;"-Q"&amp;ROUNDUP(MONTH($C5249)/3,0))</f>
        <v/>
      </c>
      <c r="L5249">
        <f>IF($G5249&lt;&gt;"ALCOHOL","",IF($K5249="","",$H5249*IFERROR(VLOOKUP($K5249,Drink_Templates!$A:$G,7,FALSE),0)))</f>
        <v/>
      </c>
    </row>
    <row r="5250" ht="15" customHeight="1">
      <c r="C5250">
        <f>IF($B5250="","",INT($B5250))</f>
        <v/>
      </c>
      <c r="D5250">
        <f>IF($C5250="","",$C5250-WEEKDAY($C5250,2)+1)</f>
        <v/>
      </c>
      <c r="E5250">
        <f>IF($C5250="","",DATE(YEAR($C5250),MONTH($C5250),1))</f>
        <v/>
      </c>
      <c r="F5250">
        <f>IF($C5250="","",YEAR($C5250)&amp;"-Q"&amp;ROUNDUP(MONTH($C5250)/3,0))</f>
        <v/>
      </c>
      <c r="L5250">
        <f>IF($G5250&lt;&gt;"ALCOHOL","",IF($K5250="","",$H5250*IFERROR(VLOOKUP($K5250,Drink_Templates!$A:$G,7,FALSE),0)))</f>
        <v/>
      </c>
    </row>
    <row r="5251" ht="15" customHeight="1">
      <c r="C5251">
        <f>IF($B5251="","",INT($B5251))</f>
        <v/>
      </c>
      <c r="D5251">
        <f>IF($C5251="","",$C5251-WEEKDAY($C5251,2)+1)</f>
        <v/>
      </c>
      <c r="E5251">
        <f>IF($C5251="","",DATE(YEAR($C5251),MONTH($C5251),1))</f>
        <v/>
      </c>
      <c r="F5251">
        <f>IF($C5251="","",YEAR($C5251)&amp;"-Q"&amp;ROUNDUP(MONTH($C5251)/3,0))</f>
        <v/>
      </c>
      <c r="L5251">
        <f>IF($G5251&lt;&gt;"ALCOHOL","",IF($K5251="","",$H5251*IFERROR(VLOOKUP($K5251,Drink_Templates!$A:$G,7,FALSE),0)))</f>
        <v/>
      </c>
    </row>
    <row r="5252" ht="15" customHeight="1">
      <c r="C5252">
        <f>IF($B5252="","",INT($B5252))</f>
        <v/>
      </c>
      <c r="D5252">
        <f>IF($C5252="","",$C5252-WEEKDAY($C5252,2)+1)</f>
        <v/>
      </c>
      <c r="E5252">
        <f>IF($C5252="","",DATE(YEAR($C5252),MONTH($C5252),1))</f>
        <v/>
      </c>
      <c r="F5252">
        <f>IF($C5252="","",YEAR($C5252)&amp;"-Q"&amp;ROUNDUP(MONTH($C5252)/3,0))</f>
        <v/>
      </c>
      <c r="L5252">
        <f>IF($G5252&lt;&gt;"ALCOHOL","",IF($K5252="","",$H5252*IFERROR(VLOOKUP($K5252,Drink_Templates!$A:$G,7,FALSE),0)))</f>
        <v/>
      </c>
    </row>
    <row r="5253" ht="15" customHeight="1">
      <c r="C5253">
        <f>IF($B5253="","",INT($B5253))</f>
        <v/>
      </c>
      <c r="D5253">
        <f>IF($C5253="","",$C5253-WEEKDAY($C5253,2)+1)</f>
        <v/>
      </c>
      <c r="E5253">
        <f>IF($C5253="","",DATE(YEAR($C5253),MONTH($C5253),1))</f>
        <v/>
      </c>
      <c r="F5253">
        <f>IF($C5253="","",YEAR($C5253)&amp;"-Q"&amp;ROUNDUP(MONTH($C5253)/3,0))</f>
        <v/>
      </c>
      <c r="L5253">
        <f>IF($G5253&lt;&gt;"ALCOHOL","",IF($K5253="","",$H5253*IFERROR(VLOOKUP($K5253,Drink_Templates!$A:$G,7,FALSE),0)))</f>
        <v/>
      </c>
    </row>
    <row r="5254" ht="15" customHeight="1">
      <c r="C5254">
        <f>IF($B5254="","",INT($B5254))</f>
        <v/>
      </c>
      <c r="D5254">
        <f>IF($C5254="","",$C5254-WEEKDAY($C5254,2)+1)</f>
        <v/>
      </c>
      <c r="E5254">
        <f>IF($C5254="","",DATE(YEAR($C5254),MONTH($C5254),1))</f>
        <v/>
      </c>
      <c r="F5254">
        <f>IF($C5254="","",YEAR($C5254)&amp;"-Q"&amp;ROUNDUP(MONTH($C5254)/3,0))</f>
        <v/>
      </c>
      <c r="L5254">
        <f>IF($G5254&lt;&gt;"ALCOHOL","",IF($K5254="","",$H5254*IFERROR(VLOOKUP($K5254,Drink_Templates!$A:$G,7,FALSE),0)))</f>
        <v/>
      </c>
    </row>
    <row r="5255" ht="15" customHeight="1">
      <c r="C5255">
        <f>IF($B5255="","",INT($B5255))</f>
        <v/>
      </c>
      <c r="D5255">
        <f>IF($C5255="","",$C5255-WEEKDAY($C5255,2)+1)</f>
        <v/>
      </c>
      <c r="E5255">
        <f>IF($C5255="","",DATE(YEAR($C5255),MONTH($C5255),1))</f>
        <v/>
      </c>
      <c r="F5255">
        <f>IF($C5255="","",YEAR($C5255)&amp;"-Q"&amp;ROUNDUP(MONTH($C5255)/3,0))</f>
        <v/>
      </c>
      <c r="L5255">
        <f>IF($G5255&lt;&gt;"ALCOHOL","",IF($K5255="","",$H5255*IFERROR(VLOOKUP($K5255,Drink_Templates!$A:$G,7,FALSE),0)))</f>
        <v/>
      </c>
    </row>
    <row r="5256" ht="15" customHeight="1">
      <c r="C5256">
        <f>IF($B5256="","",INT($B5256))</f>
        <v/>
      </c>
      <c r="D5256">
        <f>IF($C5256="","",$C5256-WEEKDAY($C5256,2)+1)</f>
        <v/>
      </c>
      <c r="E5256">
        <f>IF($C5256="","",DATE(YEAR($C5256),MONTH($C5256),1))</f>
        <v/>
      </c>
      <c r="F5256">
        <f>IF($C5256="","",YEAR($C5256)&amp;"-Q"&amp;ROUNDUP(MONTH($C5256)/3,0))</f>
        <v/>
      </c>
      <c r="L5256">
        <f>IF($G5256&lt;&gt;"ALCOHOL","",IF($K5256="","",$H5256*IFERROR(VLOOKUP($K5256,Drink_Templates!$A:$G,7,FALSE),0)))</f>
        <v/>
      </c>
    </row>
    <row r="5257" ht="15" customHeight="1">
      <c r="C5257">
        <f>IF($B5257="","",INT($B5257))</f>
        <v/>
      </c>
      <c r="D5257">
        <f>IF($C5257="","",$C5257-WEEKDAY($C5257,2)+1)</f>
        <v/>
      </c>
      <c r="E5257">
        <f>IF($C5257="","",DATE(YEAR($C5257),MONTH($C5257),1))</f>
        <v/>
      </c>
      <c r="F5257">
        <f>IF($C5257="","",YEAR($C5257)&amp;"-Q"&amp;ROUNDUP(MONTH($C5257)/3,0))</f>
        <v/>
      </c>
      <c r="L5257">
        <f>IF($G5257&lt;&gt;"ALCOHOL","",IF($K5257="","",$H5257*IFERROR(VLOOKUP($K5257,Drink_Templates!$A:$G,7,FALSE),0)))</f>
        <v/>
      </c>
    </row>
    <row r="5258" ht="15" customHeight="1">
      <c r="C5258">
        <f>IF($B5258="","",INT($B5258))</f>
        <v/>
      </c>
      <c r="D5258">
        <f>IF($C5258="","",$C5258-WEEKDAY($C5258,2)+1)</f>
        <v/>
      </c>
      <c r="E5258">
        <f>IF($C5258="","",DATE(YEAR($C5258),MONTH($C5258),1))</f>
        <v/>
      </c>
      <c r="F5258">
        <f>IF($C5258="","",YEAR($C5258)&amp;"-Q"&amp;ROUNDUP(MONTH($C5258)/3,0))</f>
        <v/>
      </c>
      <c r="L5258">
        <f>IF($G5258&lt;&gt;"ALCOHOL","",IF($K5258="","",$H5258*IFERROR(VLOOKUP($K5258,Drink_Templates!$A:$G,7,FALSE),0)))</f>
        <v/>
      </c>
    </row>
    <row r="5259" ht="15" customHeight="1">
      <c r="C5259">
        <f>IF($B5259="","",INT($B5259))</f>
        <v/>
      </c>
      <c r="D5259">
        <f>IF($C5259="","",$C5259-WEEKDAY($C5259,2)+1)</f>
        <v/>
      </c>
      <c r="E5259">
        <f>IF($C5259="","",DATE(YEAR($C5259),MONTH($C5259),1))</f>
        <v/>
      </c>
      <c r="F5259">
        <f>IF($C5259="","",YEAR($C5259)&amp;"-Q"&amp;ROUNDUP(MONTH($C5259)/3,0))</f>
        <v/>
      </c>
      <c r="L5259">
        <f>IF($G5259&lt;&gt;"ALCOHOL","",IF($K5259="","",$H5259*IFERROR(VLOOKUP($K5259,Drink_Templates!$A:$G,7,FALSE),0)))</f>
        <v/>
      </c>
    </row>
    <row r="5260" ht="15" customHeight="1">
      <c r="C5260">
        <f>IF($B5260="","",INT($B5260))</f>
        <v/>
      </c>
      <c r="D5260">
        <f>IF($C5260="","",$C5260-WEEKDAY($C5260,2)+1)</f>
        <v/>
      </c>
      <c r="E5260">
        <f>IF($C5260="","",DATE(YEAR($C5260),MONTH($C5260),1))</f>
        <v/>
      </c>
      <c r="F5260">
        <f>IF($C5260="","",YEAR($C5260)&amp;"-Q"&amp;ROUNDUP(MONTH($C5260)/3,0))</f>
        <v/>
      </c>
      <c r="L5260">
        <f>IF($G5260&lt;&gt;"ALCOHOL","",IF($K5260="","",$H5260*IFERROR(VLOOKUP($K5260,Drink_Templates!$A:$G,7,FALSE),0)))</f>
        <v/>
      </c>
    </row>
    <row r="5261" ht="15" customHeight="1">
      <c r="C5261">
        <f>IF($B5261="","",INT($B5261))</f>
        <v/>
      </c>
      <c r="D5261">
        <f>IF($C5261="","",$C5261-WEEKDAY($C5261,2)+1)</f>
        <v/>
      </c>
      <c r="E5261">
        <f>IF($C5261="","",DATE(YEAR($C5261),MONTH($C5261),1))</f>
        <v/>
      </c>
      <c r="F5261">
        <f>IF($C5261="","",YEAR($C5261)&amp;"-Q"&amp;ROUNDUP(MONTH($C5261)/3,0))</f>
        <v/>
      </c>
      <c r="L5261">
        <f>IF($G5261&lt;&gt;"ALCOHOL","",IF($K5261="","",$H5261*IFERROR(VLOOKUP($K5261,Drink_Templates!$A:$G,7,FALSE),0)))</f>
        <v/>
      </c>
    </row>
    <row r="5262" ht="15" customHeight="1">
      <c r="C5262">
        <f>IF($B5262="","",INT($B5262))</f>
        <v/>
      </c>
      <c r="D5262">
        <f>IF($C5262="","",$C5262-WEEKDAY($C5262,2)+1)</f>
        <v/>
      </c>
      <c r="E5262">
        <f>IF($C5262="","",DATE(YEAR($C5262),MONTH($C5262),1))</f>
        <v/>
      </c>
      <c r="F5262">
        <f>IF($C5262="","",YEAR($C5262)&amp;"-Q"&amp;ROUNDUP(MONTH($C5262)/3,0))</f>
        <v/>
      </c>
      <c r="L5262">
        <f>IF($G5262&lt;&gt;"ALCOHOL","",IF($K5262="","",$H5262*IFERROR(VLOOKUP($K5262,Drink_Templates!$A:$G,7,FALSE),0)))</f>
        <v/>
      </c>
    </row>
    <row r="5263" ht="15" customHeight="1">
      <c r="C5263">
        <f>IF($B5263="","",INT($B5263))</f>
        <v/>
      </c>
      <c r="D5263">
        <f>IF($C5263="","",$C5263-WEEKDAY($C5263,2)+1)</f>
        <v/>
      </c>
      <c r="E5263">
        <f>IF($C5263="","",DATE(YEAR($C5263),MONTH($C5263),1))</f>
        <v/>
      </c>
      <c r="F5263">
        <f>IF($C5263="","",YEAR($C5263)&amp;"-Q"&amp;ROUNDUP(MONTH($C5263)/3,0))</f>
        <v/>
      </c>
      <c r="L5263">
        <f>IF($G5263&lt;&gt;"ALCOHOL","",IF($K5263="","",$H5263*IFERROR(VLOOKUP($K5263,Drink_Templates!$A:$G,7,FALSE),0)))</f>
        <v/>
      </c>
    </row>
    <row r="5264" ht="15" customHeight="1">
      <c r="C5264">
        <f>IF($B5264="","",INT($B5264))</f>
        <v/>
      </c>
      <c r="D5264">
        <f>IF($C5264="","",$C5264-WEEKDAY($C5264,2)+1)</f>
        <v/>
      </c>
      <c r="E5264">
        <f>IF($C5264="","",DATE(YEAR($C5264),MONTH($C5264),1))</f>
        <v/>
      </c>
      <c r="F5264">
        <f>IF($C5264="","",YEAR($C5264)&amp;"-Q"&amp;ROUNDUP(MONTH($C5264)/3,0))</f>
        <v/>
      </c>
      <c r="L5264">
        <f>IF($G5264&lt;&gt;"ALCOHOL","",IF($K5264="","",$H5264*IFERROR(VLOOKUP($K5264,Drink_Templates!$A:$G,7,FALSE),0)))</f>
        <v/>
      </c>
    </row>
    <row r="5265" ht="15" customHeight="1">
      <c r="C5265">
        <f>IF($B5265="","",INT($B5265))</f>
        <v/>
      </c>
      <c r="D5265">
        <f>IF($C5265="","",$C5265-WEEKDAY($C5265,2)+1)</f>
        <v/>
      </c>
      <c r="E5265">
        <f>IF($C5265="","",DATE(YEAR($C5265),MONTH($C5265),1))</f>
        <v/>
      </c>
      <c r="F5265">
        <f>IF($C5265="","",YEAR($C5265)&amp;"-Q"&amp;ROUNDUP(MONTH($C5265)/3,0))</f>
        <v/>
      </c>
      <c r="L5265">
        <f>IF($G5265&lt;&gt;"ALCOHOL","",IF($K5265="","",$H5265*IFERROR(VLOOKUP($K5265,Drink_Templates!$A:$G,7,FALSE),0)))</f>
        <v/>
      </c>
    </row>
    <row r="5266" ht="15" customHeight="1">
      <c r="C5266">
        <f>IF($B5266="","",INT($B5266))</f>
        <v/>
      </c>
      <c r="D5266">
        <f>IF($C5266="","",$C5266-WEEKDAY($C5266,2)+1)</f>
        <v/>
      </c>
      <c r="E5266">
        <f>IF($C5266="","",DATE(YEAR($C5266),MONTH($C5266),1))</f>
        <v/>
      </c>
      <c r="F5266">
        <f>IF($C5266="","",YEAR($C5266)&amp;"-Q"&amp;ROUNDUP(MONTH($C5266)/3,0))</f>
        <v/>
      </c>
      <c r="L5266">
        <f>IF($G5266&lt;&gt;"ALCOHOL","",IF($K5266="","",$H5266*IFERROR(VLOOKUP($K5266,Drink_Templates!$A:$G,7,FALSE),0)))</f>
        <v/>
      </c>
    </row>
    <row r="5267" ht="15" customHeight="1">
      <c r="C5267">
        <f>IF($B5267="","",INT($B5267))</f>
        <v/>
      </c>
      <c r="D5267">
        <f>IF($C5267="","",$C5267-WEEKDAY($C5267,2)+1)</f>
        <v/>
      </c>
      <c r="E5267">
        <f>IF($C5267="","",DATE(YEAR($C5267),MONTH($C5267),1))</f>
        <v/>
      </c>
      <c r="F5267">
        <f>IF($C5267="","",YEAR($C5267)&amp;"-Q"&amp;ROUNDUP(MONTH($C5267)/3,0))</f>
        <v/>
      </c>
      <c r="L5267">
        <f>IF($G5267&lt;&gt;"ALCOHOL","",IF($K5267="","",$H5267*IFERROR(VLOOKUP($K5267,Drink_Templates!$A:$G,7,FALSE),0)))</f>
        <v/>
      </c>
    </row>
    <row r="5268" ht="15" customHeight="1">
      <c r="C5268">
        <f>IF($B5268="","",INT($B5268))</f>
        <v/>
      </c>
      <c r="D5268">
        <f>IF($C5268="","",$C5268-WEEKDAY($C5268,2)+1)</f>
        <v/>
      </c>
      <c r="E5268">
        <f>IF($C5268="","",DATE(YEAR($C5268),MONTH($C5268),1))</f>
        <v/>
      </c>
      <c r="F5268">
        <f>IF($C5268="","",YEAR($C5268)&amp;"-Q"&amp;ROUNDUP(MONTH($C5268)/3,0))</f>
        <v/>
      </c>
      <c r="L5268">
        <f>IF($G5268&lt;&gt;"ALCOHOL","",IF($K5268="","",$H5268*IFERROR(VLOOKUP($K5268,Drink_Templates!$A:$G,7,FALSE),0)))</f>
        <v/>
      </c>
    </row>
    <row r="5269" ht="15" customHeight="1">
      <c r="C5269">
        <f>IF($B5269="","",INT($B5269))</f>
        <v/>
      </c>
      <c r="D5269">
        <f>IF($C5269="","",$C5269-WEEKDAY($C5269,2)+1)</f>
        <v/>
      </c>
      <c r="E5269">
        <f>IF($C5269="","",DATE(YEAR($C5269),MONTH($C5269),1))</f>
        <v/>
      </c>
      <c r="F5269">
        <f>IF($C5269="","",YEAR($C5269)&amp;"-Q"&amp;ROUNDUP(MONTH($C5269)/3,0))</f>
        <v/>
      </c>
      <c r="L5269">
        <f>IF($G5269&lt;&gt;"ALCOHOL","",IF($K5269="","",$H5269*IFERROR(VLOOKUP($K5269,Drink_Templates!$A:$G,7,FALSE),0)))</f>
        <v/>
      </c>
    </row>
    <row r="5270" ht="15" customHeight="1">
      <c r="C5270">
        <f>IF($B5270="","",INT($B5270))</f>
        <v/>
      </c>
      <c r="D5270">
        <f>IF($C5270="","",$C5270-WEEKDAY($C5270,2)+1)</f>
        <v/>
      </c>
      <c r="E5270">
        <f>IF($C5270="","",DATE(YEAR($C5270),MONTH($C5270),1))</f>
        <v/>
      </c>
      <c r="F5270">
        <f>IF($C5270="","",YEAR($C5270)&amp;"-Q"&amp;ROUNDUP(MONTH($C5270)/3,0))</f>
        <v/>
      </c>
      <c r="L5270">
        <f>IF($G5270&lt;&gt;"ALCOHOL","",IF($K5270="","",$H5270*IFERROR(VLOOKUP($K5270,Drink_Templates!$A:$G,7,FALSE),0)))</f>
        <v/>
      </c>
    </row>
    <row r="5271" ht="15" customHeight="1">
      <c r="C5271">
        <f>IF($B5271="","",INT($B5271))</f>
        <v/>
      </c>
      <c r="D5271">
        <f>IF($C5271="","",$C5271-WEEKDAY($C5271,2)+1)</f>
        <v/>
      </c>
      <c r="E5271">
        <f>IF($C5271="","",DATE(YEAR($C5271),MONTH($C5271),1))</f>
        <v/>
      </c>
      <c r="F5271">
        <f>IF($C5271="","",YEAR($C5271)&amp;"-Q"&amp;ROUNDUP(MONTH($C5271)/3,0))</f>
        <v/>
      </c>
      <c r="L5271">
        <f>IF($G5271&lt;&gt;"ALCOHOL","",IF($K5271="","",$H5271*IFERROR(VLOOKUP($K5271,Drink_Templates!$A:$G,7,FALSE),0)))</f>
        <v/>
      </c>
    </row>
    <row r="5272" ht="15" customHeight="1">
      <c r="C5272">
        <f>IF($B5272="","",INT($B5272))</f>
        <v/>
      </c>
      <c r="D5272">
        <f>IF($C5272="","",$C5272-WEEKDAY($C5272,2)+1)</f>
        <v/>
      </c>
      <c r="E5272">
        <f>IF($C5272="","",DATE(YEAR($C5272),MONTH($C5272),1))</f>
        <v/>
      </c>
      <c r="F5272">
        <f>IF($C5272="","",YEAR($C5272)&amp;"-Q"&amp;ROUNDUP(MONTH($C5272)/3,0))</f>
        <v/>
      </c>
      <c r="L5272">
        <f>IF($G5272&lt;&gt;"ALCOHOL","",IF($K5272="","",$H5272*IFERROR(VLOOKUP($K5272,Drink_Templates!$A:$G,7,FALSE),0)))</f>
        <v/>
      </c>
    </row>
    <row r="5273" ht="15" customHeight="1">
      <c r="C5273">
        <f>IF($B5273="","",INT($B5273))</f>
        <v/>
      </c>
      <c r="D5273">
        <f>IF($C5273="","",$C5273-WEEKDAY($C5273,2)+1)</f>
        <v/>
      </c>
      <c r="E5273">
        <f>IF($C5273="","",DATE(YEAR($C5273),MONTH($C5273),1))</f>
        <v/>
      </c>
      <c r="F5273">
        <f>IF($C5273="","",YEAR($C5273)&amp;"-Q"&amp;ROUNDUP(MONTH($C5273)/3,0))</f>
        <v/>
      </c>
      <c r="L5273">
        <f>IF($G5273&lt;&gt;"ALCOHOL","",IF($K5273="","",$H5273*IFERROR(VLOOKUP($K5273,Drink_Templates!$A:$G,7,FALSE),0)))</f>
        <v/>
      </c>
    </row>
    <row r="5274" ht="15" customHeight="1">
      <c r="C5274">
        <f>IF($B5274="","",INT($B5274))</f>
        <v/>
      </c>
      <c r="D5274">
        <f>IF($C5274="","",$C5274-WEEKDAY($C5274,2)+1)</f>
        <v/>
      </c>
      <c r="E5274">
        <f>IF($C5274="","",DATE(YEAR($C5274),MONTH($C5274),1))</f>
        <v/>
      </c>
      <c r="F5274">
        <f>IF($C5274="","",YEAR($C5274)&amp;"-Q"&amp;ROUNDUP(MONTH($C5274)/3,0))</f>
        <v/>
      </c>
      <c r="L5274">
        <f>IF($G5274&lt;&gt;"ALCOHOL","",IF($K5274="","",$H5274*IFERROR(VLOOKUP($K5274,Drink_Templates!$A:$G,7,FALSE),0)))</f>
        <v/>
      </c>
    </row>
    <row r="5275" ht="15" customHeight="1">
      <c r="C5275">
        <f>IF($B5275="","",INT($B5275))</f>
        <v/>
      </c>
      <c r="D5275">
        <f>IF($C5275="","",$C5275-WEEKDAY($C5275,2)+1)</f>
        <v/>
      </c>
      <c r="E5275">
        <f>IF($C5275="","",DATE(YEAR($C5275),MONTH($C5275),1))</f>
        <v/>
      </c>
      <c r="F5275">
        <f>IF($C5275="","",YEAR($C5275)&amp;"-Q"&amp;ROUNDUP(MONTH($C5275)/3,0))</f>
        <v/>
      </c>
      <c r="L5275">
        <f>IF($G5275&lt;&gt;"ALCOHOL","",IF($K5275="","",$H5275*IFERROR(VLOOKUP($K5275,Drink_Templates!$A:$G,7,FALSE),0)))</f>
        <v/>
      </c>
    </row>
    <row r="5276" ht="15" customHeight="1">
      <c r="C5276">
        <f>IF($B5276="","",INT($B5276))</f>
        <v/>
      </c>
      <c r="D5276">
        <f>IF($C5276="","",$C5276-WEEKDAY($C5276,2)+1)</f>
        <v/>
      </c>
      <c r="E5276">
        <f>IF($C5276="","",DATE(YEAR($C5276),MONTH($C5276),1))</f>
        <v/>
      </c>
      <c r="F5276">
        <f>IF($C5276="","",YEAR($C5276)&amp;"-Q"&amp;ROUNDUP(MONTH($C5276)/3,0))</f>
        <v/>
      </c>
      <c r="L5276">
        <f>IF($G5276&lt;&gt;"ALCOHOL","",IF($K5276="","",$H5276*IFERROR(VLOOKUP($K5276,Drink_Templates!$A:$G,7,FALSE),0)))</f>
        <v/>
      </c>
    </row>
    <row r="5277" ht="15" customHeight="1">
      <c r="C5277">
        <f>IF($B5277="","",INT($B5277))</f>
        <v/>
      </c>
      <c r="D5277">
        <f>IF($C5277="","",$C5277-WEEKDAY($C5277,2)+1)</f>
        <v/>
      </c>
      <c r="E5277">
        <f>IF($C5277="","",DATE(YEAR($C5277),MONTH($C5277),1))</f>
        <v/>
      </c>
      <c r="F5277">
        <f>IF($C5277="","",YEAR($C5277)&amp;"-Q"&amp;ROUNDUP(MONTH($C5277)/3,0))</f>
        <v/>
      </c>
      <c r="L5277">
        <f>IF($G5277&lt;&gt;"ALCOHOL","",IF($K5277="","",$H5277*IFERROR(VLOOKUP($K5277,Drink_Templates!$A:$G,7,FALSE),0)))</f>
        <v/>
      </c>
    </row>
    <row r="5278" ht="15" customHeight="1">
      <c r="C5278">
        <f>IF($B5278="","",INT($B5278))</f>
        <v/>
      </c>
      <c r="D5278">
        <f>IF($C5278="","",$C5278-WEEKDAY($C5278,2)+1)</f>
        <v/>
      </c>
      <c r="E5278">
        <f>IF($C5278="","",DATE(YEAR($C5278),MONTH($C5278),1))</f>
        <v/>
      </c>
      <c r="F5278">
        <f>IF($C5278="","",YEAR($C5278)&amp;"-Q"&amp;ROUNDUP(MONTH($C5278)/3,0))</f>
        <v/>
      </c>
      <c r="L5278">
        <f>IF($G5278&lt;&gt;"ALCOHOL","",IF($K5278="","",$H5278*IFERROR(VLOOKUP($K5278,Drink_Templates!$A:$G,7,FALSE),0)))</f>
        <v/>
      </c>
    </row>
    <row r="5279" ht="15" customHeight="1">
      <c r="C5279">
        <f>IF($B5279="","",INT($B5279))</f>
        <v/>
      </c>
      <c r="D5279">
        <f>IF($C5279="","",$C5279-WEEKDAY($C5279,2)+1)</f>
        <v/>
      </c>
      <c r="E5279">
        <f>IF($C5279="","",DATE(YEAR($C5279),MONTH($C5279),1))</f>
        <v/>
      </c>
      <c r="F5279">
        <f>IF($C5279="","",YEAR($C5279)&amp;"-Q"&amp;ROUNDUP(MONTH($C5279)/3,0))</f>
        <v/>
      </c>
      <c r="L5279">
        <f>IF($G5279&lt;&gt;"ALCOHOL","",IF($K5279="","",$H5279*IFERROR(VLOOKUP($K5279,Drink_Templates!$A:$G,7,FALSE),0)))</f>
        <v/>
      </c>
    </row>
    <row r="5280" ht="15" customHeight="1">
      <c r="C5280">
        <f>IF($B5280="","",INT($B5280))</f>
        <v/>
      </c>
      <c r="D5280">
        <f>IF($C5280="","",$C5280-WEEKDAY($C5280,2)+1)</f>
        <v/>
      </c>
      <c r="E5280">
        <f>IF($C5280="","",DATE(YEAR($C5280),MONTH($C5280),1))</f>
        <v/>
      </c>
      <c r="F5280">
        <f>IF($C5280="","",YEAR($C5280)&amp;"-Q"&amp;ROUNDUP(MONTH($C5280)/3,0))</f>
        <v/>
      </c>
      <c r="L5280">
        <f>IF($G5280&lt;&gt;"ALCOHOL","",IF($K5280="","",$H5280*IFERROR(VLOOKUP($K5280,Drink_Templates!$A:$G,7,FALSE),0)))</f>
        <v/>
      </c>
    </row>
    <row r="5281" ht="15" customHeight="1">
      <c r="C5281">
        <f>IF($B5281="","",INT($B5281))</f>
        <v/>
      </c>
      <c r="D5281">
        <f>IF($C5281="","",$C5281-WEEKDAY($C5281,2)+1)</f>
        <v/>
      </c>
      <c r="E5281">
        <f>IF($C5281="","",DATE(YEAR($C5281),MONTH($C5281),1))</f>
        <v/>
      </c>
      <c r="F5281">
        <f>IF($C5281="","",YEAR($C5281)&amp;"-Q"&amp;ROUNDUP(MONTH($C5281)/3,0))</f>
        <v/>
      </c>
      <c r="L5281">
        <f>IF($G5281&lt;&gt;"ALCOHOL","",IF($K5281="","",$H5281*IFERROR(VLOOKUP($K5281,Drink_Templates!$A:$G,7,FALSE),0)))</f>
        <v/>
      </c>
    </row>
    <row r="5282" ht="15" customHeight="1">
      <c r="C5282">
        <f>IF($B5282="","",INT($B5282))</f>
        <v/>
      </c>
      <c r="D5282">
        <f>IF($C5282="","",$C5282-WEEKDAY($C5282,2)+1)</f>
        <v/>
      </c>
      <c r="E5282">
        <f>IF($C5282="","",DATE(YEAR($C5282),MONTH($C5282),1))</f>
        <v/>
      </c>
      <c r="F5282">
        <f>IF($C5282="","",YEAR($C5282)&amp;"-Q"&amp;ROUNDUP(MONTH($C5282)/3,0))</f>
        <v/>
      </c>
      <c r="L5282">
        <f>IF($G5282&lt;&gt;"ALCOHOL","",IF($K5282="","",$H5282*IFERROR(VLOOKUP($K5282,Drink_Templates!$A:$G,7,FALSE),0)))</f>
        <v/>
      </c>
    </row>
    <row r="5283" ht="15" customHeight="1">
      <c r="C5283">
        <f>IF($B5283="","",INT($B5283))</f>
        <v/>
      </c>
      <c r="D5283">
        <f>IF($C5283="","",$C5283-WEEKDAY($C5283,2)+1)</f>
        <v/>
      </c>
      <c r="E5283">
        <f>IF($C5283="","",DATE(YEAR($C5283),MONTH($C5283),1))</f>
        <v/>
      </c>
      <c r="F5283">
        <f>IF($C5283="","",YEAR($C5283)&amp;"-Q"&amp;ROUNDUP(MONTH($C5283)/3,0))</f>
        <v/>
      </c>
      <c r="L5283">
        <f>IF($G5283&lt;&gt;"ALCOHOL","",IF($K5283="","",$H5283*IFERROR(VLOOKUP($K5283,Drink_Templates!$A:$G,7,FALSE),0)))</f>
        <v/>
      </c>
    </row>
    <row r="5284" ht="15" customHeight="1">
      <c r="C5284">
        <f>IF($B5284="","",INT($B5284))</f>
        <v/>
      </c>
      <c r="D5284">
        <f>IF($C5284="","",$C5284-WEEKDAY($C5284,2)+1)</f>
        <v/>
      </c>
      <c r="E5284">
        <f>IF($C5284="","",DATE(YEAR($C5284),MONTH($C5284),1))</f>
        <v/>
      </c>
      <c r="F5284">
        <f>IF($C5284="","",YEAR($C5284)&amp;"-Q"&amp;ROUNDUP(MONTH($C5284)/3,0))</f>
        <v/>
      </c>
      <c r="L5284">
        <f>IF($G5284&lt;&gt;"ALCOHOL","",IF($K5284="","",$H5284*IFERROR(VLOOKUP($K5284,Drink_Templates!$A:$G,7,FALSE),0)))</f>
        <v/>
      </c>
    </row>
    <row r="5285" ht="15" customHeight="1">
      <c r="C5285">
        <f>IF($B5285="","",INT($B5285))</f>
        <v/>
      </c>
      <c r="D5285">
        <f>IF($C5285="","",$C5285-WEEKDAY($C5285,2)+1)</f>
        <v/>
      </c>
      <c r="E5285">
        <f>IF($C5285="","",DATE(YEAR($C5285),MONTH($C5285),1))</f>
        <v/>
      </c>
      <c r="F5285">
        <f>IF($C5285="","",YEAR($C5285)&amp;"-Q"&amp;ROUNDUP(MONTH($C5285)/3,0))</f>
        <v/>
      </c>
      <c r="L5285">
        <f>IF($G5285&lt;&gt;"ALCOHOL","",IF($K5285="","",$H5285*IFERROR(VLOOKUP($K5285,Drink_Templates!$A:$G,7,FALSE),0)))</f>
        <v/>
      </c>
    </row>
    <row r="5286" ht="15" customHeight="1">
      <c r="C5286">
        <f>IF($B5286="","",INT($B5286))</f>
        <v/>
      </c>
      <c r="D5286">
        <f>IF($C5286="","",$C5286-WEEKDAY($C5286,2)+1)</f>
        <v/>
      </c>
      <c r="E5286">
        <f>IF($C5286="","",DATE(YEAR($C5286),MONTH($C5286),1))</f>
        <v/>
      </c>
      <c r="F5286">
        <f>IF($C5286="","",YEAR($C5286)&amp;"-Q"&amp;ROUNDUP(MONTH($C5286)/3,0))</f>
        <v/>
      </c>
      <c r="L5286">
        <f>IF($G5286&lt;&gt;"ALCOHOL","",IF($K5286="","",$H5286*IFERROR(VLOOKUP($K5286,Drink_Templates!$A:$G,7,FALSE),0)))</f>
        <v/>
      </c>
    </row>
    <row r="5287" ht="15" customHeight="1">
      <c r="C5287">
        <f>IF($B5287="","",INT($B5287))</f>
        <v/>
      </c>
      <c r="D5287">
        <f>IF($C5287="","",$C5287-WEEKDAY($C5287,2)+1)</f>
        <v/>
      </c>
      <c r="E5287">
        <f>IF($C5287="","",DATE(YEAR($C5287),MONTH($C5287),1))</f>
        <v/>
      </c>
      <c r="F5287">
        <f>IF($C5287="","",YEAR($C5287)&amp;"-Q"&amp;ROUNDUP(MONTH($C5287)/3,0))</f>
        <v/>
      </c>
      <c r="L5287">
        <f>IF($G5287&lt;&gt;"ALCOHOL","",IF($K5287="","",$H5287*IFERROR(VLOOKUP($K5287,Drink_Templates!$A:$G,7,FALSE),0)))</f>
        <v/>
      </c>
    </row>
    <row r="5288" ht="15" customHeight="1">
      <c r="C5288">
        <f>IF($B5288="","",INT($B5288))</f>
        <v/>
      </c>
      <c r="D5288">
        <f>IF($C5288="","",$C5288-WEEKDAY($C5288,2)+1)</f>
        <v/>
      </c>
      <c r="E5288">
        <f>IF($C5288="","",DATE(YEAR($C5288),MONTH($C5288),1))</f>
        <v/>
      </c>
      <c r="F5288">
        <f>IF($C5288="","",YEAR($C5288)&amp;"-Q"&amp;ROUNDUP(MONTH($C5288)/3,0))</f>
        <v/>
      </c>
      <c r="L5288">
        <f>IF($G5288&lt;&gt;"ALCOHOL","",IF($K5288="","",$H5288*IFERROR(VLOOKUP($K5288,Drink_Templates!$A:$G,7,FALSE),0)))</f>
        <v/>
      </c>
    </row>
    <row r="5289" ht="15" customHeight="1">
      <c r="C5289">
        <f>IF($B5289="","",INT($B5289))</f>
        <v/>
      </c>
      <c r="D5289">
        <f>IF($C5289="","",$C5289-WEEKDAY($C5289,2)+1)</f>
        <v/>
      </c>
      <c r="E5289">
        <f>IF($C5289="","",DATE(YEAR($C5289),MONTH($C5289),1))</f>
        <v/>
      </c>
      <c r="F5289">
        <f>IF($C5289="","",YEAR($C5289)&amp;"-Q"&amp;ROUNDUP(MONTH($C5289)/3,0))</f>
        <v/>
      </c>
      <c r="L5289">
        <f>IF($G5289&lt;&gt;"ALCOHOL","",IF($K5289="","",$H5289*IFERROR(VLOOKUP($K5289,Drink_Templates!$A:$G,7,FALSE),0)))</f>
        <v/>
      </c>
    </row>
    <row r="5290" ht="15" customHeight="1">
      <c r="C5290">
        <f>IF($B5290="","",INT($B5290))</f>
        <v/>
      </c>
      <c r="D5290">
        <f>IF($C5290="","",$C5290-WEEKDAY($C5290,2)+1)</f>
        <v/>
      </c>
      <c r="E5290">
        <f>IF($C5290="","",DATE(YEAR($C5290),MONTH($C5290),1))</f>
        <v/>
      </c>
      <c r="F5290">
        <f>IF($C5290="","",YEAR($C5290)&amp;"-Q"&amp;ROUNDUP(MONTH($C5290)/3,0))</f>
        <v/>
      </c>
      <c r="L5290">
        <f>IF($G5290&lt;&gt;"ALCOHOL","",IF($K5290="","",$H5290*IFERROR(VLOOKUP($K5290,Drink_Templates!$A:$G,7,FALSE),0)))</f>
        <v/>
      </c>
    </row>
    <row r="5291" ht="15" customHeight="1">
      <c r="C5291">
        <f>IF($B5291="","",INT($B5291))</f>
        <v/>
      </c>
      <c r="D5291">
        <f>IF($C5291="","",$C5291-WEEKDAY($C5291,2)+1)</f>
        <v/>
      </c>
      <c r="E5291">
        <f>IF($C5291="","",DATE(YEAR($C5291),MONTH($C5291),1))</f>
        <v/>
      </c>
      <c r="F5291">
        <f>IF($C5291="","",YEAR($C5291)&amp;"-Q"&amp;ROUNDUP(MONTH($C5291)/3,0))</f>
        <v/>
      </c>
      <c r="L5291">
        <f>IF($G5291&lt;&gt;"ALCOHOL","",IF($K5291="","",$H5291*IFERROR(VLOOKUP($K5291,Drink_Templates!$A:$G,7,FALSE),0)))</f>
        <v/>
      </c>
    </row>
    <row r="5292" ht="15" customHeight="1">
      <c r="C5292">
        <f>IF($B5292="","",INT($B5292))</f>
        <v/>
      </c>
      <c r="D5292">
        <f>IF($C5292="","",$C5292-WEEKDAY($C5292,2)+1)</f>
        <v/>
      </c>
      <c r="E5292">
        <f>IF($C5292="","",DATE(YEAR($C5292),MONTH($C5292),1))</f>
        <v/>
      </c>
      <c r="F5292">
        <f>IF($C5292="","",YEAR($C5292)&amp;"-Q"&amp;ROUNDUP(MONTH($C5292)/3,0))</f>
        <v/>
      </c>
      <c r="L5292">
        <f>IF($G5292&lt;&gt;"ALCOHOL","",IF($K5292="","",$H5292*IFERROR(VLOOKUP($K5292,Drink_Templates!$A:$G,7,FALSE),0)))</f>
        <v/>
      </c>
    </row>
    <row r="5293" ht="15" customHeight="1">
      <c r="C5293">
        <f>IF($B5293="","",INT($B5293))</f>
        <v/>
      </c>
      <c r="D5293">
        <f>IF($C5293="","",$C5293-WEEKDAY($C5293,2)+1)</f>
        <v/>
      </c>
      <c r="E5293">
        <f>IF($C5293="","",DATE(YEAR($C5293),MONTH($C5293),1))</f>
        <v/>
      </c>
      <c r="F5293">
        <f>IF($C5293="","",YEAR($C5293)&amp;"-Q"&amp;ROUNDUP(MONTH($C5293)/3,0))</f>
        <v/>
      </c>
      <c r="L5293">
        <f>IF($G5293&lt;&gt;"ALCOHOL","",IF($K5293="","",$H5293*IFERROR(VLOOKUP($K5293,Drink_Templates!$A:$G,7,FALSE),0)))</f>
        <v/>
      </c>
    </row>
    <row r="5294" ht="15" customHeight="1">
      <c r="C5294">
        <f>IF($B5294="","",INT($B5294))</f>
        <v/>
      </c>
      <c r="D5294">
        <f>IF($C5294="","",$C5294-WEEKDAY($C5294,2)+1)</f>
        <v/>
      </c>
      <c r="E5294">
        <f>IF($C5294="","",DATE(YEAR($C5294),MONTH($C5294),1))</f>
        <v/>
      </c>
      <c r="F5294">
        <f>IF($C5294="","",YEAR($C5294)&amp;"-Q"&amp;ROUNDUP(MONTH($C5294)/3,0))</f>
        <v/>
      </c>
      <c r="L5294">
        <f>IF($G5294&lt;&gt;"ALCOHOL","",IF($K5294="","",$H5294*IFERROR(VLOOKUP($K5294,Drink_Templates!$A:$G,7,FALSE),0)))</f>
        <v/>
      </c>
    </row>
    <row r="5295" ht="15" customHeight="1">
      <c r="C5295">
        <f>IF($B5295="","",INT($B5295))</f>
        <v/>
      </c>
      <c r="D5295">
        <f>IF($C5295="","",$C5295-WEEKDAY($C5295,2)+1)</f>
        <v/>
      </c>
      <c r="E5295">
        <f>IF($C5295="","",DATE(YEAR($C5295),MONTH($C5295),1))</f>
        <v/>
      </c>
      <c r="F5295">
        <f>IF($C5295="","",YEAR($C5295)&amp;"-Q"&amp;ROUNDUP(MONTH($C5295)/3,0))</f>
        <v/>
      </c>
      <c r="L5295">
        <f>IF($G5295&lt;&gt;"ALCOHOL","",IF($K5295="","",$H5295*IFERROR(VLOOKUP($K5295,Drink_Templates!$A:$G,7,FALSE),0)))</f>
        <v/>
      </c>
    </row>
    <row r="5296" ht="15" customHeight="1">
      <c r="C5296">
        <f>IF($B5296="","",INT($B5296))</f>
        <v/>
      </c>
      <c r="D5296">
        <f>IF($C5296="","",$C5296-WEEKDAY($C5296,2)+1)</f>
        <v/>
      </c>
      <c r="E5296">
        <f>IF($C5296="","",DATE(YEAR($C5296),MONTH($C5296),1))</f>
        <v/>
      </c>
      <c r="F5296">
        <f>IF($C5296="","",YEAR($C5296)&amp;"-Q"&amp;ROUNDUP(MONTH($C5296)/3,0))</f>
        <v/>
      </c>
      <c r="L5296">
        <f>IF($G5296&lt;&gt;"ALCOHOL","",IF($K5296="","",$H5296*IFERROR(VLOOKUP($K5296,Drink_Templates!$A:$G,7,FALSE),0)))</f>
        <v/>
      </c>
    </row>
    <row r="5297" ht="15" customHeight="1">
      <c r="C5297">
        <f>IF($B5297="","",INT($B5297))</f>
        <v/>
      </c>
      <c r="D5297">
        <f>IF($C5297="","",$C5297-WEEKDAY($C5297,2)+1)</f>
        <v/>
      </c>
      <c r="E5297">
        <f>IF($C5297="","",DATE(YEAR($C5297),MONTH($C5297),1))</f>
        <v/>
      </c>
      <c r="F5297">
        <f>IF($C5297="","",YEAR($C5297)&amp;"-Q"&amp;ROUNDUP(MONTH($C5297)/3,0))</f>
        <v/>
      </c>
      <c r="L5297">
        <f>IF($G5297&lt;&gt;"ALCOHOL","",IF($K5297="","",$H5297*IFERROR(VLOOKUP($K5297,Drink_Templates!$A:$G,7,FALSE),0)))</f>
        <v/>
      </c>
    </row>
    <row r="5298" ht="15" customHeight="1">
      <c r="C5298">
        <f>IF($B5298="","",INT($B5298))</f>
        <v/>
      </c>
      <c r="D5298">
        <f>IF($C5298="","",$C5298-WEEKDAY($C5298,2)+1)</f>
        <v/>
      </c>
      <c r="E5298">
        <f>IF($C5298="","",DATE(YEAR($C5298),MONTH($C5298),1))</f>
        <v/>
      </c>
      <c r="F5298">
        <f>IF($C5298="","",YEAR($C5298)&amp;"-Q"&amp;ROUNDUP(MONTH($C5298)/3,0))</f>
        <v/>
      </c>
      <c r="L5298">
        <f>IF($G5298&lt;&gt;"ALCOHOL","",IF($K5298="","",$H5298*IFERROR(VLOOKUP($K5298,Drink_Templates!$A:$G,7,FALSE),0)))</f>
        <v/>
      </c>
    </row>
    <row r="5299" ht="15" customHeight="1">
      <c r="C5299">
        <f>IF($B5299="","",INT($B5299))</f>
        <v/>
      </c>
      <c r="D5299">
        <f>IF($C5299="","",$C5299-WEEKDAY($C5299,2)+1)</f>
        <v/>
      </c>
      <c r="E5299">
        <f>IF($C5299="","",DATE(YEAR($C5299),MONTH($C5299),1))</f>
        <v/>
      </c>
      <c r="F5299">
        <f>IF($C5299="","",YEAR($C5299)&amp;"-Q"&amp;ROUNDUP(MONTH($C5299)/3,0))</f>
        <v/>
      </c>
      <c r="L5299">
        <f>IF($G5299&lt;&gt;"ALCOHOL","",IF($K5299="","",$H5299*IFERROR(VLOOKUP($K5299,Drink_Templates!$A:$G,7,FALSE),0)))</f>
        <v/>
      </c>
    </row>
    <row r="5300" ht="15" customHeight="1">
      <c r="C5300">
        <f>IF($B5300="","",INT($B5300))</f>
        <v/>
      </c>
      <c r="D5300">
        <f>IF($C5300="","",$C5300-WEEKDAY($C5300,2)+1)</f>
        <v/>
      </c>
      <c r="E5300">
        <f>IF($C5300="","",DATE(YEAR($C5300),MONTH($C5300),1))</f>
        <v/>
      </c>
      <c r="F5300">
        <f>IF($C5300="","",YEAR($C5300)&amp;"-Q"&amp;ROUNDUP(MONTH($C5300)/3,0))</f>
        <v/>
      </c>
      <c r="L5300">
        <f>IF($G5300&lt;&gt;"ALCOHOL","",IF($K5300="","",$H5300*IFERROR(VLOOKUP($K5300,Drink_Templates!$A:$G,7,FALSE),0)))</f>
        <v/>
      </c>
    </row>
    <row r="5301" ht="15" customHeight="1">
      <c r="C5301">
        <f>IF($B5301="","",INT($B5301))</f>
        <v/>
      </c>
      <c r="D5301">
        <f>IF($C5301="","",$C5301-WEEKDAY($C5301,2)+1)</f>
        <v/>
      </c>
      <c r="E5301">
        <f>IF($C5301="","",DATE(YEAR($C5301),MONTH($C5301),1))</f>
        <v/>
      </c>
      <c r="F5301">
        <f>IF($C5301="","",YEAR($C5301)&amp;"-Q"&amp;ROUNDUP(MONTH($C5301)/3,0))</f>
        <v/>
      </c>
      <c r="L5301">
        <f>IF($G5301&lt;&gt;"ALCOHOL","",IF($K5301="","",$H5301*IFERROR(VLOOKUP($K5301,Drink_Templates!$A:$G,7,FALSE),0)))</f>
        <v/>
      </c>
    </row>
    <row r="5302" ht="15" customHeight="1">
      <c r="C5302">
        <f>IF($B5302="","",INT($B5302))</f>
        <v/>
      </c>
      <c r="D5302">
        <f>IF($C5302="","",$C5302-WEEKDAY($C5302,2)+1)</f>
        <v/>
      </c>
      <c r="E5302">
        <f>IF($C5302="","",DATE(YEAR($C5302),MONTH($C5302),1))</f>
        <v/>
      </c>
      <c r="F5302">
        <f>IF($C5302="","",YEAR($C5302)&amp;"-Q"&amp;ROUNDUP(MONTH($C5302)/3,0))</f>
        <v/>
      </c>
      <c r="L5302">
        <f>IF($G5302&lt;&gt;"ALCOHOL","",IF($K5302="","",$H5302*IFERROR(VLOOKUP($K5302,Drink_Templates!$A:$G,7,FALSE),0)))</f>
        <v/>
      </c>
    </row>
    <row r="5303" ht="15" customHeight="1">
      <c r="C5303">
        <f>IF($B5303="","",INT($B5303))</f>
        <v/>
      </c>
      <c r="D5303">
        <f>IF($C5303="","",$C5303-WEEKDAY($C5303,2)+1)</f>
        <v/>
      </c>
      <c r="E5303">
        <f>IF($C5303="","",DATE(YEAR($C5303),MONTH($C5303),1))</f>
        <v/>
      </c>
      <c r="F5303">
        <f>IF($C5303="","",YEAR($C5303)&amp;"-Q"&amp;ROUNDUP(MONTH($C5303)/3,0))</f>
        <v/>
      </c>
      <c r="L5303">
        <f>IF($G5303&lt;&gt;"ALCOHOL","",IF($K5303="","",$H5303*IFERROR(VLOOKUP($K5303,Drink_Templates!$A:$G,7,FALSE),0)))</f>
        <v/>
      </c>
    </row>
    <row r="5304" ht="15" customHeight="1">
      <c r="C5304">
        <f>IF($B5304="","",INT($B5304))</f>
        <v/>
      </c>
      <c r="D5304">
        <f>IF($C5304="","",$C5304-WEEKDAY($C5304,2)+1)</f>
        <v/>
      </c>
      <c r="E5304">
        <f>IF($C5304="","",DATE(YEAR($C5304),MONTH($C5304),1))</f>
        <v/>
      </c>
      <c r="F5304">
        <f>IF($C5304="","",YEAR($C5304)&amp;"-Q"&amp;ROUNDUP(MONTH($C5304)/3,0))</f>
        <v/>
      </c>
      <c r="L5304">
        <f>IF($G5304&lt;&gt;"ALCOHOL","",IF($K5304="","",$H5304*IFERROR(VLOOKUP($K5304,Drink_Templates!$A:$G,7,FALSE),0)))</f>
        <v/>
      </c>
    </row>
    <row r="5305" ht="15" customHeight="1">
      <c r="C5305">
        <f>IF($B5305="","",INT($B5305))</f>
        <v/>
      </c>
      <c r="D5305">
        <f>IF($C5305="","",$C5305-WEEKDAY($C5305,2)+1)</f>
        <v/>
      </c>
      <c r="E5305">
        <f>IF($C5305="","",DATE(YEAR($C5305),MONTH($C5305),1))</f>
        <v/>
      </c>
      <c r="F5305">
        <f>IF($C5305="","",YEAR($C5305)&amp;"-Q"&amp;ROUNDUP(MONTH($C5305)/3,0))</f>
        <v/>
      </c>
      <c r="L5305">
        <f>IF($G5305&lt;&gt;"ALCOHOL","",IF($K5305="","",$H5305*IFERROR(VLOOKUP($K5305,Drink_Templates!$A:$G,7,FALSE),0)))</f>
        <v/>
      </c>
    </row>
    <row r="5306" ht="15" customHeight="1">
      <c r="C5306">
        <f>IF($B5306="","",INT($B5306))</f>
        <v/>
      </c>
      <c r="D5306">
        <f>IF($C5306="","",$C5306-WEEKDAY($C5306,2)+1)</f>
        <v/>
      </c>
      <c r="E5306">
        <f>IF($C5306="","",DATE(YEAR($C5306),MONTH($C5306),1))</f>
        <v/>
      </c>
      <c r="F5306">
        <f>IF($C5306="","",YEAR($C5306)&amp;"-Q"&amp;ROUNDUP(MONTH($C5306)/3,0))</f>
        <v/>
      </c>
      <c r="L5306">
        <f>IF($G5306&lt;&gt;"ALCOHOL","",IF($K5306="","",$H5306*IFERROR(VLOOKUP($K5306,Drink_Templates!$A:$G,7,FALSE),0)))</f>
        <v/>
      </c>
    </row>
    <row r="5307" ht="15" customHeight="1">
      <c r="C5307">
        <f>IF($B5307="","",INT($B5307))</f>
        <v/>
      </c>
      <c r="D5307">
        <f>IF($C5307="","",$C5307-WEEKDAY($C5307,2)+1)</f>
        <v/>
      </c>
      <c r="E5307">
        <f>IF($C5307="","",DATE(YEAR($C5307),MONTH($C5307),1))</f>
        <v/>
      </c>
      <c r="F5307">
        <f>IF($C5307="","",YEAR($C5307)&amp;"-Q"&amp;ROUNDUP(MONTH($C5307)/3,0))</f>
        <v/>
      </c>
      <c r="L5307">
        <f>IF($G5307&lt;&gt;"ALCOHOL","",IF($K5307="","",$H5307*IFERROR(VLOOKUP($K5307,Drink_Templates!$A:$G,7,FALSE),0)))</f>
        <v/>
      </c>
    </row>
    <row r="5308" ht="15" customHeight="1">
      <c r="C5308">
        <f>IF($B5308="","",INT($B5308))</f>
        <v/>
      </c>
      <c r="D5308">
        <f>IF($C5308="","",$C5308-WEEKDAY($C5308,2)+1)</f>
        <v/>
      </c>
      <c r="E5308">
        <f>IF($C5308="","",DATE(YEAR($C5308),MONTH($C5308),1))</f>
        <v/>
      </c>
      <c r="F5308">
        <f>IF($C5308="","",YEAR($C5308)&amp;"-Q"&amp;ROUNDUP(MONTH($C5308)/3,0))</f>
        <v/>
      </c>
      <c r="L5308">
        <f>IF($G5308&lt;&gt;"ALCOHOL","",IF($K5308="","",$H5308*IFERROR(VLOOKUP($K5308,Drink_Templates!$A:$G,7,FALSE),0)))</f>
        <v/>
      </c>
    </row>
    <row r="5309" ht="15" customHeight="1">
      <c r="C5309">
        <f>IF($B5309="","",INT($B5309))</f>
        <v/>
      </c>
      <c r="D5309">
        <f>IF($C5309="","",$C5309-WEEKDAY($C5309,2)+1)</f>
        <v/>
      </c>
      <c r="E5309">
        <f>IF($C5309="","",DATE(YEAR($C5309),MONTH($C5309),1))</f>
        <v/>
      </c>
      <c r="F5309">
        <f>IF($C5309="","",YEAR($C5309)&amp;"-Q"&amp;ROUNDUP(MONTH($C5309)/3,0))</f>
        <v/>
      </c>
      <c r="L5309">
        <f>IF($G5309&lt;&gt;"ALCOHOL","",IF($K5309="","",$H5309*IFERROR(VLOOKUP($K5309,Drink_Templates!$A:$G,7,FALSE),0)))</f>
        <v/>
      </c>
    </row>
    <row r="5310" ht="15" customHeight="1">
      <c r="C5310">
        <f>IF($B5310="","",INT($B5310))</f>
        <v/>
      </c>
      <c r="D5310">
        <f>IF($C5310="","",$C5310-WEEKDAY($C5310,2)+1)</f>
        <v/>
      </c>
      <c r="E5310">
        <f>IF($C5310="","",DATE(YEAR($C5310),MONTH($C5310),1))</f>
        <v/>
      </c>
      <c r="F5310">
        <f>IF($C5310="","",YEAR($C5310)&amp;"-Q"&amp;ROUNDUP(MONTH($C5310)/3,0))</f>
        <v/>
      </c>
      <c r="L5310">
        <f>IF($G5310&lt;&gt;"ALCOHOL","",IF($K5310="","",$H5310*IFERROR(VLOOKUP($K5310,Drink_Templates!$A:$G,7,FALSE),0)))</f>
        <v/>
      </c>
    </row>
    <row r="5311" ht="15" customHeight="1">
      <c r="C5311">
        <f>IF($B5311="","",INT($B5311))</f>
        <v/>
      </c>
      <c r="D5311">
        <f>IF($C5311="","",$C5311-WEEKDAY($C5311,2)+1)</f>
        <v/>
      </c>
      <c r="E5311">
        <f>IF($C5311="","",DATE(YEAR($C5311),MONTH($C5311),1))</f>
        <v/>
      </c>
      <c r="F5311">
        <f>IF($C5311="","",YEAR($C5311)&amp;"-Q"&amp;ROUNDUP(MONTH($C5311)/3,0))</f>
        <v/>
      </c>
      <c r="L5311">
        <f>IF($G5311&lt;&gt;"ALCOHOL","",IF($K5311="","",$H5311*IFERROR(VLOOKUP($K5311,Drink_Templates!$A:$G,7,FALSE),0)))</f>
        <v/>
      </c>
    </row>
    <row r="5312" ht="15" customHeight="1">
      <c r="C5312">
        <f>IF($B5312="","",INT($B5312))</f>
        <v/>
      </c>
      <c r="D5312">
        <f>IF($C5312="","",$C5312-WEEKDAY($C5312,2)+1)</f>
        <v/>
      </c>
      <c r="E5312">
        <f>IF($C5312="","",DATE(YEAR($C5312),MONTH($C5312),1))</f>
        <v/>
      </c>
      <c r="F5312">
        <f>IF($C5312="","",YEAR($C5312)&amp;"-Q"&amp;ROUNDUP(MONTH($C5312)/3,0))</f>
        <v/>
      </c>
      <c r="L5312">
        <f>IF($G5312&lt;&gt;"ALCOHOL","",IF($K5312="","",$H5312*IFERROR(VLOOKUP($K5312,Drink_Templates!$A:$G,7,FALSE),0)))</f>
        <v/>
      </c>
    </row>
    <row r="5313" ht="15" customHeight="1">
      <c r="C5313">
        <f>IF($B5313="","",INT($B5313))</f>
        <v/>
      </c>
      <c r="D5313">
        <f>IF($C5313="","",$C5313-WEEKDAY($C5313,2)+1)</f>
        <v/>
      </c>
      <c r="E5313">
        <f>IF($C5313="","",DATE(YEAR($C5313),MONTH($C5313),1))</f>
        <v/>
      </c>
      <c r="F5313">
        <f>IF($C5313="","",YEAR($C5313)&amp;"-Q"&amp;ROUNDUP(MONTH($C5313)/3,0))</f>
        <v/>
      </c>
      <c r="L5313">
        <f>IF($G5313&lt;&gt;"ALCOHOL","",IF($K5313="","",$H5313*IFERROR(VLOOKUP($K5313,Drink_Templates!$A:$G,7,FALSE),0)))</f>
        <v/>
      </c>
    </row>
    <row r="5314" ht="15" customHeight="1">
      <c r="C5314">
        <f>IF($B5314="","",INT($B5314))</f>
        <v/>
      </c>
      <c r="D5314">
        <f>IF($C5314="","",$C5314-WEEKDAY($C5314,2)+1)</f>
        <v/>
      </c>
      <c r="E5314">
        <f>IF($C5314="","",DATE(YEAR($C5314),MONTH($C5314),1))</f>
        <v/>
      </c>
      <c r="F5314">
        <f>IF($C5314="","",YEAR($C5314)&amp;"-Q"&amp;ROUNDUP(MONTH($C5314)/3,0))</f>
        <v/>
      </c>
      <c r="L5314">
        <f>IF($G5314&lt;&gt;"ALCOHOL","",IF($K5314="","",$H5314*IFERROR(VLOOKUP($K5314,Drink_Templates!$A:$G,7,FALSE),0)))</f>
        <v/>
      </c>
    </row>
    <row r="5315" ht="15" customHeight="1">
      <c r="C5315">
        <f>IF($B5315="","",INT($B5315))</f>
        <v/>
      </c>
      <c r="D5315">
        <f>IF($C5315="","",$C5315-WEEKDAY($C5315,2)+1)</f>
        <v/>
      </c>
      <c r="E5315">
        <f>IF($C5315="","",DATE(YEAR($C5315),MONTH($C5315),1))</f>
        <v/>
      </c>
      <c r="F5315">
        <f>IF($C5315="","",YEAR($C5315)&amp;"-Q"&amp;ROUNDUP(MONTH($C5315)/3,0))</f>
        <v/>
      </c>
      <c r="L5315">
        <f>IF($G5315&lt;&gt;"ALCOHOL","",IF($K5315="","",$H5315*IFERROR(VLOOKUP($K5315,Drink_Templates!$A:$G,7,FALSE),0)))</f>
        <v/>
      </c>
    </row>
    <row r="5316" ht="15" customHeight="1">
      <c r="C5316">
        <f>IF($B5316="","",INT($B5316))</f>
        <v/>
      </c>
      <c r="D5316">
        <f>IF($C5316="","",$C5316-WEEKDAY($C5316,2)+1)</f>
        <v/>
      </c>
      <c r="E5316">
        <f>IF($C5316="","",DATE(YEAR($C5316),MONTH($C5316),1))</f>
        <v/>
      </c>
      <c r="F5316">
        <f>IF($C5316="","",YEAR($C5316)&amp;"-Q"&amp;ROUNDUP(MONTH($C5316)/3,0))</f>
        <v/>
      </c>
      <c r="L5316">
        <f>IF($G5316&lt;&gt;"ALCOHOL","",IF($K5316="","",$H5316*IFERROR(VLOOKUP($K5316,Drink_Templates!$A:$G,7,FALSE),0)))</f>
        <v/>
      </c>
    </row>
    <row r="5317" ht="15" customHeight="1">
      <c r="C5317">
        <f>IF($B5317="","",INT($B5317))</f>
        <v/>
      </c>
      <c r="D5317">
        <f>IF($C5317="","",$C5317-WEEKDAY($C5317,2)+1)</f>
        <v/>
      </c>
      <c r="E5317">
        <f>IF($C5317="","",DATE(YEAR($C5317),MONTH($C5317),1))</f>
        <v/>
      </c>
      <c r="F5317">
        <f>IF($C5317="","",YEAR($C5317)&amp;"-Q"&amp;ROUNDUP(MONTH($C5317)/3,0))</f>
        <v/>
      </c>
      <c r="L5317">
        <f>IF($G5317&lt;&gt;"ALCOHOL","",IF($K5317="","",$H5317*IFERROR(VLOOKUP($K5317,Drink_Templates!$A:$G,7,FALSE),0)))</f>
        <v/>
      </c>
    </row>
    <row r="5318" ht="15" customHeight="1">
      <c r="C5318">
        <f>IF($B5318="","",INT($B5318))</f>
        <v/>
      </c>
      <c r="D5318">
        <f>IF($C5318="","",$C5318-WEEKDAY($C5318,2)+1)</f>
        <v/>
      </c>
      <c r="E5318">
        <f>IF($C5318="","",DATE(YEAR($C5318),MONTH($C5318),1))</f>
        <v/>
      </c>
      <c r="F5318">
        <f>IF($C5318="","",YEAR($C5318)&amp;"-Q"&amp;ROUNDUP(MONTH($C5318)/3,0))</f>
        <v/>
      </c>
      <c r="L5318">
        <f>IF($G5318&lt;&gt;"ALCOHOL","",IF($K5318="","",$H5318*IFERROR(VLOOKUP($K5318,Drink_Templates!$A:$G,7,FALSE),0)))</f>
        <v/>
      </c>
    </row>
    <row r="5319" ht="15" customHeight="1">
      <c r="C5319">
        <f>IF($B5319="","",INT($B5319))</f>
        <v/>
      </c>
      <c r="D5319">
        <f>IF($C5319="","",$C5319-WEEKDAY($C5319,2)+1)</f>
        <v/>
      </c>
      <c r="E5319">
        <f>IF($C5319="","",DATE(YEAR($C5319),MONTH($C5319),1))</f>
        <v/>
      </c>
      <c r="F5319">
        <f>IF($C5319="","",YEAR($C5319)&amp;"-Q"&amp;ROUNDUP(MONTH($C5319)/3,0))</f>
        <v/>
      </c>
      <c r="L5319">
        <f>IF($G5319&lt;&gt;"ALCOHOL","",IF($K5319="","",$H5319*IFERROR(VLOOKUP($K5319,Drink_Templates!$A:$G,7,FALSE),0)))</f>
        <v/>
      </c>
    </row>
    <row r="5320" ht="15" customHeight="1">
      <c r="C5320">
        <f>IF($B5320="","",INT($B5320))</f>
        <v/>
      </c>
      <c r="D5320">
        <f>IF($C5320="","",$C5320-WEEKDAY($C5320,2)+1)</f>
        <v/>
      </c>
      <c r="E5320">
        <f>IF($C5320="","",DATE(YEAR($C5320),MONTH($C5320),1))</f>
        <v/>
      </c>
      <c r="F5320">
        <f>IF($C5320="","",YEAR($C5320)&amp;"-Q"&amp;ROUNDUP(MONTH($C5320)/3,0))</f>
        <v/>
      </c>
      <c r="L5320">
        <f>IF($G5320&lt;&gt;"ALCOHOL","",IF($K5320="","",$H5320*IFERROR(VLOOKUP($K5320,Drink_Templates!$A:$G,7,FALSE),0)))</f>
        <v/>
      </c>
    </row>
    <row r="5321" ht="15" customHeight="1">
      <c r="C5321">
        <f>IF($B5321="","",INT($B5321))</f>
        <v/>
      </c>
      <c r="D5321">
        <f>IF($C5321="","",$C5321-WEEKDAY($C5321,2)+1)</f>
        <v/>
      </c>
      <c r="E5321">
        <f>IF($C5321="","",DATE(YEAR($C5321),MONTH($C5321),1))</f>
        <v/>
      </c>
      <c r="F5321">
        <f>IF($C5321="","",YEAR($C5321)&amp;"-Q"&amp;ROUNDUP(MONTH($C5321)/3,0))</f>
        <v/>
      </c>
      <c r="L5321">
        <f>IF($G5321&lt;&gt;"ALCOHOL","",IF($K5321="","",$H5321*IFERROR(VLOOKUP($K5321,Drink_Templates!$A:$G,7,FALSE),0)))</f>
        <v/>
      </c>
    </row>
    <row r="5322" ht="15" customHeight="1">
      <c r="C5322">
        <f>IF($B5322="","",INT($B5322))</f>
        <v/>
      </c>
      <c r="D5322">
        <f>IF($C5322="","",$C5322-WEEKDAY($C5322,2)+1)</f>
        <v/>
      </c>
      <c r="E5322">
        <f>IF($C5322="","",DATE(YEAR($C5322),MONTH($C5322),1))</f>
        <v/>
      </c>
      <c r="F5322">
        <f>IF($C5322="","",YEAR($C5322)&amp;"-Q"&amp;ROUNDUP(MONTH($C5322)/3,0))</f>
        <v/>
      </c>
      <c r="L5322">
        <f>IF($G5322&lt;&gt;"ALCOHOL","",IF($K5322="","",$H5322*IFERROR(VLOOKUP($K5322,Drink_Templates!$A:$G,7,FALSE),0)))</f>
        <v/>
      </c>
    </row>
    <row r="5323" ht="15" customHeight="1">
      <c r="C5323">
        <f>IF($B5323="","",INT($B5323))</f>
        <v/>
      </c>
      <c r="D5323">
        <f>IF($C5323="","",$C5323-WEEKDAY($C5323,2)+1)</f>
        <v/>
      </c>
      <c r="E5323">
        <f>IF($C5323="","",DATE(YEAR($C5323),MONTH($C5323),1))</f>
        <v/>
      </c>
      <c r="F5323">
        <f>IF($C5323="","",YEAR($C5323)&amp;"-Q"&amp;ROUNDUP(MONTH($C5323)/3,0))</f>
        <v/>
      </c>
      <c r="L5323">
        <f>IF($G5323&lt;&gt;"ALCOHOL","",IF($K5323="","",$H5323*IFERROR(VLOOKUP($K5323,Drink_Templates!$A:$G,7,FALSE),0)))</f>
        <v/>
      </c>
    </row>
    <row r="5324" ht="15" customHeight="1">
      <c r="C5324">
        <f>IF($B5324="","",INT($B5324))</f>
        <v/>
      </c>
      <c r="D5324">
        <f>IF($C5324="","",$C5324-WEEKDAY($C5324,2)+1)</f>
        <v/>
      </c>
      <c r="E5324">
        <f>IF($C5324="","",DATE(YEAR($C5324),MONTH($C5324),1))</f>
        <v/>
      </c>
      <c r="F5324">
        <f>IF($C5324="","",YEAR($C5324)&amp;"-Q"&amp;ROUNDUP(MONTH($C5324)/3,0))</f>
        <v/>
      </c>
      <c r="L5324">
        <f>IF($G5324&lt;&gt;"ALCOHOL","",IF($K5324="","",$H5324*IFERROR(VLOOKUP($K5324,Drink_Templates!$A:$G,7,FALSE),0)))</f>
        <v/>
      </c>
    </row>
    <row r="5325" ht="15" customHeight="1">
      <c r="C5325">
        <f>IF($B5325="","",INT($B5325))</f>
        <v/>
      </c>
      <c r="D5325">
        <f>IF($C5325="","",$C5325-WEEKDAY($C5325,2)+1)</f>
        <v/>
      </c>
      <c r="E5325">
        <f>IF($C5325="","",DATE(YEAR($C5325),MONTH($C5325),1))</f>
        <v/>
      </c>
      <c r="F5325">
        <f>IF($C5325="","",YEAR($C5325)&amp;"-Q"&amp;ROUNDUP(MONTH($C5325)/3,0))</f>
        <v/>
      </c>
      <c r="L5325">
        <f>IF($G5325&lt;&gt;"ALCOHOL","",IF($K5325="","",$H5325*IFERROR(VLOOKUP($K5325,Drink_Templates!$A:$G,7,FALSE),0)))</f>
        <v/>
      </c>
    </row>
    <row r="5326" ht="15" customHeight="1">
      <c r="C5326">
        <f>IF($B5326="","",INT($B5326))</f>
        <v/>
      </c>
      <c r="D5326">
        <f>IF($C5326="","",$C5326-WEEKDAY($C5326,2)+1)</f>
        <v/>
      </c>
      <c r="E5326">
        <f>IF($C5326="","",DATE(YEAR($C5326),MONTH($C5326),1))</f>
        <v/>
      </c>
      <c r="F5326">
        <f>IF($C5326="","",YEAR($C5326)&amp;"-Q"&amp;ROUNDUP(MONTH($C5326)/3,0))</f>
        <v/>
      </c>
      <c r="L5326">
        <f>IF($G5326&lt;&gt;"ALCOHOL","",IF($K5326="","",$H5326*IFERROR(VLOOKUP($K5326,Drink_Templates!$A:$G,7,FALSE),0)))</f>
        <v/>
      </c>
    </row>
    <row r="5327" ht="15" customHeight="1">
      <c r="C5327">
        <f>IF($B5327="","",INT($B5327))</f>
        <v/>
      </c>
      <c r="D5327">
        <f>IF($C5327="","",$C5327-WEEKDAY($C5327,2)+1)</f>
        <v/>
      </c>
      <c r="E5327">
        <f>IF($C5327="","",DATE(YEAR($C5327),MONTH($C5327),1))</f>
        <v/>
      </c>
      <c r="F5327">
        <f>IF($C5327="","",YEAR($C5327)&amp;"-Q"&amp;ROUNDUP(MONTH($C5327)/3,0))</f>
        <v/>
      </c>
      <c r="L5327">
        <f>IF($G5327&lt;&gt;"ALCOHOL","",IF($K5327="","",$H5327*IFERROR(VLOOKUP($K5327,Drink_Templates!$A:$G,7,FALSE),0)))</f>
        <v/>
      </c>
    </row>
    <row r="5328" ht="15" customHeight="1">
      <c r="C5328">
        <f>IF($B5328="","",INT($B5328))</f>
        <v/>
      </c>
      <c r="D5328">
        <f>IF($C5328="","",$C5328-WEEKDAY($C5328,2)+1)</f>
        <v/>
      </c>
      <c r="E5328">
        <f>IF($C5328="","",DATE(YEAR($C5328),MONTH($C5328),1))</f>
        <v/>
      </c>
      <c r="F5328">
        <f>IF($C5328="","",YEAR($C5328)&amp;"-Q"&amp;ROUNDUP(MONTH($C5328)/3,0))</f>
        <v/>
      </c>
      <c r="L5328">
        <f>IF($G5328&lt;&gt;"ALCOHOL","",IF($K5328="","",$H5328*IFERROR(VLOOKUP($K5328,Drink_Templates!$A:$G,7,FALSE),0)))</f>
        <v/>
      </c>
    </row>
    <row r="5329" ht="15" customHeight="1">
      <c r="C5329">
        <f>IF($B5329="","",INT($B5329))</f>
        <v/>
      </c>
      <c r="D5329">
        <f>IF($C5329="","",$C5329-WEEKDAY($C5329,2)+1)</f>
        <v/>
      </c>
      <c r="E5329">
        <f>IF($C5329="","",DATE(YEAR($C5329),MONTH($C5329),1))</f>
        <v/>
      </c>
      <c r="F5329">
        <f>IF($C5329="","",YEAR($C5329)&amp;"-Q"&amp;ROUNDUP(MONTH($C5329)/3,0))</f>
        <v/>
      </c>
      <c r="L5329">
        <f>IF($G5329&lt;&gt;"ALCOHOL","",IF($K5329="","",$H5329*IFERROR(VLOOKUP($K5329,Drink_Templates!$A:$G,7,FALSE),0)))</f>
        <v/>
      </c>
    </row>
    <row r="5330" ht="15" customHeight="1">
      <c r="C5330">
        <f>IF($B5330="","",INT($B5330))</f>
        <v/>
      </c>
      <c r="D5330">
        <f>IF($C5330="","",$C5330-WEEKDAY($C5330,2)+1)</f>
        <v/>
      </c>
      <c r="E5330">
        <f>IF($C5330="","",DATE(YEAR($C5330),MONTH($C5330),1))</f>
        <v/>
      </c>
      <c r="F5330">
        <f>IF($C5330="","",YEAR($C5330)&amp;"-Q"&amp;ROUNDUP(MONTH($C5330)/3,0))</f>
        <v/>
      </c>
      <c r="L5330">
        <f>IF($G5330&lt;&gt;"ALCOHOL","",IF($K5330="","",$H5330*IFERROR(VLOOKUP($K5330,Drink_Templates!$A:$G,7,FALSE),0)))</f>
        <v/>
      </c>
    </row>
    <row r="5331" ht="15" customHeight="1">
      <c r="C5331">
        <f>IF($B5331="","",INT($B5331))</f>
        <v/>
      </c>
      <c r="D5331">
        <f>IF($C5331="","",$C5331-WEEKDAY($C5331,2)+1)</f>
        <v/>
      </c>
      <c r="E5331">
        <f>IF($C5331="","",DATE(YEAR($C5331),MONTH($C5331),1))</f>
        <v/>
      </c>
      <c r="F5331">
        <f>IF($C5331="","",YEAR($C5331)&amp;"-Q"&amp;ROUNDUP(MONTH($C5331)/3,0))</f>
        <v/>
      </c>
      <c r="L5331">
        <f>IF($G5331&lt;&gt;"ALCOHOL","",IF($K5331="","",$H5331*IFERROR(VLOOKUP($K5331,Drink_Templates!$A:$G,7,FALSE),0)))</f>
        <v/>
      </c>
    </row>
    <row r="5332" ht="15" customHeight="1">
      <c r="C5332">
        <f>IF($B5332="","",INT($B5332))</f>
        <v/>
      </c>
      <c r="D5332">
        <f>IF($C5332="","",$C5332-WEEKDAY($C5332,2)+1)</f>
        <v/>
      </c>
      <c r="E5332">
        <f>IF($C5332="","",DATE(YEAR($C5332),MONTH($C5332),1))</f>
        <v/>
      </c>
      <c r="F5332">
        <f>IF($C5332="","",YEAR($C5332)&amp;"-Q"&amp;ROUNDUP(MONTH($C5332)/3,0))</f>
        <v/>
      </c>
      <c r="L5332">
        <f>IF($G5332&lt;&gt;"ALCOHOL","",IF($K5332="","",$H5332*IFERROR(VLOOKUP($K5332,Drink_Templates!$A:$G,7,FALSE),0)))</f>
        <v/>
      </c>
    </row>
    <row r="5333" ht="15" customHeight="1">
      <c r="C5333">
        <f>IF($B5333="","",INT($B5333))</f>
        <v/>
      </c>
      <c r="D5333">
        <f>IF($C5333="","",$C5333-WEEKDAY($C5333,2)+1)</f>
        <v/>
      </c>
      <c r="E5333">
        <f>IF($C5333="","",DATE(YEAR($C5333),MONTH($C5333),1))</f>
        <v/>
      </c>
      <c r="F5333">
        <f>IF($C5333="","",YEAR($C5333)&amp;"-Q"&amp;ROUNDUP(MONTH($C5333)/3,0))</f>
        <v/>
      </c>
      <c r="L5333">
        <f>IF($G5333&lt;&gt;"ALCOHOL","",IF($K5333="","",$H5333*IFERROR(VLOOKUP($K5333,Drink_Templates!$A:$G,7,FALSE),0)))</f>
        <v/>
      </c>
    </row>
    <row r="5334" ht="15" customHeight="1">
      <c r="C5334">
        <f>IF($B5334="","",INT($B5334))</f>
        <v/>
      </c>
      <c r="D5334">
        <f>IF($C5334="","",$C5334-WEEKDAY($C5334,2)+1)</f>
        <v/>
      </c>
      <c r="E5334">
        <f>IF($C5334="","",DATE(YEAR($C5334),MONTH($C5334),1))</f>
        <v/>
      </c>
      <c r="F5334">
        <f>IF($C5334="","",YEAR($C5334)&amp;"-Q"&amp;ROUNDUP(MONTH($C5334)/3,0))</f>
        <v/>
      </c>
      <c r="L5334">
        <f>IF($G5334&lt;&gt;"ALCOHOL","",IF($K5334="","",$H5334*IFERROR(VLOOKUP($K5334,Drink_Templates!$A:$G,7,FALSE),0)))</f>
        <v/>
      </c>
    </row>
    <row r="5335" ht="15" customHeight="1">
      <c r="C5335">
        <f>IF($B5335="","",INT($B5335))</f>
        <v/>
      </c>
      <c r="D5335">
        <f>IF($C5335="","",$C5335-WEEKDAY($C5335,2)+1)</f>
        <v/>
      </c>
      <c r="E5335">
        <f>IF($C5335="","",DATE(YEAR($C5335),MONTH($C5335),1))</f>
        <v/>
      </c>
      <c r="F5335">
        <f>IF($C5335="","",YEAR($C5335)&amp;"-Q"&amp;ROUNDUP(MONTH($C5335)/3,0))</f>
        <v/>
      </c>
      <c r="L5335">
        <f>IF($G5335&lt;&gt;"ALCOHOL","",IF($K5335="","",$H5335*IFERROR(VLOOKUP($K5335,Drink_Templates!$A:$G,7,FALSE),0)))</f>
        <v/>
      </c>
    </row>
    <row r="5336" ht="15" customHeight="1">
      <c r="C5336">
        <f>IF($B5336="","",INT($B5336))</f>
        <v/>
      </c>
      <c r="D5336">
        <f>IF($C5336="","",$C5336-WEEKDAY($C5336,2)+1)</f>
        <v/>
      </c>
      <c r="E5336">
        <f>IF($C5336="","",DATE(YEAR($C5336),MONTH($C5336),1))</f>
        <v/>
      </c>
      <c r="F5336">
        <f>IF($C5336="","",YEAR($C5336)&amp;"-Q"&amp;ROUNDUP(MONTH($C5336)/3,0))</f>
        <v/>
      </c>
      <c r="L5336">
        <f>IF($G5336&lt;&gt;"ALCOHOL","",IF($K5336="","",$H5336*IFERROR(VLOOKUP($K5336,Drink_Templates!$A:$G,7,FALSE),0)))</f>
        <v/>
      </c>
    </row>
    <row r="5337" ht="15" customHeight="1">
      <c r="C5337">
        <f>IF($B5337="","",INT($B5337))</f>
        <v/>
      </c>
      <c r="D5337">
        <f>IF($C5337="","",$C5337-WEEKDAY($C5337,2)+1)</f>
        <v/>
      </c>
      <c r="E5337">
        <f>IF($C5337="","",DATE(YEAR($C5337),MONTH($C5337),1))</f>
        <v/>
      </c>
      <c r="F5337">
        <f>IF($C5337="","",YEAR($C5337)&amp;"-Q"&amp;ROUNDUP(MONTH($C5337)/3,0))</f>
        <v/>
      </c>
      <c r="L5337">
        <f>IF($G5337&lt;&gt;"ALCOHOL","",IF($K5337="","",$H5337*IFERROR(VLOOKUP($K5337,Drink_Templates!$A:$G,7,FALSE),0)))</f>
        <v/>
      </c>
    </row>
    <row r="5338" ht="15" customHeight="1">
      <c r="C5338">
        <f>IF($B5338="","",INT($B5338))</f>
        <v/>
      </c>
      <c r="D5338">
        <f>IF($C5338="","",$C5338-WEEKDAY($C5338,2)+1)</f>
        <v/>
      </c>
      <c r="E5338">
        <f>IF($C5338="","",DATE(YEAR($C5338),MONTH($C5338),1))</f>
        <v/>
      </c>
      <c r="F5338">
        <f>IF($C5338="","",YEAR($C5338)&amp;"-Q"&amp;ROUNDUP(MONTH($C5338)/3,0))</f>
        <v/>
      </c>
      <c r="L5338">
        <f>IF($G5338&lt;&gt;"ALCOHOL","",IF($K5338="","",$H5338*IFERROR(VLOOKUP($K5338,Drink_Templates!$A:$G,7,FALSE),0)))</f>
        <v/>
      </c>
    </row>
    <row r="5339" ht="15" customHeight="1">
      <c r="C5339">
        <f>IF($B5339="","",INT($B5339))</f>
        <v/>
      </c>
      <c r="D5339">
        <f>IF($C5339="","",$C5339-WEEKDAY($C5339,2)+1)</f>
        <v/>
      </c>
      <c r="E5339">
        <f>IF($C5339="","",DATE(YEAR($C5339),MONTH($C5339),1))</f>
        <v/>
      </c>
      <c r="F5339">
        <f>IF($C5339="","",YEAR($C5339)&amp;"-Q"&amp;ROUNDUP(MONTH($C5339)/3,0))</f>
        <v/>
      </c>
      <c r="L5339">
        <f>IF($G5339&lt;&gt;"ALCOHOL","",IF($K5339="","",$H5339*IFERROR(VLOOKUP($K5339,Drink_Templates!$A:$G,7,FALSE),0)))</f>
        <v/>
      </c>
    </row>
    <row r="5340" ht="15" customHeight="1">
      <c r="C5340">
        <f>IF($B5340="","",INT($B5340))</f>
        <v/>
      </c>
      <c r="D5340">
        <f>IF($C5340="","",$C5340-WEEKDAY($C5340,2)+1)</f>
        <v/>
      </c>
      <c r="E5340">
        <f>IF($C5340="","",DATE(YEAR($C5340),MONTH($C5340),1))</f>
        <v/>
      </c>
      <c r="F5340">
        <f>IF($C5340="","",YEAR($C5340)&amp;"-Q"&amp;ROUNDUP(MONTH($C5340)/3,0))</f>
        <v/>
      </c>
      <c r="L5340">
        <f>IF($G5340&lt;&gt;"ALCOHOL","",IF($K5340="","",$H5340*IFERROR(VLOOKUP($K5340,Drink_Templates!$A:$G,7,FALSE),0)))</f>
        <v/>
      </c>
    </row>
    <row r="5341" ht="15" customHeight="1">
      <c r="C5341">
        <f>IF($B5341="","",INT($B5341))</f>
        <v/>
      </c>
      <c r="D5341">
        <f>IF($C5341="","",$C5341-WEEKDAY($C5341,2)+1)</f>
        <v/>
      </c>
      <c r="E5341">
        <f>IF($C5341="","",DATE(YEAR($C5341),MONTH($C5341),1))</f>
        <v/>
      </c>
      <c r="F5341">
        <f>IF($C5341="","",YEAR($C5341)&amp;"-Q"&amp;ROUNDUP(MONTH($C5341)/3,0))</f>
        <v/>
      </c>
      <c r="L5341">
        <f>IF($G5341&lt;&gt;"ALCOHOL","",IF($K5341="","",$H5341*IFERROR(VLOOKUP($K5341,Drink_Templates!$A:$G,7,FALSE),0)))</f>
        <v/>
      </c>
    </row>
    <row r="5342" ht="15" customHeight="1">
      <c r="C5342">
        <f>IF($B5342="","",INT($B5342))</f>
        <v/>
      </c>
      <c r="D5342">
        <f>IF($C5342="","",$C5342-WEEKDAY($C5342,2)+1)</f>
        <v/>
      </c>
      <c r="E5342">
        <f>IF($C5342="","",DATE(YEAR($C5342),MONTH($C5342),1))</f>
        <v/>
      </c>
      <c r="F5342">
        <f>IF($C5342="","",YEAR($C5342)&amp;"-Q"&amp;ROUNDUP(MONTH($C5342)/3,0))</f>
        <v/>
      </c>
      <c r="L5342">
        <f>IF($G5342&lt;&gt;"ALCOHOL","",IF($K5342="","",$H5342*IFERROR(VLOOKUP($K5342,Drink_Templates!$A:$G,7,FALSE),0)))</f>
        <v/>
      </c>
    </row>
    <row r="5343" ht="15" customHeight="1">
      <c r="C5343">
        <f>IF($B5343="","",INT($B5343))</f>
        <v/>
      </c>
      <c r="D5343">
        <f>IF($C5343="","",$C5343-WEEKDAY($C5343,2)+1)</f>
        <v/>
      </c>
      <c r="E5343">
        <f>IF($C5343="","",DATE(YEAR($C5343),MONTH($C5343),1))</f>
        <v/>
      </c>
      <c r="F5343">
        <f>IF($C5343="","",YEAR($C5343)&amp;"-Q"&amp;ROUNDUP(MONTH($C5343)/3,0))</f>
        <v/>
      </c>
      <c r="L5343">
        <f>IF($G5343&lt;&gt;"ALCOHOL","",IF($K5343="","",$H5343*IFERROR(VLOOKUP($K5343,Drink_Templates!$A:$G,7,FALSE),0)))</f>
        <v/>
      </c>
    </row>
    <row r="5344" ht="15" customHeight="1">
      <c r="C5344">
        <f>IF($B5344="","",INT($B5344))</f>
        <v/>
      </c>
      <c r="D5344">
        <f>IF($C5344="","",$C5344-WEEKDAY($C5344,2)+1)</f>
        <v/>
      </c>
      <c r="E5344">
        <f>IF($C5344="","",DATE(YEAR($C5344),MONTH($C5344),1))</f>
        <v/>
      </c>
      <c r="F5344">
        <f>IF($C5344="","",YEAR($C5344)&amp;"-Q"&amp;ROUNDUP(MONTH($C5344)/3,0))</f>
        <v/>
      </c>
      <c r="L5344">
        <f>IF($G5344&lt;&gt;"ALCOHOL","",IF($K5344="","",$H5344*IFERROR(VLOOKUP($K5344,Drink_Templates!$A:$G,7,FALSE),0)))</f>
        <v/>
      </c>
    </row>
    <row r="5345" ht="15" customHeight="1">
      <c r="C5345">
        <f>IF($B5345="","",INT($B5345))</f>
        <v/>
      </c>
      <c r="D5345">
        <f>IF($C5345="","",$C5345-WEEKDAY($C5345,2)+1)</f>
        <v/>
      </c>
      <c r="E5345">
        <f>IF($C5345="","",DATE(YEAR($C5345),MONTH($C5345),1))</f>
        <v/>
      </c>
      <c r="F5345">
        <f>IF($C5345="","",YEAR($C5345)&amp;"-Q"&amp;ROUNDUP(MONTH($C5345)/3,0))</f>
        <v/>
      </c>
      <c r="L5345">
        <f>IF($G5345&lt;&gt;"ALCOHOL","",IF($K5345="","",$H5345*IFERROR(VLOOKUP($K5345,Drink_Templates!$A:$G,7,FALSE),0)))</f>
        <v/>
      </c>
    </row>
    <row r="5346" ht="15" customHeight="1">
      <c r="C5346">
        <f>IF($B5346="","",INT($B5346))</f>
        <v/>
      </c>
      <c r="D5346">
        <f>IF($C5346="","",$C5346-WEEKDAY($C5346,2)+1)</f>
        <v/>
      </c>
      <c r="E5346">
        <f>IF($C5346="","",DATE(YEAR($C5346),MONTH($C5346),1))</f>
        <v/>
      </c>
      <c r="F5346">
        <f>IF($C5346="","",YEAR($C5346)&amp;"-Q"&amp;ROUNDUP(MONTH($C5346)/3,0))</f>
        <v/>
      </c>
      <c r="L5346">
        <f>IF($G5346&lt;&gt;"ALCOHOL","",IF($K5346="","",$H5346*IFERROR(VLOOKUP($K5346,Drink_Templates!$A:$G,7,FALSE),0)))</f>
        <v/>
      </c>
    </row>
    <row r="5347" ht="15" customHeight="1">
      <c r="C5347">
        <f>IF($B5347="","",INT($B5347))</f>
        <v/>
      </c>
      <c r="D5347">
        <f>IF($C5347="","",$C5347-WEEKDAY($C5347,2)+1)</f>
        <v/>
      </c>
      <c r="E5347">
        <f>IF($C5347="","",DATE(YEAR($C5347),MONTH($C5347),1))</f>
        <v/>
      </c>
      <c r="F5347">
        <f>IF($C5347="","",YEAR($C5347)&amp;"-Q"&amp;ROUNDUP(MONTH($C5347)/3,0))</f>
        <v/>
      </c>
      <c r="L5347">
        <f>IF($G5347&lt;&gt;"ALCOHOL","",IF($K5347="","",$H5347*IFERROR(VLOOKUP($K5347,Drink_Templates!$A:$G,7,FALSE),0)))</f>
        <v/>
      </c>
    </row>
    <row r="5348" ht="15" customHeight="1">
      <c r="C5348">
        <f>IF($B5348="","",INT($B5348))</f>
        <v/>
      </c>
      <c r="D5348">
        <f>IF($C5348="","",$C5348-WEEKDAY($C5348,2)+1)</f>
        <v/>
      </c>
      <c r="E5348">
        <f>IF($C5348="","",DATE(YEAR($C5348),MONTH($C5348),1))</f>
        <v/>
      </c>
      <c r="F5348">
        <f>IF($C5348="","",YEAR($C5348)&amp;"-Q"&amp;ROUNDUP(MONTH($C5348)/3,0))</f>
        <v/>
      </c>
      <c r="L5348">
        <f>IF($G5348&lt;&gt;"ALCOHOL","",IF($K5348="","",$H5348*IFERROR(VLOOKUP($K5348,Drink_Templates!$A:$G,7,FALSE),0)))</f>
        <v/>
      </c>
    </row>
    <row r="5349" ht="15" customHeight="1">
      <c r="C5349">
        <f>IF($B5349="","",INT($B5349))</f>
        <v/>
      </c>
      <c r="D5349">
        <f>IF($C5349="","",$C5349-WEEKDAY($C5349,2)+1)</f>
        <v/>
      </c>
      <c r="E5349">
        <f>IF($C5349="","",DATE(YEAR($C5349),MONTH($C5349),1))</f>
        <v/>
      </c>
      <c r="F5349">
        <f>IF($C5349="","",YEAR($C5349)&amp;"-Q"&amp;ROUNDUP(MONTH($C5349)/3,0))</f>
        <v/>
      </c>
      <c r="L5349">
        <f>IF($G5349&lt;&gt;"ALCOHOL","",IF($K5349="","",$H5349*IFERROR(VLOOKUP($K5349,Drink_Templates!$A:$G,7,FALSE),0)))</f>
        <v/>
      </c>
    </row>
    <row r="5350" ht="15" customHeight="1">
      <c r="C5350">
        <f>IF($B5350="","",INT($B5350))</f>
        <v/>
      </c>
      <c r="D5350">
        <f>IF($C5350="","",$C5350-WEEKDAY($C5350,2)+1)</f>
        <v/>
      </c>
      <c r="E5350">
        <f>IF($C5350="","",DATE(YEAR($C5350),MONTH($C5350),1))</f>
        <v/>
      </c>
      <c r="F5350">
        <f>IF($C5350="","",YEAR($C5350)&amp;"-Q"&amp;ROUNDUP(MONTH($C5350)/3,0))</f>
        <v/>
      </c>
      <c r="L5350">
        <f>IF($G5350&lt;&gt;"ALCOHOL","",IF($K5350="","",$H5350*IFERROR(VLOOKUP($K5350,Drink_Templates!$A:$G,7,FALSE),0)))</f>
        <v/>
      </c>
    </row>
    <row r="5351" ht="15" customHeight="1">
      <c r="C5351">
        <f>IF($B5351="","",INT($B5351))</f>
        <v/>
      </c>
      <c r="D5351">
        <f>IF($C5351="","",$C5351-WEEKDAY($C5351,2)+1)</f>
        <v/>
      </c>
      <c r="E5351">
        <f>IF($C5351="","",DATE(YEAR($C5351),MONTH($C5351),1))</f>
        <v/>
      </c>
      <c r="F5351">
        <f>IF($C5351="","",YEAR($C5351)&amp;"-Q"&amp;ROUNDUP(MONTH($C5351)/3,0))</f>
        <v/>
      </c>
      <c r="L5351">
        <f>IF($G5351&lt;&gt;"ALCOHOL","",IF($K5351="","",$H5351*IFERROR(VLOOKUP($K5351,Drink_Templates!$A:$G,7,FALSE),0)))</f>
        <v/>
      </c>
    </row>
    <row r="5352" ht="15" customHeight="1">
      <c r="C5352">
        <f>IF($B5352="","",INT($B5352))</f>
        <v/>
      </c>
      <c r="D5352">
        <f>IF($C5352="","",$C5352-WEEKDAY($C5352,2)+1)</f>
        <v/>
      </c>
      <c r="E5352">
        <f>IF($C5352="","",DATE(YEAR($C5352),MONTH($C5352),1))</f>
        <v/>
      </c>
      <c r="F5352">
        <f>IF($C5352="","",YEAR($C5352)&amp;"-Q"&amp;ROUNDUP(MONTH($C5352)/3,0))</f>
        <v/>
      </c>
      <c r="L5352">
        <f>IF($G5352&lt;&gt;"ALCOHOL","",IF($K5352="","",$H5352*IFERROR(VLOOKUP($K5352,Drink_Templates!$A:$G,7,FALSE),0)))</f>
        <v/>
      </c>
    </row>
    <row r="5353" ht="15" customHeight="1">
      <c r="C5353">
        <f>IF($B5353="","",INT($B5353))</f>
        <v/>
      </c>
      <c r="D5353">
        <f>IF($C5353="","",$C5353-WEEKDAY($C5353,2)+1)</f>
        <v/>
      </c>
      <c r="E5353">
        <f>IF($C5353="","",DATE(YEAR($C5353),MONTH($C5353),1))</f>
        <v/>
      </c>
      <c r="F5353">
        <f>IF($C5353="","",YEAR($C5353)&amp;"-Q"&amp;ROUNDUP(MONTH($C5353)/3,0))</f>
        <v/>
      </c>
      <c r="L5353">
        <f>IF($G5353&lt;&gt;"ALCOHOL","",IF($K5353="","",$H5353*IFERROR(VLOOKUP($K5353,Drink_Templates!$A:$G,7,FALSE),0)))</f>
        <v/>
      </c>
    </row>
    <row r="5354" ht="15" customHeight="1">
      <c r="C5354">
        <f>IF($B5354="","",INT($B5354))</f>
        <v/>
      </c>
      <c r="D5354">
        <f>IF($C5354="","",$C5354-WEEKDAY($C5354,2)+1)</f>
        <v/>
      </c>
      <c r="E5354">
        <f>IF($C5354="","",DATE(YEAR($C5354),MONTH($C5354),1))</f>
        <v/>
      </c>
      <c r="F5354">
        <f>IF($C5354="","",YEAR($C5354)&amp;"-Q"&amp;ROUNDUP(MONTH($C5354)/3,0))</f>
        <v/>
      </c>
      <c r="L5354">
        <f>IF($G5354&lt;&gt;"ALCOHOL","",IF($K5354="","",$H5354*IFERROR(VLOOKUP($K5354,Drink_Templates!$A:$G,7,FALSE),0)))</f>
        <v/>
      </c>
    </row>
    <row r="5355" ht="15" customHeight="1">
      <c r="C5355">
        <f>IF($B5355="","",INT($B5355))</f>
        <v/>
      </c>
      <c r="D5355">
        <f>IF($C5355="","",$C5355-WEEKDAY($C5355,2)+1)</f>
        <v/>
      </c>
      <c r="E5355">
        <f>IF($C5355="","",DATE(YEAR($C5355),MONTH($C5355),1))</f>
        <v/>
      </c>
      <c r="F5355">
        <f>IF($C5355="","",YEAR($C5355)&amp;"-Q"&amp;ROUNDUP(MONTH($C5355)/3,0))</f>
        <v/>
      </c>
      <c r="L5355">
        <f>IF($G5355&lt;&gt;"ALCOHOL","",IF($K5355="","",$H5355*IFERROR(VLOOKUP($K5355,Drink_Templates!$A:$G,7,FALSE),0)))</f>
        <v/>
      </c>
    </row>
    <row r="5356" ht="15" customHeight="1">
      <c r="C5356">
        <f>IF($B5356="","",INT($B5356))</f>
        <v/>
      </c>
      <c r="D5356">
        <f>IF($C5356="","",$C5356-WEEKDAY($C5356,2)+1)</f>
        <v/>
      </c>
      <c r="E5356">
        <f>IF($C5356="","",DATE(YEAR($C5356),MONTH($C5356),1))</f>
        <v/>
      </c>
      <c r="F5356">
        <f>IF($C5356="","",YEAR($C5356)&amp;"-Q"&amp;ROUNDUP(MONTH($C5356)/3,0))</f>
        <v/>
      </c>
      <c r="L5356">
        <f>IF($G5356&lt;&gt;"ALCOHOL","",IF($K5356="","",$H5356*IFERROR(VLOOKUP($K5356,Drink_Templates!$A:$G,7,FALSE),0)))</f>
        <v/>
      </c>
    </row>
    <row r="5357" ht="15" customHeight="1">
      <c r="C5357">
        <f>IF($B5357="","",INT($B5357))</f>
        <v/>
      </c>
      <c r="D5357">
        <f>IF($C5357="","",$C5357-WEEKDAY($C5357,2)+1)</f>
        <v/>
      </c>
      <c r="E5357">
        <f>IF($C5357="","",DATE(YEAR($C5357),MONTH($C5357),1))</f>
        <v/>
      </c>
      <c r="F5357">
        <f>IF($C5357="","",YEAR($C5357)&amp;"-Q"&amp;ROUNDUP(MONTH($C5357)/3,0))</f>
        <v/>
      </c>
      <c r="L5357">
        <f>IF($G5357&lt;&gt;"ALCOHOL","",IF($K5357="","",$H5357*IFERROR(VLOOKUP($K5357,Drink_Templates!$A:$G,7,FALSE),0)))</f>
        <v/>
      </c>
    </row>
    <row r="5358" ht="15" customHeight="1">
      <c r="C5358">
        <f>IF($B5358="","",INT($B5358))</f>
        <v/>
      </c>
      <c r="D5358">
        <f>IF($C5358="","",$C5358-WEEKDAY($C5358,2)+1)</f>
        <v/>
      </c>
      <c r="E5358">
        <f>IF($C5358="","",DATE(YEAR($C5358),MONTH($C5358),1))</f>
        <v/>
      </c>
      <c r="F5358">
        <f>IF($C5358="","",YEAR($C5358)&amp;"-Q"&amp;ROUNDUP(MONTH($C5358)/3,0))</f>
        <v/>
      </c>
      <c r="L5358">
        <f>IF($G5358&lt;&gt;"ALCOHOL","",IF($K5358="","",$H5358*IFERROR(VLOOKUP($K5358,Drink_Templates!$A:$G,7,FALSE),0)))</f>
        <v/>
      </c>
    </row>
    <row r="5359" ht="15" customHeight="1">
      <c r="C5359">
        <f>IF($B5359="","",INT($B5359))</f>
        <v/>
      </c>
      <c r="D5359">
        <f>IF($C5359="","",$C5359-WEEKDAY($C5359,2)+1)</f>
        <v/>
      </c>
      <c r="E5359">
        <f>IF($C5359="","",DATE(YEAR($C5359),MONTH($C5359),1))</f>
        <v/>
      </c>
      <c r="F5359">
        <f>IF($C5359="","",YEAR($C5359)&amp;"-Q"&amp;ROUNDUP(MONTH($C5359)/3,0))</f>
        <v/>
      </c>
      <c r="L5359">
        <f>IF($G5359&lt;&gt;"ALCOHOL","",IF($K5359="","",$H5359*IFERROR(VLOOKUP($K5359,Drink_Templates!$A:$G,7,FALSE),0)))</f>
        <v/>
      </c>
    </row>
    <row r="5360" ht="15" customHeight="1">
      <c r="C5360">
        <f>IF($B5360="","",INT($B5360))</f>
        <v/>
      </c>
      <c r="D5360">
        <f>IF($C5360="","",$C5360-WEEKDAY($C5360,2)+1)</f>
        <v/>
      </c>
      <c r="E5360">
        <f>IF($C5360="","",DATE(YEAR($C5360),MONTH($C5360),1))</f>
        <v/>
      </c>
      <c r="F5360">
        <f>IF($C5360="","",YEAR($C5360)&amp;"-Q"&amp;ROUNDUP(MONTH($C5360)/3,0))</f>
        <v/>
      </c>
      <c r="L5360">
        <f>IF($G5360&lt;&gt;"ALCOHOL","",IF($K5360="","",$H5360*IFERROR(VLOOKUP($K5360,Drink_Templates!$A:$G,7,FALSE),0)))</f>
        <v/>
      </c>
    </row>
    <row r="5361" ht="15" customHeight="1">
      <c r="C5361">
        <f>IF($B5361="","",INT($B5361))</f>
        <v/>
      </c>
      <c r="D5361">
        <f>IF($C5361="","",$C5361-WEEKDAY($C5361,2)+1)</f>
        <v/>
      </c>
      <c r="E5361">
        <f>IF($C5361="","",DATE(YEAR($C5361),MONTH($C5361),1))</f>
        <v/>
      </c>
      <c r="F5361">
        <f>IF($C5361="","",YEAR($C5361)&amp;"-Q"&amp;ROUNDUP(MONTH($C5361)/3,0))</f>
        <v/>
      </c>
      <c r="L5361">
        <f>IF($G5361&lt;&gt;"ALCOHOL","",IF($K5361="","",$H5361*IFERROR(VLOOKUP($K5361,Drink_Templates!$A:$G,7,FALSE),0)))</f>
        <v/>
      </c>
    </row>
    <row r="5362" ht="15" customHeight="1">
      <c r="C5362">
        <f>IF($B5362="","",INT($B5362))</f>
        <v/>
      </c>
      <c r="D5362">
        <f>IF($C5362="","",$C5362-WEEKDAY($C5362,2)+1)</f>
        <v/>
      </c>
      <c r="E5362">
        <f>IF($C5362="","",DATE(YEAR($C5362),MONTH($C5362),1))</f>
        <v/>
      </c>
      <c r="F5362">
        <f>IF($C5362="","",YEAR($C5362)&amp;"-Q"&amp;ROUNDUP(MONTH($C5362)/3,0))</f>
        <v/>
      </c>
      <c r="L5362">
        <f>IF($G5362&lt;&gt;"ALCOHOL","",IF($K5362="","",$H5362*IFERROR(VLOOKUP($K5362,Drink_Templates!$A:$G,7,FALSE),0)))</f>
        <v/>
      </c>
    </row>
    <row r="5363" ht="15" customHeight="1">
      <c r="C5363">
        <f>IF($B5363="","",INT($B5363))</f>
        <v/>
      </c>
      <c r="D5363">
        <f>IF($C5363="","",$C5363-WEEKDAY($C5363,2)+1)</f>
        <v/>
      </c>
      <c r="E5363">
        <f>IF($C5363="","",DATE(YEAR($C5363),MONTH($C5363),1))</f>
        <v/>
      </c>
      <c r="F5363">
        <f>IF($C5363="","",YEAR($C5363)&amp;"-Q"&amp;ROUNDUP(MONTH($C5363)/3,0))</f>
        <v/>
      </c>
      <c r="L5363">
        <f>IF($G5363&lt;&gt;"ALCOHOL","",IF($K5363="","",$H5363*IFERROR(VLOOKUP($K5363,Drink_Templates!$A:$G,7,FALSE),0)))</f>
        <v/>
      </c>
    </row>
    <row r="5364" ht="15" customHeight="1">
      <c r="C5364">
        <f>IF($B5364="","",INT($B5364))</f>
        <v/>
      </c>
      <c r="D5364">
        <f>IF($C5364="","",$C5364-WEEKDAY($C5364,2)+1)</f>
        <v/>
      </c>
      <c r="E5364">
        <f>IF($C5364="","",DATE(YEAR($C5364),MONTH($C5364),1))</f>
        <v/>
      </c>
      <c r="F5364">
        <f>IF($C5364="","",YEAR($C5364)&amp;"-Q"&amp;ROUNDUP(MONTH($C5364)/3,0))</f>
        <v/>
      </c>
      <c r="L5364">
        <f>IF($G5364&lt;&gt;"ALCOHOL","",IF($K5364="","",$H5364*IFERROR(VLOOKUP($K5364,Drink_Templates!$A:$G,7,FALSE),0)))</f>
        <v/>
      </c>
    </row>
    <row r="5365" ht="15" customHeight="1">
      <c r="C5365">
        <f>IF($B5365="","",INT($B5365))</f>
        <v/>
      </c>
      <c r="D5365">
        <f>IF($C5365="","",$C5365-WEEKDAY($C5365,2)+1)</f>
        <v/>
      </c>
      <c r="E5365">
        <f>IF($C5365="","",DATE(YEAR($C5365),MONTH($C5365),1))</f>
        <v/>
      </c>
      <c r="F5365">
        <f>IF($C5365="","",YEAR($C5365)&amp;"-Q"&amp;ROUNDUP(MONTH($C5365)/3,0))</f>
        <v/>
      </c>
      <c r="L5365">
        <f>IF($G5365&lt;&gt;"ALCOHOL","",IF($K5365="","",$H5365*IFERROR(VLOOKUP($K5365,Drink_Templates!$A:$G,7,FALSE),0)))</f>
        <v/>
      </c>
    </row>
    <row r="5366" ht="15" customHeight="1">
      <c r="C5366">
        <f>IF($B5366="","",INT($B5366))</f>
        <v/>
      </c>
      <c r="D5366">
        <f>IF($C5366="","",$C5366-WEEKDAY($C5366,2)+1)</f>
        <v/>
      </c>
      <c r="E5366">
        <f>IF($C5366="","",DATE(YEAR($C5366),MONTH($C5366),1))</f>
        <v/>
      </c>
      <c r="F5366">
        <f>IF($C5366="","",YEAR($C5366)&amp;"-Q"&amp;ROUNDUP(MONTH($C5366)/3,0))</f>
        <v/>
      </c>
      <c r="L5366">
        <f>IF($G5366&lt;&gt;"ALCOHOL","",IF($K5366="","",$H5366*IFERROR(VLOOKUP($K5366,Drink_Templates!$A:$G,7,FALSE),0)))</f>
        <v/>
      </c>
    </row>
    <row r="5367" ht="15" customHeight="1">
      <c r="C5367">
        <f>IF($B5367="","",INT($B5367))</f>
        <v/>
      </c>
      <c r="D5367">
        <f>IF($C5367="","",$C5367-WEEKDAY($C5367,2)+1)</f>
        <v/>
      </c>
      <c r="E5367">
        <f>IF($C5367="","",DATE(YEAR($C5367),MONTH($C5367),1))</f>
        <v/>
      </c>
      <c r="F5367">
        <f>IF($C5367="","",YEAR($C5367)&amp;"-Q"&amp;ROUNDUP(MONTH($C5367)/3,0))</f>
        <v/>
      </c>
      <c r="L5367">
        <f>IF($G5367&lt;&gt;"ALCOHOL","",IF($K5367="","",$H5367*IFERROR(VLOOKUP($K5367,Drink_Templates!$A:$G,7,FALSE),0)))</f>
        <v/>
      </c>
    </row>
    <row r="5368" ht="15" customHeight="1">
      <c r="C5368">
        <f>IF($B5368="","",INT($B5368))</f>
        <v/>
      </c>
      <c r="D5368">
        <f>IF($C5368="","",$C5368-WEEKDAY($C5368,2)+1)</f>
        <v/>
      </c>
      <c r="E5368">
        <f>IF($C5368="","",DATE(YEAR($C5368),MONTH($C5368),1))</f>
        <v/>
      </c>
      <c r="F5368">
        <f>IF($C5368="","",YEAR($C5368)&amp;"-Q"&amp;ROUNDUP(MONTH($C5368)/3,0))</f>
        <v/>
      </c>
      <c r="L5368">
        <f>IF($G5368&lt;&gt;"ALCOHOL","",IF($K5368="","",$H5368*IFERROR(VLOOKUP($K5368,Drink_Templates!$A:$G,7,FALSE),0)))</f>
        <v/>
      </c>
    </row>
    <row r="5369" ht="15" customHeight="1">
      <c r="C5369">
        <f>IF($B5369="","",INT($B5369))</f>
        <v/>
      </c>
      <c r="D5369">
        <f>IF($C5369="","",$C5369-WEEKDAY($C5369,2)+1)</f>
        <v/>
      </c>
      <c r="E5369">
        <f>IF($C5369="","",DATE(YEAR($C5369),MONTH($C5369),1))</f>
        <v/>
      </c>
      <c r="F5369">
        <f>IF($C5369="","",YEAR($C5369)&amp;"-Q"&amp;ROUNDUP(MONTH($C5369)/3,0))</f>
        <v/>
      </c>
      <c r="L5369">
        <f>IF($G5369&lt;&gt;"ALCOHOL","",IF($K5369="","",$H5369*IFERROR(VLOOKUP($K5369,Drink_Templates!$A:$G,7,FALSE),0)))</f>
        <v/>
      </c>
    </row>
    <row r="5370" ht="15" customHeight="1">
      <c r="C5370">
        <f>IF($B5370="","",INT($B5370))</f>
        <v/>
      </c>
      <c r="D5370">
        <f>IF($C5370="","",$C5370-WEEKDAY($C5370,2)+1)</f>
        <v/>
      </c>
      <c r="E5370">
        <f>IF($C5370="","",DATE(YEAR($C5370),MONTH($C5370),1))</f>
        <v/>
      </c>
      <c r="F5370">
        <f>IF($C5370="","",YEAR($C5370)&amp;"-Q"&amp;ROUNDUP(MONTH($C5370)/3,0))</f>
        <v/>
      </c>
      <c r="L5370">
        <f>IF($G5370&lt;&gt;"ALCOHOL","",IF($K5370="","",$H5370*IFERROR(VLOOKUP($K5370,Drink_Templates!$A:$G,7,FALSE),0)))</f>
        <v/>
      </c>
    </row>
    <row r="5371" ht="15" customHeight="1">
      <c r="C5371">
        <f>IF($B5371="","",INT($B5371))</f>
        <v/>
      </c>
      <c r="D5371">
        <f>IF($C5371="","",$C5371-WEEKDAY($C5371,2)+1)</f>
        <v/>
      </c>
      <c r="E5371">
        <f>IF($C5371="","",DATE(YEAR($C5371),MONTH($C5371),1))</f>
        <v/>
      </c>
      <c r="F5371">
        <f>IF($C5371="","",YEAR($C5371)&amp;"-Q"&amp;ROUNDUP(MONTH($C5371)/3,0))</f>
        <v/>
      </c>
      <c r="L5371">
        <f>IF($G5371&lt;&gt;"ALCOHOL","",IF($K5371="","",$H5371*IFERROR(VLOOKUP($K5371,Drink_Templates!$A:$G,7,FALSE),0)))</f>
        <v/>
      </c>
    </row>
    <row r="5372" ht="15" customHeight="1">
      <c r="C5372">
        <f>IF($B5372="","",INT($B5372))</f>
        <v/>
      </c>
      <c r="D5372">
        <f>IF($C5372="","",$C5372-WEEKDAY($C5372,2)+1)</f>
        <v/>
      </c>
      <c r="E5372">
        <f>IF($C5372="","",DATE(YEAR($C5372),MONTH($C5372),1))</f>
        <v/>
      </c>
      <c r="F5372">
        <f>IF($C5372="","",YEAR($C5372)&amp;"-Q"&amp;ROUNDUP(MONTH($C5372)/3,0))</f>
        <v/>
      </c>
      <c r="L5372">
        <f>IF($G5372&lt;&gt;"ALCOHOL","",IF($K5372="","",$H5372*IFERROR(VLOOKUP($K5372,Drink_Templates!$A:$G,7,FALSE),0)))</f>
        <v/>
      </c>
    </row>
    <row r="5373" ht="15" customHeight="1">
      <c r="C5373">
        <f>IF($B5373="","",INT($B5373))</f>
        <v/>
      </c>
      <c r="D5373">
        <f>IF($C5373="","",$C5373-WEEKDAY($C5373,2)+1)</f>
        <v/>
      </c>
      <c r="E5373">
        <f>IF($C5373="","",DATE(YEAR($C5373),MONTH($C5373),1))</f>
        <v/>
      </c>
      <c r="F5373">
        <f>IF($C5373="","",YEAR($C5373)&amp;"-Q"&amp;ROUNDUP(MONTH($C5373)/3,0))</f>
        <v/>
      </c>
      <c r="L5373">
        <f>IF($G5373&lt;&gt;"ALCOHOL","",IF($K5373="","",$H5373*IFERROR(VLOOKUP($K5373,Drink_Templates!$A:$G,7,FALSE),0)))</f>
        <v/>
      </c>
    </row>
    <row r="5374" ht="15" customHeight="1">
      <c r="C5374">
        <f>IF($B5374="","",INT($B5374))</f>
        <v/>
      </c>
      <c r="D5374">
        <f>IF($C5374="","",$C5374-WEEKDAY($C5374,2)+1)</f>
        <v/>
      </c>
      <c r="E5374">
        <f>IF($C5374="","",DATE(YEAR($C5374),MONTH($C5374),1))</f>
        <v/>
      </c>
      <c r="F5374">
        <f>IF($C5374="","",YEAR($C5374)&amp;"-Q"&amp;ROUNDUP(MONTH($C5374)/3,0))</f>
        <v/>
      </c>
      <c r="L5374">
        <f>IF($G5374&lt;&gt;"ALCOHOL","",IF($K5374="","",$H5374*IFERROR(VLOOKUP($K5374,Drink_Templates!$A:$G,7,FALSE),0)))</f>
        <v/>
      </c>
    </row>
    <row r="5375" ht="15" customHeight="1">
      <c r="C5375">
        <f>IF($B5375="","",INT($B5375))</f>
        <v/>
      </c>
      <c r="D5375">
        <f>IF($C5375="","",$C5375-WEEKDAY($C5375,2)+1)</f>
        <v/>
      </c>
      <c r="E5375">
        <f>IF($C5375="","",DATE(YEAR($C5375),MONTH($C5375),1))</f>
        <v/>
      </c>
      <c r="F5375">
        <f>IF($C5375="","",YEAR($C5375)&amp;"-Q"&amp;ROUNDUP(MONTH($C5375)/3,0))</f>
        <v/>
      </c>
      <c r="L5375">
        <f>IF($G5375&lt;&gt;"ALCOHOL","",IF($K5375="","",$H5375*IFERROR(VLOOKUP($K5375,Drink_Templates!$A:$G,7,FALSE),0)))</f>
        <v/>
      </c>
    </row>
    <row r="5376" ht="15" customHeight="1">
      <c r="C5376">
        <f>IF($B5376="","",INT($B5376))</f>
        <v/>
      </c>
      <c r="D5376">
        <f>IF($C5376="","",$C5376-WEEKDAY($C5376,2)+1)</f>
        <v/>
      </c>
      <c r="E5376">
        <f>IF($C5376="","",DATE(YEAR($C5376),MONTH($C5376),1))</f>
        <v/>
      </c>
      <c r="F5376">
        <f>IF($C5376="","",YEAR($C5376)&amp;"-Q"&amp;ROUNDUP(MONTH($C5376)/3,0))</f>
        <v/>
      </c>
      <c r="L5376">
        <f>IF($G5376&lt;&gt;"ALCOHOL","",IF($K5376="","",$H5376*IFERROR(VLOOKUP($K5376,Drink_Templates!$A:$G,7,FALSE),0)))</f>
        <v/>
      </c>
    </row>
    <row r="5377" ht="15" customHeight="1">
      <c r="C5377">
        <f>IF($B5377="","",INT($B5377))</f>
        <v/>
      </c>
      <c r="D5377">
        <f>IF($C5377="","",$C5377-WEEKDAY($C5377,2)+1)</f>
        <v/>
      </c>
      <c r="E5377">
        <f>IF($C5377="","",DATE(YEAR($C5377),MONTH($C5377),1))</f>
        <v/>
      </c>
      <c r="F5377">
        <f>IF($C5377="","",YEAR($C5377)&amp;"-Q"&amp;ROUNDUP(MONTH($C5377)/3,0))</f>
        <v/>
      </c>
      <c r="L5377">
        <f>IF($G5377&lt;&gt;"ALCOHOL","",IF($K5377="","",$H5377*IFERROR(VLOOKUP($K5377,Drink_Templates!$A:$G,7,FALSE),0)))</f>
        <v/>
      </c>
    </row>
    <row r="5378" ht="15" customHeight="1">
      <c r="C5378">
        <f>IF($B5378="","",INT($B5378))</f>
        <v/>
      </c>
      <c r="D5378">
        <f>IF($C5378="","",$C5378-WEEKDAY($C5378,2)+1)</f>
        <v/>
      </c>
      <c r="E5378">
        <f>IF($C5378="","",DATE(YEAR($C5378),MONTH($C5378),1))</f>
        <v/>
      </c>
      <c r="F5378">
        <f>IF($C5378="","",YEAR($C5378)&amp;"-Q"&amp;ROUNDUP(MONTH($C5378)/3,0))</f>
        <v/>
      </c>
      <c r="L5378">
        <f>IF($G5378&lt;&gt;"ALCOHOL","",IF($K5378="","",$H5378*IFERROR(VLOOKUP($K5378,Drink_Templates!$A:$G,7,FALSE),0)))</f>
        <v/>
      </c>
    </row>
    <row r="5379" ht="15" customHeight="1">
      <c r="C5379">
        <f>IF($B5379="","",INT($B5379))</f>
        <v/>
      </c>
      <c r="D5379">
        <f>IF($C5379="","",$C5379-WEEKDAY($C5379,2)+1)</f>
        <v/>
      </c>
      <c r="E5379">
        <f>IF($C5379="","",DATE(YEAR($C5379),MONTH($C5379),1))</f>
        <v/>
      </c>
      <c r="F5379">
        <f>IF($C5379="","",YEAR($C5379)&amp;"-Q"&amp;ROUNDUP(MONTH($C5379)/3,0))</f>
        <v/>
      </c>
      <c r="L5379">
        <f>IF($G5379&lt;&gt;"ALCOHOL","",IF($K5379="","",$H5379*IFERROR(VLOOKUP($K5379,Drink_Templates!$A:$G,7,FALSE),0)))</f>
        <v/>
      </c>
    </row>
    <row r="5380" ht="15" customHeight="1">
      <c r="C5380">
        <f>IF($B5380="","",INT($B5380))</f>
        <v/>
      </c>
      <c r="D5380">
        <f>IF($C5380="","",$C5380-WEEKDAY($C5380,2)+1)</f>
        <v/>
      </c>
      <c r="E5380">
        <f>IF($C5380="","",DATE(YEAR($C5380),MONTH($C5380),1))</f>
        <v/>
      </c>
      <c r="F5380">
        <f>IF($C5380="","",YEAR($C5380)&amp;"-Q"&amp;ROUNDUP(MONTH($C5380)/3,0))</f>
        <v/>
      </c>
      <c r="L5380">
        <f>IF($G5380&lt;&gt;"ALCOHOL","",IF($K5380="","",$H5380*IFERROR(VLOOKUP($K5380,Drink_Templates!$A:$G,7,FALSE),0)))</f>
        <v/>
      </c>
    </row>
    <row r="5381" ht="15" customHeight="1">
      <c r="C5381">
        <f>IF($B5381="","",INT($B5381))</f>
        <v/>
      </c>
      <c r="D5381">
        <f>IF($C5381="","",$C5381-WEEKDAY($C5381,2)+1)</f>
        <v/>
      </c>
      <c r="E5381">
        <f>IF($C5381="","",DATE(YEAR($C5381),MONTH($C5381),1))</f>
        <v/>
      </c>
      <c r="F5381">
        <f>IF($C5381="","",YEAR($C5381)&amp;"-Q"&amp;ROUNDUP(MONTH($C5381)/3,0))</f>
        <v/>
      </c>
      <c r="L5381">
        <f>IF($G5381&lt;&gt;"ALCOHOL","",IF($K5381="","",$H5381*IFERROR(VLOOKUP($K5381,Drink_Templates!$A:$G,7,FALSE),0)))</f>
        <v/>
      </c>
    </row>
    <row r="5382" ht="15" customHeight="1">
      <c r="C5382">
        <f>IF($B5382="","",INT($B5382))</f>
        <v/>
      </c>
      <c r="D5382">
        <f>IF($C5382="","",$C5382-WEEKDAY($C5382,2)+1)</f>
        <v/>
      </c>
      <c r="E5382">
        <f>IF($C5382="","",DATE(YEAR($C5382),MONTH($C5382),1))</f>
        <v/>
      </c>
      <c r="F5382">
        <f>IF($C5382="","",YEAR($C5382)&amp;"-Q"&amp;ROUNDUP(MONTH($C5382)/3,0))</f>
        <v/>
      </c>
      <c r="L5382">
        <f>IF($G5382&lt;&gt;"ALCOHOL","",IF($K5382="","",$H5382*IFERROR(VLOOKUP($K5382,Drink_Templates!$A:$G,7,FALSE),0)))</f>
        <v/>
      </c>
    </row>
    <row r="5383" ht="15" customHeight="1">
      <c r="C5383">
        <f>IF($B5383="","",INT($B5383))</f>
        <v/>
      </c>
      <c r="D5383">
        <f>IF($C5383="","",$C5383-WEEKDAY($C5383,2)+1)</f>
        <v/>
      </c>
      <c r="E5383">
        <f>IF($C5383="","",DATE(YEAR($C5383),MONTH($C5383),1))</f>
        <v/>
      </c>
      <c r="F5383">
        <f>IF($C5383="","",YEAR($C5383)&amp;"-Q"&amp;ROUNDUP(MONTH($C5383)/3,0))</f>
        <v/>
      </c>
      <c r="L5383">
        <f>IF($G5383&lt;&gt;"ALCOHOL","",IF($K5383="","",$H5383*IFERROR(VLOOKUP($K5383,Drink_Templates!$A:$G,7,FALSE),0)))</f>
        <v/>
      </c>
    </row>
    <row r="5384" ht="15" customHeight="1">
      <c r="C5384">
        <f>IF($B5384="","",INT($B5384))</f>
        <v/>
      </c>
      <c r="D5384">
        <f>IF($C5384="","",$C5384-WEEKDAY($C5384,2)+1)</f>
        <v/>
      </c>
      <c r="E5384">
        <f>IF($C5384="","",DATE(YEAR($C5384),MONTH($C5384),1))</f>
        <v/>
      </c>
      <c r="F5384">
        <f>IF($C5384="","",YEAR($C5384)&amp;"-Q"&amp;ROUNDUP(MONTH($C5384)/3,0))</f>
        <v/>
      </c>
      <c r="L5384">
        <f>IF($G5384&lt;&gt;"ALCOHOL","",IF($K5384="","",$H5384*IFERROR(VLOOKUP($K5384,Drink_Templates!$A:$G,7,FALSE),0)))</f>
        <v/>
      </c>
    </row>
    <row r="5385" ht="15" customHeight="1">
      <c r="C5385">
        <f>IF($B5385="","",INT($B5385))</f>
        <v/>
      </c>
      <c r="D5385">
        <f>IF($C5385="","",$C5385-WEEKDAY($C5385,2)+1)</f>
        <v/>
      </c>
      <c r="E5385">
        <f>IF($C5385="","",DATE(YEAR($C5385),MONTH($C5385),1))</f>
        <v/>
      </c>
      <c r="F5385">
        <f>IF($C5385="","",YEAR($C5385)&amp;"-Q"&amp;ROUNDUP(MONTH($C5385)/3,0))</f>
        <v/>
      </c>
      <c r="L5385">
        <f>IF($G5385&lt;&gt;"ALCOHOL","",IF($K5385="","",$H5385*IFERROR(VLOOKUP($K5385,Drink_Templates!$A:$G,7,FALSE),0)))</f>
        <v/>
      </c>
    </row>
    <row r="5386" ht="15" customHeight="1">
      <c r="C5386">
        <f>IF($B5386="","",INT($B5386))</f>
        <v/>
      </c>
      <c r="D5386">
        <f>IF($C5386="","",$C5386-WEEKDAY($C5386,2)+1)</f>
        <v/>
      </c>
      <c r="E5386">
        <f>IF($C5386="","",DATE(YEAR($C5386),MONTH($C5386),1))</f>
        <v/>
      </c>
      <c r="F5386">
        <f>IF($C5386="","",YEAR($C5386)&amp;"-Q"&amp;ROUNDUP(MONTH($C5386)/3,0))</f>
        <v/>
      </c>
      <c r="L5386">
        <f>IF($G5386&lt;&gt;"ALCOHOL","",IF($K5386="","",$H5386*IFERROR(VLOOKUP($K5386,Drink_Templates!$A:$G,7,FALSE),0)))</f>
        <v/>
      </c>
    </row>
    <row r="5387" ht="15" customHeight="1">
      <c r="C5387">
        <f>IF($B5387="","",INT($B5387))</f>
        <v/>
      </c>
      <c r="D5387">
        <f>IF($C5387="","",$C5387-WEEKDAY($C5387,2)+1)</f>
        <v/>
      </c>
      <c r="E5387">
        <f>IF($C5387="","",DATE(YEAR($C5387),MONTH($C5387),1))</f>
        <v/>
      </c>
      <c r="F5387">
        <f>IF($C5387="","",YEAR($C5387)&amp;"-Q"&amp;ROUNDUP(MONTH($C5387)/3,0))</f>
        <v/>
      </c>
      <c r="L5387">
        <f>IF($G5387&lt;&gt;"ALCOHOL","",IF($K5387="","",$H5387*IFERROR(VLOOKUP($K5387,Drink_Templates!$A:$G,7,FALSE),0)))</f>
        <v/>
      </c>
    </row>
    <row r="5388" ht="15" customHeight="1">
      <c r="C5388">
        <f>IF($B5388="","",INT($B5388))</f>
        <v/>
      </c>
      <c r="D5388">
        <f>IF($C5388="","",$C5388-WEEKDAY($C5388,2)+1)</f>
        <v/>
      </c>
      <c r="E5388">
        <f>IF($C5388="","",DATE(YEAR($C5388),MONTH($C5388),1))</f>
        <v/>
      </c>
      <c r="F5388">
        <f>IF($C5388="","",YEAR($C5388)&amp;"-Q"&amp;ROUNDUP(MONTH($C5388)/3,0))</f>
        <v/>
      </c>
      <c r="L5388">
        <f>IF($G5388&lt;&gt;"ALCOHOL","",IF($K5388="","",$H5388*IFERROR(VLOOKUP($K5388,Drink_Templates!$A:$G,7,FALSE),0)))</f>
        <v/>
      </c>
    </row>
    <row r="5389" ht="15" customHeight="1">
      <c r="C5389">
        <f>IF($B5389="","",INT($B5389))</f>
        <v/>
      </c>
      <c r="D5389">
        <f>IF($C5389="","",$C5389-WEEKDAY($C5389,2)+1)</f>
        <v/>
      </c>
      <c r="E5389">
        <f>IF($C5389="","",DATE(YEAR($C5389),MONTH($C5389),1))</f>
        <v/>
      </c>
      <c r="F5389">
        <f>IF($C5389="","",YEAR($C5389)&amp;"-Q"&amp;ROUNDUP(MONTH($C5389)/3,0))</f>
        <v/>
      </c>
      <c r="L5389">
        <f>IF($G5389&lt;&gt;"ALCOHOL","",IF($K5389="","",$H5389*IFERROR(VLOOKUP($K5389,Drink_Templates!$A:$G,7,FALSE),0)))</f>
        <v/>
      </c>
    </row>
    <row r="5390" ht="15" customHeight="1">
      <c r="C5390">
        <f>IF($B5390="","",INT($B5390))</f>
        <v/>
      </c>
      <c r="D5390">
        <f>IF($C5390="","",$C5390-WEEKDAY($C5390,2)+1)</f>
        <v/>
      </c>
      <c r="E5390">
        <f>IF($C5390="","",DATE(YEAR($C5390),MONTH($C5390),1))</f>
        <v/>
      </c>
      <c r="F5390">
        <f>IF($C5390="","",YEAR($C5390)&amp;"-Q"&amp;ROUNDUP(MONTH($C5390)/3,0))</f>
        <v/>
      </c>
      <c r="L5390">
        <f>IF($G5390&lt;&gt;"ALCOHOL","",IF($K5390="","",$H5390*IFERROR(VLOOKUP($K5390,Drink_Templates!$A:$G,7,FALSE),0)))</f>
        <v/>
      </c>
    </row>
    <row r="5391" ht="15" customHeight="1">
      <c r="C5391">
        <f>IF($B5391="","",INT($B5391))</f>
        <v/>
      </c>
      <c r="D5391">
        <f>IF($C5391="","",$C5391-WEEKDAY($C5391,2)+1)</f>
        <v/>
      </c>
      <c r="E5391">
        <f>IF($C5391="","",DATE(YEAR($C5391),MONTH($C5391),1))</f>
        <v/>
      </c>
      <c r="F5391">
        <f>IF($C5391="","",YEAR($C5391)&amp;"-Q"&amp;ROUNDUP(MONTH($C5391)/3,0))</f>
        <v/>
      </c>
      <c r="L5391">
        <f>IF($G5391&lt;&gt;"ALCOHOL","",IF($K5391="","",$H5391*IFERROR(VLOOKUP($K5391,Drink_Templates!$A:$G,7,FALSE),0)))</f>
        <v/>
      </c>
    </row>
    <row r="5392" ht="15" customHeight="1">
      <c r="C5392">
        <f>IF($B5392="","",INT($B5392))</f>
        <v/>
      </c>
      <c r="D5392">
        <f>IF($C5392="","",$C5392-WEEKDAY($C5392,2)+1)</f>
        <v/>
      </c>
      <c r="E5392">
        <f>IF($C5392="","",DATE(YEAR($C5392),MONTH($C5392),1))</f>
        <v/>
      </c>
      <c r="F5392">
        <f>IF($C5392="","",YEAR($C5392)&amp;"-Q"&amp;ROUNDUP(MONTH($C5392)/3,0))</f>
        <v/>
      </c>
      <c r="L5392">
        <f>IF($G5392&lt;&gt;"ALCOHOL","",IF($K5392="","",$H5392*IFERROR(VLOOKUP($K5392,Drink_Templates!$A:$G,7,FALSE),0)))</f>
        <v/>
      </c>
    </row>
    <row r="5393" ht="15" customHeight="1">
      <c r="C5393">
        <f>IF($B5393="","",INT($B5393))</f>
        <v/>
      </c>
      <c r="D5393">
        <f>IF($C5393="","",$C5393-WEEKDAY($C5393,2)+1)</f>
        <v/>
      </c>
      <c r="E5393">
        <f>IF($C5393="","",DATE(YEAR($C5393),MONTH($C5393),1))</f>
        <v/>
      </c>
      <c r="F5393">
        <f>IF($C5393="","",YEAR($C5393)&amp;"-Q"&amp;ROUNDUP(MONTH($C5393)/3,0))</f>
        <v/>
      </c>
      <c r="L5393">
        <f>IF($G5393&lt;&gt;"ALCOHOL","",IF($K5393="","",$H5393*IFERROR(VLOOKUP($K5393,Drink_Templates!$A:$G,7,FALSE),0)))</f>
        <v/>
      </c>
    </row>
    <row r="5394" ht="15" customHeight="1">
      <c r="C5394">
        <f>IF($B5394="","",INT($B5394))</f>
        <v/>
      </c>
      <c r="D5394">
        <f>IF($C5394="","",$C5394-WEEKDAY($C5394,2)+1)</f>
        <v/>
      </c>
      <c r="E5394">
        <f>IF($C5394="","",DATE(YEAR($C5394),MONTH($C5394),1))</f>
        <v/>
      </c>
      <c r="F5394">
        <f>IF($C5394="","",YEAR($C5394)&amp;"-Q"&amp;ROUNDUP(MONTH($C5394)/3,0))</f>
        <v/>
      </c>
      <c r="L5394">
        <f>IF($G5394&lt;&gt;"ALCOHOL","",IF($K5394="","",$H5394*IFERROR(VLOOKUP($K5394,Drink_Templates!$A:$G,7,FALSE),0)))</f>
        <v/>
      </c>
    </row>
    <row r="5395" ht="15" customHeight="1">
      <c r="C5395">
        <f>IF($B5395="","",INT($B5395))</f>
        <v/>
      </c>
      <c r="D5395">
        <f>IF($C5395="","",$C5395-WEEKDAY($C5395,2)+1)</f>
        <v/>
      </c>
      <c r="E5395">
        <f>IF($C5395="","",DATE(YEAR($C5395),MONTH($C5395),1))</f>
        <v/>
      </c>
      <c r="F5395">
        <f>IF($C5395="","",YEAR($C5395)&amp;"-Q"&amp;ROUNDUP(MONTH($C5395)/3,0))</f>
        <v/>
      </c>
      <c r="L5395">
        <f>IF($G5395&lt;&gt;"ALCOHOL","",IF($K5395="","",$H5395*IFERROR(VLOOKUP($K5395,Drink_Templates!$A:$G,7,FALSE),0)))</f>
        <v/>
      </c>
    </row>
    <row r="5396" ht="15" customHeight="1">
      <c r="C5396">
        <f>IF($B5396="","",INT($B5396))</f>
        <v/>
      </c>
      <c r="D5396">
        <f>IF($C5396="","",$C5396-WEEKDAY($C5396,2)+1)</f>
        <v/>
      </c>
      <c r="E5396">
        <f>IF($C5396="","",DATE(YEAR($C5396),MONTH($C5396),1))</f>
        <v/>
      </c>
      <c r="F5396">
        <f>IF($C5396="","",YEAR($C5396)&amp;"-Q"&amp;ROUNDUP(MONTH($C5396)/3,0))</f>
        <v/>
      </c>
      <c r="L5396">
        <f>IF($G5396&lt;&gt;"ALCOHOL","",IF($K5396="","",$H5396*IFERROR(VLOOKUP($K5396,Drink_Templates!$A:$G,7,FALSE),0)))</f>
        <v/>
      </c>
    </row>
    <row r="5397" ht="15" customHeight="1">
      <c r="C5397">
        <f>IF($B5397="","",INT($B5397))</f>
        <v/>
      </c>
      <c r="D5397">
        <f>IF($C5397="","",$C5397-WEEKDAY($C5397,2)+1)</f>
        <v/>
      </c>
      <c r="E5397">
        <f>IF($C5397="","",DATE(YEAR($C5397),MONTH($C5397),1))</f>
        <v/>
      </c>
      <c r="F5397">
        <f>IF($C5397="","",YEAR($C5397)&amp;"-Q"&amp;ROUNDUP(MONTH($C5397)/3,0))</f>
        <v/>
      </c>
      <c r="L5397">
        <f>IF($G5397&lt;&gt;"ALCOHOL","",IF($K5397="","",$H5397*IFERROR(VLOOKUP($K5397,Drink_Templates!$A:$G,7,FALSE),0)))</f>
        <v/>
      </c>
    </row>
    <row r="5398" ht="15" customHeight="1">
      <c r="C5398">
        <f>IF($B5398="","",INT($B5398))</f>
        <v/>
      </c>
      <c r="D5398">
        <f>IF($C5398="","",$C5398-WEEKDAY($C5398,2)+1)</f>
        <v/>
      </c>
      <c r="E5398">
        <f>IF($C5398="","",DATE(YEAR($C5398),MONTH($C5398),1))</f>
        <v/>
      </c>
      <c r="F5398">
        <f>IF($C5398="","",YEAR($C5398)&amp;"-Q"&amp;ROUNDUP(MONTH($C5398)/3,0))</f>
        <v/>
      </c>
      <c r="L5398">
        <f>IF($G5398&lt;&gt;"ALCOHOL","",IF($K5398="","",$H5398*IFERROR(VLOOKUP($K5398,Drink_Templates!$A:$G,7,FALSE),0)))</f>
        <v/>
      </c>
    </row>
    <row r="5399" ht="15" customHeight="1">
      <c r="C5399">
        <f>IF($B5399="","",INT($B5399))</f>
        <v/>
      </c>
      <c r="D5399">
        <f>IF($C5399="","",$C5399-WEEKDAY($C5399,2)+1)</f>
        <v/>
      </c>
      <c r="E5399">
        <f>IF($C5399="","",DATE(YEAR($C5399),MONTH($C5399),1))</f>
        <v/>
      </c>
      <c r="F5399">
        <f>IF($C5399="","",YEAR($C5399)&amp;"-Q"&amp;ROUNDUP(MONTH($C5399)/3,0))</f>
        <v/>
      </c>
      <c r="L5399">
        <f>IF($G5399&lt;&gt;"ALCOHOL","",IF($K5399="","",$H5399*IFERROR(VLOOKUP($K5399,Drink_Templates!$A:$G,7,FALSE),0)))</f>
        <v/>
      </c>
    </row>
    <row r="5400" ht="15" customHeight="1">
      <c r="C5400">
        <f>IF($B5400="","",INT($B5400))</f>
        <v/>
      </c>
      <c r="D5400">
        <f>IF($C5400="","",$C5400-WEEKDAY($C5400,2)+1)</f>
        <v/>
      </c>
      <c r="E5400">
        <f>IF($C5400="","",DATE(YEAR($C5400),MONTH($C5400),1))</f>
        <v/>
      </c>
      <c r="F5400">
        <f>IF($C5400="","",YEAR($C5400)&amp;"-Q"&amp;ROUNDUP(MONTH($C5400)/3,0))</f>
        <v/>
      </c>
      <c r="L5400">
        <f>IF($G5400&lt;&gt;"ALCOHOL","",IF($K5400="","",$H5400*IFERROR(VLOOKUP($K5400,Drink_Templates!$A:$G,7,FALSE),0)))</f>
        <v/>
      </c>
    </row>
    <row r="5401" ht="15" customHeight="1">
      <c r="C5401">
        <f>IF($B5401="","",INT($B5401))</f>
        <v/>
      </c>
      <c r="D5401">
        <f>IF($C5401="","",$C5401-WEEKDAY($C5401,2)+1)</f>
        <v/>
      </c>
      <c r="E5401">
        <f>IF($C5401="","",DATE(YEAR($C5401),MONTH($C5401),1))</f>
        <v/>
      </c>
      <c r="F5401">
        <f>IF($C5401="","",YEAR($C5401)&amp;"-Q"&amp;ROUNDUP(MONTH($C5401)/3,0))</f>
        <v/>
      </c>
      <c r="L5401">
        <f>IF($G5401&lt;&gt;"ALCOHOL","",IF($K5401="","",$H5401*IFERROR(VLOOKUP($K5401,Drink_Templates!$A:$G,7,FALSE),0)))</f>
        <v/>
      </c>
    </row>
    <row r="5402" ht="15" customHeight="1">
      <c r="C5402">
        <f>IF($B5402="","",INT($B5402))</f>
        <v/>
      </c>
      <c r="D5402">
        <f>IF($C5402="","",$C5402-WEEKDAY($C5402,2)+1)</f>
        <v/>
      </c>
      <c r="E5402">
        <f>IF($C5402="","",DATE(YEAR($C5402),MONTH($C5402),1))</f>
        <v/>
      </c>
      <c r="F5402">
        <f>IF($C5402="","",YEAR($C5402)&amp;"-Q"&amp;ROUNDUP(MONTH($C5402)/3,0))</f>
        <v/>
      </c>
      <c r="L5402">
        <f>IF($G5402&lt;&gt;"ALCOHOL","",IF($K5402="","",$H5402*IFERROR(VLOOKUP($K5402,Drink_Templates!$A:$G,7,FALSE),0)))</f>
        <v/>
      </c>
    </row>
    <row r="5403" ht="15" customHeight="1">
      <c r="C5403">
        <f>IF($B5403="","",INT($B5403))</f>
        <v/>
      </c>
      <c r="D5403">
        <f>IF($C5403="","",$C5403-WEEKDAY($C5403,2)+1)</f>
        <v/>
      </c>
      <c r="E5403">
        <f>IF($C5403="","",DATE(YEAR($C5403),MONTH($C5403),1))</f>
        <v/>
      </c>
      <c r="F5403">
        <f>IF($C5403="","",YEAR($C5403)&amp;"-Q"&amp;ROUNDUP(MONTH($C5403)/3,0))</f>
        <v/>
      </c>
      <c r="L5403">
        <f>IF($G5403&lt;&gt;"ALCOHOL","",IF($K5403="","",$H5403*IFERROR(VLOOKUP($K5403,Drink_Templates!$A:$G,7,FALSE),0)))</f>
        <v/>
      </c>
    </row>
    <row r="5404" ht="15" customHeight="1">
      <c r="C5404">
        <f>IF($B5404="","",INT($B5404))</f>
        <v/>
      </c>
      <c r="D5404">
        <f>IF($C5404="","",$C5404-WEEKDAY($C5404,2)+1)</f>
        <v/>
      </c>
      <c r="E5404">
        <f>IF($C5404="","",DATE(YEAR($C5404),MONTH($C5404),1))</f>
        <v/>
      </c>
      <c r="F5404">
        <f>IF($C5404="","",YEAR($C5404)&amp;"-Q"&amp;ROUNDUP(MONTH($C5404)/3,0))</f>
        <v/>
      </c>
      <c r="L5404">
        <f>IF($G5404&lt;&gt;"ALCOHOL","",IF($K5404="","",$H5404*IFERROR(VLOOKUP($K5404,Drink_Templates!$A:$G,7,FALSE),0)))</f>
        <v/>
      </c>
    </row>
    <row r="5405" ht="15" customHeight="1">
      <c r="C5405">
        <f>IF($B5405="","",INT($B5405))</f>
        <v/>
      </c>
      <c r="D5405">
        <f>IF($C5405="","",$C5405-WEEKDAY($C5405,2)+1)</f>
        <v/>
      </c>
      <c r="E5405">
        <f>IF($C5405="","",DATE(YEAR($C5405),MONTH($C5405),1))</f>
        <v/>
      </c>
      <c r="F5405">
        <f>IF($C5405="","",YEAR($C5405)&amp;"-Q"&amp;ROUNDUP(MONTH($C5405)/3,0))</f>
        <v/>
      </c>
      <c r="L5405">
        <f>IF($G5405&lt;&gt;"ALCOHOL","",IF($K5405="","",$H5405*IFERROR(VLOOKUP($K5405,Drink_Templates!$A:$G,7,FALSE),0)))</f>
        <v/>
      </c>
    </row>
    <row r="5406" ht="15" customHeight="1">
      <c r="C5406">
        <f>IF($B5406="","",INT($B5406))</f>
        <v/>
      </c>
      <c r="D5406">
        <f>IF($C5406="","",$C5406-WEEKDAY($C5406,2)+1)</f>
        <v/>
      </c>
      <c r="E5406">
        <f>IF($C5406="","",DATE(YEAR($C5406),MONTH($C5406),1))</f>
        <v/>
      </c>
      <c r="F5406">
        <f>IF($C5406="","",YEAR($C5406)&amp;"-Q"&amp;ROUNDUP(MONTH($C5406)/3,0))</f>
        <v/>
      </c>
      <c r="L5406">
        <f>IF($G5406&lt;&gt;"ALCOHOL","",IF($K5406="","",$H5406*IFERROR(VLOOKUP($K5406,Drink_Templates!$A:$G,7,FALSE),0)))</f>
        <v/>
      </c>
    </row>
    <row r="5407" ht="15" customHeight="1">
      <c r="C5407">
        <f>IF($B5407="","",INT($B5407))</f>
        <v/>
      </c>
      <c r="D5407">
        <f>IF($C5407="","",$C5407-WEEKDAY($C5407,2)+1)</f>
        <v/>
      </c>
      <c r="E5407">
        <f>IF($C5407="","",DATE(YEAR($C5407),MONTH($C5407),1))</f>
        <v/>
      </c>
      <c r="F5407">
        <f>IF($C5407="","",YEAR($C5407)&amp;"-Q"&amp;ROUNDUP(MONTH($C5407)/3,0))</f>
        <v/>
      </c>
      <c r="L5407">
        <f>IF($G5407&lt;&gt;"ALCOHOL","",IF($K5407="","",$H5407*IFERROR(VLOOKUP($K5407,Drink_Templates!$A:$G,7,FALSE),0)))</f>
        <v/>
      </c>
    </row>
    <row r="5408" ht="15" customHeight="1">
      <c r="C5408">
        <f>IF($B5408="","",INT($B5408))</f>
        <v/>
      </c>
      <c r="D5408">
        <f>IF($C5408="","",$C5408-WEEKDAY($C5408,2)+1)</f>
        <v/>
      </c>
      <c r="E5408">
        <f>IF($C5408="","",DATE(YEAR($C5408),MONTH($C5408),1))</f>
        <v/>
      </c>
      <c r="F5408">
        <f>IF($C5408="","",YEAR($C5408)&amp;"-Q"&amp;ROUNDUP(MONTH($C5408)/3,0))</f>
        <v/>
      </c>
      <c r="L5408">
        <f>IF($G5408&lt;&gt;"ALCOHOL","",IF($K5408="","",$H5408*IFERROR(VLOOKUP($K5408,Drink_Templates!$A:$G,7,FALSE),0)))</f>
        <v/>
      </c>
    </row>
    <row r="5409" ht="15" customHeight="1">
      <c r="C5409">
        <f>IF($B5409="","",INT($B5409))</f>
        <v/>
      </c>
      <c r="D5409">
        <f>IF($C5409="","",$C5409-WEEKDAY($C5409,2)+1)</f>
        <v/>
      </c>
      <c r="E5409">
        <f>IF($C5409="","",DATE(YEAR($C5409),MONTH($C5409),1))</f>
        <v/>
      </c>
      <c r="F5409">
        <f>IF($C5409="","",YEAR($C5409)&amp;"-Q"&amp;ROUNDUP(MONTH($C5409)/3,0))</f>
        <v/>
      </c>
      <c r="L5409">
        <f>IF($G5409&lt;&gt;"ALCOHOL","",IF($K5409="","",$H5409*IFERROR(VLOOKUP($K5409,Drink_Templates!$A:$G,7,FALSE),0)))</f>
        <v/>
      </c>
    </row>
    <row r="5410" ht="15" customHeight="1">
      <c r="C5410">
        <f>IF($B5410="","",INT($B5410))</f>
        <v/>
      </c>
      <c r="D5410">
        <f>IF($C5410="","",$C5410-WEEKDAY($C5410,2)+1)</f>
        <v/>
      </c>
      <c r="E5410">
        <f>IF($C5410="","",DATE(YEAR($C5410),MONTH($C5410),1))</f>
        <v/>
      </c>
      <c r="F5410">
        <f>IF($C5410="","",YEAR($C5410)&amp;"-Q"&amp;ROUNDUP(MONTH($C5410)/3,0))</f>
        <v/>
      </c>
      <c r="L5410">
        <f>IF($G5410&lt;&gt;"ALCOHOL","",IF($K5410="","",$H5410*IFERROR(VLOOKUP($K5410,Drink_Templates!$A:$G,7,FALSE),0)))</f>
        <v/>
      </c>
    </row>
    <row r="5411" ht="15" customHeight="1">
      <c r="C5411">
        <f>IF($B5411="","",INT($B5411))</f>
        <v/>
      </c>
      <c r="D5411">
        <f>IF($C5411="","",$C5411-WEEKDAY($C5411,2)+1)</f>
        <v/>
      </c>
      <c r="E5411">
        <f>IF($C5411="","",DATE(YEAR($C5411),MONTH($C5411),1))</f>
        <v/>
      </c>
      <c r="F5411">
        <f>IF($C5411="","",YEAR($C5411)&amp;"-Q"&amp;ROUNDUP(MONTH($C5411)/3,0))</f>
        <v/>
      </c>
      <c r="L5411">
        <f>IF($G5411&lt;&gt;"ALCOHOL","",IF($K5411="","",$H5411*IFERROR(VLOOKUP($K5411,Drink_Templates!$A:$G,7,FALSE),0)))</f>
        <v/>
      </c>
    </row>
    <row r="5412" ht="15" customHeight="1">
      <c r="C5412">
        <f>IF($B5412="","",INT($B5412))</f>
        <v/>
      </c>
      <c r="D5412">
        <f>IF($C5412="","",$C5412-WEEKDAY($C5412,2)+1)</f>
        <v/>
      </c>
      <c r="E5412">
        <f>IF($C5412="","",DATE(YEAR($C5412),MONTH($C5412),1))</f>
        <v/>
      </c>
      <c r="F5412">
        <f>IF($C5412="","",YEAR($C5412)&amp;"-Q"&amp;ROUNDUP(MONTH($C5412)/3,0))</f>
        <v/>
      </c>
      <c r="L5412">
        <f>IF($G5412&lt;&gt;"ALCOHOL","",IF($K5412="","",$H5412*IFERROR(VLOOKUP($K5412,Drink_Templates!$A:$G,7,FALSE),0)))</f>
        <v/>
      </c>
    </row>
    <row r="5413" ht="15" customHeight="1">
      <c r="C5413">
        <f>IF($B5413="","",INT($B5413))</f>
        <v/>
      </c>
      <c r="D5413">
        <f>IF($C5413="","",$C5413-WEEKDAY($C5413,2)+1)</f>
        <v/>
      </c>
      <c r="E5413">
        <f>IF($C5413="","",DATE(YEAR($C5413),MONTH($C5413),1))</f>
        <v/>
      </c>
      <c r="F5413">
        <f>IF($C5413="","",YEAR($C5413)&amp;"-Q"&amp;ROUNDUP(MONTH($C5413)/3,0))</f>
        <v/>
      </c>
      <c r="L5413">
        <f>IF($G5413&lt;&gt;"ALCOHOL","",IF($K5413="","",$H5413*IFERROR(VLOOKUP($K5413,Drink_Templates!$A:$G,7,FALSE),0)))</f>
        <v/>
      </c>
    </row>
    <row r="5414" ht="15" customHeight="1">
      <c r="C5414">
        <f>IF($B5414="","",INT($B5414))</f>
        <v/>
      </c>
      <c r="D5414">
        <f>IF($C5414="","",$C5414-WEEKDAY($C5414,2)+1)</f>
        <v/>
      </c>
      <c r="E5414">
        <f>IF($C5414="","",DATE(YEAR($C5414),MONTH($C5414),1))</f>
        <v/>
      </c>
      <c r="F5414">
        <f>IF($C5414="","",YEAR($C5414)&amp;"-Q"&amp;ROUNDUP(MONTH($C5414)/3,0))</f>
        <v/>
      </c>
      <c r="L5414">
        <f>IF($G5414&lt;&gt;"ALCOHOL","",IF($K5414="","",$H5414*IFERROR(VLOOKUP($K5414,Drink_Templates!$A:$G,7,FALSE),0)))</f>
        <v/>
      </c>
    </row>
    <row r="5415" ht="15" customHeight="1">
      <c r="C5415">
        <f>IF($B5415="","",INT($B5415))</f>
        <v/>
      </c>
      <c r="D5415">
        <f>IF($C5415="","",$C5415-WEEKDAY($C5415,2)+1)</f>
        <v/>
      </c>
      <c r="E5415">
        <f>IF($C5415="","",DATE(YEAR($C5415),MONTH($C5415),1))</f>
        <v/>
      </c>
      <c r="F5415">
        <f>IF($C5415="","",YEAR($C5415)&amp;"-Q"&amp;ROUNDUP(MONTH($C5415)/3,0))</f>
        <v/>
      </c>
      <c r="L5415">
        <f>IF($G5415&lt;&gt;"ALCOHOL","",IF($K5415="","",$H5415*IFERROR(VLOOKUP($K5415,Drink_Templates!$A:$G,7,FALSE),0)))</f>
        <v/>
      </c>
    </row>
    <row r="5416" ht="15" customHeight="1">
      <c r="C5416">
        <f>IF($B5416="","",INT($B5416))</f>
        <v/>
      </c>
      <c r="D5416">
        <f>IF($C5416="","",$C5416-WEEKDAY($C5416,2)+1)</f>
        <v/>
      </c>
      <c r="E5416">
        <f>IF($C5416="","",DATE(YEAR($C5416),MONTH($C5416),1))</f>
        <v/>
      </c>
      <c r="F5416">
        <f>IF($C5416="","",YEAR($C5416)&amp;"-Q"&amp;ROUNDUP(MONTH($C5416)/3,0))</f>
        <v/>
      </c>
      <c r="L5416">
        <f>IF($G5416&lt;&gt;"ALCOHOL","",IF($K5416="","",$H5416*IFERROR(VLOOKUP($K5416,Drink_Templates!$A:$G,7,FALSE),0)))</f>
        <v/>
      </c>
    </row>
    <row r="5417" ht="15" customHeight="1">
      <c r="C5417">
        <f>IF($B5417="","",INT($B5417))</f>
        <v/>
      </c>
      <c r="D5417">
        <f>IF($C5417="","",$C5417-WEEKDAY($C5417,2)+1)</f>
        <v/>
      </c>
      <c r="E5417">
        <f>IF($C5417="","",DATE(YEAR($C5417),MONTH($C5417),1))</f>
        <v/>
      </c>
      <c r="F5417">
        <f>IF($C5417="","",YEAR($C5417)&amp;"-Q"&amp;ROUNDUP(MONTH($C5417)/3,0))</f>
        <v/>
      </c>
      <c r="L5417">
        <f>IF($G5417&lt;&gt;"ALCOHOL","",IF($K5417="","",$H5417*IFERROR(VLOOKUP($K5417,Drink_Templates!$A:$G,7,FALSE),0)))</f>
        <v/>
      </c>
    </row>
    <row r="5418" ht="15" customHeight="1">
      <c r="C5418">
        <f>IF($B5418="","",INT($B5418))</f>
        <v/>
      </c>
      <c r="D5418">
        <f>IF($C5418="","",$C5418-WEEKDAY($C5418,2)+1)</f>
        <v/>
      </c>
      <c r="E5418">
        <f>IF($C5418="","",DATE(YEAR($C5418),MONTH($C5418),1))</f>
        <v/>
      </c>
      <c r="F5418">
        <f>IF($C5418="","",YEAR($C5418)&amp;"-Q"&amp;ROUNDUP(MONTH($C5418)/3,0))</f>
        <v/>
      </c>
      <c r="L5418">
        <f>IF($G5418&lt;&gt;"ALCOHOL","",IF($K5418="","",$H5418*IFERROR(VLOOKUP($K5418,Drink_Templates!$A:$G,7,FALSE),0)))</f>
        <v/>
      </c>
    </row>
    <row r="5419" ht="15" customHeight="1">
      <c r="C5419">
        <f>IF($B5419="","",INT($B5419))</f>
        <v/>
      </c>
      <c r="D5419">
        <f>IF($C5419="","",$C5419-WEEKDAY($C5419,2)+1)</f>
        <v/>
      </c>
      <c r="E5419">
        <f>IF($C5419="","",DATE(YEAR($C5419),MONTH($C5419),1))</f>
        <v/>
      </c>
      <c r="F5419">
        <f>IF($C5419="","",YEAR($C5419)&amp;"-Q"&amp;ROUNDUP(MONTH($C5419)/3,0))</f>
        <v/>
      </c>
      <c r="L5419">
        <f>IF($G5419&lt;&gt;"ALCOHOL","",IF($K5419="","",$H5419*IFERROR(VLOOKUP($K5419,Drink_Templates!$A:$G,7,FALSE),0)))</f>
        <v/>
      </c>
    </row>
    <row r="5420" ht="15" customHeight="1">
      <c r="C5420">
        <f>IF($B5420="","",INT($B5420))</f>
        <v/>
      </c>
      <c r="D5420">
        <f>IF($C5420="","",$C5420-WEEKDAY($C5420,2)+1)</f>
        <v/>
      </c>
      <c r="E5420">
        <f>IF($C5420="","",DATE(YEAR($C5420),MONTH($C5420),1))</f>
        <v/>
      </c>
      <c r="F5420">
        <f>IF($C5420="","",YEAR($C5420)&amp;"-Q"&amp;ROUNDUP(MONTH($C5420)/3,0))</f>
        <v/>
      </c>
      <c r="L5420">
        <f>IF($G5420&lt;&gt;"ALCOHOL","",IF($K5420="","",$H5420*IFERROR(VLOOKUP($K5420,Drink_Templates!$A:$G,7,FALSE),0)))</f>
        <v/>
      </c>
    </row>
    <row r="5421" ht="15" customHeight="1">
      <c r="C5421">
        <f>IF($B5421="","",INT($B5421))</f>
        <v/>
      </c>
      <c r="D5421">
        <f>IF($C5421="","",$C5421-WEEKDAY($C5421,2)+1)</f>
        <v/>
      </c>
      <c r="E5421">
        <f>IF($C5421="","",DATE(YEAR($C5421),MONTH($C5421),1))</f>
        <v/>
      </c>
      <c r="F5421">
        <f>IF($C5421="","",YEAR($C5421)&amp;"-Q"&amp;ROUNDUP(MONTH($C5421)/3,0))</f>
        <v/>
      </c>
      <c r="L5421">
        <f>IF($G5421&lt;&gt;"ALCOHOL","",IF($K5421="","",$H5421*IFERROR(VLOOKUP($K5421,Drink_Templates!$A:$G,7,FALSE),0)))</f>
        <v/>
      </c>
    </row>
    <row r="5422" ht="15" customHeight="1">
      <c r="C5422">
        <f>IF($B5422="","",INT($B5422))</f>
        <v/>
      </c>
      <c r="D5422">
        <f>IF($C5422="","",$C5422-WEEKDAY($C5422,2)+1)</f>
        <v/>
      </c>
      <c r="E5422">
        <f>IF($C5422="","",DATE(YEAR($C5422),MONTH($C5422),1))</f>
        <v/>
      </c>
      <c r="F5422">
        <f>IF($C5422="","",YEAR($C5422)&amp;"-Q"&amp;ROUNDUP(MONTH($C5422)/3,0))</f>
        <v/>
      </c>
      <c r="L5422">
        <f>IF($G5422&lt;&gt;"ALCOHOL","",IF($K5422="","",$H5422*IFERROR(VLOOKUP($K5422,Drink_Templates!$A:$G,7,FALSE),0)))</f>
        <v/>
      </c>
    </row>
    <row r="5423" ht="15" customHeight="1">
      <c r="C5423">
        <f>IF($B5423="","",INT($B5423))</f>
        <v/>
      </c>
      <c r="D5423">
        <f>IF($C5423="","",$C5423-WEEKDAY($C5423,2)+1)</f>
        <v/>
      </c>
      <c r="E5423">
        <f>IF($C5423="","",DATE(YEAR($C5423),MONTH($C5423),1))</f>
        <v/>
      </c>
      <c r="F5423">
        <f>IF($C5423="","",YEAR($C5423)&amp;"-Q"&amp;ROUNDUP(MONTH($C5423)/3,0))</f>
        <v/>
      </c>
      <c r="L5423">
        <f>IF($G5423&lt;&gt;"ALCOHOL","",IF($K5423="","",$H5423*IFERROR(VLOOKUP($K5423,Drink_Templates!$A:$G,7,FALSE),0)))</f>
        <v/>
      </c>
    </row>
    <row r="5424" ht="15" customHeight="1">
      <c r="C5424">
        <f>IF($B5424="","",INT($B5424))</f>
        <v/>
      </c>
      <c r="D5424">
        <f>IF($C5424="","",$C5424-WEEKDAY($C5424,2)+1)</f>
        <v/>
      </c>
      <c r="E5424">
        <f>IF($C5424="","",DATE(YEAR($C5424),MONTH($C5424),1))</f>
        <v/>
      </c>
      <c r="F5424">
        <f>IF($C5424="","",YEAR($C5424)&amp;"-Q"&amp;ROUNDUP(MONTH($C5424)/3,0))</f>
        <v/>
      </c>
      <c r="L5424">
        <f>IF($G5424&lt;&gt;"ALCOHOL","",IF($K5424="","",$H5424*IFERROR(VLOOKUP($K5424,Drink_Templates!$A:$G,7,FALSE),0)))</f>
        <v/>
      </c>
    </row>
    <row r="5425" ht="15" customHeight="1">
      <c r="C5425">
        <f>IF($B5425="","",INT($B5425))</f>
        <v/>
      </c>
      <c r="D5425">
        <f>IF($C5425="","",$C5425-WEEKDAY($C5425,2)+1)</f>
        <v/>
      </c>
      <c r="E5425">
        <f>IF($C5425="","",DATE(YEAR($C5425),MONTH($C5425),1))</f>
        <v/>
      </c>
      <c r="F5425">
        <f>IF($C5425="","",YEAR($C5425)&amp;"-Q"&amp;ROUNDUP(MONTH($C5425)/3,0))</f>
        <v/>
      </c>
      <c r="L5425">
        <f>IF($G5425&lt;&gt;"ALCOHOL","",IF($K5425="","",$H5425*IFERROR(VLOOKUP($K5425,Drink_Templates!$A:$G,7,FALSE),0)))</f>
        <v/>
      </c>
    </row>
    <row r="5426" ht="15" customHeight="1">
      <c r="C5426">
        <f>IF($B5426="","",INT($B5426))</f>
        <v/>
      </c>
      <c r="D5426">
        <f>IF($C5426="","",$C5426-WEEKDAY($C5426,2)+1)</f>
        <v/>
      </c>
      <c r="E5426">
        <f>IF($C5426="","",DATE(YEAR($C5426),MONTH($C5426),1))</f>
        <v/>
      </c>
      <c r="F5426">
        <f>IF($C5426="","",YEAR($C5426)&amp;"-Q"&amp;ROUNDUP(MONTH($C5426)/3,0))</f>
        <v/>
      </c>
      <c r="L5426">
        <f>IF($G5426&lt;&gt;"ALCOHOL","",IF($K5426="","",$H5426*IFERROR(VLOOKUP($K5426,Drink_Templates!$A:$G,7,FALSE),0)))</f>
        <v/>
      </c>
    </row>
    <row r="5427" ht="15" customHeight="1">
      <c r="C5427">
        <f>IF($B5427="","",INT($B5427))</f>
        <v/>
      </c>
      <c r="D5427">
        <f>IF($C5427="","",$C5427-WEEKDAY($C5427,2)+1)</f>
        <v/>
      </c>
      <c r="E5427">
        <f>IF($C5427="","",DATE(YEAR($C5427),MONTH($C5427),1))</f>
        <v/>
      </c>
      <c r="F5427">
        <f>IF($C5427="","",YEAR($C5427)&amp;"-Q"&amp;ROUNDUP(MONTH($C5427)/3,0))</f>
        <v/>
      </c>
      <c r="L5427">
        <f>IF($G5427&lt;&gt;"ALCOHOL","",IF($K5427="","",$H5427*IFERROR(VLOOKUP($K5427,Drink_Templates!$A:$G,7,FALSE),0)))</f>
        <v/>
      </c>
    </row>
    <row r="5428" ht="15" customHeight="1">
      <c r="C5428">
        <f>IF($B5428="","",INT($B5428))</f>
        <v/>
      </c>
      <c r="D5428">
        <f>IF($C5428="","",$C5428-WEEKDAY($C5428,2)+1)</f>
        <v/>
      </c>
      <c r="E5428">
        <f>IF($C5428="","",DATE(YEAR($C5428),MONTH($C5428),1))</f>
        <v/>
      </c>
      <c r="F5428">
        <f>IF($C5428="","",YEAR($C5428)&amp;"-Q"&amp;ROUNDUP(MONTH($C5428)/3,0))</f>
        <v/>
      </c>
      <c r="L5428">
        <f>IF($G5428&lt;&gt;"ALCOHOL","",IF($K5428="","",$H5428*IFERROR(VLOOKUP($K5428,Drink_Templates!$A:$G,7,FALSE),0)))</f>
        <v/>
      </c>
    </row>
    <row r="5429" ht="15" customHeight="1">
      <c r="C5429">
        <f>IF($B5429="","",INT($B5429))</f>
        <v/>
      </c>
      <c r="D5429">
        <f>IF($C5429="","",$C5429-WEEKDAY($C5429,2)+1)</f>
        <v/>
      </c>
      <c r="E5429">
        <f>IF($C5429="","",DATE(YEAR($C5429),MONTH($C5429),1))</f>
        <v/>
      </c>
      <c r="F5429">
        <f>IF($C5429="","",YEAR($C5429)&amp;"-Q"&amp;ROUNDUP(MONTH($C5429)/3,0))</f>
        <v/>
      </c>
      <c r="L5429">
        <f>IF($G5429&lt;&gt;"ALCOHOL","",IF($K5429="","",$H5429*IFERROR(VLOOKUP($K5429,Drink_Templates!$A:$G,7,FALSE),0)))</f>
        <v/>
      </c>
    </row>
    <row r="5430" ht="15" customHeight="1">
      <c r="C5430">
        <f>IF($B5430="","",INT($B5430))</f>
        <v/>
      </c>
      <c r="D5430">
        <f>IF($C5430="","",$C5430-WEEKDAY($C5430,2)+1)</f>
        <v/>
      </c>
      <c r="E5430">
        <f>IF($C5430="","",DATE(YEAR($C5430),MONTH($C5430),1))</f>
        <v/>
      </c>
      <c r="F5430">
        <f>IF($C5430="","",YEAR($C5430)&amp;"-Q"&amp;ROUNDUP(MONTH($C5430)/3,0))</f>
        <v/>
      </c>
      <c r="L5430">
        <f>IF($G5430&lt;&gt;"ALCOHOL","",IF($K5430="","",$H5430*IFERROR(VLOOKUP($K5430,Drink_Templates!$A:$G,7,FALSE),0)))</f>
        <v/>
      </c>
    </row>
    <row r="5431" ht="15" customHeight="1">
      <c r="C5431">
        <f>IF($B5431="","",INT($B5431))</f>
        <v/>
      </c>
      <c r="D5431">
        <f>IF($C5431="","",$C5431-WEEKDAY($C5431,2)+1)</f>
        <v/>
      </c>
      <c r="E5431">
        <f>IF($C5431="","",DATE(YEAR($C5431),MONTH($C5431),1))</f>
        <v/>
      </c>
      <c r="F5431">
        <f>IF($C5431="","",YEAR($C5431)&amp;"-Q"&amp;ROUNDUP(MONTH($C5431)/3,0))</f>
        <v/>
      </c>
      <c r="L5431">
        <f>IF($G5431&lt;&gt;"ALCOHOL","",IF($K5431="","",$H5431*IFERROR(VLOOKUP($K5431,Drink_Templates!$A:$G,7,FALSE),0)))</f>
        <v/>
      </c>
    </row>
    <row r="5432" ht="15" customHeight="1">
      <c r="C5432">
        <f>IF($B5432="","",INT($B5432))</f>
        <v/>
      </c>
      <c r="D5432">
        <f>IF($C5432="","",$C5432-WEEKDAY($C5432,2)+1)</f>
        <v/>
      </c>
      <c r="E5432">
        <f>IF($C5432="","",DATE(YEAR($C5432),MONTH($C5432),1))</f>
        <v/>
      </c>
      <c r="F5432">
        <f>IF($C5432="","",YEAR($C5432)&amp;"-Q"&amp;ROUNDUP(MONTH($C5432)/3,0))</f>
        <v/>
      </c>
      <c r="L5432">
        <f>IF($G5432&lt;&gt;"ALCOHOL","",IF($K5432="","",$H5432*IFERROR(VLOOKUP($K5432,Drink_Templates!$A:$G,7,FALSE),0)))</f>
        <v/>
      </c>
    </row>
    <row r="5433" ht="15" customHeight="1">
      <c r="C5433">
        <f>IF($B5433="","",INT($B5433))</f>
        <v/>
      </c>
      <c r="D5433">
        <f>IF($C5433="","",$C5433-WEEKDAY($C5433,2)+1)</f>
        <v/>
      </c>
      <c r="E5433">
        <f>IF($C5433="","",DATE(YEAR($C5433),MONTH($C5433),1))</f>
        <v/>
      </c>
      <c r="F5433">
        <f>IF($C5433="","",YEAR($C5433)&amp;"-Q"&amp;ROUNDUP(MONTH($C5433)/3,0))</f>
        <v/>
      </c>
      <c r="L5433">
        <f>IF($G5433&lt;&gt;"ALCOHOL","",IF($K5433="","",$H5433*IFERROR(VLOOKUP($K5433,Drink_Templates!$A:$G,7,FALSE),0)))</f>
        <v/>
      </c>
    </row>
    <row r="5434" ht="15" customHeight="1">
      <c r="C5434">
        <f>IF($B5434="","",INT($B5434))</f>
        <v/>
      </c>
      <c r="D5434">
        <f>IF($C5434="","",$C5434-WEEKDAY($C5434,2)+1)</f>
        <v/>
      </c>
      <c r="E5434">
        <f>IF($C5434="","",DATE(YEAR($C5434),MONTH($C5434),1))</f>
        <v/>
      </c>
      <c r="F5434">
        <f>IF($C5434="","",YEAR($C5434)&amp;"-Q"&amp;ROUNDUP(MONTH($C5434)/3,0))</f>
        <v/>
      </c>
      <c r="L5434">
        <f>IF($G5434&lt;&gt;"ALCOHOL","",IF($K5434="","",$H5434*IFERROR(VLOOKUP($K5434,Drink_Templates!$A:$G,7,FALSE),0)))</f>
        <v/>
      </c>
    </row>
    <row r="5435" ht="15" customHeight="1">
      <c r="C5435">
        <f>IF($B5435="","",INT($B5435))</f>
        <v/>
      </c>
      <c r="D5435">
        <f>IF($C5435="","",$C5435-WEEKDAY($C5435,2)+1)</f>
        <v/>
      </c>
      <c r="E5435">
        <f>IF($C5435="","",DATE(YEAR($C5435),MONTH($C5435),1))</f>
        <v/>
      </c>
      <c r="F5435">
        <f>IF($C5435="","",YEAR($C5435)&amp;"-Q"&amp;ROUNDUP(MONTH($C5435)/3,0))</f>
        <v/>
      </c>
      <c r="L5435">
        <f>IF($G5435&lt;&gt;"ALCOHOL","",IF($K5435="","",$H5435*IFERROR(VLOOKUP($K5435,Drink_Templates!$A:$G,7,FALSE),0)))</f>
        <v/>
      </c>
    </row>
    <row r="5436" ht="15" customHeight="1">
      <c r="C5436">
        <f>IF($B5436="","",INT($B5436))</f>
        <v/>
      </c>
      <c r="D5436">
        <f>IF($C5436="","",$C5436-WEEKDAY($C5436,2)+1)</f>
        <v/>
      </c>
      <c r="E5436">
        <f>IF($C5436="","",DATE(YEAR($C5436),MONTH($C5436),1))</f>
        <v/>
      </c>
      <c r="F5436">
        <f>IF($C5436="","",YEAR($C5436)&amp;"-Q"&amp;ROUNDUP(MONTH($C5436)/3,0))</f>
        <v/>
      </c>
      <c r="L5436">
        <f>IF($G5436&lt;&gt;"ALCOHOL","",IF($K5436="","",$H5436*IFERROR(VLOOKUP($K5436,Drink_Templates!$A:$G,7,FALSE),0)))</f>
        <v/>
      </c>
    </row>
    <row r="5437" ht="15" customHeight="1">
      <c r="C5437">
        <f>IF($B5437="","",INT($B5437))</f>
        <v/>
      </c>
      <c r="D5437">
        <f>IF($C5437="","",$C5437-WEEKDAY($C5437,2)+1)</f>
        <v/>
      </c>
      <c r="E5437">
        <f>IF($C5437="","",DATE(YEAR($C5437),MONTH($C5437),1))</f>
        <v/>
      </c>
      <c r="F5437">
        <f>IF($C5437="","",YEAR($C5437)&amp;"-Q"&amp;ROUNDUP(MONTH($C5437)/3,0))</f>
        <v/>
      </c>
      <c r="L5437">
        <f>IF($G5437&lt;&gt;"ALCOHOL","",IF($K5437="","",$H5437*IFERROR(VLOOKUP($K5437,Drink_Templates!$A:$G,7,FALSE),0)))</f>
        <v/>
      </c>
    </row>
    <row r="5438" ht="15" customHeight="1">
      <c r="C5438">
        <f>IF($B5438="","",INT($B5438))</f>
        <v/>
      </c>
      <c r="D5438">
        <f>IF($C5438="","",$C5438-WEEKDAY($C5438,2)+1)</f>
        <v/>
      </c>
      <c r="E5438">
        <f>IF($C5438="","",DATE(YEAR($C5438),MONTH($C5438),1))</f>
        <v/>
      </c>
      <c r="F5438">
        <f>IF($C5438="","",YEAR($C5438)&amp;"-Q"&amp;ROUNDUP(MONTH($C5438)/3,0))</f>
        <v/>
      </c>
      <c r="L5438">
        <f>IF($G5438&lt;&gt;"ALCOHOL","",IF($K5438="","",$H5438*IFERROR(VLOOKUP($K5438,Drink_Templates!$A:$G,7,FALSE),0)))</f>
        <v/>
      </c>
    </row>
    <row r="5439" ht="15" customHeight="1">
      <c r="C5439">
        <f>IF($B5439="","",INT($B5439))</f>
        <v/>
      </c>
      <c r="D5439">
        <f>IF($C5439="","",$C5439-WEEKDAY($C5439,2)+1)</f>
        <v/>
      </c>
      <c r="E5439">
        <f>IF($C5439="","",DATE(YEAR($C5439),MONTH($C5439),1))</f>
        <v/>
      </c>
      <c r="F5439">
        <f>IF($C5439="","",YEAR($C5439)&amp;"-Q"&amp;ROUNDUP(MONTH($C5439)/3,0))</f>
        <v/>
      </c>
      <c r="L5439">
        <f>IF($G5439&lt;&gt;"ALCOHOL","",IF($K5439="","",$H5439*IFERROR(VLOOKUP($K5439,Drink_Templates!$A:$G,7,FALSE),0)))</f>
        <v/>
      </c>
    </row>
    <row r="5440" ht="15" customHeight="1">
      <c r="C5440">
        <f>IF($B5440="","",INT($B5440))</f>
        <v/>
      </c>
      <c r="D5440">
        <f>IF($C5440="","",$C5440-WEEKDAY($C5440,2)+1)</f>
        <v/>
      </c>
      <c r="E5440">
        <f>IF($C5440="","",DATE(YEAR($C5440),MONTH($C5440),1))</f>
        <v/>
      </c>
      <c r="F5440">
        <f>IF($C5440="","",YEAR($C5440)&amp;"-Q"&amp;ROUNDUP(MONTH($C5440)/3,0))</f>
        <v/>
      </c>
      <c r="L5440">
        <f>IF($G5440&lt;&gt;"ALCOHOL","",IF($K5440="","",$H5440*IFERROR(VLOOKUP($K5440,Drink_Templates!$A:$G,7,FALSE),0)))</f>
        <v/>
      </c>
    </row>
    <row r="5441" ht="15" customHeight="1">
      <c r="C5441">
        <f>IF($B5441="","",INT($B5441))</f>
        <v/>
      </c>
      <c r="D5441">
        <f>IF($C5441="","",$C5441-WEEKDAY($C5441,2)+1)</f>
        <v/>
      </c>
      <c r="E5441">
        <f>IF($C5441="","",DATE(YEAR($C5441),MONTH($C5441),1))</f>
        <v/>
      </c>
      <c r="F5441">
        <f>IF($C5441="","",YEAR($C5441)&amp;"-Q"&amp;ROUNDUP(MONTH($C5441)/3,0))</f>
        <v/>
      </c>
      <c r="L5441">
        <f>IF($G5441&lt;&gt;"ALCOHOL","",IF($K5441="","",$H5441*IFERROR(VLOOKUP($K5441,Drink_Templates!$A:$G,7,FALSE),0)))</f>
        <v/>
      </c>
    </row>
    <row r="5442" ht="15" customHeight="1">
      <c r="C5442">
        <f>IF($B5442="","",INT($B5442))</f>
        <v/>
      </c>
      <c r="D5442">
        <f>IF($C5442="","",$C5442-WEEKDAY($C5442,2)+1)</f>
        <v/>
      </c>
      <c r="E5442">
        <f>IF($C5442="","",DATE(YEAR($C5442),MONTH($C5442),1))</f>
        <v/>
      </c>
      <c r="F5442">
        <f>IF($C5442="","",YEAR($C5442)&amp;"-Q"&amp;ROUNDUP(MONTH($C5442)/3,0))</f>
        <v/>
      </c>
      <c r="L5442">
        <f>IF($G5442&lt;&gt;"ALCOHOL","",IF($K5442="","",$H5442*IFERROR(VLOOKUP($K5442,Drink_Templates!$A:$G,7,FALSE),0)))</f>
        <v/>
      </c>
    </row>
    <row r="5443" ht="15" customHeight="1">
      <c r="C5443">
        <f>IF($B5443="","",INT($B5443))</f>
        <v/>
      </c>
      <c r="D5443">
        <f>IF($C5443="","",$C5443-WEEKDAY($C5443,2)+1)</f>
        <v/>
      </c>
      <c r="E5443">
        <f>IF($C5443="","",DATE(YEAR($C5443),MONTH($C5443),1))</f>
        <v/>
      </c>
      <c r="F5443">
        <f>IF($C5443="","",YEAR($C5443)&amp;"-Q"&amp;ROUNDUP(MONTH($C5443)/3,0))</f>
        <v/>
      </c>
      <c r="L5443">
        <f>IF($G5443&lt;&gt;"ALCOHOL","",IF($K5443="","",$H5443*IFERROR(VLOOKUP($K5443,Drink_Templates!$A:$G,7,FALSE),0)))</f>
        <v/>
      </c>
    </row>
    <row r="5444" ht="15" customHeight="1">
      <c r="C5444">
        <f>IF($B5444="","",INT($B5444))</f>
        <v/>
      </c>
      <c r="D5444">
        <f>IF($C5444="","",$C5444-WEEKDAY($C5444,2)+1)</f>
        <v/>
      </c>
      <c r="E5444">
        <f>IF($C5444="","",DATE(YEAR($C5444),MONTH($C5444),1))</f>
        <v/>
      </c>
      <c r="F5444">
        <f>IF($C5444="","",YEAR($C5444)&amp;"-Q"&amp;ROUNDUP(MONTH($C5444)/3,0))</f>
        <v/>
      </c>
      <c r="L5444">
        <f>IF($G5444&lt;&gt;"ALCOHOL","",IF($K5444="","",$H5444*IFERROR(VLOOKUP($K5444,Drink_Templates!$A:$G,7,FALSE),0)))</f>
        <v/>
      </c>
    </row>
    <row r="5445" ht="15" customHeight="1">
      <c r="C5445">
        <f>IF($B5445="","",INT($B5445))</f>
        <v/>
      </c>
      <c r="D5445">
        <f>IF($C5445="","",$C5445-WEEKDAY($C5445,2)+1)</f>
        <v/>
      </c>
      <c r="E5445">
        <f>IF($C5445="","",DATE(YEAR($C5445),MONTH($C5445),1))</f>
        <v/>
      </c>
      <c r="F5445">
        <f>IF($C5445="","",YEAR($C5445)&amp;"-Q"&amp;ROUNDUP(MONTH($C5445)/3,0))</f>
        <v/>
      </c>
      <c r="L5445">
        <f>IF($G5445&lt;&gt;"ALCOHOL","",IF($K5445="","",$H5445*IFERROR(VLOOKUP($K5445,Drink_Templates!$A:$G,7,FALSE),0)))</f>
        <v/>
      </c>
    </row>
    <row r="5446" ht="15" customHeight="1">
      <c r="C5446">
        <f>IF($B5446="","",INT($B5446))</f>
        <v/>
      </c>
      <c r="D5446">
        <f>IF($C5446="","",$C5446-WEEKDAY($C5446,2)+1)</f>
        <v/>
      </c>
      <c r="E5446">
        <f>IF($C5446="","",DATE(YEAR($C5446),MONTH($C5446),1))</f>
        <v/>
      </c>
      <c r="F5446">
        <f>IF($C5446="","",YEAR($C5446)&amp;"-Q"&amp;ROUNDUP(MONTH($C5446)/3,0))</f>
        <v/>
      </c>
      <c r="L5446">
        <f>IF($G5446&lt;&gt;"ALCOHOL","",IF($K5446="","",$H5446*IFERROR(VLOOKUP($K5446,Drink_Templates!$A:$G,7,FALSE),0)))</f>
        <v/>
      </c>
    </row>
    <row r="5447" ht="15" customHeight="1">
      <c r="C5447">
        <f>IF($B5447="","",INT($B5447))</f>
        <v/>
      </c>
      <c r="D5447">
        <f>IF($C5447="","",$C5447-WEEKDAY($C5447,2)+1)</f>
        <v/>
      </c>
      <c r="E5447">
        <f>IF($C5447="","",DATE(YEAR($C5447),MONTH($C5447),1))</f>
        <v/>
      </c>
      <c r="F5447">
        <f>IF($C5447="","",YEAR($C5447)&amp;"-Q"&amp;ROUNDUP(MONTH($C5447)/3,0))</f>
        <v/>
      </c>
      <c r="L5447">
        <f>IF($G5447&lt;&gt;"ALCOHOL","",IF($K5447="","",$H5447*IFERROR(VLOOKUP($K5447,Drink_Templates!$A:$G,7,FALSE),0)))</f>
        <v/>
      </c>
    </row>
    <row r="5448" ht="15" customHeight="1">
      <c r="C5448">
        <f>IF($B5448="","",INT($B5448))</f>
        <v/>
      </c>
      <c r="D5448">
        <f>IF($C5448="","",$C5448-WEEKDAY($C5448,2)+1)</f>
        <v/>
      </c>
      <c r="E5448">
        <f>IF($C5448="","",DATE(YEAR($C5448),MONTH($C5448),1))</f>
        <v/>
      </c>
      <c r="F5448">
        <f>IF($C5448="","",YEAR($C5448)&amp;"-Q"&amp;ROUNDUP(MONTH($C5448)/3,0))</f>
        <v/>
      </c>
      <c r="L5448">
        <f>IF($G5448&lt;&gt;"ALCOHOL","",IF($K5448="","",$H5448*IFERROR(VLOOKUP($K5448,Drink_Templates!$A:$G,7,FALSE),0)))</f>
        <v/>
      </c>
    </row>
    <row r="5449" ht="15" customHeight="1">
      <c r="C5449">
        <f>IF($B5449="","",INT($B5449))</f>
        <v/>
      </c>
      <c r="D5449">
        <f>IF($C5449="","",$C5449-WEEKDAY($C5449,2)+1)</f>
        <v/>
      </c>
      <c r="E5449">
        <f>IF($C5449="","",DATE(YEAR($C5449),MONTH($C5449),1))</f>
        <v/>
      </c>
      <c r="F5449">
        <f>IF($C5449="","",YEAR($C5449)&amp;"-Q"&amp;ROUNDUP(MONTH($C5449)/3,0))</f>
        <v/>
      </c>
      <c r="L5449">
        <f>IF($G5449&lt;&gt;"ALCOHOL","",IF($K5449="","",$H5449*IFERROR(VLOOKUP($K5449,Drink_Templates!$A:$G,7,FALSE),0)))</f>
        <v/>
      </c>
    </row>
    <row r="5450" ht="15" customHeight="1">
      <c r="C5450">
        <f>IF($B5450="","",INT($B5450))</f>
        <v/>
      </c>
      <c r="D5450">
        <f>IF($C5450="","",$C5450-WEEKDAY($C5450,2)+1)</f>
        <v/>
      </c>
      <c r="E5450">
        <f>IF($C5450="","",DATE(YEAR($C5450),MONTH($C5450),1))</f>
        <v/>
      </c>
      <c r="F5450">
        <f>IF($C5450="","",YEAR($C5450)&amp;"-Q"&amp;ROUNDUP(MONTH($C5450)/3,0))</f>
        <v/>
      </c>
      <c r="L5450">
        <f>IF($G5450&lt;&gt;"ALCOHOL","",IF($K5450="","",$H5450*IFERROR(VLOOKUP($K5450,Drink_Templates!$A:$G,7,FALSE),0)))</f>
        <v/>
      </c>
    </row>
    <row r="5451" ht="15" customHeight="1">
      <c r="C5451">
        <f>IF($B5451="","",INT($B5451))</f>
        <v/>
      </c>
      <c r="D5451">
        <f>IF($C5451="","",$C5451-WEEKDAY($C5451,2)+1)</f>
        <v/>
      </c>
      <c r="E5451">
        <f>IF($C5451="","",DATE(YEAR($C5451),MONTH($C5451),1))</f>
        <v/>
      </c>
      <c r="F5451">
        <f>IF($C5451="","",YEAR($C5451)&amp;"-Q"&amp;ROUNDUP(MONTH($C5451)/3,0))</f>
        <v/>
      </c>
      <c r="L5451">
        <f>IF($G5451&lt;&gt;"ALCOHOL","",IF($K5451="","",$H5451*IFERROR(VLOOKUP($K5451,Drink_Templates!$A:$G,7,FALSE),0)))</f>
        <v/>
      </c>
    </row>
    <row r="5452" ht="15" customHeight="1">
      <c r="C5452">
        <f>IF($B5452="","",INT($B5452))</f>
        <v/>
      </c>
      <c r="D5452">
        <f>IF($C5452="","",$C5452-WEEKDAY($C5452,2)+1)</f>
        <v/>
      </c>
      <c r="E5452">
        <f>IF($C5452="","",DATE(YEAR($C5452),MONTH($C5452),1))</f>
        <v/>
      </c>
      <c r="F5452">
        <f>IF($C5452="","",YEAR($C5452)&amp;"-Q"&amp;ROUNDUP(MONTH($C5452)/3,0))</f>
        <v/>
      </c>
      <c r="L5452">
        <f>IF($G5452&lt;&gt;"ALCOHOL","",IF($K5452="","",$H5452*IFERROR(VLOOKUP($K5452,Drink_Templates!$A:$G,7,FALSE),0)))</f>
        <v/>
      </c>
    </row>
    <row r="5453" ht="15" customHeight="1">
      <c r="C5453">
        <f>IF($B5453="","",INT($B5453))</f>
        <v/>
      </c>
      <c r="D5453">
        <f>IF($C5453="","",$C5453-WEEKDAY($C5453,2)+1)</f>
        <v/>
      </c>
      <c r="E5453">
        <f>IF($C5453="","",DATE(YEAR($C5453),MONTH($C5453),1))</f>
        <v/>
      </c>
      <c r="F5453">
        <f>IF($C5453="","",YEAR($C5453)&amp;"-Q"&amp;ROUNDUP(MONTH($C5453)/3,0))</f>
        <v/>
      </c>
      <c r="L5453">
        <f>IF($G5453&lt;&gt;"ALCOHOL","",IF($K5453="","",$H5453*IFERROR(VLOOKUP($K5453,Drink_Templates!$A:$G,7,FALSE),0)))</f>
        <v/>
      </c>
    </row>
    <row r="5454" ht="15" customHeight="1">
      <c r="C5454">
        <f>IF($B5454="","",INT($B5454))</f>
        <v/>
      </c>
      <c r="D5454">
        <f>IF($C5454="","",$C5454-WEEKDAY($C5454,2)+1)</f>
        <v/>
      </c>
      <c r="E5454">
        <f>IF($C5454="","",DATE(YEAR($C5454),MONTH($C5454),1))</f>
        <v/>
      </c>
      <c r="F5454">
        <f>IF($C5454="","",YEAR($C5454)&amp;"-Q"&amp;ROUNDUP(MONTH($C5454)/3,0))</f>
        <v/>
      </c>
      <c r="L5454">
        <f>IF($G5454&lt;&gt;"ALCOHOL","",IF($K5454="","",$H5454*IFERROR(VLOOKUP($K5454,Drink_Templates!$A:$G,7,FALSE),0)))</f>
        <v/>
      </c>
    </row>
    <row r="5455" ht="15" customHeight="1">
      <c r="C5455">
        <f>IF($B5455="","",INT($B5455))</f>
        <v/>
      </c>
      <c r="D5455">
        <f>IF($C5455="","",$C5455-WEEKDAY($C5455,2)+1)</f>
        <v/>
      </c>
      <c r="E5455">
        <f>IF($C5455="","",DATE(YEAR($C5455),MONTH($C5455),1))</f>
        <v/>
      </c>
      <c r="F5455">
        <f>IF($C5455="","",YEAR($C5455)&amp;"-Q"&amp;ROUNDUP(MONTH($C5455)/3,0))</f>
        <v/>
      </c>
      <c r="L5455">
        <f>IF($G5455&lt;&gt;"ALCOHOL","",IF($K5455="","",$H5455*IFERROR(VLOOKUP($K5455,Drink_Templates!$A:$G,7,FALSE),0)))</f>
        <v/>
      </c>
    </row>
    <row r="5456" ht="15" customHeight="1">
      <c r="C5456">
        <f>IF($B5456="","",INT($B5456))</f>
        <v/>
      </c>
      <c r="D5456">
        <f>IF($C5456="","",$C5456-WEEKDAY($C5456,2)+1)</f>
        <v/>
      </c>
      <c r="E5456">
        <f>IF($C5456="","",DATE(YEAR($C5456),MONTH($C5456),1))</f>
        <v/>
      </c>
      <c r="F5456">
        <f>IF($C5456="","",YEAR($C5456)&amp;"-Q"&amp;ROUNDUP(MONTH($C5456)/3,0))</f>
        <v/>
      </c>
      <c r="L5456">
        <f>IF($G5456&lt;&gt;"ALCOHOL","",IF($K5456="","",$H5456*IFERROR(VLOOKUP($K5456,Drink_Templates!$A:$G,7,FALSE),0)))</f>
        <v/>
      </c>
    </row>
    <row r="5457" ht="15" customHeight="1">
      <c r="C5457">
        <f>IF($B5457="","",INT($B5457))</f>
        <v/>
      </c>
      <c r="D5457">
        <f>IF($C5457="","",$C5457-WEEKDAY($C5457,2)+1)</f>
        <v/>
      </c>
      <c r="E5457">
        <f>IF($C5457="","",DATE(YEAR($C5457),MONTH($C5457),1))</f>
        <v/>
      </c>
      <c r="F5457">
        <f>IF($C5457="","",YEAR($C5457)&amp;"-Q"&amp;ROUNDUP(MONTH($C5457)/3,0))</f>
        <v/>
      </c>
      <c r="L5457">
        <f>IF($G5457&lt;&gt;"ALCOHOL","",IF($K5457="","",$H5457*IFERROR(VLOOKUP($K5457,Drink_Templates!$A:$G,7,FALSE),0)))</f>
        <v/>
      </c>
    </row>
    <row r="5458" ht="15" customHeight="1">
      <c r="C5458">
        <f>IF($B5458="","",INT($B5458))</f>
        <v/>
      </c>
      <c r="D5458">
        <f>IF($C5458="","",$C5458-WEEKDAY($C5458,2)+1)</f>
        <v/>
      </c>
      <c r="E5458">
        <f>IF($C5458="","",DATE(YEAR($C5458),MONTH($C5458),1))</f>
        <v/>
      </c>
      <c r="F5458">
        <f>IF($C5458="","",YEAR($C5458)&amp;"-Q"&amp;ROUNDUP(MONTH($C5458)/3,0))</f>
        <v/>
      </c>
      <c r="L5458">
        <f>IF($G5458&lt;&gt;"ALCOHOL","",IF($K5458="","",$H5458*IFERROR(VLOOKUP($K5458,Drink_Templates!$A:$G,7,FALSE),0)))</f>
        <v/>
      </c>
    </row>
    <row r="5459" ht="15" customHeight="1">
      <c r="C5459">
        <f>IF($B5459="","",INT($B5459))</f>
        <v/>
      </c>
      <c r="D5459">
        <f>IF($C5459="","",$C5459-WEEKDAY($C5459,2)+1)</f>
        <v/>
      </c>
      <c r="E5459">
        <f>IF($C5459="","",DATE(YEAR($C5459),MONTH($C5459),1))</f>
        <v/>
      </c>
      <c r="F5459">
        <f>IF($C5459="","",YEAR($C5459)&amp;"-Q"&amp;ROUNDUP(MONTH($C5459)/3,0))</f>
        <v/>
      </c>
      <c r="L5459">
        <f>IF($G5459&lt;&gt;"ALCOHOL","",IF($K5459="","",$H5459*IFERROR(VLOOKUP($K5459,Drink_Templates!$A:$G,7,FALSE),0)))</f>
        <v/>
      </c>
    </row>
    <row r="5460" ht="15" customHeight="1">
      <c r="C5460">
        <f>IF($B5460="","",INT($B5460))</f>
        <v/>
      </c>
      <c r="D5460">
        <f>IF($C5460="","",$C5460-WEEKDAY($C5460,2)+1)</f>
        <v/>
      </c>
      <c r="E5460">
        <f>IF($C5460="","",DATE(YEAR($C5460),MONTH($C5460),1))</f>
        <v/>
      </c>
      <c r="F5460">
        <f>IF($C5460="","",YEAR($C5460)&amp;"-Q"&amp;ROUNDUP(MONTH($C5460)/3,0))</f>
        <v/>
      </c>
      <c r="L5460">
        <f>IF($G5460&lt;&gt;"ALCOHOL","",IF($K5460="","",$H5460*IFERROR(VLOOKUP($K5460,Drink_Templates!$A:$G,7,FALSE),0)))</f>
        <v/>
      </c>
    </row>
    <row r="5461" ht="15" customHeight="1">
      <c r="C5461">
        <f>IF($B5461="","",INT($B5461))</f>
        <v/>
      </c>
      <c r="D5461">
        <f>IF($C5461="","",$C5461-WEEKDAY($C5461,2)+1)</f>
        <v/>
      </c>
      <c r="E5461">
        <f>IF($C5461="","",DATE(YEAR($C5461),MONTH($C5461),1))</f>
        <v/>
      </c>
      <c r="F5461">
        <f>IF($C5461="","",YEAR($C5461)&amp;"-Q"&amp;ROUNDUP(MONTH($C5461)/3,0))</f>
        <v/>
      </c>
      <c r="L5461">
        <f>IF($G5461&lt;&gt;"ALCOHOL","",IF($K5461="","",$H5461*IFERROR(VLOOKUP($K5461,Drink_Templates!$A:$G,7,FALSE),0)))</f>
        <v/>
      </c>
    </row>
    <row r="5462" ht="15" customHeight="1">
      <c r="C5462">
        <f>IF($B5462="","",INT($B5462))</f>
        <v/>
      </c>
      <c r="D5462">
        <f>IF($C5462="","",$C5462-WEEKDAY($C5462,2)+1)</f>
        <v/>
      </c>
      <c r="E5462">
        <f>IF($C5462="","",DATE(YEAR($C5462),MONTH($C5462),1))</f>
        <v/>
      </c>
      <c r="F5462">
        <f>IF($C5462="","",YEAR($C5462)&amp;"-Q"&amp;ROUNDUP(MONTH($C5462)/3,0))</f>
        <v/>
      </c>
      <c r="L5462">
        <f>IF($G5462&lt;&gt;"ALCOHOL","",IF($K5462="","",$H5462*IFERROR(VLOOKUP($K5462,Drink_Templates!$A:$G,7,FALSE),0)))</f>
        <v/>
      </c>
    </row>
    <row r="5463" ht="15" customHeight="1">
      <c r="C5463">
        <f>IF($B5463="","",INT($B5463))</f>
        <v/>
      </c>
      <c r="D5463">
        <f>IF($C5463="","",$C5463-WEEKDAY($C5463,2)+1)</f>
        <v/>
      </c>
      <c r="E5463">
        <f>IF($C5463="","",DATE(YEAR($C5463),MONTH($C5463),1))</f>
        <v/>
      </c>
      <c r="F5463">
        <f>IF($C5463="","",YEAR($C5463)&amp;"-Q"&amp;ROUNDUP(MONTH($C5463)/3,0))</f>
        <v/>
      </c>
      <c r="L5463">
        <f>IF($G5463&lt;&gt;"ALCOHOL","",IF($K5463="","",$H5463*IFERROR(VLOOKUP($K5463,Drink_Templates!$A:$G,7,FALSE),0)))</f>
        <v/>
      </c>
    </row>
    <row r="5464" ht="15" customHeight="1">
      <c r="C5464">
        <f>IF($B5464="","",INT($B5464))</f>
        <v/>
      </c>
      <c r="D5464">
        <f>IF($C5464="","",$C5464-WEEKDAY($C5464,2)+1)</f>
        <v/>
      </c>
      <c r="E5464">
        <f>IF($C5464="","",DATE(YEAR($C5464),MONTH($C5464),1))</f>
        <v/>
      </c>
      <c r="F5464">
        <f>IF($C5464="","",YEAR($C5464)&amp;"-Q"&amp;ROUNDUP(MONTH($C5464)/3,0))</f>
        <v/>
      </c>
      <c r="L5464">
        <f>IF($G5464&lt;&gt;"ALCOHOL","",IF($K5464="","",$H5464*IFERROR(VLOOKUP($K5464,Drink_Templates!$A:$G,7,FALSE),0)))</f>
        <v/>
      </c>
    </row>
    <row r="5465" ht="15" customHeight="1">
      <c r="C5465">
        <f>IF($B5465="","",INT($B5465))</f>
        <v/>
      </c>
      <c r="D5465">
        <f>IF($C5465="","",$C5465-WEEKDAY($C5465,2)+1)</f>
        <v/>
      </c>
      <c r="E5465">
        <f>IF($C5465="","",DATE(YEAR($C5465),MONTH($C5465),1))</f>
        <v/>
      </c>
      <c r="F5465">
        <f>IF($C5465="","",YEAR($C5465)&amp;"-Q"&amp;ROUNDUP(MONTH($C5465)/3,0))</f>
        <v/>
      </c>
      <c r="L5465">
        <f>IF($G5465&lt;&gt;"ALCOHOL","",IF($K5465="","",$H5465*IFERROR(VLOOKUP($K5465,Drink_Templates!$A:$G,7,FALSE),0)))</f>
        <v/>
      </c>
    </row>
    <row r="5466" ht="15" customHeight="1">
      <c r="C5466">
        <f>IF($B5466="","",INT($B5466))</f>
        <v/>
      </c>
      <c r="D5466">
        <f>IF($C5466="","",$C5466-WEEKDAY($C5466,2)+1)</f>
        <v/>
      </c>
      <c r="E5466">
        <f>IF($C5466="","",DATE(YEAR($C5466),MONTH($C5466),1))</f>
        <v/>
      </c>
      <c r="F5466">
        <f>IF($C5466="","",YEAR($C5466)&amp;"-Q"&amp;ROUNDUP(MONTH($C5466)/3,0))</f>
        <v/>
      </c>
      <c r="L5466">
        <f>IF($G5466&lt;&gt;"ALCOHOL","",IF($K5466="","",$H5466*IFERROR(VLOOKUP($K5466,Drink_Templates!$A:$G,7,FALSE),0)))</f>
        <v/>
      </c>
    </row>
    <row r="5467" ht="15" customHeight="1">
      <c r="C5467">
        <f>IF($B5467="","",INT($B5467))</f>
        <v/>
      </c>
      <c r="D5467">
        <f>IF($C5467="","",$C5467-WEEKDAY($C5467,2)+1)</f>
        <v/>
      </c>
      <c r="E5467">
        <f>IF($C5467="","",DATE(YEAR($C5467),MONTH($C5467),1))</f>
        <v/>
      </c>
      <c r="F5467">
        <f>IF($C5467="","",YEAR($C5467)&amp;"-Q"&amp;ROUNDUP(MONTH($C5467)/3,0))</f>
        <v/>
      </c>
      <c r="L5467">
        <f>IF($G5467&lt;&gt;"ALCOHOL","",IF($K5467="","",$H5467*IFERROR(VLOOKUP($K5467,Drink_Templates!$A:$G,7,FALSE),0)))</f>
        <v/>
      </c>
    </row>
    <row r="5468" ht="15" customHeight="1">
      <c r="C5468">
        <f>IF($B5468="","",INT($B5468))</f>
        <v/>
      </c>
      <c r="D5468">
        <f>IF($C5468="","",$C5468-WEEKDAY($C5468,2)+1)</f>
        <v/>
      </c>
      <c r="E5468">
        <f>IF($C5468="","",DATE(YEAR($C5468),MONTH($C5468),1))</f>
        <v/>
      </c>
      <c r="F5468">
        <f>IF($C5468="","",YEAR($C5468)&amp;"-Q"&amp;ROUNDUP(MONTH($C5468)/3,0))</f>
        <v/>
      </c>
      <c r="L5468">
        <f>IF($G5468&lt;&gt;"ALCOHOL","",IF($K5468="","",$H5468*IFERROR(VLOOKUP($K5468,Drink_Templates!$A:$G,7,FALSE),0)))</f>
        <v/>
      </c>
    </row>
    <row r="5469" ht="15" customHeight="1">
      <c r="C5469">
        <f>IF($B5469="","",INT($B5469))</f>
        <v/>
      </c>
      <c r="D5469">
        <f>IF($C5469="","",$C5469-WEEKDAY($C5469,2)+1)</f>
        <v/>
      </c>
      <c r="E5469">
        <f>IF($C5469="","",DATE(YEAR($C5469),MONTH($C5469),1))</f>
        <v/>
      </c>
      <c r="F5469">
        <f>IF($C5469="","",YEAR($C5469)&amp;"-Q"&amp;ROUNDUP(MONTH($C5469)/3,0))</f>
        <v/>
      </c>
      <c r="L5469">
        <f>IF($G5469&lt;&gt;"ALCOHOL","",IF($K5469="","",$H5469*IFERROR(VLOOKUP($K5469,Drink_Templates!$A:$G,7,FALSE),0)))</f>
        <v/>
      </c>
    </row>
    <row r="5470" ht="15" customHeight="1">
      <c r="C5470">
        <f>IF($B5470="","",INT($B5470))</f>
        <v/>
      </c>
      <c r="D5470">
        <f>IF($C5470="","",$C5470-WEEKDAY($C5470,2)+1)</f>
        <v/>
      </c>
      <c r="E5470">
        <f>IF($C5470="","",DATE(YEAR($C5470),MONTH($C5470),1))</f>
        <v/>
      </c>
      <c r="F5470">
        <f>IF($C5470="","",YEAR($C5470)&amp;"-Q"&amp;ROUNDUP(MONTH($C5470)/3,0))</f>
        <v/>
      </c>
      <c r="L5470">
        <f>IF($G5470&lt;&gt;"ALCOHOL","",IF($K5470="","",$H5470*IFERROR(VLOOKUP($K5470,Drink_Templates!$A:$G,7,FALSE),0)))</f>
        <v/>
      </c>
    </row>
    <row r="5471" ht="15" customHeight="1">
      <c r="C5471">
        <f>IF($B5471="","",INT($B5471))</f>
        <v/>
      </c>
      <c r="D5471">
        <f>IF($C5471="","",$C5471-WEEKDAY($C5471,2)+1)</f>
        <v/>
      </c>
      <c r="E5471">
        <f>IF($C5471="","",DATE(YEAR($C5471),MONTH($C5471),1))</f>
        <v/>
      </c>
      <c r="F5471">
        <f>IF($C5471="","",YEAR($C5471)&amp;"-Q"&amp;ROUNDUP(MONTH($C5471)/3,0))</f>
        <v/>
      </c>
      <c r="L5471">
        <f>IF($G5471&lt;&gt;"ALCOHOL","",IF($K5471="","",$H5471*IFERROR(VLOOKUP($K5471,Drink_Templates!$A:$G,7,FALSE),0)))</f>
        <v/>
      </c>
    </row>
    <row r="5472" ht="15" customHeight="1">
      <c r="C5472">
        <f>IF($B5472="","",INT($B5472))</f>
        <v/>
      </c>
      <c r="D5472">
        <f>IF($C5472="","",$C5472-WEEKDAY($C5472,2)+1)</f>
        <v/>
      </c>
      <c r="E5472">
        <f>IF($C5472="","",DATE(YEAR($C5472),MONTH($C5472),1))</f>
        <v/>
      </c>
      <c r="F5472">
        <f>IF($C5472="","",YEAR($C5472)&amp;"-Q"&amp;ROUNDUP(MONTH($C5472)/3,0))</f>
        <v/>
      </c>
      <c r="L5472">
        <f>IF($G5472&lt;&gt;"ALCOHOL","",IF($K5472="","",$H5472*IFERROR(VLOOKUP($K5472,Drink_Templates!$A:$G,7,FALSE),0)))</f>
        <v/>
      </c>
    </row>
    <row r="5473" ht="15" customHeight="1">
      <c r="C5473">
        <f>IF($B5473="","",INT($B5473))</f>
        <v/>
      </c>
      <c r="D5473">
        <f>IF($C5473="","",$C5473-WEEKDAY($C5473,2)+1)</f>
        <v/>
      </c>
      <c r="E5473">
        <f>IF($C5473="","",DATE(YEAR($C5473),MONTH($C5473),1))</f>
        <v/>
      </c>
      <c r="F5473">
        <f>IF($C5473="","",YEAR($C5473)&amp;"-Q"&amp;ROUNDUP(MONTH($C5473)/3,0))</f>
        <v/>
      </c>
      <c r="L5473">
        <f>IF($G5473&lt;&gt;"ALCOHOL","",IF($K5473="","",$H5473*IFERROR(VLOOKUP($K5473,Drink_Templates!$A:$G,7,FALSE),0)))</f>
        <v/>
      </c>
    </row>
    <row r="5474" ht="15" customHeight="1">
      <c r="C5474">
        <f>IF($B5474="","",INT($B5474))</f>
        <v/>
      </c>
      <c r="D5474">
        <f>IF($C5474="","",$C5474-WEEKDAY($C5474,2)+1)</f>
        <v/>
      </c>
      <c r="E5474">
        <f>IF($C5474="","",DATE(YEAR($C5474),MONTH($C5474),1))</f>
        <v/>
      </c>
      <c r="F5474">
        <f>IF($C5474="","",YEAR($C5474)&amp;"-Q"&amp;ROUNDUP(MONTH($C5474)/3,0))</f>
        <v/>
      </c>
      <c r="L5474">
        <f>IF($G5474&lt;&gt;"ALCOHOL","",IF($K5474="","",$H5474*IFERROR(VLOOKUP($K5474,Drink_Templates!$A:$G,7,FALSE),0)))</f>
        <v/>
      </c>
    </row>
    <row r="5475" ht="15" customHeight="1">
      <c r="C5475">
        <f>IF($B5475="","",INT($B5475))</f>
        <v/>
      </c>
      <c r="D5475">
        <f>IF($C5475="","",$C5475-WEEKDAY($C5475,2)+1)</f>
        <v/>
      </c>
      <c r="E5475">
        <f>IF($C5475="","",DATE(YEAR($C5475),MONTH($C5475),1))</f>
        <v/>
      </c>
      <c r="F5475">
        <f>IF($C5475="","",YEAR($C5475)&amp;"-Q"&amp;ROUNDUP(MONTH($C5475)/3,0))</f>
        <v/>
      </c>
      <c r="L5475">
        <f>IF($G5475&lt;&gt;"ALCOHOL","",IF($K5475="","",$H5475*IFERROR(VLOOKUP($K5475,Drink_Templates!$A:$G,7,FALSE),0)))</f>
        <v/>
      </c>
    </row>
    <row r="5476" ht="15" customHeight="1">
      <c r="C5476">
        <f>IF($B5476="","",INT($B5476))</f>
        <v/>
      </c>
      <c r="D5476">
        <f>IF($C5476="","",$C5476-WEEKDAY($C5476,2)+1)</f>
        <v/>
      </c>
      <c r="E5476">
        <f>IF($C5476="","",DATE(YEAR($C5476),MONTH($C5476),1))</f>
        <v/>
      </c>
      <c r="F5476">
        <f>IF($C5476="","",YEAR($C5476)&amp;"-Q"&amp;ROUNDUP(MONTH($C5476)/3,0))</f>
        <v/>
      </c>
      <c r="L5476">
        <f>IF($G5476&lt;&gt;"ALCOHOL","",IF($K5476="","",$H5476*IFERROR(VLOOKUP($K5476,Drink_Templates!$A:$G,7,FALSE),0)))</f>
        <v/>
      </c>
    </row>
    <row r="5477" ht="15" customHeight="1">
      <c r="C5477">
        <f>IF($B5477="","",INT($B5477))</f>
        <v/>
      </c>
      <c r="D5477">
        <f>IF($C5477="","",$C5477-WEEKDAY($C5477,2)+1)</f>
        <v/>
      </c>
      <c r="E5477">
        <f>IF($C5477="","",DATE(YEAR($C5477),MONTH($C5477),1))</f>
        <v/>
      </c>
      <c r="F5477">
        <f>IF($C5477="","",YEAR($C5477)&amp;"-Q"&amp;ROUNDUP(MONTH($C5477)/3,0))</f>
        <v/>
      </c>
      <c r="L5477">
        <f>IF($G5477&lt;&gt;"ALCOHOL","",IF($K5477="","",$H5477*IFERROR(VLOOKUP($K5477,Drink_Templates!$A:$G,7,FALSE),0)))</f>
        <v/>
      </c>
    </row>
    <row r="5478" ht="15" customHeight="1">
      <c r="C5478">
        <f>IF($B5478="","",INT($B5478))</f>
        <v/>
      </c>
      <c r="D5478">
        <f>IF($C5478="","",$C5478-WEEKDAY($C5478,2)+1)</f>
        <v/>
      </c>
      <c r="E5478">
        <f>IF($C5478="","",DATE(YEAR($C5478),MONTH($C5478),1))</f>
        <v/>
      </c>
      <c r="F5478">
        <f>IF($C5478="","",YEAR($C5478)&amp;"-Q"&amp;ROUNDUP(MONTH($C5478)/3,0))</f>
        <v/>
      </c>
      <c r="L5478">
        <f>IF($G5478&lt;&gt;"ALCOHOL","",IF($K5478="","",$H5478*IFERROR(VLOOKUP($K5478,Drink_Templates!$A:$G,7,FALSE),0)))</f>
        <v/>
      </c>
    </row>
    <row r="5479" ht="15" customHeight="1">
      <c r="C5479">
        <f>IF($B5479="","",INT($B5479))</f>
        <v/>
      </c>
      <c r="D5479">
        <f>IF($C5479="","",$C5479-WEEKDAY($C5479,2)+1)</f>
        <v/>
      </c>
      <c r="E5479">
        <f>IF($C5479="","",DATE(YEAR($C5479),MONTH($C5479),1))</f>
        <v/>
      </c>
      <c r="F5479">
        <f>IF($C5479="","",YEAR($C5479)&amp;"-Q"&amp;ROUNDUP(MONTH($C5479)/3,0))</f>
        <v/>
      </c>
      <c r="L5479">
        <f>IF($G5479&lt;&gt;"ALCOHOL","",IF($K5479="","",$H5479*IFERROR(VLOOKUP($K5479,Drink_Templates!$A:$G,7,FALSE),0)))</f>
        <v/>
      </c>
    </row>
    <row r="5480" ht="15" customHeight="1">
      <c r="C5480">
        <f>IF($B5480="","",INT($B5480))</f>
        <v/>
      </c>
      <c r="D5480">
        <f>IF($C5480="","",$C5480-WEEKDAY($C5480,2)+1)</f>
        <v/>
      </c>
      <c r="E5480">
        <f>IF($C5480="","",DATE(YEAR($C5480),MONTH($C5480),1))</f>
        <v/>
      </c>
      <c r="F5480">
        <f>IF($C5480="","",YEAR($C5480)&amp;"-Q"&amp;ROUNDUP(MONTH($C5480)/3,0))</f>
        <v/>
      </c>
      <c r="L5480">
        <f>IF($G5480&lt;&gt;"ALCOHOL","",IF($K5480="","",$H5480*IFERROR(VLOOKUP($K5480,Drink_Templates!$A:$G,7,FALSE),0)))</f>
        <v/>
      </c>
    </row>
    <row r="5481" ht="15" customHeight="1">
      <c r="C5481">
        <f>IF($B5481="","",INT($B5481))</f>
        <v/>
      </c>
      <c r="D5481">
        <f>IF($C5481="","",$C5481-WEEKDAY($C5481,2)+1)</f>
        <v/>
      </c>
      <c r="E5481">
        <f>IF($C5481="","",DATE(YEAR($C5481),MONTH($C5481),1))</f>
        <v/>
      </c>
      <c r="F5481">
        <f>IF($C5481="","",YEAR($C5481)&amp;"-Q"&amp;ROUNDUP(MONTH($C5481)/3,0))</f>
        <v/>
      </c>
      <c r="L5481">
        <f>IF($G5481&lt;&gt;"ALCOHOL","",IF($K5481="","",$H5481*IFERROR(VLOOKUP($K5481,Drink_Templates!$A:$G,7,FALSE),0)))</f>
        <v/>
      </c>
    </row>
    <row r="5482" ht="15" customHeight="1">
      <c r="C5482">
        <f>IF($B5482="","",INT($B5482))</f>
        <v/>
      </c>
      <c r="D5482">
        <f>IF($C5482="","",$C5482-WEEKDAY($C5482,2)+1)</f>
        <v/>
      </c>
      <c r="E5482">
        <f>IF($C5482="","",DATE(YEAR($C5482),MONTH($C5482),1))</f>
        <v/>
      </c>
      <c r="F5482">
        <f>IF($C5482="","",YEAR($C5482)&amp;"-Q"&amp;ROUNDUP(MONTH($C5482)/3,0))</f>
        <v/>
      </c>
      <c r="L5482">
        <f>IF($G5482&lt;&gt;"ALCOHOL","",IF($K5482="","",$H5482*IFERROR(VLOOKUP($K5482,Drink_Templates!$A:$G,7,FALSE),0)))</f>
        <v/>
      </c>
    </row>
    <row r="5483" ht="15" customHeight="1">
      <c r="C5483">
        <f>IF($B5483="","",INT($B5483))</f>
        <v/>
      </c>
      <c r="D5483">
        <f>IF($C5483="","",$C5483-WEEKDAY($C5483,2)+1)</f>
        <v/>
      </c>
      <c r="E5483">
        <f>IF($C5483="","",DATE(YEAR($C5483),MONTH($C5483),1))</f>
        <v/>
      </c>
      <c r="F5483">
        <f>IF($C5483="","",YEAR($C5483)&amp;"-Q"&amp;ROUNDUP(MONTH($C5483)/3,0))</f>
        <v/>
      </c>
      <c r="L5483">
        <f>IF($G5483&lt;&gt;"ALCOHOL","",IF($K5483="","",$H5483*IFERROR(VLOOKUP($K5483,Drink_Templates!$A:$G,7,FALSE),0)))</f>
        <v/>
      </c>
    </row>
    <row r="5484" ht="15" customHeight="1">
      <c r="C5484">
        <f>IF($B5484="","",INT($B5484))</f>
        <v/>
      </c>
      <c r="D5484">
        <f>IF($C5484="","",$C5484-WEEKDAY($C5484,2)+1)</f>
        <v/>
      </c>
      <c r="E5484">
        <f>IF($C5484="","",DATE(YEAR($C5484),MONTH($C5484),1))</f>
        <v/>
      </c>
      <c r="F5484">
        <f>IF($C5484="","",YEAR($C5484)&amp;"-Q"&amp;ROUNDUP(MONTH($C5484)/3,0))</f>
        <v/>
      </c>
      <c r="L5484">
        <f>IF($G5484&lt;&gt;"ALCOHOL","",IF($K5484="","",$H5484*IFERROR(VLOOKUP($K5484,Drink_Templates!$A:$G,7,FALSE),0)))</f>
        <v/>
      </c>
    </row>
    <row r="5485" ht="15" customHeight="1">
      <c r="C5485">
        <f>IF($B5485="","",INT($B5485))</f>
        <v/>
      </c>
      <c r="D5485">
        <f>IF($C5485="","",$C5485-WEEKDAY($C5485,2)+1)</f>
        <v/>
      </c>
      <c r="E5485">
        <f>IF($C5485="","",DATE(YEAR($C5485),MONTH($C5485),1))</f>
        <v/>
      </c>
      <c r="F5485">
        <f>IF($C5485="","",YEAR($C5485)&amp;"-Q"&amp;ROUNDUP(MONTH($C5485)/3,0))</f>
        <v/>
      </c>
      <c r="L5485">
        <f>IF($G5485&lt;&gt;"ALCOHOL","",IF($K5485="","",$H5485*IFERROR(VLOOKUP($K5485,Drink_Templates!$A:$G,7,FALSE),0)))</f>
        <v/>
      </c>
    </row>
    <row r="5486" ht="15" customHeight="1">
      <c r="C5486">
        <f>IF($B5486="","",INT($B5486))</f>
        <v/>
      </c>
      <c r="D5486">
        <f>IF($C5486="","",$C5486-WEEKDAY($C5486,2)+1)</f>
        <v/>
      </c>
      <c r="E5486">
        <f>IF($C5486="","",DATE(YEAR($C5486),MONTH($C5486),1))</f>
        <v/>
      </c>
      <c r="F5486">
        <f>IF($C5486="","",YEAR($C5486)&amp;"-Q"&amp;ROUNDUP(MONTH($C5486)/3,0))</f>
        <v/>
      </c>
      <c r="L5486">
        <f>IF($G5486&lt;&gt;"ALCOHOL","",IF($K5486="","",$H5486*IFERROR(VLOOKUP($K5486,Drink_Templates!$A:$G,7,FALSE),0)))</f>
        <v/>
      </c>
    </row>
    <row r="5487" ht="15" customHeight="1">
      <c r="C5487">
        <f>IF($B5487="","",INT($B5487))</f>
        <v/>
      </c>
      <c r="D5487">
        <f>IF($C5487="","",$C5487-WEEKDAY($C5487,2)+1)</f>
        <v/>
      </c>
      <c r="E5487">
        <f>IF($C5487="","",DATE(YEAR($C5487),MONTH($C5487),1))</f>
        <v/>
      </c>
      <c r="F5487">
        <f>IF($C5487="","",YEAR($C5487)&amp;"-Q"&amp;ROUNDUP(MONTH($C5487)/3,0))</f>
        <v/>
      </c>
      <c r="L5487">
        <f>IF($G5487&lt;&gt;"ALCOHOL","",IF($K5487="","",$H5487*IFERROR(VLOOKUP($K5487,Drink_Templates!$A:$G,7,FALSE),0)))</f>
        <v/>
      </c>
    </row>
    <row r="5488" ht="15" customHeight="1">
      <c r="C5488">
        <f>IF($B5488="","",INT($B5488))</f>
        <v/>
      </c>
      <c r="D5488">
        <f>IF($C5488="","",$C5488-WEEKDAY($C5488,2)+1)</f>
        <v/>
      </c>
      <c r="E5488">
        <f>IF($C5488="","",DATE(YEAR($C5488),MONTH($C5488),1))</f>
        <v/>
      </c>
      <c r="F5488">
        <f>IF($C5488="","",YEAR($C5488)&amp;"-Q"&amp;ROUNDUP(MONTH($C5488)/3,0))</f>
        <v/>
      </c>
      <c r="L5488">
        <f>IF($G5488&lt;&gt;"ALCOHOL","",IF($K5488="","",$H5488*IFERROR(VLOOKUP($K5488,Drink_Templates!$A:$G,7,FALSE),0)))</f>
        <v/>
      </c>
    </row>
    <row r="5489" ht="15" customHeight="1">
      <c r="C5489">
        <f>IF($B5489="","",INT($B5489))</f>
        <v/>
      </c>
      <c r="D5489">
        <f>IF($C5489="","",$C5489-WEEKDAY($C5489,2)+1)</f>
        <v/>
      </c>
      <c r="E5489">
        <f>IF($C5489="","",DATE(YEAR($C5489),MONTH($C5489),1))</f>
        <v/>
      </c>
      <c r="F5489">
        <f>IF($C5489="","",YEAR($C5489)&amp;"-Q"&amp;ROUNDUP(MONTH($C5489)/3,0))</f>
        <v/>
      </c>
      <c r="L5489">
        <f>IF($G5489&lt;&gt;"ALCOHOL","",IF($K5489="","",$H5489*IFERROR(VLOOKUP($K5489,Drink_Templates!$A:$G,7,FALSE),0)))</f>
        <v/>
      </c>
    </row>
    <row r="5490" ht="15" customHeight="1">
      <c r="C5490">
        <f>IF($B5490="","",INT($B5490))</f>
        <v/>
      </c>
      <c r="D5490">
        <f>IF($C5490="","",$C5490-WEEKDAY($C5490,2)+1)</f>
        <v/>
      </c>
      <c r="E5490">
        <f>IF($C5490="","",DATE(YEAR($C5490),MONTH($C5490),1))</f>
        <v/>
      </c>
      <c r="F5490">
        <f>IF($C5490="","",YEAR($C5490)&amp;"-Q"&amp;ROUNDUP(MONTH($C5490)/3,0))</f>
        <v/>
      </c>
      <c r="L5490">
        <f>IF($G5490&lt;&gt;"ALCOHOL","",IF($K5490="","",$H5490*IFERROR(VLOOKUP($K5490,Drink_Templates!$A:$G,7,FALSE),0)))</f>
        <v/>
      </c>
    </row>
    <row r="5491" ht="15" customHeight="1">
      <c r="C5491">
        <f>IF($B5491="","",INT($B5491))</f>
        <v/>
      </c>
      <c r="D5491">
        <f>IF($C5491="","",$C5491-WEEKDAY($C5491,2)+1)</f>
        <v/>
      </c>
      <c r="E5491">
        <f>IF($C5491="","",DATE(YEAR($C5491),MONTH($C5491),1))</f>
        <v/>
      </c>
      <c r="F5491">
        <f>IF($C5491="","",YEAR($C5491)&amp;"-Q"&amp;ROUNDUP(MONTH($C5491)/3,0))</f>
        <v/>
      </c>
      <c r="L5491">
        <f>IF($G5491&lt;&gt;"ALCOHOL","",IF($K5491="","",$H5491*IFERROR(VLOOKUP($K5491,Drink_Templates!$A:$G,7,FALSE),0)))</f>
        <v/>
      </c>
    </row>
    <row r="5492" ht="15" customHeight="1">
      <c r="C5492">
        <f>IF($B5492="","",INT($B5492))</f>
        <v/>
      </c>
      <c r="D5492">
        <f>IF($C5492="","",$C5492-WEEKDAY($C5492,2)+1)</f>
        <v/>
      </c>
      <c r="E5492">
        <f>IF($C5492="","",DATE(YEAR($C5492),MONTH($C5492),1))</f>
        <v/>
      </c>
      <c r="F5492">
        <f>IF($C5492="","",YEAR($C5492)&amp;"-Q"&amp;ROUNDUP(MONTH($C5492)/3,0))</f>
        <v/>
      </c>
      <c r="L5492">
        <f>IF($G5492&lt;&gt;"ALCOHOL","",IF($K5492="","",$H5492*IFERROR(VLOOKUP($K5492,Drink_Templates!$A:$G,7,FALSE),0)))</f>
        <v/>
      </c>
    </row>
    <row r="5493" ht="15" customHeight="1">
      <c r="C5493">
        <f>IF($B5493="","",INT($B5493))</f>
        <v/>
      </c>
      <c r="D5493">
        <f>IF($C5493="","",$C5493-WEEKDAY($C5493,2)+1)</f>
        <v/>
      </c>
      <c r="E5493">
        <f>IF($C5493="","",DATE(YEAR($C5493),MONTH($C5493),1))</f>
        <v/>
      </c>
      <c r="F5493">
        <f>IF($C5493="","",YEAR($C5493)&amp;"-Q"&amp;ROUNDUP(MONTH($C5493)/3,0))</f>
        <v/>
      </c>
      <c r="L5493">
        <f>IF($G5493&lt;&gt;"ALCOHOL","",IF($K5493="","",$H5493*IFERROR(VLOOKUP($K5493,Drink_Templates!$A:$G,7,FALSE),0)))</f>
        <v/>
      </c>
    </row>
    <row r="5494" ht="15" customHeight="1">
      <c r="C5494">
        <f>IF($B5494="","",INT($B5494))</f>
        <v/>
      </c>
      <c r="D5494">
        <f>IF($C5494="","",$C5494-WEEKDAY($C5494,2)+1)</f>
        <v/>
      </c>
      <c r="E5494">
        <f>IF($C5494="","",DATE(YEAR($C5494),MONTH($C5494),1))</f>
        <v/>
      </c>
      <c r="F5494">
        <f>IF($C5494="","",YEAR($C5494)&amp;"-Q"&amp;ROUNDUP(MONTH($C5494)/3,0))</f>
        <v/>
      </c>
      <c r="L5494">
        <f>IF($G5494&lt;&gt;"ALCOHOL","",IF($K5494="","",$H5494*IFERROR(VLOOKUP($K5494,Drink_Templates!$A:$G,7,FALSE),0)))</f>
        <v/>
      </c>
    </row>
    <row r="5495" ht="15" customHeight="1">
      <c r="C5495">
        <f>IF($B5495="","",INT($B5495))</f>
        <v/>
      </c>
      <c r="D5495">
        <f>IF($C5495="","",$C5495-WEEKDAY($C5495,2)+1)</f>
        <v/>
      </c>
      <c r="E5495">
        <f>IF($C5495="","",DATE(YEAR($C5495),MONTH($C5495),1))</f>
        <v/>
      </c>
      <c r="F5495">
        <f>IF($C5495="","",YEAR($C5495)&amp;"-Q"&amp;ROUNDUP(MONTH($C5495)/3,0))</f>
        <v/>
      </c>
      <c r="L5495">
        <f>IF($G5495&lt;&gt;"ALCOHOL","",IF($K5495="","",$H5495*IFERROR(VLOOKUP($K5495,Drink_Templates!$A:$G,7,FALSE),0)))</f>
        <v/>
      </c>
    </row>
    <row r="5496" ht="15" customHeight="1">
      <c r="C5496">
        <f>IF($B5496="","",INT($B5496))</f>
        <v/>
      </c>
      <c r="D5496">
        <f>IF($C5496="","",$C5496-WEEKDAY($C5496,2)+1)</f>
        <v/>
      </c>
      <c r="E5496">
        <f>IF($C5496="","",DATE(YEAR($C5496),MONTH($C5496),1))</f>
        <v/>
      </c>
      <c r="F5496">
        <f>IF($C5496="","",YEAR($C5496)&amp;"-Q"&amp;ROUNDUP(MONTH($C5496)/3,0))</f>
        <v/>
      </c>
      <c r="L5496">
        <f>IF($G5496&lt;&gt;"ALCOHOL","",IF($K5496="","",$H5496*IFERROR(VLOOKUP($K5496,Drink_Templates!$A:$G,7,FALSE),0)))</f>
        <v/>
      </c>
    </row>
    <row r="5497" ht="15" customHeight="1">
      <c r="C5497">
        <f>IF($B5497="","",INT($B5497))</f>
        <v/>
      </c>
      <c r="D5497">
        <f>IF($C5497="","",$C5497-WEEKDAY($C5497,2)+1)</f>
        <v/>
      </c>
      <c r="E5497">
        <f>IF($C5497="","",DATE(YEAR($C5497),MONTH($C5497),1))</f>
        <v/>
      </c>
      <c r="F5497">
        <f>IF($C5497="","",YEAR($C5497)&amp;"-Q"&amp;ROUNDUP(MONTH($C5497)/3,0))</f>
        <v/>
      </c>
      <c r="L5497">
        <f>IF($G5497&lt;&gt;"ALCOHOL","",IF($K5497="","",$H5497*IFERROR(VLOOKUP($K5497,Drink_Templates!$A:$G,7,FALSE),0)))</f>
        <v/>
      </c>
    </row>
    <row r="5498" ht="15" customHeight="1">
      <c r="C5498">
        <f>IF($B5498="","",INT($B5498))</f>
        <v/>
      </c>
      <c r="D5498">
        <f>IF($C5498="","",$C5498-WEEKDAY($C5498,2)+1)</f>
        <v/>
      </c>
      <c r="E5498">
        <f>IF($C5498="","",DATE(YEAR($C5498),MONTH($C5498),1))</f>
        <v/>
      </c>
      <c r="F5498">
        <f>IF($C5498="","",YEAR($C5498)&amp;"-Q"&amp;ROUNDUP(MONTH($C5498)/3,0))</f>
        <v/>
      </c>
      <c r="L5498">
        <f>IF($G5498&lt;&gt;"ALCOHOL","",IF($K5498="","",$H5498*IFERROR(VLOOKUP($K5498,Drink_Templates!$A:$G,7,FALSE),0)))</f>
        <v/>
      </c>
    </row>
    <row r="5499" ht="15" customHeight="1">
      <c r="C5499">
        <f>IF($B5499="","",INT($B5499))</f>
        <v/>
      </c>
      <c r="D5499">
        <f>IF($C5499="","",$C5499-WEEKDAY($C5499,2)+1)</f>
        <v/>
      </c>
      <c r="E5499">
        <f>IF($C5499="","",DATE(YEAR($C5499),MONTH($C5499),1))</f>
        <v/>
      </c>
      <c r="F5499">
        <f>IF($C5499="","",YEAR($C5499)&amp;"-Q"&amp;ROUNDUP(MONTH($C5499)/3,0))</f>
        <v/>
      </c>
      <c r="L5499">
        <f>IF($G5499&lt;&gt;"ALCOHOL","",IF($K5499="","",$H5499*IFERROR(VLOOKUP($K5499,Drink_Templates!$A:$G,7,FALSE),0)))</f>
        <v/>
      </c>
    </row>
    <row r="5500" ht="15" customHeight="1">
      <c r="C5500">
        <f>IF($B5500="","",INT($B5500))</f>
        <v/>
      </c>
      <c r="D5500">
        <f>IF($C5500="","",$C5500-WEEKDAY($C5500,2)+1)</f>
        <v/>
      </c>
      <c r="E5500">
        <f>IF($C5500="","",DATE(YEAR($C5500),MONTH($C5500),1))</f>
        <v/>
      </c>
      <c r="F5500">
        <f>IF($C5500="","",YEAR($C5500)&amp;"-Q"&amp;ROUNDUP(MONTH($C5500)/3,0))</f>
        <v/>
      </c>
      <c r="L5500">
        <f>IF($G5500&lt;&gt;"ALCOHOL","",IF($K5500="","",$H5500*IFERROR(VLOOKUP($K5500,Drink_Templates!$A:$G,7,FALSE),0)))</f>
        <v/>
      </c>
    </row>
    <row r="5501" ht="15" customHeight="1">
      <c r="C5501">
        <f>IF($B5501="","",INT($B5501))</f>
        <v/>
      </c>
      <c r="D5501">
        <f>IF($C5501="","",$C5501-WEEKDAY($C5501,2)+1)</f>
        <v/>
      </c>
      <c r="E5501">
        <f>IF($C5501="","",DATE(YEAR($C5501),MONTH($C5501),1))</f>
        <v/>
      </c>
      <c r="F5501">
        <f>IF($C5501="","",YEAR($C5501)&amp;"-Q"&amp;ROUNDUP(MONTH($C5501)/3,0))</f>
        <v/>
      </c>
      <c r="L5501">
        <f>IF($G5501&lt;&gt;"ALCOHOL","",IF($K5501="","",$H5501*IFERROR(VLOOKUP($K5501,Drink_Templates!$A:$G,7,FALSE),0)))</f>
        <v/>
      </c>
    </row>
    <row r="5502" ht="15" customHeight="1">
      <c r="C5502">
        <f>IF($B5502="","",INT($B5502))</f>
        <v/>
      </c>
      <c r="D5502">
        <f>IF($C5502="","",$C5502-WEEKDAY($C5502,2)+1)</f>
        <v/>
      </c>
      <c r="E5502">
        <f>IF($C5502="","",DATE(YEAR($C5502),MONTH($C5502),1))</f>
        <v/>
      </c>
      <c r="F5502">
        <f>IF($C5502="","",YEAR($C5502)&amp;"-Q"&amp;ROUNDUP(MONTH($C5502)/3,0))</f>
        <v/>
      </c>
      <c r="L5502">
        <f>IF($G5502&lt;&gt;"ALCOHOL","",IF($K5502="","",$H5502*IFERROR(VLOOKUP($K5502,Drink_Templates!$A:$G,7,FALSE),0)))</f>
        <v/>
      </c>
    </row>
    <row r="5503" ht="15" customHeight="1">
      <c r="C5503">
        <f>IF($B5503="","",INT($B5503))</f>
        <v/>
      </c>
      <c r="D5503">
        <f>IF($C5503="","",$C5503-WEEKDAY($C5503,2)+1)</f>
        <v/>
      </c>
      <c r="E5503">
        <f>IF($C5503="","",DATE(YEAR($C5503),MONTH($C5503),1))</f>
        <v/>
      </c>
      <c r="F5503">
        <f>IF($C5503="","",YEAR($C5503)&amp;"-Q"&amp;ROUNDUP(MONTH($C5503)/3,0))</f>
        <v/>
      </c>
      <c r="L5503">
        <f>IF($G5503&lt;&gt;"ALCOHOL","",IF($K5503="","",$H5503*IFERROR(VLOOKUP($K5503,Drink_Templates!$A:$G,7,FALSE),0)))</f>
        <v/>
      </c>
    </row>
    <row r="5504" ht="15" customHeight="1">
      <c r="C5504">
        <f>IF($B5504="","",INT($B5504))</f>
        <v/>
      </c>
      <c r="D5504">
        <f>IF($C5504="","",$C5504-WEEKDAY($C5504,2)+1)</f>
        <v/>
      </c>
      <c r="E5504">
        <f>IF($C5504="","",DATE(YEAR($C5504),MONTH($C5504),1))</f>
        <v/>
      </c>
      <c r="F5504">
        <f>IF($C5504="","",YEAR($C5504)&amp;"-Q"&amp;ROUNDUP(MONTH($C5504)/3,0))</f>
        <v/>
      </c>
      <c r="L5504">
        <f>IF($G5504&lt;&gt;"ALCOHOL","",IF($K5504="","",$H5504*IFERROR(VLOOKUP($K5504,Drink_Templates!$A:$G,7,FALSE),0)))</f>
        <v/>
      </c>
    </row>
    <row r="5505" ht="15" customHeight="1">
      <c r="C5505">
        <f>IF($B5505="","",INT($B5505))</f>
        <v/>
      </c>
      <c r="D5505">
        <f>IF($C5505="","",$C5505-WEEKDAY($C5505,2)+1)</f>
        <v/>
      </c>
      <c r="E5505">
        <f>IF($C5505="","",DATE(YEAR($C5505),MONTH($C5505),1))</f>
        <v/>
      </c>
      <c r="F5505">
        <f>IF($C5505="","",YEAR($C5505)&amp;"-Q"&amp;ROUNDUP(MONTH($C5505)/3,0))</f>
        <v/>
      </c>
      <c r="L5505">
        <f>IF($G5505&lt;&gt;"ALCOHOL","",IF($K5505="","",$H5505*IFERROR(VLOOKUP($K5505,Drink_Templates!$A:$G,7,FALSE),0)))</f>
        <v/>
      </c>
    </row>
    <row r="5506" ht="15" customHeight="1">
      <c r="C5506">
        <f>IF($B5506="","",INT($B5506))</f>
        <v/>
      </c>
      <c r="D5506">
        <f>IF($C5506="","",$C5506-WEEKDAY($C5506,2)+1)</f>
        <v/>
      </c>
      <c r="E5506">
        <f>IF($C5506="","",DATE(YEAR($C5506),MONTH($C5506),1))</f>
        <v/>
      </c>
      <c r="F5506">
        <f>IF($C5506="","",YEAR($C5506)&amp;"-Q"&amp;ROUNDUP(MONTH($C5506)/3,0))</f>
        <v/>
      </c>
      <c r="L5506">
        <f>IF($G5506&lt;&gt;"ALCOHOL","",IF($K5506="","",$H5506*IFERROR(VLOOKUP($K5506,Drink_Templates!$A:$G,7,FALSE),0)))</f>
        <v/>
      </c>
    </row>
    <row r="5507" ht="15" customHeight="1">
      <c r="C5507">
        <f>IF($B5507="","",INT($B5507))</f>
        <v/>
      </c>
      <c r="D5507">
        <f>IF($C5507="","",$C5507-WEEKDAY($C5507,2)+1)</f>
        <v/>
      </c>
      <c r="E5507">
        <f>IF($C5507="","",DATE(YEAR($C5507),MONTH($C5507),1))</f>
        <v/>
      </c>
      <c r="F5507">
        <f>IF($C5507="","",YEAR($C5507)&amp;"-Q"&amp;ROUNDUP(MONTH($C5507)/3,0))</f>
        <v/>
      </c>
      <c r="L5507">
        <f>IF($G5507&lt;&gt;"ALCOHOL","",IF($K5507="","",$H5507*IFERROR(VLOOKUP($K5507,Drink_Templates!$A:$G,7,FALSE),0)))</f>
        <v/>
      </c>
    </row>
    <row r="5508" ht="15" customHeight="1">
      <c r="C5508">
        <f>IF($B5508="","",INT($B5508))</f>
        <v/>
      </c>
      <c r="D5508">
        <f>IF($C5508="","",$C5508-WEEKDAY($C5508,2)+1)</f>
        <v/>
      </c>
      <c r="E5508">
        <f>IF($C5508="","",DATE(YEAR($C5508),MONTH($C5508),1))</f>
        <v/>
      </c>
      <c r="F5508">
        <f>IF($C5508="","",YEAR($C5508)&amp;"-Q"&amp;ROUNDUP(MONTH($C5508)/3,0))</f>
        <v/>
      </c>
      <c r="L5508">
        <f>IF($G5508&lt;&gt;"ALCOHOL","",IF($K5508="","",$H5508*IFERROR(VLOOKUP($K5508,Drink_Templates!$A:$G,7,FALSE),0)))</f>
        <v/>
      </c>
    </row>
    <row r="5509" ht="15" customHeight="1">
      <c r="C5509">
        <f>IF($B5509="","",INT($B5509))</f>
        <v/>
      </c>
      <c r="D5509">
        <f>IF($C5509="","",$C5509-WEEKDAY($C5509,2)+1)</f>
        <v/>
      </c>
      <c r="E5509">
        <f>IF($C5509="","",DATE(YEAR($C5509),MONTH($C5509),1))</f>
        <v/>
      </c>
      <c r="F5509">
        <f>IF($C5509="","",YEAR($C5509)&amp;"-Q"&amp;ROUNDUP(MONTH($C5509)/3,0))</f>
        <v/>
      </c>
      <c r="L5509">
        <f>IF($G5509&lt;&gt;"ALCOHOL","",IF($K5509="","",$H5509*IFERROR(VLOOKUP($K5509,Drink_Templates!$A:$G,7,FALSE),0)))</f>
        <v/>
      </c>
    </row>
    <row r="5510" ht="15" customHeight="1">
      <c r="C5510">
        <f>IF($B5510="","",INT($B5510))</f>
        <v/>
      </c>
      <c r="D5510">
        <f>IF($C5510="","",$C5510-WEEKDAY($C5510,2)+1)</f>
        <v/>
      </c>
      <c r="E5510">
        <f>IF($C5510="","",DATE(YEAR($C5510),MONTH($C5510),1))</f>
        <v/>
      </c>
      <c r="F5510">
        <f>IF($C5510="","",YEAR($C5510)&amp;"-Q"&amp;ROUNDUP(MONTH($C5510)/3,0))</f>
        <v/>
      </c>
      <c r="L5510">
        <f>IF($G5510&lt;&gt;"ALCOHOL","",IF($K5510="","",$H5510*IFERROR(VLOOKUP($K5510,Drink_Templates!$A:$G,7,FALSE),0)))</f>
        <v/>
      </c>
    </row>
    <row r="5511" ht="15" customHeight="1">
      <c r="C5511">
        <f>IF($B5511="","",INT($B5511))</f>
        <v/>
      </c>
      <c r="D5511">
        <f>IF($C5511="","",$C5511-WEEKDAY($C5511,2)+1)</f>
        <v/>
      </c>
      <c r="E5511">
        <f>IF($C5511="","",DATE(YEAR($C5511),MONTH($C5511),1))</f>
        <v/>
      </c>
      <c r="F5511">
        <f>IF($C5511="","",YEAR($C5511)&amp;"-Q"&amp;ROUNDUP(MONTH($C5511)/3,0))</f>
        <v/>
      </c>
      <c r="L5511">
        <f>IF($G5511&lt;&gt;"ALCOHOL","",IF($K5511="","",$H5511*IFERROR(VLOOKUP($K5511,Drink_Templates!$A:$G,7,FALSE),0)))</f>
        <v/>
      </c>
    </row>
    <row r="5512" ht="15" customHeight="1">
      <c r="C5512">
        <f>IF($B5512="","",INT($B5512))</f>
        <v/>
      </c>
      <c r="D5512">
        <f>IF($C5512="","",$C5512-WEEKDAY($C5512,2)+1)</f>
        <v/>
      </c>
      <c r="E5512">
        <f>IF($C5512="","",DATE(YEAR($C5512),MONTH($C5512),1))</f>
        <v/>
      </c>
      <c r="F5512">
        <f>IF($C5512="","",YEAR($C5512)&amp;"-Q"&amp;ROUNDUP(MONTH($C5512)/3,0))</f>
        <v/>
      </c>
      <c r="L5512">
        <f>IF($G5512&lt;&gt;"ALCOHOL","",IF($K5512="","",$H5512*IFERROR(VLOOKUP($K5512,Drink_Templates!$A:$G,7,FALSE),0)))</f>
        <v/>
      </c>
    </row>
    <row r="5513" ht="15" customHeight="1">
      <c r="C5513">
        <f>IF($B5513="","",INT($B5513))</f>
        <v/>
      </c>
      <c r="D5513">
        <f>IF($C5513="","",$C5513-WEEKDAY($C5513,2)+1)</f>
        <v/>
      </c>
      <c r="E5513">
        <f>IF($C5513="","",DATE(YEAR($C5513),MONTH($C5513),1))</f>
        <v/>
      </c>
      <c r="F5513">
        <f>IF($C5513="","",YEAR($C5513)&amp;"-Q"&amp;ROUNDUP(MONTH($C5513)/3,0))</f>
        <v/>
      </c>
      <c r="L5513">
        <f>IF($G5513&lt;&gt;"ALCOHOL","",IF($K5513="","",$H5513*IFERROR(VLOOKUP($K5513,Drink_Templates!$A:$G,7,FALSE),0)))</f>
        <v/>
      </c>
    </row>
    <row r="5514" ht="15" customHeight="1">
      <c r="C5514">
        <f>IF($B5514="","",INT($B5514))</f>
        <v/>
      </c>
      <c r="D5514">
        <f>IF($C5514="","",$C5514-WEEKDAY($C5514,2)+1)</f>
        <v/>
      </c>
      <c r="E5514">
        <f>IF($C5514="","",DATE(YEAR($C5514),MONTH($C5514),1))</f>
        <v/>
      </c>
      <c r="F5514">
        <f>IF($C5514="","",YEAR($C5514)&amp;"-Q"&amp;ROUNDUP(MONTH($C5514)/3,0))</f>
        <v/>
      </c>
      <c r="L5514">
        <f>IF($G5514&lt;&gt;"ALCOHOL","",IF($K5514="","",$H5514*IFERROR(VLOOKUP($K5514,Drink_Templates!$A:$G,7,FALSE),0)))</f>
        <v/>
      </c>
    </row>
    <row r="5515" ht="15" customHeight="1">
      <c r="C5515">
        <f>IF($B5515="","",INT($B5515))</f>
        <v/>
      </c>
      <c r="D5515">
        <f>IF($C5515="","",$C5515-WEEKDAY($C5515,2)+1)</f>
        <v/>
      </c>
      <c r="E5515">
        <f>IF($C5515="","",DATE(YEAR($C5515),MONTH($C5515),1))</f>
        <v/>
      </c>
      <c r="F5515">
        <f>IF($C5515="","",YEAR($C5515)&amp;"-Q"&amp;ROUNDUP(MONTH($C5515)/3,0))</f>
        <v/>
      </c>
      <c r="L5515">
        <f>IF($G5515&lt;&gt;"ALCOHOL","",IF($K5515="","",$H5515*IFERROR(VLOOKUP($K5515,Drink_Templates!$A:$G,7,FALSE),0)))</f>
        <v/>
      </c>
    </row>
    <row r="5516" ht="15" customHeight="1">
      <c r="C5516">
        <f>IF($B5516="","",INT($B5516))</f>
        <v/>
      </c>
      <c r="D5516">
        <f>IF($C5516="","",$C5516-WEEKDAY($C5516,2)+1)</f>
        <v/>
      </c>
      <c r="E5516">
        <f>IF($C5516="","",DATE(YEAR($C5516),MONTH($C5516),1))</f>
        <v/>
      </c>
      <c r="F5516">
        <f>IF($C5516="","",YEAR($C5516)&amp;"-Q"&amp;ROUNDUP(MONTH($C5516)/3,0))</f>
        <v/>
      </c>
      <c r="L5516">
        <f>IF($G5516&lt;&gt;"ALCOHOL","",IF($K5516="","",$H5516*IFERROR(VLOOKUP($K5516,Drink_Templates!$A:$G,7,FALSE),0)))</f>
        <v/>
      </c>
    </row>
    <row r="5517" ht="15" customHeight="1">
      <c r="C5517">
        <f>IF($B5517="","",INT($B5517))</f>
        <v/>
      </c>
      <c r="D5517">
        <f>IF($C5517="","",$C5517-WEEKDAY($C5517,2)+1)</f>
        <v/>
      </c>
      <c r="E5517">
        <f>IF($C5517="","",DATE(YEAR($C5517),MONTH($C5517),1))</f>
        <v/>
      </c>
      <c r="F5517">
        <f>IF($C5517="","",YEAR($C5517)&amp;"-Q"&amp;ROUNDUP(MONTH($C5517)/3,0))</f>
        <v/>
      </c>
      <c r="L5517">
        <f>IF($G5517&lt;&gt;"ALCOHOL","",IF($K5517="","",$H5517*IFERROR(VLOOKUP($K5517,Drink_Templates!$A:$G,7,FALSE),0)))</f>
        <v/>
      </c>
    </row>
    <row r="5518" ht="15" customHeight="1">
      <c r="C5518">
        <f>IF($B5518="","",INT($B5518))</f>
        <v/>
      </c>
      <c r="D5518">
        <f>IF($C5518="","",$C5518-WEEKDAY($C5518,2)+1)</f>
        <v/>
      </c>
      <c r="E5518">
        <f>IF($C5518="","",DATE(YEAR($C5518),MONTH($C5518),1))</f>
        <v/>
      </c>
      <c r="F5518">
        <f>IF($C5518="","",YEAR($C5518)&amp;"-Q"&amp;ROUNDUP(MONTH($C5518)/3,0))</f>
        <v/>
      </c>
      <c r="L5518">
        <f>IF($G5518&lt;&gt;"ALCOHOL","",IF($K5518="","",$H5518*IFERROR(VLOOKUP($K5518,Drink_Templates!$A:$G,7,FALSE),0)))</f>
        <v/>
      </c>
    </row>
    <row r="5519" ht="15" customHeight="1">
      <c r="C5519">
        <f>IF($B5519="","",INT($B5519))</f>
        <v/>
      </c>
      <c r="D5519">
        <f>IF($C5519="","",$C5519-WEEKDAY($C5519,2)+1)</f>
        <v/>
      </c>
      <c r="E5519">
        <f>IF($C5519="","",DATE(YEAR($C5519),MONTH($C5519),1))</f>
        <v/>
      </c>
      <c r="F5519">
        <f>IF($C5519="","",YEAR($C5519)&amp;"-Q"&amp;ROUNDUP(MONTH($C5519)/3,0))</f>
        <v/>
      </c>
      <c r="L5519">
        <f>IF($G5519&lt;&gt;"ALCOHOL","",IF($K5519="","",$H5519*IFERROR(VLOOKUP($K5519,Drink_Templates!$A:$G,7,FALSE),0)))</f>
        <v/>
      </c>
    </row>
    <row r="5520" ht="15" customHeight="1">
      <c r="C5520">
        <f>IF($B5520="","",INT($B5520))</f>
        <v/>
      </c>
      <c r="D5520">
        <f>IF($C5520="","",$C5520-WEEKDAY($C5520,2)+1)</f>
        <v/>
      </c>
      <c r="E5520">
        <f>IF($C5520="","",DATE(YEAR($C5520),MONTH($C5520),1))</f>
        <v/>
      </c>
      <c r="F5520">
        <f>IF($C5520="","",YEAR($C5520)&amp;"-Q"&amp;ROUNDUP(MONTH($C5520)/3,0))</f>
        <v/>
      </c>
      <c r="L5520">
        <f>IF($G5520&lt;&gt;"ALCOHOL","",IF($K5520="","",$H5520*IFERROR(VLOOKUP($K5520,Drink_Templates!$A:$G,7,FALSE),0)))</f>
        <v/>
      </c>
    </row>
    <row r="5521" ht="15" customHeight="1">
      <c r="C5521">
        <f>IF($B5521="","",INT($B5521))</f>
        <v/>
      </c>
      <c r="D5521">
        <f>IF($C5521="","",$C5521-WEEKDAY($C5521,2)+1)</f>
        <v/>
      </c>
      <c r="E5521">
        <f>IF($C5521="","",DATE(YEAR($C5521),MONTH($C5521),1))</f>
        <v/>
      </c>
      <c r="F5521">
        <f>IF($C5521="","",YEAR($C5521)&amp;"-Q"&amp;ROUNDUP(MONTH($C5521)/3,0))</f>
        <v/>
      </c>
      <c r="L5521">
        <f>IF($G5521&lt;&gt;"ALCOHOL","",IF($K5521="","",$H5521*IFERROR(VLOOKUP($K5521,Drink_Templates!$A:$G,7,FALSE),0)))</f>
        <v/>
      </c>
    </row>
    <row r="5522" ht="15" customHeight="1">
      <c r="C5522">
        <f>IF($B5522="","",INT($B5522))</f>
        <v/>
      </c>
      <c r="D5522">
        <f>IF($C5522="","",$C5522-WEEKDAY($C5522,2)+1)</f>
        <v/>
      </c>
      <c r="E5522">
        <f>IF($C5522="","",DATE(YEAR($C5522),MONTH($C5522),1))</f>
        <v/>
      </c>
      <c r="F5522">
        <f>IF($C5522="","",YEAR($C5522)&amp;"-Q"&amp;ROUNDUP(MONTH($C5522)/3,0))</f>
        <v/>
      </c>
      <c r="L5522">
        <f>IF($G5522&lt;&gt;"ALCOHOL","",IF($K5522="","",$H5522*IFERROR(VLOOKUP($K5522,Drink_Templates!$A:$G,7,FALSE),0)))</f>
        <v/>
      </c>
    </row>
    <row r="5523" ht="15" customHeight="1">
      <c r="C5523">
        <f>IF($B5523="","",INT($B5523))</f>
        <v/>
      </c>
      <c r="D5523">
        <f>IF($C5523="","",$C5523-WEEKDAY($C5523,2)+1)</f>
        <v/>
      </c>
      <c r="E5523">
        <f>IF($C5523="","",DATE(YEAR($C5523),MONTH($C5523),1))</f>
        <v/>
      </c>
      <c r="F5523">
        <f>IF($C5523="","",YEAR($C5523)&amp;"-Q"&amp;ROUNDUP(MONTH($C5523)/3,0))</f>
        <v/>
      </c>
      <c r="L5523">
        <f>IF($G5523&lt;&gt;"ALCOHOL","",IF($K5523="","",$H5523*IFERROR(VLOOKUP($K5523,Drink_Templates!$A:$G,7,FALSE),0)))</f>
        <v/>
      </c>
    </row>
    <row r="5524" ht="15" customHeight="1">
      <c r="C5524">
        <f>IF($B5524="","",INT($B5524))</f>
        <v/>
      </c>
      <c r="D5524">
        <f>IF($C5524="","",$C5524-WEEKDAY($C5524,2)+1)</f>
        <v/>
      </c>
      <c r="E5524">
        <f>IF($C5524="","",DATE(YEAR($C5524),MONTH($C5524),1))</f>
        <v/>
      </c>
      <c r="F5524">
        <f>IF($C5524="","",YEAR($C5524)&amp;"-Q"&amp;ROUNDUP(MONTH($C5524)/3,0))</f>
        <v/>
      </c>
      <c r="L5524">
        <f>IF($G5524&lt;&gt;"ALCOHOL","",IF($K5524="","",$H5524*IFERROR(VLOOKUP($K5524,Drink_Templates!$A:$G,7,FALSE),0)))</f>
        <v/>
      </c>
    </row>
    <row r="5525" ht="15" customHeight="1">
      <c r="C5525">
        <f>IF($B5525="","",INT($B5525))</f>
        <v/>
      </c>
      <c r="D5525">
        <f>IF($C5525="","",$C5525-WEEKDAY($C5525,2)+1)</f>
        <v/>
      </c>
      <c r="E5525">
        <f>IF($C5525="","",DATE(YEAR($C5525),MONTH($C5525),1))</f>
        <v/>
      </c>
      <c r="F5525">
        <f>IF($C5525="","",YEAR($C5525)&amp;"-Q"&amp;ROUNDUP(MONTH($C5525)/3,0))</f>
        <v/>
      </c>
      <c r="L5525">
        <f>IF($G5525&lt;&gt;"ALCOHOL","",IF($K5525="","",$H5525*IFERROR(VLOOKUP($K5525,Drink_Templates!$A:$G,7,FALSE),0)))</f>
        <v/>
      </c>
    </row>
    <row r="5526" ht="15" customHeight="1">
      <c r="C5526">
        <f>IF($B5526="","",INT($B5526))</f>
        <v/>
      </c>
      <c r="D5526">
        <f>IF($C5526="","",$C5526-WEEKDAY($C5526,2)+1)</f>
        <v/>
      </c>
      <c r="E5526">
        <f>IF($C5526="","",DATE(YEAR($C5526),MONTH($C5526),1))</f>
        <v/>
      </c>
      <c r="F5526">
        <f>IF($C5526="","",YEAR($C5526)&amp;"-Q"&amp;ROUNDUP(MONTH($C5526)/3,0))</f>
        <v/>
      </c>
      <c r="L5526">
        <f>IF($G5526&lt;&gt;"ALCOHOL","",IF($K5526="","",$H5526*IFERROR(VLOOKUP($K5526,Drink_Templates!$A:$G,7,FALSE),0)))</f>
        <v/>
      </c>
    </row>
    <row r="5527" ht="15" customHeight="1">
      <c r="C5527">
        <f>IF($B5527="","",INT($B5527))</f>
        <v/>
      </c>
      <c r="D5527">
        <f>IF($C5527="","",$C5527-WEEKDAY($C5527,2)+1)</f>
        <v/>
      </c>
      <c r="E5527">
        <f>IF($C5527="","",DATE(YEAR($C5527),MONTH($C5527),1))</f>
        <v/>
      </c>
      <c r="F5527">
        <f>IF($C5527="","",YEAR($C5527)&amp;"-Q"&amp;ROUNDUP(MONTH($C5527)/3,0))</f>
        <v/>
      </c>
      <c r="L5527">
        <f>IF($G5527&lt;&gt;"ALCOHOL","",IF($K5527="","",$H5527*IFERROR(VLOOKUP($K5527,Drink_Templates!$A:$G,7,FALSE),0)))</f>
        <v/>
      </c>
    </row>
    <row r="5528" ht="15" customHeight="1">
      <c r="C5528">
        <f>IF($B5528="","",INT($B5528))</f>
        <v/>
      </c>
      <c r="D5528">
        <f>IF($C5528="","",$C5528-WEEKDAY($C5528,2)+1)</f>
        <v/>
      </c>
      <c r="E5528">
        <f>IF($C5528="","",DATE(YEAR($C5528),MONTH($C5528),1))</f>
        <v/>
      </c>
      <c r="F5528">
        <f>IF($C5528="","",YEAR($C5528)&amp;"-Q"&amp;ROUNDUP(MONTH($C5528)/3,0))</f>
        <v/>
      </c>
      <c r="L5528">
        <f>IF($G5528&lt;&gt;"ALCOHOL","",IF($K5528="","",$H5528*IFERROR(VLOOKUP($K5528,Drink_Templates!$A:$G,7,FALSE),0)))</f>
        <v/>
      </c>
    </row>
    <row r="5529" ht="15" customHeight="1">
      <c r="C5529">
        <f>IF($B5529="","",INT($B5529))</f>
        <v/>
      </c>
      <c r="D5529">
        <f>IF($C5529="","",$C5529-WEEKDAY($C5529,2)+1)</f>
        <v/>
      </c>
      <c r="E5529">
        <f>IF($C5529="","",DATE(YEAR($C5529),MONTH($C5529),1))</f>
        <v/>
      </c>
      <c r="F5529">
        <f>IF($C5529="","",YEAR($C5529)&amp;"-Q"&amp;ROUNDUP(MONTH($C5529)/3,0))</f>
        <v/>
      </c>
      <c r="L5529">
        <f>IF($G5529&lt;&gt;"ALCOHOL","",IF($K5529="","",$H5529*IFERROR(VLOOKUP($K5529,Drink_Templates!$A:$G,7,FALSE),0)))</f>
        <v/>
      </c>
    </row>
    <row r="5530" ht="15" customHeight="1">
      <c r="C5530">
        <f>IF($B5530="","",INT($B5530))</f>
        <v/>
      </c>
      <c r="D5530">
        <f>IF($C5530="","",$C5530-WEEKDAY($C5530,2)+1)</f>
        <v/>
      </c>
      <c r="E5530">
        <f>IF($C5530="","",DATE(YEAR($C5530),MONTH($C5530),1))</f>
        <v/>
      </c>
      <c r="F5530">
        <f>IF($C5530="","",YEAR($C5530)&amp;"-Q"&amp;ROUNDUP(MONTH($C5530)/3,0))</f>
        <v/>
      </c>
      <c r="L5530">
        <f>IF($G5530&lt;&gt;"ALCOHOL","",IF($K5530="","",$H5530*IFERROR(VLOOKUP($K5530,Drink_Templates!$A:$G,7,FALSE),0)))</f>
        <v/>
      </c>
    </row>
    <row r="5531" ht="15" customHeight="1">
      <c r="C5531">
        <f>IF($B5531="","",INT($B5531))</f>
        <v/>
      </c>
      <c r="D5531">
        <f>IF($C5531="","",$C5531-WEEKDAY($C5531,2)+1)</f>
        <v/>
      </c>
      <c r="E5531">
        <f>IF($C5531="","",DATE(YEAR($C5531),MONTH($C5531),1))</f>
        <v/>
      </c>
      <c r="F5531">
        <f>IF($C5531="","",YEAR($C5531)&amp;"-Q"&amp;ROUNDUP(MONTH($C5531)/3,0))</f>
        <v/>
      </c>
      <c r="L5531">
        <f>IF($G5531&lt;&gt;"ALCOHOL","",IF($K5531="","",$H5531*IFERROR(VLOOKUP($K5531,Drink_Templates!$A:$G,7,FALSE),0)))</f>
        <v/>
      </c>
    </row>
    <row r="5532" ht="15" customHeight="1">
      <c r="C5532">
        <f>IF($B5532="","",INT($B5532))</f>
        <v/>
      </c>
      <c r="D5532">
        <f>IF($C5532="","",$C5532-WEEKDAY($C5532,2)+1)</f>
        <v/>
      </c>
      <c r="E5532">
        <f>IF($C5532="","",DATE(YEAR($C5532),MONTH($C5532),1))</f>
        <v/>
      </c>
      <c r="F5532">
        <f>IF($C5532="","",YEAR($C5532)&amp;"-Q"&amp;ROUNDUP(MONTH($C5532)/3,0))</f>
        <v/>
      </c>
      <c r="L5532">
        <f>IF($G5532&lt;&gt;"ALCOHOL","",IF($K5532="","",$H5532*IFERROR(VLOOKUP($K5532,Drink_Templates!$A:$G,7,FALSE),0)))</f>
        <v/>
      </c>
    </row>
    <row r="5533" ht="15" customHeight="1">
      <c r="C5533">
        <f>IF($B5533="","",INT($B5533))</f>
        <v/>
      </c>
      <c r="D5533">
        <f>IF($C5533="","",$C5533-WEEKDAY($C5533,2)+1)</f>
        <v/>
      </c>
      <c r="E5533">
        <f>IF($C5533="","",DATE(YEAR($C5533),MONTH($C5533),1))</f>
        <v/>
      </c>
      <c r="F5533">
        <f>IF($C5533="","",YEAR($C5533)&amp;"-Q"&amp;ROUNDUP(MONTH($C5533)/3,0))</f>
        <v/>
      </c>
      <c r="L5533">
        <f>IF($G5533&lt;&gt;"ALCOHOL","",IF($K5533="","",$H5533*IFERROR(VLOOKUP($K5533,Drink_Templates!$A:$G,7,FALSE),0)))</f>
        <v/>
      </c>
    </row>
    <row r="5534" ht="15" customHeight="1">
      <c r="C5534">
        <f>IF($B5534="","",INT($B5534))</f>
        <v/>
      </c>
      <c r="D5534">
        <f>IF($C5534="","",$C5534-WEEKDAY($C5534,2)+1)</f>
        <v/>
      </c>
      <c r="E5534">
        <f>IF($C5534="","",DATE(YEAR($C5534),MONTH($C5534),1))</f>
        <v/>
      </c>
      <c r="F5534">
        <f>IF($C5534="","",YEAR($C5534)&amp;"-Q"&amp;ROUNDUP(MONTH($C5534)/3,0))</f>
        <v/>
      </c>
      <c r="L5534">
        <f>IF($G5534&lt;&gt;"ALCOHOL","",IF($K5534="","",$H5534*IFERROR(VLOOKUP($K5534,Drink_Templates!$A:$G,7,FALSE),0)))</f>
        <v/>
      </c>
    </row>
    <row r="5535" ht="15" customHeight="1">
      <c r="C5535">
        <f>IF($B5535="","",INT($B5535))</f>
        <v/>
      </c>
      <c r="D5535">
        <f>IF($C5535="","",$C5535-WEEKDAY($C5535,2)+1)</f>
        <v/>
      </c>
      <c r="E5535">
        <f>IF($C5535="","",DATE(YEAR($C5535),MONTH($C5535),1))</f>
        <v/>
      </c>
      <c r="F5535">
        <f>IF($C5535="","",YEAR($C5535)&amp;"-Q"&amp;ROUNDUP(MONTH($C5535)/3,0))</f>
        <v/>
      </c>
      <c r="L5535">
        <f>IF($G5535&lt;&gt;"ALCOHOL","",IF($K5535="","",$H5535*IFERROR(VLOOKUP($K5535,Drink_Templates!$A:$G,7,FALSE),0)))</f>
        <v/>
      </c>
    </row>
    <row r="5536" ht="15" customHeight="1">
      <c r="C5536">
        <f>IF($B5536="","",INT($B5536))</f>
        <v/>
      </c>
      <c r="D5536">
        <f>IF($C5536="","",$C5536-WEEKDAY($C5536,2)+1)</f>
        <v/>
      </c>
      <c r="E5536">
        <f>IF($C5536="","",DATE(YEAR($C5536),MONTH($C5536),1))</f>
        <v/>
      </c>
      <c r="F5536">
        <f>IF($C5536="","",YEAR($C5536)&amp;"-Q"&amp;ROUNDUP(MONTH($C5536)/3,0))</f>
        <v/>
      </c>
      <c r="L5536">
        <f>IF($G5536&lt;&gt;"ALCOHOL","",IF($K5536="","",$H5536*IFERROR(VLOOKUP($K5536,Drink_Templates!$A:$G,7,FALSE),0)))</f>
        <v/>
      </c>
    </row>
    <row r="5537" ht="15" customHeight="1">
      <c r="C5537">
        <f>IF($B5537="","",INT($B5537))</f>
        <v/>
      </c>
      <c r="D5537">
        <f>IF($C5537="","",$C5537-WEEKDAY($C5537,2)+1)</f>
        <v/>
      </c>
      <c r="E5537">
        <f>IF($C5537="","",DATE(YEAR($C5537),MONTH($C5537),1))</f>
        <v/>
      </c>
      <c r="F5537">
        <f>IF($C5537="","",YEAR($C5537)&amp;"-Q"&amp;ROUNDUP(MONTH($C5537)/3,0))</f>
        <v/>
      </c>
      <c r="L5537">
        <f>IF($G5537&lt;&gt;"ALCOHOL","",IF($K5537="","",$H5537*IFERROR(VLOOKUP($K5537,Drink_Templates!$A:$G,7,FALSE),0)))</f>
        <v/>
      </c>
    </row>
    <row r="5538" ht="15" customHeight="1">
      <c r="C5538">
        <f>IF($B5538="","",INT($B5538))</f>
        <v/>
      </c>
      <c r="D5538">
        <f>IF($C5538="","",$C5538-WEEKDAY($C5538,2)+1)</f>
        <v/>
      </c>
      <c r="E5538">
        <f>IF($C5538="","",DATE(YEAR($C5538),MONTH($C5538),1))</f>
        <v/>
      </c>
      <c r="F5538">
        <f>IF($C5538="","",YEAR($C5538)&amp;"-Q"&amp;ROUNDUP(MONTH($C5538)/3,0))</f>
        <v/>
      </c>
      <c r="L5538">
        <f>IF($G5538&lt;&gt;"ALCOHOL","",IF($K5538="","",$H5538*IFERROR(VLOOKUP($K5538,Drink_Templates!$A:$G,7,FALSE),0)))</f>
        <v/>
      </c>
    </row>
    <row r="5539" ht="15" customHeight="1">
      <c r="C5539">
        <f>IF($B5539="","",INT($B5539))</f>
        <v/>
      </c>
      <c r="D5539">
        <f>IF($C5539="","",$C5539-WEEKDAY($C5539,2)+1)</f>
        <v/>
      </c>
      <c r="E5539">
        <f>IF($C5539="","",DATE(YEAR($C5539),MONTH($C5539),1))</f>
        <v/>
      </c>
      <c r="F5539">
        <f>IF($C5539="","",YEAR($C5539)&amp;"-Q"&amp;ROUNDUP(MONTH($C5539)/3,0))</f>
        <v/>
      </c>
      <c r="L5539">
        <f>IF($G5539&lt;&gt;"ALCOHOL","",IF($K5539="","",$H5539*IFERROR(VLOOKUP($K5539,Drink_Templates!$A:$G,7,FALSE),0)))</f>
        <v/>
      </c>
    </row>
    <row r="5540" ht="15" customHeight="1">
      <c r="C5540">
        <f>IF($B5540="","",INT($B5540))</f>
        <v/>
      </c>
      <c r="D5540">
        <f>IF($C5540="","",$C5540-WEEKDAY($C5540,2)+1)</f>
        <v/>
      </c>
      <c r="E5540">
        <f>IF($C5540="","",DATE(YEAR($C5540),MONTH($C5540),1))</f>
        <v/>
      </c>
      <c r="F5540">
        <f>IF($C5540="","",YEAR($C5540)&amp;"-Q"&amp;ROUNDUP(MONTH($C5540)/3,0))</f>
        <v/>
      </c>
      <c r="L5540">
        <f>IF($G5540&lt;&gt;"ALCOHOL","",IF($K5540="","",$H5540*IFERROR(VLOOKUP($K5540,Drink_Templates!$A:$G,7,FALSE),0)))</f>
        <v/>
      </c>
    </row>
    <row r="5541" ht="15" customHeight="1">
      <c r="C5541">
        <f>IF($B5541="","",INT($B5541))</f>
        <v/>
      </c>
      <c r="D5541">
        <f>IF($C5541="","",$C5541-WEEKDAY($C5541,2)+1)</f>
        <v/>
      </c>
      <c r="E5541">
        <f>IF($C5541="","",DATE(YEAR($C5541),MONTH($C5541),1))</f>
        <v/>
      </c>
      <c r="F5541">
        <f>IF($C5541="","",YEAR($C5541)&amp;"-Q"&amp;ROUNDUP(MONTH($C5541)/3,0))</f>
        <v/>
      </c>
      <c r="L5541">
        <f>IF($G5541&lt;&gt;"ALCOHOL","",IF($K5541="","",$H5541*IFERROR(VLOOKUP($K5541,Drink_Templates!$A:$G,7,FALSE),0)))</f>
        <v/>
      </c>
    </row>
    <row r="5542" ht="15" customHeight="1">
      <c r="C5542">
        <f>IF($B5542="","",INT($B5542))</f>
        <v/>
      </c>
      <c r="D5542">
        <f>IF($C5542="","",$C5542-WEEKDAY($C5542,2)+1)</f>
        <v/>
      </c>
      <c r="E5542">
        <f>IF($C5542="","",DATE(YEAR($C5542),MONTH($C5542),1))</f>
        <v/>
      </c>
      <c r="F5542">
        <f>IF($C5542="","",YEAR($C5542)&amp;"-Q"&amp;ROUNDUP(MONTH($C5542)/3,0))</f>
        <v/>
      </c>
      <c r="L5542">
        <f>IF($G5542&lt;&gt;"ALCOHOL","",IF($K5542="","",$H5542*IFERROR(VLOOKUP($K5542,Drink_Templates!$A:$G,7,FALSE),0)))</f>
        <v/>
      </c>
    </row>
    <row r="5543" ht="15" customHeight="1">
      <c r="C5543">
        <f>IF($B5543="","",INT($B5543))</f>
        <v/>
      </c>
      <c r="D5543">
        <f>IF($C5543="","",$C5543-WEEKDAY($C5543,2)+1)</f>
        <v/>
      </c>
      <c r="E5543">
        <f>IF($C5543="","",DATE(YEAR($C5543),MONTH($C5543),1))</f>
        <v/>
      </c>
      <c r="F5543">
        <f>IF($C5543="","",YEAR($C5543)&amp;"-Q"&amp;ROUNDUP(MONTH($C5543)/3,0))</f>
        <v/>
      </c>
      <c r="L5543">
        <f>IF($G5543&lt;&gt;"ALCOHOL","",IF($K5543="","",$H5543*IFERROR(VLOOKUP($K5543,Drink_Templates!$A:$G,7,FALSE),0)))</f>
        <v/>
      </c>
    </row>
    <row r="5544" ht="15" customHeight="1">
      <c r="C5544">
        <f>IF($B5544="","",INT($B5544))</f>
        <v/>
      </c>
      <c r="D5544">
        <f>IF($C5544="","",$C5544-WEEKDAY($C5544,2)+1)</f>
        <v/>
      </c>
      <c r="E5544">
        <f>IF($C5544="","",DATE(YEAR($C5544),MONTH($C5544),1))</f>
        <v/>
      </c>
      <c r="F5544">
        <f>IF($C5544="","",YEAR($C5544)&amp;"-Q"&amp;ROUNDUP(MONTH($C5544)/3,0))</f>
        <v/>
      </c>
      <c r="L5544">
        <f>IF($G5544&lt;&gt;"ALCOHOL","",IF($K5544="","",$H5544*IFERROR(VLOOKUP($K5544,Drink_Templates!$A:$G,7,FALSE),0)))</f>
        <v/>
      </c>
    </row>
    <row r="5545" ht="15" customHeight="1">
      <c r="C5545">
        <f>IF($B5545="","",INT($B5545))</f>
        <v/>
      </c>
      <c r="D5545">
        <f>IF($C5545="","",$C5545-WEEKDAY($C5545,2)+1)</f>
        <v/>
      </c>
      <c r="E5545">
        <f>IF($C5545="","",DATE(YEAR($C5545),MONTH($C5545),1))</f>
        <v/>
      </c>
      <c r="F5545">
        <f>IF($C5545="","",YEAR($C5545)&amp;"-Q"&amp;ROUNDUP(MONTH($C5545)/3,0))</f>
        <v/>
      </c>
      <c r="L5545">
        <f>IF($G5545&lt;&gt;"ALCOHOL","",IF($K5545="","",$H5545*IFERROR(VLOOKUP($K5545,Drink_Templates!$A:$G,7,FALSE),0)))</f>
        <v/>
      </c>
    </row>
    <row r="5546" ht="15" customHeight="1">
      <c r="C5546">
        <f>IF($B5546="","",INT($B5546))</f>
        <v/>
      </c>
      <c r="D5546">
        <f>IF($C5546="","",$C5546-WEEKDAY($C5546,2)+1)</f>
        <v/>
      </c>
      <c r="E5546">
        <f>IF($C5546="","",DATE(YEAR($C5546),MONTH($C5546),1))</f>
        <v/>
      </c>
      <c r="F5546">
        <f>IF($C5546="","",YEAR($C5546)&amp;"-Q"&amp;ROUNDUP(MONTH($C5546)/3,0))</f>
        <v/>
      </c>
      <c r="L5546">
        <f>IF($G5546&lt;&gt;"ALCOHOL","",IF($K5546="","",$H5546*IFERROR(VLOOKUP($K5546,Drink_Templates!$A:$G,7,FALSE),0)))</f>
        <v/>
      </c>
    </row>
    <row r="5547" ht="15" customHeight="1">
      <c r="C5547">
        <f>IF($B5547="","",INT($B5547))</f>
        <v/>
      </c>
      <c r="D5547">
        <f>IF($C5547="","",$C5547-WEEKDAY($C5547,2)+1)</f>
        <v/>
      </c>
      <c r="E5547">
        <f>IF($C5547="","",DATE(YEAR($C5547),MONTH($C5547),1))</f>
        <v/>
      </c>
      <c r="F5547">
        <f>IF($C5547="","",YEAR($C5547)&amp;"-Q"&amp;ROUNDUP(MONTH($C5547)/3,0))</f>
        <v/>
      </c>
      <c r="L5547">
        <f>IF($G5547&lt;&gt;"ALCOHOL","",IF($K5547="","",$H5547*IFERROR(VLOOKUP($K5547,Drink_Templates!$A:$G,7,FALSE),0)))</f>
        <v/>
      </c>
    </row>
    <row r="5548" ht="15" customHeight="1">
      <c r="C5548">
        <f>IF($B5548="","",INT($B5548))</f>
        <v/>
      </c>
      <c r="D5548">
        <f>IF($C5548="","",$C5548-WEEKDAY($C5548,2)+1)</f>
        <v/>
      </c>
      <c r="E5548">
        <f>IF($C5548="","",DATE(YEAR($C5548),MONTH($C5548),1))</f>
        <v/>
      </c>
      <c r="F5548">
        <f>IF($C5548="","",YEAR($C5548)&amp;"-Q"&amp;ROUNDUP(MONTH($C5548)/3,0))</f>
        <v/>
      </c>
      <c r="L5548">
        <f>IF($G5548&lt;&gt;"ALCOHOL","",IF($K5548="","",$H5548*IFERROR(VLOOKUP($K5548,Drink_Templates!$A:$G,7,FALSE),0)))</f>
        <v/>
      </c>
    </row>
    <row r="5549" ht="15" customHeight="1">
      <c r="C5549">
        <f>IF($B5549="","",INT($B5549))</f>
        <v/>
      </c>
      <c r="D5549">
        <f>IF($C5549="","",$C5549-WEEKDAY($C5549,2)+1)</f>
        <v/>
      </c>
      <c r="E5549">
        <f>IF($C5549="","",DATE(YEAR($C5549),MONTH($C5549),1))</f>
        <v/>
      </c>
      <c r="F5549">
        <f>IF($C5549="","",YEAR($C5549)&amp;"-Q"&amp;ROUNDUP(MONTH($C5549)/3,0))</f>
        <v/>
      </c>
      <c r="L5549">
        <f>IF($G5549&lt;&gt;"ALCOHOL","",IF($K5549="","",$H5549*IFERROR(VLOOKUP($K5549,Drink_Templates!$A:$G,7,FALSE),0)))</f>
        <v/>
      </c>
    </row>
    <row r="5550" ht="15" customHeight="1">
      <c r="C5550">
        <f>IF($B5550="","",INT($B5550))</f>
        <v/>
      </c>
      <c r="D5550">
        <f>IF($C5550="","",$C5550-WEEKDAY($C5550,2)+1)</f>
        <v/>
      </c>
      <c r="E5550">
        <f>IF($C5550="","",DATE(YEAR($C5550),MONTH($C5550),1))</f>
        <v/>
      </c>
      <c r="F5550">
        <f>IF($C5550="","",YEAR($C5550)&amp;"-Q"&amp;ROUNDUP(MONTH($C5550)/3,0))</f>
        <v/>
      </c>
      <c r="L5550">
        <f>IF($G5550&lt;&gt;"ALCOHOL","",IF($K5550="","",$H5550*IFERROR(VLOOKUP($K5550,Drink_Templates!$A:$G,7,FALSE),0)))</f>
        <v/>
      </c>
    </row>
    <row r="5551" ht="15" customHeight="1">
      <c r="C5551">
        <f>IF($B5551="","",INT($B5551))</f>
        <v/>
      </c>
      <c r="D5551">
        <f>IF($C5551="","",$C5551-WEEKDAY($C5551,2)+1)</f>
        <v/>
      </c>
      <c r="E5551">
        <f>IF($C5551="","",DATE(YEAR($C5551),MONTH($C5551),1))</f>
        <v/>
      </c>
      <c r="F5551">
        <f>IF($C5551="","",YEAR($C5551)&amp;"-Q"&amp;ROUNDUP(MONTH($C5551)/3,0))</f>
        <v/>
      </c>
      <c r="L5551">
        <f>IF($G5551&lt;&gt;"ALCOHOL","",IF($K5551="","",$H5551*IFERROR(VLOOKUP($K5551,Drink_Templates!$A:$G,7,FALSE),0)))</f>
        <v/>
      </c>
    </row>
    <row r="5552" ht="15" customHeight="1">
      <c r="C5552">
        <f>IF($B5552="","",INT($B5552))</f>
        <v/>
      </c>
      <c r="D5552">
        <f>IF($C5552="","",$C5552-WEEKDAY($C5552,2)+1)</f>
        <v/>
      </c>
      <c r="E5552">
        <f>IF($C5552="","",DATE(YEAR($C5552),MONTH($C5552),1))</f>
        <v/>
      </c>
      <c r="F5552">
        <f>IF($C5552="","",YEAR($C5552)&amp;"-Q"&amp;ROUNDUP(MONTH($C5552)/3,0))</f>
        <v/>
      </c>
      <c r="L5552">
        <f>IF($G5552&lt;&gt;"ALCOHOL","",IF($K5552="","",$H5552*IFERROR(VLOOKUP($K5552,Drink_Templates!$A:$G,7,FALSE),0)))</f>
        <v/>
      </c>
    </row>
    <row r="5553" ht="15" customHeight="1">
      <c r="C5553">
        <f>IF($B5553="","",INT($B5553))</f>
        <v/>
      </c>
      <c r="D5553">
        <f>IF($C5553="","",$C5553-WEEKDAY($C5553,2)+1)</f>
        <v/>
      </c>
      <c r="E5553">
        <f>IF($C5553="","",DATE(YEAR($C5553),MONTH($C5553),1))</f>
        <v/>
      </c>
      <c r="F5553">
        <f>IF($C5553="","",YEAR($C5553)&amp;"-Q"&amp;ROUNDUP(MONTH($C5553)/3,0))</f>
        <v/>
      </c>
      <c r="L5553">
        <f>IF($G5553&lt;&gt;"ALCOHOL","",IF($K5553="","",$H5553*IFERROR(VLOOKUP($K5553,Drink_Templates!$A:$G,7,FALSE),0)))</f>
        <v/>
      </c>
    </row>
    <row r="5554" ht="15" customHeight="1">
      <c r="C5554">
        <f>IF($B5554="","",INT($B5554))</f>
        <v/>
      </c>
      <c r="D5554">
        <f>IF($C5554="","",$C5554-WEEKDAY($C5554,2)+1)</f>
        <v/>
      </c>
      <c r="E5554">
        <f>IF($C5554="","",DATE(YEAR($C5554),MONTH($C5554),1))</f>
        <v/>
      </c>
      <c r="F5554">
        <f>IF($C5554="","",YEAR($C5554)&amp;"-Q"&amp;ROUNDUP(MONTH($C5554)/3,0))</f>
        <v/>
      </c>
      <c r="L5554">
        <f>IF($G5554&lt;&gt;"ALCOHOL","",IF($K5554="","",$H5554*IFERROR(VLOOKUP($K5554,Drink_Templates!$A:$G,7,FALSE),0)))</f>
        <v/>
      </c>
    </row>
    <row r="5555" ht="15" customHeight="1">
      <c r="C5555">
        <f>IF($B5555="","",INT($B5555))</f>
        <v/>
      </c>
      <c r="D5555">
        <f>IF($C5555="","",$C5555-WEEKDAY($C5555,2)+1)</f>
        <v/>
      </c>
      <c r="E5555">
        <f>IF($C5555="","",DATE(YEAR($C5555),MONTH($C5555),1))</f>
        <v/>
      </c>
      <c r="F5555">
        <f>IF($C5555="","",YEAR($C5555)&amp;"-Q"&amp;ROUNDUP(MONTH($C5555)/3,0))</f>
        <v/>
      </c>
      <c r="L5555">
        <f>IF($G5555&lt;&gt;"ALCOHOL","",IF($K5555="","",$H5555*IFERROR(VLOOKUP($K5555,Drink_Templates!$A:$G,7,FALSE),0)))</f>
        <v/>
      </c>
    </row>
    <row r="5556" ht="15" customHeight="1">
      <c r="C5556">
        <f>IF($B5556="","",INT($B5556))</f>
        <v/>
      </c>
      <c r="D5556">
        <f>IF($C5556="","",$C5556-WEEKDAY($C5556,2)+1)</f>
        <v/>
      </c>
      <c r="E5556">
        <f>IF($C5556="","",DATE(YEAR($C5556),MONTH($C5556),1))</f>
        <v/>
      </c>
      <c r="F5556">
        <f>IF($C5556="","",YEAR($C5556)&amp;"-Q"&amp;ROUNDUP(MONTH($C5556)/3,0))</f>
        <v/>
      </c>
      <c r="L5556">
        <f>IF($G5556&lt;&gt;"ALCOHOL","",IF($K5556="","",$H5556*IFERROR(VLOOKUP($K5556,Drink_Templates!$A:$G,7,FALSE),0)))</f>
        <v/>
      </c>
    </row>
    <row r="5557" ht="15" customHeight="1">
      <c r="C5557">
        <f>IF($B5557="","",INT($B5557))</f>
        <v/>
      </c>
      <c r="D5557">
        <f>IF($C5557="","",$C5557-WEEKDAY($C5557,2)+1)</f>
        <v/>
      </c>
      <c r="E5557">
        <f>IF($C5557="","",DATE(YEAR($C5557),MONTH($C5557),1))</f>
        <v/>
      </c>
      <c r="F5557">
        <f>IF($C5557="","",YEAR($C5557)&amp;"-Q"&amp;ROUNDUP(MONTH($C5557)/3,0))</f>
        <v/>
      </c>
      <c r="L5557">
        <f>IF($G5557&lt;&gt;"ALCOHOL","",IF($K5557="","",$H5557*IFERROR(VLOOKUP($K5557,Drink_Templates!$A:$G,7,FALSE),0)))</f>
        <v/>
      </c>
    </row>
    <row r="5558" ht="15" customHeight="1">
      <c r="C5558">
        <f>IF($B5558="","",INT($B5558))</f>
        <v/>
      </c>
      <c r="D5558">
        <f>IF($C5558="","",$C5558-WEEKDAY($C5558,2)+1)</f>
        <v/>
      </c>
      <c r="E5558">
        <f>IF($C5558="","",DATE(YEAR($C5558),MONTH($C5558),1))</f>
        <v/>
      </c>
      <c r="F5558">
        <f>IF($C5558="","",YEAR($C5558)&amp;"-Q"&amp;ROUNDUP(MONTH($C5558)/3,0))</f>
        <v/>
      </c>
      <c r="L5558">
        <f>IF($G5558&lt;&gt;"ALCOHOL","",IF($K5558="","",$H5558*IFERROR(VLOOKUP($K5558,Drink_Templates!$A:$G,7,FALSE),0)))</f>
        <v/>
      </c>
    </row>
    <row r="5559" ht="15" customHeight="1">
      <c r="C5559">
        <f>IF($B5559="","",INT($B5559))</f>
        <v/>
      </c>
      <c r="D5559">
        <f>IF($C5559="","",$C5559-WEEKDAY($C5559,2)+1)</f>
        <v/>
      </c>
      <c r="E5559">
        <f>IF($C5559="","",DATE(YEAR($C5559),MONTH($C5559),1))</f>
        <v/>
      </c>
      <c r="F5559">
        <f>IF($C5559="","",YEAR($C5559)&amp;"-Q"&amp;ROUNDUP(MONTH($C5559)/3,0))</f>
        <v/>
      </c>
      <c r="L5559">
        <f>IF($G5559&lt;&gt;"ALCOHOL","",IF($K5559="","",$H5559*IFERROR(VLOOKUP($K5559,Drink_Templates!$A:$G,7,FALSE),0)))</f>
        <v/>
      </c>
    </row>
    <row r="5560" ht="15" customHeight="1">
      <c r="C5560">
        <f>IF($B5560="","",INT($B5560))</f>
        <v/>
      </c>
      <c r="D5560">
        <f>IF($C5560="","",$C5560-WEEKDAY($C5560,2)+1)</f>
        <v/>
      </c>
      <c r="E5560">
        <f>IF($C5560="","",DATE(YEAR($C5560),MONTH($C5560),1))</f>
        <v/>
      </c>
      <c r="F5560">
        <f>IF($C5560="","",YEAR($C5560)&amp;"-Q"&amp;ROUNDUP(MONTH($C5560)/3,0))</f>
        <v/>
      </c>
      <c r="L5560">
        <f>IF($G5560&lt;&gt;"ALCOHOL","",IF($K5560="","",$H5560*IFERROR(VLOOKUP($K5560,Drink_Templates!$A:$G,7,FALSE),0)))</f>
        <v/>
      </c>
    </row>
    <row r="5561" ht="15" customHeight="1">
      <c r="C5561">
        <f>IF($B5561="","",INT($B5561))</f>
        <v/>
      </c>
      <c r="D5561">
        <f>IF($C5561="","",$C5561-WEEKDAY($C5561,2)+1)</f>
        <v/>
      </c>
      <c r="E5561">
        <f>IF($C5561="","",DATE(YEAR($C5561),MONTH($C5561),1))</f>
        <v/>
      </c>
      <c r="F5561">
        <f>IF($C5561="","",YEAR($C5561)&amp;"-Q"&amp;ROUNDUP(MONTH($C5561)/3,0))</f>
        <v/>
      </c>
      <c r="L5561">
        <f>IF($G5561&lt;&gt;"ALCOHOL","",IF($K5561="","",$H5561*IFERROR(VLOOKUP($K5561,Drink_Templates!$A:$G,7,FALSE),0)))</f>
        <v/>
      </c>
    </row>
    <row r="5562" ht="15" customHeight="1">
      <c r="C5562">
        <f>IF($B5562="","",INT($B5562))</f>
        <v/>
      </c>
      <c r="D5562">
        <f>IF($C5562="","",$C5562-WEEKDAY($C5562,2)+1)</f>
        <v/>
      </c>
      <c r="E5562">
        <f>IF($C5562="","",DATE(YEAR($C5562),MONTH($C5562),1))</f>
        <v/>
      </c>
      <c r="F5562">
        <f>IF($C5562="","",YEAR($C5562)&amp;"-Q"&amp;ROUNDUP(MONTH($C5562)/3,0))</f>
        <v/>
      </c>
      <c r="L5562">
        <f>IF($G5562&lt;&gt;"ALCOHOL","",IF($K5562="","",$H5562*IFERROR(VLOOKUP($K5562,Drink_Templates!$A:$G,7,FALSE),0)))</f>
        <v/>
      </c>
    </row>
    <row r="5563" ht="15" customHeight="1">
      <c r="C5563">
        <f>IF($B5563="","",INT($B5563))</f>
        <v/>
      </c>
      <c r="D5563">
        <f>IF($C5563="","",$C5563-WEEKDAY($C5563,2)+1)</f>
        <v/>
      </c>
      <c r="E5563">
        <f>IF($C5563="","",DATE(YEAR($C5563),MONTH($C5563),1))</f>
        <v/>
      </c>
      <c r="F5563">
        <f>IF($C5563="","",YEAR($C5563)&amp;"-Q"&amp;ROUNDUP(MONTH($C5563)/3,0))</f>
        <v/>
      </c>
      <c r="L5563">
        <f>IF($G5563&lt;&gt;"ALCOHOL","",IF($K5563="","",$H5563*IFERROR(VLOOKUP($K5563,Drink_Templates!$A:$G,7,FALSE),0)))</f>
        <v/>
      </c>
    </row>
    <row r="5564" ht="15" customHeight="1">
      <c r="C5564">
        <f>IF($B5564="","",INT($B5564))</f>
        <v/>
      </c>
      <c r="D5564">
        <f>IF($C5564="","",$C5564-WEEKDAY($C5564,2)+1)</f>
        <v/>
      </c>
      <c r="E5564">
        <f>IF($C5564="","",DATE(YEAR($C5564),MONTH($C5564),1))</f>
        <v/>
      </c>
      <c r="F5564">
        <f>IF($C5564="","",YEAR($C5564)&amp;"-Q"&amp;ROUNDUP(MONTH($C5564)/3,0))</f>
        <v/>
      </c>
      <c r="L5564">
        <f>IF($G5564&lt;&gt;"ALCOHOL","",IF($K5564="","",$H5564*IFERROR(VLOOKUP($K5564,Drink_Templates!$A:$G,7,FALSE),0)))</f>
        <v/>
      </c>
    </row>
    <row r="5565" ht="15" customHeight="1">
      <c r="C5565">
        <f>IF($B5565="","",INT($B5565))</f>
        <v/>
      </c>
      <c r="D5565">
        <f>IF($C5565="","",$C5565-WEEKDAY($C5565,2)+1)</f>
        <v/>
      </c>
      <c r="E5565">
        <f>IF($C5565="","",DATE(YEAR($C5565),MONTH($C5565),1))</f>
        <v/>
      </c>
      <c r="F5565">
        <f>IF($C5565="","",YEAR($C5565)&amp;"-Q"&amp;ROUNDUP(MONTH($C5565)/3,0))</f>
        <v/>
      </c>
      <c r="L5565">
        <f>IF($G5565&lt;&gt;"ALCOHOL","",IF($K5565="","",$H5565*IFERROR(VLOOKUP($K5565,Drink_Templates!$A:$G,7,FALSE),0)))</f>
        <v/>
      </c>
    </row>
    <row r="5566" ht="15" customHeight="1">
      <c r="C5566">
        <f>IF($B5566="","",INT($B5566))</f>
        <v/>
      </c>
      <c r="D5566">
        <f>IF($C5566="","",$C5566-WEEKDAY($C5566,2)+1)</f>
        <v/>
      </c>
      <c r="E5566">
        <f>IF($C5566="","",DATE(YEAR($C5566),MONTH($C5566),1))</f>
        <v/>
      </c>
      <c r="F5566">
        <f>IF($C5566="","",YEAR($C5566)&amp;"-Q"&amp;ROUNDUP(MONTH($C5566)/3,0))</f>
        <v/>
      </c>
      <c r="L5566">
        <f>IF($G5566&lt;&gt;"ALCOHOL","",IF($K5566="","",$H5566*IFERROR(VLOOKUP($K5566,Drink_Templates!$A:$G,7,FALSE),0)))</f>
        <v/>
      </c>
    </row>
    <row r="5567" ht="15" customHeight="1">
      <c r="C5567">
        <f>IF($B5567="","",INT($B5567))</f>
        <v/>
      </c>
      <c r="D5567">
        <f>IF($C5567="","",$C5567-WEEKDAY($C5567,2)+1)</f>
        <v/>
      </c>
      <c r="E5567">
        <f>IF($C5567="","",DATE(YEAR($C5567),MONTH($C5567),1))</f>
        <v/>
      </c>
      <c r="F5567">
        <f>IF($C5567="","",YEAR($C5567)&amp;"-Q"&amp;ROUNDUP(MONTH($C5567)/3,0))</f>
        <v/>
      </c>
      <c r="L5567">
        <f>IF($G5567&lt;&gt;"ALCOHOL","",IF($K5567="","",$H5567*IFERROR(VLOOKUP($K5567,Drink_Templates!$A:$G,7,FALSE),0)))</f>
        <v/>
      </c>
    </row>
    <row r="5568" ht="15" customHeight="1">
      <c r="C5568">
        <f>IF($B5568="","",INT($B5568))</f>
        <v/>
      </c>
      <c r="D5568">
        <f>IF($C5568="","",$C5568-WEEKDAY($C5568,2)+1)</f>
        <v/>
      </c>
      <c r="E5568">
        <f>IF($C5568="","",DATE(YEAR($C5568),MONTH($C5568),1))</f>
        <v/>
      </c>
      <c r="F5568">
        <f>IF($C5568="","",YEAR($C5568)&amp;"-Q"&amp;ROUNDUP(MONTH($C5568)/3,0))</f>
        <v/>
      </c>
      <c r="L5568">
        <f>IF($G5568&lt;&gt;"ALCOHOL","",IF($K5568="","",$H5568*IFERROR(VLOOKUP($K5568,Drink_Templates!$A:$G,7,FALSE),0)))</f>
        <v/>
      </c>
    </row>
    <row r="5569" ht="15" customHeight="1">
      <c r="C5569">
        <f>IF($B5569="","",INT($B5569))</f>
        <v/>
      </c>
      <c r="D5569">
        <f>IF($C5569="","",$C5569-WEEKDAY($C5569,2)+1)</f>
        <v/>
      </c>
      <c r="E5569">
        <f>IF($C5569="","",DATE(YEAR($C5569),MONTH($C5569),1))</f>
        <v/>
      </c>
      <c r="F5569">
        <f>IF($C5569="","",YEAR($C5569)&amp;"-Q"&amp;ROUNDUP(MONTH($C5569)/3,0))</f>
        <v/>
      </c>
      <c r="L5569">
        <f>IF($G5569&lt;&gt;"ALCOHOL","",IF($K5569="","",$H5569*IFERROR(VLOOKUP($K5569,Drink_Templates!$A:$G,7,FALSE),0)))</f>
        <v/>
      </c>
    </row>
    <row r="5570" ht="15" customHeight="1">
      <c r="C5570">
        <f>IF($B5570="","",INT($B5570))</f>
        <v/>
      </c>
      <c r="D5570">
        <f>IF($C5570="","",$C5570-WEEKDAY($C5570,2)+1)</f>
        <v/>
      </c>
      <c r="E5570">
        <f>IF($C5570="","",DATE(YEAR($C5570),MONTH($C5570),1))</f>
        <v/>
      </c>
      <c r="F5570">
        <f>IF($C5570="","",YEAR($C5570)&amp;"-Q"&amp;ROUNDUP(MONTH($C5570)/3,0))</f>
        <v/>
      </c>
      <c r="L5570">
        <f>IF($G5570&lt;&gt;"ALCOHOL","",IF($K5570="","",$H5570*IFERROR(VLOOKUP($K5570,Drink_Templates!$A:$G,7,FALSE),0)))</f>
        <v/>
      </c>
    </row>
    <row r="5571" ht="15" customHeight="1">
      <c r="C5571">
        <f>IF($B5571="","",INT($B5571))</f>
        <v/>
      </c>
      <c r="D5571">
        <f>IF($C5571="","",$C5571-WEEKDAY($C5571,2)+1)</f>
        <v/>
      </c>
      <c r="E5571">
        <f>IF($C5571="","",DATE(YEAR($C5571),MONTH($C5571),1))</f>
        <v/>
      </c>
      <c r="F5571">
        <f>IF($C5571="","",YEAR($C5571)&amp;"-Q"&amp;ROUNDUP(MONTH($C5571)/3,0))</f>
        <v/>
      </c>
      <c r="L5571">
        <f>IF($G5571&lt;&gt;"ALCOHOL","",IF($K5571="","",$H5571*IFERROR(VLOOKUP($K5571,Drink_Templates!$A:$G,7,FALSE),0)))</f>
        <v/>
      </c>
    </row>
    <row r="5572" ht="15" customHeight="1">
      <c r="C5572">
        <f>IF($B5572="","",INT($B5572))</f>
        <v/>
      </c>
      <c r="D5572">
        <f>IF($C5572="","",$C5572-WEEKDAY($C5572,2)+1)</f>
        <v/>
      </c>
      <c r="E5572">
        <f>IF($C5572="","",DATE(YEAR($C5572),MONTH($C5572),1))</f>
        <v/>
      </c>
      <c r="F5572">
        <f>IF($C5572="","",YEAR($C5572)&amp;"-Q"&amp;ROUNDUP(MONTH($C5572)/3,0))</f>
        <v/>
      </c>
      <c r="L5572">
        <f>IF($G5572&lt;&gt;"ALCOHOL","",IF($K5572="","",$H5572*IFERROR(VLOOKUP($K5572,Drink_Templates!$A:$G,7,FALSE),0)))</f>
        <v/>
      </c>
    </row>
    <row r="5573" ht="15" customHeight="1">
      <c r="C5573">
        <f>IF($B5573="","",INT($B5573))</f>
        <v/>
      </c>
      <c r="D5573">
        <f>IF($C5573="","",$C5573-WEEKDAY($C5573,2)+1)</f>
        <v/>
      </c>
      <c r="E5573">
        <f>IF($C5573="","",DATE(YEAR($C5573),MONTH($C5573),1))</f>
        <v/>
      </c>
      <c r="F5573">
        <f>IF($C5573="","",YEAR($C5573)&amp;"-Q"&amp;ROUNDUP(MONTH($C5573)/3,0))</f>
        <v/>
      </c>
      <c r="L5573">
        <f>IF($G5573&lt;&gt;"ALCOHOL","",IF($K5573="","",$H5573*IFERROR(VLOOKUP($K5573,Drink_Templates!$A:$G,7,FALSE),0)))</f>
        <v/>
      </c>
    </row>
    <row r="5574" ht="15" customHeight="1">
      <c r="C5574">
        <f>IF($B5574="","",INT($B5574))</f>
        <v/>
      </c>
      <c r="D5574">
        <f>IF($C5574="","",$C5574-WEEKDAY($C5574,2)+1)</f>
        <v/>
      </c>
      <c r="E5574">
        <f>IF($C5574="","",DATE(YEAR($C5574),MONTH($C5574),1))</f>
        <v/>
      </c>
      <c r="F5574">
        <f>IF($C5574="","",YEAR($C5574)&amp;"-Q"&amp;ROUNDUP(MONTH($C5574)/3,0))</f>
        <v/>
      </c>
      <c r="L5574">
        <f>IF($G5574&lt;&gt;"ALCOHOL","",IF($K5574="","",$H5574*IFERROR(VLOOKUP($K5574,Drink_Templates!$A:$G,7,FALSE),0)))</f>
        <v/>
      </c>
    </row>
    <row r="5575" ht="15" customHeight="1">
      <c r="C5575">
        <f>IF($B5575="","",INT($B5575))</f>
        <v/>
      </c>
      <c r="D5575">
        <f>IF($C5575="","",$C5575-WEEKDAY($C5575,2)+1)</f>
        <v/>
      </c>
      <c r="E5575">
        <f>IF($C5575="","",DATE(YEAR($C5575),MONTH($C5575),1))</f>
        <v/>
      </c>
      <c r="F5575">
        <f>IF($C5575="","",YEAR($C5575)&amp;"-Q"&amp;ROUNDUP(MONTH($C5575)/3,0))</f>
        <v/>
      </c>
      <c r="L5575">
        <f>IF($G5575&lt;&gt;"ALCOHOL","",IF($K5575="","",$H5575*IFERROR(VLOOKUP($K5575,Drink_Templates!$A:$G,7,FALSE),0)))</f>
        <v/>
      </c>
    </row>
    <row r="5576" ht="15" customHeight="1">
      <c r="C5576">
        <f>IF($B5576="","",INT($B5576))</f>
        <v/>
      </c>
      <c r="D5576">
        <f>IF($C5576="","",$C5576-WEEKDAY($C5576,2)+1)</f>
        <v/>
      </c>
      <c r="E5576">
        <f>IF($C5576="","",DATE(YEAR($C5576),MONTH($C5576),1))</f>
        <v/>
      </c>
      <c r="F5576">
        <f>IF($C5576="","",YEAR($C5576)&amp;"-Q"&amp;ROUNDUP(MONTH($C5576)/3,0))</f>
        <v/>
      </c>
      <c r="L5576">
        <f>IF($G5576&lt;&gt;"ALCOHOL","",IF($K5576="","",$H5576*IFERROR(VLOOKUP($K5576,Drink_Templates!$A:$G,7,FALSE),0)))</f>
        <v/>
      </c>
    </row>
    <row r="5577" ht="15" customHeight="1">
      <c r="C5577">
        <f>IF($B5577="","",INT($B5577))</f>
        <v/>
      </c>
      <c r="D5577">
        <f>IF($C5577="","",$C5577-WEEKDAY($C5577,2)+1)</f>
        <v/>
      </c>
      <c r="E5577">
        <f>IF($C5577="","",DATE(YEAR($C5577),MONTH($C5577),1))</f>
        <v/>
      </c>
      <c r="F5577">
        <f>IF($C5577="","",YEAR($C5577)&amp;"-Q"&amp;ROUNDUP(MONTH($C5577)/3,0))</f>
        <v/>
      </c>
      <c r="L5577">
        <f>IF($G5577&lt;&gt;"ALCOHOL","",IF($K5577="","",$H5577*IFERROR(VLOOKUP($K5577,Drink_Templates!$A:$G,7,FALSE),0)))</f>
        <v/>
      </c>
    </row>
    <row r="5578" ht="15" customHeight="1">
      <c r="C5578">
        <f>IF($B5578="","",INT($B5578))</f>
        <v/>
      </c>
      <c r="D5578">
        <f>IF($C5578="","",$C5578-WEEKDAY($C5578,2)+1)</f>
        <v/>
      </c>
      <c r="E5578">
        <f>IF($C5578="","",DATE(YEAR($C5578),MONTH($C5578),1))</f>
        <v/>
      </c>
      <c r="F5578">
        <f>IF($C5578="","",YEAR($C5578)&amp;"-Q"&amp;ROUNDUP(MONTH($C5578)/3,0))</f>
        <v/>
      </c>
      <c r="L5578">
        <f>IF($G5578&lt;&gt;"ALCOHOL","",IF($K5578="","",$H5578*IFERROR(VLOOKUP($K5578,Drink_Templates!$A:$G,7,FALSE),0)))</f>
        <v/>
      </c>
    </row>
    <row r="5579" ht="15" customHeight="1">
      <c r="C5579">
        <f>IF($B5579="","",INT($B5579))</f>
        <v/>
      </c>
      <c r="D5579">
        <f>IF($C5579="","",$C5579-WEEKDAY($C5579,2)+1)</f>
        <v/>
      </c>
      <c r="E5579">
        <f>IF($C5579="","",DATE(YEAR($C5579),MONTH($C5579),1))</f>
        <v/>
      </c>
      <c r="F5579">
        <f>IF($C5579="","",YEAR($C5579)&amp;"-Q"&amp;ROUNDUP(MONTH($C5579)/3,0))</f>
        <v/>
      </c>
      <c r="L5579">
        <f>IF($G5579&lt;&gt;"ALCOHOL","",IF($K5579="","",$H5579*IFERROR(VLOOKUP($K5579,Drink_Templates!$A:$G,7,FALSE),0)))</f>
        <v/>
      </c>
    </row>
    <row r="5580" ht="15" customHeight="1">
      <c r="C5580">
        <f>IF($B5580="","",INT($B5580))</f>
        <v/>
      </c>
      <c r="D5580">
        <f>IF($C5580="","",$C5580-WEEKDAY($C5580,2)+1)</f>
        <v/>
      </c>
      <c r="E5580">
        <f>IF($C5580="","",DATE(YEAR($C5580),MONTH($C5580),1))</f>
        <v/>
      </c>
      <c r="F5580">
        <f>IF($C5580="","",YEAR($C5580)&amp;"-Q"&amp;ROUNDUP(MONTH($C5580)/3,0))</f>
        <v/>
      </c>
      <c r="L5580">
        <f>IF($G5580&lt;&gt;"ALCOHOL","",IF($K5580="","",$H5580*IFERROR(VLOOKUP($K5580,Drink_Templates!$A:$G,7,FALSE),0)))</f>
        <v/>
      </c>
    </row>
    <row r="5581" ht="15" customHeight="1">
      <c r="C5581">
        <f>IF($B5581="","",INT($B5581))</f>
        <v/>
      </c>
      <c r="D5581">
        <f>IF($C5581="","",$C5581-WEEKDAY($C5581,2)+1)</f>
        <v/>
      </c>
      <c r="E5581">
        <f>IF($C5581="","",DATE(YEAR($C5581),MONTH($C5581),1))</f>
        <v/>
      </c>
      <c r="F5581">
        <f>IF($C5581="","",YEAR($C5581)&amp;"-Q"&amp;ROUNDUP(MONTH($C5581)/3,0))</f>
        <v/>
      </c>
      <c r="L5581">
        <f>IF($G5581&lt;&gt;"ALCOHOL","",IF($K5581="","",$H5581*IFERROR(VLOOKUP($K5581,Drink_Templates!$A:$G,7,FALSE),0)))</f>
        <v/>
      </c>
    </row>
    <row r="5582" ht="15" customHeight="1">
      <c r="C5582">
        <f>IF($B5582="","",INT($B5582))</f>
        <v/>
      </c>
      <c r="D5582">
        <f>IF($C5582="","",$C5582-WEEKDAY($C5582,2)+1)</f>
        <v/>
      </c>
      <c r="E5582">
        <f>IF($C5582="","",DATE(YEAR($C5582),MONTH($C5582),1))</f>
        <v/>
      </c>
      <c r="F5582">
        <f>IF($C5582="","",YEAR($C5582)&amp;"-Q"&amp;ROUNDUP(MONTH($C5582)/3,0))</f>
        <v/>
      </c>
      <c r="L5582">
        <f>IF($G5582&lt;&gt;"ALCOHOL","",IF($K5582="","",$H5582*IFERROR(VLOOKUP($K5582,Drink_Templates!$A:$G,7,FALSE),0)))</f>
        <v/>
      </c>
    </row>
    <row r="5583" ht="15" customHeight="1">
      <c r="C5583">
        <f>IF($B5583="","",INT($B5583))</f>
        <v/>
      </c>
      <c r="D5583">
        <f>IF($C5583="","",$C5583-WEEKDAY($C5583,2)+1)</f>
        <v/>
      </c>
      <c r="E5583">
        <f>IF($C5583="","",DATE(YEAR($C5583),MONTH($C5583),1))</f>
        <v/>
      </c>
      <c r="F5583">
        <f>IF($C5583="","",YEAR($C5583)&amp;"-Q"&amp;ROUNDUP(MONTH($C5583)/3,0))</f>
        <v/>
      </c>
      <c r="L5583">
        <f>IF($G5583&lt;&gt;"ALCOHOL","",IF($K5583="","",$H5583*IFERROR(VLOOKUP($K5583,Drink_Templates!$A:$G,7,FALSE),0)))</f>
        <v/>
      </c>
    </row>
    <row r="5584" ht="15" customHeight="1">
      <c r="C5584">
        <f>IF($B5584="","",INT($B5584))</f>
        <v/>
      </c>
      <c r="D5584">
        <f>IF($C5584="","",$C5584-WEEKDAY($C5584,2)+1)</f>
        <v/>
      </c>
      <c r="E5584">
        <f>IF($C5584="","",DATE(YEAR($C5584),MONTH($C5584),1))</f>
        <v/>
      </c>
      <c r="F5584">
        <f>IF($C5584="","",YEAR($C5584)&amp;"-Q"&amp;ROUNDUP(MONTH($C5584)/3,0))</f>
        <v/>
      </c>
      <c r="L5584">
        <f>IF($G5584&lt;&gt;"ALCOHOL","",IF($K5584="","",$H5584*IFERROR(VLOOKUP($K5584,Drink_Templates!$A:$G,7,FALSE),0)))</f>
        <v/>
      </c>
    </row>
    <row r="5585" ht="15" customHeight="1">
      <c r="C5585">
        <f>IF($B5585="","",INT($B5585))</f>
        <v/>
      </c>
      <c r="D5585">
        <f>IF($C5585="","",$C5585-WEEKDAY($C5585,2)+1)</f>
        <v/>
      </c>
      <c r="E5585">
        <f>IF($C5585="","",DATE(YEAR($C5585),MONTH($C5585),1))</f>
        <v/>
      </c>
      <c r="F5585">
        <f>IF($C5585="","",YEAR($C5585)&amp;"-Q"&amp;ROUNDUP(MONTH($C5585)/3,0))</f>
        <v/>
      </c>
      <c r="L5585">
        <f>IF($G5585&lt;&gt;"ALCOHOL","",IF($K5585="","",$H5585*IFERROR(VLOOKUP($K5585,Drink_Templates!$A:$G,7,FALSE),0)))</f>
        <v/>
      </c>
    </row>
    <row r="5586" ht="15" customHeight="1">
      <c r="C5586">
        <f>IF($B5586="","",INT($B5586))</f>
        <v/>
      </c>
      <c r="D5586">
        <f>IF($C5586="","",$C5586-WEEKDAY($C5586,2)+1)</f>
        <v/>
      </c>
      <c r="E5586">
        <f>IF($C5586="","",DATE(YEAR($C5586),MONTH($C5586),1))</f>
        <v/>
      </c>
      <c r="F5586">
        <f>IF($C5586="","",YEAR($C5586)&amp;"-Q"&amp;ROUNDUP(MONTH($C5586)/3,0))</f>
        <v/>
      </c>
      <c r="L5586">
        <f>IF($G5586&lt;&gt;"ALCOHOL","",IF($K5586="","",$H5586*IFERROR(VLOOKUP($K5586,Drink_Templates!$A:$G,7,FALSE),0)))</f>
        <v/>
      </c>
    </row>
    <row r="5587" ht="15" customHeight="1">
      <c r="C5587">
        <f>IF($B5587="","",INT($B5587))</f>
        <v/>
      </c>
      <c r="D5587">
        <f>IF($C5587="","",$C5587-WEEKDAY($C5587,2)+1)</f>
        <v/>
      </c>
      <c r="E5587">
        <f>IF($C5587="","",DATE(YEAR($C5587),MONTH($C5587),1))</f>
        <v/>
      </c>
      <c r="F5587">
        <f>IF($C5587="","",YEAR($C5587)&amp;"-Q"&amp;ROUNDUP(MONTH($C5587)/3,0))</f>
        <v/>
      </c>
      <c r="L5587">
        <f>IF($G5587&lt;&gt;"ALCOHOL","",IF($K5587="","",$H5587*IFERROR(VLOOKUP($K5587,Drink_Templates!$A:$G,7,FALSE),0)))</f>
        <v/>
      </c>
    </row>
    <row r="5588" ht="15" customHeight="1">
      <c r="C5588">
        <f>IF($B5588="","",INT($B5588))</f>
        <v/>
      </c>
      <c r="D5588">
        <f>IF($C5588="","",$C5588-WEEKDAY($C5588,2)+1)</f>
        <v/>
      </c>
      <c r="E5588">
        <f>IF($C5588="","",DATE(YEAR($C5588),MONTH($C5588),1))</f>
        <v/>
      </c>
      <c r="F5588">
        <f>IF($C5588="","",YEAR($C5588)&amp;"-Q"&amp;ROUNDUP(MONTH($C5588)/3,0))</f>
        <v/>
      </c>
      <c r="L5588">
        <f>IF($G5588&lt;&gt;"ALCOHOL","",IF($K5588="","",$H5588*IFERROR(VLOOKUP($K5588,Drink_Templates!$A:$G,7,FALSE),0)))</f>
        <v/>
      </c>
    </row>
    <row r="5589" ht="15" customHeight="1">
      <c r="C5589">
        <f>IF($B5589="","",INT($B5589))</f>
        <v/>
      </c>
      <c r="D5589">
        <f>IF($C5589="","",$C5589-WEEKDAY($C5589,2)+1)</f>
        <v/>
      </c>
      <c r="E5589">
        <f>IF($C5589="","",DATE(YEAR($C5589),MONTH($C5589),1))</f>
        <v/>
      </c>
      <c r="F5589">
        <f>IF($C5589="","",YEAR($C5589)&amp;"-Q"&amp;ROUNDUP(MONTH($C5589)/3,0))</f>
        <v/>
      </c>
      <c r="L5589">
        <f>IF($G5589&lt;&gt;"ALCOHOL","",IF($K5589="","",$H5589*IFERROR(VLOOKUP($K5589,Drink_Templates!$A:$G,7,FALSE),0)))</f>
        <v/>
      </c>
    </row>
    <row r="5590" ht="15" customHeight="1">
      <c r="C5590">
        <f>IF($B5590="","",INT($B5590))</f>
        <v/>
      </c>
      <c r="D5590">
        <f>IF($C5590="","",$C5590-WEEKDAY($C5590,2)+1)</f>
        <v/>
      </c>
      <c r="E5590">
        <f>IF($C5590="","",DATE(YEAR($C5590),MONTH($C5590),1))</f>
        <v/>
      </c>
      <c r="F5590">
        <f>IF($C5590="","",YEAR($C5590)&amp;"-Q"&amp;ROUNDUP(MONTH($C5590)/3,0))</f>
        <v/>
      </c>
      <c r="L5590">
        <f>IF($G5590&lt;&gt;"ALCOHOL","",IF($K5590="","",$H5590*IFERROR(VLOOKUP($K5590,Drink_Templates!$A:$G,7,FALSE),0)))</f>
        <v/>
      </c>
    </row>
    <row r="5591" ht="15" customHeight="1">
      <c r="C5591">
        <f>IF($B5591="","",INT($B5591))</f>
        <v/>
      </c>
      <c r="D5591">
        <f>IF($C5591="","",$C5591-WEEKDAY($C5591,2)+1)</f>
        <v/>
      </c>
      <c r="E5591">
        <f>IF($C5591="","",DATE(YEAR($C5591),MONTH($C5591),1))</f>
        <v/>
      </c>
      <c r="F5591">
        <f>IF($C5591="","",YEAR($C5591)&amp;"-Q"&amp;ROUNDUP(MONTH($C5591)/3,0))</f>
        <v/>
      </c>
      <c r="L5591">
        <f>IF($G5591&lt;&gt;"ALCOHOL","",IF($K5591="","",$H5591*IFERROR(VLOOKUP($K5591,Drink_Templates!$A:$G,7,FALSE),0)))</f>
        <v/>
      </c>
    </row>
    <row r="5592" ht="15" customHeight="1">
      <c r="C5592">
        <f>IF($B5592="","",INT($B5592))</f>
        <v/>
      </c>
      <c r="D5592">
        <f>IF($C5592="","",$C5592-WEEKDAY($C5592,2)+1)</f>
        <v/>
      </c>
      <c r="E5592">
        <f>IF($C5592="","",DATE(YEAR($C5592),MONTH($C5592),1))</f>
        <v/>
      </c>
      <c r="F5592">
        <f>IF($C5592="","",YEAR($C5592)&amp;"-Q"&amp;ROUNDUP(MONTH($C5592)/3,0))</f>
        <v/>
      </c>
      <c r="L5592">
        <f>IF($G5592&lt;&gt;"ALCOHOL","",IF($K5592="","",$H5592*IFERROR(VLOOKUP($K5592,Drink_Templates!$A:$G,7,FALSE),0)))</f>
        <v/>
      </c>
    </row>
    <row r="5593" ht="15" customHeight="1">
      <c r="C5593">
        <f>IF($B5593="","",INT($B5593))</f>
        <v/>
      </c>
      <c r="D5593">
        <f>IF($C5593="","",$C5593-WEEKDAY($C5593,2)+1)</f>
        <v/>
      </c>
      <c r="E5593">
        <f>IF($C5593="","",DATE(YEAR($C5593),MONTH($C5593),1))</f>
        <v/>
      </c>
      <c r="F5593">
        <f>IF($C5593="","",YEAR($C5593)&amp;"-Q"&amp;ROUNDUP(MONTH($C5593)/3,0))</f>
        <v/>
      </c>
      <c r="L5593">
        <f>IF($G5593&lt;&gt;"ALCOHOL","",IF($K5593="","",$H5593*IFERROR(VLOOKUP($K5593,Drink_Templates!$A:$G,7,FALSE),0)))</f>
        <v/>
      </c>
    </row>
    <row r="5594" ht="15" customHeight="1">
      <c r="C5594">
        <f>IF($B5594="","",INT($B5594))</f>
        <v/>
      </c>
      <c r="D5594">
        <f>IF($C5594="","",$C5594-WEEKDAY($C5594,2)+1)</f>
        <v/>
      </c>
      <c r="E5594">
        <f>IF($C5594="","",DATE(YEAR($C5594),MONTH($C5594),1))</f>
        <v/>
      </c>
      <c r="F5594">
        <f>IF($C5594="","",YEAR($C5594)&amp;"-Q"&amp;ROUNDUP(MONTH($C5594)/3,0))</f>
        <v/>
      </c>
      <c r="L5594">
        <f>IF($G5594&lt;&gt;"ALCOHOL","",IF($K5594="","",$H5594*IFERROR(VLOOKUP($K5594,Drink_Templates!$A:$G,7,FALSE),0)))</f>
        <v/>
      </c>
    </row>
    <row r="5595" ht="15" customHeight="1">
      <c r="C5595">
        <f>IF($B5595="","",INT($B5595))</f>
        <v/>
      </c>
      <c r="D5595">
        <f>IF($C5595="","",$C5595-WEEKDAY($C5595,2)+1)</f>
        <v/>
      </c>
      <c r="E5595">
        <f>IF($C5595="","",DATE(YEAR($C5595),MONTH($C5595),1))</f>
        <v/>
      </c>
      <c r="F5595">
        <f>IF($C5595="","",YEAR($C5595)&amp;"-Q"&amp;ROUNDUP(MONTH($C5595)/3,0))</f>
        <v/>
      </c>
      <c r="L5595">
        <f>IF($G5595&lt;&gt;"ALCOHOL","",IF($K5595="","",$H5595*IFERROR(VLOOKUP($K5595,Drink_Templates!$A:$G,7,FALSE),0)))</f>
        <v/>
      </c>
    </row>
    <row r="5596" ht="15" customHeight="1">
      <c r="C5596">
        <f>IF($B5596="","",INT($B5596))</f>
        <v/>
      </c>
      <c r="D5596">
        <f>IF($C5596="","",$C5596-WEEKDAY($C5596,2)+1)</f>
        <v/>
      </c>
      <c r="E5596">
        <f>IF($C5596="","",DATE(YEAR($C5596),MONTH($C5596),1))</f>
        <v/>
      </c>
      <c r="F5596">
        <f>IF($C5596="","",YEAR($C5596)&amp;"-Q"&amp;ROUNDUP(MONTH($C5596)/3,0))</f>
        <v/>
      </c>
      <c r="L5596">
        <f>IF($G5596&lt;&gt;"ALCOHOL","",IF($K5596="","",$H5596*IFERROR(VLOOKUP($K5596,Drink_Templates!$A:$G,7,FALSE),0)))</f>
        <v/>
      </c>
    </row>
    <row r="5597" ht="15" customHeight="1">
      <c r="C5597">
        <f>IF($B5597="","",INT($B5597))</f>
        <v/>
      </c>
      <c r="D5597">
        <f>IF($C5597="","",$C5597-WEEKDAY($C5597,2)+1)</f>
        <v/>
      </c>
      <c r="E5597">
        <f>IF($C5597="","",DATE(YEAR($C5597),MONTH($C5597),1))</f>
        <v/>
      </c>
      <c r="F5597">
        <f>IF($C5597="","",YEAR($C5597)&amp;"-Q"&amp;ROUNDUP(MONTH($C5597)/3,0))</f>
        <v/>
      </c>
      <c r="L5597">
        <f>IF($G5597&lt;&gt;"ALCOHOL","",IF($K5597="","",$H5597*IFERROR(VLOOKUP($K5597,Drink_Templates!$A:$G,7,FALSE),0)))</f>
        <v/>
      </c>
    </row>
    <row r="5598" ht="15" customHeight="1">
      <c r="C5598">
        <f>IF($B5598="","",INT($B5598))</f>
        <v/>
      </c>
      <c r="D5598">
        <f>IF($C5598="","",$C5598-WEEKDAY($C5598,2)+1)</f>
        <v/>
      </c>
      <c r="E5598">
        <f>IF($C5598="","",DATE(YEAR($C5598),MONTH($C5598),1))</f>
        <v/>
      </c>
      <c r="F5598">
        <f>IF($C5598="","",YEAR($C5598)&amp;"-Q"&amp;ROUNDUP(MONTH($C5598)/3,0))</f>
        <v/>
      </c>
      <c r="L5598">
        <f>IF($G5598&lt;&gt;"ALCOHOL","",IF($K5598="","",$H5598*IFERROR(VLOOKUP($K5598,Drink_Templates!$A:$G,7,FALSE),0)))</f>
        <v/>
      </c>
    </row>
    <row r="5599" ht="15" customHeight="1">
      <c r="C5599">
        <f>IF($B5599="","",INT($B5599))</f>
        <v/>
      </c>
      <c r="D5599">
        <f>IF($C5599="","",$C5599-WEEKDAY($C5599,2)+1)</f>
        <v/>
      </c>
      <c r="E5599">
        <f>IF($C5599="","",DATE(YEAR($C5599),MONTH($C5599),1))</f>
        <v/>
      </c>
      <c r="F5599">
        <f>IF($C5599="","",YEAR($C5599)&amp;"-Q"&amp;ROUNDUP(MONTH($C5599)/3,0))</f>
        <v/>
      </c>
      <c r="L5599">
        <f>IF($G5599&lt;&gt;"ALCOHOL","",IF($K5599="","",$H5599*IFERROR(VLOOKUP($K5599,Drink_Templates!$A:$G,7,FALSE),0)))</f>
        <v/>
      </c>
    </row>
    <row r="5600" ht="15" customHeight="1">
      <c r="C5600">
        <f>IF($B5600="","",INT($B5600))</f>
        <v/>
      </c>
      <c r="D5600">
        <f>IF($C5600="","",$C5600-WEEKDAY($C5600,2)+1)</f>
        <v/>
      </c>
      <c r="E5600">
        <f>IF($C5600="","",DATE(YEAR($C5600),MONTH($C5600),1))</f>
        <v/>
      </c>
      <c r="F5600">
        <f>IF($C5600="","",YEAR($C5600)&amp;"-Q"&amp;ROUNDUP(MONTH($C5600)/3,0))</f>
        <v/>
      </c>
      <c r="L5600">
        <f>IF($G5600&lt;&gt;"ALCOHOL","",IF($K5600="","",$H5600*IFERROR(VLOOKUP($K5600,Drink_Templates!$A:$G,7,FALSE),0)))</f>
        <v/>
      </c>
    </row>
    <row r="5601" ht="15" customHeight="1">
      <c r="C5601">
        <f>IF($B5601="","",INT($B5601))</f>
        <v/>
      </c>
      <c r="D5601">
        <f>IF($C5601="","",$C5601-WEEKDAY($C5601,2)+1)</f>
        <v/>
      </c>
      <c r="E5601">
        <f>IF($C5601="","",DATE(YEAR($C5601),MONTH($C5601),1))</f>
        <v/>
      </c>
      <c r="F5601">
        <f>IF($C5601="","",YEAR($C5601)&amp;"-Q"&amp;ROUNDUP(MONTH($C5601)/3,0))</f>
        <v/>
      </c>
      <c r="L5601">
        <f>IF($G5601&lt;&gt;"ALCOHOL","",IF($K5601="","",$H5601*IFERROR(VLOOKUP($K5601,Drink_Templates!$A:$G,7,FALSE),0)))</f>
        <v/>
      </c>
    </row>
    <row r="5602" ht="15" customHeight="1">
      <c r="C5602">
        <f>IF($B5602="","",INT($B5602))</f>
        <v/>
      </c>
      <c r="D5602">
        <f>IF($C5602="","",$C5602-WEEKDAY($C5602,2)+1)</f>
        <v/>
      </c>
      <c r="E5602">
        <f>IF($C5602="","",DATE(YEAR($C5602),MONTH($C5602),1))</f>
        <v/>
      </c>
      <c r="F5602">
        <f>IF($C5602="","",YEAR($C5602)&amp;"-Q"&amp;ROUNDUP(MONTH($C5602)/3,0))</f>
        <v/>
      </c>
      <c r="L5602">
        <f>IF($G5602&lt;&gt;"ALCOHOL","",IF($K5602="","",$H5602*IFERROR(VLOOKUP($K5602,Drink_Templates!$A:$G,7,FALSE),0)))</f>
        <v/>
      </c>
    </row>
    <row r="5603" ht="15" customHeight="1">
      <c r="C5603">
        <f>IF($B5603="","",INT($B5603))</f>
        <v/>
      </c>
      <c r="D5603">
        <f>IF($C5603="","",$C5603-WEEKDAY($C5603,2)+1)</f>
        <v/>
      </c>
      <c r="E5603">
        <f>IF($C5603="","",DATE(YEAR($C5603),MONTH($C5603),1))</f>
        <v/>
      </c>
      <c r="F5603">
        <f>IF($C5603="","",YEAR($C5603)&amp;"-Q"&amp;ROUNDUP(MONTH($C5603)/3,0))</f>
        <v/>
      </c>
      <c r="L5603">
        <f>IF($G5603&lt;&gt;"ALCOHOL","",IF($K5603="","",$H5603*IFERROR(VLOOKUP($K5603,Drink_Templates!$A:$G,7,FALSE),0)))</f>
        <v/>
      </c>
    </row>
    <row r="5604" ht="15" customHeight="1">
      <c r="C5604">
        <f>IF($B5604="","",INT($B5604))</f>
        <v/>
      </c>
      <c r="D5604">
        <f>IF($C5604="","",$C5604-WEEKDAY($C5604,2)+1)</f>
        <v/>
      </c>
      <c r="E5604">
        <f>IF($C5604="","",DATE(YEAR($C5604),MONTH($C5604),1))</f>
        <v/>
      </c>
      <c r="F5604">
        <f>IF($C5604="","",YEAR($C5604)&amp;"-Q"&amp;ROUNDUP(MONTH($C5604)/3,0))</f>
        <v/>
      </c>
      <c r="L5604">
        <f>IF($G5604&lt;&gt;"ALCOHOL","",IF($K5604="","",$H5604*IFERROR(VLOOKUP($K5604,Drink_Templates!$A:$G,7,FALSE),0)))</f>
        <v/>
      </c>
    </row>
    <row r="5605" ht="15" customHeight="1">
      <c r="C5605">
        <f>IF($B5605="","",INT($B5605))</f>
        <v/>
      </c>
      <c r="D5605">
        <f>IF($C5605="","",$C5605-WEEKDAY($C5605,2)+1)</f>
        <v/>
      </c>
      <c r="E5605">
        <f>IF($C5605="","",DATE(YEAR($C5605),MONTH($C5605),1))</f>
        <v/>
      </c>
      <c r="F5605">
        <f>IF($C5605="","",YEAR($C5605)&amp;"-Q"&amp;ROUNDUP(MONTH($C5605)/3,0))</f>
        <v/>
      </c>
      <c r="L5605">
        <f>IF($G5605&lt;&gt;"ALCOHOL","",IF($K5605="","",$H5605*IFERROR(VLOOKUP($K5605,Drink_Templates!$A:$G,7,FALSE),0)))</f>
        <v/>
      </c>
    </row>
    <row r="5606" ht="15" customHeight="1">
      <c r="C5606">
        <f>IF($B5606="","",INT($B5606))</f>
        <v/>
      </c>
      <c r="D5606">
        <f>IF($C5606="","",$C5606-WEEKDAY($C5606,2)+1)</f>
        <v/>
      </c>
      <c r="E5606">
        <f>IF($C5606="","",DATE(YEAR($C5606),MONTH($C5606),1))</f>
        <v/>
      </c>
      <c r="F5606">
        <f>IF($C5606="","",YEAR($C5606)&amp;"-Q"&amp;ROUNDUP(MONTH($C5606)/3,0))</f>
        <v/>
      </c>
      <c r="L5606">
        <f>IF($G5606&lt;&gt;"ALCOHOL","",IF($K5606="","",$H5606*IFERROR(VLOOKUP($K5606,Drink_Templates!$A:$G,7,FALSE),0)))</f>
        <v/>
      </c>
    </row>
    <row r="5607" ht="15" customHeight="1">
      <c r="C5607">
        <f>IF($B5607="","",INT($B5607))</f>
        <v/>
      </c>
      <c r="D5607">
        <f>IF($C5607="","",$C5607-WEEKDAY($C5607,2)+1)</f>
        <v/>
      </c>
      <c r="E5607">
        <f>IF($C5607="","",DATE(YEAR($C5607),MONTH($C5607),1))</f>
        <v/>
      </c>
      <c r="F5607">
        <f>IF($C5607="","",YEAR($C5607)&amp;"-Q"&amp;ROUNDUP(MONTH($C5607)/3,0))</f>
        <v/>
      </c>
      <c r="L5607">
        <f>IF($G5607&lt;&gt;"ALCOHOL","",IF($K5607="","",$H5607*IFERROR(VLOOKUP($K5607,Drink_Templates!$A:$G,7,FALSE),0)))</f>
        <v/>
      </c>
    </row>
    <row r="5608" ht="15" customHeight="1">
      <c r="C5608">
        <f>IF($B5608="","",INT($B5608))</f>
        <v/>
      </c>
      <c r="D5608">
        <f>IF($C5608="","",$C5608-WEEKDAY($C5608,2)+1)</f>
        <v/>
      </c>
      <c r="E5608">
        <f>IF($C5608="","",DATE(YEAR($C5608),MONTH($C5608),1))</f>
        <v/>
      </c>
      <c r="F5608">
        <f>IF($C5608="","",YEAR($C5608)&amp;"-Q"&amp;ROUNDUP(MONTH($C5608)/3,0))</f>
        <v/>
      </c>
      <c r="L5608">
        <f>IF($G5608&lt;&gt;"ALCOHOL","",IF($K5608="","",$H5608*IFERROR(VLOOKUP($K5608,Drink_Templates!$A:$G,7,FALSE),0)))</f>
        <v/>
      </c>
    </row>
    <row r="5609" ht="15" customHeight="1">
      <c r="C5609">
        <f>IF($B5609="","",INT($B5609))</f>
        <v/>
      </c>
      <c r="D5609">
        <f>IF($C5609="","",$C5609-WEEKDAY($C5609,2)+1)</f>
        <v/>
      </c>
      <c r="E5609">
        <f>IF($C5609="","",DATE(YEAR($C5609),MONTH($C5609),1))</f>
        <v/>
      </c>
      <c r="F5609">
        <f>IF($C5609="","",YEAR($C5609)&amp;"-Q"&amp;ROUNDUP(MONTH($C5609)/3,0))</f>
        <v/>
      </c>
      <c r="L5609">
        <f>IF($G5609&lt;&gt;"ALCOHOL","",IF($K5609="","",$H5609*IFERROR(VLOOKUP($K5609,Drink_Templates!$A:$G,7,FALSE),0)))</f>
        <v/>
      </c>
    </row>
    <row r="5610" ht="15" customHeight="1">
      <c r="C5610">
        <f>IF($B5610="","",INT($B5610))</f>
        <v/>
      </c>
      <c r="D5610">
        <f>IF($C5610="","",$C5610-WEEKDAY($C5610,2)+1)</f>
        <v/>
      </c>
      <c r="E5610">
        <f>IF($C5610="","",DATE(YEAR($C5610),MONTH($C5610),1))</f>
        <v/>
      </c>
      <c r="F5610">
        <f>IF($C5610="","",YEAR($C5610)&amp;"-Q"&amp;ROUNDUP(MONTH($C5610)/3,0))</f>
        <v/>
      </c>
      <c r="L5610">
        <f>IF($G5610&lt;&gt;"ALCOHOL","",IF($K5610="","",$H5610*IFERROR(VLOOKUP($K5610,Drink_Templates!$A:$G,7,FALSE),0)))</f>
        <v/>
      </c>
    </row>
    <row r="5611" ht="15" customHeight="1">
      <c r="C5611">
        <f>IF($B5611="","",INT($B5611))</f>
        <v/>
      </c>
      <c r="D5611">
        <f>IF($C5611="","",$C5611-WEEKDAY($C5611,2)+1)</f>
        <v/>
      </c>
      <c r="E5611">
        <f>IF($C5611="","",DATE(YEAR($C5611),MONTH($C5611),1))</f>
        <v/>
      </c>
      <c r="F5611">
        <f>IF($C5611="","",YEAR($C5611)&amp;"-Q"&amp;ROUNDUP(MONTH($C5611)/3,0))</f>
        <v/>
      </c>
      <c r="L5611">
        <f>IF($G5611&lt;&gt;"ALCOHOL","",IF($K5611="","",$H5611*IFERROR(VLOOKUP($K5611,Drink_Templates!$A:$G,7,FALSE),0)))</f>
        <v/>
      </c>
    </row>
    <row r="5612" ht="15" customHeight="1">
      <c r="C5612">
        <f>IF($B5612="","",INT($B5612))</f>
        <v/>
      </c>
      <c r="D5612">
        <f>IF($C5612="","",$C5612-WEEKDAY($C5612,2)+1)</f>
        <v/>
      </c>
      <c r="E5612">
        <f>IF($C5612="","",DATE(YEAR($C5612),MONTH($C5612),1))</f>
        <v/>
      </c>
      <c r="F5612">
        <f>IF($C5612="","",YEAR($C5612)&amp;"-Q"&amp;ROUNDUP(MONTH($C5612)/3,0))</f>
        <v/>
      </c>
      <c r="L5612">
        <f>IF($G5612&lt;&gt;"ALCOHOL","",IF($K5612="","",$H5612*IFERROR(VLOOKUP($K5612,Drink_Templates!$A:$G,7,FALSE),0)))</f>
        <v/>
      </c>
    </row>
    <row r="5613" ht="15" customHeight="1">
      <c r="C5613">
        <f>IF($B5613="","",INT($B5613))</f>
        <v/>
      </c>
      <c r="D5613">
        <f>IF($C5613="","",$C5613-WEEKDAY($C5613,2)+1)</f>
        <v/>
      </c>
      <c r="E5613">
        <f>IF($C5613="","",DATE(YEAR($C5613),MONTH($C5613),1))</f>
        <v/>
      </c>
      <c r="F5613">
        <f>IF($C5613="","",YEAR($C5613)&amp;"-Q"&amp;ROUNDUP(MONTH($C5613)/3,0))</f>
        <v/>
      </c>
      <c r="L5613">
        <f>IF($G5613&lt;&gt;"ALCOHOL","",IF($K5613="","",$H5613*IFERROR(VLOOKUP($K5613,Drink_Templates!$A:$G,7,FALSE),0)))</f>
        <v/>
      </c>
    </row>
    <row r="5614" ht="15" customHeight="1">
      <c r="C5614">
        <f>IF($B5614="","",INT($B5614))</f>
        <v/>
      </c>
      <c r="D5614">
        <f>IF($C5614="","",$C5614-WEEKDAY($C5614,2)+1)</f>
        <v/>
      </c>
      <c r="E5614">
        <f>IF($C5614="","",DATE(YEAR($C5614),MONTH($C5614),1))</f>
        <v/>
      </c>
      <c r="F5614">
        <f>IF($C5614="","",YEAR($C5614)&amp;"-Q"&amp;ROUNDUP(MONTH($C5614)/3,0))</f>
        <v/>
      </c>
      <c r="L5614">
        <f>IF($G5614&lt;&gt;"ALCOHOL","",IF($K5614="","",$H5614*IFERROR(VLOOKUP($K5614,Drink_Templates!$A:$G,7,FALSE),0)))</f>
        <v/>
      </c>
    </row>
    <row r="5615" ht="15" customHeight="1">
      <c r="C5615">
        <f>IF($B5615="","",INT($B5615))</f>
        <v/>
      </c>
      <c r="D5615">
        <f>IF($C5615="","",$C5615-WEEKDAY($C5615,2)+1)</f>
        <v/>
      </c>
      <c r="E5615">
        <f>IF($C5615="","",DATE(YEAR($C5615),MONTH($C5615),1))</f>
        <v/>
      </c>
      <c r="F5615">
        <f>IF($C5615="","",YEAR($C5615)&amp;"-Q"&amp;ROUNDUP(MONTH($C5615)/3,0))</f>
        <v/>
      </c>
      <c r="L5615">
        <f>IF($G5615&lt;&gt;"ALCOHOL","",IF($K5615="","",$H5615*IFERROR(VLOOKUP($K5615,Drink_Templates!$A:$G,7,FALSE),0)))</f>
        <v/>
      </c>
    </row>
    <row r="5616" ht="15" customHeight="1">
      <c r="C5616">
        <f>IF($B5616="","",INT($B5616))</f>
        <v/>
      </c>
      <c r="D5616">
        <f>IF($C5616="","",$C5616-WEEKDAY($C5616,2)+1)</f>
        <v/>
      </c>
      <c r="E5616">
        <f>IF($C5616="","",DATE(YEAR($C5616),MONTH($C5616),1))</f>
        <v/>
      </c>
      <c r="F5616">
        <f>IF($C5616="","",YEAR($C5616)&amp;"-Q"&amp;ROUNDUP(MONTH($C5616)/3,0))</f>
        <v/>
      </c>
      <c r="L5616">
        <f>IF($G5616&lt;&gt;"ALCOHOL","",IF($K5616="","",$H5616*IFERROR(VLOOKUP($K5616,Drink_Templates!$A:$G,7,FALSE),0)))</f>
        <v/>
      </c>
    </row>
    <row r="5617" ht="15" customHeight="1">
      <c r="C5617">
        <f>IF($B5617="","",INT($B5617))</f>
        <v/>
      </c>
      <c r="D5617">
        <f>IF($C5617="","",$C5617-WEEKDAY($C5617,2)+1)</f>
        <v/>
      </c>
      <c r="E5617">
        <f>IF($C5617="","",DATE(YEAR($C5617),MONTH($C5617),1))</f>
        <v/>
      </c>
      <c r="F5617">
        <f>IF($C5617="","",YEAR($C5617)&amp;"-Q"&amp;ROUNDUP(MONTH($C5617)/3,0))</f>
        <v/>
      </c>
      <c r="L5617">
        <f>IF($G5617&lt;&gt;"ALCOHOL","",IF($K5617="","",$H5617*IFERROR(VLOOKUP($K5617,Drink_Templates!$A:$G,7,FALSE),0)))</f>
        <v/>
      </c>
    </row>
    <row r="5618" ht="15" customHeight="1">
      <c r="C5618">
        <f>IF($B5618="","",INT($B5618))</f>
        <v/>
      </c>
      <c r="D5618">
        <f>IF($C5618="","",$C5618-WEEKDAY($C5618,2)+1)</f>
        <v/>
      </c>
      <c r="E5618">
        <f>IF($C5618="","",DATE(YEAR($C5618),MONTH($C5618),1))</f>
        <v/>
      </c>
      <c r="F5618">
        <f>IF($C5618="","",YEAR($C5618)&amp;"-Q"&amp;ROUNDUP(MONTH($C5618)/3,0))</f>
        <v/>
      </c>
      <c r="L5618">
        <f>IF($G5618&lt;&gt;"ALCOHOL","",IF($K5618="","",$H5618*IFERROR(VLOOKUP($K5618,Drink_Templates!$A:$G,7,FALSE),0)))</f>
        <v/>
      </c>
    </row>
    <row r="5619" ht="15" customHeight="1">
      <c r="C5619">
        <f>IF($B5619="","",INT($B5619))</f>
        <v/>
      </c>
      <c r="D5619">
        <f>IF($C5619="","",$C5619-WEEKDAY($C5619,2)+1)</f>
        <v/>
      </c>
      <c r="E5619">
        <f>IF($C5619="","",DATE(YEAR($C5619),MONTH($C5619),1))</f>
        <v/>
      </c>
      <c r="F5619">
        <f>IF($C5619="","",YEAR($C5619)&amp;"-Q"&amp;ROUNDUP(MONTH($C5619)/3,0))</f>
        <v/>
      </c>
      <c r="L5619">
        <f>IF($G5619&lt;&gt;"ALCOHOL","",IF($K5619="","",$H5619*IFERROR(VLOOKUP($K5619,Drink_Templates!$A:$G,7,FALSE),0)))</f>
        <v/>
      </c>
    </row>
    <row r="5620" ht="15" customHeight="1">
      <c r="C5620">
        <f>IF($B5620="","",INT($B5620))</f>
        <v/>
      </c>
      <c r="D5620">
        <f>IF($C5620="","",$C5620-WEEKDAY($C5620,2)+1)</f>
        <v/>
      </c>
      <c r="E5620">
        <f>IF($C5620="","",DATE(YEAR($C5620),MONTH($C5620),1))</f>
        <v/>
      </c>
      <c r="F5620">
        <f>IF($C5620="","",YEAR($C5620)&amp;"-Q"&amp;ROUNDUP(MONTH($C5620)/3,0))</f>
        <v/>
      </c>
      <c r="L5620">
        <f>IF($G5620&lt;&gt;"ALCOHOL","",IF($K5620="","",$H5620*IFERROR(VLOOKUP($K5620,Drink_Templates!$A:$G,7,FALSE),0)))</f>
        <v/>
      </c>
    </row>
    <row r="5621" ht="15" customHeight="1">
      <c r="C5621">
        <f>IF($B5621="","",INT($B5621))</f>
        <v/>
      </c>
      <c r="D5621">
        <f>IF($C5621="","",$C5621-WEEKDAY($C5621,2)+1)</f>
        <v/>
      </c>
      <c r="E5621">
        <f>IF($C5621="","",DATE(YEAR($C5621),MONTH($C5621),1))</f>
        <v/>
      </c>
      <c r="F5621">
        <f>IF($C5621="","",YEAR($C5621)&amp;"-Q"&amp;ROUNDUP(MONTH($C5621)/3,0))</f>
        <v/>
      </c>
      <c r="L5621">
        <f>IF($G5621&lt;&gt;"ALCOHOL","",IF($K5621="","",$H5621*IFERROR(VLOOKUP($K5621,Drink_Templates!$A:$G,7,FALSE),0)))</f>
        <v/>
      </c>
    </row>
    <row r="5622" ht="15" customHeight="1">
      <c r="C5622">
        <f>IF($B5622="","",INT($B5622))</f>
        <v/>
      </c>
      <c r="D5622">
        <f>IF($C5622="","",$C5622-WEEKDAY($C5622,2)+1)</f>
        <v/>
      </c>
      <c r="E5622">
        <f>IF($C5622="","",DATE(YEAR($C5622),MONTH($C5622),1))</f>
        <v/>
      </c>
      <c r="F5622">
        <f>IF($C5622="","",YEAR($C5622)&amp;"-Q"&amp;ROUNDUP(MONTH($C5622)/3,0))</f>
        <v/>
      </c>
      <c r="L5622">
        <f>IF($G5622&lt;&gt;"ALCOHOL","",IF($K5622="","",$H5622*IFERROR(VLOOKUP($K5622,Drink_Templates!$A:$G,7,FALSE),0)))</f>
        <v/>
      </c>
    </row>
    <row r="5623" ht="15" customHeight="1">
      <c r="C5623">
        <f>IF($B5623="","",INT($B5623))</f>
        <v/>
      </c>
      <c r="D5623">
        <f>IF($C5623="","",$C5623-WEEKDAY($C5623,2)+1)</f>
        <v/>
      </c>
      <c r="E5623">
        <f>IF($C5623="","",DATE(YEAR($C5623),MONTH($C5623),1))</f>
        <v/>
      </c>
      <c r="F5623">
        <f>IF($C5623="","",YEAR($C5623)&amp;"-Q"&amp;ROUNDUP(MONTH($C5623)/3,0))</f>
        <v/>
      </c>
      <c r="L5623">
        <f>IF($G5623&lt;&gt;"ALCOHOL","",IF($K5623="","",$H5623*IFERROR(VLOOKUP($K5623,Drink_Templates!$A:$G,7,FALSE),0)))</f>
        <v/>
      </c>
    </row>
    <row r="5624" ht="15" customHeight="1">
      <c r="C5624">
        <f>IF($B5624="","",INT($B5624))</f>
        <v/>
      </c>
      <c r="D5624">
        <f>IF($C5624="","",$C5624-WEEKDAY($C5624,2)+1)</f>
        <v/>
      </c>
      <c r="E5624">
        <f>IF($C5624="","",DATE(YEAR($C5624),MONTH($C5624),1))</f>
        <v/>
      </c>
      <c r="F5624">
        <f>IF($C5624="","",YEAR($C5624)&amp;"-Q"&amp;ROUNDUP(MONTH($C5624)/3,0))</f>
        <v/>
      </c>
      <c r="L5624">
        <f>IF($G5624&lt;&gt;"ALCOHOL","",IF($K5624="","",$H5624*IFERROR(VLOOKUP($K5624,Drink_Templates!$A:$G,7,FALSE),0)))</f>
        <v/>
      </c>
    </row>
    <row r="5625" ht="15" customHeight="1">
      <c r="C5625">
        <f>IF($B5625="","",INT($B5625))</f>
        <v/>
      </c>
      <c r="D5625">
        <f>IF($C5625="","",$C5625-WEEKDAY($C5625,2)+1)</f>
        <v/>
      </c>
      <c r="E5625">
        <f>IF($C5625="","",DATE(YEAR($C5625),MONTH($C5625),1))</f>
        <v/>
      </c>
      <c r="F5625">
        <f>IF($C5625="","",YEAR($C5625)&amp;"-Q"&amp;ROUNDUP(MONTH($C5625)/3,0))</f>
        <v/>
      </c>
      <c r="L5625">
        <f>IF($G5625&lt;&gt;"ALCOHOL","",IF($K5625="","",$H5625*IFERROR(VLOOKUP($K5625,Drink_Templates!$A:$G,7,FALSE),0)))</f>
        <v/>
      </c>
    </row>
    <row r="5626" ht="15" customHeight="1">
      <c r="C5626">
        <f>IF($B5626="","",INT($B5626))</f>
        <v/>
      </c>
      <c r="D5626">
        <f>IF($C5626="","",$C5626-WEEKDAY($C5626,2)+1)</f>
        <v/>
      </c>
      <c r="E5626">
        <f>IF($C5626="","",DATE(YEAR($C5626),MONTH($C5626),1))</f>
        <v/>
      </c>
      <c r="F5626">
        <f>IF($C5626="","",YEAR($C5626)&amp;"-Q"&amp;ROUNDUP(MONTH($C5626)/3,0))</f>
        <v/>
      </c>
      <c r="L5626">
        <f>IF($G5626&lt;&gt;"ALCOHOL","",IF($K5626="","",$H5626*IFERROR(VLOOKUP($K5626,Drink_Templates!$A:$G,7,FALSE),0)))</f>
        <v/>
      </c>
    </row>
    <row r="5627" ht="15" customHeight="1">
      <c r="C5627">
        <f>IF($B5627="","",INT($B5627))</f>
        <v/>
      </c>
      <c r="D5627">
        <f>IF($C5627="","",$C5627-WEEKDAY($C5627,2)+1)</f>
        <v/>
      </c>
      <c r="E5627">
        <f>IF($C5627="","",DATE(YEAR($C5627),MONTH($C5627),1))</f>
        <v/>
      </c>
      <c r="F5627">
        <f>IF($C5627="","",YEAR($C5627)&amp;"-Q"&amp;ROUNDUP(MONTH($C5627)/3,0))</f>
        <v/>
      </c>
      <c r="L5627">
        <f>IF($G5627&lt;&gt;"ALCOHOL","",IF($K5627="","",$H5627*IFERROR(VLOOKUP($K5627,Drink_Templates!$A:$G,7,FALSE),0)))</f>
        <v/>
      </c>
    </row>
    <row r="5628" ht="15" customHeight="1">
      <c r="C5628">
        <f>IF($B5628="","",INT($B5628))</f>
        <v/>
      </c>
      <c r="D5628">
        <f>IF($C5628="","",$C5628-WEEKDAY($C5628,2)+1)</f>
        <v/>
      </c>
      <c r="E5628">
        <f>IF($C5628="","",DATE(YEAR($C5628),MONTH($C5628),1))</f>
        <v/>
      </c>
      <c r="F5628">
        <f>IF($C5628="","",YEAR($C5628)&amp;"-Q"&amp;ROUNDUP(MONTH($C5628)/3,0))</f>
        <v/>
      </c>
      <c r="L5628">
        <f>IF($G5628&lt;&gt;"ALCOHOL","",IF($K5628="","",$H5628*IFERROR(VLOOKUP($K5628,Drink_Templates!$A:$G,7,FALSE),0)))</f>
        <v/>
      </c>
    </row>
    <row r="5629" ht="15" customHeight="1">
      <c r="C5629">
        <f>IF($B5629="","",INT($B5629))</f>
        <v/>
      </c>
      <c r="D5629">
        <f>IF($C5629="","",$C5629-WEEKDAY($C5629,2)+1)</f>
        <v/>
      </c>
      <c r="E5629">
        <f>IF($C5629="","",DATE(YEAR($C5629),MONTH($C5629),1))</f>
        <v/>
      </c>
      <c r="F5629">
        <f>IF($C5629="","",YEAR($C5629)&amp;"-Q"&amp;ROUNDUP(MONTH($C5629)/3,0))</f>
        <v/>
      </c>
      <c r="L5629">
        <f>IF($G5629&lt;&gt;"ALCOHOL","",IF($K5629="","",$H5629*IFERROR(VLOOKUP($K5629,Drink_Templates!$A:$G,7,FALSE),0)))</f>
        <v/>
      </c>
    </row>
    <row r="5630" ht="15" customHeight="1">
      <c r="C5630">
        <f>IF($B5630="","",INT($B5630))</f>
        <v/>
      </c>
      <c r="D5630">
        <f>IF($C5630="","",$C5630-WEEKDAY($C5630,2)+1)</f>
        <v/>
      </c>
      <c r="E5630">
        <f>IF($C5630="","",DATE(YEAR($C5630),MONTH($C5630),1))</f>
        <v/>
      </c>
      <c r="F5630">
        <f>IF($C5630="","",YEAR($C5630)&amp;"-Q"&amp;ROUNDUP(MONTH($C5630)/3,0))</f>
        <v/>
      </c>
      <c r="L5630">
        <f>IF($G5630&lt;&gt;"ALCOHOL","",IF($K5630="","",$H5630*IFERROR(VLOOKUP($K5630,Drink_Templates!$A:$G,7,FALSE),0)))</f>
        <v/>
      </c>
    </row>
    <row r="5631" ht="15" customHeight="1">
      <c r="C5631">
        <f>IF($B5631="","",INT($B5631))</f>
        <v/>
      </c>
      <c r="D5631">
        <f>IF($C5631="","",$C5631-WEEKDAY($C5631,2)+1)</f>
        <v/>
      </c>
      <c r="E5631">
        <f>IF($C5631="","",DATE(YEAR($C5631),MONTH($C5631),1))</f>
        <v/>
      </c>
      <c r="F5631">
        <f>IF($C5631="","",YEAR($C5631)&amp;"-Q"&amp;ROUNDUP(MONTH($C5631)/3,0))</f>
        <v/>
      </c>
      <c r="L5631">
        <f>IF($G5631&lt;&gt;"ALCOHOL","",IF($K5631="","",$H5631*IFERROR(VLOOKUP($K5631,Drink_Templates!$A:$G,7,FALSE),0)))</f>
        <v/>
      </c>
    </row>
    <row r="5632" ht="15" customHeight="1">
      <c r="C5632">
        <f>IF($B5632="","",INT($B5632))</f>
        <v/>
      </c>
      <c r="D5632">
        <f>IF($C5632="","",$C5632-WEEKDAY($C5632,2)+1)</f>
        <v/>
      </c>
      <c r="E5632">
        <f>IF($C5632="","",DATE(YEAR($C5632),MONTH($C5632),1))</f>
        <v/>
      </c>
      <c r="F5632">
        <f>IF($C5632="","",YEAR($C5632)&amp;"-Q"&amp;ROUNDUP(MONTH($C5632)/3,0))</f>
        <v/>
      </c>
      <c r="L5632">
        <f>IF($G5632&lt;&gt;"ALCOHOL","",IF($K5632="","",$H5632*IFERROR(VLOOKUP($K5632,Drink_Templates!$A:$G,7,FALSE),0)))</f>
        <v/>
      </c>
    </row>
    <row r="5633" ht="15" customHeight="1">
      <c r="C5633">
        <f>IF($B5633="","",INT($B5633))</f>
        <v/>
      </c>
      <c r="D5633">
        <f>IF($C5633="","",$C5633-WEEKDAY($C5633,2)+1)</f>
        <v/>
      </c>
      <c r="E5633">
        <f>IF($C5633="","",DATE(YEAR($C5633),MONTH($C5633),1))</f>
        <v/>
      </c>
      <c r="F5633">
        <f>IF($C5633="","",YEAR($C5633)&amp;"-Q"&amp;ROUNDUP(MONTH($C5633)/3,0))</f>
        <v/>
      </c>
      <c r="L5633">
        <f>IF($G5633&lt;&gt;"ALCOHOL","",IF($K5633="","",$H5633*IFERROR(VLOOKUP($K5633,Drink_Templates!$A:$G,7,FALSE),0)))</f>
        <v/>
      </c>
    </row>
    <row r="5634" ht="15" customHeight="1">
      <c r="C5634">
        <f>IF($B5634="","",INT($B5634))</f>
        <v/>
      </c>
      <c r="D5634">
        <f>IF($C5634="","",$C5634-WEEKDAY($C5634,2)+1)</f>
        <v/>
      </c>
      <c r="E5634">
        <f>IF($C5634="","",DATE(YEAR($C5634),MONTH($C5634),1))</f>
        <v/>
      </c>
      <c r="F5634">
        <f>IF($C5634="","",YEAR($C5634)&amp;"-Q"&amp;ROUNDUP(MONTH($C5634)/3,0))</f>
        <v/>
      </c>
      <c r="L5634">
        <f>IF($G5634&lt;&gt;"ALCOHOL","",IF($K5634="","",$H5634*IFERROR(VLOOKUP($K5634,Drink_Templates!$A:$G,7,FALSE),0)))</f>
        <v/>
      </c>
    </row>
    <row r="5635" ht="15" customHeight="1">
      <c r="C5635">
        <f>IF($B5635="","",INT($B5635))</f>
        <v/>
      </c>
      <c r="D5635">
        <f>IF($C5635="","",$C5635-WEEKDAY($C5635,2)+1)</f>
        <v/>
      </c>
      <c r="E5635">
        <f>IF($C5635="","",DATE(YEAR($C5635),MONTH($C5635),1))</f>
        <v/>
      </c>
      <c r="F5635">
        <f>IF($C5635="","",YEAR($C5635)&amp;"-Q"&amp;ROUNDUP(MONTH($C5635)/3,0))</f>
        <v/>
      </c>
      <c r="L5635">
        <f>IF($G5635&lt;&gt;"ALCOHOL","",IF($K5635="","",$H5635*IFERROR(VLOOKUP($K5635,Drink_Templates!$A:$G,7,FALSE),0)))</f>
        <v/>
      </c>
    </row>
    <row r="5636" ht="15" customHeight="1">
      <c r="C5636">
        <f>IF($B5636="","",INT($B5636))</f>
        <v/>
      </c>
      <c r="D5636">
        <f>IF($C5636="","",$C5636-WEEKDAY($C5636,2)+1)</f>
        <v/>
      </c>
      <c r="E5636">
        <f>IF($C5636="","",DATE(YEAR($C5636),MONTH($C5636),1))</f>
        <v/>
      </c>
      <c r="F5636">
        <f>IF($C5636="","",YEAR($C5636)&amp;"-Q"&amp;ROUNDUP(MONTH($C5636)/3,0))</f>
        <v/>
      </c>
      <c r="L5636">
        <f>IF($G5636&lt;&gt;"ALCOHOL","",IF($K5636="","",$H5636*IFERROR(VLOOKUP($K5636,Drink_Templates!$A:$G,7,FALSE),0)))</f>
        <v/>
      </c>
    </row>
    <row r="5637" ht="15" customHeight="1">
      <c r="C5637">
        <f>IF($B5637="","",INT($B5637))</f>
        <v/>
      </c>
      <c r="D5637">
        <f>IF($C5637="","",$C5637-WEEKDAY($C5637,2)+1)</f>
        <v/>
      </c>
      <c r="E5637">
        <f>IF($C5637="","",DATE(YEAR($C5637),MONTH($C5637),1))</f>
        <v/>
      </c>
      <c r="F5637">
        <f>IF($C5637="","",YEAR($C5637)&amp;"-Q"&amp;ROUNDUP(MONTH($C5637)/3,0))</f>
        <v/>
      </c>
      <c r="L5637">
        <f>IF($G5637&lt;&gt;"ALCOHOL","",IF($K5637="","",$H5637*IFERROR(VLOOKUP($K5637,Drink_Templates!$A:$G,7,FALSE),0)))</f>
        <v/>
      </c>
    </row>
    <row r="5638" ht="15" customHeight="1">
      <c r="C5638">
        <f>IF($B5638="","",INT($B5638))</f>
        <v/>
      </c>
      <c r="D5638">
        <f>IF($C5638="","",$C5638-WEEKDAY($C5638,2)+1)</f>
        <v/>
      </c>
      <c r="E5638">
        <f>IF($C5638="","",DATE(YEAR($C5638),MONTH($C5638),1))</f>
        <v/>
      </c>
      <c r="F5638">
        <f>IF($C5638="","",YEAR($C5638)&amp;"-Q"&amp;ROUNDUP(MONTH($C5638)/3,0))</f>
        <v/>
      </c>
      <c r="L5638">
        <f>IF($G5638&lt;&gt;"ALCOHOL","",IF($K5638="","",$H5638*IFERROR(VLOOKUP($K5638,Drink_Templates!$A:$G,7,FALSE),0)))</f>
        <v/>
      </c>
    </row>
    <row r="5639" ht="15" customHeight="1">
      <c r="C5639">
        <f>IF($B5639="","",INT($B5639))</f>
        <v/>
      </c>
      <c r="D5639">
        <f>IF($C5639="","",$C5639-WEEKDAY($C5639,2)+1)</f>
        <v/>
      </c>
      <c r="E5639">
        <f>IF($C5639="","",DATE(YEAR($C5639),MONTH($C5639),1))</f>
        <v/>
      </c>
      <c r="F5639">
        <f>IF($C5639="","",YEAR($C5639)&amp;"-Q"&amp;ROUNDUP(MONTH($C5639)/3,0))</f>
        <v/>
      </c>
      <c r="L5639">
        <f>IF($G5639&lt;&gt;"ALCOHOL","",IF($K5639="","",$H5639*IFERROR(VLOOKUP($K5639,Drink_Templates!$A:$G,7,FALSE),0)))</f>
        <v/>
      </c>
    </row>
    <row r="5640" ht="15" customHeight="1">
      <c r="C5640">
        <f>IF($B5640="","",INT($B5640))</f>
        <v/>
      </c>
      <c r="D5640">
        <f>IF($C5640="","",$C5640-WEEKDAY($C5640,2)+1)</f>
        <v/>
      </c>
      <c r="E5640">
        <f>IF($C5640="","",DATE(YEAR($C5640),MONTH($C5640),1))</f>
        <v/>
      </c>
      <c r="F5640">
        <f>IF($C5640="","",YEAR($C5640)&amp;"-Q"&amp;ROUNDUP(MONTH($C5640)/3,0))</f>
        <v/>
      </c>
      <c r="L5640">
        <f>IF($G5640&lt;&gt;"ALCOHOL","",IF($K5640="","",$H5640*IFERROR(VLOOKUP($K5640,Drink_Templates!$A:$G,7,FALSE),0)))</f>
        <v/>
      </c>
    </row>
    <row r="5641" ht="15" customHeight="1">
      <c r="C5641">
        <f>IF($B5641="","",INT($B5641))</f>
        <v/>
      </c>
      <c r="D5641">
        <f>IF($C5641="","",$C5641-WEEKDAY($C5641,2)+1)</f>
        <v/>
      </c>
      <c r="E5641">
        <f>IF($C5641="","",DATE(YEAR($C5641),MONTH($C5641),1))</f>
        <v/>
      </c>
      <c r="F5641">
        <f>IF($C5641="","",YEAR($C5641)&amp;"-Q"&amp;ROUNDUP(MONTH($C5641)/3,0))</f>
        <v/>
      </c>
      <c r="L5641">
        <f>IF($G5641&lt;&gt;"ALCOHOL","",IF($K5641="","",$H5641*IFERROR(VLOOKUP($K5641,Drink_Templates!$A:$G,7,FALSE),0)))</f>
        <v/>
      </c>
    </row>
    <row r="5642" ht="15" customHeight="1">
      <c r="C5642">
        <f>IF($B5642="","",INT($B5642))</f>
        <v/>
      </c>
      <c r="D5642">
        <f>IF($C5642="","",$C5642-WEEKDAY($C5642,2)+1)</f>
        <v/>
      </c>
      <c r="E5642">
        <f>IF($C5642="","",DATE(YEAR($C5642),MONTH($C5642),1))</f>
        <v/>
      </c>
      <c r="F5642">
        <f>IF($C5642="","",YEAR($C5642)&amp;"-Q"&amp;ROUNDUP(MONTH($C5642)/3,0))</f>
        <v/>
      </c>
      <c r="L5642">
        <f>IF($G5642&lt;&gt;"ALCOHOL","",IF($K5642="","",$H5642*IFERROR(VLOOKUP($K5642,Drink_Templates!$A:$G,7,FALSE),0)))</f>
        <v/>
      </c>
    </row>
    <row r="5643" ht="15" customHeight="1">
      <c r="C5643">
        <f>IF($B5643="","",INT($B5643))</f>
        <v/>
      </c>
      <c r="D5643">
        <f>IF($C5643="","",$C5643-WEEKDAY($C5643,2)+1)</f>
        <v/>
      </c>
      <c r="E5643">
        <f>IF($C5643="","",DATE(YEAR($C5643),MONTH($C5643),1))</f>
        <v/>
      </c>
      <c r="F5643">
        <f>IF($C5643="","",YEAR($C5643)&amp;"-Q"&amp;ROUNDUP(MONTH($C5643)/3,0))</f>
        <v/>
      </c>
      <c r="L5643">
        <f>IF($G5643&lt;&gt;"ALCOHOL","",IF($K5643="","",$H5643*IFERROR(VLOOKUP($K5643,Drink_Templates!$A:$G,7,FALSE),0)))</f>
        <v/>
      </c>
    </row>
    <row r="5644" ht="15" customHeight="1">
      <c r="C5644">
        <f>IF($B5644="","",INT($B5644))</f>
        <v/>
      </c>
      <c r="D5644">
        <f>IF($C5644="","",$C5644-WEEKDAY($C5644,2)+1)</f>
        <v/>
      </c>
      <c r="E5644">
        <f>IF($C5644="","",DATE(YEAR($C5644),MONTH($C5644),1))</f>
        <v/>
      </c>
      <c r="F5644">
        <f>IF($C5644="","",YEAR($C5644)&amp;"-Q"&amp;ROUNDUP(MONTH($C5644)/3,0))</f>
        <v/>
      </c>
      <c r="L5644">
        <f>IF($G5644&lt;&gt;"ALCOHOL","",IF($K5644="","",$H5644*IFERROR(VLOOKUP($K5644,Drink_Templates!$A:$G,7,FALSE),0)))</f>
        <v/>
      </c>
    </row>
    <row r="5645" ht="15" customHeight="1">
      <c r="C5645">
        <f>IF($B5645="","",INT($B5645))</f>
        <v/>
      </c>
      <c r="D5645">
        <f>IF($C5645="","",$C5645-WEEKDAY($C5645,2)+1)</f>
        <v/>
      </c>
      <c r="E5645">
        <f>IF($C5645="","",DATE(YEAR($C5645),MONTH($C5645),1))</f>
        <v/>
      </c>
      <c r="F5645">
        <f>IF($C5645="","",YEAR($C5645)&amp;"-Q"&amp;ROUNDUP(MONTH($C5645)/3,0))</f>
        <v/>
      </c>
      <c r="L5645">
        <f>IF($G5645&lt;&gt;"ALCOHOL","",IF($K5645="","",$H5645*IFERROR(VLOOKUP($K5645,Drink_Templates!$A:$G,7,FALSE),0)))</f>
        <v/>
      </c>
    </row>
    <row r="5646" ht="15" customHeight="1">
      <c r="C5646">
        <f>IF($B5646="","",INT($B5646))</f>
        <v/>
      </c>
      <c r="D5646">
        <f>IF($C5646="","",$C5646-WEEKDAY($C5646,2)+1)</f>
        <v/>
      </c>
      <c r="E5646">
        <f>IF($C5646="","",DATE(YEAR($C5646),MONTH($C5646),1))</f>
        <v/>
      </c>
      <c r="F5646">
        <f>IF($C5646="","",YEAR($C5646)&amp;"-Q"&amp;ROUNDUP(MONTH($C5646)/3,0))</f>
        <v/>
      </c>
      <c r="L5646">
        <f>IF($G5646&lt;&gt;"ALCOHOL","",IF($K5646="","",$H5646*IFERROR(VLOOKUP($K5646,Drink_Templates!$A:$G,7,FALSE),0)))</f>
        <v/>
      </c>
    </row>
    <row r="5647" ht="15" customHeight="1">
      <c r="C5647">
        <f>IF($B5647="","",INT($B5647))</f>
        <v/>
      </c>
      <c r="D5647">
        <f>IF($C5647="","",$C5647-WEEKDAY($C5647,2)+1)</f>
        <v/>
      </c>
      <c r="E5647">
        <f>IF($C5647="","",DATE(YEAR($C5647),MONTH($C5647),1))</f>
        <v/>
      </c>
      <c r="F5647">
        <f>IF($C5647="","",YEAR($C5647)&amp;"-Q"&amp;ROUNDUP(MONTH($C5647)/3,0))</f>
        <v/>
      </c>
      <c r="L5647">
        <f>IF($G5647&lt;&gt;"ALCOHOL","",IF($K5647="","",$H5647*IFERROR(VLOOKUP($K5647,Drink_Templates!$A:$G,7,FALSE),0)))</f>
        <v/>
      </c>
    </row>
    <row r="5648" ht="15" customHeight="1">
      <c r="C5648">
        <f>IF($B5648="","",INT($B5648))</f>
        <v/>
      </c>
      <c r="D5648">
        <f>IF($C5648="","",$C5648-WEEKDAY($C5648,2)+1)</f>
        <v/>
      </c>
      <c r="E5648">
        <f>IF($C5648="","",DATE(YEAR($C5648),MONTH($C5648),1))</f>
        <v/>
      </c>
      <c r="F5648">
        <f>IF($C5648="","",YEAR($C5648)&amp;"-Q"&amp;ROUNDUP(MONTH($C5648)/3,0))</f>
        <v/>
      </c>
      <c r="L5648">
        <f>IF($G5648&lt;&gt;"ALCOHOL","",IF($K5648="","",$H5648*IFERROR(VLOOKUP($K5648,Drink_Templates!$A:$G,7,FALSE),0)))</f>
        <v/>
      </c>
    </row>
    <row r="5649" ht="15" customHeight="1">
      <c r="C5649">
        <f>IF($B5649="","",INT($B5649))</f>
        <v/>
      </c>
      <c r="D5649">
        <f>IF($C5649="","",$C5649-WEEKDAY($C5649,2)+1)</f>
        <v/>
      </c>
      <c r="E5649">
        <f>IF($C5649="","",DATE(YEAR($C5649),MONTH($C5649),1))</f>
        <v/>
      </c>
      <c r="F5649">
        <f>IF($C5649="","",YEAR($C5649)&amp;"-Q"&amp;ROUNDUP(MONTH($C5649)/3,0))</f>
        <v/>
      </c>
      <c r="L5649">
        <f>IF($G5649&lt;&gt;"ALCOHOL","",IF($K5649="","",$H5649*IFERROR(VLOOKUP($K5649,Drink_Templates!$A:$G,7,FALSE),0)))</f>
        <v/>
      </c>
    </row>
    <row r="5650" ht="15" customHeight="1">
      <c r="C5650">
        <f>IF($B5650="","",INT($B5650))</f>
        <v/>
      </c>
      <c r="D5650">
        <f>IF($C5650="","",$C5650-WEEKDAY($C5650,2)+1)</f>
        <v/>
      </c>
      <c r="E5650">
        <f>IF($C5650="","",DATE(YEAR($C5650),MONTH($C5650),1))</f>
        <v/>
      </c>
      <c r="F5650">
        <f>IF($C5650="","",YEAR($C5650)&amp;"-Q"&amp;ROUNDUP(MONTH($C5650)/3,0))</f>
        <v/>
      </c>
      <c r="L5650">
        <f>IF($G5650&lt;&gt;"ALCOHOL","",IF($K5650="","",$H5650*IFERROR(VLOOKUP($K5650,Drink_Templates!$A:$G,7,FALSE),0)))</f>
        <v/>
      </c>
    </row>
    <row r="5651" ht="15" customHeight="1">
      <c r="C5651">
        <f>IF($B5651="","",INT($B5651))</f>
        <v/>
      </c>
      <c r="D5651">
        <f>IF($C5651="","",$C5651-WEEKDAY($C5651,2)+1)</f>
        <v/>
      </c>
      <c r="E5651">
        <f>IF($C5651="","",DATE(YEAR($C5651),MONTH($C5651),1))</f>
        <v/>
      </c>
      <c r="F5651">
        <f>IF($C5651="","",YEAR($C5651)&amp;"-Q"&amp;ROUNDUP(MONTH($C5651)/3,0))</f>
        <v/>
      </c>
      <c r="L5651">
        <f>IF($G5651&lt;&gt;"ALCOHOL","",IF($K5651="","",$H5651*IFERROR(VLOOKUP($K5651,Drink_Templates!$A:$G,7,FALSE),0)))</f>
        <v/>
      </c>
    </row>
    <row r="5652" ht="15" customHeight="1">
      <c r="C5652">
        <f>IF($B5652="","",INT($B5652))</f>
        <v/>
      </c>
      <c r="D5652">
        <f>IF($C5652="","",$C5652-WEEKDAY($C5652,2)+1)</f>
        <v/>
      </c>
      <c r="E5652">
        <f>IF($C5652="","",DATE(YEAR($C5652),MONTH($C5652),1))</f>
        <v/>
      </c>
      <c r="F5652">
        <f>IF($C5652="","",YEAR($C5652)&amp;"-Q"&amp;ROUNDUP(MONTH($C5652)/3,0))</f>
        <v/>
      </c>
      <c r="L5652">
        <f>IF($G5652&lt;&gt;"ALCOHOL","",IF($K5652="","",$H5652*IFERROR(VLOOKUP($K5652,Drink_Templates!$A:$G,7,FALSE),0)))</f>
        <v/>
      </c>
    </row>
    <row r="5653" ht="15" customHeight="1">
      <c r="C5653">
        <f>IF($B5653="","",INT($B5653))</f>
        <v/>
      </c>
      <c r="D5653">
        <f>IF($C5653="","",$C5653-WEEKDAY($C5653,2)+1)</f>
        <v/>
      </c>
      <c r="E5653">
        <f>IF($C5653="","",DATE(YEAR($C5653),MONTH($C5653),1))</f>
        <v/>
      </c>
      <c r="F5653">
        <f>IF($C5653="","",YEAR($C5653)&amp;"-Q"&amp;ROUNDUP(MONTH($C5653)/3,0))</f>
        <v/>
      </c>
      <c r="L5653">
        <f>IF($G5653&lt;&gt;"ALCOHOL","",IF($K5653="","",$H5653*IFERROR(VLOOKUP($K5653,Drink_Templates!$A:$G,7,FALSE),0)))</f>
        <v/>
      </c>
    </row>
    <row r="5654" ht="15" customHeight="1">
      <c r="C5654">
        <f>IF($B5654="","",INT($B5654))</f>
        <v/>
      </c>
      <c r="D5654">
        <f>IF($C5654="","",$C5654-WEEKDAY($C5654,2)+1)</f>
        <v/>
      </c>
      <c r="E5654">
        <f>IF($C5654="","",DATE(YEAR($C5654),MONTH($C5654),1))</f>
        <v/>
      </c>
      <c r="F5654">
        <f>IF($C5654="","",YEAR($C5654)&amp;"-Q"&amp;ROUNDUP(MONTH($C5654)/3,0))</f>
        <v/>
      </c>
      <c r="L5654">
        <f>IF($G5654&lt;&gt;"ALCOHOL","",IF($K5654="","",$H5654*IFERROR(VLOOKUP($K5654,Drink_Templates!$A:$G,7,FALSE),0)))</f>
        <v/>
      </c>
    </row>
    <row r="5655" ht="15" customHeight="1">
      <c r="C5655">
        <f>IF($B5655="","",INT($B5655))</f>
        <v/>
      </c>
      <c r="D5655">
        <f>IF($C5655="","",$C5655-WEEKDAY($C5655,2)+1)</f>
        <v/>
      </c>
      <c r="E5655">
        <f>IF($C5655="","",DATE(YEAR($C5655),MONTH($C5655),1))</f>
        <v/>
      </c>
      <c r="F5655">
        <f>IF($C5655="","",YEAR($C5655)&amp;"-Q"&amp;ROUNDUP(MONTH($C5655)/3,0))</f>
        <v/>
      </c>
      <c r="L5655">
        <f>IF($G5655&lt;&gt;"ALCOHOL","",IF($K5655="","",$H5655*IFERROR(VLOOKUP($K5655,Drink_Templates!$A:$G,7,FALSE),0)))</f>
        <v/>
      </c>
    </row>
    <row r="5656" ht="15" customHeight="1">
      <c r="C5656">
        <f>IF($B5656="","",INT($B5656))</f>
        <v/>
      </c>
      <c r="D5656">
        <f>IF($C5656="","",$C5656-WEEKDAY($C5656,2)+1)</f>
        <v/>
      </c>
      <c r="E5656">
        <f>IF($C5656="","",DATE(YEAR($C5656),MONTH($C5656),1))</f>
        <v/>
      </c>
      <c r="F5656">
        <f>IF($C5656="","",YEAR($C5656)&amp;"-Q"&amp;ROUNDUP(MONTH($C5656)/3,0))</f>
        <v/>
      </c>
      <c r="L5656">
        <f>IF($G5656&lt;&gt;"ALCOHOL","",IF($K5656="","",$H5656*IFERROR(VLOOKUP($K5656,Drink_Templates!$A:$G,7,FALSE),0)))</f>
        <v/>
      </c>
    </row>
    <row r="5657" ht="15" customHeight="1">
      <c r="C5657">
        <f>IF($B5657="","",INT($B5657))</f>
        <v/>
      </c>
      <c r="D5657">
        <f>IF($C5657="","",$C5657-WEEKDAY($C5657,2)+1)</f>
        <v/>
      </c>
      <c r="E5657">
        <f>IF($C5657="","",DATE(YEAR($C5657),MONTH($C5657),1))</f>
        <v/>
      </c>
      <c r="F5657">
        <f>IF($C5657="","",YEAR($C5657)&amp;"-Q"&amp;ROUNDUP(MONTH($C5657)/3,0))</f>
        <v/>
      </c>
      <c r="L5657">
        <f>IF($G5657&lt;&gt;"ALCOHOL","",IF($K5657="","",$H5657*IFERROR(VLOOKUP($K5657,Drink_Templates!$A:$G,7,FALSE),0)))</f>
        <v/>
      </c>
    </row>
    <row r="5658" ht="15" customHeight="1">
      <c r="C5658">
        <f>IF($B5658="","",INT($B5658))</f>
        <v/>
      </c>
      <c r="D5658">
        <f>IF($C5658="","",$C5658-WEEKDAY($C5658,2)+1)</f>
        <v/>
      </c>
      <c r="E5658">
        <f>IF($C5658="","",DATE(YEAR($C5658),MONTH($C5658),1))</f>
        <v/>
      </c>
      <c r="F5658">
        <f>IF($C5658="","",YEAR($C5658)&amp;"-Q"&amp;ROUNDUP(MONTH($C5658)/3,0))</f>
        <v/>
      </c>
      <c r="L5658">
        <f>IF($G5658&lt;&gt;"ALCOHOL","",IF($K5658="","",$H5658*IFERROR(VLOOKUP($K5658,Drink_Templates!$A:$G,7,FALSE),0)))</f>
        <v/>
      </c>
    </row>
    <row r="5659" ht="15" customHeight="1">
      <c r="C5659">
        <f>IF($B5659="","",INT($B5659))</f>
        <v/>
      </c>
      <c r="D5659">
        <f>IF($C5659="","",$C5659-WEEKDAY($C5659,2)+1)</f>
        <v/>
      </c>
      <c r="E5659">
        <f>IF($C5659="","",DATE(YEAR($C5659),MONTH($C5659),1))</f>
        <v/>
      </c>
      <c r="F5659">
        <f>IF($C5659="","",YEAR($C5659)&amp;"-Q"&amp;ROUNDUP(MONTH($C5659)/3,0))</f>
        <v/>
      </c>
      <c r="L5659">
        <f>IF($G5659&lt;&gt;"ALCOHOL","",IF($K5659="","",$H5659*IFERROR(VLOOKUP($K5659,Drink_Templates!$A:$G,7,FALSE),0)))</f>
        <v/>
      </c>
    </row>
    <row r="5660" ht="15" customHeight="1">
      <c r="C5660">
        <f>IF($B5660="","",INT($B5660))</f>
        <v/>
      </c>
      <c r="D5660">
        <f>IF($C5660="","",$C5660-WEEKDAY($C5660,2)+1)</f>
        <v/>
      </c>
      <c r="E5660">
        <f>IF($C5660="","",DATE(YEAR($C5660),MONTH($C5660),1))</f>
        <v/>
      </c>
      <c r="F5660">
        <f>IF($C5660="","",YEAR($C5660)&amp;"-Q"&amp;ROUNDUP(MONTH($C5660)/3,0))</f>
        <v/>
      </c>
      <c r="L5660">
        <f>IF($G5660&lt;&gt;"ALCOHOL","",IF($K5660="","",$H5660*IFERROR(VLOOKUP($K5660,Drink_Templates!$A:$G,7,FALSE),0)))</f>
        <v/>
      </c>
    </row>
    <row r="5661" ht="15" customHeight="1">
      <c r="C5661">
        <f>IF($B5661="","",INT($B5661))</f>
        <v/>
      </c>
      <c r="D5661">
        <f>IF($C5661="","",$C5661-WEEKDAY($C5661,2)+1)</f>
        <v/>
      </c>
      <c r="E5661">
        <f>IF($C5661="","",DATE(YEAR($C5661),MONTH($C5661),1))</f>
        <v/>
      </c>
      <c r="F5661">
        <f>IF($C5661="","",YEAR($C5661)&amp;"-Q"&amp;ROUNDUP(MONTH($C5661)/3,0))</f>
        <v/>
      </c>
      <c r="L5661">
        <f>IF($G5661&lt;&gt;"ALCOHOL","",IF($K5661="","",$H5661*IFERROR(VLOOKUP($K5661,Drink_Templates!$A:$G,7,FALSE),0)))</f>
        <v/>
      </c>
    </row>
    <row r="5662" ht="15" customHeight="1">
      <c r="C5662">
        <f>IF($B5662="","",INT($B5662))</f>
        <v/>
      </c>
      <c r="D5662">
        <f>IF($C5662="","",$C5662-WEEKDAY($C5662,2)+1)</f>
        <v/>
      </c>
      <c r="E5662">
        <f>IF($C5662="","",DATE(YEAR($C5662),MONTH($C5662),1))</f>
        <v/>
      </c>
      <c r="F5662">
        <f>IF($C5662="","",YEAR($C5662)&amp;"-Q"&amp;ROUNDUP(MONTH($C5662)/3,0))</f>
        <v/>
      </c>
      <c r="L5662">
        <f>IF($G5662&lt;&gt;"ALCOHOL","",IF($K5662="","",$H5662*IFERROR(VLOOKUP($K5662,Drink_Templates!$A:$G,7,FALSE),0)))</f>
        <v/>
      </c>
    </row>
    <row r="5663" ht="15" customHeight="1">
      <c r="C5663">
        <f>IF($B5663="","",INT($B5663))</f>
        <v/>
      </c>
      <c r="D5663">
        <f>IF($C5663="","",$C5663-WEEKDAY($C5663,2)+1)</f>
        <v/>
      </c>
      <c r="E5663">
        <f>IF($C5663="","",DATE(YEAR($C5663),MONTH($C5663),1))</f>
        <v/>
      </c>
      <c r="F5663">
        <f>IF($C5663="","",YEAR($C5663)&amp;"-Q"&amp;ROUNDUP(MONTH($C5663)/3,0))</f>
        <v/>
      </c>
      <c r="L5663">
        <f>IF($G5663&lt;&gt;"ALCOHOL","",IF($K5663="","",$H5663*IFERROR(VLOOKUP($K5663,Drink_Templates!$A:$G,7,FALSE),0)))</f>
        <v/>
      </c>
    </row>
    <row r="5664" ht="15" customHeight="1">
      <c r="C5664">
        <f>IF($B5664="","",INT($B5664))</f>
        <v/>
      </c>
      <c r="D5664">
        <f>IF($C5664="","",$C5664-WEEKDAY($C5664,2)+1)</f>
        <v/>
      </c>
      <c r="E5664">
        <f>IF($C5664="","",DATE(YEAR($C5664),MONTH($C5664),1))</f>
        <v/>
      </c>
      <c r="F5664">
        <f>IF($C5664="","",YEAR($C5664)&amp;"-Q"&amp;ROUNDUP(MONTH($C5664)/3,0))</f>
        <v/>
      </c>
      <c r="L5664">
        <f>IF($G5664&lt;&gt;"ALCOHOL","",IF($K5664="","",$H5664*IFERROR(VLOOKUP($K5664,Drink_Templates!$A:$G,7,FALSE),0)))</f>
        <v/>
      </c>
    </row>
    <row r="5665" ht="15" customHeight="1">
      <c r="C5665">
        <f>IF($B5665="","",INT($B5665))</f>
        <v/>
      </c>
      <c r="D5665">
        <f>IF($C5665="","",$C5665-WEEKDAY($C5665,2)+1)</f>
        <v/>
      </c>
      <c r="E5665">
        <f>IF($C5665="","",DATE(YEAR($C5665),MONTH($C5665),1))</f>
        <v/>
      </c>
      <c r="F5665">
        <f>IF($C5665="","",YEAR($C5665)&amp;"-Q"&amp;ROUNDUP(MONTH($C5665)/3,0))</f>
        <v/>
      </c>
      <c r="L5665">
        <f>IF($G5665&lt;&gt;"ALCOHOL","",IF($K5665="","",$H5665*IFERROR(VLOOKUP($K5665,Drink_Templates!$A:$G,7,FALSE),0)))</f>
        <v/>
      </c>
    </row>
    <row r="5666" ht="15" customHeight="1">
      <c r="C5666">
        <f>IF($B5666="","",INT($B5666))</f>
        <v/>
      </c>
      <c r="D5666">
        <f>IF($C5666="","",$C5666-WEEKDAY($C5666,2)+1)</f>
        <v/>
      </c>
      <c r="E5666">
        <f>IF($C5666="","",DATE(YEAR($C5666),MONTH($C5666),1))</f>
        <v/>
      </c>
      <c r="F5666">
        <f>IF($C5666="","",YEAR($C5666)&amp;"-Q"&amp;ROUNDUP(MONTH($C5666)/3,0))</f>
        <v/>
      </c>
      <c r="L5666">
        <f>IF($G5666&lt;&gt;"ALCOHOL","",IF($K5666="","",$H5666*IFERROR(VLOOKUP($K5666,Drink_Templates!$A:$G,7,FALSE),0)))</f>
        <v/>
      </c>
    </row>
    <row r="5667" ht="15" customHeight="1">
      <c r="C5667">
        <f>IF($B5667="","",INT($B5667))</f>
        <v/>
      </c>
      <c r="D5667">
        <f>IF($C5667="","",$C5667-WEEKDAY($C5667,2)+1)</f>
        <v/>
      </c>
      <c r="E5667">
        <f>IF($C5667="","",DATE(YEAR($C5667),MONTH($C5667),1))</f>
        <v/>
      </c>
      <c r="F5667">
        <f>IF($C5667="","",YEAR($C5667)&amp;"-Q"&amp;ROUNDUP(MONTH($C5667)/3,0))</f>
        <v/>
      </c>
      <c r="L5667">
        <f>IF($G5667&lt;&gt;"ALCOHOL","",IF($K5667="","",$H5667*IFERROR(VLOOKUP($K5667,Drink_Templates!$A:$G,7,FALSE),0)))</f>
        <v/>
      </c>
    </row>
    <row r="5668" ht="15" customHeight="1">
      <c r="C5668">
        <f>IF($B5668="","",INT($B5668))</f>
        <v/>
      </c>
      <c r="D5668">
        <f>IF($C5668="","",$C5668-WEEKDAY($C5668,2)+1)</f>
        <v/>
      </c>
      <c r="E5668">
        <f>IF($C5668="","",DATE(YEAR($C5668),MONTH($C5668),1))</f>
        <v/>
      </c>
      <c r="F5668">
        <f>IF($C5668="","",YEAR($C5668)&amp;"-Q"&amp;ROUNDUP(MONTH($C5668)/3,0))</f>
        <v/>
      </c>
      <c r="L5668">
        <f>IF($G5668&lt;&gt;"ALCOHOL","",IF($K5668="","",$H5668*IFERROR(VLOOKUP($K5668,Drink_Templates!$A:$G,7,FALSE),0)))</f>
        <v/>
      </c>
    </row>
    <row r="5669" ht="15" customHeight="1">
      <c r="C5669">
        <f>IF($B5669="","",INT($B5669))</f>
        <v/>
      </c>
      <c r="D5669">
        <f>IF($C5669="","",$C5669-WEEKDAY($C5669,2)+1)</f>
        <v/>
      </c>
      <c r="E5669">
        <f>IF($C5669="","",DATE(YEAR($C5669),MONTH($C5669),1))</f>
        <v/>
      </c>
      <c r="F5669">
        <f>IF($C5669="","",YEAR($C5669)&amp;"-Q"&amp;ROUNDUP(MONTH($C5669)/3,0))</f>
        <v/>
      </c>
      <c r="L5669">
        <f>IF($G5669&lt;&gt;"ALCOHOL","",IF($K5669="","",$H5669*IFERROR(VLOOKUP($K5669,Drink_Templates!$A:$G,7,FALSE),0)))</f>
        <v/>
      </c>
    </row>
    <row r="5670" ht="15" customHeight="1">
      <c r="C5670">
        <f>IF($B5670="","",INT($B5670))</f>
        <v/>
      </c>
      <c r="D5670">
        <f>IF($C5670="","",$C5670-WEEKDAY($C5670,2)+1)</f>
        <v/>
      </c>
      <c r="E5670">
        <f>IF($C5670="","",DATE(YEAR($C5670),MONTH($C5670),1))</f>
        <v/>
      </c>
      <c r="F5670">
        <f>IF($C5670="","",YEAR($C5670)&amp;"-Q"&amp;ROUNDUP(MONTH($C5670)/3,0))</f>
        <v/>
      </c>
      <c r="L5670">
        <f>IF($G5670&lt;&gt;"ALCOHOL","",IF($K5670="","",$H5670*IFERROR(VLOOKUP($K5670,Drink_Templates!$A:$G,7,FALSE),0)))</f>
        <v/>
      </c>
    </row>
    <row r="5671" ht="15" customHeight="1">
      <c r="C5671">
        <f>IF($B5671="","",INT($B5671))</f>
        <v/>
      </c>
      <c r="D5671">
        <f>IF($C5671="","",$C5671-WEEKDAY($C5671,2)+1)</f>
        <v/>
      </c>
      <c r="E5671">
        <f>IF($C5671="","",DATE(YEAR($C5671),MONTH($C5671),1))</f>
        <v/>
      </c>
      <c r="F5671">
        <f>IF($C5671="","",YEAR($C5671)&amp;"-Q"&amp;ROUNDUP(MONTH($C5671)/3,0))</f>
        <v/>
      </c>
      <c r="L5671">
        <f>IF($G5671&lt;&gt;"ALCOHOL","",IF($K5671="","",$H5671*IFERROR(VLOOKUP($K5671,Drink_Templates!$A:$G,7,FALSE),0)))</f>
        <v/>
      </c>
    </row>
    <row r="5672" ht="15" customHeight="1">
      <c r="C5672">
        <f>IF($B5672="","",INT($B5672))</f>
        <v/>
      </c>
      <c r="D5672">
        <f>IF($C5672="","",$C5672-WEEKDAY($C5672,2)+1)</f>
        <v/>
      </c>
      <c r="E5672">
        <f>IF($C5672="","",DATE(YEAR($C5672),MONTH($C5672),1))</f>
        <v/>
      </c>
      <c r="F5672">
        <f>IF($C5672="","",YEAR($C5672)&amp;"-Q"&amp;ROUNDUP(MONTH($C5672)/3,0))</f>
        <v/>
      </c>
      <c r="L5672">
        <f>IF($G5672&lt;&gt;"ALCOHOL","",IF($K5672="","",$H5672*IFERROR(VLOOKUP($K5672,Drink_Templates!$A:$G,7,FALSE),0)))</f>
        <v/>
      </c>
    </row>
    <row r="5673" ht="15" customHeight="1">
      <c r="C5673">
        <f>IF($B5673="","",INT($B5673))</f>
        <v/>
      </c>
      <c r="D5673">
        <f>IF($C5673="","",$C5673-WEEKDAY($C5673,2)+1)</f>
        <v/>
      </c>
      <c r="E5673">
        <f>IF($C5673="","",DATE(YEAR($C5673),MONTH($C5673),1))</f>
        <v/>
      </c>
      <c r="F5673">
        <f>IF($C5673="","",YEAR($C5673)&amp;"-Q"&amp;ROUNDUP(MONTH($C5673)/3,0))</f>
        <v/>
      </c>
      <c r="L5673">
        <f>IF($G5673&lt;&gt;"ALCOHOL","",IF($K5673="","",$H5673*IFERROR(VLOOKUP($K5673,Drink_Templates!$A:$G,7,FALSE),0)))</f>
        <v/>
      </c>
    </row>
    <row r="5674" ht="15" customHeight="1">
      <c r="C5674">
        <f>IF($B5674="","",INT($B5674))</f>
        <v/>
      </c>
      <c r="D5674">
        <f>IF($C5674="","",$C5674-WEEKDAY($C5674,2)+1)</f>
        <v/>
      </c>
      <c r="E5674">
        <f>IF($C5674="","",DATE(YEAR($C5674),MONTH($C5674),1))</f>
        <v/>
      </c>
      <c r="F5674">
        <f>IF($C5674="","",YEAR($C5674)&amp;"-Q"&amp;ROUNDUP(MONTH($C5674)/3,0))</f>
        <v/>
      </c>
      <c r="L5674">
        <f>IF($G5674&lt;&gt;"ALCOHOL","",IF($K5674="","",$H5674*IFERROR(VLOOKUP($K5674,Drink_Templates!$A:$G,7,FALSE),0)))</f>
        <v/>
      </c>
    </row>
    <row r="5675" ht="15" customHeight="1">
      <c r="C5675">
        <f>IF($B5675="","",INT($B5675))</f>
        <v/>
      </c>
      <c r="D5675">
        <f>IF($C5675="","",$C5675-WEEKDAY($C5675,2)+1)</f>
        <v/>
      </c>
      <c r="E5675">
        <f>IF($C5675="","",DATE(YEAR($C5675),MONTH($C5675),1))</f>
        <v/>
      </c>
      <c r="F5675">
        <f>IF($C5675="","",YEAR($C5675)&amp;"-Q"&amp;ROUNDUP(MONTH($C5675)/3,0))</f>
        <v/>
      </c>
      <c r="L5675">
        <f>IF($G5675&lt;&gt;"ALCOHOL","",IF($K5675="","",$H5675*IFERROR(VLOOKUP($K5675,Drink_Templates!$A:$G,7,FALSE),0)))</f>
        <v/>
      </c>
    </row>
    <row r="5676" ht="15" customHeight="1">
      <c r="C5676">
        <f>IF($B5676="","",INT($B5676))</f>
        <v/>
      </c>
      <c r="D5676">
        <f>IF($C5676="","",$C5676-WEEKDAY($C5676,2)+1)</f>
        <v/>
      </c>
      <c r="E5676">
        <f>IF($C5676="","",DATE(YEAR($C5676),MONTH($C5676),1))</f>
        <v/>
      </c>
      <c r="F5676">
        <f>IF($C5676="","",YEAR($C5676)&amp;"-Q"&amp;ROUNDUP(MONTH($C5676)/3,0))</f>
        <v/>
      </c>
      <c r="L5676">
        <f>IF($G5676&lt;&gt;"ALCOHOL","",IF($K5676="","",$H5676*IFERROR(VLOOKUP($K5676,Drink_Templates!$A:$G,7,FALSE),0)))</f>
        <v/>
      </c>
    </row>
    <row r="5677" ht="15" customHeight="1">
      <c r="C5677">
        <f>IF($B5677="","",INT($B5677))</f>
        <v/>
      </c>
      <c r="D5677">
        <f>IF($C5677="","",$C5677-WEEKDAY($C5677,2)+1)</f>
        <v/>
      </c>
      <c r="E5677">
        <f>IF($C5677="","",DATE(YEAR($C5677),MONTH($C5677),1))</f>
        <v/>
      </c>
      <c r="F5677">
        <f>IF($C5677="","",YEAR($C5677)&amp;"-Q"&amp;ROUNDUP(MONTH($C5677)/3,0))</f>
        <v/>
      </c>
      <c r="L5677">
        <f>IF($G5677&lt;&gt;"ALCOHOL","",IF($K5677="","",$H5677*IFERROR(VLOOKUP($K5677,Drink_Templates!$A:$G,7,FALSE),0)))</f>
        <v/>
      </c>
    </row>
    <row r="5678" ht="15" customHeight="1">
      <c r="C5678">
        <f>IF($B5678="","",INT($B5678))</f>
        <v/>
      </c>
      <c r="D5678">
        <f>IF($C5678="","",$C5678-WEEKDAY($C5678,2)+1)</f>
        <v/>
      </c>
      <c r="E5678">
        <f>IF($C5678="","",DATE(YEAR($C5678),MONTH($C5678),1))</f>
        <v/>
      </c>
      <c r="F5678">
        <f>IF($C5678="","",YEAR($C5678)&amp;"-Q"&amp;ROUNDUP(MONTH($C5678)/3,0))</f>
        <v/>
      </c>
      <c r="L5678">
        <f>IF($G5678&lt;&gt;"ALCOHOL","",IF($K5678="","",$H5678*IFERROR(VLOOKUP($K5678,Drink_Templates!$A:$G,7,FALSE),0)))</f>
        <v/>
      </c>
    </row>
    <row r="5679" ht="15" customHeight="1">
      <c r="C5679">
        <f>IF($B5679="","",INT($B5679))</f>
        <v/>
      </c>
      <c r="D5679">
        <f>IF($C5679="","",$C5679-WEEKDAY($C5679,2)+1)</f>
        <v/>
      </c>
      <c r="E5679">
        <f>IF($C5679="","",DATE(YEAR($C5679),MONTH($C5679),1))</f>
        <v/>
      </c>
      <c r="F5679">
        <f>IF($C5679="","",YEAR($C5679)&amp;"-Q"&amp;ROUNDUP(MONTH($C5679)/3,0))</f>
        <v/>
      </c>
      <c r="L5679">
        <f>IF($G5679&lt;&gt;"ALCOHOL","",IF($K5679="","",$H5679*IFERROR(VLOOKUP($K5679,Drink_Templates!$A:$G,7,FALSE),0)))</f>
        <v/>
      </c>
    </row>
    <row r="5680" ht="15" customHeight="1">
      <c r="C5680">
        <f>IF($B5680="","",INT($B5680))</f>
        <v/>
      </c>
      <c r="D5680">
        <f>IF($C5680="","",$C5680-WEEKDAY($C5680,2)+1)</f>
        <v/>
      </c>
      <c r="E5680">
        <f>IF($C5680="","",DATE(YEAR($C5680),MONTH($C5680),1))</f>
        <v/>
      </c>
      <c r="F5680">
        <f>IF($C5680="","",YEAR($C5680)&amp;"-Q"&amp;ROUNDUP(MONTH($C5680)/3,0))</f>
        <v/>
      </c>
      <c r="L5680">
        <f>IF($G5680&lt;&gt;"ALCOHOL","",IF($K5680="","",$H5680*IFERROR(VLOOKUP($K5680,Drink_Templates!$A:$G,7,FALSE),0)))</f>
        <v/>
      </c>
    </row>
    <row r="5681" ht="15" customHeight="1">
      <c r="C5681">
        <f>IF($B5681="","",INT($B5681))</f>
        <v/>
      </c>
      <c r="D5681">
        <f>IF($C5681="","",$C5681-WEEKDAY($C5681,2)+1)</f>
        <v/>
      </c>
      <c r="E5681">
        <f>IF($C5681="","",DATE(YEAR($C5681),MONTH($C5681),1))</f>
        <v/>
      </c>
      <c r="F5681">
        <f>IF($C5681="","",YEAR($C5681)&amp;"-Q"&amp;ROUNDUP(MONTH($C5681)/3,0))</f>
        <v/>
      </c>
      <c r="L5681">
        <f>IF($G5681&lt;&gt;"ALCOHOL","",IF($K5681="","",$H5681*IFERROR(VLOOKUP($K5681,Drink_Templates!$A:$G,7,FALSE),0)))</f>
        <v/>
      </c>
    </row>
    <row r="5682" ht="15" customHeight="1">
      <c r="C5682">
        <f>IF($B5682="","",INT($B5682))</f>
        <v/>
      </c>
      <c r="D5682">
        <f>IF($C5682="","",$C5682-WEEKDAY($C5682,2)+1)</f>
        <v/>
      </c>
      <c r="E5682">
        <f>IF($C5682="","",DATE(YEAR($C5682),MONTH($C5682),1))</f>
        <v/>
      </c>
      <c r="F5682">
        <f>IF($C5682="","",YEAR($C5682)&amp;"-Q"&amp;ROUNDUP(MONTH($C5682)/3,0))</f>
        <v/>
      </c>
      <c r="L5682">
        <f>IF($G5682&lt;&gt;"ALCOHOL","",IF($K5682="","",$H5682*IFERROR(VLOOKUP($K5682,Drink_Templates!$A:$G,7,FALSE),0)))</f>
        <v/>
      </c>
    </row>
    <row r="5683" ht="15" customHeight="1">
      <c r="C5683">
        <f>IF($B5683="","",INT($B5683))</f>
        <v/>
      </c>
      <c r="D5683">
        <f>IF($C5683="","",$C5683-WEEKDAY($C5683,2)+1)</f>
        <v/>
      </c>
      <c r="E5683">
        <f>IF($C5683="","",DATE(YEAR($C5683),MONTH($C5683),1))</f>
        <v/>
      </c>
      <c r="F5683">
        <f>IF($C5683="","",YEAR($C5683)&amp;"-Q"&amp;ROUNDUP(MONTH($C5683)/3,0))</f>
        <v/>
      </c>
      <c r="L5683">
        <f>IF($G5683&lt;&gt;"ALCOHOL","",IF($K5683="","",$H5683*IFERROR(VLOOKUP($K5683,Drink_Templates!$A:$G,7,FALSE),0)))</f>
        <v/>
      </c>
    </row>
    <row r="5684" ht="15" customHeight="1">
      <c r="C5684">
        <f>IF($B5684="","",INT($B5684))</f>
        <v/>
      </c>
      <c r="D5684">
        <f>IF($C5684="","",$C5684-WEEKDAY($C5684,2)+1)</f>
        <v/>
      </c>
      <c r="E5684">
        <f>IF($C5684="","",DATE(YEAR($C5684),MONTH($C5684),1))</f>
        <v/>
      </c>
      <c r="F5684">
        <f>IF($C5684="","",YEAR($C5684)&amp;"-Q"&amp;ROUNDUP(MONTH($C5684)/3,0))</f>
        <v/>
      </c>
      <c r="L5684">
        <f>IF($G5684&lt;&gt;"ALCOHOL","",IF($K5684="","",$H5684*IFERROR(VLOOKUP($K5684,Drink_Templates!$A:$G,7,FALSE),0)))</f>
        <v/>
      </c>
    </row>
    <row r="5685" ht="15" customHeight="1">
      <c r="C5685">
        <f>IF($B5685="","",INT($B5685))</f>
        <v/>
      </c>
      <c r="D5685">
        <f>IF($C5685="","",$C5685-WEEKDAY($C5685,2)+1)</f>
        <v/>
      </c>
      <c r="E5685">
        <f>IF($C5685="","",DATE(YEAR($C5685),MONTH($C5685),1))</f>
        <v/>
      </c>
      <c r="F5685">
        <f>IF($C5685="","",YEAR($C5685)&amp;"-Q"&amp;ROUNDUP(MONTH($C5685)/3,0))</f>
        <v/>
      </c>
      <c r="L5685">
        <f>IF($G5685&lt;&gt;"ALCOHOL","",IF($K5685="","",$H5685*IFERROR(VLOOKUP($K5685,Drink_Templates!$A:$G,7,FALSE),0)))</f>
        <v/>
      </c>
    </row>
    <row r="5686" ht="15" customHeight="1">
      <c r="C5686">
        <f>IF($B5686="","",INT($B5686))</f>
        <v/>
      </c>
      <c r="D5686">
        <f>IF($C5686="","",$C5686-WEEKDAY($C5686,2)+1)</f>
        <v/>
      </c>
      <c r="E5686">
        <f>IF($C5686="","",DATE(YEAR($C5686),MONTH($C5686),1))</f>
        <v/>
      </c>
      <c r="F5686">
        <f>IF($C5686="","",YEAR($C5686)&amp;"-Q"&amp;ROUNDUP(MONTH($C5686)/3,0))</f>
        <v/>
      </c>
      <c r="L5686">
        <f>IF($G5686&lt;&gt;"ALCOHOL","",IF($K5686="","",$H5686*IFERROR(VLOOKUP($K5686,Drink_Templates!$A:$G,7,FALSE),0)))</f>
        <v/>
      </c>
    </row>
    <row r="5687" ht="15" customHeight="1">
      <c r="C5687">
        <f>IF($B5687="","",INT($B5687))</f>
        <v/>
      </c>
      <c r="D5687">
        <f>IF($C5687="","",$C5687-WEEKDAY($C5687,2)+1)</f>
        <v/>
      </c>
      <c r="E5687">
        <f>IF($C5687="","",DATE(YEAR($C5687),MONTH($C5687),1))</f>
        <v/>
      </c>
      <c r="F5687">
        <f>IF($C5687="","",YEAR($C5687)&amp;"-Q"&amp;ROUNDUP(MONTH($C5687)/3,0))</f>
        <v/>
      </c>
      <c r="L5687">
        <f>IF($G5687&lt;&gt;"ALCOHOL","",IF($K5687="","",$H5687*IFERROR(VLOOKUP($K5687,Drink_Templates!$A:$G,7,FALSE),0)))</f>
        <v/>
      </c>
    </row>
    <row r="5688" ht="15" customHeight="1">
      <c r="C5688">
        <f>IF($B5688="","",INT($B5688))</f>
        <v/>
      </c>
      <c r="D5688">
        <f>IF($C5688="","",$C5688-WEEKDAY($C5688,2)+1)</f>
        <v/>
      </c>
      <c r="E5688">
        <f>IF($C5688="","",DATE(YEAR($C5688),MONTH($C5688),1))</f>
        <v/>
      </c>
      <c r="F5688">
        <f>IF($C5688="","",YEAR($C5688)&amp;"-Q"&amp;ROUNDUP(MONTH($C5688)/3,0))</f>
        <v/>
      </c>
      <c r="L5688">
        <f>IF($G5688&lt;&gt;"ALCOHOL","",IF($K5688="","",$H5688*IFERROR(VLOOKUP($K5688,Drink_Templates!$A:$G,7,FALSE),0)))</f>
        <v/>
      </c>
    </row>
    <row r="5689" ht="15" customHeight="1">
      <c r="C5689">
        <f>IF($B5689="","",INT($B5689))</f>
        <v/>
      </c>
      <c r="D5689">
        <f>IF($C5689="","",$C5689-WEEKDAY($C5689,2)+1)</f>
        <v/>
      </c>
      <c r="E5689">
        <f>IF($C5689="","",DATE(YEAR($C5689),MONTH($C5689),1))</f>
        <v/>
      </c>
      <c r="F5689">
        <f>IF($C5689="","",YEAR($C5689)&amp;"-Q"&amp;ROUNDUP(MONTH($C5689)/3,0))</f>
        <v/>
      </c>
      <c r="L5689">
        <f>IF($G5689&lt;&gt;"ALCOHOL","",IF($K5689="","",$H5689*IFERROR(VLOOKUP($K5689,Drink_Templates!$A:$G,7,FALSE),0)))</f>
        <v/>
      </c>
    </row>
    <row r="5690" ht="15" customHeight="1">
      <c r="C5690">
        <f>IF($B5690="","",INT($B5690))</f>
        <v/>
      </c>
      <c r="D5690">
        <f>IF($C5690="","",$C5690-WEEKDAY($C5690,2)+1)</f>
        <v/>
      </c>
      <c r="E5690">
        <f>IF($C5690="","",DATE(YEAR($C5690),MONTH($C5690),1))</f>
        <v/>
      </c>
      <c r="F5690">
        <f>IF($C5690="","",YEAR($C5690)&amp;"-Q"&amp;ROUNDUP(MONTH($C5690)/3,0))</f>
        <v/>
      </c>
      <c r="L5690">
        <f>IF($G5690&lt;&gt;"ALCOHOL","",IF($K5690="","",$H5690*IFERROR(VLOOKUP($K5690,Drink_Templates!$A:$G,7,FALSE),0)))</f>
        <v/>
      </c>
    </row>
    <row r="5691" ht="15" customHeight="1">
      <c r="C5691">
        <f>IF($B5691="","",INT($B5691))</f>
        <v/>
      </c>
      <c r="D5691">
        <f>IF($C5691="","",$C5691-WEEKDAY($C5691,2)+1)</f>
        <v/>
      </c>
      <c r="E5691">
        <f>IF($C5691="","",DATE(YEAR($C5691),MONTH($C5691),1))</f>
        <v/>
      </c>
      <c r="F5691">
        <f>IF($C5691="","",YEAR($C5691)&amp;"-Q"&amp;ROUNDUP(MONTH($C5691)/3,0))</f>
        <v/>
      </c>
      <c r="L5691">
        <f>IF($G5691&lt;&gt;"ALCOHOL","",IF($K5691="","",$H5691*IFERROR(VLOOKUP($K5691,Drink_Templates!$A:$G,7,FALSE),0)))</f>
        <v/>
      </c>
    </row>
    <row r="5692" ht="15" customHeight="1">
      <c r="C5692">
        <f>IF($B5692="","",INT($B5692))</f>
        <v/>
      </c>
      <c r="D5692">
        <f>IF($C5692="","",$C5692-WEEKDAY($C5692,2)+1)</f>
        <v/>
      </c>
      <c r="E5692">
        <f>IF($C5692="","",DATE(YEAR($C5692),MONTH($C5692),1))</f>
        <v/>
      </c>
      <c r="F5692">
        <f>IF($C5692="","",YEAR($C5692)&amp;"-Q"&amp;ROUNDUP(MONTH($C5692)/3,0))</f>
        <v/>
      </c>
      <c r="L5692">
        <f>IF($G5692&lt;&gt;"ALCOHOL","",IF($K5692="","",$H5692*IFERROR(VLOOKUP($K5692,Drink_Templates!$A:$G,7,FALSE),0)))</f>
        <v/>
      </c>
    </row>
    <row r="5693" ht="15" customHeight="1">
      <c r="C5693">
        <f>IF($B5693="","",INT($B5693))</f>
        <v/>
      </c>
      <c r="D5693">
        <f>IF($C5693="","",$C5693-WEEKDAY($C5693,2)+1)</f>
        <v/>
      </c>
      <c r="E5693">
        <f>IF($C5693="","",DATE(YEAR($C5693),MONTH($C5693),1))</f>
        <v/>
      </c>
      <c r="F5693">
        <f>IF($C5693="","",YEAR($C5693)&amp;"-Q"&amp;ROUNDUP(MONTH($C5693)/3,0))</f>
        <v/>
      </c>
      <c r="L5693">
        <f>IF($G5693&lt;&gt;"ALCOHOL","",IF($K5693="","",$H5693*IFERROR(VLOOKUP($K5693,Drink_Templates!$A:$G,7,FALSE),0)))</f>
        <v/>
      </c>
    </row>
    <row r="5694" ht="15" customHeight="1">
      <c r="C5694">
        <f>IF($B5694="","",INT($B5694))</f>
        <v/>
      </c>
      <c r="D5694">
        <f>IF($C5694="","",$C5694-WEEKDAY($C5694,2)+1)</f>
        <v/>
      </c>
      <c r="E5694">
        <f>IF($C5694="","",DATE(YEAR($C5694),MONTH($C5694),1))</f>
        <v/>
      </c>
      <c r="F5694">
        <f>IF($C5694="","",YEAR($C5694)&amp;"-Q"&amp;ROUNDUP(MONTH($C5694)/3,0))</f>
        <v/>
      </c>
      <c r="L5694">
        <f>IF($G5694&lt;&gt;"ALCOHOL","",IF($K5694="","",$H5694*IFERROR(VLOOKUP($K5694,Drink_Templates!$A:$G,7,FALSE),0)))</f>
        <v/>
      </c>
    </row>
    <row r="5695" ht="15" customHeight="1">
      <c r="C5695">
        <f>IF($B5695="","",INT($B5695))</f>
        <v/>
      </c>
      <c r="D5695">
        <f>IF($C5695="","",$C5695-WEEKDAY($C5695,2)+1)</f>
        <v/>
      </c>
      <c r="E5695">
        <f>IF($C5695="","",DATE(YEAR($C5695),MONTH($C5695),1))</f>
        <v/>
      </c>
      <c r="F5695">
        <f>IF($C5695="","",YEAR($C5695)&amp;"-Q"&amp;ROUNDUP(MONTH($C5695)/3,0))</f>
        <v/>
      </c>
      <c r="L5695">
        <f>IF($G5695&lt;&gt;"ALCOHOL","",IF($K5695="","",$H5695*IFERROR(VLOOKUP($K5695,Drink_Templates!$A:$G,7,FALSE),0)))</f>
        <v/>
      </c>
    </row>
    <row r="5696" ht="15" customHeight="1">
      <c r="C5696">
        <f>IF($B5696="","",INT($B5696))</f>
        <v/>
      </c>
      <c r="D5696">
        <f>IF($C5696="","",$C5696-WEEKDAY($C5696,2)+1)</f>
        <v/>
      </c>
      <c r="E5696">
        <f>IF($C5696="","",DATE(YEAR($C5696),MONTH($C5696),1))</f>
        <v/>
      </c>
      <c r="F5696">
        <f>IF($C5696="","",YEAR($C5696)&amp;"-Q"&amp;ROUNDUP(MONTH($C5696)/3,0))</f>
        <v/>
      </c>
      <c r="L5696">
        <f>IF($G5696&lt;&gt;"ALCOHOL","",IF($K5696="","",$H5696*IFERROR(VLOOKUP($K5696,Drink_Templates!$A:$G,7,FALSE),0)))</f>
        <v/>
      </c>
    </row>
    <row r="5697" ht="15" customHeight="1">
      <c r="C5697">
        <f>IF($B5697="","",INT($B5697))</f>
        <v/>
      </c>
      <c r="D5697">
        <f>IF($C5697="","",$C5697-WEEKDAY($C5697,2)+1)</f>
        <v/>
      </c>
      <c r="E5697">
        <f>IF($C5697="","",DATE(YEAR($C5697),MONTH($C5697),1))</f>
        <v/>
      </c>
      <c r="F5697">
        <f>IF($C5697="","",YEAR($C5697)&amp;"-Q"&amp;ROUNDUP(MONTH($C5697)/3,0))</f>
        <v/>
      </c>
      <c r="L5697">
        <f>IF($G5697&lt;&gt;"ALCOHOL","",IF($K5697="","",$H5697*IFERROR(VLOOKUP($K5697,Drink_Templates!$A:$G,7,FALSE),0)))</f>
        <v/>
      </c>
    </row>
    <row r="5698" ht="15" customHeight="1">
      <c r="C5698">
        <f>IF($B5698="","",INT($B5698))</f>
        <v/>
      </c>
      <c r="D5698">
        <f>IF($C5698="","",$C5698-WEEKDAY($C5698,2)+1)</f>
        <v/>
      </c>
      <c r="E5698">
        <f>IF($C5698="","",DATE(YEAR($C5698),MONTH($C5698),1))</f>
        <v/>
      </c>
      <c r="F5698">
        <f>IF($C5698="","",YEAR($C5698)&amp;"-Q"&amp;ROUNDUP(MONTH($C5698)/3,0))</f>
        <v/>
      </c>
      <c r="L5698">
        <f>IF($G5698&lt;&gt;"ALCOHOL","",IF($K5698="","",$H5698*IFERROR(VLOOKUP($K5698,Drink_Templates!$A:$G,7,FALSE),0)))</f>
        <v/>
      </c>
    </row>
    <row r="5699" ht="15" customHeight="1">
      <c r="C5699">
        <f>IF($B5699="","",INT($B5699))</f>
        <v/>
      </c>
      <c r="D5699">
        <f>IF($C5699="","",$C5699-WEEKDAY($C5699,2)+1)</f>
        <v/>
      </c>
      <c r="E5699">
        <f>IF($C5699="","",DATE(YEAR($C5699),MONTH($C5699),1))</f>
        <v/>
      </c>
      <c r="F5699">
        <f>IF($C5699="","",YEAR($C5699)&amp;"-Q"&amp;ROUNDUP(MONTH($C5699)/3,0))</f>
        <v/>
      </c>
      <c r="L5699">
        <f>IF($G5699&lt;&gt;"ALCOHOL","",IF($K5699="","",$H5699*IFERROR(VLOOKUP($K5699,Drink_Templates!$A:$G,7,FALSE),0)))</f>
        <v/>
      </c>
    </row>
    <row r="5700" ht="15" customHeight="1">
      <c r="C5700">
        <f>IF($B5700="","",INT($B5700))</f>
        <v/>
      </c>
      <c r="D5700">
        <f>IF($C5700="","",$C5700-WEEKDAY($C5700,2)+1)</f>
        <v/>
      </c>
      <c r="E5700">
        <f>IF($C5700="","",DATE(YEAR($C5700),MONTH($C5700),1))</f>
        <v/>
      </c>
      <c r="F5700">
        <f>IF($C5700="","",YEAR($C5700)&amp;"-Q"&amp;ROUNDUP(MONTH($C5700)/3,0))</f>
        <v/>
      </c>
      <c r="L5700">
        <f>IF($G5700&lt;&gt;"ALCOHOL","",IF($K5700="","",$H5700*IFERROR(VLOOKUP($K5700,Drink_Templates!$A:$G,7,FALSE),0)))</f>
        <v/>
      </c>
    </row>
    <row r="5701" ht="15" customHeight="1">
      <c r="C5701">
        <f>IF($B5701="","",INT($B5701))</f>
        <v/>
      </c>
      <c r="D5701">
        <f>IF($C5701="","",$C5701-WEEKDAY($C5701,2)+1)</f>
        <v/>
      </c>
      <c r="E5701">
        <f>IF($C5701="","",DATE(YEAR($C5701),MONTH($C5701),1))</f>
        <v/>
      </c>
      <c r="F5701">
        <f>IF($C5701="","",YEAR($C5701)&amp;"-Q"&amp;ROUNDUP(MONTH($C5701)/3,0))</f>
        <v/>
      </c>
      <c r="L5701">
        <f>IF($G5701&lt;&gt;"ALCOHOL","",IF($K5701="","",$H5701*IFERROR(VLOOKUP($K5701,Drink_Templates!$A:$G,7,FALSE),0)))</f>
        <v/>
      </c>
    </row>
    <row r="5702" ht="15" customHeight="1">
      <c r="C5702">
        <f>IF($B5702="","",INT($B5702))</f>
        <v/>
      </c>
      <c r="D5702">
        <f>IF($C5702="","",$C5702-WEEKDAY($C5702,2)+1)</f>
        <v/>
      </c>
      <c r="E5702">
        <f>IF($C5702="","",DATE(YEAR($C5702),MONTH($C5702),1))</f>
        <v/>
      </c>
      <c r="F5702">
        <f>IF($C5702="","",YEAR($C5702)&amp;"-Q"&amp;ROUNDUP(MONTH($C5702)/3,0))</f>
        <v/>
      </c>
      <c r="L5702">
        <f>IF($G5702&lt;&gt;"ALCOHOL","",IF($K5702="","",$H5702*IFERROR(VLOOKUP($K5702,Drink_Templates!$A:$G,7,FALSE),0)))</f>
        <v/>
      </c>
    </row>
    <row r="5703" ht="15" customHeight="1">
      <c r="C5703">
        <f>IF($B5703="","",INT($B5703))</f>
        <v/>
      </c>
      <c r="D5703">
        <f>IF($C5703="","",$C5703-WEEKDAY($C5703,2)+1)</f>
        <v/>
      </c>
      <c r="E5703">
        <f>IF($C5703="","",DATE(YEAR($C5703),MONTH($C5703),1))</f>
        <v/>
      </c>
      <c r="F5703">
        <f>IF($C5703="","",YEAR($C5703)&amp;"-Q"&amp;ROUNDUP(MONTH($C5703)/3,0))</f>
        <v/>
      </c>
      <c r="L5703">
        <f>IF($G5703&lt;&gt;"ALCOHOL","",IF($K5703="","",$H5703*IFERROR(VLOOKUP($K5703,Drink_Templates!$A:$G,7,FALSE),0)))</f>
        <v/>
      </c>
    </row>
    <row r="5704" ht="15" customHeight="1">
      <c r="C5704">
        <f>IF($B5704="","",INT($B5704))</f>
        <v/>
      </c>
      <c r="D5704">
        <f>IF($C5704="","",$C5704-WEEKDAY($C5704,2)+1)</f>
        <v/>
      </c>
      <c r="E5704">
        <f>IF($C5704="","",DATE(YEAR($C5704),MONTH($C5704),1))</f>
        <v/>
      </c>
      <c r="F5704">
        <f>IF($C5704="","",YEAR($C5704)&amp;"-Q"&amp;ROUNDUP(MONTH($C5704)/3,0))</f>
        <v/>
      </c>
      <c r="L5704">
        <f>IF($G5704&lt;&gt;"ALCOHOL","",IF($K5704="","",$H5704*IFERROR(VLOOKUP($K5704,Drink_Templates!$A:$G,7,FALSE),0)))</f>
        <v/>
      </c>
    </row>
    <row r="5705" ht="15" customHeight="1">
      <c r="C5705">
        <f>IF($B5705="","",INT($B5705))</f>
        <v/>
      </c>
      <c r="D5705">
        <f>IF($C5705="","",$C5705-WEEKDAY($C5705,2)+1)</f>
        <v/>
      </c>
      <c r="E5705">
        <f>IF($C5705="","",DATE(YEAR($C5705),MONTH($C5705),1))</f>
        <v/>
      </c>
      <c r="F5705">
        <f>IF($C5705="","",YEAR($C5705)&amp;"-Q"&amp;ROUNDUP(MONTH($C5705)/3,0))</f>
        <v/>
      </c>
      <c r="L5705">
        <f>IF($G5705&lt;&gt;"ALCOHOL","",IF($K5705="","",$H5705*IFERROR(VLOOKUP($K5705,Drink_Templates!$A:$G,7,FALSE),0)))</f>
        <v/>
      </c>
    </row>
    <row r="5706" ht="15" customHeight="1">
      <c r="C5706">
        <f>IF($B5706="","",INT($B5706))</f>
        <v/>
      </c>
      <c r="D5706">
        <f>IF($C5706="","",$C5706-WEEKDAY($C5706,2)+1)</f>
        <v/>
      </c>
      <c r="E5706">
        <f>IF($C5706="","",DATE(YEAR($C5706),MONTH($C5706),1))</f>
        <v/>
      </c>
      <c r="F5706">
        <f>IF($C5706="","",YEAR($C5706)&amp;"-Q"&amp;ROUNDUP(MONTH($C5706)/3,0))</f>
        <v/>
      </c>
      <c r="L5706">
        <f>IF($G5706&lt;&gt;"ALCOHOL","",IF($K5706="","",$H5706*IFERROR(VLOOKUP($K5706,Drink_Templates!$A:$G,7,FALSE),0)))</f>
        <v/>
      </c>
    </row>
    <row r="5707" ht="15" customHeight="1">
      <c r="C5707">
        <f>IF($B5707="","",INT($B5707))</f>
        <v/>
      </c>
      <c r="D5707">
        <f>IF($C5707="","",$C5707-WEEKDAY($C5707,2)+1)</f>
        <v/>
      </c>
      <c r="E5707">
        <f>IF($C5707="","",DATE(YEAR($C5707),MONTH($C5707),1))</f>
        <v/>
      </c>
      <c r="F5707">
        <f>IF($C5707="","",YEAR($C5707)&amp;"-Q"&amp;ROUNDUP(MONTH($C5707)/3,0))</f>
        <v/>
      </c>
      <c r="L5707">
        <f>IF($G5707&lt;&gt;"ALCOHOL","",IF($K5707="","",$H5707*IFERROR(VLOOKUP($K5707,Drink_Templates!$A:$G,7,FALSE),0)))</f>
        <v/>
      </c>
    </row>
    <row r="5708" ht="15" customHeight="1">
      <c r="C5708">
        <f>IF($B5708="","",INT($B5708))</f>
        <v/>
      </c>
      <c r="D5708">
        <f>IF($C5708="","",$C5708-WEEKDAY($C5708,2)+1)</f>
        <v/>
      </c>
      <c r="E5708">
        <f>IF($C5708="","",DATE(YEAR($C5708),MONTH($C5708),1))</f>
        <v/>
      </c>
      <c r="F5708">
        <f>IF($C5708="","",YEAR($C5708)&amp;"-Q"&amp;ROUNDUP(MONTH($C5708)/3,0))</f>
        <v/>
      </c>
      <c r="L5708">
        <f>IF($G5708&lt;&gt;"ALCOHOL","",IF($K5708="","",$H5708*IFERROR(VLOOKUP($K5708,Drink_Templates!$A:$G,7,FALSE),0)))</f>
        <v/>
      </c>
    </row>
    <row r="5709" ht="15" customHeight="1">
      <c r="C5709">
        <f>IF($B5709="","",INT($B5709))</f>
        <v/>
      </c>
      <c r="D5709">
        <f>IF($C5709="","",$C5709-WEEKDAY($C5709,2)+1)</f>
        <v/>
      </c>
      <c r="E5709">
        <f>IF($C5709="","",DATE(YEAR($C5709),MONTH($C5709),1))</f>
        <v/>
      </c>
      <c r="F5709">
        <f>IF($C5709="","",YEAR($C5709)&amp;"-Q"&amp;ROUNDUP(MONTH($C5709)/3,0))</f>
        <v/>
      </c>
      <c r="L5709">
        <f>IF($G5709&lt;&gt;"ALCOHOL","",IF($K5709="","",$H5709*IFERROR(VLOOKUP($K5709,Drink_Templates!$A:$G,7,FALSE),0)))</f>
        <v/>
      </c>
    </row>
    <row r="5710" ht="15" customHeight="1">
      <c r="C5710">
        <f>IF($B5710="","",INT($B5710))</f>
        <v/>
      </c>
      <c r="D5710">
        <f>IF($C5710="","",$C5710-WEEKDAY($C5710,2)+1)</f>
        <v/>
      </c>
      <c r="E5710">
        <f>IF($C5710="","",DATE(YEAR($C5710),MONTH($C5710),1))</f>
        <v/>
      </c>
      <c r="F5710">
        <f>IF($C5710="","",YEAR($C5710)&amp;"-Q"&amp;ROUNDUP(MONTH($C5710)/3,0))</f>
        <v/>
      </c>
      <c r="L5710">
        <f>IF($G5710&lt;&gt;"ALCOHOL","",IF($K5710="","",$H5710*IFERROR(VLOOKUP($K5710,Drink_Templates!$A:$G,7,FALSE),0)))</f>
        <v/>
      </c>
    </row>
    <row r="5711" ht="15" customHeight="1">
      <c r="C5711">
        <f>IF($B5711="","",INT($B5711))</f>
        <v/>
      </c>
      <c r="D5711">
        <f>IF($C5711="","",$C5711-WEEKDAY($C5711,2)+1)</f>
        <v/>
      </c>
      <c r="E5711">
        <f>IF($C5711="","",DATE(YEAR($C5711),MONTH($C5711),1))</f>
        <v/>
      </c>
      <c r="F5711">
        <f>IF($C5711="","",YEAR($C5711)&amp;"-Q"&amp;ROUNDUP(MONTH($C5711)/3,0))</f>
        <v/>
      </c>
      <c r="L5711">
        <f>IF($G5711&lt;&gt;"ALCOHOL","",IF($K5711="","",$H5711*IFERROR(VLOOKUP($K5711,Drink_Templates!$A:$G,7,FALSE),0)))</f>
        <v/>
      </c>
    </row>
    <row r="5712" ht="15" customHeight="1">
      <c r="C5712">
        <f>IF($B5712="","",INT($B5712))</f>
        <v/>
      </c>
      <c r="D5712">
        <f>IF($C5712="","",$C5712-WEEKDAY($C5712,2)+1)</f>
        <v/>
      </c>
      <c r="E5712">
        <f>IF($C5712="","",DATE(YEAR($C5712),MONTH($C5712),1))</f>
        <v/>
      </c>
      <c r="F5712">
        <f>IF($C5712="","",YEAR($C5712)&amp;"-Q"&amp;ROUNDUP(MONTH($C5712)/3,0))</f>
        <v/>
      </c>
      <c r="L5712">
        <f>IF($G5712&lt;&gt;"ALCOHOL","",IF($K5712="","",$H5712*IFERROR(VLOOKUP($K5712,Drink_Templates!$A:$G,7,FALSE),0)))</f>
        <v/>
      </c>
    </row>
    <row r="5713" ht="15" customHeight="1">
      <c r="C5713">
        <f>IF($B5713="","",INT($B5713))</f>
        <v/>
      </c>
      <c r="D5713">
        <f>IF($C5713="","",$C5713-WEEKDAY($C5713,2)+1)</f>
        <v/>
      </c>
      <c r="E5713">
        <f>IF($C5713="","",DATE(YEAR($C5713),MONTH($C5713),1))</f>
        <v/>
      </c>
      <c r="F5713">
        <f>IF($C5713="","",YEAR($C5713)&amp;"-Q"&amp;ROUNDUP(MONTH($C5713)/3,0))</f>
        <v/>
      </c>
      <c r="L5713">
        <f>IF($G5713&lt;&gt;"ALCOHOL","",IF($K5713="","",$H5713*IFERROR(VLOOKUP($K5713,Drink_Templates!$A:$G,7,FALSE),0)))</f>
        <v/>
      </c>
    </row>
    <row r="5714" ht="15" customHeight="1">
      <c r="C5714">
        <f>IF($B5714="","",INT($B5714))</f>
        <v/>
      </c>
      <c r="D5714">
        <f>IF($C5714="","",$C5714-WEEKDAY($C5714,2)+1)</f>
        <v/>
      </c>
      <c r="E5714">
        <f>IF($C5714="","",DATE(YEAR($C5714),MONTH($C5714),1))</f>
        <v/>
      </c>
      <c r="F5714">
        <f>IF($C5714="","",YEAR($C5714)&amp;"-Q"&amp;ROUNDUP(MONTH($C5714)/3,0))</f>
        <v/>
      </c>
      <c r="L5714">
        <f>IF($G5714&lt;&gt;"ALCOHOL","",IF($K5714="","",$H5714*IFERROR(VLOOKUP($K5714,Drink_Templates!$A:$G,7,FALSE),0)))</f>
        <v/>
      </c>
    </row>
    <row r="5715" ht="15" customHeight="1">
      <c r="C5715">
        <f>IF($B5715="","",INT($B5715))</f>
        <v/>
      </c>
      <c r="D5715">
        <f>IF($C5715="","",$C5715-WEEKDAY($C5715,2)+1)</f>
        <v/>
      </c>
      <c r="E5715">
        <f>IF($C5715="","",DATE(YEAR($C5715),MONTH($C5715),1))</f>
        <v/>
      </c>
      <c r="F5715">
        <f>IF($C5715="","",YEAR($C5715)&amp;"-Q"&amp;ROUNDUP(MONTH($C5715)/3,0))</f>
        <v/>
      </c>
      <c r="L5715">
        <f>IF($G5715&lt;&gt;"ALCOHOL","",IF($K5715="","",$H5715*IFERROR(VLOOKUP($K5715,Drink_Templates!$A:$G,7,FALSE),0)))</f>
        <v/>
      </c>
    </row>
    <row r="5716" ht="15" customHeight="1">
      <c r="C5716">
        <f>IF($B5716="","",INT($B5716))</f>
        <v/>
      </c>
      <c r="D5716">
        <f>IF($C5716="","",$C5716-WEEKDAY($C5716,2)+1)</f>
        <v/>
      </c>
      <c r="E5716">
        <f>IF($C5716="","",DATE(YEAR($C5716),MONTH($C5716),1))</f>
        <v/>
      </c>
      <c r="F5716">
        <f>IF($C5716="","",YEAR($C5716)&amp;"-Q"&amp;ROUNDUP(MONTH($C5716)/3,0))</f>
        <v/>
      </c>
      <c r="L5716">
        <f>IF($G5716&lt;&gt;"ALCOHOL","",IF($K5716="","",$H5716*IFERROR(VLOOKUP($K5716,Drink_Templates!$A:$G,7,FALSE),0)))</f>
        <v/>
      </c>
    </row>
    <row r="5717" ht="15" customHeight="1">
      <c r="C5717">
        <f>IF($B5717="","",INT($B5717))</f>
        <v/>
      </c>
      <c r="D5717">
        <f>IF($C5717="","",$C5717-WEEKDAY($C5717,2)+1)</f>
        <v/>
      </c>
      <c r="E5717">
        <f>IF($C5717="","",DATE(YEAR($C5717),MONTH($C5717),1))</f>
        <v/>
      </c>
      <c r="F5717">
        <f>IF($C5717="","",YEAR($C5717)&amp;"-Q"&amp;ROUNDUP(MONTH($C5717)/3,0))</f>
        <v/>
      </c>
      <c r="L5717">
        <f>IF($G5717&lt;&gt;"ALCOHOL","",IF($K5717="","",$H5717*IFERROR(VLOOKUP($K5717,Drink_Templates!$A:$G,7,FALSE),0)))</f>
        <v/>
      </c>
    </row>
    <row r="5718" ht="15" customHeight="1">
      <c r="C5718">
        <f>IF($B5718="","",INT($B5718))</f>
        <v/>
      </c>
      <c r="D5718">
        <f>IF($C5718="","",$C5718-WEEKDAY($C5718,2)+1)</f>
        <v/>
      </c>
      <c r="E5718">
        <f>IF($C5718="","",DATE(YEAR($C5718),MONTH($C5718),1))</f>
        <v/>
      </c>
      <c r="F5718">
        <f>IF($C5718="","",YEAR($C5718)&amp;"-Q"&amp;ROUNDUP(MONTH($C5718)/3,0))</f>
        <v/>
      </c>
      <c r="L5718">
        <f>IF($G5718&lt;&gt;"ALCOHOL","",IF($K5718="","",$H5718*IFERROR(VLOOKUP($K5718,Drink_Templates!$A:$G,7,FALSE),0)))</f>
        <v/>
      </c>
    </row>
    <row r="5719" ht="15" customHeight="1">
      <c r="C5719">
        <f>IF($B5719="","",INT($B5719))</f>
        <v/>
      </c>
      <c r="D5719">
        <f>IF($C5719="","",$C5719-WEEKDAY($C5719,2)+1)</f>
        <v/>
      </c>
      <c r="E5719">
        <f>IF($C5719="","",DATE(YEAR($C5719),MONTH($C5719),1))</f>
        <v/>
      </c>
      <c r="F5719">
        <f>IF($C5719="","",YEAR($C5719)&amp;"-Q"&amp;ROUNDUP(MONTH($C5719)/3,0))</f>
        <v/>
      </c>
      <c r="L5719">
        <f>IF($G5719&lt;&gt;"ALCOHOL","",IF($K5719="","",$H5719*IFERROR(VLOOKUP($K5719,Drink_Templates!$A:$G,7,FALSE),0)))</f>
        <v/>
      </c>
    </row>
    <row r="5720" ht="15" customHeight="1">
      <c r="C5720">
        <f>IF($B5720="","",INT($B5720))</f>
        <v/>
      </c>
      <c r="D5720">
        <f>IF($C5720="","",$C5720-WEEKDAY($C5720,2)+1)</f>
        <v/>
      </c>
      <c r="E5720">
        <f>IF($C5720="","",DATE(YEAR($C5720),MONTH($C5720),1))</f>
        <v/>
      </c>
      <c r="F5720">
        <f>IF($C5720="","",YEAR($C5720)&amp;"-Q"&amp;ROUNDUP(MONTH($C5720)/3,0))</f>
        <v/>
      </c>
      <c r="L5720">
        <f>IF($G5720&lt;&gt;"ALCOHOL","",IF($K5720="","",$H5720*IFERROR(VLOOKUP($K5720,Drink_Templates!$A:$G,7,FALSE),0)))</f>
        <v/>
      </c>
    </row>
    <row r="5721" ht="15" customHeight="1">
      <c r="C5721">
        <f>IF($B5721="","",INT($B5721))</f>
        <v/>
      </c>
      <c r="D5721">
        <f>IF($C5721="","",$C5721-WEEKDAY($C5721,2)+1)</f>
        <v/>
      </c>
      <c r="E5721">
        <f>IF($C5721="","",DATE(YEAR($C5721),MONTH($C5721),1))</f>
        <v/>
      </c>
      <c r="F5721">
        <f>IF($C5721="","",YEAR($C5721)&amp;"-Q"&amp;ROUNDUP(MONTH($C5721)/3,0))</f>
        <v/>
      </c>
      <c r="L5721">
        <f>IF($G5721&lt;&gt;"ALCOHOL","",IF($K5721="","",$H5721*IFERROR(VLOOKUP($K5721,Drink_Templates!$A:$G,7,FALSE),0)))</f>
        <v/>
      </c>
    </row>
    <row r="5722" ht="15" customHeight="1">
      <c r="C5722">
        <f>IF($B5722="","",INT($B5722))</f>
        <v/>
      </c>
      <c r="D5722">
        <f>IF($C5722="","",$C5722-WEEKDAY($C5722,2)+1)</f>
        <v/>
      </c>
      <c r="E5722">
        <f>IF($C5722="","",DATE(YEAR($C5722),MONTH($C5722),1))</f>
        <v/>
      </c>
      <c r="F5722">
        <f>IF($C5722="","",YEAR($C5722)&amp;"-Q"&amp;ROUNDUP(MONTH($C5722)/3,0))</f>
        <v/>
      </c>
      <c r="L5722">
        <f>IF($G5722&lt;&gt;"ALCOHOL","",IF($K5722="","",$H5722*IFERROR(VLOOKUP($K5722,Drink_Templates!$A:$G,7,FALSE),0)))</f>
        <v/>
      </c>
    </row>
    <row r="5723" ht="15" customHeight="1">
      <c r="C5723">
        <f>IF($B5723="","",INT($B5723))</f>
        <v/>
      </c>
      <c r="D5723">
        <f>IF($C5723="","",$C5723-WEEKDAY($C5723,2)+1)</f>
        <v/>
      </c>
      <c r="E5723">
        <f>IF($C5723="","",DATE(YEAR($C5723),MONTH($C5723),1))</f>
        <v/>
      </c>
      <c r="F5723">
        <f>IF($C5723="","",YEAR($C5723)&amp;"-Q"&amp;ROUNDUP(MONTH($C5723)/3,0))</f>
        <v/>
      </c>
      <c r="L5723">
        <f>IF($G5723&lt;&gt;"ALCOHOL","",IF($K5723="","",$H5723*IFERROR(VLOOKUP($K5723,Drink_Templates!$A:$G,7,FALSE),0)))</f>
        <v/>
      </c>
    </row>
    <row r="5724" ht="15" customHeight="1">
      <c r="C5724">
        <f>IF($B5724="","",INT($B5724))</f>
        <v/>
      </c>
      <c r="D5724">
        <f>IF($C5724="","",$C5724-WEEKDAY($C5724,2)+1)</f>
        <v/>
      </c>
      <c r="E5724">
        <f>IF($C5724="","",DATE(YEAR($C5724),MONTH($C5724),1))</f>
        <v/>
      </c>
      <c r="F5724">
        <f>IF($C5724="","",YEAR($C5724)&amp;"-Q"&amp;ROUNDUP(MONTH($C5724)/3,0))</f>
        <v/>
      </c>
      <c r="L5724">
        <f>IF($G5724&lt;&gt;"ALCOHOL","",IF($K5724="","",$H5724*IFERROR(VLOOKUP($K5724,Drink_Templates!$A:$G,7,FALSE),0)))</f>
        <v/>
      </c>
    </row>
    <row r="5725" ht="15" customHeight="1">
      <c r="C5725">
        <f>IF($B5725="","",INT($B5725))</f>
        <v/>
      </c>
      <c r="D5725">
        <f>IF($C5725="","",$C5725-WEEKDAY($C5725,2)+1)</f>
        <v/>
      </c>
      <c r="E5725">
        <f>IF($C5725="","",DATE(YEAR($C5725),MONTH($C5725),1))</f>
        <v/>
      </c>
      <c r="F5725">
        <f>IF($C5725="","",YEAR($C5725)&amp;"-Q"&amp;ROUNDUP(MONTH($C5725)/3,0))</f>
        <v/>
      </c>
      <c r="L5725">
        <f>IF($G5725&lt;&gt;"ALCOHOL","",IF($K5725="","",$H5725*IFERROR(VLOOKUP($K5725,Drink_Templates!$A:$G,7,FALSE),0)))</f>
        <v/>
      </c>
    </row>
    <row r="5726" ht="15" customHeight="1">
      <c r="C5726">
        <f>IF($B5726="","",INT($B5726))</f>
        <v/>
      </c>
      <c r="D5726">
        <f>IF($C5726="","",$C5726-WEEKDAY($C5726,2)+1)</f>
        <v/>
      </c>
      <c r="E5726">
        <f>IF($C5726="","",DATE(YEAR($C5726),MONTH($C5726),1))</f>
        <v/>
      </c>
      <c r="F5726">
        <f>IF($C5726="","",YEAR($C5726)&amp;"-Q"&amp;ROUNDUP(MONTH($C5726)/3,0))</f>
        <v/>
      </c>
      <c r="L5726">
        <f>IF($G5726&lt;&gt;"ALCOHOL","",IF($K5726="","",$H5726*IFERROR(VLOOKUP($K5726,Drink_Templates!$A:$G,7,FALSE),0)))</f>
        <v/>
      </c>
    </row>
    <row r="5727" ht="15" customHeight="1">
      <c r="C5727">
        <f>IF($B5727="","",INT($B5727))</f>
        <v/>
      </c>
      <c r="D5727">
        <f>IF($C5727="","",$C5727-WEEKDAY($C5727,2)+1)</f>
        <v/>
      </c>
      <c r="E5727">
        <f>IF($C5727="","",DATE(YEAR($C5727),MONTH($C5727),1))</f>
        <v/>
      </c>
      <c r="F5727">
        <f>IF($C5727="","",YEAR($C5727)&amp;"-Q"&amp;ROUNDUP(MONTH($C5727)/3,0))</f>
        <v/>
      </c>
      <c r="L5727">
        <f>IF($G5727&lt;&gt;"ALCOHOL","",IF($K5727="","",$H5727*IFERROR(VLOOKUP($K5727,Drink_Templates!$A:$G,7,FALSE),0)))</f>
        <v/>
      </c>
    </row>
    <row r="5728" ht="15" customHeight="1">
      <c r="C5728">
        <f>IF($B5728="","",INT($B5728))</f>
        <v/>
      </c>
      <c r="D5728">
        <f>IF($C5728="","",$C5728-WEEKDAY($C5728,2)+1)</f>
        <v/>
      </c>
      <c r="E5728">
        <f>IF($C5728="","",DATE(YEAR($C5728),MONTH($C5728),1))</f>
        <v/>
      </c>
      <c r="F5728">
        <f>IF($C5728="","",YEAR($C5728)&amp;"-Q"&amp;ROUNDUP(MONTH($C5728)/3,0))</f>
        <v/>
      </c>
      <c r="L5728">
        <f>IF($G5728&lt;&gt;"ALCOHOL","",IF($K5728="","",$H5728*IFERROR(VLOOKUP($K5728,Drink_Templates!$A:$G,7,FALSE),0)))</f>
        <v/>
      </c>
    </row>
    <row r="5729" ht="15" customHeight="1">
      <c r="C5729">
        <f>IF($B5729="","",INT($B5729))</f>
        <v/>
      </c>
      <c r="D5729">
        <f>IF($C5729="","",$C5729-WEEKDAY($C5729,2)+1)</f>
        <v/>
      </c>
      <c r="E5729">
        <f>IF($C5729="","",DATE(YEAR($C5729),MONTH($C5729),1))</f>
        <v/>
      </c>
      <c r="F5729">
        <f>IF($C5729="","",YEAR($C5729)&amp;"-Q"&amp;ROUNDUP(MONTH($C5729)/3,0))</f>
        <v/>
      </c>
      <c r="L5729">
        <f>IF($G5729&lt;&gt;"ALCOHOL","",IF($K5729="","",$H5729*IFERROR(VLOOKUP($K5729,Drink_Templates!$A:$G,7,FALSE),0)))</f>
        <v/>
      </c>
    </row>
    <row r="5730" ht="15" customHeight="1">
      <c r="C5730">
        <f>IF($B5730="","",INT($B5730))</f>
        <v/>
      </c>
      <c r="D5730">
        <f>IF($C5730="","",$C5730-WEEKDAY($C5730,2)+1)</f>
        <v/>
      </c>
      <c r="E5730">
        <f>IF($C5730="","",DATE(YEAR($C5730),MONTH($C5730),1))</f>
        <v/>
      </c>
      <c r="F5730">
        <f>IF($C5730="","",YEAR($C5730)&amp;"-Q"&amp;ROUNDUP(MONTH($C5730)/3,0))</f>
        <v/>
      </c>
      <c r="L5730">
        <f>IF($G5730&lt;&gt;"ALCOHOL","",IF($K5730="","",$H5730*IFERROR(VLOOKUP($K5730,Drink_Templates!$A:$G,7,FALSE),0)))</f>
        <v/>
      </c>
    </row>
    <row r="5731" ht="15" customHeight="1">
      <c r="C5731">
        <f>IF($B5731="","",INT($B5731))</f>
        <v/>
      </c>
      <c r="D5731">
        <f>IF($C5731="","",$C5731-WEEKDAY($C5731,2)+1)</f>
        <v/>
      </c>
      <c r="E5731">
        <f>IF($C5731="","",DATE(YEAR($C5731),MONTH($C5731),1))</f>
        <v/>
      </c>
      <c r="F5731">
        <f>IF($C5731="","",YEAR($C5731)&amp;"-Q"&amp;ROUNDUP(MONTH($C5731)/3,0))</f>
        <v/>
      </c>
      <c r="L5731">
        <f>IF($G5731&lt;&gt;"ALCOHOL","",IF($K5731="","",$H5731*IFERROR(VLOOKUP($K5731,Drink_Templates!$A:$G,7,FALSE),0)))</f>
        <v/>
      </c>
    </row>
    <row r="5732" ht="15" customHeight="1">
      <c r="C5732">
        <f>IF($B5732="","",INT($B5732))</f>
        <v/>
      </c>
      <c r="D5732">
        <f>IF($C5732="","",$C5732-WEEKDAY($C5732,2)+1)</f>
        <v/>
      </c>
      <c r="E5732">
        <f>IF($C5732="","",DATE(YEAR($C5732),MONTH($C5732),1))</f>
        <v/>
      </c>
      <c r="F5732">
        <f>IF($C5732="","",YEAR($C5732)&amp;"-Q"&amp;ROUNDUP(MONTH($C5732)/3,0))</f>
        <v/>
      </c>
      <c r="L5732">
        <f>IF($G5732&lt;&gt;"ALCOHOL","",IF($K5732="","",$H5732*IFERROR(VLOOKUP($K5732,Drink_Templates!$A:$G,7,FALSE),0)))</f>
        <v/>
      </c>
    </row>
    <row r="5733" ht="15" customHeight="1">
      <c r="C5733">
        <f>IF($B5733="","",INT($B5733))</f>
        <v/>
      </c>
      <c r="D5733">
        <f>IF($C5733="","",$C5733-WEEKDAY($C5733,2)+1)</f>
        <v/>
      </c>
      <c r="E5733">
        <f>IF($C5733="","",DATE(YEAR($C5733),MONTH($C5733),1))</f>
        <v/>
      </c>
      <c r="F5733">
        <f>IF($C5733="","",YEAR($C5733)&amp;"-Q"&amp;ROUNDUP(MONTH($C5733)/3,0))</f>
        <v/>
      </c>
      <c r="L5733">
        <f>IF($G5733&lt;&gt;"ALCOHOL","",IF($K5733="","",$H5733*IFERROR(VLOOKUP($K5733,Drink_Templates!$A:$G,7,FALSE),0)))</f>
        <v/>
      </c>
    </row>
    <row r="5734" ht="15" customHeight="1">
      <c r="C5734">
        <f>IF($B5734="","",INT($B5734))</f>
        <v/>
      </c>
      <c r="D5734">
        <f>IF($C5734="","",$C5734-WEEKDAY($C5734,2)+1)</f>
        <v/>
      </c>
      <c r="E5734">
        <f>IF($C5734="","",DATE(YEAR($C5734),MONTH($C5734),1))</f>
        <v/>
      </c>
      <c r="F5734">
        <f>IF($C5734="","",YEAR($C5734)&amp;"-Q"&amp;ROUNDUP(MONTH($C5734)/3,0))</f>
        <v/>
      </c>
      <c r="L5734">
        <f>IF($G5734&lt;&gt;"ALCOHOL","",IF($K5734="","",$H5734*IFERROR(VLOOKUP($K5734,Drink_Templates!$A:$G,7,FALSE),0)))</f>
        <v/>
      </c>
    </row>
    <row r="5735" ht="15" customHeight="1">
      <c r="C5735">
        <f>IF($B5735="","",INT($B5735))</f>
        <v/>
      </c>
      <c r="D5735">
        <f>IF($C5735="","",$C5735-WEEKDAY($C5735,2)+1)</f>
        <v/>
      </c>
      <c r="E5735">
        <f>IF($C5735="","",DATE(YEAR($C5735),MONTH($C5735),1))</f>
        <v/>
      </c>
      <c r="F5735">
        <f>IF($C5735="","",YEAR($C5735)&amp;"-Q"&amp;ROUNDUP(MONTH($C5735)/3,0))</f>
        <v/>
      </c>
      <c r="L5735">
        <f>IF($G5735&lt;&gt;"ALCOHOL","",IF($K5735="","",$H5735*IFERROR(VLOOKUP($K5735,Drink_Templates!$A:$G,7,FALSE),0)))</f>
        <v/>
      </c>
    </row>
    <row r="5736" ht="15" customHeight="1">
      <c r="C5736">
        <f>IF($B5736="","",INT($B5736))</f>
        <v/>
      </c>
      <c r="D5736">
        <f>IF($C5736="","",$C5736-WEEKDAY($C5736,2)+1)</f>
        <v/>
      </c>
      <c r="E5736">
        <f>IF($C5736="","",DATE(YEAR($C5736),MONTH($C5736),1))</f>
        <v/>
      </c>
      <c r="F5736">
        <f>IF($C5736="","",YEAR($C5736)&amp;"-Q"&amp;ROUNDUP(MONTH($C5736)/3,0))</f>
        <v/>
      </c>
      <c r="L5736">
        <f>IF($G5736&lt;&gt;"ALCOHOL","",IF($K5736="","",$H5736*IFERROR(VLOOKUP($K5736,Drink_Templates!$A:$G,7,FALSE),0)))</f>
        <v/>
      </c>
    </row>
    <row r="5737" ht="15" customHeight="1">
      <c r="C5737">
        <f>IF($B5737="","",INT($B5737))</f>
        <v/>
      </c>
      <c r="D5737">
        <f>IF($C5737="","",$C5737-WEEKDAY($C5737,2)+1)</f>
        <v/>
      </c>
      <c r="E5737">
        <f>IF($C5737="","",DATE(YEAR($C5737),MONTH($C5737),1))</f>
        <v/>
      </c>
      <c r="F5737">
        <f>IF($C5737="","",YEAR($C5737)&amp;"-Q"&amp;ROUNDUP(MONTH($C5737)/3,0))</f>
        <v/>
      </c>
      <c r="L5737">
        <f>IF($G5737&lt;&gt;"ALCOHOL","",IF($K5737="","",$H5737*IFERROR(VLOOKUP($K5737,Drink_Templates!$A:$G,7,FALSE),0)))</f>
        <v/>
      </c>
    </row>
    <row r="5738" ht="15" customHeight="1">
      <c r="C5738">
        <f>IF($B5738="","",INT($B5738))</f>
        <v/>
      </c>
      <c r="D5738">
        <f>IF($C5738="","",$C5738-WEEKDAY($C5738,2)+1)</f>
        <v/>
      </c>
      <c r="E5738">
        <f>IF($C5738="","",DATE(YEAR($C5738),MONTH($C5738),1))</f>
        <v/>
      </c>
      <c r="F5738">
        <f>IF($C5738="","",YEAR($C5738)&amp;"-Q"&amp;ROUNDUP(MONTH($C5738)/3,0))</f>
        <v/>
      </c>
      <c r="L5738">
        <f>IF($G5738&lt;&gt;"ALCOHOL","",IF($K5738="","",$H5738*IFERROR(VLOOKUP($K5738,Drink_Templates!$A:$G,7,FALSE),0)))</f>
        <v/>
      </c>
    </row>
    <row r="5739" ht="15" customHeight="1">
      <c r="C5739">
        <f>IF($B5739="","",INT($B5739))</f>
        <v/>
      </c>
      <c r="D5739">
        <f>IF($C5739="","",$C5739-WEEKDAY($C5739,2)+1)</f>
        <v/>
      </c>
      <c r="E5739">
        <f>IF($C5739="","",DATE(YEAR($C5739),MONTH($C5739),1))</f>
        <v/>
      </c>
      <c r="F5739">
        <f>IF($C5739="","",YEAR($C5739)&amp;"-Q"&amp;ROUNDUP(MONTH($C5739)/3,0))</f>
        <v/>
      </c>
      <c r="L5739">
        <f>IF($G5739&lt;&gt;"ALCOHOL","",IF($K5739="","",$H5739*IFERROR(VLOOKUP($K5739,Drink_Templates!$A:$G,7,FALSE),0)))</f>
        <v/>
      </c>
    </row>
    <row r="5740" ht="15" customHeight="1">
      <c r="C5740">
        <f>IF($B5740="","",INT($B5740))</f>
        <v/>
      </c>
      <c r="D5740">
        <f>IF($C5740="","",$C5740-WEEKDAY($C5740,2)+1)</f>
        <v/>
      </c>
      <c r="E5740">
        <f>IF($C5740="","",DATE(YEAR($C5740),MONTH($C5740),1))</f>
        <v/>
      </c>
      <c r="F5740">
        <f>IF($C5740="","",YEAR($C5740)&amp;"-Q"&amp;ROUNDUP(MONTH($C5740)/3,0))</f>
        <v/>
      </c>
      <c r="L5740">
        <f>IF($G5740&lt;&gt;"ALCOHOL","",IF($K5740="","",$H5740*IFERROR(VLOOKUP($K5740,Drink_Templates!$A:$G,7,FALSE),0)))</f>
        <v/>
      </c>
    </row>
    <row r="5741" ht="15" customHeight="1">
      <c r="C5741">
        <f>IF($B5741="","",INT($B5741))</f>
        <v/>
      </c>
      <c r="D5741">
        <f>IF($C5741="","",$C5741-WEEKDAY($C5741,2)+1)</f>
        <v/>
      </c>
      <c r="E5741">
        <f>IF($C5741="","",DATE(YEAR($C5741),MONTH($C5741),1))</f>
        <v/>
      </c>
      <c r="F5741">
        <f>IF($C5741="","",YEAR($C5741)&amp;"-Q"&amp;ROUNDUP(MONTH($C5741)/3,0))</f>
        <v/>
      </c>
      <c r="L5741">
        <f>IF($G5741&lt;&gt;"ALCOHOL","",IF($K5741="","",$H5741*IFERROR(VLOOKUP($K5741,Drink_Templates!$A:$G,7,FALSE),0)))</f>
        <v/>
      </c>
    </row>
    <row r="5742" ht="15" customHeight="1">
      <c r="C5742">
        <f>IF($B5742="","",INT($B5742))</f>
        <v/>
      </c>
      <c r="D5742">
        <f>IF($C5742="","",$C5742-WEEKDAY($C5742,2)+1)</f>
        <v/>
      </c>
      <c r="E5742">
        <f>IF($C5742="","",DATE(YEAR($C5742),MONTH($C5742),1))</f>
        <v/>
      </c>
      <c r="F5742">
        <f>IF($C5742="","",YEAR($C5742)&amp;"-Q"&amp;ROUNDUP(MONTH($C5742)/3,0))</f>
        <v/>
      </c>
      <c r="L5742">
        <f>IF($G5742&lt;&gt;"ALCOHOL","",IF($K5742="","",$H5742*IFERROR(VLOOKUP($K5742,Drink_Templates!$A:$G,7,FALSE),0)))</f>
        <v/>
      </c>
    </row>
    <row r="5743" ht="15" customHeight="1">
      <c r="C5743">
        <f>IF($B5743="","",INT($B5743))</f>
        <v/>
      </c>
      <c r="D5743">
        <f>IF($C5743="","",$C5743-WEEKDAY($C5743,2)+1)</f>
        <v/>
      </c>
      <c r="E5743">
        <f>IF($C5743="","",DATE(YEAR($C5743),MONTH($C5743),1))</f>
        <v/>
      </c>
      <c r="F5743">
        <f>IF($C5743="","",YEAR($C5743)&amp;"-Q"&amp;ROUNDUP(MONTH($C5743)/3,0))</f>
        <v/>
      </c>
      <c r="L5743">
        <f>IF($G5743&lt;&gt;"ALCOHOL","",IF($K5743="","",$H5743*IFERROR(VLOOKUP($K5743,Drink_Templates!$A:$G,7,FALSE),0)))</f>
        <v/>
      </c>
    </row>
    <row r="5744" ht="15" customHeight="1">
      <c r="C5744">
        <f>IF($B5744="","",INT($B5744))</f>
        <v/>
      </c>
      <c r="D5744">
        <f>IF($C5744="","",$C5744-WEEKDAY($C5744,2)+1)</f>
        <v/>
      </c>
      <c r="E5744">
        <f>IF($C5744="","",DATE(YEAR($C5744),MONTH($C5744),1))</f>
        <v/>
      </c>
      <c r="F5744">
        <f>IF($C5744="","",YEAR($C5744)&amp;"-Q"&amp;ROUNDUP(MONTH($C5744)/3,0))</f>
        <v/>
      </c>
      <c r="L5744">
        <f>IF($G5744&lt;&gt;"ALCOHOL","",IF($K5744="","",$H5744*IFERROR(VLOOKUP($K5744,Drink_Templates!$A:$G,7,FALSE),0)))</f>
        <v/>
      </c>
    </row>
    <row r="5745" ht="15" customHeight="1">
      <c r="C5745">
        <f>IF($B5745="","",INT($B5745))</f>
        <v/>
      </c>
      <c r="D5745">
        <f>IF($C5745="","",$C5745-WEEKDAY($C5745,2)+1)</f>
        <v/>
      </c>
      <c r="E5745">
        <f>IF($C5745="","",DATE(YEAR($C5745),MONTH($C5745),1))</f>
        <v/>
      </c>
      <c r="F5745">
        <f>IF($C5745="","",YEAR($C5745)&amp;"-Q"&amp;ROUNDUP(MONTH($C5745)/3,0))</f>
        <v/>
      </c>
      <c r="L5745">
        <f>IF($G5745&lt;&gt;"ALCOHOL","",IF($K5745="","",$H5745*IFERROR(VLOOKUP($K5745,Drink_Templates!$A:$G,7,FALSE),0)))</f>
        <v/>
      </c>
    </row>
    <row r="5746" ht="15" customHeight="1">
      <c r="C5746">
        <f>IF($B5746="","",INT($B5746))</f>
        <v/>
      </c>
      <c r="D5746">
        <f>IF($C5746="","",$C5746-WEEKDAY($C5746,2)+1)</f>
        <v/>
      </c>
      <c r="E5746">
        <f>IF($C5746="","",DATE(YEAR($C5746),MONTH($C5746),1))</f>
        <v/>
      </c>
      <c r="F5746">
        <f>IF($C5746="","",YEAR($C5746)&amp;"-Q"&amp;ROUNDUP(MONTH($C5746)/3,0))</f>
        <v/>
      </c>
      <c r="L5746">
        <f>IF($G5746&lt;&gt;"ALCOHOL","",IF($K5746="","",$H5746*IFERROR(VLOOKUP($K5746,Drink_Templates!$A:$G,7,FALSE),0)))</f>
        <v/>
      </c>
    </row>
    <row r="5747" ht="15" customHeight="1">
      <c r="C5747">
        <f>IF($B5747="","",INT($B5747))</f>
        <v/>
      </c>
      <c r="D5747">
        <f>IF($C5747="","",$C5747-WEEKDAY($C5747,2)+1)</f>
        <v/>
      </c>
      <c r="E5747">
        <f>IF($C5747="","",DATE(YEAR($C5747),MONTH($C5747),1))</f>
        <v/>
      </c>
      <c r="F5747">
        <f>IF($C5747="","",YEAR($C5747)&amp;"-Q"&amp;ROUNDUP(MONTH($C5747)/3,0))</f>
        <v/>
      </c>
      <c r="L5747">
        <f>IF($G5747&lt;&gt;"ALCOHOL","",IF($K5747="","",$H5747*IFERROR(VLOOKUP($K5747,Drink_Templates!$A:$G,7,FALSE),0)))</f>
        <v/>
      </c>
    </row>
    <row r="5748" ht="15" customHeight="1">
      <c r="C5748">
        <f>IF($B5748="","",INT($B5748))</f>
        <v/>
      </c>
      <c r="D5748">
        <f>IF($C5748="","",$C5748-WEEKDAY($C5748,2)+1)</f>
        <v/>
      </c>
      <c r="E5748">
        <f>IF($C5748="","",DATE(YEAR($C5748),MONTH($C5748),1))</f>
        <v/>
      </c>
      <c r="F5748">
        <f>IF($C5748="","",YEAR($C5748)&amp;"-Q"&amp;ROUNDUP(MONTH($C5748)/3,0))</f>
        <v/>
      </c>
      <c r="L5748">
        <f>IF($G5748&lt;&gt;"ALCOHOL","",IF($K5748="","",$H5748*IFERROR(VLOOKUP($K5748,Drink_Templates!$A:$G,7,FALSE),0)))</f>
        <v/>
      </c>
    </row>
    <row r="5749" ht="15" customHeight="1">
      <c r="C5749">
        <f>IF($B5749="","",INT($B5749))</f>
        <v/>
      </c>
      <c r="D5749">
        <f>IF($C5749="","",$C5749-WEEKDAY($C5749,2)+1)</f>
        <v/>
      </c>
      <c r="E5749">
        <f>IF($C5749="","",DATE(YEAR($C5749),MONTH($C5749),1))</f>
        <v/>
      </c>
      <c r="F5749">
        <f>IF($C5749="","",YEAR($C5749)&amp;"-Q"&amp;ROUNDUP(MONTH($C5749)/3,0))</f>
        <v/>
      </c>
      <c r="L5749">
        <f>IF($G5749&lt;&gt;"ALCOHOL","",IF($K5749="","",$H5749*IFERROR(VLOOKUP($K5749,Drink_Templates!$A:$G,7,FALSE),0)))</f>
        <v/>
      </c>
    </row>
    <row r="5750" ht="15" customHeight="1">
      <c r="C5750">
        <f>IF($B5750="","",INT($B5750))</f>
        <v/>
      </c>
      <c r="D5750">
        <f>IF($C5750="","",$C5750-WEEKDAY($C5750,2)+1)</f>
        <v/>
      </c>
      <c r="E5750">
        <f>IF($C5750="","",DATE(YEAR($C5750),MONTH($C5750),1))</f>
        <v/>
      </c>
      <c r="F5750">
        <f>IF($C5750="","",YEAR($C5750)&amp;"-Q"&amp;ROUNDUP(MONTH($C5750)/3,0))</f>
        <v/>
      </c>
      <c r="L5750">
        <f>IF($G5750&lt;&gt;"ALCOHOL","",IF($K5750="","",$H5750*IFERROR(VLOOKUP($K5750,Drink_Templates!$A:$G,7,FALSE),0)))</f>
        <v/>
      </c>
    </row>
    <row r="5751" ht="15" customHeight="1">
      <c r="C5751">
        <f>IF($B5751="","",INT($B5751))</f>
        <v/>
      </c>
      <c r="D5751">
        <f>IF($C5751="","",$C5751-WEEKDAY($C5751,2)+1)</f>
        <v/>
      </c>
      <c r="E5751">
        <f>IF($C5751="","",DATE(YEAR($C5751),MONTH($C5751),1))</f>
        <v/>
      </c>
      <c r="F5751">
        <f>IF($C5751="","",YEAR($C5751)&amp;"-Q"&amp;ROUNDUP(MONTH($C5751)/3,0))</f>
        <v/>
      </c>
      <c r="L5751">
        <f>IF($G5751&lt;&gt;"ALCOHOL","",IF($K5751="","",$H5751*IFERROR(VLOOKUP($K5751,Drink_Templates!$A:$G,7,FALSE),0)))</f>
        <v/>
      </c>
    </row>
    <row r="5752" ht="15" customHeight="1">
      <c r="C5752">
        <f>IF($B5752="","",INT($B5752))</f>
        <v/>
      </c>
      <c r="D5752">
        <f>IF($C5752="","",$C5752-WEEKDAY($C5752,2)+1)</f>
        <v/>
      </c>
      <c r="E5752">
        <f>IF($C5752="","",DATE(YEAR($C5752),MONTH($C5752),1))</f>
        <v/>
      </c>
      <c r="F5752">
        <f>IF($C5752="","",YEAR($C5752)&amp;"-Q"&amp;ROUNDUP(MONTH($C5752)/3,0))</f>
        <v/>
      </c>
      <c r="L5752">
        <f>IF($G5752&lt;&gt;"ALCOHOL","",IF($K5752="","",$H5752*IFERROR(VLOOKUP($K5752,Drink_Templates!$A:$G,7,FALSE),0)))</f>
        <v/>
      </c>
    </row>
    <row r="5753" ht="15" customHeight="1">
      <c r="C5753">
        <f>IF($B5753="","",INT($B5753))</f>
        <v/>
      </c>
      <c r="D5753">
        <f>IF($C5753="","",$C5753-WEEKDAY($C5753,2)+1)</f>
        <v/>
      </c>
      <c r="E5753">
        <f>IF($C5753="","",DATE(YEAR($C5753),MONTH($C5753),1))</f>
        <v/>
      </c>
      <c r="F5753">
        <f>IF($C5753="","",YEAR($C5753)&amp;"-Q"&amp;ROUNDUP(MONTH($C5753)/3,0))</f>
        <v/>
      </c>
      <c r="L5753">
        <f>IF($G5753&lt;&gt;"ALCOHOL","",IF($K5753="","",$H5753*IFERROR(VLOOKUP($K5753,Drink_Templates!$A:$G,7,FALSE),0)))</f>
        <v/>
      </c>
    </row>
    <row r="5754" ht="15" customHeight="1">
      <c r="C5754">
        <f>IF($B5754="","",INT($B5754))</f>
        <v/>
      </c>
      <c r="D5754">
        <f>IF($C5754="","",$C5754-WEEKDAY($C5754,2)+1)</f>
        <v/>
      </c>
      <c r="E5754">
        <f>IF($C5754="","",DATE(YEAR($C5754),MONTH($C5754),1))</f>
        <v/>
      </c>
      <c r="F5754">
        <f>IF($C5754="","",YEAR($C5754)&amp;"-Q"&amp;ROUNDUP(MONTH($C5754)/3,0))</f>
        <v/>
      </c>
      <c r="L5754">
        <f>IF($G5754&lt;&gt;"ALCOHOL","",IF($K5754="","",$H5754*IFERROR(VLOOKUP($K5754,Drink_Templates!$A:$G,7,FALSE),0)))</f>
        <v/>
      </c>
    </row>
    <row r="5755" ht="15" customHeight="1">
      <c r="C5755">
        <f>IF($B5755="","",INT($B5755))</f>
        <v/>
      </c>
      <c r="D5755">
        <f>IF($C5755="","",$C5755-WEEKDAY($C5755,2)+1)</f>
        <v/>
      </c>
      <c r="E5755">
        <f>IF($C5755="","",DATE(YEAR($C5755),MONTH($C5755),1))</f>
        <v/>
      </c>
      <c r="F5755">
        <f>IF($C5755="","",YEAR($C5755)&amp;"-Q"&amp;ROUNDUP(MONTH($C5755)/3,0))</f>
        <v/>
      </c>
      <c r="L5755">
        <f>IF($G5755&lt;&gt;"ALCOHOL","",IF($K5755="","",$H5755*IFERROR(VLOOKUP($K5755,Drink_Templates!$A:$G,7,FALSE),0)))</f>
        <v/>
      </c>
    </row>
    <row r="5756" ht="15" customHeight="1">
      <c r="C5756">
        <f>IF($B5756="","",INT($B5756))</f>
        <v/>
      </c>
      <c r="D5756">
        <f>IF($C5756="","",$C5756-WEEKDAY($C5756,2)+1)</f>
        <v/>
      </c>
      <c r="E5756">
        <f>IF($C5756="","",DATE(YEAR($C5756),MONTH($C5756),1))</f>
        <v/>
      </c>
      <c r="F5756">
        <f>IF($C5756="","",YEAR($C5756)&amp;"-Q"&amp;ROUNDUP(MONTH($C5756)/3,0))</f>
        <v/>
      </c>
      <c r="L5756">
        <f>IF($G5756&lt;&gt;"ALCOHOL","",IF($K5756="","",$H5756*IFERROR(VLOOKUP($K5756,Drink_Templates!$A:$G,7,FALSE),0)))</f>
        <v/>
      </c>
    </row>
    <row r="5757" ht="15" customHeight="1">
      <c r="C5757">
        <f>IF($B5757="","",INT($B5757))</f>
        <v/>
      </c>
      <c r="D5757">
        <f>IF($C5757="","",$C5757-WEEKDAY($C5757,2)+1)</f>
        <v/>
      </c>
      <c r="E5757">
        <f>IF($C5757="","",DATE(YEAR($C5757),MONTH($C5757),1))</f>
        <v/>
      </c>
      <c r="F5757">
        <f>IF($C5757="","",YEAR($C5757)&amp;"-Q"&amp;ROUNDUP(MONTH($C5757)/3,0))</f>
        <v/>
      </c>
      <c r="L5757">
        <f>IF($G5757&lt;&gt;"ALCOHOL","",IF($K5757="","",$H5757*IFERROR(VLOOKUP($K5757,Drink_Templates!$A:$G,7,FALSE),0)))</f>
        <v/>
      </c>
    </row>
    <row r="5758" ht="15" customHeight="1">
      <c r="C5758">
        <f>IF($B5758="","",INT($B5758))</f>
        <v/>
      </c>
      <c r="D5758">
        <f>IF($C5758="","",$C5758-WEEKDAY($C5758,2)+1)</f>
        <v/>
      </c>
      <c r="E5758">
        <f>IF($C5758="","",DATE(YEAR($C5758),MONTH($C5758),1))</f>
        <v/>
      </c>
      <c r="F5758">
        <f>IF($C5758="","",YEAR($C5758)&amp;"-Q"&amp;ROUNDUP(MONTH($C5758)/3,0))</f>
        <v/>
      </c>
      <c r="L5758">
        <f>IF($G5758&lt;&gt;"ALCOHOL","",IF($K5758="","",$H5758*IFERROR(VLOOKUP($K5758,Drink_Templates!$A:$G,7,FALSE),0)))</f>
        <v/>
      </c>
    </row>
    <row r="5759" ht="15" customHeight="1">
      <c r="C5759">
        <f>IF($B5759="","",INT($B5759))</f>
        <v/>
      </c>
      <c r="D5759">
        <f>IF($C5759="","",$C5759-WEEKDAY($C5759,2)+1)</f>
        <v/>
      </c>
      <c r="E5759">
        <f>IF($C5759="","",DATE(YEAR($C5759),MONTH($C5759),1))</f>
        <v/>
      </c>
      <c r="F5759">
        <f>IF($C5759="","",YEAR($C5759)&amp;"-Q"&amp;ROUNDUP(MONTH($C5759)/3,0))</f>
        <v/>
      </c>
      <c r="L5759">
        <f>IF($G5759&lt;&gt;"ALCOHOL","",IF($K5759="","",$H5759*IFERROR(VLOOKUP($K5759,Drink_Templates!$A:$G,7,FALSE),0)))</f>
        <v/>
      </c>
    </row>
    <row r="5760" ht="15" customHeight="1">
      <c r="C5760">
        <f>IF($B5760="","",INT($B5760))</f>
        <v/>
      </c>
      <c r="D5760">
        <f>IF($C5760="","",$C5760-WEEKDAY($C5760,2)+1)</f>
        <v/>
      </c>
      <c r="E5760">
        <f>IF($C5760="","",DATE(YEAR($C5760),MONTH($C5760),1))</f>
        <v/>
      </c>
      <c r="F5760">
        <f>IF($C5760="","",YEAR($C5760)&amp;"-Q"&amp;ROUNDUP(MONTH($C5760)/3,0))</f>
        <v/>
      </c>
      <c r="L5760">
        <f>IF($G5760&lt;&gt;"ALCOHOL","",IF($K5760="","",$H5760*IFERROR(VLOOKUP($K5760,Drink_Templates!$A:$G,7,FALSE),0)))</f>
        <v/>
      </c>
    </row>
    <row r="5761" ht="15" customHeight="1">
      <c r="C5761">
        <f>IF($B5761="","",INT($B5761))</f>
        <v/>
      </c>
      <c r="D5761">
        <f>IF($C5761="","",$C5761-WEEKDAY($C5761,2)+1)</f>
        <v/>
      </c>
      <c r="E5761">
        <f>IF($C5761="","",DATE(YEAR($C5761),MONTH($C5761),1))</f>
        <v/>
      </c>
      <c r="F5761">
        <f>IF($C5761="","",YEAR($C5761)&amp;"-Q"&amp;ROUNDUP(MONTH($C5761)/3,0))</f>
        <v/>
      </c>
      <c r="L5761">
        <f>IF($G5761&lt;&gt;"ALCOHOL","",IF($K5761="","",$H5761*IFERROR(VLOOKUP($K5761,Drink_Templates!$A:$G,7,FALSE),0)))</f>
        <v/>
      </c>
    </row>
    <row r="5762" ht="15" customHeight="1">
      <c r="C5762">
        <f>IF($B5762="","",INT($B5762))</f>
        <v/>
      </c>
      <c r="D5762">
        <f>IF($C5762="","",$C5762-WEEKDAY($C5762,2)+1)</f>
        <v/>
      </c>
      <c r="E5762">
        <f>IF($C5762="","",DATE(YEAR($C5762),MONTH($C5762),1))</f>
        <v/>
      </c>
      <c r="F5762">
        <f>IF($C5762="","",YEAR($C5762)&amp;"-Q"&amp;ROUNDUP(MONTH($C5762)/3,0))</f>
        <v/>
      </c>
      <c r="L5762">
        <f>IF($G5762&lt;&gt;"ALCOHOL","",IF($K5762="","",$H5762*IFERROR(VLOOKUP($K5762,Drink_Templates!$A:$G,7,FALSE),0)))</f>
        <v/>
      </c>
    </row>
    <row r="5763" ht="15" customHeight="1">
      <c r="C5763">
        <f>IF($B5763="","",INT($B5763))</f>
        <v/>
      </c>
      <c r="D5763">
        <f>IF($C5763="","",$C5763-WEEKDAY($C5763,2)+1)</f>
        <v/>
      </c>
      <c r="E5763">
        <f>IF($C5763="","",DATE(YEAR($C5763),MONTH($C5763),1))</f>
        <v/>
      </c>
      <c r="F5763">
        <f>IF($C5763="","",YEAR($C5763)&amp;"-Q"&amp;ROUNDUP(MONTH($C5763)/3,0))</f>
        <v/>
      </c>
      <c r="L5763">
        <f>IF($G5763&lt;&gt;"ALCOHOL","",IF($K5763="","",$H5763*IFERROR(VLOOKUP($K5763,Drink_Templates!$A:$G,7,FALSE),0)))</f>
        <v/>
      </c>
    </row>
    <row r="5764" ht="15" customHeight="1">
      <c r="C5764">
        <f>IF($B5764="","",INT($B5764))</f>
        <v/>
      </c>
      <c r="D5764">
        <f>IF($C5764="","",$C5764-WEEKDAY($C5764,2)+1)</f>
        <v/>
      </c>
      <c r="E5764">
        <f>IF($C5764="","",DATE(YEAR($C5764),MONTH($C5764),1))</f>
        <v/>
      </c>
      <c r="F5764">
        <f>IF($C5764="","",YEAR($C5764)&amp;"-Q"&amp;ROUNDUP(MONTH($C5764)/3,0))</f>
        <v/>
      </c>
      <c r="L5764">
        <f>IF($G5764&lt;&gt;"ALCOHOL","",IF($K5764="","",$H5764*IFERROR(VLOOKUP($K5764,Drink_Templates!$A:$G,7,FALSE),0)))</f>
        <v/>
      </c>
    </row>
    <row r="5765" ht="15" customHeight="1">
      <c r="C5765">
        <f>IF($B5765="","",INT($B5765))</f>
        <v/>
      </c>
      <c r="D5765">
        <f>IF($C5765="","",$C5765-WEEKDAY($C5765,2)+1)</f>
        <v/>
      </c>
      <c r="E5765">
        <f>IF($C5765="","",DATE(YEAR($C5765),MONTH($C5765),1))</f>
        <v/>
      </c>
      <c r="F5765">
        <f>IF($C5765="","",YEAR($C5765)&amp;"-Q"&amp;ROUNDUP(MONTH($C5765)/3,0))</f>
        <v/>
      </c>
      <c r="L5765">
        <f>IF($G5765&lt;&gt;"ALCOHOL","",IF($K5765="","",$H5765*IFERROR(VLOOKUP($K5765,Drink_Templates!$A:$G,7,FALSE),0)))</f>
        <v/>
      </c>
    </row>
    <row r="5766" ht="15" customHeight="1">
      <c r="C5766">
        <f>IF($B5766="","",INT($B5766))</f>
        <v/>
      </c>
      <c r="D5766">
        <f>IF($C5766="","",$C5766-WEEKDAY($C5766,2)+1)</f>
        <v/>
      </c>
      <c r="E5766">
        <f>IF($C5766="","",DATE(YEAR($C5766),MONTH($C5766),1))</f>
        <v/>
      </c>
      <c r="F5766">
        <f>IF($C5766="","",YEAR($C5766)&amp;"-Q"&amp;ROUNDUP(MONTH($C5766)/3,0))</f>
        <v/>
      </c>
      <c r="L5766">
        <f>IF($G5766&lt;&gt;"ALCOHOL","",IF($K5766="","",$H5766*IFERROR(VLOOKUP($K5766,Drink_Templates!$A:$G,7,FALSE),0)))</f>
        <v/>
      </c>
    </row>
    <row r="5767" ht="15" customHeight="1">
      <c r="C5767">
        <f>IF($B5767="","",INT($B5767))</f>
        <v/>
      </c>
      <c r="D5767">
        <f>IF($C5767="","",$C5767-WEEKDAY($C5767,2)+1)</f>
        <v/>
      </c>
      <c r="E5767">
        <f>IF($C5767="","",DATE(YEAR($C5767),MONTH($C5767),1))</f>
        <v/>
      </c>
      <c r="F5767">
        <f>IF($C5767="","",YEAR($C5767)&amp;"-Q"&amp;ROUNDUP(MONTH($C5767)/3,0))</f>
        <v/>
      </c>
      <c r="L5767">
        <f>IF($G5767&lt;&gt;"ALCOHOL","",IF($K5767="","",$H5767*IFERROR(VLOOKUP($K5767,Drink_Templates!$A:$G,7,FALSE),0)))</f>
        <v/>
      </c>
    </row>
    <row r="5768" ht="15" customHeight="1">
      <c r="C5768">
        <f>IF($B5768="","",INT($B5768))</f>
        <v/>
      </c>
      <c r="D5768">
        <f>IF($C5768="","",$C5768-WEEKDAY($C5768,2)+1)</f>
        <v/>
      </c>
      <c r="E5768">
        <f>IF($C5768="","",DATE(YEAR($C5768),MONTH($C5768),1))</f>
        <v/>
      </c>
      <c r="F5768">
        <f>IF($C5768="","",YEAR($C5768)&amp;"-Q"&amp;ROUNDUP(MONTH($C5768)/3,0))</f>
        <v/>
      </c>
      <c r="L5768">
        <f>IF($G5768&lt;&gt;"ALCOHOL","",IF($K5768="","",$H5768*IFERROR(VLOOKUP($K5768,Drink_Templates!$A:$G,7,FALSE),0)))</f>
        <v/>
      </c>
    </row>
    <row r="5769" ht="15" customHeight="1">
      <c r="C5769">
        <f>IF($B5769="","",INT($B5769))</f>
        <v/>
      </c>
      <c r="D5769">
        <f>IF($C5769="","",$C5769-WEEKDAY($C5769,2)+1)</f>
        <v/>
      </c>
      <c r="E5769">
        <f>IF($C5769="","",DATE(YEAR($C5769),MONTH($C5769),1))</f>
        <v/>
      </c>
      <c r="F5769">
        <f>IF($C5769="","",YEAR($C5769)&amp;"-Q"&amp;ROUNDUP(MONTH($C5769)/3,0))</f>
        <v/>
      </c>
      <c r="L5769">
        <f>IF($G5769&lt;&gt;"ALCOHOL","",IF($K5769="","",$H5769*IFERROR(VLOOKUP($K5769,Drink_Templates!$A:$G,7,FALSE),0)))</f>
        <v/>
      </c>
    </row>
    <row r="5770" ht="15" customHeight="1">
      <c r="C5770">
        <f>IF($B5770="","",INT($B5770))</f>
        <v/>
      </c>
      <c r="D5770">
        <f>IF($C5770="","",$C5770-WEEKDAY($C5770,2)+1)</f>
        <v/>
      </c>
      <c r="E5770">
        <f>IF($C5770="","",DATE(YEAR($C5770),MONTH($C5770),1))</f>
        <v/>
      </c>
      <c r="F5770">
        <f>IF($C5770="","",YEAR($C5770)&amp;"-Q"&amp;ROUNDUP(MONTH($C5770)/3,0))</f>
        <v/>
      </c>
      <c r="L5770">
        <f>IF($G5770&lt;&gt;"ALCOHOL","",IF($K5770="","",$H5770*IFERROR(VLOOKUP($K5770,Drink_Templates!$A:$G,7,FALSE),0)))</f>
        <v/>
      </c>
    </row>
    <row r="5771" ht="15" customHeight="1">
      <c r="C5771">
        <f>IF($B5771="","",INT($B5771))</f>
        <v/>
      </c>
      <c r="D5771">
        <f>IF($C5771="","",$C5771-WEEKDAY($C5771,2)+1)</f>
        <v/>
      </c>
      <c r="E5771">
        <f>IF($C5771="","",DATE(YEAR($C5771),MONTH($C5771),1))</f>
        <v/>
      </c>
      <c r="F5771">
        <f>IF($C5771="","",YEAR($C5771)&amp;"-Q"&amp;ROUNDUP(MONTH($C5771)/3,0))</f>
        <v/>
      </c>
      <c r="L5771">
        <f>IF($G5771&lt;&gt;"ALCOHOL","",IF($K5771="","",$H5771*IFERROR(VLOOKUP($K5771,Drink_Templates!$A:$G,7,FALSE),0)))</f>
        <v/>
      </c>
    </row>
    <row r="5772" ht="15" customHeight="1">
      <c r="C5772">
        <f>IF($B5772="","",INT($B5772))</f>
        <v/>
      </c>
      <c r="D5772">
        <f>IF($C5772="","",$C5772-WEEKDAY($C5772,2)+1)</f>
        <v/>
      </c>
      <c r="E5772">
        <f>IF($C5772="","",DATE(YEAR($C5772),MONTH($C5772),1))</f>
        <v/>
      </c>
      <c r="F5772">
        <f>IF($C5772="","",YEAR($C5772)&amp;"-Q"&amp;ROUNDUP(MONTH($C5772)/3,0))</f>
        <v/>
      </c>
      <c r="L5772">
        <f>IF($G5772&lt;&gt;"ALCOHOL","",IF($K5772="","",$H5772*IFERROR(VLOOKUP($K5772,Drink_Templates!$A:$G,7,FALSE),0)))</f>
        <v/>
      </c>
    </row>
    <row r="5773" ht="15" customHeight="1">
      <c r="C5773">
        <f>IF($B5773="","",INT($B5773))</f>
        <v/>
      </c>
      <c r="D5773">
        <f>IF($C5773="","",$C5773-WEEKDAY($C5773,2)+1)</f>
        <v/>
      </c>
      <c r="E5773">
        <f>IF($C5773="","",DATE(YEAR($C5773),MONTH($C5773),1))</f>
        <v/>
      </c>
      <c r="F5773">
        <f>IF($C5773="","",YEAR($C5773)&amp;"-Q"&amp;ROUNDUP(MONTH($C5773)/3,0))</f>
        <v/>
      </c>
      <c r="L5773">
        <f>IF($G5773&lt;&gt;"ALCOHOL","",IF($K5773="","",$H5773*IFERROR(VLOOKUP($K5773,Drink_Templates!$A:$G,7,FALSE),0)))</f>
        <v/>
      </c>
    </row>
    <row r="5774" ht="15" customHeight="1">
      <c r="C5774">
        <f>IF($B5774="","",INT($B5774))</f>
        <v/>
      </c>
      <c r="D5774">
        <f>IF($C5774="","",$C5774-WEEKDAY($C5774,2)+1)</f>
        <v/>
      </c>
      <c r="E5774">
        <f>IF($C5774="","",DATE(YEAR($C5774),MONTH($C5774),1))</f>
        <v/>
      </c>
      <c r="F5774">
        <f>IF($C5774="","",YEAR($C5774)&amp;"-Q"&amp;ROUNDUP(MONTH($C5774)/3,0))</f>
        <v/>
      </c>
      <c r="L5774">
        <f>IF($G5774&lt;&gt;"ALCOHOL","",IF($K5774="","",$H5774*IFERROR(VLOOKUP($K5774,Drink_Templates!$A:$G,7,FALSE),0)))</f>
        <v/>
      </c>
    </row>
    <row r="5775" ht="15" customHeight="1">
      <c r="C5775">
        <f>IF($B5775="","",INT($B5775))</f>
        <v/>
      </c>
      <c r="D5775">
        <f>IF($C5775="","",$C5775-WEEKDAY($C5775,2)+1)</f>
        <v/>
      </c>
      <c r="E5775">
        <f>IF($C5775="","",DATE(YEAR($C5775),MONTH($C5775),1))</f>
        <v/>
      </c>
      <c r="F5775">
        <f>IF($C5775="","",YEAR($C5775)&amp;"-Q"&amp;ROUNDUP(MONTH($C5775)/3,0))</f>
        <v/>
      </c>
      <c r="L5775">
        <f>IF($G5775&lt;&gt;"ALCOHOL","",IF($K5775="","",$H5775*IFERROR(VLOOKUP($K5775,Drink_Templates!$A:$G,7,FALSE),0)))</f>
        <v/>
      </c>
    </row>
    <row r="5776" ht="15" customHeight="1">
      <c r="C5776">
        <f>IF($B5776="","",INT($B5776))</f>
        <v/>
      </c>
      <c r="D5776">
        <f>IF($C5776="","",$C5776-WEEKDAY($C5776,2)+1)</f>
        <v/>
      </c>
      <c r="E5776">
        <f>IF($C5776="","",DATE(YEAR($C5776),MONTH($C5776),1))</f>
        <v/>
      </c>
      <c r="F5776">
        <f>IF($C5776="","",YEAR($C5776)&amp;"-Q"&amp;ROUNDUP(MONTH($C5776)/3,0))</f>
        <v/>
      </c>
      <c r="L5776">
        <f>IF($G5776&lt;&gt;"ALCOHOL","",IF($K5776="","",$H5776*IFERROR(VLOOKUP($K5776,Drink_Templates!$A:$G,7,FALSE),0)))</f>
        <v/>
      </c>
    </row>
    <row r="5777" ht="15" customHeight="1">
      <c r="C5777">
        <f>IF($B5777="","",INT($B5777))</f>
        <v/>
      </c>
      <c r="D5777">
        <f>IF($C5777="","",$C5777-WEEKDAY($C5777,2)+1)</f>
        <v/>
      </c>
      <c r="E5777">
        <f>IF($C5777="","",DATE(YEAR($C5777),MONTH($C5777),1))</f>
        <v/>
      </c>
      <c r="F5777">
        <f>IF($C5777="","",YEAR($C5777)&amp;"-Q"&amp;ROUNDUP(MONTH($C5777)/3,0))</f>
        <v/>
      </c>
      <c r="L5777">
        <f>IF($G5777&lt;&gt;"ALCOHOL","",IF($K5777="","",$H5777*IFERROR(VLOOKUP($K5777,Drink_Templates!$A:$G,7,FALSE),0)))</f>
        <v/>
      </c>
    </row>
    <row r="5778" ht="15" customHeight="1">
      <c r="C5778">
        <f>IF($B5778="","",INT($B5778))</f>
        <v/>
      </c>
      <c r="D5778">
        <f>IF($C5778="","",$C5778-WEEKDAY($C5778,2)+1)</f>
        <v/>
      </c>
      <c r="E5778">
        <f>IF($C5778="","",DATE(YEAR($C5778),MONTH($C5778),1))</f>
        <v/>
      </c>
      <c r="F5778">
        <f>IF($C5778="","",YEAR($C5778)&amp;"-Q"&amp;ROUNDUP(MONTH($C5778)/3,0))</f>
        <v/>
      </c>
      <c r="L5778">
        <f>IF($G5778&lt;&gt;"ALCOHOL","",IF($K5778="","",$H5778*IFERROR(VLOOKUP($K5778,Drink_Templates!$A:$G,7,FALSE),0)))</f>
        <v/>
      </c>
    </row>
    <row r="5779" ht="15" customHeight="1">
      <c r="C5779">
        <f>IF($B5779="","",INT($B5779))</f>
        <v/>
      </c>
      <c r="D5779">
        <f>IF($C5779="","",$C5779-WEEKDAY($C5779,2)+1)</f>
        <v/>
      </c>
      <c r="E5779">
        <f>IF($C5779="","",DATE(YEAR($C5779),MONTH($C5779),1))</f>
        <v/>
      </c>
      <c r="F5779">
        <f>IF($C5779="","",YEAR($C5779)&amp;"-Q"&amp;ROUNDUP(MONTH($C5779)/3,0))</f>
        <v/>
      </c>
      <c r="L5779">
        <f>IF($G5779&lt;&gt;"ALCOHOL","",IF($K5779="","",$H5779*IFERROR(VLOOKUP($K5779,Drink_Templates!$A:$G,7,FALSE),0)))</f>
        <v/>
      </c>
    </row>
    <row r="5780" ht="15" customHeight="1">
      <c r="C5780">
        <f>IF($B5780="","",INT($B5780))</f>
        <v/>
      </c>
      <c r="D5780">
        <f>IF($C5780="","",$C5780-WEEKDAY($C5780,2)+1)</f>
        <v/>
      </c>
      <c r="E5780">
        <f>IF($C5780="","",DATE(YEAR($C5780),MONTH($C5780),1))</f>
        <v/>
      </c>
      <c r="F5780">
        <f>IF($C5780="","",YEAR($C5780)&amp;"-Q"&amp;ROUNDUP(MONTH($C5780)/3,0))</f>
        <v/>
      </c>
      <c r="L5780">
        <f>IF($G5780&lt;&gt;"ALCOHOL","",IF($K5780="","",$H5780*IFERROR(VLOOKUP($K5780,Drink_Templates!$A:$G,7,FALSE),0)))</f>
        <v/>
      </c>
    </row>
    <row r="5781" ht="15" customHeight="1">
      <c r="C5781">
        <f>IF($B5781="","",INT($B5781))</f>
        <v/>
      </c>
      <c r="D5781">
        <f>IF($C5781="","",$C5781-WEEKDAY($C5781,2)+1)</f>
        <v/>
      </c>
      <c r="E5781">
        <f>IF($C5781="","",DATE(YEAR($C5781),MONTH($C5781),1))</f>
        <v/>
      </c>
      <c r="F5781">
        <f>IF($C5781="","",YEAR($C5781)&amp;"-Q"&amp;ROUNDUP(MONTH($C5781)/3,0))</f>
        <v/>
      </c>
      <c r="L5781">
        <f>IF($G5781&lt;&gt;"ALCOHOL","",IF($K5781="","",$H5781*IFERROR(VLOOKUP($K5781,Drink_Templates!$A:$G,7,FALSE),0)))</f>
        <v/>
      </c>
    </row>
    <row r="5782" ht="15" customHeight="1">
      <c r="C5782">
        <f>IF($B5782="","",INT($B5782))</f>
        <v/>
      </c>
      <c r="D5782">
        <f>IF($C5782="","",$C5782-WEEKDAY($C5782,2)+1)</f>
        <v/>
      </c>
      <c r="E5782">
        <f>IF($C5782="","",DATE(YEAR($C5782),MONTH($C5782),1))</f>
        <v/>
      </c>
      <c r="F5782">
        <f>IF($C5782="","",YEAR($C5782)&amp;"-Q"&amp;ROUNDUP(MONTH($C5782)/3,0))</f>
        <v/>
      </c>
      <c r="L5782">
        <f>IF($G5782&lt;&gt;"ALCOHOL","",IF($K5782="","",$H5782*IFERROR(VLOOKUP($K5782,Drink_Templates!$A:$G,7,FALSE),0)))</f>
        <v/>
      </c>
    </row>
    <row r="5783" ht="15" customHeight="1">
      <c r="C5783">
        <f>IF($B5783="","",INT($B5783))</f>
        <v/>
      </c>
      <c r="D5783">
        <f>IF($C5783="","",$C5783-WEEKDAY($C5783,2)+1)</f>
        <v/>
      </c>
      <c r="E5783">
        <f>IF($C5783="","",DATE(YEAR($C5783),MONTH($C5783),1))</f>
        <v/>
      </c>
      <c r="F5783">
        <f>IF($C5783="","",YEAR($C5783)&amp;"-Q"&amp;ROUNDUP(MONTH($C5783)/3,0))</f>
        <v/>
      </c>
      <c r="L5783">
        <f>IF($G5783&lt;&gt;"ALCOHOL","",IF($K5783="","",$H5783*IFERROR(VLOOKUP($K5783,Drink_Templates!$A:$G,7,FALSE),0)))</f>
        <v/>
      </c>
    </row>
    <row r="5784" ht="15" customHeight="1">
      <c r="C5784">
        <f>IF($B5784="","",INT($B5784))</f>
        <v/>
      </c>
      <c r="D5784">
        <f>IF($C5784="","",$C5784-WEEKDAY($C5784,2)+1)</f>
        <v/>
      </c>
      <c r="E5784">
        <f>IF($C5784="","",DATE(YEAR($C5784),MONTH($C5784),1))</f>
        <v/>
      </c>
      <c r="F5784">
        <f>IF($C5784="","",YEAR($C5784)&amp;"-Q"&amp;ROUNDUP(MONTH($C5784)/3,0))</f>
        <v/>
      </c>
      <c r="L5784">
        <f>IF($G5784&lt;&gt;"ALCOHOL","",IF($K5784="","",$H5784*IFERROR(VLOOKUP($K5784,Drink_Templates!$A:$G,7,FALSE),0)))</f>
        <v/>
      </c>
    </row>
    <row r="5785" ht="15" customHeight="1">
      <c r="C5785">
        <f>IF($B5785="","",INT($B5785))</f>
        <v/>
      </c>
      <c r="D5785">
        <f>IF($C5785="","",$C5785-WEEKDAY($C5785,2)+1)</f>
        <v/>
      </c>
      <c r="E5785">
        <f>IF($C5785="","",DATE(YEAR($C5785),MONTH($C5785),1))</f>
        <v/>
      </c>
      <c r="F5785">
        <f>IF($C5785="","",YEAR($C5785)&amp;"-Q"&amp;ROUNDUP(MONTH($C5785)/3,0))</f>
        <v/>
      </c>
      <c r="L5785">
        <f>IF($G5785&lt;&gt;"ALCOHOL","",IF($K5785="","",$H5785*IFERROR(VLOOKUP($K5785,Drink_Templates!$A:$G,7,FALSE),0)))</f>
        <v/>
      </c>
    </row>
    <row r="5786" ht="15" customHeight="1">
      <c r="C5786">
        <f>IF($B5786="","",INT($B5786))</f>
        <v/>
      </c>
      <c r="D5786">
        <f>IF($C5786="","",$C5786-WEEKDAY($C5786,2)+1)</f>
        <v/>
      </c>
      <c r="E5786">
        <f>IF($C5786="","",DATE(YEAR($C5786),MONTH($C5786),1))</f>
        <v/>
      </c>
      <c r="F5786">
        <f>IF($C5786="","",YEAR($C5786)&amp;"-Q"&amp;ROUNDUP(MONTH($C5786)/3,0))</f>
        <v/>
      </c>
      <c r="L5786">
        <f>IF($G5786&lt;&gt;"ALCOHOL","",IF($K5786="","",$H5786*IFERROR(VLOOKUP($K5786,Drink_Templates!$A:$G,7,FALSE),0)))</f>
        <v/>
      </c>
    </row>
    <row r="5787" ht="15" customHeight="1">
      <c r="C5787">
        <f>IF($B5787="","",INT($B5787))</f>
        <v/>
      </c>
      <c r="D5787">
        <f>IF($C5787="","",$C5787-WEEKDAY($C5787,2)+1)</f>
        <v/>
      </c>
      <c r="E5787">
        <f>IF($C5787="","",DATE(YEAR($C5787),MONTH($C5787),1))</f>
        <v/>
      </c>
      <c r="F5787">
        <f>IF($C5787="","",YEAR($C5787)&amp;"-Q"&amp;ROUNDUP(MONTH($C5787)/3,0))</f>
        <v/>
      </c>
      <c r="L5787">
        <f>IF($G5787&lt;&gt;"ALCOHOL","",IF($K5787="","",$H5787*IFERROR(VLOOKUP($K5787,Drink_Templates!$A:$G,7,FALSE),0)))</f>
        <v/>
      </c>
    </row>
    <row r="5788" ht="15" customHeight="1">
      <c r="C5788">
        <f>IF($B5788="","",INT($B5788))</f>
        <v/>
      </c>
      <c r="D5788">
        <f>IF($C5788="","",$C5788-WEEKDAY($C5788,2)+1)</f>
        <v/>
      </c>
      <c r="E5788">
        <f>IF($C5788="","",DATE(YEAR($C5788),MONTH($C5788),1))</f>
        <v/>
      </c>
      <c r="F5788">
        <f>IF($C5788="","",YEAR($C5788)&amp;"-Q"&amp;ROUNDUP(MONTH($C5788)/3,0))</f>
        <v/>
      </c>
      <c r="L5788">
        <f>IF($G5788&lt;&gt;"ALCOHOL","",IF($K5788="","",$H5788*IFERROR(VLOOKUP($K5788,Drink_Templates!$A:$G,7,FALSE),0)))</f>
        <v/>
      </c>
    </row>
    <row r="5789" ht="15" customHeight="1">
      <c r="C5789">
        <f>IF($B5789="","",INT($B5789))</f>
        <v/>
      </c>
      <c r="D5789">
        <f>IF($C5789="","",$C5789-WEEKDAY($C5789,2)+1)</f>
        <v/>
      </c>
      <c r="E5789">
        <f>IF($C5789="","",DATE(YEAR($C5789),MONTH($C5789),1))</f>
        <v/>
      </c>
      <c r="F5789">
        <f>IF($C5789="","",YEAR($C5789)&amp;"-Q"&amp;ROUNDUP(MONTH($C5789)/3,0))</f>
        <v/>
      </c>
      <c r="L5789">
        <f>IF($G5789&lt;&gt;"ALCOHOL","",IF($K5789="","",$H5789*IFERROR(VLOOKUP($K5789,Drink_Templates!$A:$G,7,FALSE),0)))</f>
        <v/>
      </c>
    </row>
    <row r="5790" ht="15" customHeight="1">
      <c r="C5790">
        <f>IF($B5790="","",INT($B5790))</f>
        <v/>
      </c>
      <c r="D5790">
        <f>IF($C5790="","",$C5790-WEEKDAY($C5790,2)+1)</f>
        <v/>
      </c>
      <c r="E5790">
        <f>IF($C5790="","",DATE(YEAR($C5790),MONTH($C5790),1))</f>
        <v/>
      </c>
      <c r="F5790">
        <f>IF($C5790="","",YEAR($C5790)&amp;"-Q"&amp;ROUNDUP(MONTH($C5790)/3,0))</f>
        <v/>
      </c>
      <c r="L5790">
        <f>IF($G5790&lt;&gt;"ALCOHOL","",IF($K5790="","",$H5790*IFERROR(VLOOKUP($K5790,Drink_Templates!$A:$G,7,FALSE),0)))</f>
        <v/>
      </c>
    </row>
    <row r="5791" ht="15" customHeight="1">
      <c r="C5791">
        <f>IF($B5791="","",INT($B5791))</f>
        <v/>
      </c>
      <c r="D5791">
        <f>IF($C5791="","",$C5791-WEEKDAY($C5791,2)+1)</f>
        <v/>
      </c>
      <c r="E5791">
        <f>IF($C5791="","",DATE(YEAR($C5791),MONTH($C5791),1))</f>
        <v/>
      </c>
      <c r="F5791">
        <f>IF($C5791="","",YEAR($C5791)&amp;"-Q"&amp;ROUNDUP(MONTH($C5791)/3,0))</f>
        <v/>
      </c>
      <c r="L5791">
        <f>IF($G5791&lt;&gt;"ALCOHOL","",IF($K5791="","",$H5791*IFERROR(VLOOKUP($K5791,Drink_Templates!$A:$G,7,FALSE),0)))</f>
        <v/>
      </c>
    </row>
    <row r="5792" ht="15" customHeight="1">
      <c r="C5792">
        <f>IF($B5792="","",INT($B5792))</f>
        <v/>
      </c>
      <c r="D5792">
        <f>IF($C5792="","",$C5792-WEEKDAY($C5792,2)+1)</f>
        <v/>
      </c>
      <c r="E5792">
        <f>IF($C5792="","",DATE(YEAR($C5792),MONTH($C5792),1))</f>
        <v/>
      </c>
      <c r="F5792">
        <f>IF($C5792="","",YEAR($C5792)&amp;"-Q"&amp;ROUNDUP(MONTH($C5792)/3,0))</f>
        <v/>
      </c>
      <c r="L5792">
        <f>IF($G5792&lt;&gt;"ALCOHOL","",IF($K5792="","",$H5792*IFERROR(VLOOKUP($K5792,Drink_Templates!$A:$G,7,FALSE),0)))</f>
        <v/>
      </c>
    </row>
    <row r="5793" ht="15" customHeight="1">
      <c r="C5793">
        <f>IF($B5793="","",INT($B5793))</f>
        <v/>
      </c>
      <c r="D5793">
        <f>IF($C5793="","",$C5793-WEEKDAY($C5793,2)+1)</f>
        <v/>
      </c>
      <c r="E5793">
        <f>IF($C5793="","",DATE(YEAR($C5793),MONTH($C5793),1))</f>
        <v/>
      </c>
      <c r="F5793">
        <f>IF($C5793="","",YEAR($C5793)&amp;"-Q"&amp;ROUNDUP(MONTH($C5793)/3,0))</f>
        <v/>
      </c>
      <c r="L5793">
        <f>IF($G5793&lt;&gt;"ALCOHOL","",IF($K5793="","",$H5793*IFERROR(VLOOKUP($K5793,Drink_Templates!$A:$G,7,FALSE),0)))</f>
        <v/>
      </c>
    </row>
    <row r="5794" ht="15" customHeight="1">
      <c r="C5794">
        <f>IF($B5794="","",INT($B5794))</f>
        <v/>
      </c>
      <c r="D5794">
        <f>IF($C5794="","",$C5794-WEEKDAY($C5794,2)+1)</f>
        <v/>
      </c>
      <c r="E5794">
        <f>IF($C5794="","",DATE(YEAR($C5794),MONTH($C5794),1))</f>
        <v/>
      </c>
      <c r="F5794">
        <f>IF($C5794="","",YEAR($C5794)&amp;"-Q"&amp;ROUNDUP(MONTH($C5794)/3,0))</f>
        <v/>
      </c>
      <c r="L5794">
        <f>IF($G5794&lt;&gt;"ALCOHOL","",IF($K5794="","",$H5794*IFERROR(VLOOKUP($K5794,Drink_Templates!$A:$G,7,FALSE),0)))</f>
        <v/>
      </c>
    </row>
    <row r="5795" ht="15" customHeight="1">
      <c r="C5795">
        <f>IF($B5795="","",INT($B5795))</f>
        <v/>
      </c>
      <c r="D5795">
        <f>IF($C5795="","",$C5795-WEEKDAY($C5795,2)+1)</f>
        <v/>
      </c>
      <c r="E5795">
        <f>IF($C5795="","",DATE(YEAR($C5795),MONTH($C5795),1))</f>
        <v/>
      </c>
      <c r="F5795">
        <f>IF($C5795="","",YEAR($C5795)&amp;"-Q"&amp;ROUNDUP(MONTH($C5795)/3,0))</f>
        <v/>
      </c>
      <c r="L5795">
        <f>IF($G5795&lt;&gt;"ALCOHOL","",IF($K5795="","",$H5795*IFERROR(VLOOKUP($K5795,Drink_Templates!$A:$G,7,FALSE),0)))</f>
        <v/>
      </c>
    </row>
    <row r="5796" ht="15" customHeight="1">
      <c r="C5796">
        <f>IF($B5796="","",INT($B5796))</f>
        <v/>
      </c>
      <c r="D5796">
        <f>IF($C5796="","",$C5796-WEEKDAY($C5796,2)+1)</f>
        <v/>
      </c>
      <c r="E5796">
        <f>IF($C5796="","",DATE(YEAR($C5796),MONTH($C5796),1))</f>
        <v/>
      </c>
      <c r="F5796">
        <f>IF($C5796="","",YEAR($C5796)&amp;"-Q"&amp;ROUNDUP(MONTH($C5796)/3,0))</f>
        <v/>
      </c>
      <c r="L5796">
        <f>IF($G5796&lt;&gt;"ALCOHOL","",IF($K5796="","",$H5796*IFERROR(VLOOKUP($K5796,Drink_Templates!$A:$G,7,FALSE),0)))</f>
        <v/>
      </c>
    </row>
    <row r="5797" ht="15" customHeight="1">
      <c r="C5797">
        <f>IF($B5797="","",INT($B5797))</f>
        <v/>
      </c>
      <c r="D5797">
        <f>IF($C5797="","",$C5797-WEEKDAY($C5797,2)+1)</f>
        <v/>
      </c>
      <c r="E5797">
        <f>IF($C5797="","",DATE(YEAR($C5797),MONTH($C5797),1))</f>
        <v/>
      </c>
      <c r="F5797">
        <f>IF($C5797="","",YEAR($C5797)&amp;"-Q"&amp;ROUNDUP(MONTH($C5797)/3,0))</f>
        <v/>
      </c>
      <c r="L5797">
        <f>IF($G5797&lt;&gt;"ALCOHOL","",IF($K5797="","",$H5797*IFERROR(VLOOKUP($K5797,Drink_Templates!$A:$G,7,FALSE),0)))</f>
        <v/>
      </c>
    </row>
    <row r="5798" ht="15" customHeight="1">
      <c r="C5798">
        <f>IF($B5798="","",INT($B5798))</f>
        <v/>
      </c>
      <c r="D5798">
        <f>IF($C5798="","",$C5798-WEEKDAY($C5798,2)+1)</f>
        <v/>
      </c>
      <c r="E5798">
        <f>IF($C5798="","",DATE(YEAR($C5798),MONTH($C5798),1))</f>
        <v/>
      </c>
      <c r="F5798">
        <f>IF($C5798="","",YEAR($C5798)&amp;"-Q"&amp;ROUNDUP(MONTH($C5798)/3,0))</f>
        <v/>
      </c>
      <c r="L5798">
        <f>IF($G5798&lt;&gt;"ALCOHOL","",IF($K5798="","",$H5798*IFERROR(VLOOKUP($K5798,Drink_Templates!$A:$G,7,FALSE),0)))</f>
        <v/>
      </c>
    </row>
    <row r="5799" ht="15" customHeight="1">
      <c r="C5799">
        <f>IF($B5799="","",INT($B5799))</f>
        <v/>
      </c>
      <c r="D5799">
        <f>IF($C5799="","",$C5799-WEEKDAY($C5799,2)+1)</f>
        <v/>
      </c>
      <c r="E5799">
        <f>IF($C5799="","",DATE(YEAR($C5799),MONTH($C5799),1))</f>
        <v/>
      </c>
      <c r="F5799">
        <f>IF($C5799="","",YEAR($C5799)&amp;"-Q"&amp;ROUNDUP(MONTH($C5799)/3,0))</f>
        <v/>
      </c>
      <c r="L5799">
        <f>IF($G5799&lt;&gt;"ALCOHOL","",IF($K5799="","",$H5799*IFERROR(VLOOKUP($K5799,Drink_Templates!$A:$G,7,FALSE),0)))</f>
        <v/>
      </c>
    </row>
    <row r="5800" ht="15" customHeight="1">
      <c r="C5800">
        <f>IF($B5800="","",INT($B5800))</f>
        <v/>
      </c>
      <c r="D5800">
        <f>IF($C5800="","",$C5800-WEEKDAY($C5800,2)+1)</f>
        <v/>
      </c>
      <c r="E5800">
        <f>IF($C5800="","",DATE(YEAR($C5800),MONTH($C5800),1))</f>
        <v/>
      </c>
      <c r="F5800">
        <f>IF($C5800="","",YEAR($C5800)&amp;"-Q"&amp;ROUNDUP(MONTH($C5800)/3,0))</f>
        <v/>
      </c>
      <c r="L5800">
        <f>IF($G5800&lt;&gt;"ALCOHOL","",IF($K5800="","",$H5800*IFERROR(VLOOKUP($K5800,Drink_Templates!$A:$G,7,FALSE),0)))</f>
        <v/>
      </c>
    </row>
    <row r="5801" ht="15" customHeight="1">
      <c r="C5801">
        <f>IF($B5801="","",INT($B5801))</f>
        <v/>
      </c>
      <c r="D5801">
        <f>IF($C5801="","",$C5801-WEEKDAY($C5801,2)+1)</f>
        <v/>
      </c>
      <c r="E5801">
        <f>IF($C5801="","",DATE(YEAR($C5801),MONTH($C5801),1))</f>
        <v/>
      </c>
      <c r="F5801">
        <f>IF($C5801="","",YEAR($C5801)&amp;"-Q"&amp;ROUNDUP(MONTH($C5801)/3,0))</f>
        <v/>
      </c>
      <c r="L5801">
        <f>IF($G5801&lt;&gt;"ALCOHOL","",IF($K5801="","",$H5801*IFERROR(VLOOKUP($K5801,Drink_Templates!$A:$G,7,FALSE),0)))</f>
        <v/>
      </c>
    </row>
    <row r="5802" ht="15" customHeight="1">
      <c r="C5802">
        <f>IF($B5802="","",INT($B5802))</f>
        <v/>
      </c>
      <c r="D5802">
        <f>IF($C5802="","",$C5802-WEEKDAY($C5802,2)+1)</f>
        <v/>
      </c>
      <c r="E5802">
        <f>IF($C5802="","",DATE(YEAR($C5802),MONTH($C5802),1))</f>
        <v/>
      </c>
      <c r="F5802">
        <f>IF($C5802="","",YEAR($C5802)&amp;"-Q"&amp;ROUNDUP(MONTH($C5802)/3,0))</f>
        <v/>
      </c>
      <c r="L5802">
        <f>IF($G5802&lt;&gt;"ALCOHOL","",IF($K5802="","",$H5802*IFERROR(VLOOKUP($K5802,Drink_Templates!$A:$G,7,FALSE),0)))</f>
        <v/>
      </c>
    </row>
    <row r="5803" ht="15" customHeight="1">
      <c r="C5803">
        <f>IF($B5803="","",INT($B5803))</f>
        <v/>
      </c>
      <c r="D5803">
        <f>IF($C5803="","",$C5803-WEEKDAY($C5803,2)+1)</f>
        <v/>
      </c>
      <c r="E5803">
        <f>IF($C5803="","",DATE(YEAR($C5803),MONTH($C5803),1))</f>
        <v/>
      </c>
      <c r="F5803">
        <f>IF($C5803="","",YEAR($C5803)&amp;"-Q"&amp;ROUNDUP(MONTH($C5803)/3,0))</f>
        <v/>
      </c>
      <c r="L5803">
        <f>IF($G5803&lt;&gt;"ALCOHOL","",IF($K5803="","",$H5803*IFERROR(VLOOKUP($K5803,Drink_Templates!$A:$G,7,FALSE),0)))</f>
        <v/>
      </c>
    </row>
    <row r="5804" ht="15" customHeight="1">
      <c r="C5804">
        <f>IF($B5804="","",INT($B5804))</f>
        <v/>
      </c>
      <c r="D5804">
        <f>IF($C5804="","",$C5804-WEEKDAY($C5804,2)+1)</f>
        <v/>
      </c>
      <c r="E5804">
        <f>IF($C5804="","",DATE(YEAR($C5804),MONTH($C5804),1))</f>
        <v/>
      </c>
      <c r="F5804">
        <f>IF($C5804="","",YEAR($C5804)&amp;"-Q"&amp;ROUNDUP(MONTH($C5804)/3,0))</f>
        <v/>
      </c>
      <c r="L5804">
        <f>IF($G5804&lt;&gt;"ALCOHOL","",IF($K5804="","",$H5804*IFERROR(VLOOKUP($K5804,Drink_Templates!$A:$G,7,FALSE),0)))</f>
        <v/>
      </c>
    </row>
    <row r="5805" ht="15" customHeight="1">
      <c r="C5805">
        <f>IF($B5805="","",INT($B5805))</f>
        <v/>
      </c>
      <c r="D5805">
        <f>IF($C5805="","",$C5805-WEEKDAY($C5805,2)+1)</f>
        <v/>
      </c>
      <c r="E5805">
        <f>IF($C5805="","",DATE(YEAR($C5805),MONTH($C5805),1))</f>
        <v/>
      </c>
      <c r="F5805">
        <f>IF($C5805="","",YEAR($C5805)&amp;"-Q"&amp;ROUNDUP(MONTH($C5805)/3,0))</f>
        <v/>
      </c>
      <c r="L5805">
        <f>IF($G5805&lt;&gt;"ALCOHOL","",IF($K5805="","",$H5805*IFERROR(VLOOKUP($K5805,Drink_Templates!$A:$G,7,FALSE),0)))</f>
        <v/>
      </c>
    </row>
    <row r="5806" ht="15" customHeight="1">
      <c r="C5806">
        <f>IF($B5806="","",INT($B5806))</f>
        <v/>
      </c>
      <c r="D5806">
        <f>IF($C5806="","",$C5806-WEEKDAY($C5806,2)+1)</f>
        <v/>
      </c>
      <c r="E5806">
        <f>IF($C5806="","",DATE(YEAR($C5806),MONTH($C5806),1))</f>
        <v/>
      </c>
      <c r="F5806">
        <f>IF($C5806="","",YEAR($C5806)&amp;"-Q"&amp;ROUNDUP(MONTH($C5806)/3,0))</f>
        <v/>
      </c>
      <c r="L5806">
        <f>IF($G5806&lt;&gt;"ALCOHOL","",IF($K5806="","",$H5806*IFERROR(VLOOKUP($K5806,Drink_Templates!$A:$G,7,FALSE),0)))</f>
        <v/>
      </c>
    </row>
    <row r="5807" ht="15" customHeight="1">
      <c r="C5807">
        <f>IF($B5807="","",INT($B5807))</f>
        <v/>
      </c>
      <c r="D5807">
        <f>IF($C5807="","",$C5807-WEEKDAY($C5807,2)+1)</f>
        <v/>
      </c>
      <c r="E5807">
        <f>IF($C5807="","",DATE(YEAR($C5807),MONTH($C5807),1))</f>
        <v/>
      </c>
      <c r="F5807">
        <f>IF($C5807="","",YEAR($C5807)&amp;"-Q"&amp;ROUNDUP(MONTH($C5807)/3,0))</f>
        <v/>
      </c>
      <c r="L5807">
        <f>IF($G5807&lt;&gt;"ALCOHOL","",IF($K5807="","",$H5807*IFERROR(VLOOKUP($K5807,Drink_Templates!$A:$G,7,FALSE),0)))</f>
        <v/>
      </c>
    </row>
    <row r="5808" ht="15" customHeight="1">
      <c r="C5808">
        <f>IF($B5808="","",INT($B5808))</f>
        <v/>
      </c>
      <c r="D5808">
        <f>IF($C5808="","",$C5808-WEEKDAY($C5808,2)+1)</f>
        <v/>
      </c>
      <c r="E5808">
        <f>IF($C5808="","",DATE(YEAR($C5808),MONTH($C5808),1))</f>
        <v/>
      </c>
      <c r="F5808">
        <f>IF($C5808="","",YEAR($C5808)&amp;"-Q"&amp;ROUNDUP(MONTH($C5808)/3,0))</f>
        <v/>
      </c>
      <c r="L5808">
        <f>IF($G5808&lt;&gt;"ALCOHOL","",IF($K5808="","",$H5808*IFERROR(VLOOKUP($K5808,Drink_Templates!$A:$G,7,FALSE),0)))</f>
        <v/>
      </c>
    </row>
    <row r="5809" ht="15" customHeight="1">
      <c r="C5809">
        <f>IF($B5809="","",INT($B5809))</f>
        <v/>
      </c>
      <c r="D5809">
        <f>IF($C5809="","",$C5809-WEEKDAY($C5809,2)+1)</f>
        <v/>
      </c>
      <c r="E5809">
        <f>IF($C5809="","",DATE(YEAR($C5809),MONTH($C5809),1))</f>
        <v/>
      </c>
      <c r="F5809">
        <f>IF($C5809="","",YEAR($C5809)&amp;"-Q"&amp;ROUNDUP(MONTH($C5809)/3,0))</f>
        <v/>
      </c>
      <c r="L5809">
        <f>IF($G5809&lt;&gt;"ALCOHOL","",IF($K5809="","",$H5809*IFERROR(VLOOKUP($K5809,Drink_Templates!$A:$G,7,FALSE),0)))</f>
        <v/>
      </c>
    </row>
    <row r="5810" ht="15" customHeight="1">
      <c r="C5810">
        <f>IF($B5810="","",INT($B5810))</f>
        <v/>
      </c>
      <c r="D5810">
        <f>IF($C5810="","",$C5810-WEEKDAY($C5810,2)+1)</f>
        <v/>
      </c>
      <c r="E5810">
        <f>IF($C5810="","",DATE(YEAR($C5810),MONTH($C5810),1))</f>
        <v/>
      </c>
      <c r="F5810">
        <f>IF($C5810="","",YEAR($C5810)&amp;"-Q"&amp;ROUNDUP(MONTH($C5810)/3,0))</f>
        <v/>
      </c>
      <c r="L5810">
        <f>IF($G5810&lt;&gt;"ALCOHOL","",IF($K5810="","",$H5810*IFERROR(VLOOKUP($K5810,Drink_Templates!$A:$G,7,FALSE),0)))</f>
        <v/>
      </c>
    </row>
    <row r="5811" ht="15" customHeight="1">
      <c r="C5811">
        <f>IF($B5811="","",INT($B5811))</f>
        <v/>
      </c>
      <c r="D5811">
        <f>IF($C5811="","",$C5811-WEEKDAY($C5811,2)+1)</f>
        <v/>
      </c>
      <c r="E5811">
        <f>IF($C5811="","",DATE(YEAR($C5811),MONTH($C5811),1))</f>
        <v/>
      </c>
      <c r="F5811">
        <f>IF($C5811="","",YEAR($C5811)&amp;"-Q"&amp;ROUNDUP(MONTH($C5811)/3,0))</f>
        <v/>
      </c>
      <c r="L5811">
        <f>IF($G5811&lt;&gt;"ALCOHOL","",IF($K5811="","",$H5811*IFERROR(VLOOKUP($K5811,Drink_Templates!$A:$G,7,FALSE),0)))</f>
        <v/>
      </c>
    </row>
    <row r="5812" ht="15" customHeight="1">
      <c r="C5812">
        <f>IF($B5812="","",INT($B5812))</f>
        <v/>
      </c>
      <c r="D5812">
        <f>IF($C5812="","",$C5812-WEEKDAY($C5812,2)+1)</f>
        <v/>
      </c>
      <c r="E5812">
        <f>IF($C5812="","",DATE(YEAR($C5812),MONTH($C5812),1))</f>
        <v/>
      </c>
      <c r="F5812">
        <f>IF($C5812="","",YEAR($C5812)&amp;"-Q"&amp;ROUNDUP(MONTH($C5812)/3,0))</f>
        <v/>
      </c>
      <c r="L5812">
        <f>IF($G5812&lt;&gt;"ALCOHOL","",IF($K5812="","",$H5812*IFERROR(VLOOKUP($K5812,Drink_Templates!$A:$G,7,FALSE),0)))</f>
        <v/>
      </c>
    </row>
    <row r="5813" ht="15" customHeight="1">
      <c r="C5813">
        <f>IF($B5813="","",INT($B5813))</f>
        <v/>
      </c>
      <c r="D5813">
        <f>IF($C5813="","",$C5813-WEEKDAY($C5813,2)+1)</f>
        <v/>
      </c>
      <c r="E5813">
        <f>IF($C5813="","",DATE(YEAR($C5813),MONTH($C5813),1))</f>
        <v/>
      </c>
      <c r="F5813">
        <f>IF($C5813="","",YEAR($C5813)&amp;"-Q"&amp;ROUNDUP(MONTH($C5813)/3,0))</f>
        <v/>
      </c>
      <c r="L5813">
        <f>IF($G5813&lt;&gt;"ALCOHOL","",IF($K5813="","",$H5813*IFERROR(VLOOKUP($K5813,Drink_Templates!$A:$G,7,FALSE),0)))</f>
        <v/>
      </c>
    </row>
    <row r="5814" ht="15" customHeight="1">
      <c r="C5814">
        <f>IF($B5814="","",INT($B5814))</f>
        <v/>
      </c>
      <c r="D5814">
        <f>IF($C5814="","",$C5814-WEEKDAY($C5814,2)+1)</f>
        <v/>
      </c>
      <c r="E5814">
        <f>IF($C5814="","",DATE(YEAR($C5814),MONTH($C5814),1))</f>
        <v/>
      </c>
      <c r="F5814">
        <f>IF($C5814="","",YEAR($C5814)&amp;"-Q"&amp;ROUNDUP(MONTH($C5814)/3,0))</f>
        <v/>
      </c>
      <c r="L5814">
        <f>IF($G5814&lt;&gt;"ALCOHOL","",IF($K5814="","",$H5814*IFERROR(VLOOKUP($K5814,Drink_Templates!$A:$G,7,FALSE),0)))</f>
        <v/>
      </c>
    </row>
    <row r="5815" ht="15" customHeight="1">
      <c r="C5815">
        <f>IF($B5815="","",INT($B5815))</f>
        <v/>
      </c>
      <c r="D5815">
        <f>IF($C5815="","",$C5815-WEEKDAY($C5815,2)+1)</f>
        <v/>
      </c>
      <c r="E5815">
        <f>IF($C5815="","",DATE(YEAR($C5815),MONTH($C5815),1))</f>
        <v/>
      </c>
      <c r="F5815">
        <f>IF($C5815="","",YEAR($C5815)&amp;"-Q"&amp;ROUNDUP(MONTH($C5815)/3,0))</f>
        <v/>
      </c>
      <c r="L5815">
        <f>IF($G5815&lt;&gt;"ALCOHOL","",IF($K5815="","",$H5815*IFERROR(VLOOKUP($K5815,Drink_Templates!$A:$G,7,FALSE),0)))</f>
        <v/>
      </c>
    </row>
    <row r="5816" ht="15" customHeight="1">
      <c r="C5816">
        <f>IF($B5816="","",INT($B5816))</f>
        <v/>
      </c>
      <c r="D5816">
        <f>IF($C5816="","",$C5816-WEEKDAY($C5816,2)+1)</f>
        <v/>
      </c>
      <c r="E5816">
        <f>IF($C5816="","",DATE(YEAR($C5816),MONTH($C5816),1))</f>
        <v/>
      </c>
      <c r="F5816">
        <f>IF($C5816="","",YEAR($C5816)&amp;"-Q"&amp;ROUNDUP(MONTH($C5816)/3,0))</f>
        <v/>
      </c>
      <c r="L5816">
        <f>IF($G5816&lt;&gt;"ALCOHOL","",IF($K5816="","",$H5816*IFERROR(VLOOKUP($K5816,Drink_Templates!$A:$G,7,FALSE),0)))</f>
        <v/>
      </c>
    </row>
    <row r="5817" ht="15" customHeight="1">
      <c r="C5817">
        <f>IF($B5817="","",INT($B5817))</f>
        <v/>
      </c>
      <c r="D5817">
        <f>IF($C5817="","",$C5817-WEEKDAY($C5817,2)+1)</f>
        <v/>
      </c>
      <c r="E5817">
        <f>IF($C5817="","",DATE(YEAR($C5817),MONTH($C5817),1))</f>
        <v/>
      </c>
      <c r="F5817">
        <f>IF($C5817="","",YEAR($C5817)&amp;"-Q"&amp;ROUNDUP(MONTH($C5817)/3,0))</f>
        <v/>
      </c>
      <c r="L5817">
        <f>IF($G5817&lt;&gt;"ALCOHOL","",IF($K5817="","",$H5817*IFERROR(VLOOKUP($K5817,Drink_Templates!$A:$G,7,FALSE),0)))</f>
        <v/>
      </c>
    </row>
    <row r="5818" ht="15" customHeight="1">
      <c r="C5818">
        <f>IF($B5818="","",INT($B5818))</f>
        <v/>
      </c>
      <c r="D5818">
        <f>IF($C5818="","",$C5818-WEEKDAY($C5818,2)+1)</f>
        <v/>
      </c>
      <c r="E5818">
        <f>IF($C5818="","",DATE(YEAR($C5818),MONTH($C5818),1))</f>
        <v/>
      </c>
      <c r="F5818">
        <f>IF($C5818="","",YEAR($C5818)&amp;"-Q"&amp;ROUNDUP(MONTH($C5818)/3,0))</f>
        <v/>
      </c>
      <c r="L5818">
        <f>IF($G5818&lt;&gt;"ALCOHOL","",IF($K5818="","",$H5818*IFERROR(VLOOKUP($K5818,Drink_Templates!$A:$G,7,FALSE),0)))</f>
        <v/>
      </c>
    </row>
    <row r="5819" ht="15" customHeight="1">
      <c r="C5819">
        <f>IF($B5819="","",INT($B5819))</f>
        <v/>
      </c>
      <c r="D5819">
        <f>IF($C5819="","",$C5819-WEEKDAY($C5819,2)+1)</f>
        <v/>
      </c>
      <c r="E5819">
        <f>IF($C5819="","",DATE(YEAR($C5819),MONTH($C5819),1))</f>
        <v/>
      </c>
      <c r="F5819">
        <f>IF($C5819="","",YEAR($C5819)&amp;"-Q"&amp;ROUNDUP(MONTH($C5819)/3,0))</f>
        <v/>
      </c>
      <c r="L5819">
        <f>IF($G5819&lt;&gt;"ALCOHOL","",IF($K5819="","",$H5819*IFERROR(VLOOKUP($K5819,Drink_Templates!$A:$G,7,FALSE),0)))</f>
        <v/>
      </c>
    </row>
    <row r="5820" ht="15" customHeight="1">
      <c r="C5820">
        <f>IF($B5820="","",INT($B5820))</f>
        <v/>
      </c>
      <c r="D5820">
        <f>IF($C5820="","",$C5820-WEEKDAY($C5820,2)+1)</f>
        <v/>
      </c>
      <c r="E5820">
        <f>IF($C5820="","",DATE(YEAR($C5820),MONTH($C5820),1))</f>
        <v/>
      </c>
      <c r="F5820">
        <f>IF($C5820="","",YEAR($C5820)&amp;"-Q"&amp;ROUNDUP(MONTH($C5820)/3,0))</f>
        <v/>
      </c>
      <c r="L5820">
        <f>IF($G5820&lt;&gt;"ALCOHOL","",IF($K5820="","",$H5820*IFERROR(VLOOKUP($K5820,Drink_Templates!$A:$G,7,FALSE),0)))</f>
        <v/>
      </c>
    </row>
    <row r="5821" ht="15" customHeight="1">
      <c r="C5821">
        <f>IF($B5821="","",INT($B5821))</f>
        <v/>
      </c>
      <c r="D5821">
        <f>IF($C5821="","",$C5821-WEEKDAY($C5821,2)+1)</f>
        <v/>
      </c>
      <c r="E5821">
        <f>IF($C5821="","",DATE(YEAR($C5821),MONTH($C5821),1))</f>
        <v/>
      </c>
      <c r="F5821">
        <f>IF($C5821="","",YEAR($C5821)&amp;"-Q"&amp;ROUNDUP(MONTH($C5821)/3,0))</f>
        <v/>
      </c>
      <c r="L5821">
        <f>IF($G5821&lt;&gt;"ALCOHOL","",IF($K5821="","",$H5821*IFERROR(VLOOKUP($K5821,Drink_Templates!$A:$G,7,FALSE),0)))</f>
        <v/>
      </c>
    </row>
    <row r="5822" ht="15" customHeight="1">
      <c r="C5822">
        <f>IF($B5822="","",INT($B5822))</f>
        <v/>
      </c>
      <c r="D5822">
        <f>IF($C5822="","",$C5822-WEEKDAY($C5822,2)+1)</f>
        <v/>
      </c>
      <c r="E5822">
        <f>IF($C5822="","",DATE(YEAR($C5822),MONTH($C5822),1))</f>
        <v/>
      </c>
      <c r="F5822">
        <f>IF($C5822="","",YEAR($C5822)&amp;"-Q"&amp;ROUNDUP(MONTH($C5822)/3,0))</f>
        <v/>
      </c>
      <c r="L5822">
        <f>IF($G5822&lt;&gt;"ALCOHOL","",IF($K5822="","",$H5822*IFERROR(VLOOKUP($K5822,Drink_Templates!$A:$G,7,FALSE),0)))</f>
        <v/>
      </c>
    </row>
    <row r="5823" ht="15" customHeight="1">
      <c r="C5823">
        <f>IF($B5823="","",INT($B5823))</f>
        <v/>
      </c>
      <c r="D5823">
        <f>IF($C5823="","",$C5823-WEEKDAY($C5823,2)+1)</f>
        <v/>
      </c>
      <c r="E5823">
        <f>IF($C5823="","",DATE(YEAR($C5823),MONTH($C5823),1))</f>
        <v/>
      </c>
      <c r="F5823">
        <f>IF($C5823="","",YEAR($C5823)&amp;"-Q"&amp;ROUNDUP(MONTH($C5823)/3,0))</f>
        <v/>
      </c>
      <c r="L5823">
        <f>IF($G5823&lt;&gt;"ALCOHOL","",IF($K5823="","",$H5823*IFERROR(VLOOKUP($K5823,Drink_Templates!$A:$G,7,FALSE),0)))</f>
        <v/>
      </c>
    </row>
    <row r="5824" ht="15" customHeight="1">
      <c r="C5824">
        <f>IF($B5824="","",INT($B5824))</f>
        <v/>
      </c>
      <c r="D5824">
        <f>IF($C5824="","",$C5824-WEEKDAY($C5824,2)+1)</f>
        <v/>
      </c>
      <c r="E5824">
        <f>IF($C5824="","",DATE(YEAR($C5824),MONTH($C5824),1))</f>
        <v/>
      </c>
      <c r="F5824">
        <f>IF($C5824="","",YEAR($C5824)&amp;"-Q"&amp;ROUNDUP(MONTH($C5824)/3,0))</f>
        <v/>
      </c>
      <c r="L5824">
        <f>IF($G5824&lt;&gt;"ALCOHOL","",IF($K5824="","",$H5824*IFERROR(VLOOKUP($K5824,Drink_Templates!$A:$G,7,FALSE),0)))</f>
        <v/>
      </c>
    </row>
    <row r="5825" ht="15" customHeight="1">
      <c r="C5825">
        <f>IF($B5825="","",INT($B5825))</f>
        <v/>
      </c>
      <c r="D5825">
        <f>IF($C5825="","",$C5825-WEEKDAY($C5825,2)+1)</f>
        <v/>
      </c>
      <c r="E5825">
        <f>IF($C5825="","",DATE(YEAR($C5825),MONTH($C5825),1))</f>
        <v/>
      </c>
      <c r="F5825">
        <f>IF($C5825="","",YEAR($C5825)&amp;"-Q"&amp;ROUNDUP(MONTH($C5825)/3,0))</f>
        <v/>
      </c>
      <c r="L5825">
        <f>IF($G5825&lt;&gt;"ALCOHOL","",IF($K5825="","",$H5825*IFERROR(VLOOKUP($K5825,Drink_Templates!$A:$G,7,FALSE),0)))</f>
        <v/>
      </c>
    </row>
    <row r="5826" ht="15" customHeight="1">
      <c r="C5826">
        <f>IF($B5826="","",INT($B5826))</f>
        <v/>
      </c>
      <c r="D5826">
        <f>IF($C5826="","",$C5826-WEEKDAY($C5826,2)+1)</f>
        <v/>
      </c>
      <c r="E5826">
        <f>IF($C5826="","",DATE(YEAR($C5826),MONTH($C5826),1))</f>
        <v/>
      </c>
      <c r="F5826">
        <f>IF($C5826="","",YEAR($C5826)&amp;"-Q"&amp;ROUNDUP(MONTH($C5826)/3,0))</f>
        <v/>
      </c>
      <c r="L5826">
        <f>IF($G5826&lt;&gt;"ALCOHOL","",IF($K5826="","",$H5826*IFERROR(VLOOKUP($K5826,Drink_Templates!$A:$G,7,FALSE),0)))</f>
        <v/>
      </c>
    </row>
    <row r="5827" ht="15" customHeight="1">
      <c r="C5827">
        <f>IF($B5827="","",INT($B5827))</f>
        <v/>
      </c>
      <c r="D5827">
        <f>IF($C5827="","",$C5827-WEEKDAY($C5827,2)+1)</f>
        <v/>
      </c>
      <c r="E5827">
        <f>IF($C5827="","",DATE(YEAR($C5827),MONTH($C5827),1))</f>
        <v/>
      </c>
      <c r="F5827">
        <f>IF($C5827="","",YEAR($C5827)&amp;"-Q"&amp;ROUNDUP(MONTH($C5827)/3,0))</f>
        <v/>
      </c>
      <c r="L5827">
        <f>IF($G5827&lt;&gt;"ALCOHOL","",IF($K5827="","",$H5827*IFERROR(VLOOKUP($K5827,Drink_Templates!$A:$G,7,FALSE),0)))</f>
        <v/>
      </c>
    </row>
    <row r="5828" ht="15" customHeight="1">
      <c r="C5828">
        <f>IF($B5828="","",INT($B5828))</f>
        <v/>
      </c>
      <c r="D5828">
        <f>IF($C5828="","",$C5828-WEEKDAY($C5828,2)+1)</f>
        <v/>
      </c>
      <c r="E5828">
        <f>IF($C5828="","",DATE(YEAR($C5828),MONTH($C5828),1))</f>
        <v/>
      </c>
      <c r="F5828">
        <f>IF($C5828="","",YEAR($C5828)&amp;"-Q"&amp;ROUNDUP(MONTH($C5828)/3,0))</f>
        <v/>
      </c>
      <c r="L5828">
        <f>IF($G5828&lt;&gt;"ALCOHOL","",IF($K5828="","",$H5828*IFERROR(VLOOKUP($K5828,Drink_Templates!$A:$G,7,FALSE),0)))</f>
        <v/>
      </c>
    </row>
    <row r="5829" ht="15" customHeight="1">
      <c r="C5829">
        <f>IF($B5829="","",INT($B5829))</f>
        <v/>
      </c>
      <c r="D5829">
        <f>IF($C5829="","",$C5829-WEEKDAY($C5829,2)+1)</f>
        <v/>
      </c>
      <c r="E5829">
        <f>IF($C5829="","",DATE(YEAR($C5829),MONTH($C5829),1))</f>
        <v/>
      </c>
      <c r="F5829">
        <f>IF($C5829="","",YEAR($C5829)&amp;"-Q"&amp;ROUNDUP(MONTH($C5829)/3,0))</f>
        <v/>
      </c>
      <c r="L5829">
        <f>IF($G5829&lt;&gt;"ALCOHOL","",IF($K5829="","",$H5829*IFERROR(VLOOKUP($K5829,Drink_Templates!$A:$G,7,FALSE),0)))</f>
        <v/>
      </c>
    </row>
    <row r="5830" ht="15" customHeight="1">
      <c r="C5830">
        <f>IF($B5830="","",INT($B5830))</f>
        <v/>
      </c>
      <c r="D5830">
        <f>IF($C5830="","",$C5830-WEEKDAY($C5830,2)+1)</f>
        <v/>
      </c>
      <c r="E5830">
        <f>IF($C5830="","",DATE(YEAR($C5830),MONTH($C5830),1))</f>
        <v/>
      </c>
      <c r="F5830">
        <f>IF($C5830="","",YEAR($C5830)&amp;"-Q"&amp;ROUNDUP(MONTH($C5830)/3,0))</f>
        <v/>
      </c>
      <c r="L5830">
        <f>IF($G5830&lt;&gt;"ALCOHOL","",IF($K5830="","",$H5830*IFERROR(VLOOKUP($K5830,Drink_Templates!$A:$G,7,FALSE),0)))</f>
        <v/>
      </c>
    </row>
    <row r="5831" ht="15" customHeight="1">
      <c r="C5831">
        <f>IF($B5831="","",INT($B5831))</f>
        <v/>
      </c>
      <c r="D5831">
        <f>IF($C5831="","",$C5831-WEEKDAY($C5831,2)+1)</f>
        <v/>
      </c>
      <c r="E5831">
        <f>IF($C5831="","",DATE(YEAR($C5831),MONTH($C5831),1))</f>
        <v/>
      </c>
      <c r="F5831">
        <f>IF($C5831="","",YEAR($C5831)&amp;"-Q"&amp;ROUNDUP(MONTH($C5831)/3,0))</f>
        <v/>
      </c>
      <c r="L5831">
        <f>IF($G5831&lt;&gt;"ALCOHOL","",IF($K5831="","",$H5831*IFERROR(VLOOKUP($K5831,Drink_Templates!$A:$G,7,FALSE),0)))</f>
        <v/>
      </c>
    </row>
    <row r="5832" ht="15" customHeight="1">
      <c r="C5832">
        <f>IF($B5832="","",INT($B5832))</f>
        <v/>
      </c>
      <c r="D5832">
        <f>IF($C5832="","",$C5832-WEEKDAY($C5832,2)+1)</f>
        <v/>
      </c>
      <c r="E5832">
        <f>IF($C5832="","",DATE(YEAR($C5832),MONTH($C5832),1))</f>
        <v/>
      </c>
      <c r="F5832">
        <f>IF($C5832="","",YEAR($C5832)&amp;"-Q"&amp;ROUNDUP(MONTH($C5832)/3,0))</f>
        <v/>
      </c>
      <c r="L5832">
        <f>IF($G5832&lt;&gt;"ALCOHOL","",IF($K5832="","",$H5832*IFERROR(VLOOKUP($K5832,Drink_Templates!$A:$G,7,FALSE),0)))</f>
        <v/>
      </c>
    </row>
    <row r="5833" ht="15" customHeight="1">
      <c r="C5833">
        <f>IF($B5833="","",INT($B5833))</f>
        <v/>
      </c>
      <c r="D5833">
        <f>IF($C5833="","",$C5833-WEEKDAY($C5833,2)+1)</f>
        <v/>
      </c>
      <c r="E5833">
        <f>IF($C5833="","",DATE(YEAR($C5833),MONTH($C5833),1))</f>
        <v/>
      </c>
      <c r="F5833">
        <f>IF($C5833="","",YEAR($C5833)&amp;"-Q"&amp;ROUNDUP(MONTH($C5833)/3,0))</f>
        <v/>
      </c>
      <c r="L5833">
        <f>IF($G5833&lt;&gt;"ALCOHOL","",IF($K5833="","",$H5833*IFERROR(VLOOKUP($K5833,Drink_Templates!$A:$G,7,FALSE),0)))</f>
        <v/>
      </c>
    </row>
    <row r="5834" ht="15" customHeight="1">
      <c r="C5834">
        <f>IF($B5834="","",INT($B5834))</f>
        <v/>
      </c>
      <c r="D5834">
        <f>IF($C5834="","",$C5834-WEEKDAY($C5834,2)+1)</f>
        <v/>
      </c>
      <c r="E5834">
        <f>IF($C5834="","",DATE(YEAR($C5834),MONTH($C5834),1))</f>
        <v/>
      </c>
      <c r="F5834">
        <f>IF($C5834="","",YEAR($C5834)&amp;"-Q"&amp;ROUNDUP(MONTH($C5834)/3,0))</f>
        <v/>
      </c>
      <c r="L5834">
        <f>IF($G5834&lt;&gt;"ALCOHOL","",IF($K5834="","",$H5834*IFERROR(VLOOKUP($K5834,Drink_Templates!$A:$G,7,FALSE),0)))</f>
        <v/>
      </c>
    </row>
    <row r="5835" ht="15" customHeight="1">
      <c r="C5835">
        <f>IF($B5835="","",INT($B5835))</f>
        <v/>
      </c>
      <c r="D5835">
        <f>IF($C5835="","",$C5835-WEEKDAY($C5835,2)+1)</f>
        <v/>
      </c>
      <c r="E5835">
        <f>IF($C5835="","",DATE(YEAR($C5835),MONTH($C5835),1))</f>
        <v/>
      </c>
      <c r="F5835">
        <f>IF($C5835="","",YEAR($C5835)&amp;"-Q"&amp;ROUNDUP(MONTH($C5835)/3,0))</f>
        <v/>
      </c>
      <c r="L5835">
        <f>IF($G5835&lt;&gt;"ALCOHOL","",IF($K5835="","",$H5835*IFERROR(VLOOKUP($K5835,Drink_Templates!$A:$G,7,FALSE),0)))</f>
        <v/>
      </c>
    </row>
    <row r="5836" ht="15" customHeight="1">
      <c r="C5836">
        <f>IF($B5836="","",INT($B5836))</f>
        <v/>
      </c>
      <c r="D5836">
        <f>IF($C5836="","",$C5836-WEEKDAY($C5836,2)+1)</f>
        <v/>
      </c>
      <c r="E5836">
        <f>IF($C5836="","",DATE(YEAR($C5836),MONTH($C5836),1))</f>
        <v/>
      </c>
      <c r="F5836">
        <f>IF($C5836="","",YEAR($C5836)&amp;"-Q"&amp;ROUNDUP(MONTH($C5836)/3,0))</f>
        <v/>
      </c>
      <c r="L5836">
        <f>IF($G5836&lt;&gt;"ALCOHOL","",IF($K5836="","",$H5836*IFERROR(VLOOKUP($K5836,Drink_Templates!$A:$G,7,FALSE),0)))</f>
        <v/>
      </c>
    </row>
    <row r="5837" ht="15" customHeight="1">
      <c r="C5837">
        <f>IF($B5837="","",INT($B5837))</f>
        <v/>
      </c>
      <c r="D5837">
        <f>IF($C5837="","",$C5837-WEEKDAY($C5837,2)+1)</f>
        <v/>
      </c>
      <c r="E5837">
        <f>IF($C5837="","",DATE(YEAR($C5837),MONTH($C5837),1))</f>
        <v/>
      </c>
      <c r="F5837">
        <f>IF($C5837="","",YEAR($C5837)&amp;"-Q"&amp;ROUNDUP(MONTH($C5837)/3,0))</f>
        <v/>
      </c>
      <c r="L5837">
        <f>IF($G5837&lt;&gt;"ALCOHOL","",IF($K5837="","",$H5837*IFERROR(VLOOKUP($K5837,Drink_Templates!$A:$G,7,FALSE),0)))</f>
        <v/>
      </c>
    </row>
    <row r="5838" ht="15" customHeight="1">
      <c r="C5838">
        <f>IF($B5838="","",INT($B5838))</f>
        <v/>
      </c>
      <c r="D5838">
        <f>IF($C5838="","",$C5838-WEEKDAY($C5838,2)+1)</f>
        <v/>
      </c>
      <c r="E5838">
        <f>IF($C5838="","",DATE(YEAR($C5838),MONTH($C5838),1))</f>
        <v/>
      </c>
      <c r="F5838">
        <f>IF($C5838="","",YEAR($C5838)&amp;"-Q"&amp;ROUNDUP(MONTH($C5838)/3,0))</f>
        <v/>
      </c>
      <c r="L5838">
        <f>IF($G5838&lt;&gt;"ALCOHOL","",IF($K5838="","",$H5838*IFERROR(VLOOKUP($K5838,Drink_Templates!$A:$G,7,FALSE),0)))</f>
        <v/>
      </c>
    </row>
    <row r="5839" ht="15" customHeight="1">
      <c r="C5839">
        <f>IF($B5839="","",INT($B5839))</f>
        <v/>
      </c>
      <c r="D5839">
        <f>IF($C5839="","",$C5839-WEEKDAY($C5839,2)+1)</f>
        <v/>
      </c>
      <c r="E5839">
        <f>IF($C5839="","",DATE(YEAR($C5839),MONTH($C5839),1))</f>
        <v/>
      </c>
      <c r="F5839">
        <f>IF($C5839="","",YEAR($C5839)&amp;"-Q"&amp;ROUNDUP(MONTH($C5839)/3,0))</f>
        <v/>
      </c>
      <c r="L5839">
        <f>IF($G5839&lt;&gt;"ALCOHOL","",IF($K5839="","",$H5839*IFERROR(VLOOKUP($K5839,Drink_Templates!$A:$G,7,FALSE),0)))</f>
        <v/>
      </c>
    </row>
    <row r="5840" ht="15" customHeight="1">
      <c r="C5840">
        <f>IF($B5840="","",INT($B5840))</f>
        <v/>
      </c>
      <c r="D5840">
        <f>IF($C5840="","",$C5840-WEEKDAY($C5840,2)+1)</f>
        <v/>
      </c>
      <c r="E5840">
        <f>IF($C5840="","",DATE(YEAR($C5840),MONTH($C5840),1))</f>
        <v/>
      </c>
      <c r="F5840">
        <f>IF($C5840="","",YEAR($C5840)&amp;"-Q"&amp;ROUNDUP(MONTH($C5840)/3,0))</f>
        <v/>
      </c>
      <c r="L5840">
        <f>IF($G5840&lt;&gt;"ALCOHOL","",IF($K5840="","",$H5840*IFERROR(VLOOKUP($K5840,Drink_Templates!$A:$G,7,FALSE),0)))</f>
        <v/>
      </c>
    </row>
    <row r="5841" ht="15" customHeight="1">
      <c r="C5841">
        <f>IF($B5841="","",INT($B5841))</f>
        <v/>
      </c>
      <c r="D5841">
        <f>IF($C5841="","",$C5841-WEEKDAY($C5841,2)+1)</f>
        <v/>
      </c>
      <c r="E5841">
        <f>IF($C5841="","",DATE(YEAR($C5841),MONTH($C5841),1))</f>
        <v/>
      </c>
      <c r="F5841">
        <f>IF($C5841="","",YEAR($C5841)&amp;"-Q"&amp;ROUNDUP(MONTH($C5841)/3,0))</f>
        <v/>
      </c>
      <c r="L5841">
        <f>IF($G5841&lt;&gt;"ALCOHOL","",IF($K5841="","",$H5841*IFERROR(VLOOKUP($K5841,Drink_Templates!$A:$G,7,FALSE),0)))</f>
        <v/>
      </c>
    </row>
    <row r="5842" ht="15" customHeight="1">
      <c r="C5842">
        <f>IF($B5842="","",INT($B5842))</f>
        <v/>
      </c>
      <c r="D5842">
        <f>IF($C5842="","",$C5842-WEEKDAY($C5842,2)+1)</f>
        <v/>
      </c>
      <c r="E5842">
        <f>IF($C5842="","",DATE(YEAR($C5842),MONTH($C5842),1))</f>
        <v/>
      </c>
      <c r="F5842">
        <f>IF($C5842="","",YEAR($C5842)&amp;"-Q"&amp;ROUNDUP(MONTH($C5842)/3,0))</f>
        <v/>
      </c>
      <c r="L5842">
        <f>IF($G5842&lt;&gt;"ALCOHOL","",IF($K5842="","",$H5842*IFERROR(VLOOKUP($K5842,Drink_Templates!$A:$G,7,FALSE),0)))</f>
        <v/>
      </c>
    </row>
    <row r="5843" ht="15" customHeight="1">
      <c r="C5843">
        <f>IF($B5843="","",INT($B5843))</f>
        <v/>
      </c>
      <c r="D5843">
        <f>IF($C5843="","",$C5843-WEEKDAY($C5843,2)+1)</f>
        <v/>
      </c>
      <c r="E5843">
        <f>IF($C5843="","",DATE(YEAR($C5843),MONTH($C5843),1))</f>
        <v/>
      </c>
      <c r="F5843">
        <f>IF($C5843="","",YEAR($C5843)&amp;"-Q"&amp;ROUNDUP(MONTH($C5843)/3,0))</f>
        <v/>
      </c>
      <c r="L5843">
        <f>IF($G5843&lt;&gt;"ALCOHOL","",IF($K5843="","",$H5843*IFERROR(VLOOKUP($K5843,Drink_Templates!$A:$G,7,FALSE),0)))</f>
        <v/>
      </c>
    </row>
    <row r="5844" ht="15" customHeight="1">
      <c r="C5844">
        <f>IF($B5844="","",INT($B5844))</f>
        <v/>
      </c>
      <c r="D5844">
        <f>IF($C5844="","",$C5844-WEEKDAY($C5844,2)+1)</f>
        <v/>
      </c>
      <c r="E5844">
        <f>IF($C5844="","",DATE(YEAR($C5844),MONTH($C5844),1))</f>
        <v/>
      </c>
      <c r="F5844">
        <f>IF($C5844="","",YEAR($C5844)&amp;"-Q"&amp;ROUNDUP(MONTH($C5844)/3,0))</f>
        <v/>
      </c>
      <c r="L5844">
        <f>IF($G5844&lt;&gt;"ALCOHOL","",IF($K5844="","",$H5844*IFERROR(VLOOKUP($K5844,Drink_Templates!$A:$G,7,FALSE),0)))</f>
        <v/>
      </c>
    </row>
    <row r="5845" ht="15" customHeight="1">
      <c r="C5845">
        <f>IF($B5845="","",INT($B5845))</f>
        <v/>
      </c>
      <c r="D5845">
        <f>IF($C5845="","",$C5845-WEEKDAY($C5845,2)+1)</f>
        <v/>
      </c>
      <c r="E5845">
        <f>IF($C5845="","",DATE(YEAR($C5845),MONTH($C5845),1))</f>
        <v/>
      </c>
      <c r="F5845">
        <f>IF($C5845="","",YEAR($C5845)&amp;"-Q"&amp;ROUNDUP(MONTH($C5845)/3,0))</f>
        <v/>
      </c>
      <c r="L5845">
        <f>IF($G5845&lt;&gt;"ALCOHOL","",IF($K5845="","",$H5845*IFERROR(VLOOKUP($K5845,Drink_Templates!$A:$G,7,FALSE),0)))</f>
        <v/>
      </c>
    </row>
    <row r="5846" ht="15" customHeight="1">
      <c r="C5846">
        <f>IF($B5846="","",INT($B5846))</f>
        <v/>
      </c>
      <c r="D5846">
        <f>IF($C5846="","",$C5846-WEEKDAY($C5846,2)+1)</f>
        <v/>
      </c>
      <c r="E5846">
        <f>IF($C5846="","",DATE(YEAR($C5846),MONTH($C5846),1))</f>
        <v/>
      </c>
      <c r="F5846">
        <f>IF($C5846="","",YEAR($C5846)&amp;"-Q"&amp;ROUNDUP(MONTH($C5846)/3,0))</f>
        <v/>
      </c>
      <c r="L5846">
        <f>IF($G5846&lt;&gt;"ALCOHOL","",IF($K5846="","",$H5846*IFERROR(VLOOKUP($K5846,Drink_Templates!$A:$G,7,FALSE),0)))</f>
        <v/>
      </c>
    </row>
    <row r="5847" ht="15" customHeight="1">
      <c r="C5847">
        <f>IF($B5847="","",INT($B5847))</f>
        <v/>
      </c>
      <c r="D5847">
        <f>IF($C5847="","",$C5847-WEEKDAY($C5847,2)+1)</f>
        <v/>
      </c>
      <c r="E5847">
        <f>IF($C5847="","",DATE(YEAR($C5847),MONTH($C5847),1))</f>
        <v/>
      </c>
      <c r="F5847">
        <f>IF($C5847="","",YEAR($C5847)&amp;"-Q"&amp;ROUNDUP(MONTH($C5847)/3,0))</f>
        <v/>
      </c>
      <c r="L5847">
        <f>IF($G5847&lt;&gt;"ALCOHOL","",IF($K5847="","",$H5847*IFERROR(VLOOKUP($K5847,Drink_Templates!$A:$G,7,FALSE),0)))</f>
        <v/>
      </c>
    </row>
    <row r="5848" ht="15" customHeight="1">
      <c r="C5848">
        <f>IF($B5848="","",INT($B5848))</f>
        <v/>
      </c>
      <c r="D5848">
        <f>IF($C5848="","",$C5848-WEEKDAY($C5848,2)+1)</f>
        <v/>
      </c>
      <c r="E5848">
        <f>IF($C5848="","",DATE(YEAR($C5848),MONTH($C5848),1))</f>
        <v/>
      </c>
      <c r="F5848">
        <f>IF($C5848="","",YEAR($C5848)&amp;"-Q"&amp;ROUNDUP(MONTH($C5848)/3,0))</f>
        <v/>
      </c>
      <c r="L5848">
        <f>IF($G5848&lt;&gt;"ALCOHOL","",IF($K5848="","",$H5848*IFERROR(VLOOKUP($K5848,Drink_Templates!$A:$G,7,FALSE),0)))</f>
        <v/>
      </c>
    </row>
    <row r="5849" ht="15" customHeight="1">
      <c r="C5849">
        <f>IF($B5849="","",INT($B5849))</f>
        <v/>
      </c>
      <c r="D5849">
        <f>IF($C5849="","",$C5849-WEEKDAY($C5849,2)+1)</f>
        <v/>
      </c>
      <c r="E5849">
        <f>IF($C5849="","",DATE(YEAR($C5849),MONTH($C5849),1))</f>
        <v/>
      </c>
      <c r="F5849">
        <f>IF($C5849="","",YEAR($C5849)&amp;"-Q"&amp;ROUNDUP(MONTH($C5849)/3,0))</f>
        <v/>
      </c>
      <c r="L5849">
        <f>IF($G5849&lt;&gt;"ALCOHOL","",IF($K5849="","",$H5849*IFERROR(VLOOKUP($K5849,Drink_Templates!$A:$G,7,FALSE),0)))</f>
        <v/>
      </c>
    </row>
    <row r="5850" ht="15" customHeight="1">
      <c r="C5850">
        <f>IF($B5850="","",INT($B5850))</f>
        <v/>
      </c>
      <c r="D5850">
        <f>IF($C5850="","",$C5850-WEEKDAY($C5850,2)+1)</f>
        <v/>
      </c>
      <c r="E5850">
        <f>IF($C5850="","",DATE(YEAR($C5850),MONTH($C5850),1))</f>
        <v/>
      </c>
      <c r="F5850">
        <f>IF($C5850="","",YEAR($C5850)&amp;"-Q"&amp;ROUNDUP(MONTH($C5850)/3,0))</f>
        <v/>
      </c>
      <c r="L5850">
        <f>IF($G5850&lt;&gt;"ALCOHOL","",IF($K5850="","",$H5850*IFERROR(VLOOKUP($K5850,Drink_Templates!$A:$G,7,FALSE),0)))</f>
        <v/>
      </c>
    </row>
    <row r="5851" ht="15" customHeight="1">
      <c r="C5851">
        <f>IF($B5851="","",INT($B5851))</f>
        <v/>
      </c>
      <c r="D5851">
        <f>IF($C5851="","",$C5851-WEEKDAY($C5851,2)+1)</f>
        <v/>
      </c>
      <c r="E5851">
        <f>IF($C5851="","",DATE(YEAR($C5851),MONTH($C5851),1))</f>
        <v/>
      </c>
      <c r="F5851">
        <f>IF($C5851="","",YEAR($C5851)&amp;"-Q"&amp;ROUNDUP(MONTH($C5851)/3,0))</f>
        <v/>
      </c>
      <c r="L5851">
        <f>IF($G5851&lt;&gt;"ALCOHOL","",IF($K5851="","",$H5851*IFERROR(VLOOKUP($K5851,Drink_Templates!$A:$G,7,FALSE),0)))</f>
        <v/>
      </c>
    </row>
    <row r="5852" ht="15" customHeight="1">
      <c r="C5852">
        <f>IF($B5852="","",INT($B5852))</f>
        <v/>
      </c>
      <c r="D5852">
        <f>IF($C5852="","",$C5852-WEEKDAY($C5852,2)+1)</f>
        <v/>
      </c>
      <c r="E5852">
        <f>IF($C5852="","",DATE(YEAR($C5852),MONTH($C5852),1))</f>
        <v/>
      </c>
      <c r="F5852">
        <f>IF($C5852="","",YEAR($C5852)&amp;"-Q"&amp;ROUNDUP(MONTH($C5852)/3,0))</f>
        <v/>
      </c>
      <c r="L5852">
        <f>IF($G5852&lt;&gt;"ALCOHOL","",IF($K5852="","",$H5852*IFERROR(VLOOKUP($K5852,Drink_Templates!$A:$G,7,FALSE),0)))</f>
        <v/>
      </c>
    </row>
    <row r="5853" ht="15" customHeight="1">
      <c r="C5853">
        <f>IF($B5853="","",INT($B5853))</f>
        <v/>
      </c>
      <c r="D5853">
        <f>IF($C5853="","",$C5853-WEEKDAY($C5853,2)+1)</f>
        <v/>
      </c>
      <c r="E5853">
        <f>IF($C5853="","",DATE(YEAR($C5853),MONTH($C5853),1))</f>
        <v/>
      </c>
      <c r="F5853">
        <f>IF($C5853="","",YEAR($C5853)&amp;"-Q"&amp;ROUNDUP(MONTH($C5853)/3,0))</f>
        <v/>
      </c>
      <c r="L5853">
        <f>IF($G5853&lt;&gt;"ALCOHOL","",IF($K5853="","",$H5853*IFERROR(VLOOKUP($K5853,Drink_Templates!$A:$G,7,FALSE),0)))</f>
        <v/>
      </c>
    </row>
    <row r="5854" ht="15" customHeight="1">
      <c r="C5854">
        <f>IF($B5854="","",INT($B5854))</f>
        <v/>
      </c>
      <c r="D5854">
        <f>IF($C5854="","",$C5854-WEEKDAY($C5854,2)+1)</f>
        <v/>
      </c>
      <c r="E5854">
        <f>IF($C5854="","",DATE(YEAR($C5854),MONTH($C5854),1))</f>
        <v/>
      </c>
      <c r="F5854">
        <f>IF($C5854="","",YEAR($C5854)&amp;"-Q"&amp;ROUNDUP(MONTH($C5854)/3,0))</f>
        <v/>
      </c>
      <c r="L5854">
        <f>IF($G5854&lt;&gt;"ALCOHOL","",IF($K5854="","",$H5854*IFERROR(VLOOKUP($K5854,Drink_Templates!$A:$G,7,FALSE),0)))</f>
        <v/>
      </c>
    </row>
    <row r="5855" ht="15" customHeight="1">
      <c r="C5855">
        <f>IF($B5855="","",INT($B5855))</f>
        <v/>
      </c>
      <c r="D5855">
        <f>IF($C5855="","",$C5855-WEEKDAY($C5855,2)+1)</f>
        <v/>
      </c>
      <c r="E5855">
        <f>IF($C5855="","",DATE(YEAR($C5855),MONTH($C5855),1))</f>
        <v/>
      </c>
      <c r="F5855">
        <f>IF($C5855="","",YEAR($C5855)&amp;"-Q"&amp;ROUNDUP(MONTH($C5855)/3,0))</f>
        <v/>
      </c>
      <c r="L5855">
        <f>IF($G5855&lt;&gt;"ALCOHOL","",IF($K5855="","",$H5855*IFERROR(VLOOKUP($K5855,Drink_Templates!$A:$G,7,FALSE),0)))</f>
        <v/>
      </c>
    </row>
    <row r="5856" ht="15" customHeight="1">
      <c r="C5856">
        <f>IF($B5856="","",INT($B5856))</f>
        <v/>
      </c>
      <c r="D5856">
        <f>IF($C5856="","",$C5856-WEEKDAY($C5856,2)+1)</f>
        <v/>
      </c>
      <c r="E5856">
        <f>IF($C5856="","",DATE(YEAR($C5856),MONTH($C5856),1))</f>
        <v/>
      </c>
      <c r="F5856">
        <f>IF($C5856="","",YEAR($C5856)&amp;"-Q"&amp;ROUNDUP(MONTH($C5856)/3,0))</f>
        <v/>
      </c>
      <c r="L5856">
        <f>IF($G5856&lt;&gt;"ALCOHOL","",IF($K5856="","",$H5856*IFERROR(VLOOKUP($K5856,Drink_Templates!$A:$G,7,FALSE),0)))</f>
        <v/>
      </c>
    </row>
    <row r="5857" ht="15" customHeight="1">
      <c r="C5857">
        <f>IF($B5857="","",INT($B5857))</f>
        <v/>
      </c>
      <c r="D5857">
        <f>IF($C5857="","",$C5857-WEEKDAY($C5857,2)+1)</f>
        <v/>
      </c>
      <c r="E5857">
        <f>IF($C5857="","",DATE(YEAR($C5857),MONTH($C5857),1))</f>
        <v/>
      </c>
      <c r="F5857">
        <f>IF($C5857="","",YEAR($C5857)&amp;"-Q"&amp;ROUNDUP(MONTH($C5857)/3,0))</f>
        <v/>
      </c>
      <c r="L5857">
        <f>IF($G5857&lt;&gt;"ALCOHOL","",IF($K5857="","",$H5857*IFERROR(VLOOKUP($K5857,Drink_Templates!$A:$G,7,FALSE),0)))</f>
        <v/>
      </c>
    </row>
    <row r="5858" ht="15" customHeight="1">
      <c r="C5858">
        <f>IF($B5858="","",INT($B5858))</f>
        <v/>
      </c>
      <c r="D5858">
        <f>IF($C5858="","",$C5858-WEEKDAY($C5858,2)+1)</f>
        <v/>
      </c>
      <c r="E5858">
        <f>IF($C5858="","",DATE(YEAR($C5858),MONTH($C5858),1))</f>
        <v/>
      </c>
      <c r="F5858">
        <f>IF($C5858="","",YEAR($C5858)&amp;"-Q"&amp;ROUNDUP(MONTH($C5858)/3,0))</f>
        <v/>
      </c>
      <c r="L5858">
        <f>IF($G5858&lt;&gt;"ALCOHOL","",IF($K5858="","",$H5858*IFERROR(VLOOKUP($K5858,Drink_Templates!$A:$G,7,FALSE),0)))</f>
        <v/>
      </c>
    </row>
    <row r="5859" ht="15" customHeight="1">
      <c r="C5859">
        <f>IF($B5859="","",INT($B5859))</f>
        <v/>
      </c>
      <c r="D5859">
        <f>IF($C5859="","",$C5859-WEEKDAY($C5859,2)+1)</f>
        <v/>
      </c>
      <c r="E5859">
        <f>IF($C5859="","",DATE(YEAR($C5859),MONTH($C5859),1))</f>
        <v/>
      </c>
      <c r="F5859">
        <f>IF($C5859="","",YEAR($C5859)&amp;"-Q"&amp;ROUNDUP(MONTH($C5859)/3,0))</f>
        <v/>
      </c>
      <c r="L5859">
        <f>IF($G5859&lt;&gt;"ALCOHOL","",IF($K5859="","",$H5859*IFERROR(VLOOKUP($K5859,Drink_Templates!$A:$G,7,FALSE),0)))</f>
        <v/>
      </c>
    </row>
    <row r="5860" ht="15" customHeight="1">
      <c r="C5860">
        <f>IF($B5860="","",INT($B5860))</f>
        <v/>
      </c>
      <c r="D5860">
        <f>IF($C5860="","",$C5860-WEEKDAY($C5860,2)+1)</f>
        <v/>
      </c>
      <c r="E5860">
        <f>IF($C5860="","",DATE(YEAR($C5860),MONTH($C5860),1))</f>
        <v/>
      </c>
      <c r="F5860">
        <f>IF($C5860="","",YEAR($C5860)&amp;"-Q"&amp;ROUNDUP(MONTH($C5860)/3,0))</f>
        <v/>
      </c>
      <c r="L5860">
        <f>IF($G5860&lt;&gt;"ALCOHOL","",IF($K5860="","",$H5860*IFERROR(VLOOKUP($K5860,Drink_Templates!$A:$G,7,FALSE),0)))</f>
        <v/>
      </c>
    </row>
    <row r="5861" ht="15" customHeight="1">
      <c r="C5861">
        <f>IF($B5861="","",INT($B5861))</f>
        <v/>
      </c>
      <c r="D5861">
        <f>IF($C5861="","",$C5861-WEEKDAY($C5861,2)+1)</f>
        <v/>
      </c>
      <c r="E5861">
        <f>IF($C5861="","",DATE(YEAR($C5861),MONTH($C5861),1))</f>
        <v/>
      </c>
      <c r="F5861">
        <f>IF($C5861="","",YEAR($C5861)&amp;"-Q"&amp;ROUNDUP(MONTH($C5861)/3,0))</f>
        <v/>
      </c>
      <c r="L5861">
        <f>IF($G5861&lt;&gt;"ALCOHOL","",IF($K5861="","",$H5861*IFERROR(VLOOKUP($K5861,Drink_Templates!$A:$G,7,FALSE),0)))</f>
        <v/>
      </c>
    </row>
    <row r="5862" ht="15" customHeight="1">
      <c r="C5862">
        <f>IF($B5862="","",INT($B5862))</f>
        <v/>
      </c>
      <c r="D5862">
        <f>IF($C5862="","",$C5862-WEEKDAY($C5862,2)+1)</f>
        <v/>
      </c>
      <c r="E5862">
        <f>IF($C5862="","",DATE(YEAR($C5862),MONTH($C5862),1))</f>
        <v/>
      </c>
      <c r="F5862">
        <f>IF($C5862="","",YEAR($C5862)&amp;"-Q"&amp;ROUNDUP(MONTH($C5862)/3,0))</f>
        <v/>
      </c>
      <c r="L5862">
        <f>IF($G5862&lt;&gt;"ALCOHOL","",IF($K5862="","",$H5862*IFERROR(VLOOKUP($K5862,Drink_Templates!$A:$G,7,FALSE),0)))</f>
        <v/>
      </c>
    </row>
    <row r="5863" ht="15" customHeight="1">
      <c r="C5863">
        <f>IF($B5863="","",INT($B5863))</f>
        <v/>
      </c>
      <c r="D5863">
        <f>IF($C5863="","",$C5863-WEEKDAY($C5863,2)+1)</f>
        <v/>
      </c>
      <c r="E5863">
        <f>IF($C5863="","",DATE(YEAR($C5863),MONTH($C5863),1))</f>
        <v/>
      </c>
      <c r="F5863">
        <f>IF($C5863="","",YEAR($C5863)&amp;"-Q"&amp;ROUNDUP(MONTH($C5863)/3,0))</f>
        <v/>
      </c>
      <c r="L5863">
        <f>IF($G5863&lt;&gt;"ALCOHOL","",IF($K5863="","",$H5863*IFERROR(VLOOKUP($K5863,Drink_Templates!$A:$G,7,FALSE),0)))</f>
        <v/>
      </c>
    </row>
    <row r="5864" ht="15" customHeight="1">
      <c r="C5864">
        <f>IF($B5864="","",INT($B5864))</f>
        <v/>
      </c>
      <c r="D5864">
        <f>IF($C5864="","",$C5864-WEEKDAY($C5864,2)+1)</f>
        <v/>
      </c>
      <c r="E5864">
        <f>IF($C5864="","",DATE(YEAR($C5864),MONTH($C5864),1))</f>
        <v/>
      </c>
      <c r="F5864">
        <f>IF($C5864="","",YEAR($C5864)&amp;"-Q"&amp;ROUNDUP(MONTH($C5864)/3,0))</f>
        <v/>
      </c>
      <c r="L5864">
        <f>IF($G5864&lt;&gt;"ALCOHOL","",IF($K5864="","",$H5864*IFERROR(VLOOKUP($K5864,Drink_Templates!$A:$G,7,FALSE),0)))</f>
        <v/>
      </c>
    </row>
    <row r="5865" ht="15" customHeight="1">
      <c r="C5865">
        <f>IF($B5865="","",INT($B5865))</f>
        <v/>
      </c>
      <c r="D5865">
        <f>IF($C5865="","",$C5865-WEEKDAY($C5865,2)+1)</f>
        <v/>
      </c>
      <c r="E5865">
        <f>IF($C5865="","",DATE(YEAR($C5865),MONTH($C5865),1))</f>
        <v/>
      </c>
      <c r="F5865">
        <f>IF($C5865="","",YEAR($C5865)&amp;"-Q"&amp;ROUNDUP(MONTH($C5865)/3,0))</f>
        <v/>
      </c>
      <c r="L5865">
        <f>IF($G5865&lt;&gt;"ALCOHOL","",IF($K5865="","",$H5865*IFERROR(VLOOKUP($K5865,Drink_Templates!$A:$G,7,FALSE),0)))</f>
        <v/>
      </c>
    </row>
    <row r="5866" ht="15" customHeight="1">
      <c r="C5866">
        <f>IF($B5866="","",INT($B5866))</f>
        <v/>
      </c>
      <c r="D5866">
        <f>IF($C5866="","",$C5866-WEEKDAY($C5866,2)+1)</f>
        <v/>
      </c>
      <c r="E5866">
        <f>IF($C5866="","",DATE(YEAR($C5866),MONTH($C5866),1))</f>
        <v/>
      </c>
      <c r="F5866">
        <f>IF($C5866="","",YEAR($C5866)&amp;"-Q"&amp;ROUNDUP(MONTH($C5866)/3,0))</f>
        <v/>
      </c>
      <c r="L5866">
        <f>IF($G5866&lt;&gt;"ALCOHOL","",IF($K5866="","",$H5866*IFERROR(VLOOKUP($K5866,Drink_Templates!$A:$G,7,FALSE),0)))</f>
        <v/>
      </c>
    </row>
    <row r="5867" ht="15" customHeight="1">
      <c r="C5867">
        <f>IF($B5867="","",INT($B5867))</f>
        <v/>
      </c>
      <c r="D5867">
        <f>IF($C5867="","",$C5867-WEEKDAY($C5867,2)+1)</f>
        <v/>
      </c>
      <c r="E5867">
        <f>IF($C5867="","",DATE(YEAR($C5867),MONTH($C5867),1))</f>
        <v/>
      </c>
      <c r="F5867">
        <f>IF($C5867="","",YEAR($C5867)&amp;"-Q"&amp;ROUNDUP(MONTH($C5867)/3,0))</f>
        <v/>
      </c>
      <c r="L5867">
        <f>IF($G5867&lt;&gt;"ALCOHOL","",IF($K5867="","",$H5867*IFERROR(VLOOKUP($K5867,Drink_Templates!$A:$G,7,FALSE),0)))</f>
        <v/>
      </c>
    </row>
    <row r="5868" ht="15" customHeight="1">
      <c r="C5868">
        <f>IF($B5868="","",INT($B5868))</f>
        <v/>
      </c>
      <c r="D5868">
        <f>IF($C5868="","",$C5868-WEEKDAY($C5868,2)+1)</f>
        <v/>
      </c>
      <c r="E5868">
        <f>IF($C5868="","",DATE(YEAR($C5868),MONTH($C5868),1))</f>
        <v/>
      </c>
      <c r="F5868">
        <f>IF($C5868="","",YEAR($C5868)&amp;"-Q"&amp;ROUNDUP(MONTH($C5868)/3,0))</f>
        <v/>
      </c>
      <c r="L5868">
        <f>IF($G5868&lt;&gt;"ALCOHOL","",IF($K5868="","",$H5868*IFERROR(VLOOKUP($K5868,Drink_Templates!$A:$G,7,FALSE),0)))</f>
        <v/>
      </c>
    </row>
    <row r="5869" ht="15" customHeight="1">
      <c r="C5869">
        <f>IF($B5869="","",INT($B5869))</f>
        <v/>
      </c>
      <c r="D5869">
        <f>IF($C5869="","",$C5869-WEEKDAY($C5869,2)+1)</f>
        <v/>
      </c>
      <c r="E5869">
        <f>IF($C5869="","",DATE(YEAR($C5869),MONTH($C5869),1))</f>
        <v/>
      </c>
      <c r="F5869">
        <f>IF($C5869="","",YEAR($C5869)&amp;"-Q"&amp;ROUNDUP(MONTH($C5869)/3,0))</f>
        <v/>
      </c>
      <c r="L5869">
        <f>IF($G5869&lt;&gt;"ALCOHOL","",IF($K5869="","",$H5869*IFERROR(VLOOKUP($K5869,Drink_Templates!$A:$G,7,FALSE),0)))</f>
        <v/>
      </c>
    </row>
    <row r="5870" ht="15" customHeight="1">
      <c r="C5870">
        <f>IF($B5870="","",INT($B5870))</f>
        <v/>
      </c>
      <c r="D5870">
        <f>IF($C5870="","",$C5870-WEEKDAY($C5870,2)+1)</f>
        <v/>
      </c>
      <c r="E5870">
        <f>IF($C5870="","",DATE(YEAR($C5870),MONTH($C5870),1))</f>
        <v/>
      </c>
      <c r="F5870">
        <f>IF($C5870="","",YEAR($C5870)&amp;"-Q"&amp;ROUNDUP(MONTH($C5870)/3,0))</f>
        <v/>
      </c>
      <c r="L5870">
        <f>IF($G5870&lt;&gt;"ALCOHOL","",IF($K5870="","",$H5870*IFERROR(VLOOKUP($K5870,Drink_Templates!$A:$G,7,FALSE),0)))</f>
        <v/>
      </c>
    </row>
    <row r="5871" ht="15" customHeight="1">
      <c r="C5871">
        <f>IF($B5871="","",INT($B5871))</f>
        <v/>
      </c>
      <c r="D5871">
        <f>IF($C5871="","",$C5871-WEEKDAY($C5871,2)+1)</f>
        <v/>
      </c>
      <c r="E5871">
        <f>IF($C5871="","",DATE(YEAR($C5871),MONTH($C5871),1))</f>
        <v/>
      </c>
      <c r="F5871">
        <f>IF($C5871="","",YEAR($C5871)&amp;"-Q"&amp;ROUNDUP(MONTH($C5871)/3,0))</f>
        <v/>
      </c>
      <c r="L5871">
        <f>IF($G5871&lt;&gt;"ALCOHOL","",IF($K5871="","",$H5871*IFERROR(VLOOKUP($K5871,Drink_Templates!$A:$G,7,FALSE),0)))</f>
        <v/>
      </c>
    </row>
    <row r="5872" ht="15" customHeight="1">
      <c r="C5872">
        <f>IF($B5872="","",INT($B5872))</f>
        <v/>
      </c>
      <c r="D5872">
        <f>IF($C5872="","",$C5872-WEEKDAY($C5872,2)+1)</f>
        <v/>
      </c>
      <c r="E5872">
        <f>IF($C5872="","",DATE(YEAR($C5872),MONTH($C5872),1))</f>
        <v/>
      </c>
      <c r="F5872">
        <f>IF($C5872="","",YEAR($C5872)&amp;"-Q"&amp;ROUNDUP(MONTH($C5872)/3,0))</f>
        <v/>
      </c>
      <c r="L5872">
        <f>IF($G5872&lt;&gt;"ALCOHOL","",IF($K5872="","",$H5872*IFERROR(VLOOKUP($K5872,Drink_Templates!$A:$G,7,FALSE),0)))</f>
        <v/>
      </c>
    </row>
    <row r="5873" ht="15" customHeight="1">
      <c r="C5873">
        <f>IF($B5873="","",INT($B5873))</f>
        <v/>
      </c>
      <c r="D5873">
        <f>IF($C5873="","",$C5873-WEEKDAY($C5873,2)+1)</f>
        <v/>
      </c>
      <c r="E5873">
        <f>IF($C5873="","",DATE(YEAR($C5873),MONTH($C5873),1))</f>
        <v/>
      </c>
      <c r="F5873">
        <f>IF($C5873="","",YEAR($C5873)&amp;"-Q"&amp;ROUNDUP(MONTH($C5873)/3,0))</f>
        <v/>
      </c>
      <c r="L5873">
        <f>IF($G5873&lt;&gt;"ALCOHOL","",IF($K5873="","",$H5873*IFERROR(VLOOKUP($K5873,Drink_Templates!$A:$G,7,FALSE),0)))</f>
        <v/>
      </c>
    </row>
    <row r="5874" ht="15" customHeight="1">
      <c r="C5874">
        <f>IF($B5874="","",INT($B5874))</f>
        <v/>
      </c>
      <c r="D5874">
        <f>IF($C5874="","",$C5874-WEEKDAY($C5874,2)+1)</f>
        <v/>
      </c>
      <c r="E5874">
        <f>IF($C5874="","",DATE(YEAR($C5874),MONTH($C5874),1))</f>
        <v/>
      </c>
      <c r="F5874">
        <f>IF($C5874="","",YEAR($C5874)&amp;"-Q"&amp;ROUNDUP(MONTH($C5874)/3,0))</f>
        <v/>
      </c>
      <c r="L5874">
        <f>IF($G5874&lt;&gt;"ALCOHOL","",IF($K5874="","",$H5874*IFERROR(VLOOKUP($K5874,Drink_Templates!$A:$G,7,FALSE),0)))</f>
        <v/>
      </c>
    </row>
    <row r="5875" ht="15" customHeight="1">
      <c r="C5875">
        <f>IF($B5875="","",INT($B5875))</f>
        <v/>
      </c>
      <c r="D5875">
        <f>IF($C5875="","",$C5875-WEEKDAY($C5875,2)+1)</f>
        <v/>
      </c>
      <c r="E5875">
        <f>IF($C5875="","",DATE(YEAR($C5875),MONTH($C5875),1))</f>
        <v/>
      </c>
      <c r="F5875">
        <f>IF($C5875="","",YEAR($C5875)&amp;"-Q"&amp;ROUNDUP(MONTH($C5875)/3,0))</f>
        <v/>
      </c>
      <c r="L5875">
        <f>IF($G5875&lt;&gt;"ALCOHOL","",IF($K5875="","",$H5875*IFERROR(VLOOKUP($K5875,Drink_Templates!$A:$G,7,FALSE),0)))</f>
        <v/>
      </c>
    </row>
    <row r="5876" ht="15" customHeight="1">
      <c r="C5876">
        <f>IF($B5876="","",INT($B5876))</f>
        <v/>
      </c>
      <c r="D5876">
        <f>IF($C5876="","",$C5876-WEEKDAY($C5876,2)+1)</f>
        <v/>
      </c>
      <c r="E5876">
        <f>IF($C5876="","",DATE(YEAR($C5876),MONTH($C5876),1))</f>
        <v/>
      </c>
      <c r="F5876">
        <f>IF($C5876="","",YEAR($C5876)&amp;"-Q"&amp;ROUNDUP(MONTH($C5876)/3,0))</f>
        <v/>
      </c>
      <c r="L5876">
        <f>IF($G5876&lt;&gt;"ALCOHOL","",IF($K5876="","",$H5876*IFERROR(VLOOKUP($K5876,Drink_Templates!$A:$G,7,FALSE),0)))</f>
        <v/>
      </c>
    </row>
    <row r="5877" ht="15" customHeight="1">
      <c r="C5877">
        <f>IF($B5877="","",INT($B5877))</f>
        <v/>
      </c>
      <c r="D5877">
        <f>IF($C5877="","",$C5877-WEEKDAY($C5877,2)+1)</f>
        <v/>
      </c>
      <c r="E5877">
        <f>IF($C5877="","",DATE(YEAR($C5877),MONTH($C5877),1))</f>
        <v/>
      </c>
      <c r="F5877">
        <f>IF($C5877="","",YEAR($C5877)&amp;"-Q"&amp;ROUNDUP(MONTH($C5877)/3,0))</f>
        <v/>
      </c>
      <c r="L5877">
        <f>IF($G5877&lt;&gt;"ALCOHOL","",IF($K5877="","",$H5877*IFERROR(VLOOKUP($K5877,Drink_Templates!$A:$G,7,FALSE),0)))</f>
        <v/>
      </c>
    </row>
    <row r="5878" ht="15" customHeight="1">
      <c r="C5878">
        <f>IF($B5878="","",INT($B5878))</f>
        <v/>
      </c>
      <c r="D5878">
        <f>IF($C5878="","",$C5878-WEEKDAY($C5878,2)+1)</f>
        <v/>
      </c>
      <c r="E5878">
        <f>IF($C5878="","",DATE(YEAR($C5878),MONTH($C5878),1))</f>
        <v/>
      </c>
      <c r="F5878">
        <f>IF($C5878="","",YEAR($C5878)&amp;"-Q"&amp;ROUNDUP(MONTH($C5878)/3,0))</f>
        <v/>
      </c>
      <c r="L5878">
        <f>IF($G5878&lt;&gt;"ALCOHOL","",IF($K5878="","",$H5878*IFERROR(VLOOKUP($K5878,Drink_Templates!$A:$G,7,FALSE),0)))</f>
        <v/>
      </c>
    </row>
    <row r="5879" ht="15" customHeight="1">
      <c r="C5879">
        <f>IF($B5879="","",INT($B5879))</f>
        <v/>
      </c>
      <c r="D5879">
        <f>IF($C5879="","",$C5879-WEEKDAY($C5879,2)+1)</f>
        <v/>
      </c>
      <c r="E5879">
        <f>IF($C5879="","",DATE(YEAR($C5879),MONTH($C5879),1))</f>
        <v/>
      </c>
      <c r="F5879">
        <f>IF($C5879="","",YEAR($C5879)&amp;"-Q"&amp;ROUNDUP(MONTH($C5879)/3,0))</f>
        <v/>
      </c>
      <c r="L5879">
        <f>IF($G5879&lt;&gt;"ALCOHOL","",IF($K5879="","",$H5879*IFERROR(VLOOKUP($K5879,Drink_Templates!$A:$G,7,FALSE),0)))</f>
        <v/>
      </c>
    </row>
    <row r="5880" ht="15" customHeight="1">
      <c r="C5880">
        <f>IF($B5880="","",INT($B5880))</f>
        <v/>
      </c>
      <c r="D5880">
        <f>IF($C5880="","",$C5880-WEEKDAY($C5880,2)+1)</f>
        <v/>
      </c>
      <c r="E5880">
        <f>IF($C5880="","",DATE(YEAR($C5880),MONTH($C5880),1))</f>
        <v/>
      </c>
      <c r="F5880">
        <f>IF($C5880="","",YEAR($C5880)&amp;"-Q"&amp;ROUNDUP(MONTH($C5880)/3,0))</f>
        <v/>
      </c>
      <c r="L5880">
        <f>IF($G5880&lt;&gt;"ALCOHOL","",IF($K5880="","",$H5880*IFERROR(VLOOKUP($K5880,Drink_Templates!$A:$G,7,FALSE),0)))</f>
        <v/>
      </c>
    </row>
    <row r="5881" ht="15" customHeight="1">
      <c r="C5881">
        <f>IF($B5881="","",INT($B5881))</f>
        <v/>
      </c>
      <c r="D5881">
        <f>IF($C5881="","",$C5881-WEEKDAY($C5881,2)+1)</f>
        <v/>
      </c>
      <c r="E5881">
        <f>IF($C5881="","",DATE(YEAR($C5881),MONTH($C5881),1))</f>
        <v/>
      </c>
      <c r="F5881">
        <f>IF($C5881="","",YEAR($C5881)&amp;"-Q"&amp;ROUNDUP(MONTH($C5881)/3,0))</f>
        <v/>
      </c>
      <c r="L5881">
        <f>IF($G5881&lt;&gt;"ALCOHOL","",IF($K5881="","",$H5881*IFERROR(VLOOKUP($K5881,Drink_Templates!$A:$G,7,FALSE),0)))</f>
        <v/>
      </c>
    </row>
    <row r="5882" ht="15" customHeight="1">
      <c r="C5882">
        <f>IF($B5882="","",INT($B5882))</f>
        <v/>
      </c>
      <c r="D5882">
        <f>IF($C5882="","",$C5882-WEEKDAY($C5882,2)+1)</f>
        <v/>
      </c>
      <c r="E5882">
        <f>IF($C5882="","",DATE(YEAR($C5882),MONTH($C5882),1))</f>
        <v/>
      </c>
      <c r="F5882">
        <f>IF($C5882="","",YEAR($C5882)&amp;"-Q"&amp;ROUNDUP(MONTH($C5882)/3,0))</f>
        <v/>
      </c>
      <c r="L5882">
        <f>IF($G5882&lt;&gt;"ALCOHOL","",IF($K5882="","",$H5882*IFERROR(VLOOKUP($K5882,Drink_Templates!$A:$G,7,FALSE),0)))</f>
        <v/>
      </c>
    </row>
    <row r="5883" ht="15" customHeight="1">
      <c r="C5883">
        <f>IF($B5883="","",INT($B5883))</f>
        <v/>
      </c>
      <c r="D5883">
        <f>IF($C5883="","",$C5883-WEEKDAY($C5883,2)+1)</f>
        <v/>
      </c>
      <c r="E5883">
        <f>IF($C5883="","",DATE(YEAR($C5883),MONTH($C5883),1))</f>
        <v/>
      </c>
      <c r="F5883">
        <f>IF($C5883="","",YEAR($C5883)&amp;"-Q"&amp;ROUNDUP(MONTH($C5883)/3,0))</f>
        <v/>
      </c>
      <c r="L5883">
        <f>IF($G5883&lt;&gt;"ALCOHOL","",IF($K5883="","",$H5883*IFERROR(VLOOKUP($K5883,Drink_Templates!$A:$G,7,FALSE),0)))</f>
        <v/>
      </c>
    </row>
    <row r="5884" ht="15" customHeight="1">
      <c r="C5884">
        <f>IF($B5884="","",INT($B5884))</f>
        <v/>
      </c>
      <c r="D5884">
        <f>IF($C5884="","",$C5884-WEEKDAY($C5884,2)+1)</f>
        <v/>
      </c>
      <c r="E5884">
        <f>IF($C5884="","",DATE(YEAR($C5884),MONTH($C5884),1))</f>
        <v/>
      </c>
      <c r="F5884">
        <f>IF($C5884="","",YEAR($C5884)&amp;"-Q"&amp;ROUNDUP(MONTH($C5884)/3,0))</f>
        <v/>
      </c>
      <c r="L5884">
        <f>IF($G5884&lt;&gt;"ALCOHOL","",IF($K5884="","",$H5884*IFERROR(VLOOKUP($K5884,Drink_Templates!$A:$G,7,FALSE),0)))</f>
        <v/>
      </c>
    </row>
    <row r="5885" ht="15" customHeight="1">
      <c r="C5885">
        <f>IF($B5885="","",INT($B5885))</f>
        <v/>
      </c>
      <c r="D5885">
        <f>IF($C5885="","",$C5885-WEEKDAY($C5885,2)+1)</f>
        <v/>
      </c>
      <c r="E5885">
        <f>IF($C5885="","",DATE(YEAR($C5885),MONTH($C5885),1))</f>
        <v/>
      </c>
      <c r="F5885">
        <f>IF($C5885="","",YEAR($C5885)&amp;"-Q"&amp;ROUNDUP(MONTH($C5885)/3,0))</f>
        <v/>
      </c>
      <c r="L5885">
        <f>IF($G5885&lt;&gt;"ALCOHOL","",IF($K5885="","",$H5885*IFERROR(VLOOKUP($K5885,Drink_Templates!$A:$G,7,FALSE),0)))</f>
        <v/>
      </c>
    </row>
    <row r="5886" ht="15" customHeight="1">
      <c r="C5886">
        <f>IF($B5886="","",INT($B5886))</f>
        <v/>
      </c>
      <c r="D5886">
        <f>IF($C5886="","",$C5886-WEEKDAY($C5886,2)+1)</f>
        <v/>
      </c>
      <c r="E5886">
        <f>IF($C5886="","",DATE(YEAR($C5886),MONTH($C5886),1))</f>
        <v/>
      </c>
      <c r="F5886">
        <f>IF($C5886="","",YEAR($C5886)&amp;"-Q"&amp;ROUNDUP(MONTH($C5886)/3,0))</f>
        <v/>
      </c>
      <c r="L5886">
        <f>IF($G5886&lt;&gt;"ALCOHOL","",IF($K5886="","",$H5886*IFERROR(VLOOKUP($K5886,Drink_Templates!$A:$G,7,FALSE),0)))</f>
        <v/>
      </c>
    </row>
    <row r="5887" ht="15" customHeight="1">
      <c r="C5887">
        <f>IF($B5887="","",INT($B5887))</f>
        <v/>
      </c>
      <c r="D5887">
        <f>IF($C5887="","",$C5887-WEEKDAY($C5887,2)+1)</f>
        <v/>
      </c>
      <c r="E5887">
        <f>IF($C5887="","",DATE(YEAR($C5887),MONTH($C5887),1))</f>
        <v/>
      </c>
      <c r="F5887">
        <f>IF($C5887="","",YEAR($C5887)&amp;"-Q"&amp;ROUNDUP(MONTH($C5887)/3,0))</f>
        <v/>
      </c>
      <c r="L5887">
        <f>IF($G5887&lt;&gt;"ALCOHOL","",IF($K5887="","",$H5887*IFERROR(VLOOKUP($K5887,Drink_Templates!$A:$G,7,FALSE),0)))</f>
        <v/>
      </c>
    </row>
    <row r="5888" ht="15" customHeight="1">
      <c r="C5888">
        <f>IF($B5888="","",INT($B5888))</f>
        <v/>
      </c>
      <c r="D5888">
        <f>IF($C5888="","",$C5888-WEEKDAY($C5888,2)+1)</f>
        <v/>
      </c>
      <c r="E5888">
        <f>IF($C5888="","",DATE(YEAR($C5888),MONTH($C5888),1))</f>
        <v/>
      </c>
      <c r="F5888">
        <f>IF($C5888="","",YEAR($C5888)&amp;"-Q"&amp;ROUNDUP(MONTH($C5888)/3,0))</f>
        <v/>
      </c>
      <c r="L5888">
        <f>IF($G5888&lt;&gt;"ALCOHOL","",IF($K5888="","",$H5888*IFERROR(VLOOKUP($K5888,Drink_Templates!$A:$G,7,FALSE),0)))</f>
        <v/>
      </c>
    </row>
    <row r="5889" ht="15" customHeight="1">
      <c r="C5889">
        <f>IF($B5889="","",INT($B5889))</f>
        <v/>
      </c>
      <c r="D5889">
        <f>IF($C5889="","",$C5889-WEEKDAY($C5889,2)+1)</f>
        <v/>
      </c>
      <c r="E5889">
        <f>IF($C5889="","",DATE(YEAR($C5889),MONTH($C5889),1))</f>
        <v/>
      </c>
      <c r="F5889">
        <f>IF($C5889="","",YEAR($C5889)&amp;"-Q"&amp;ROUNDUP(MONTH($C5889)/3,0))</f>
        <v/>
      </c>
      <c r="L5889">
        <f>IF($G5889&lt;&gt;"ALCOHOL","",IF($K5889="","",$H5889*IFERROR(VLOOKUP($K5889,Drink_Templates!$A:$G,7,FALSE),0)))</f>
        <v/>
      </c>
    </row>
    <row r="5890" ht="15" customHeight="1">
      <c r="C5890">
        <f>IF($B5890="","",INT($B5890))</f>
        <v/>
      </c>
      <c r="D5890">
        <f>IF($C5890="","",$C5890-WEEKDAY($C5890,2)+1)</f>
        <v/>
      </c>
      <c r="E5890">
        <f>IF($C5890="","",DATE(YEAR($C5890),MONTH($C5890),1))</f>
        <v/>
      </c>
      <c r="F5890">
        <f>IF($C5890="","",YEAR($C5890)&amp;"-Q"&amp;ROUNDUP(MONTH($C5890)/3,0))</f>
        <v/>
      </c>
      <c r="L5890">
        <f>IF($G5890&lt;&gt;"ALCOHOL","",IF($K5890="","",$H5890*IFERROR(VLOOKUP($K5890,Drink_Templates!$A:$G,7,FALSE),0)))</f>
        <v/>
      </c>
    </row>
    <row r="5891" ht="15" customHeight="1">
      <c r="C5891">
        <f>IF($B5891="","",INT($B5891))</f>
        <v/>
      </c>
      <c r="D5891">
        <f>IF($C5891="","",$C5891-WEEKDAY($C5891,2)+1)</f>
        <v/>
      </c>
      <c r="E5891">
        <f>IF($C5891="","",DATE(YEAR($C5891),MONTH($C5891),1))</f>
        <v/>
      </c>
      <c r="F5891">
        <f>IF($C5891="","",YEAR($C5891)&amp;"-Q"&amp;ROUNDUP(MONTH($C5891)/3,0))</f>
        <v/>
      </c>
      <c r="L5891">
        <f>IF($G5891&lt;&gt;"ALCOHOL","",IF($K5891="","",$H5891*IFERROR(VLOOKUP($K5891,Drink_Templates!$A:$G,7,FALSE),0)))</f>
        <v/>
      </c>
    </row>
    <row r="5892" ht="15" customHeight="1">
      <c r="C5892">
        <f>IF($B5892="","",INT($B5892))</f>
        <v/>
      </c>
      <c r="D5892">
        <f>IF($C5892="","",$C5892-WEEKDAY($C5892,2)+1)</f>
        <v/>
      </c>
      <c r="E5892">
        <f>IF($C5892="","",DATE(YEAR($C5892),MONTH($C5892),1))</f>
        <v/>
      </c>
      <c r="F5892">
        <f>IF($C5892="","",YEAR($C5892)&amp;"-Q"&amp;ROUNDUP(MONTH($C5892)/3,0))</f>
        <v/>
      </c>
      <c r="L5892">
        <f>IF($G5892&lt;&gt;"ALCOHOL","",IF($K5892="","",$H5892*IFERROR(VLOOKUP($K5892,Drink_Templates!$A:$G,7,FALSE),0)))</f>
        <v/>
      </c>
    </row>
    <row r="5893" ht="15" customHeight="1">
      <c r="C5893">
        <f>IF($B5893="","",INT($B5893))</f>
        <v/>
      </c>
      <c r="D5893">
        <f>IF($C5893="","",$C5893-WEEKDAY($C5893,2)+1)</f>
        <v/>
      </c>
      <c r="E5893">
        <f>IF($C5893="","",DATE(YEAR($C5893),MONTH($C5893),1))</f>
        <v/>
      </c>
      <c r="F5893">
        <f>IF($C5893="","",YEAR($C5893)&amp;"-Q"&amp;ROUNDUP(MONTH($C5893)/3,0))</f>
        <v/>
      </c>
      <c r="L5893">
        <f>IF($G5893&lt;&gt;"ALCOHOL","",IF($K5893="","",$H5893*IFERROR(VLOOKUP($K5893,Drink_Templates!$A:$G,7,FALSE),0)))</f>
        <v/>
      </c>
    </row>
    <row r="5894" ht="15" customHeight="1">
      <c r="C5894">
        <f>IF($B5894="","",INT($B5894))</f>
        <v/>
      </c>
      <c r="D5894">
        <f>IF($C5894="","",$C5894-WEEKDAY($C5894,2)+1)</f>
        <v/>
      </c>
      <c r="E5894">
        <f>IF($C5894="","",DATE(YEAR($C5894),MONTH($C5894),1))</f>
        <v/>
      </c>
      <c r="F5894">
        <f>IF($C5894="","",YEAR($C5894)&amp;"-Q"&amp;ROUNDUP(MONTH($C5894)/3,0))</f>
        <v/>
      </c>
      <c r="L5894">
        <f>IF($G5894&lt;&gt;"ALCOHOL","",IF($K5894="","",$H5894*IFERROR(VLOOKUP($K5894,Drink_Templates!$A:$G,7,FALSE),0)))</f>
        <v/>
      </c>
    </row>
    <row r="5895" ht="15" customHeight="1">
      <c r="C5895">
        <f>IF($B5895="","",INT($B5895))</f>
        <v/>
      </c>
      <c r="D5895">
        <f>IF($C5895="","",$C5895-WEEKDAY($C5895,2)+1)</f>
        <v/>
      </c>
      <c r="E5895">
        <f>IF($C5895="","",DATE(YEAR($C5895),MONTH($C5895),1))</f>
        <v/>
      </c>
      <c r="F5895">
        <f>IF($C5895="","",YEAR($C5895)&amp;"-Q"&amp;ROUNDUP(MONTH($C5895)/3,0))</f>
        <v/>
      </c>
      <c r="L5895">
        <f>IF($G5895&lt;&gt;"ALCOHOL","",IF($K5895="","",$H5895*IFERROR(VLOOKUP($K5895,Drink_Templates!$A:$G,7,FALSE),0)))</f>
        <v/>
      </c>
    </row>
    <row r="5896" ht="15" customHeight="1">
      <c r="C5896">
        <f>IF($B5896="","",INT($B5896))</f>
        <v/>
      </c>
      <c r="D5896">
        <f>IF($C5896="","",$C5896-WEEKDAY($C5896,2)+1)</f>
        <v/>
      </c>
      <c r="E5896">
        <f>IF($C5896="","",DATE(YEAR($C5896),MONTH($C5896),1))</f>
        <v/>
      </c>
      <c r="F5896">
        <f>IF($C5896="","",YEAR($C5896)&amp;"-Q"&amp;ROUNDUP(MONTH($C5896)/3,0))</f>
        <v/>
      </c>
      <c r="L5896">
        <f>IF($G5896&lt;&gt;"ALCOHOL","",IF($K5896="","",$H5896*IFERROR(VLOOKUP($K5896,Drink_Templates!$A:$G,7,FALSE),0)))</f>
        <v/>
      </c>
    </row>
    <row r="5897" ht="15" customHeight="1">
      <c r="C5897">
        <f>IF($B5897="","",INT($B5897))</f>
        <v/>
      </c>
      <c r="D5897">
        <f>IF($C5897="","",$C5897-WEEKDAY($C5897,2)+1)</f>
        <v/>
      </c>
      <c r="E5897">
        <f>IF($C5897="","",DATE(YEAR($C5897),MONTH($C5897),1))</f>
        <v/>
      </c>
      <c r="F5897">
        <f>IF($C5897="","",YEAR($C5897)&amp;"-Q"&amp;ROUNDUP(MONTH($C5897)/3,0))</f>
        <v/>
      </c>
      <c r="L5897">
        <f>IF($G5897&lt;&gt;"ALCOHOL","",IF($K5897="","",$H5897*IFERROR(VLOOKUP($K5897,Drink_Templates!$A:$G,7,FALSE),0)))</f>
        <v/>
      </c>
    </row>
    <row r="5898" ht="15" customHeight="1">
      <c r="C5898">
        <f>IF($B5898="","",INT($B5898))</f>
        <v/>
      </c>
      <c r="D5898">
        <f>IF($C5898="","",$C5898-WEEKDAY($C5898,2)+1)</f>
        <v/>
      </c>
      <c r="E5898">
        <f>IF($C5898="","",DATE(YEAR($C5898),MONTH($C5898),1))</f>
        <v/>
      </c>
      <c r="F5898">
        <f>IF($C5898="","",YEAR($C5898)&amp;"-Q"&amp;ROUNDUP(MONTH($C5898)/3,0))</f>
        <v/>
      </c>
      <c r="L5898">
        <f>IF($G5898&lt;&gt;"ALCOHOL","",IF($K5898="","",$H5898*IFERROR(VLOOKUP($K5898,Drink_Templates!$A:$G,7,FALSE),0)))</f>
        <v/>
      </c>
    </row>
    <row r="5899" ht="15" customHeight="1">
      <c r="C5899">
        <f>IF($B5899="","",INT($B5899))</f>
        <v/>
      </c>
      <c r="D5899">
        <f>IF($C5899="","",$C5899-WEEKDAY($C5899,2)+1)</f>
        <v/>
      </c>
      <c r="E5899">
        <f>IF($C5899="","",DATE(YEAR($C5899),MONTH($C5899),1))</f>
        <v/>
      </c>
      <c r="F5899">
        <f>IF($C5899="","",YEAR($C5899)&amp;"-Q"&amp;ROUNDUP(MONTH($C5899)/3,0))</f>
        <v/>
      </c>
      <c r="L5899">
        <f>IF($G5899&lt;&gt;"ALCOHOL","",IF($K5899="","",$H5899*IFERROR(VLOOKUP($K5899,Drink_Templates!$A:$G,7,FALSE),0)))</f>
        <v/>
      </c>
    </row>
    <row r="5900" ht="15" customHeight="1">
      <c r="C5900">
        <f>IF($B5900="","",INT($B5900))</f>
        <v/>
      </c>
      <c r="D5900">
        <f>IF($C5900="","",$C5900-WEEKDAY($C5900,2)+1)</f>
        <v/>
      </c>
      <c r="E5900">
        <f>IF($C5900="","",DATE(YEAR($C5900),MONTH($C5900),1))</f>
        <v/>
      </c>
      <c r="F5900">
        <f>IF($C5900="","",YEAR($C5900)&amp;"-Q"&amp;ROUNDUP(MONTH($C5900)/3,0))</f>
        <v/>
      </c>
      <c r="L5900">
        <f>IF($G5900&lt;&gt;"ALCOHOL","",IF($K5900="","",$H5900*IFERROR(VLOOKUP($K5900,Drink_Templates!$A:$G,7,FALSE),0)))</f>
        <v/>
      </c>
    </row>
    <row r="5901" ht="15" customHeight="1">
      <c r="C5901">
        <f>IF($B5901="","",INT($B5901))</f>
        <v/>
      </c>
      <c r="D5901">
        <f>IF($C5901="","",$C5901-WEEKDAY($C5901,2)+1)</f>
        <v/>
      </c>
      <c r="E5901">
        <f>IF($C5901="","",DATE(YEAR($C5901),MONTH($C5901),1))</f>
        <v/>
      </c>
      <c r="F5901">
        <f>IF($C5901="","",YEAR($C5901)&amp;"-Q"&amp;ROUNDUP(MONTH($C5901)/3,0))</f>
        <v/>
      </c>
      <c r="L5901">
        <f>IF($G5901&lt;&gt;"ALCOHOL","",IF($K5901="","",$H5901*IFERROR(VLOOKUP($K5901,Drink_Templates!$A:$G,7,FALSE),0)))</f>
        <v/>
      </c>
    </row>
    <row r="5902" ht="15" customHeight="1">
      <c r="C5902">
        <f>IF($B5902="","",INT($B5902))</f>
        <v/>
      </c>
      <c r="D5902">
        <f>IF($C5902="","",$C5902-WEEKDAY($C5902,2)+1)</f>
        <v/>
      </c>
      <c r="E5902">
        <f>IF($C5902="","",DATE(YEAR($C5902),MONTH($C5902),1))</f>
        <v/>
      </c>
      <c r="F5902">
        <f>IF($C5902="","",YEAR($C5902)&amp;"-Q"&amp;ROUNDUP(MONTH($C5902)/3,0))</f>
        <v/>
      </c>
      <c r="L5902">
        <f>IF($G5902&lt;&gt;"ALCOHOL","",IF($K5902="","",$H5902*IFERROR(VLOOKUP($K5902,Drink_Templates!$A:$G,7,FALSE),0)))</f>
        <v/>
      </c>
    </row>
    <row r="5903" ht="15" customHeight="1">
      <c r="C5903">
        <f>IF($B5903="","",INT($B5903))</f>
        <v/>
      </c>
      <c r="D5903">
        <f>IF($C5903="","",$C5903-WEEKDAY($C5903,2)+1)</f>
        <v/>
      </c>
      <c r="E5903">
        <f>IF($C5903="","",DATE(YEAR($C5903),MONTH($C5903),1))</f>
        <v/>
      </c>
      <c r="F5903">
        <f>IF($C5903="","",YEAR($C5903)&amp;"-Q"&amp;ROUNDUP(MONTH($C5903)/3,0))</f>
        <v/>
      </c>
      <c r="L5903">
        <f>IF($G5903&lt;&gt;"ALCOHOL","",IF($K5903="","",$H5903*IFERROR(VLOOKUP($K5903,Drink_Templates!$A:$G,7,FALSE),0)))</f>
        <v/>
      </c>
    </row>
    <row r="5904" ht="15" customHeight="1">
      <c r="C5904">
        <f>IF($B5904="","",INT($B5904))</f>
        <v/>
      </c>
      <c r="D5904">
        <f>IF($C5904="","",$C5904-WEEKDAY($C5904,2)+1)</f>
        <v/>
      </c>
      <c r="E5904">
        <f>IF($C5904="","",DATE(YEAR($C5904),MONTH($C5904),1))</f>
        <v/>
      </c>
      <c r="F5904">
        <f>IF($C5904="","",YEAR($C5904)&amp;"-Q"&amp;ROUNDUP(MONTH($C5904)/3,0))</f>
        <v/>
      </c>
      <c r="L5904">
        <f>IF($G5904&lt;&gt;"ALCOHOL","",IF($K5904="","",$H5904*IFERROR(VLOOKUP($K5904,Drink_Templates!$A:$G,7,FALSE),0)))</f>
        <v/>
      </c>
    </row>
    <row r="5905" ht="15" customHeight="1">
      <c r="C5905">
        <f>IF($B5905="","",INT($B5905))</f>
        <v/>
      </c>
      <c r="D5905">
        <f>IF($C5905="","",$C5905-WEEKDAY($C5905,2)+1)</f>
        <v/>
      </c>
      <c r="E5905">
        <f>IF($C5905="","",DATE(YEAR($C5905),MONTH($C5905),1))</f>
        <v/>
      </c>
      <c r="F5905">
        <f>IF($C5905="","",YEAR($C5905)&amp;"-Q"&amp;ROUNDUP(MONTH($C5905)/3,0))</f>
        <v/>
      </c>
      <c r="L5905">
        <f>IF($G5905&lt;&gt;"ALCOHOL","",IF($K5905="","",$H5905*IFERROR(VLOOKUP($K5905,Drink_Templates!$A:$G,7,FALSE),0)))</f>
        <v/>
      </c>
    </row>
    <row r="5906" ht="15" customHeight="1">
      <c r="C5906">
        <f>IF($B5906="","",INT($B5906))</f>
        <v/>
      </c>
      <c r="D5906">
        <f>IF($C5906="","",$C5906-WEEKDAY($C5906,2)+1)</f>
        <v/>
      </c>
      <c r="E5906">
        <f>IF($C5906="","",DATE(YEAR($C5906),MONTH($C5906),1))</f>
        <v/>
      </c>
      <c r="F5906">
        <f>IF($C5906="","",YEAR($C5906)&amp;"-Q"&amp;ROUNDUP(MONTH($C5906)/3,0))</f>
        <v/>
      </c>
      <c r="L5906">
        <f>IF($G5906&lt;&gt;"ALCOHOL","",IF($K5906="","",$H5906*IFERROR(VLOOKUP($K5906,Drink_Templates!$A:$G,7,FALSE),0)))</f>
        <v/>
      </c>
    </row>
    <row r="5907" ht="15" customHeight="1">
      <c r="C5907">
        <f>IF($B5907="","",INT($B5907))</f>
        <v/>
      </c>
      <c r="D5907">
        <f>IF($C5907="","",$C5907-WEEKDAY($C5907,2)+1)</f>
        <v/>
      </c>
      <c r="E5907">
        <f>IF($C5907="","",DATE(YEAR($C5907),MONTH($C5907),1))</f>
        <v/>
      </c>
      <c r="F5907">
        <f>IF($C5907="","",YEAR($C5907)&amp;"-Q"&amp;ROUNDUP(MONTH($C5907)/3,0))</f>
        <v/>
      </c>
      <c r="L5907">
        <f>IF($G5907&lt;&gt;"ALCOHOL","",IF($K5907="","",$H5907*IFERROR(VLOOKUP($K5907,Drink_Templates!$A:$G,7,FALSE),0)))</f>
        <v/>
      </c>
    </row>
    <row r="5908" ht="15" customHeight="1">
      <c r="C5908">
        <f>IF($B5908="","",INT($B5908))</f>
        <v/>
      </c>
      <c r="D5908">
        <f>IF($C5908="","",$C5908-WEEKDAY($C5908,2)+1)</f>
        <v/>
      </c>
      <c r="E5908">
        <f>IF($C5908="","",DATE(YEAR($C5908),MONTH($C5908),1))</f>
        <v/>
      </c>
      <c r="F5908">
        <f>IF($C5908="","",YEAR($C5908)&amp;"-Q"&amp;ROUNDUP(MONTH($C5908)/3,0))</f>
        <v/>
      </c>
      <c r="L5908">
        <f>IF($G5908&lt;&gt;"ALCOHOL","",IF($K5908="","",$H5908*IFERROR(VLOOKUP($K5908,Drink_Templates!$A:$G,7,FALSE),0)))</f>
        <v/>
      </c>
    </row>
    <row r="5909" ht="15" customHeight="1">
      <c r="C5909">
        <f>IF($B5909="","",INT($B5909))</f>
        <v/>
      </c>
      <c r="D5909">
        <f>IF($C5909="","",$C5909-WEEKDAY($C5909,2)+1)</f>
        <v/>
      </c>
      <c r="E5909">
        <f>IF($C5909="","",DATE(YEAR($C5909),MONTH($C5909),1))</f>
        <v/>
      </c>
      <c r="F5909">
        <f>IF($C5909="","",YEAR($C5909)&amp;"-Q"&amp;ROUNDUP(MONTH($C5909)/3,0))</f>
        <v/>
      </c>
      <c r="L5909">
        <f>IF($G5909&lt;&gt;"ALCOHOL","",IF($K5909="","",$H5909*IFERROR(VLOOKUP($K5909,Drink_Templates!$A:$G,7,FALSE),0)))</f>
        <v/>
      </c>
    </row>
    <row r="5910" ht="15" customHeight="1">
      <c r="C5910">
        <f>IF($B5910="","",INT($B5910))</f>
        <v/>
      </c>
      <c r="D5910">
        <f>IF($C5910="","",$C5910-WEEKDAY($C5910,2)+1)</f>
        <v/>
      </c>
      <c r="E5910">
        <f>IF($C5910="","",DATE(YEAR($C5910),MONTH($C5910),1))</f>
        <v/>
      </c>
      <c r="F5910">
        <f>IF($C5910="","",YEAR($C5910)&amp;"-Q"&amp;ROUNDUP(MONTH($C5910)/3,0))</f>
        <v/>
      </c>
      <c r="L5910">
        <f>IF($G5910&lt;&gt;"ALCOHOL","",IF($K5910="","",$H5910*IFERROR(VLOOKUP($K5910,Drink_Templates!$A:$G,7,FALSE),0)))</f>
        <v/>
      </c>
    </row>
    <row r="5911" ht="15" customHeight="1">
      <c r="C5911">
        <f>IF($B5911="","",INT($B5911))</f>
        <v/>
      </c>
      <c r="D5911">
        <f>IF($C5911="","",$C5911-WEEKDAY($C5911,2)+1)</f>
        <v/>
      </c>
      <c r="E5911">
        <f>IF($C5911="","",DATE(YEAR($C5911),MONTH($C5911),1))</f>
        <v/>
      </c>
      <c r="F5911">
        <f>IF($C5911="","",YEAR($C5911)&amp;"-Q"&amp;ROUNDUP(MONTH($C5911)/3,0))</f>
        <v/>
      </c>
      <c r="L5911">
        <f>IF($G5911&lt;&gt;"ALCOHOL","",IF($K5911="","",$H5911*IFERROR(VLOOKUP($K5911,Drink_Templates!$A:$G,7,FALSE),0)))</f>
        <v/>
      </c>
    </row>
    <row r="5912" ht="15" customHeight="1">
      <c r="C5912">
        <f>IF($B5912="","",INT($B5912))</f>
        <v/>
      </c>
      <c r="D5912">
        <f>IF($C5912="","",$C5912-WEEKDAY($C5912,2)+1)</f>
        <v/>
      </c>
      <c r="E5912">
        <f>IF($C5912="","",DATE(YEAR($C5912),MONTH($C5912),1))</f>
        <v/>
      </c>
      <c r="F5912">
        <f>IF($C5912="","",YEAR($C5912)&amp;"-Q"&amp;ROUNDUP(MONTH($C5912)/3,0))</f>
        <v/>
      </c>
      <c r="L5912">
        <f>IF($G5912&lt;&gt;"ALCOHOL","",IF($K5912="","",$H5912*IFERROR(VLOOKUP($K5912,Drink_Templates!$A:$G,7,FALSE),0)))</f>
        <v/>
      </c>
    </row>
    <row r="5913" ht="15" customHeight="1">
      <c r="C5913">
        <f>IF($B5913="","",INT($B5913))</f>
        <v/>
      </c>
      <c r="D5913">
        <f>IF($C5913="","",$C5913-WEEKDAY($C5913,2)+1)</f>
        <v/>
      </c>
      <c r="E5913">
        <f>IF($C5913="","",DATE(YEAR($C5913),MONTH($C5913),1))</f>
        <v/>
      </c>
      <c r="F5913">
        <f>IF($C5913="","",YEAR($C5913)&amp;"-Q"&amp;ROUNDUP(MONTH($C5913)/3,0))</f>
        <v/>
      </c>
      <c r="L5913">
        <f>IF($G5913&lt;&gt;"ALCOHOL","",IF($K5913="","",$H5913*IFERROR(VLOOKUP($K5913,Drink_Templates!$A:$G,7,FALSE),0)))</f>
        <v/>
      </c>
    </row>
    <row r="5914" ht="15" customHeight="1">
      <c r="C5914">
        <f>IF($B5914="","",INT($B5914))</f>
        <v/>
      </c>
      <c r="D5914">
        <f>IF($C5914="","",$C5914-WEEKDAY($C5914,2)+1)</f>
        <v/>
      </c>
      <c r="E5914">
        <f>IF($C5914="","",DATE(YEAR($C5914),MONTH($C5914),1))</f>
        <v/>
      </c>
      <c r="F5914">
        <f>IF($C5914="","",YEAR($C5914)&amp;"-Q"&amp;ROUNDUP(MONTH($C5914)/3,0))</f>
        <v/>
      </c>
      <c r="L5914">
        <f>IF($G5914&lt;&gt;"ALCOHOL","",IF($K5914="","",$H5914*IFERROR(VLOOKUP($K5914,Drink_Templates!$A:$G,7,FALSE),0)))</f>
        <v/>
      </c>
    </row>
    <row r="5915" ht="15" customHeight="1">
      <c r="C5915">
        <f>IF($B5915="","",INT($B5915))</f>
        <v/>
      </c>
      <c r="D5915">
        <f>IF($C5915="","",$C5915-WEEKDAY($C5915,2)+1)</f>
        <v/>
      </c>
      <c r="E5915">
        <f>IF($C5915="","",DATE(YEAR($C5915),MONTH($C5915),1))</f>
        <v/>
      </c>
      <c r="F5915">
        <f>IF($C5915="","",YEAR($C5915)&amp;"-Q"&amp;ROUNDUP(MONTH($C5915)/3,0))</f>
        <v/>
      </c>
      <c r="L5915">
        <f>IF($G5915&lt;&gt;"ALCOHOL","",IF($K5915="","",$H5915*IFERROR(VLOOKUP($K5915,Drink_Templates!$A:$G,7,FALSE),0)))</f>
        <v/>
      </c>
    </row>
    <row r="5916" ht="15" customHeight="1">
      <c r="C5916">
        <f>IF($B5916="","",INT($B5916))</f>
        <v/>
      </c>
      <c r="D5916">
        <f>IF($C5916="","",$C5916-WEEKDAY($C5916,2)+1)</f>
        <v/>
      </c>
      <c r="E5916">
        <f>IF($C5916="","",DATE(YEAR($C5916),MONTH($C5916),1))</f>
        <v/>
      </c>
      <c r="F5916">
        <f>IF($C5916="","",YEAR($C5916)&amp;"-Q"&amp;ROUNDUP(MONTH($C5916)/3,0))</f>
        <v/>
      </c>
      <c r="L5916">
        <f>IF($G5916&lt;&gt;"ALCOHOL","",IF($K5916="","",$H5916*IFERROR(VLOOKUP($K5916,Drink_Templates!$A:$G,7,FALSE),0)))</f>
        <v/>
      </c>
    </row>
    <row r="5917" ht="15" customHeight="1">
      <c r="C5917">
        <f>IF($B5917="","",INT($B5917))</f>
        <v/>
      </c>
      <c r="D5917">
        <f>IF($C5917="","",$C5917-WEEKDAY($C5917,2)+1)</f>
        <v/>
      </c>
      <c r="E5917">
        <f>IF($C5917="","",DATE(YEAR($C5917),MONTH($C5917),1))</f>
        <v/>
      </c>
      <c r="F5917">
        <f>IF($C5917="","",YEAR($C5917)&amp;"-Q"&amp;ROUNDUP(MONTH($C5917)/3,0))</f>
        <v/>
      </c>
      <c r="L5917">
        <f>IF($G5917&lt;&gt;"ALCOHOL","",IF($K5917="","",$H5917*IFERROR(VLOOKUP($K5917,Drink_Templates!$A:$G,7,FALSE),0)))</f>
        <v/>
      </c>
    </row>
    <row r="5918" ht="15" customHeight="1">
      <c r="C5918">
        <f>IF($B5918="","",INT($B5918))</f>
        <v/>
      </c>
      <c r="D5918">
        <f>IF($C5918="","",$C5918-WEEKDAY($C5918,2)+1)</f>
        <v/>
      </c>
      <c r="E5918">
        <f>IF($C5918="","",DATE(YEAR($C5918),MONTH($C5918),1))</f>
        <v/>
      </c>
      <c r="F5918">
        <f>IF($C5918="","",YEAR($C5918)&amp;"-Q"&amp;ROUNDUP(MONTH($C5918)/3,0))</f>
        <v/>
      </c>
      <c r="L5918">
        <f>IF($G5918&lt;&gt;"ALCOHOL","",IF($K5918="","",$H5918*IFERROR(VLOOKUP($K5918,Drink_Templates!$A:$G,7,FALSE),0)))</f>
        <v/>
      </c>
    </row>
    <row r="5919" ht="15" customHeight="1">
      <c r="C5919">
        <f>IF($B5919="","",INT($B5919))</f>
        <v/>
      </c>
      <c r="D5919">
        <f>IF($C5919="","",$C5919-WEEKDAY($C5919,2)+1)</f>
        <v/>
      </c>
      <c r="E5919">
        <f>IF($C5919="","",DATE(YEAR($C5919),MONTH($C5919),1))</f>
        <v/>
      </c>
      <c r="F5919">
        <f>IF($C5919="","",YEAR($C5919)&amp;"-Q"&amp;ROUNDUP(MONTH($C5919)/3,0))</f>
        <v/>
      </c>
      <c r="L5919">
        <f>IF($G5919&lt;&gt;"ALCOHOL","",IF($K5919="","",$H5919*IFERROR(VLOOKUP($K5919,Drink_Templates!$A:$G,7,FALSE),0)))</f>
        <v/>
      </c>
    </row>
    <row r="5920" ht="15" customHeight="1">
      <c r="C5920">
        <f>IF($B5920="","",INT($B5920))</f>
        <v/>
      </c>
      <c r="D5920">
        <f>IF($C5920="","",$C5920-WEEKDAY($C5920,2)+1)</f>
        <v/>
      </c>
      <c r="E5920">
        <f>IF($C5920="","",DATE(YEAR($C5920),MONTH($C5920),1))</f>
        <v/>
      </c>
      <c r="F5920">
        <f>IF($C5920="","",YEAR($C5920)&amp;"-Q"&amp;ROUNDUP(MONTH($C5920)/3,0))</f>
        <v/>
      </c>
      <c r="L5920">
        <f>IF($G5920&lt;&gt;"ALCOHOL","",IF($K5920="","",$H5920*IFERROR(VLOOKUP($K5920,Drink_Templates!$A:$G,7,FALSE),0)))</f>
        <v/>
      </c>
    </row>
    <row r="5921" ht="15" customHeight="1">
      <c r="C5921">
        <f>IF($B5921="","",INT($B5921))</f>
        <v/>
      </c>
      <c r="D5921">
        <f>IF($C5921="","",$C5921-WEEKDAY($C5921,2)+1)</f>
        <v/>
      </c>
      <c r="E5921">
        <f>IF($C5921="","",DATE(YEAR($C5921),MONTH($C5921),1))</f>
        <v/>
      </c>
      <c r="F5921">
        <f>IF($C5921="","",YEAR($C5921)&amp;"-Q"&amp;ROUNDUP(MONTH($C5921)/3,0))</f>
        <v/>
      </c>
      <c r="L5921">
        <f>IF($G5921&lt;&gt;"ALCOHOL","",IF($K5921="","",$H5921*IFERROR(VLOOKUP($K5921,Drink_Templates!$A:$G,7,FALSE),0)))</f>
        <v/>
      </c>
    </row>
    <row r="5922" ht="15" customHeight="1">
      <c r="C5922">
        <f>IF($B5922="","",INT($B5922))</f>
        <v/>
      </c>
      <c r="D5922">
        <f>IF($C5922="","",$C5922-WEEKDAY($C5922,2)+1)</f>
        <v/>
      </c>
      <c r="E5922">
        <f>IF($C5922="","",DATE(YEAR($C5922),MONTH($C5922),1))</f>
        <v/>
      </c>
      <c r="F5922">
        <f>IF($C5922="","",YEAR($C5922)&amp;"-Q"&amp;ROUNDUP(MONTH($C5922)/3,0))</f>
        <v/>
      </c>
      <c r="L5922">
        <f>IF($G5922&lt;&gt;"ALCOHOL","",IF($K5922="","",$H5922*IFERROR(VLOOKUP($K5922,Drink_Templates!$A:$G,7,FALSE),0)))</f>
        <v/>
      </c>
    </row>
    <row r="5923" ht="15" customHeight="1">
      <c r="C5923">
        <f>IF($B5923="","",INT($B5923))</f>
        <v/>
      </c>
      <c r="D5923">
        <f>IF($C5923="","",$C5923-WEEKDAY($C5923,2)+1)</f>
        <v/>
      </c>
      <c r="E5923">
        <f>IF($C5923="","",DATE(YEAR($C5923),MONTH($C5923),1))</f>
        <v/>
      </c>
      <c r="F5923">
        <f>IF($C5923="","",YEAR($C5923)&amp;"-Q"&amp;ROUNDUP(MONTH($C5923)/3,0))</f>
        <v/>
      </c>
      <c r="L5923">
        <f>IF($G5923&lt;&gt;"ALCOHOL","",IF($K5923="","",$H5923*IFERROR(VLOOKUP($K5923,Drink_Templates!$A:$G,7,FALSE),0)))</f>
        <v/>
      </c>
    </row>
    <row r="5924" ht="15" customHeight="1">
      <c r="C5924">
        <f>IF($B5924="","",INT($B5924))</f>
        <v/>
      </c>
      <c r="D5924">
        <f>IF($C5924="","",$C5924-WEEKDAY($C5924,2)+1)</f>
        <v/>
      </c>
      <c r="E5924">
        <f>IF($C5924="","",DATE(YEAR($C5924),MONTH($C5924),1))</f>
        <v/>
      </c>
      <c r="F5924">
        <f>IF($C5924="","",YEAR($C5924)&amp;"-Q"&amp;ROUNDUP(MONTH($C5924)/3,0))</f>
        <v/>
      </c>
      <c r="L5924">
        <f>IF($G5924&lt;&gt;"ALCOHOL","",IF($K5924="","",$H5924*IFERROR(VLOOKUP($K5924,Drink_Templates!$A:$G,7,FALSE),0)))</f>
        <v/>
      </c>
    </row>
    <row r="5925" ht="15" customHeight="1">
      <c r="C5925">
        <f>IF($B5925="","",INT($B5925))</f>
        <v/>
      </c>
      <c r="D5925">
        <f>IF($C5925="","",$C5925-WEEKDAY($C5925,2)+1)</f>
        <v/>
      </c>
      <c r="E5925">
        <f>IF($C5925="","",DATE(YEAR($C5925),MONTH($C5925),1))</f>
        <v/>
      </c>
      <c r="F5925">
        <f>IF($C5925="","",YEAR($C5925)&amp;"-Q"&amp;ROUNDUP(MONTH($C5925)/3,0))</f>
        <v/>
      </c>
      <c r="L5925">
        <f>IF($G5925&lt;&gt;"ALCOHOL","",IF($K5925="","",$H5925*IFERROR(VLOOKUP($K5925,Drink_Templates!$A:$G,7,FALSE),0)))</f>
        <v/>
      </c>
    </row>
    <row r="5926" ht="15" customHeight="1">
      <c r="C5926">
        <f>IF($B5926="","",INT($B5926))</f>
        <v/>
      </c>
      <c r="D5926">
        <f>IF($C5926="","",$C5926-WEEKDAY($C5926,2)+1)</f>
        <v/>
      </c>
      <c r="E5926">
        <f>IF($C5926="","",DATE(YEAR($C5926),MONTH($C5926),1))</f>
        <v/>
      </c>
      <c r="F5926">
        <f>IF($C5926="","",YEAR($C5926)&amp;"-Q"&amp;ROUNDUP(MONTH($C5926)/3,0))</f>
        <v/>
      </c>
      <c r="L5926">
        <f>IF($G5926&lt;&gt;"ALCOHOL","",IF($K5926="","",$H5926*IFERROR(VLOOKUP($K5926,Drink_Templates!$A:$G,7,FALSE),0)))</f>
        <v/>
      </c>
    </row>
    <row r="5927" ht="15" customHeight="1">
      <c r="C5927">
        <f>IF($B5927="","",INT($B5927))</f>
        <v/>
      </c>
      <c r="D5927">
        <f>IF($C5927="","",$C5927-WEEKDAY($C5927,2)+1)</f>
        <v/>
      </c>
      <c r="E5927">
        <f>IF($C5927="","",DATE(YEAR($C5927),MONTH($C5927),1))</f>
        <v/>
      </c>
      <c r="F5927">
        <f>IF($C5927="","",YEAR($C5927)&amp;"-Q"&amp;ROUNDUP(MONTH($C5927)/3,0))</f>
        <v/>
      </c>
      <c r="L5927">
        <f>IF($G5927&lt;&gt;"ALCOHOL","",IF($K5927="","",$H5927*IFERROR(VLOOKUP($K5927,Drink_Templates!$A:$G,7,FALSE),0)))</f>
        <v/>
      </c>
    </row>
    <row r="5928" ht="15" customHeight="1">
      <c r="C5928">
        <f>IF($B5928="","",INT($B5928))</f>
        <v/>
      </c>
      <c r="D5928">
        <f>IF($C5928="","",$C5928-WEEKDAY($C5928,2)+1)</f>
        <v/>
      </c>
      <c r="E5928">
        <f>IF($C5928="","",DATE(YEAR($C5928),MONTH($C5928),1))</f>
        <v/>
      </c>
      <c r="F5928">
        <f>IF($C5928="","",YEAR($C5928)&amp;"-Q"&amp;ROUNDUP(MONTH($C5928)/3,0))</f>
        <v/>
      </c>
      <c r="L5928">
        <f>IF($G5928&lt;&gt;"ALCOHOL","",IF($K5928="","",$H5928*IFERROR(VLOOKUP($K5928,Drink_Templates!$A:$G,7,FALSE),0)))</f>
        <v/>
      </c>
    </row>
    <row r="5929" ht="15" customHeight="1">
      <c r="C5929">
        <f>IF($B5929="","",INT($B5929))</f>
        <v/>
      </c>
      <c r="D5929">
        <f>IF($C5929="","",$C5929-WEEKDAY($C5929,2)+1)</f>
        <v/>
      </c>
      <c r="E5929">
        <f>IF($C5929="","",DATE(YEAR($C5929),MONTH($C5929),1))</f>
        <v/>
      </c>
      <c r="F5929">
        <f>IF($C5929="","",YEAR($C5929)&amp;"-Q"&amp;ROUNDUP(MONTH($C5929)/3,0))</f>
        <v/>
      </c>
      <c r="L5929">
        <f>IF($G5929&lt;&gt;"ALCOHOL","",IF($K5929="","",$H5929*IFERROR(VLOOKUP($K5929,Drink_Templates!$A:$G,7,FALSE),0)))</f>
        <v/>
      </c>
    </row>
    <row r="5930" ht="15" customHeight="1">
      <c r="C5930">
        <f>IF($B5930="","",INT($B5930))</f>
        <v/>
      </c>
      <c r="D5930">
        <f>IF($C5930="","",$C5930-WEEKDAY($C5930,2)+1)</f>
        <v/>
      </c>
      <c r="E5930">
        <f>IF($C5930="","",DATE(YEAR($C5930),MONTH($C5930),1))</f>
        <v/>
      </c>
      <c r="F5930">
        <f>IF($C5930="","",YEAR($C5930)&amp;"-Q"&amp;ROUNDUP(MONTH($C5930)/3,0))</f>
        <v/>
      </c>
      <c r="L5930">
        <f>IF($G5930&lt;&gt;"ALCOHOL","",IF($K5930="","",$H5930*IFERROR(VLOOKUP($K5930,Drink_Templates!$A:$G,7,FALSE),0)))</f>
        <v/>
      </c>
    </row>
    <row r="5931" ht="15" customHeight="1">
      <c r="C5931">
        <f>IF($B5931="","",INT($B5931))</f>
        <v/>
      </c>
      <c r="D5931">
        <f>IF($C5931="","",$C5931-WEEKDAY($C5931,2)+1)</f>
        <v/>
      </c>
      <c r="E5931">
        <f>IF($C5931="","",DATE(YEAR($C5931),MONTH($C5931),1))</f>
        <v/>
      </c>
      <c r="F5931">
        <f>IF($C5931="","",YEAR($C5931)&amp;"-Q"&amp;ROUNDUP(MONTH($C5931)/3,0))</f>
        <v/>
      </c>
      <c r="L5931">
        <f>IF($G5931&lt;&gt;"ALCOHOL","",IF($K5931="","",$H5931*IFERROR(VLOOKUP($K5931,Drink_Templates!$A:$G,7,FALSE),0)))</f>
        <v/>
      </c>
    </row>
    <row r="5932" ht="15" customHeight="1">
      <c r="C5932">
        <f>IF($B5932="","",INT($B5932))</f>
        <v/>
      </c>
      <c r="D5932">
        <f>IF($C5932="","",$C5932-WEEKDAY($C5932,2)+1)</f>
        <v/>
      </c>
      <c r="E5932">
        <f>IF($C5932="","",DATE(YEAR($C5932),MONTH($C5932),1))</f>
        <v/>
      </c>
      <c r="F5932">
        <f>IF($C5932="","",YEAR($C5932)&amp;"-Q"&amp;ROUNDUP(MONTH($C5932)/3,0))</f>
        <v/>
      </c>
      <c r="L5932">
        <f>IF($G5932&lt;&gt;"ALCOHOL","",IF($K5932="","",$H5932*IFERROR(VLOOKUP($K5932,Drink_Templates!$A:$G,7,FALSE),0)))</f>
        <v/>
      </c>
    </row>
    <row r="5933" ht="15" customHeight="1">
      <c r="C5933">
        <f>IF($B5933="","",INT($B5933))</f>
        <v/>
      </c>
      <c r="D5933">
        <f>IF($C5933="","",$C5933-WEEKDAY($C5933,2)+1)</f>
        <v/>
      </c>
      <c r="E5933">
        <f>IF($C5933="","",DATE(YEAR($C5933),MONTH($C5933),1))</f>
        <v/>
      </c>
      <c r="F5933">
        <f>IF($C5933="","",YEAR($C5933)&amp;"-Q"&amp;ROUNDUP(MONTH($C5933)/3,0))</f>
        <v/>
      </c>
      <c r="L5933">
        <f>IF($G5933&lt;&gt;"ALCOHOL","",IF($K5933="","",$H5933*IFERROR(VLOOKUP($K5933,Drink_Templates!$A:$G,7,FALSE),0)))</f>
        <v/>
      </c>
    </row>
    <row r="5934" ht="15" customHeight="1">
      <c r="C5934">
        <f>IF($B5934="","",INT($B5934))</f>
        <v/>
      </c>
      <c r="D5934">
        <f>IF($C5934="","",$C5934-WEEKDAY($C5934,2)+1)</f>
        <v/>
      </c>
      <c r="E5934">
        <f>IF($C5934="","",DATE(YEAR($C5934),MONTH($C5934),1))</f>
        <v/>
      </c>
      <c r="F5934">
        <f>IF($C5934="","",YEAR($C5934)&amp;"-Q"&amp;ROUNDUP(MONTH($C5934)/3,0))</f>
        <v/>
      </c>
      <c r="L5934">
        <f>IF($G5934&lt;&gt;"ALCOHOL","",IF($K5934="","",$H5934*IFERROR(VLOOKUP($K5934,Drink_Templates!$A:$G,7,FALSE),0)))</f>
        <v/>
      </c>
    </row>
    <row r="5935" ht="15" customHeight="1">
      <c r="C5935">
        <f>IF($B5935="","",INT($B5935))</f>
        <v/>
      </c>
      <c r="D5935">
        <f>IF($C5935="","",$C5935-WEEKDAY($C5935,2)+1)</f>
        <v/>
      </c>
      <c r="E5935">
        <f>IF($C5935="","",DATE(YEAR($C5935),MONTH($C5935),1))</f>
        <v/>
      </c>
      <c r="F5935">
        <f>IF($C5935="","",YEAR($C5935)&amp;"-Q"&amp;ROUNDUP(MONTH($C5935)/3,0))</f>
        <v/>
      </c>
      <c r="L5935">
        <f>IF($G5935&lt;&gt;"ALCOHOL","",IF($K5935="","",$H5935*IFERROR(VLOOKUP($K5935,Drink_Templates!$A:$G,7,FALSE),0)))</f>
        <v/>
      </c>
    </row>
    <row r="5936" ht="15" customHeight="1">
      <c r="C5936">
        <f>IF($B5936="","",INT($B5936))</f>
        <v/>
      </c>
      <c r="D5936">
        <f>IF($C5936="","",$C5936-WEEKDAY($C5936,2)+1)</f>
        <v/>
      </c>
      <c r="E5936">
        <f>IF($C5936="","",DATE(YEAR($C5936),MONTH($C5936),1))</f>
        <v/>
      </c>
      <c r="F5936">
        <f>IF($C5936="","",YEAR($C5936)&amp;"-Q"&amp;ROUNDUP(MONTH($C5936)/3,0))</f>
        <v/>
      </c>
      <c r="L5936">
        <f>IF($G5936&lt;&gt;"ALCOHOL","",IF($K5936="","",$H5936*IFERROR(VLOOKUP($K5936,Drink_Templates!$A:$G,7,FALSE),0)))</f>
        <v/>
      </c>
    </row>
    <row r="5937" ht="15" customHeight="1">
      <c r="C5937">
        <f>IF($B5937="","",INT($B5937))</f>
        <v/>
      </c>
      <c r="D5937">
        <f>IF($C5937="","",$C5937-WEEKDAY($C5937,2)+1)</f>
        <v/>
      </c>
      <c r="E5937">
        <f>IF($C5937="","",DATE(YEAR($C5937),MONTH($C5937),1))</f>
        <v/>
      </c>
      <c r="F5937">
        <f>IF($C5937="","",YEAR($C5937)&amp;"-Q"&amp;ROUNDUP(MONTH($C5937)/3,0))</f>
        <v/>
      </c>
      <c r="L5937">
        <f>IF($G5937&lt;&gt;"ALCOHOL","",IF($K5937="","",$H5937*IFERROR(VLOOKUP($K5937,Drink_Templates!$A:$G,7,FALSE),0)))</f>
        <v/>
      </c>
    </row>
    <row r="5938" ht="15" customHeight="1">
      <c r="C5938">
        <f>IF($B5938="","",INT($B5938))</f>
        <v/>
      </c>
      <c r="D5938">
        <f>IF($C5938="","",$C5938-WEEKDAY($C5938,2)+1)</f>
        <v/>
      </c>
      <c r="E5938">
        <f>IF($C5938="","",DATE(YEAR($C5938),MONTH($C5938),1))</f>
        <v/>
      </c>
      <c r="F5938">
        <f>IF($C5938="","",YEAR($C5938)&amp;"-Q"&amp;ROUNDUP(MONTH($C5938)/3,0))</f>
        <v/>
      </c>
      <c r="L5938">
        <f>IF($G5938&lt;&gt;"ALCOHOL","",IF($K5938="","",$H5938*IFERROR(VLOOKUP($K5938,Drink_Templates!$A:$G,7,FALSE),0)))</f>
        <v/>
      </c>
    </row>
    <row r="5939" ht="15" customHeight="1">
      <c r="C5939">
        <f>IF($B5939="","",INT($B5939))</f>
        <v/>
      </c>
      <c r="D5939">
        <f>IF($C5939="","",$C5939-WEEKDAY($C5939,2)+1)</f>
        <v/>
      </c>
      <c r="E5939">
        <f>IF($C5939="","",DATE(YEAR($C5939),MONTH($C5939),1))</f>
        <v/>
      </c>
      <c r="F5939">
        <f>IF($C5939="","",YEAR($C5939)&amp;"-Q"&amp;ROUNDUP(MONTH($C5939)/3,0))</f>
        <v/>
      </c>
      <c r="L5939">
        <f>IF($G5939&lt;&gt;"ALCOHOL","",IF($K5939="","",$H5939*IFERROR(VLOOKUP($K5939,Drink_Templates!$A:$G,7,FALSE),0)))</f>
        <v/>
      </c>
    </row>
    <row r="5940" ht="15" customHeight="1">
      <c r="C5940">
        <f>IF($B5940="","",INT($B5940))</f>
        <v/>
      </c>
      <c r="D5940">
        <f>IF($C5940="","",$C5940-WEEKDAY($C5940,2)+1)</f>
        <v/>
      </c>
      <c r="E5940">
        <f>IF($C5940="","",DATE(YEAR($C5940),MONTH($C5940),1))</f>
        <v/>
      </c>
      <c r="F5940">
        <f>IF($C5940="","",YEAR($C5940)&amp;"-Q"&amp;ROUNDUP(MONTH($C5940)/3,0))</f>
        <v/>
      </c>
      <c r="L5940">
        <f>IF($G5940&lt;&gt;"ALCOHOL","",IF($K5940="","",$H5940*IFERROR(VLOOKUP($K5940,Drink_Templates!$A:$G,7,FALSE),0)))</f>
        <v/>
      </c>
    </row>
    <row r="5941" ht="15" customHeight="1">
      <c r="C5941">
        <f>IF($B5941="","",INT($B5941))</f>
        <v/>
      </c>
      <c r="D5941">
        <f>IF($C5941="","",$C5941-WEEKDAY($C5941,2)+1)</f>
        <v/>
      </c>
      <c r="E5941">
        <f>IF($C5941="","",DATE(YEAR($C5941),MONTH($C5941),1))</f>
        <v/>
      </c>
      <c r="F5941">
        <f>IF($C5941="","",YEAR($C5941)&amp;"-Q"&amp;ROUNDUP(MONTH($C5941)/3,0))</f>
        <v/>
      </c>
      <c r="L5941">
        <f>IF($G5941&lt;&gt;"ALCOHOL","",IF($K5941="","",$H5941*IFERROR(VLOOKUP($K5941,Drink_Templates!$A:$G,7,FALSE),0)))</f>
        <v/>
      </c>
    </row>
    <row r="5942" ht="15" customHeight="1">
      <c r="C5942">
        <f>IF($B5942="","",INT($B5942))</f>
        <v/>
      </c>
      <c r="D5942">
        <f>IF($C5942="","",$C5942-WEEKDAY($C5942,2)+1)</f>
        <v/>
      </c>
      <c r="E5942">
        <f>IF($C5942="","",DATE(YEAR($C5942),MONTH($C5942),1))</f>
        <v/>
      </c>
      <c r="F5942">
        <f>IF($C5942="","",YEAR($C5942)&amp;"-Q"&amp;ROUNDUP(MONTH($C5942)/3,0))</f>
        <v/>
      </c>
      <c r="L5942">
        <f>IF($G5942&lt;&gt;"ALCOHOL","",IF($K5942="","",$H5942*IFERROR(VLOOKUP($K5942,Drink_Templates!$A:$G,7,FALSE),0)))</f>
        <v/>
      </c>
    </row>
    <row r="5943" ht="15" customHeight="1">
      <c r="C5943">
        <f>IF($B5943="","",INT($B5943))</f>
        <v/>
      </c>
      <c r="D5943">
        <f>IF($C5943="","",$C5943-WEEKDAY($C5943,2)+1)</f>
        <v/>
      </c>
      <c r="E5943">
        <f>IF($C5943="","",DATE(YEAR($C5943),MONTH($C5943),1))</f>
        <v/>
      </c>
      <c r="F5943">
        <f>IF($C5943="","",YEAR($C5943)&amp;"-Q"&amp;ROUNDUP(MONTH($C5943)/3,0))</f>
        <v/>
      </c>
      <c r="L5943">
        <f>IF($G5943&lt;&gt;"ALCOHOL","",IF($K5943="","",$H5943*IFERROR(VLOOKUP($K5943,Drink_Templates!$A:$G,7,FALSE),0)))</f>
        <v/>
      </c>
    </row>
    <row r="5944" ht="15" customHeight="1">
      <c r="C5944">
        <f>IF($B5944="","",INT($B5944))</f>
        <v/>
      </c>
      <c r="D5944">
        <f>IF($C5944="","",$C5944-WEEKDAY($C5944,2)+1)</f>
        <v/>
      </c>
      <c r="E5944">
        <f>IF($C5944="","",DATE(YEAR($C5944),MONTH($C5944),1))</f>
        <v/>
      </c>
      <c r="F5944">
        <f>IF($C5944="","",YEAR($C5944)&amp;"-Q"&amp;ROUNDUP(MONTH($C5944)/3,0))</f>
        <v/>
      </c>
      <c r="L5944">
        <f>IF($G5944&lt;&gt;"ALCOHOL","",IF($K5944="","",$H5944*IFERROR(VLOOKUP($K5944,Drink_Templates!$A:$G,7,FALSE),0)))</f>
        <v/>
      </c>
    </row>
    <row r="5945" ht="15" customHeight="1">
      <c r="C5945">
        <f>IF($B5945="","",INT($B5945))</f>
        <v/>
      </c>
      <c r="D5945">
        <f>IF($C5945="","",$C5945-WEEKDAY($C5945,2)+1)</f>
        <v/>
      </c>
      <c r="E5945">
        <f>IF($C5945="","",DATE(YEAR($C5945),MONTH($C5945),1))</f>
        <v/>
      </c>
      <c r="F5945">
        <f>IF($C5945="","",YEAR($C5945)&amp;"-Q"&amp;ROUNDUP(MONTH($C5945)/3,0))</f>
        <v/>
      </c>
      <c r="L5945">
        <f>IF($G5945&lt;&gt;"ALCOHOL","",IF($K5945="","",$H5945*IFERROR(VLOOKUP($K5945,Drink_Templates!$A:$G,7,FALSE),0)))</f>
        <v/>
      </c>
    </row>
    <row r="5946" ht="15" customHeight="1">
      <c r="C5946">
        <f>IF($B5946="","",INT($B5946))</f>
        <v/>
      </c>
      <c r="D5946">
        <f>IF($C5946="","",$C5946-WEEKDAY($C5946,2)+1)</f>
        <v/>
      </c>
      <c r="E5946">
        <f>IF($C5946="","",DATE(YEAR($C5946),MONTH($C5946),1))</f>
        <v/>
      </c>
      <c r="F5946">
        <f>IF($C5946="","",YEAR($C5946)&amp;"-Q"&amp;ROUNDUP(MONTH($C5946)/3,0))</f>
        <v/>
      </c>
      <c r="L5946">
        <f>IF($G5946&lt;&gt;"ALCOHOL","",IF($K5946="","",$H5946*IFERROR(VLOOKUP($K5946,Drink_Templates!$A:$G,7,FALSE),0)))</f>
        <v/>
      </c>
    </row>
    <row r="5947" ht="15" customHeight="1">
      <c r="C5947">
        <f>IF($B5947="","",INT($B5947))</f>
        <v/>
      </c>
      <c r="D5947">
        <f>IF($C5947="","",$C5947-WEEKDAY($C5947,2)+1)</f>
        <v/>
      </c>
      <c r="E5947">
        <f>IF($C5947="","",DATE(YEAR($C5947),MONTH($C5947),1))</f>
        <v/>
      </c>
      <c r="F5947">
        <f>IF($C5947="","",YEAR($C5947)&amp;"-Q"&amp;ROUNDUP(MONTH($C5947)/3,0))</f>
        <v/>
      </c>
      <c r="L5947">
        <f>IF($G5947&lt;&gt;"ALCOHOL","",IF($K5947="","",$H5947*IFERROR(VLOOKUP($K5947,Drink_Templates!$A:$G,7,FALSE),0)))</f>
        <v/>
      </c>
    </row>
    <row r="5948" ht="15" customHeight="1">
      <c r="C5948">
        <f>IF($B5948="","",INT($B5948))</f>
        <v/>
      </c>
      <c r="D5948">
        <f>IF($C5948="","",$C5948-WEEKDAY($C5948,2)+1)</f>
        <v/>
      </c>
      <c r="E5948">
        <f>IF($C5948="","",DATE(YEAR($C5948),MONTH($C5948),1))</f>
        <v/>
      </c>
      <c r="F5948">
        <f>IF($C5948="","",YEAR($C5948)&amp;"-Q"&amp;ROUNDUP(MONTH($C5948)/3,0))</f>
        <v/>
      </c>
      <c r="L5948">
        <f>IF($G5948&lt;&gt;"ALCOHOL","",IF($K5948="","",$H5948*IFERROR(VLOOKUP($K5948,Drink_Templates!$A:$G,7,FALSE),0)))</f>
        <v/>
      </c>
    </row>
    <row r="5949" ht="15" customHeight="1">
      <c r="C5949">
        <f>IF($B5949="","",INT($B5949))</f>
        <v/>
      </c>
      <c r="D5949">
        <f>IF($C5949="","",$C5949-WEEKDAY($C5949,2)+1)</f>
        <v/>
      </c>
      <c r="E5949">
        <f>IF($C5949="","",DATE(YEAR($C5949),MONTH($C5949),1))</f>
        <v/>
      </c>
      <c r="F5949">
        <f>IF($C5949="","",YEAR($C5949)&amp;"-Q"&amp;ROUNDUP(MONTH($C5949)/3,0))</f>
        <v/>
      </c>
      <c r="L5949">
        <f>IF($G5949&lt;&gt;"ALCOHOL","",IF($K5949="","",$H5949*IFERROR(VLOOKUP($K5949,Drink_Templates!$A:$G,7,FALSE),0)))</f>
        <v/>
      </c>
    </row>
    <row r="5950" ht="15" customHeight="1">
      <c r="C5950">
        <f>IF($B5950="","",INT($B5950))</f>
        <v/>
      </c>
      <c r="D5950">
        <f>IF($C5950="","",$C5950-WEEKDAY($C5950,2)+1)</f>
        <v/>
      </c>
      <c r="E5950">
        <f>IF($C5950="","",DATE(YEAR($C5950),MONTH($C5950),1))</f>
        <v/>
      </c>
      <c r="F5950">
        <f>IF($C5950="","",YEAR($C5950)&amp;"-Q"&amp;ROUNDUP(MONTH($C5950)/3,0))</f>
        <v/>
      </c>
      <c r="L5950">
        <f>IF($G5950&lt;&gt;"ALCOHOL","",IF($K5950="","",$H5950*IFERROR(VLOOKUP($K5950,Drink_Templates!$A:$G,7,FALSE),0)))</f>
        <v/>
      </c>
    </row>
    <row r="5951" ht="15" customHeight="1">
      <c r="C5951">
        <f>IF($B5951="","",INT($B5951))</f>
        <v/>
      </c>
      <c r="D5951">
        <f>IF($C5951="","",$C5951-WEEKDAY($C5951,2)+1)</f>
        <v/>
      </c>
      <c r="E5951">
        <f>IF($C5951="","",DATE(YEAR($C5951),MONTH($C5951),1))</f>
        <v/>
      </c>
      <c r="F5951">
        <f>IF($C5951="","",YEAR($C5951)&amp;"-Q"&amp;ROUNDUP(MONTH($C5951)/3,0))</f>
        <v/>
      </c>
      <c r="L5951">
        <f>IF($G5951&lt;&gt;"ALCOHOL","",IF($K5951="","",$H5951*IFERROR(VLOOKUP($K5951,Drink_Templates!$A:$G,7,FALSE),0)))</f>
        <v/>
      </c>
    </row>
    <row r="5952" ht="15" customHeight="1">
      <c r="C5952">
        <f>IF($B5952="","",INT($B5952))</f>
        <v/>
      </c>
      <c r="D5952">
        <f>IF($C5952="","",$C5952-WEEKDAY($C5952,2)+1)</f>
        <v/>
      </c>
      <c r="E5952">
        <f>IF($C5952="","",DATE(YEAR($C5952),MONTH($C5952),1))</f>
        <v/>
      </c>
      <c r="F5952">
        <f>IF($C5952="","",YEAR($C5952)&amp;"-Q"&amp;ROUNDUP(MONTH($C5952)/3,0))</f>
        <v/>
      </c>
      <c r="L5952">
        <f>IF($G5952&lt;&gt;"ALCOHOL","",IF($K5952="","",$H5952*IFERROR(VLOOKUP($K5952,Drink_Templates!$A:$G,7,FALSE),0)))</f>
        <v/>
      </c>
    </row>
    <row r="5953" ht="15" customHeight="1">
      <c r="C5953">
        <f>IF($B5953="","",INT($B5953))</f>
        <v/>
      </c>
      <c r="D5953">
        <f>IF($C5953="","",$C5953-WEEKDAY($C5953,2)+1)</f>
        <v/>
      </c>
      <c r="E5953">
        <f>IF($C5953="","",DATE(YEAR($C5953),MONTH($C5953),1))</f>
        <v/>
      </c>
      <c r="F5953">
        <f>IF($C5953="","",YEAR($C5953)&amp;"-Q"&amp;ROUNDUP(MONTH($C5953)/3,0))</f>
        <v/>
      </c>
      <c r="L5953">
        <f>IF($G5953&lt;&gt;"ALCOHOL","",IF($K5953="","",$H5953*IFERROR(VLOOKUP($K5953,Drink_Templates!$A:$G,7,FALSE),0)))</f>
        <v/>
      </c>
    </row>
    <row r="5954" ht="15" customHeight="1">
      <c r="C5954">
        <f>IF($B5954="","",INT($B5954))</f>
        <v/>
      </c>
      <c r="D5954">
        <f>IF($C5954="","",$C5954-WEEKDAY($C5954,2)+1)</f>
        <v/>
      </c>
      <c r="E5954">
        <f>IF($C5954="","",DATE(YEAR($C5954),MONTH($C5954),1))</f>
        <v/>
      </c>
      <c r="F5954">
        <f>IF($C5954="","",YEAR($C5954)&amp;"-Q"&amp;ROUNDUP(MONTH($C5954)/3,0))</f>
        <v/>
      </c>
      <c r="L5954">
        <f>IF($G5954&lt;&gt;"ALCOHOL","",IF($K5954="","",$H5954*IFERROR(VLOOKUP($K5954,Drink_Templates!$A:$G,7,FALSE),0)))</f>
        <v/>
      </c>
    </row>
    <row r="5955" ht="15" customHeight="1">
      <c r="C5955">
        <f>IF($B5955="","",INT($B5955))</f>
        <v/>
      </c>
      <c r="D5955">
        <f>IF($C5955="","",$C5955-WEEKDAY($C5955,2)+1)</f>
        <v/>
      </c>
      <c r="E5955">
        <f>IF($C5955="","",DATE(YEAR($C5955),MONTH($C5955),1))</f>
        <v/>
      </c>
      <c r="F5955">
        <f>IF($C5955="","",YEAR($C5955)&amp;"-Q"&amp;ROUNDUP(MONTH($C5955)/3,0))</f>
        <v/>
      </c>
      <c r="L5955">
        <f>IF($G5955&lt;&gt;"ALCOHOL","",IF($K5955="","",$H5955*IFERROR(VLOOKUP($K5955,Drink_Templates!$A:$G,7,FALSE),0)))</f>
        <v/>
      </c>
    </row>
    <row r="5956" ht="15" customHeight="1">
      <c r="C5956">
        <f>IF($B5956="","",INT($B5956))</f>
        <v/>
      </c>
      <c r="D5956">
        <f>IF($C5956="","",$C5956-WEEKDAY($C5956,2)+1)</f>
        <v/>
      </c>
      <c r="E5956">
        <f>IF($C5956="","",DATE(YEAR($C5956),MONTH($C5956),1))</f>
        <v/>
      </c>
      <c r="F5956">
        <f>IF($C5956="","",YEAR($C5956)&amp;"-Q"&amp;ROUNDUP(MONTH($C5956)/3,0))</f>
        <v/>
      </c>
      <c r="L5956">
        <f>IF($G5956&lt;&gt;"ALCOHOL","",IF($K5956="","",$H5956*IFERROR(VLOOKUP($K5956,Drink_Templates!$A:$G,7,FALSE),0)))</f>
        <v/>
      </c>
    </row>
    <row r="5957" ht="15" customHeight="1">
      <c r="C5957">
        <f>IF($B5957="","",INT($B5957))</f>
        <v/>
      </c>
      <c r="D5957">
        <f>IF($C5957="","",$C5957-WEEKDAY($C5957,2)+1)</f>
        <v/>
      </c>
      <c r="E5957">
        <f>IF($C5957="","",DATE(YEAR($C5957),MONTH($C5957),1))</f>
        <v/>
      </c>
      <c r="F5957">
        <f>IF($C5957="","",YEAR($C5957)&amp;"-Q"&amp;ROUNDUP(MONTH($C5957)/3,0))</f>
        <v/>
      </c>
      <c r="L5957">
        <f>IF($G5957&lt;&gt;"ALCOHOL","",IF($K5957="","",$H5957*IFERROR(VLOOKUP($K5957,Drink_Templates!$A:$G,7,FALSE),0)))</f>
        <v/>
      </c>
    </row>
    <row r="5958" ht="15" customHeight="1">
      <c r="C5958">
        <f>IF($B5958="","",INT($B5958))</f>
        <v/>
      </c>
      <c r="D5958">
        <f>IF($C5958="","",$C5958-WEEKDAY($C5958,2)+1)</f>
        <v/>
      </c>
      <c r="E5958">
        <f>IF($C5958="","",DATE(YEAR($C5958),MONTH($C5958),1))</f>
        <v/>
      </c>
      <c r="F5958">
        <f>IF($C5958="","",YEAR($C5958)&amp;"-Q"&amp;ROUNDUP(MONTH($C5958)/3,0))</f>
        <v/>
      </c>
      <c r="L5958">
        <f>IF($G5958&lt;&gt;"ALCOHOL","",IF($K5958="","",$H5958*IFERROR(VLOOKUP($K5958,Drink_Templates!$A:$G,7,FALSE),0)))</f>
        <v/>
      </c>
    </row>
    <row r="5959" ht="15" customHeight="1">
      <c r="C5959">
        <f>IF($B5959="","",INT($B5959))</f>
        <v/>
      </c>
      <c r="D5959">
        <f>IF($C5959="","",$C5959-WEEKDAY($C5959,2)+1)</f>
        <v/>
      </c>
      <c r="E5959">
        <f>IF($C5959="","",DATE(YEAR($C5959),MONTH($C5959),1))</f>
        <v/>
      </c>
      <c r="F5959">
        <f>IF($C5959="","",YEAR($C5959)&amp;"-Q"&amp;ROUNDUP(MONTH($C5959)/3,0))</f>
        <v/>
      </c>
      <c r="L5959">
        <f>IF($G5959&lt;&gt;"ALCOHOL","",IF($K5959="","",$H5959*IFERROR(VLOOKUP($K5959,Drink_Templates!$A:$G,7,FALSE),0)))</f>
        <v/>
      </c>
    </row>
    <row r="5960" ht="15" customHeight="1">
      <c r="C5960">
        <f>IF($B5960="","",INT($B5960))</f>
        <v/>
      </c>
      <c r="D5960">
        <f>IF($C5960="","",$C5960-WEEKDAY($C5960,2)+1)</f>
        <v/>
      </c>
      <c r="E5960">
        <f>IF($C5960="","",DATE(YEAR($C5960),MONTH($C5960),1))</f>
        <v/>
      </c>
      <c r="F5960">
        <f>IF($C5960="","",YEAR($C5960)&amp;"-Q"&amp;ROUNDUP(MONTH($C5960)/3,0))</f>
        <v/>
      </c>
      <c r="L5960">
        <f>IF($G5960&lt;&gt;"ALCOHOL","",IF($K5960="","",$H5960*IFERROR(VLOOKUP($K5960,Drink_Templates!$A:$G,7,FALSE),0)))</f>
        <v/>
      </c>
    </row>
    <row r="5961" ht="15" customHeight="1">
      <c r="C5961">
        <f>IF($B5961="","",INT($B5961))</f>
        <v/>
      </c>
      <c r="D5961">
        <f>IF($C5961="","",$C5961-WEEKDAY($C5961,2)+1)</f>
        <v/>
      </c>
      <c r="E5961">
        <f>IF($C5961="","",DATE(YEAR($C5961),MONTH($C5961),1))</f>
        <v/>
      </c>
      <c r="F5961">
        <f>IF($C5961="","",YEAR($C5961)&amp;"-Q"&amp;ROUNDUP(MONTH($C5961)/3,0))</f>
        <v/>
      </c>
      <c r="L5961">
        <f>IF($G5961&lt;&gt;"ALCOHOL","",IF($K5961="","",$H5961*IFERROR(VLOOKUP($K5961,Drink_Templates!$A:$G,7,FALSE),0)))</f>
        <v/>
      </c>
    </row>
    <row r="5962" ht="15" customHeight="1">
      <c r="C5962">
        <f>IF($B5962="","",INT($B5962))</f>
        <v/>
      </c>
      <c r="D5962">
        <f>IF($C5962="","",$C5962-WEEKDAY($C5962,2)+1)</f>
        <v/>
      </c>
      <c r="E5962">
        <f>IF($C5962="","",DATE(YEAR($C5962),MONTH($C5962),1))</f>
        <v/>
      </c>
      <c r="F5962">
        <f>IF($C5962="","",YEAR($C5962)&amp;"-Q"&amp;ROUNDUP(MONTH($C5962)/3,0))</f>
        <v/>
      </c>
      <c r="L5962">
        <f>IF($G5962&lt;&gt;"ALCOHOL","",IF($K5962="","",$H5962*IFERROR(VLOOKUP($K5962,Drink_Templates!$A:$G,7,FALSE),0)))</f>
        <v/>
      </c>
    </row>
    <row r="5963" ht="15" customHeight="1">
      <c r="C5963">
        <f>IF($B5963="","",INT($B5963))</f>
        <v/>
      </c>
      <c r="D5963">
        <f>IF($C5963="","",$C5963-WEEKDAY($C5963,2)+1)</f>
        <v/>
      </c>
      <c r="E5963">
        <f>IF($C5963="","",DATE(YEAR($C5963),MONTH($C5963),1))</f>
        <v/>
      </c>
      <c r="F5963">
        <f>IF($C5963="","",YEAR($C5963)&amp;"-Q"&amp;ROUNDUP(MONTH($C5963)/3,0))</f>
        <v/>
      </c>
      <c r="L5963">
        <f>IF($G5963&lt;&gt;"ALCOHOL","",IF($K5963="","",$H5963*IFERROR(VLOOKUP($K5963,Drink_Templates!$A:$G,7,FALSE),0)))</f>
        <v/>
      </c>
    </row>
    <row r="5964" ht="15" customHeight="1">
      <c r="C5964">
        <f>IF($B5964="","",INT($B5964))</f>
        <v/>
      </c>
      <c r="D5964">
        <f>IF($C5964="","",$C5964-WEEKDAY($C5964,2)+1)</f>
        <v/>
      </c>
      <c r="E5964">
        <f>IF($C5964="","",DATE(YEAR($C5964),MONTH($C5964),1))</f>
        <v/>
      </c>
      <c r="F5964">
        <f>IF($C5964="","",YEAR($C5964)&amp;"-Q"&amp;ROUNDUP(MONTH($C5964)/3,0))</f>
        <v/>
      </c>
      <c r="L5964">
        <f>IF($G5964&lt;&gt;"ALCOHOL","",IF($K5964="","",$H5964*IFERROR(VLOOKUP($K5964,Drink_Templates!$A:$G,7,FALSE),0)))</f>
        <v/>
      </c>
    </row>
    <row r="5965" ht="15" customHeight="1">
      <c r="C5965">
        <f>IF($B5965="","",INT($B5965))</f>
        <v/>
      </c>
      <c r="D5965">
        <f>IF($C5965="","",$C5965-WEEKDAY($C5965,2)+1)</f>
        <v/>
      </c>
      <c r="E5965">
        <f>IF($C5965="","",DATE(YEAR($C5965),MONTH($C5965),1))</f>
        <v/>
      </c>
      <c r="F5965">
        <f>IF($C5965="","",YEAR($C5965)&amp;"-Q"&amp;ROUNDUP(MONTH($C5965)/3,0))</f>
        <v/>
      </c>
      <c r="L5965">
        <f>IF($G5965&lt;&gt;"ALCOHOL","",IF($K5965="","",$H5965*IFERROR(VLOOKUP($K5965,Drink_Templates!$A:$G,7,FALSE),0)))</f>
        <v/>
      </c>
    </row>
    <row r="5966" ht="15" customHeight="1">
      <c r="C5966">
        <f>IF($B5966="","",INT($B5966))</f>
        <v/>
      </c>
      <c r="D5966">
        <f>IF($C5966="","",$C5966-WEEKDAY($C5966,2)+1)</f>
        <v/>
      </c>
      <c r="E5966">
        <f>IF($C5966="","",DATE(YEAR($C5966),MONTH($C5966),1))</f>
        <v/>
      </c>
      <c r="F5966">
        <f>IF($C5966="","",YEAR($C5966)&amp;"-Q"&amp;ROUNDUP(MONTH($C5966)/3,0))</f>
        <v/>
      </c>
      <c r="L5966">
        <f>IF($G5966&lt;&gt;"ALCOHOL","",IF($K5966="","",$H5966*IFERROR(VLOOKUP($K5966,Drink_Templates!$A:$G,7,FALSE),0)))</f>
        <v/>
      </c>
    </row>
    <row r="5967" ht="15" customHeight="1">
      <c r="C5967">
        <f>IF($B5967="","",INT($B5967))</f>
        <v/>
      </c>
      <c r="D5967">
        <f>IF($C5967="","",$C5967-WEEKDAY($C5967,2)+1)</f>
        <v/>
      </c>
      <c r="E5967">
        <f>IF($C5967="","",DATE(YEAR($C5967),MONTH($C5967),1))</f>
        <v/>
      </c>
      <c r="F5967">
        <f>IF($C5967="","",YEAR($C5967)&amp;"-Q"&amp;ROUNDUP(MONTH($C5967)/3,0))</f>
        <v/>
      </c>
      <c r="L5967">
        <f>IF($G5967&lt;&gt;"ALCOHOL","",IF($K5967="","",$H5967*IFERROR(VLOOKUP($K5967,Drink_Templates!$A:$G,7,FALSE),0)))</f>
        <v/>
      </c>
    </row>
    <row r="5968" ht="15" customHeight="1">
      <c r="C5968">
        <f>IF($B5968="","",INT($B5968))</f>
        <v/>
      </c>
      <c r="D5968">
        <f>IF($C5968="","",$C5968-WEEKDAY($C5968,2)+1)</f>
        <v/>
      </c>
      <c r="E5968">
        <f>IF($C5968="","",DATE(YEAR($C5968),MONTH($C5968),1))</f>
        <v/>
      </c>
      <c r="F5968">
        <f>IF($C5968="","",YEAR($C5968)&amp;"-Q"&amp;ROUNDUP(MONTH($C5968)/3,0))</f>
        <v/>
      </c>
      <c r="L5968">
        <f>IF($G5968&lt;&gt;"ALCOHOL","",IF($K5968="","",$H5968*IFERROR(VLOOKUP($K5968,Drink_Templates!$A:$G,7,FALSE),0)))</f>
        <v/>
      </c>
    </row>
    <row r="5969" ht="15" customHeight="1">
      <c r="C5969">
        <f>IF($B5969="","",INT($B5969))</f>
        <v/>
      </c>
      <c r="D5969">
        <f>IF($C5969="","",$C5969-WEEKDAY($C5969,2)+1)</f>
        <v/>
      </c>
      <c r="E5969">
        <f>IF($C5969="","",DATE(YEAR($C5969),MONTH($C5969),1))</f>
        <v/>
      </c>
      <c r="F5969">
        <f>IF($C5969="","",YEAR($C5969)&amp;"-Q"&amp;ROUNDUP(MONTH($C5969)/3,0))</f>
        <v/>
      </c>
      <c r="L5969">
        <f>IF($G5969&lt;&gt;"ALCOHOL","",IF($K5969="","",$H5969*IFERROR(VLOOKUP($K5969,Drink_Templates!$A:$G,7,FALSE),0)))</f>
        <v/>
      </c>
    </row>
    <row r="5970" ht="15" customHeight="1">
      <c r="C5970">
        <f>IF($B5970="","",INT($B5970))</f>
        <v/>
      </c>
      <c r="D5970">
        <f>IF($C5970="","",$C5970-WEEKDAY($C5970,2)+1)</f>
        <v/>
      </c>
      <c r="E5970">
        <f>IF($C5970="","",DATE(YEAR($C5970),MONTH($C5970),1))</f>
        <v/>
      </c>
      <c r="F5970">
        <f>IF($C5970="","",YEAR($C5970)&amp;"-Q"&amp;ROUNDUP(MONTH($C5970)/3,0))</f>
        <v/>
      </c>
      <c r="L5970">
        <f>IF($G5970&lt;&gt;"ALCOHOL","",IF($K5970="","",$H5970*IFERROR(VLOOKUP($K5970,Drink_Templates!$A:$G,7,FALSE),0)))</f>
        <v/>
      </c>
    </row>
    <row r="5971" ht="15" customHeight="1">
      <c r="C5971">
        <f>IF($B5971="","",INT($B5971))</f>
        <v/>
      </c>
      <c r="D5971">
        <f>IF($C5971="","",$C5971-WEEKDAY($C5971,2)+1)</f>
        <v/>
      </c>
      <c r="E5971">
        <f>IF($C5971="","",DATE(YEAR($C5971),MONTH($C5971),1))</f>
        <v/>
      </c>
      <c r="F5971">
        <f>IF($C5971="","",YEAR($C5971)&amp;"-Q"&amp;ROUNDUP(MONTH($C5971)/3,0))</f>
        <v/>
      </c>
      <c r="L5971">
        <f>IF($G5971&lt;&gt;"ALCOHOL","",IF($K5971="","",$H5971*IFERROR(VLOOKUP($K5971,Drink_Templates!$A:$G,7,FALSE),0)))</f>
        <v/>
      </c>
    </row>
    <row r="5972" ht="15" customHeight="1">
      <c r="C5972">
        <f>IF($B5972="","",INT($B5972))</f>
        <v/>
      </c>
      <c r="D5972">
        <f>IF($C5972="","",$C5972-WEEKDAY($C5972,2)+1)</f>
        <v/>
      </c>
      <c r="E5972">
        <f>IF($C5972="","",DATE(YEAR($C5972),MONTH($C5972),1))</f>
        <v/>
      </c>
      <c r="F5972">
        <f>IF($C5972="","",YEAR($C5972)&amp;"-Q"&amp;ROUNDUP(MONTH($C5972)/3,0))</f>
        <v/>
      </c>
      <c r="L5972">
        <f>IF($G5972&lt;&gt;"ALCOHOL","",IF($K5972="","",$H5972*IFERROR(VLOOKUP($K5972,Drink_Templates!$A:$G,7,FALSE),0)))</f>
        <v/>
      </c>
    </row>
    <row r="5973" ht="15" customHeight="1">
      <c r="C5973">
        <f>IF($B5973="","",INT($B5973))</f>
        <v/>
      </c>
      <c r="D5973">
        <f>IF($C5973="","",$C5973-WEEKDAY($C5973,2)+1)</f>
        <v/>
      </c>
      <c r="E5973">
        <f>IF($C5973="","",DATE(YEAR($C5973),MONTH($C5973),1))</f>
        <v/>
      </c>
      <c r="F5973">
        <f>IF($C5973="","",YEAR($C5973)&amp;"-Q"&amp;ROUNDUP(MONTH($C5973)/3,0))</f>
        <v/>
      </c>
      <c r="L5973">
        <f>IF($G5973&lt;&gt;"ALCOHOL","",IF($K5973="","",$H5973*IFERROR(VLOOKUP($K5973,Drink_Templates!$A:$G,7,FALSE),0)))</f>
        <v/>
      </c>
    </row>
    <row r="5974" ht="15" customHeight="1">
      <c r="C5974">
        <f>IF($B5974="","",INT($B5974))</f>
        <v/>
      </c>
      <c r="D5974">
        <f>IF($C5974="","",$C5974-WEEKDAY($C5974,2)+1)</f>
        <v/>
      </c>
      <c r="E5974">
        <f>IF($C5974="","",DATE(YEAR($C5974),MONTH($C5974),1))</f>
        <v/>
      </c>
      <c r="F5974">
        <f>IF($C5974="","",YEAR($C5974)&amp;"-Q"&amp;ROUNDUP(MONTH($C5974)/3,0))</f>
        <v/>
      </c>
      <c r="L5974">
        <f>IF($G5974&lt;&gt;"ALCOHOL","",IF($K5974="","",$H5974*IFERROR(VLOOKUP($K5974,Drink_Templates!$A:$G,7,FALSE),0)))</f>
        <v/>
      </c>
    </row>
    <row r="5975" ht="15" customHeight="1">
      <c r="C5975">
        <f>IF($B5975="","",INT($B5975))</f>
        <v/>
      </c>
      <c r="D5975">
        <f>IF($C5975="","",$C5975-WEEKDAY($C5975,2)+1)</f>
        <v/>
      </c>
      <c r="E5975">
        <f>IF($C5975="","",DATE(YEAR($C5975),MONTH($C5975),1))</f>
        <v/>
      </c>
      <c r="F5975">
        <f>IF($C5975="","",YEAR($C5975)&amp;"-Q"&amp;ROUNDUP(MONTH($C5975)/3,0))</f>
        <v/>
      </c>
      <c r="L5975">
        <f>IF($G5975&lt;&gt;"ALCOHOL","",IF($K5975="","",$H5975*IFERROR(VLOOKUP($K5975,Drink_Templates!$A:$G,7,FALSE),0)))</f>
        <v/>
      </c>
    </row>
    <row r="5976" ht="15" customHeight="1">
      <c r="C5976">
        <f>IF($B5976="","",INT($B5976))</f>
        <v/>
      </c>
      <c r="D5976">
        <f>IF($C5976="","",$C5976-WEEKDAY($C5976,2)+1)</f>
        <v/>
      </c>
      <c r="E5976">
        <f>IF($C5976="","",DATE(YEAR($C5976),MONTH($C5976),1))</f>
        <v/>
      </c>
      <c r="F5976">
        <f>IF($C5976="","",YEAR($C5976)&amp;"-Q"&amp;ROUNDUP(MONTH($C5976)/3,0))</f>
        <v/>
      </c>
      <c r="L5976">
        <f>IF($G5976&lt;&gt;"ALCOHOL","",IF($K5976="","",$H5976*IFERROR(VLOOKUP($K5976,Drink_Templates!$A:$G,7,FALSE),0)))</f>
        <v/>
      </c>
    </row>
    <row r="5977" ht="15" customHeight="1">
      <c r="C5977">
        <f>IF($B5977="","",INT($B5977))</f>
        <v/>
      </c>
      <c r="D5977">
        <f>IF($C5977="","",$C5977-WEEKDAY($C5977,2)+1)</f>
        <v/>
      </c>
      <c r="E5977">
        <f>IF($C5977="","",DATE(YEAR($C5977),MONTH($C5977),1))</f>
        <v/>
      </c>
      <c r="F5977">
        <f>IF($C5977="","",YEAR($C5977)&amp;"-Q"&amp;ROUNDUP(MONTH($C5977)/3,0))</f>
        <v/>
      </c>
      <c r="L5977">
        <f>IF($G5977&lt;&gt;"ALCOHOL","",IF($K5977="","",$H5977*IFERROR(VLOOKUP($K5977,Drink_Templates!$A:$G,7,FALSE),0)))</f>
        <v/>
      </c>
    </row>
    <row r="5978" ht="15" customHeight="1">
      <c r="C5978">
        <f>IF($B5978="","",INT($B5978))</f>
        <v/>
      </c>
      <c r="D5978">
        <f>IF($C5978="","",$C5978-WEEKDAY($C5978,2)+1)</f>
        <v/>
      </c>
      <c r="E5978">
        <f>IF($C5978="","",DATE(YEAR($C5978),MONTH($C5978),1))</f>
        <v/>
      </c>
      <c r="F5978">
        <f>IF($C5978="","",YEAR($C5978)&amp;"-Q"&amp;ROUNDUP(MONTH($C5978)/3,0))</f>
        <v/>
      </c>
      <c r="L5978">
        <f>IF($G5978&lt;&gt;"ALCOHOL","",IF($K5978="","",$H5978*IFERROR(VLOOKUP($K5978,Drink_Templates!$A:$G,7,FALSE),0)))</f>
        <v/>
      </c>
    </row>
    <row r="5979" ht="15" customHeight="1">
      <c r="C5979">
        <f>IF($B5979="","",INT($B5979))</f>
        <v/>
      </c>
      <c r="D5979">
        <f>IF($C5979="","",$C5979-WEEKDAY($C5979,2)+1)</f>
        <v/>
      </c>
      <c r="E5979">
        <f>IF($C5979="","",DATE(YEAR($C5979),MONTH($C5979),1))</f>
        <v/>
      </c>
      <c r="F5979">
        <f>IF($C5979="","",YEAR($C5979)&amp;"-Q"&amp;ROUNDUP(MONTH($C5979)/3,0))</f>
        <v/>
      </c>
      <c r="L5979">
        <f>IF($G5979&lt;&gt;"ALCOHOL","",IF($K5979="","",$H5979*IFERROR(VLOOKUP($K5979,Drink_Templates!$A:$G,7,FALSE),0)))</f>
        <v/>
      </c>
    </row>
    <row r="5980" ht="15" customHeight="1">
      <c r="C5980">
        <f>IF($B5980="","",INT($B5980))</f>
        <v/>
      </c>
      <c r="D5980">
        <f>IF($C5980="","",$C5980-WEEKDAY($C5980,2)+1)</f>
        <v/>
      </c>
      <c r="E5980">
        <f>IF($C5980="","",DATE(YEAR($C5980),MONTH($C5980),1))</f>
        <v/>
      </c>
      <c r="F5980">
        <f>IF($C5980="","",YEAR($C5980)&amp;"-Q"&amp;ROUNDUP(MONTH($C5980)/3,0))</f>
        <v/>
      </c>
      <c r="L5980">
        <f>IF($G5980&lt;&gt;"ALCOHOL","",IF($K5980="","",$H5980*IFERROR(VLOOKUP($K5980,Drink_Templates!$A:$G,7,FALSE),0)))</f>
        <v/>
      </c>
    </row>
    <row r="5981" ht="15" customHeight="1">
      <c r="C5981">
        <f>IF($B5981="","",INT($B5981))</f>
        <v/>
      </c>
      <c r="D5981">
        <f>IF($C5981="","",$C5981-WEEKDAY($C5981,2)+1)</f>
        <v/>
      </c>
      <c r="E5981">
        <f>IF($C5981="","",DATE(YEAR($C5981),MONTH($C5981),1))</f>
        <v/>
      </c>
      <c r="F5981">
        <f>IF($C5981="","",YEAR($C5981)&amp;"-Q"&amp;ROUNDUP(MONTH($C5981)/3,0))</f>
        <v/>
      </c>
      <c r="L5981">
        <f>IF($G5981&lt;&gt;"ALCOHOL","",IF($K5981="","",$H5981*IFERROR(VLOOKUP($K5981,Drink_Templates!$A:$G,7,FALSE),0)))</f>
        <v/>
      </c>
    </row>
    <row r="5982" ht="15" customHeight="1">
      <c r="C5982">
        <f>IF($B5982="","",INT($B5982))</f>
        <v/>
      </c>
      <c r="D5982">
        <f>IF($C5982="","",$C5982-WEEKDAY($C5982,2)+1)</f>
        <v/>
      </c>
      <c r="E5982">
        <f>IF($C5982="","",DATE(YEAR($C5982),MONTH($C5982),1))</f>
        <v/>
      </c>
      <c r="F5982">
        <f>IF($C5982="","",YEAR($C5982)&amp;"-Q"&amp;ROUNDUP(MONTH($C5982)/3,0))</f>
        <v/>
      </c>
      <c r="L5982">
        <f>IF($G5982&lt;&gt;"ALCOHOL","",IF($K5982="","",$H5982*IFERROR(VLOOKUP($K5982,Drink_Templates!$A:$G,7,FALSE),0)))</f>
        <v/>
      </c>
    </row>
    <row r="5983" ht="15" customHeight="1">
      <c r="C5983">
        <f>IF($B5983="","",INT($B5983))</f>
        <v/>
      </c>
      <c r="D5983">
        <f>IF($C5983="","",$C5983-WEEKDAY($C5983,2)+1)</f>
        <v/>
      </c>
      <c r="E5983">
        <f>IF($C5983="","",DATE(YEAR($C5983),MONTH($C5983),1))</f>
        <v/>
      </c>
      <c r="F5983">
        <f>IF($C5983="","",YEAR($C5983)&amp;"-Q"&amp;ROUNDUP(MONTH($C5983)/3,0))</f>
        <v/>
      </c>
      <c r="L5983">
        <f>IF($G5983&lt;&gt;"ALCOHOL","",IF($K5983="","",$H5983*IFERROR(VLOOKUP($K5983,Drink_Templates!$A:$G,7,FALSE),0)))</f>
        <v/>
      </c>
    </row>
    <row r="5984" ht="15" customHeight="1">
      <c r="C5984">
        <f>IF($B5984="","",INT($B5984))</f>
        <v/>
      </c>
      <c r="D5984">
        <f>IF($C5984="","",$C5984-WEEKDAY($C5984,2)+1)</f>
        <v/>
      </c>
      <c r="E5984">
        <f>IF($C5984="","",DATE(YEAR($C5984),MONTH($C5984),1))</f>
        <v/>
      </c>
      <c r="F5984">
        <f>IF($C5984="","",YEAR($C5984)&amp;"-Q"&amp;ROUNDUP(MONTH($C5984)/3,0))</f>
        <v/>
      </c>
      <c r="L5984">
        <f>IF($G5984&lt;&gt;"ALCOHOL","",IF($K5984="","",$H5984*IFERROR(VLOOKUP($K5984,Drink_Templates!$A:$G,7,FALSE),0)))</f>
        <v/>
      </c>
    </row>
    <row r="5985" ht="15" customHeight="1">
      <c r="C5985">
        <f>IF($B5985="","",INT($B5985))</f>
        <v/>
      </c>
      <c r="D5985">
        <f>IF($C5985="","",$C5985-WEEKDAY($C5985,2)+1)</f>
        <v/>
      </c>
      <c r="E5985">
        <f>IF($C5985="","",DATE(YEAR($C5985),MONTH($C5985),1))</f>
        <v/>
      </c>
      <c r="F5985">
        <f>IF($C5985="","",YEAR($C5985)&amp;"-Q"&amp;ROUNDUP(MONTH($C5985)/3,0))</f>
        <v/>
      </c>
      <c r="L5985">
        <f>IF($G5985&lt;&gt;"ALCOHOL","",IF($K5985="","",$H5985*IFERROR(VLOOKUP($K5985,Drink_Templates!$A:$G,7,FALSE),0)))</f>
        <v/>
      </c>
    </row>
    <row r="5986" ht="15" customHeight="1">
      <c r="C5986">
        <f>IF($B5986="","",INT($B5986))</f>
        <v/>
      </c>
      <c r="D5986">
        <f>IF($C5986="","",$C5986-WEEKDAY($C5986,2)+1)</f>
        <v/>
      </c>
      <c r="E5986">
        <f>IF($C5986="","",DATE(YEAR($C5986),MONTH($C5986),1))</f>
        <v/>
      </c>
      <c r="F5986">
        <f>IF($C5986="","",YEAR($C5986)&amp;"-Q"&amp;ROUNDUP(MONTH($C5986)/3,0))</f>
        <v/>
      </c>
      <c r="L5986">
        <f>IF($G5986&lt;&gt;"ALCOHOL","",IF($K5986="","",$H5986*IFERROR(VLOOKUP($K5986,Drink_Templates!$A:$G,7,FALSE),0)))</f>
        <v/>
      </c>
    </row>
    <row r="5987" ht="15" customHeight="1">
      <c r="C5987">
        <f>IF($B5987="","",INT($B5987))</f>
        <v/>
      </c>
      <c r="D5987">
        <f>IF($C5987="","",$C5987-WEEKDAY($C5987,2)+1)</f>
        <v/>
      </c>
      <c r="E5987">
        <f>IF($C5987="","",DATE(YEAR($C5987),MONTH($C5987),1))</f>
        <v/>
      </c>
      <c r="F5987">
        <f>IF($C5987="","",YEAR($C5987)&amp;"-Q"&amp;ROUNDUP(MONTH($C5987)/3,0))</f>
        <v/>
      </c>
      <c r="L5987">
        <f>IF($G5987&lt;&gt;"ALCOHOL","",IF($K5987="","",$H5987*IFERROR(VLOOKUP($K5987,Drink_Templates!$A:$G,7,FALSE),0)))</f>
        <v/>
      </c>
    </row>
    <row r="5988" ht="15" customHeight="1">
      <c r="C5988">
        <f>IF($B5988="","",INT($B5988))</f>
        <v/>
      </c>
      <c r="D5988">
        <f>IF($C5988="","",$C5988-WEEKDAY($C5988,2)+1)</f>
        <v/>
      </c>
      <c r="E5988">
        <f>IF($C5988="","",DATE(YEAR($C5988),MONTH($C5988),1))</f>
        <v/>
      </c>
      <c r="F5988">
        <f>IF($C5988="","",YEAR($C5988)&amp;"-Q"&amp;ROUNDUP(MONTH($C5988)/3,0))</f>
        <v/>
      </c>
      <c r="L5988">
        <f>IF($G5988&lt;&gt;"ALCOHOL","",IF($K5988="","",$H5988*IFERROR(VLOOKUP($K5988,Drink_Templates!$A:$G,7,FALSE),0)))</f>
        <v/>
      </c>
    </row>
    <row r="5989" ht="15" customHeight="1">
      <c r="C5989">
        <f>IF($B5989="","",INT($B5989))</f>
        <v/>
      </c>
      <c r="D5989">
        <f>IF($C5989="","",$C5989-WEEKDAY($C5989,2)+1)</f>
        <v/>
      </c>
      <c r="E5989">
        <f>IF($C5989="","",DATE(YEAR($C5989),MONTH($C5989),1))</f>
        <v/>
      </c>
      <c r="F5989">
        <f>IF($C5989="","",YEAR($C5989)&amp;"-Q"&amp;ROUNDUP(MONTH($C5989)/3,0))</f>
        <v/>
      </c>
      <c r="L5989">
        <f>IF($G5989&lt;&gt;"ALCOHOL","",IF($K5989="","",$H5989*IFERROR(VLOOKUP($K5989,Drink_Templates!$A:$G,7,FALSE),0)))</f>
        <v/>
      </c>
    </row>
    <row r="5990" ht="15" customHeight="1">
      <c r="C5990">
        <f>IF($B5990="","",INT($B5990))</f>
        <v/>
      </c>
      <c r="D5990">
        <f>IF($C5990="","",$C5990-WEEKDAY($C5990,2)+1)</f>
        <v/>
      </c>
      <c r="E5990">
        <f>IF($C5990="","",DATE(YEAR($C5990),MONTH($C5990),1))</f>
        <v/>
      </c>
      <c r="F5990">
        <f>IF($C5990="","",YEAR($C5990)&amp;"-Q"&amp;ROUNDUP(MONTH($C5990)/3,0))</f>
        <v/>
      </c>
      <c r="L5990">
        <f>IF($G5990&lt;&gt;"ALCOHOL","",IF($K5990="","",$H5990*IFERROR(VLOOKUP($K5990,Drink_Templates!$A:$G,7,FALSE),0)))</f>
        <v/>
      </c>
    </row>
    <row r="5991" ht="15" customHeight="1">
      <c r="C5991">
        <f>IF($B5991="","",INT($B5991))</f>
        <v/>
      </c>
      <c r="D5991">
        <f>IF($C5991="","",$C5991-WEEKDAY($C5991,2)+1)</f>
        <v/>
      </c>
      <c r="E5991">
        <f>IF($C5991="","",DATE(YEAR($C5991),MONTH($C5991),1))</f>
        <v/>
      </c>
      <c r="F5991">
        <f>IF($C5991="","",YEAR($C5991)&amp;"-Q"&amp;ROUNDUP(MONTH($C5991)/3,0))</f>
        <v/>
      </c>
      <c r="L5991">
        <f>IF($G5991&lt;&gt;"ALCOHOL","",IF($K5991="","",$H5991*IFERROR(VLOOKUP($K5991,Drink_Templates!$A:$G,7,FALSE),0)))</f>
        <v/>
      </c>
    </row>
    <row r="5992" ht="15" customHeight="1">
      <c r="C5992">
        <f>IF($B5992="","",INT($B5992))</f>
        <v/>
      </c>
      <c r="D5992">
        <f>IF($C5992="","",$C5992-WEEKDAY($C5992,2)+1)</f>
        <v/>
      </c>
      <c r="E5992">
        <f>IF($C5992="","",DATE(YEAR($C5992),MONTH($C5992),1))</f>
        <v/>
      </c>
      <c r="F5992">
        <f>IF($C5992="","",YEAR($C5992)&amp;"-Q"&amp;ROUNDUP(MONTH($C5992)/3,0))</f>
        <v/>
      </c>
      <c r="L5992">
        <f>IF($G5992&lt;&gt;"ALCOHOL","",IF($K5992="","",$H5992*IFERROR(VLOOKUP($K5992,Drink_Templates!$A:$G,7,FALSE),0)))</f>
        <v/>
      </c>
    </row>
    <row r="5993" ht="15" customHeight="1">
      <c r="C5993">
        <f>IF($B5993="","",INT($B5993))</f>
        <v/>
      </c>
      <c r="D5993">
        <f>IF($C5993="","",$C5993-WEEKDAY($C5993,2)+1)</f>
        <v/>
      </c>
      <c r="E5993">
        <f>IF($C5993="","",DATE(YEAR($C5993),MONTH($C5993),1))</f>
        <v/>
      </c>
      <c r="F5993">
        <f>IF($C5993="","",YEAR($C5993)&amp;"-Q"&amp;ROUNDUP(MONTH($C5993)/3,0))</f>
        <v/>
      </c>
      <c r="L5993">
        <f>IF($G5993&lt;&gt;"ALCOHOL","",IF($K5993="","",$H5993*IFERROR(VLOOKUP($K5993,Drink_Templates!$A:$G,7,FALSE),0)))</f>
        <v/>
      </c>
    </row>
    <row r="5994" ht="15" customHeight="1">
      <c r="C5994">
        <f>IF($B5994="","",INT($B5994))</f>
        <v/>
      </c>
      <c r="D5994">
        <f>IF($C5994="","",$C5994-WEEKDAY($C5994,2)+1)</f>
        <v/>
      </c>
      <c r="E5994">
        <f>IF($C5994="","",DATE(YEAR($C5994),MONTH($C5994),1))</f>
        <v/>
      </c>
      <c r="F5994">
        <f>IF($C5994="","",YEAR($C5994)&amp;"-Q"&amp;ROUNDUP(MONTH($C5994)/3,0))</f>
        <v/>
      </c>
      <c r="L5994">
        <f>IF($G5994&lt;&gt;"ALCOHOL","",IF($K5994="","",$H5994*IFERROR(VLOOKUP($K5994,Drink_Templates!$A:$G,7,FALSE),0)))</f>
        <v/>
      </c>
    </row>
    <row r="5995" ht="15" customHeight="1">
      <c r="C5995">
        <f>IF($B5995="","",INT($B5995))</f>
        <v/>
      </c>
      <c r="D5995">
        <f>IF($C5995="","",$C5995-WEEKDAY($C5995,2)+1)</f>
        <v/>
      </c>
      <c r="E5995">
        <f>IF($C5995="","",DATE(YEAR($C5995),MONTH($C5995),1))</f>
        <v/>
      </c>
      <c r="F5995">
        <f>IF($C5995="","",YEAR($C5995)&amp;"-Q"&amp;ROUNDUP(MONTH($C5995)/3,0))</f>
        <v/>
      </c>
      <c r="L5995">
        <f>IF($G5995&lt;&gt;"ALCOHOL","",IF($K5995="","",$H5995*IFERROR(VLOOKUP($K5995,Drink_Templates!$A:$G,7,FALSE),0)))</f>
        <v/>
      </c>
    </row>
    <row r="5996" ht="15" customHeight="1">
      <c r="C5996">
        <f>IF($B5996="","",INT($B5996))</f>
        <v/>
      </c>
      <c r="D5996">
        <f>IF($C5996="","",$C5996-WEEKDAY($C5996,2)+1)</f>
        <v/>
      </c>
      <c r="E5996">
        <f>IF($C5996="","",DATE(YEAR($C5996),MONTH($C5996),1))</f>
        <v/>
      </c>
      <c r="F5996">
        <f>IF($C5996="","",YEAR($C5996)&amp;"-Q"&amp;ROUNDUP(MONTH($C5996)/3,0))</f>
        <v/>
      </c>
      <c r="L5996">
        <f>IF($G5996&lt;&gt;"ALCOHOL","",IF($K5996="","",$H5996*IFERROR(VLOOKUP($K5996,Drink_Templates!$A:$G,7,FALSE),0)))</f>
        <v/>
      </c>
    </row>
    <row r="5997" ht="15" customHeight="1">
      <c r="C5997">
        <f>IF($B5997="","",INT($B5997))</f>
        <v/>
      </c>
      <c r="D5997">
        <f>IF($C5997="","",$C5997-WEEKDAY($C5997,2)+1)</f>
        <v/>
      </c>
      <c r="E5997">
        <f>IF($C5997="","",DATE(YEAR($C5997),MONTH($C5997),1))</f>
        <v/>
      </c>
      <c r="F5997">
        <f>IF($C5997="","",YEAR($C5997)&amp;"-Q"&amp;ROUNDUP(MONTH($C5997)/3,0))</f>
        <v/>
      </c>
      <c r="L5997">
        <f>IF($G5997&lt;&gt;"ALCOHOL","",IF($K5997="","",$H5997*IFERROR(VLOOKUP($K5997,Drink_Templates!$A:$G,7,FALSE),0)))</f>
        <v/>
      </c>
    </row>
    <row r="5998" ht="15" customHeight="1">
      <c r="C5998">
        <f>IF($B5998="","",INT($B5998))</f>
        <v/>
      </c>
      <c r="D5998">
        <f>IF($C5998="","",$C5998-WEEKDAY($C5998,2)+1)</f>
        <v/>
      </c>
      <c r="E5998">
        <f>IF($C5998="","",DATE(YEAR($C5998),MONTH($C5998),1))</f>
        <v/>
      </c>
      <c r="F5998">
        <f>IF($C5998="","",YEAR($C5998)&amp;"-Q"&amp;ROUNDUP(MONTH($C5998)/3,0))</f>
        <v/>
      </c>
      <c r="L5998">
        <f>IF($G5998&lt;&gt;"ALCOHOL","",IF($K5998="","",$H5998*IFERROR(VLOOKUP($K5998,Drink_Templates!$A:$G,7,FALSE),0)))</f>
        <v/>
      </c>
    </row>
    <row r="5999" ht="15" customHeight="1">
      <c r="C5999">
        <f>IF($B5999="","",INT($B5999))</f>
        <v/>
      </c>
      <c r="D5999">
        <f>IF($C5999="","",$C5999-WEEKDAY($C5999,2)+1)</f>
        <v/>
      </c>
      <c r="E5999">
        <f>IF($C5999="","",DATE(YEAR($C5999),MONTH($C5999),1))</f>
        <v/>
      </c>
      <c r="F5999">
        <f>IF($C5999="","",YEAR($C5999)&amp;"-Q"&amp;ROUNDUP(MONTH($C5999)/3,0))</f>
        <v/>
      </c>
      <c r="L5999">
        <f>IF($G5999&lt;&gt;"ALCOHOL","",IF($K5999="","",$H5999*IFERROR(VLOOKUP($K5999,Drink_Templates!$A:$G,7,FALSE),0)))</f>
        <v/>
      </c>
    </row>
    <row r="6000" ht="15" customHeight="1">
      <c r="C6000">
        <f>IF($B6000="","",INT($B6000))</f>
        <v/>
      </c>
      <c r="D6000">
        <f>IF($C6000="","",$C6000-WEEKDAY($C6000,2)+1)</f>
        <v/>
      </c>
      <c r="E6000">
        <f>IF($C6000="","",DATE(YEAR($C6000),MONTH($C6000),1))</f>
        <v/>
      </c>
      <c r="F6000">
        <f>IF($C6000="","",YEAR($C6000)&amp;"-Q"&amp;ROUNDUP(MONTH($C6000)/3,0))</f>
        <v/>
      </c>
      <c r="L6000">
        <f>IF($G6000&lt;&gt;"ALCOHOL","",IF($K6000="","",$H6000*IFERROR(VLOOKUP($K6000,Drink_Templates!$A:$G,7,FALSE),0)))</f>
        <v/>
      </c>
    </row>
    <row r="6001" ht="15" customHeight="1">
      <c r="C6001">
        <f>IF($B6001="","",INT($B6001))</f>
        <v/>
      </c>
      <c r="D6001">
        <f>IF($C6001="","",$C6001-WEEKDAY($C6001,2)+1)</f>
        <v/>
      </c>
      <c r="E6001">
        <f>IF($C6001="","",DATE(YEAR($C6001),MONTH($C6001),1))</f>
        <v/>
      </c>
      <c r="F6001">
        <f>IF($C6001="","",YEAR($C6001)&amp;"-Q"&amp;ROUNDUP(MONTH($C6001)/3,0))</f>
        <v/>
      </c>
      <c r="L6001">
        <f>IF($G6001&lt;&gt;"ALCOHOL","",IF($K6001="","",$H6001*IFERROR(VLOOKUP($K6001,Drink_Templates!$A:$G,7,FALSE),0)))</f>
        <v/>
      </c>
    </row>
    <row r="6002" ht="15" customHeight="1">
      <c r="C6002">
        <f>IF($B6002="","",INT($B6002))</f>
        <v/>
      </c>
      <c r="D6002">
        <f>IF($C6002="","",$C6002-WEEKDAY($C6002,2)+1)</f>
        <v/>
      </c>
      <c r="E6002">
        <f>IF($C6002="","",DATE(YEAR($C6002),MONTH($C6002),1))</f>
        <v/>
      </c>
      <c r="F6002">
        <f>IF($C6002="","",YEAR($C6002)&amp;"-Q"&amp;ROUNDUP(MONTH($C6002)/3,0))</f>
        <v/>
      </c>
      <c r="L6002">
        <f>IF($G6002&lt;&gt;"ALCOHOL","",IF($K6002="","",$H6002*IFERROR(VLOOKUP($K6002,Drink_Templates!$A:$G,7,FALSE),0)))</f>
        <v/>
      </c>
    </row>
    <row r="6003" ht="15" customHeight="1">
      <c r="C6003">
        <f>IF($B6003="","",INT($B6003))</f>
        <v/>
      </c>
      <c r="D6003">
        <f>IF($C6003="","",$C6003-WEEKDAY($C6003,2)+1)</f>
        <v/>
      </c>
      <c r="E6003">
        <f>IF($C6003="","",DATE(YEAR($C6003),MONTH($C6003),1))</f>
        <v/>
      </c>
      <c r="F6003">
        <f>IF($C6003="","",YEAR($C6003)&amp;"-Q"&amp;ROUNDUP(MONTH($C6003)/3,0))</f>
        <v/>
      </c>
      <c r="L6003">
        <f>IF($G6003&lt;&gt;"ALCOHOL","",IF($K6003="","",$H6003*IFERROR(VLOOKUP($K6003,Drink_Templates!$A:$G,7,FALSE),0)))</f>
        <v/>
      </c>
    </row>
    <row r="6004" ht="15" customHeight="1">
      <c r="C6004">
        <f>IF($B6004="","",INT($B6004))</f>
        <v/>
      </c>
      <c r="D6004">
        <f>IF($C6004="","",$C6004-WEEKDAY($C6004,2)+1)</f>
        <v/>
      </c>
      <c r="E6004">
        <f>IF($C6004="","",DATE(YEAR($C6004),MONTH($C6004),1))</f>
        <v/>
      </c>
      <c r="F6004">
        <f>IF($C6004="","",YEAR($C6004)&amp;"-Q"&amp;ROUNDUP(MONTH($C6004)/3,0))</f>
        <v/>
      </c>
      <c r="L6004">
        <f>IF($G6004&lt;&gt;"ALCOHOL","",IF($K6004="","",$H6004*IFERROR(VLOOKUP($K6004,Drink_Templates!$A:$G,7,FALSE),0)))</f>
        <v/>
      </c>
    </row>
    <row r="6005" ht="15" customHeight="1">
      <c r="C6005">
        <f>IF($B6005="","",INT($B6005))</f>
        <v/>
      </c>
      <c r="D6005">
        <f>IF($C6005="","",$C6005-WEEKDAY($C6005,2)+1)</f>
        <v/>
      </c>
      <c r="E6005">
        <f>IF($C6005="","",DATE(YEAR($C6005),MONTH($C6005),1))</f>
        <v/>
      </c>
      <c r="F6005">
        <f>IF($C6005="","",YEAR($C6005)&amp;"-Q"&amp;ROUNDUP(MONTH($C6005)/3,0))</f>
        <v/>
      </c>
      <c r="L6005">
        <f>IF($G6005&lt;&gt;"ALCOHOL","",IF($K6005="","",$H6005*IFERROR(VLOOKUP($K6005,Drink_Templates!$A:$G,7,FALSE),0)))</f>
        <v/>
      </c>
    </row>
    <row r="6006" ht="15" customHeight="1">
      <c r="C6006">
        <f>IF($B6006="","",INT($B6006))</f>
        <v/>
      </c>
      <c r="D6006">
        <f>IF($C6006="","",$C6006-WEEKDAY($C6006,2)+1)</f>
        <v/>
      </c>
      <c r="E6006">
        <f>IF($C6006="","",DATE(YEAR($C6006),MONTH($C6006),1))</f>
        <v/>
      </c>
      <c r="F6006">
        <f>IF($C6006="","",YEAR($C6006)&amp;"-Q"&amp;ROUNDUP(MONTH($C6006)/3,0))</f>
        <v/>
      </c>
      <c r="L6006">
        <f>IF($G6006&lt;&gt;"ALCOHOL","",IF($K6006="","",$H6006*IFERROR(VLOOKUP($K6006,Drink_Templates!$A:$G,7,FALSE),0)))</f>
        <v/>
      </c>
    </row>
    <row r="6007" ht="15" customHeight="1">
      <c r="C6007">
        <f>IF($B6007="","",INT($B6007))</f>
        <v/>
      </c>
      <c r="D6007">
        <f>IF($C6007="","",$C6007-WEEKDAY($C6007,2)+1)</f>
        <v/>
      </c>
      <c r="E6007">
        <f>IF($C6007="","",DATE(YEAR($C6007),MONTH($C6007),1))</f>
        <v/>
      </c>
      <c r="F6007">
        <f>IF($C6007="","",YEAR($C6007)&amp;"-Q"&amp;ROUNDUP(MONTH($C6007)/3,0))</f>
        <v/>
      </c>
      <c r="L6007">
        <f>IF($G6007&lt;&gt;"ALCOHOL","",IF($K6007="","",$H6007*IFERROR(VLOOKUP($K6007,Drink_Templates!$A:$G,7,FALSE),0)))</f>
        <v/>
      </c>
    </row>
    <row r="6008" ht="15" customHeight="1">
      <c r="C6008">
        <f>IF($B6008="","",INT($B6008))</f>
        <v/>
      </c>
      <c r="D6008">
        <f>IF($C6008="","",$C6008-WEEKDAY($C6008,2)+1)</f>
        <v/>
      </c>
      <c r="E6008">
        <f>IF($C6008="","",DATE(YEAR($C6008),MONTH($C6008),1))</f>
        <v/>
      </c>
      <c r="F6008">
        <f>IF($C6008="","",YEAR($C6008)&amp;"-Q"&amp;ROUNDUP(MONTH($C6008)/3,0))</f>
        <v/>
      </c>
      <c r="L6008">
        <f>IF($G6008&lt;&gt;"ALCOHOL","",IF($K6008="","",$H6008*IFERROR(VLOOKUP($K6008,Drink_Templates!$A:$G,7,FALSE),0)))</f>
        <v/>
      </c>
    </row>
    <row r="6009" ht="15" customHeight="1">
      <c r="C6009">
        <f>IF($B6009="","",INT($B6009))</f>
        <v/>
      </c>
      <c r="D6009">
        <f>IF($C6009="","",$C6009-WEEKDAY($C6009,2)+1)</f>
        <v/>
      </c>
      <c r="E6009">
        <f>IF($C6009="","",DATE(YEAR($C6009),MONTH($C6009),1))</f>
        <v/>
      </c>
      <c r="F6009">
        <f>IF($C6009="","",YEAR($C6009)&amp;"-Q"&amp;ROUNDUP(MONTH($C6009)/3,0))</f>
        <v/>
      </c>
      <c r="L6009">
        <f>IF($G6009&lt;&gt;"ALCOHOL","",IF($K6009="","",$H6009*IFERROR(VLOOKUP($K6009,Drink_Templates!$A:$G,7,FALSE),0)))</f>
        <v/>
      </c>
    </row>
    <row r="6010" ht="15" customHeight="1">
      <c r="C6010">
        <f>IF($B6010="","",INT($B6010))</f>
        <v/>
      </c>
      <c r="D6010">
        <f>IF($C6010="","",$C6010-WEEKDAY($C6010,2)+1)</f>
        <v/>
      </c>
      <c r="E6010">
        <f>IF($C6010="","",DATE(YEAR($C6010),MONTH($C6010),1))</f>
        <v/>
      </c>
      <c r="F6010">
        <f>IF($C6010="","",YEAR($C6010)&amp;"-Q"&amp;ROUNDUP(MONTH($C6010)/3,0))</f>
        <v/>
      </c>
      <c r="L6010">
        <f>IF($G6010&lt;&gt;"ALCOHOL","",IF($K6010="","",$H6010*IFERROR(VLOOKUP($K6010,Drink_Templates!$A:$G,7,FALSE),0)))</f>
        <v/>
      </c>
    </row>
    <row r="6011" ht="15" customHeight="1">
      <c r="C6011">
        <f>IF($B6011="","",INT($B6011))</f>
        <v/>
      </c>
      <c r="D6011">
        <f>IF($C6011="","",$C6011-WEEKDAY($C6011,2)+1)</f>
        <v/>
      </c>
      <c r="E6011">
        <f>IF($C6011="","",DATE(YEAR($C6011),MONTH($C6011),1))</f>
        <v/>
      </c>
      <c r="F6011">
        <f>IF($C6011="","",YEAR($C6011)&amp;"-Q"&amp;ROUNDUP(MONTH($C6011)/3,0))</f>
        <v/>
      </c>
      <c r="L6011">
        <f>IF($G6011&lt;&gt;"ALCOHOL","",IF($K6011="","",$H6011*IFERROR(VLOOKUP($K6011,Drink_Templates!$A:$G,7,FALSE),0)))</f>
        <v/>
      </c>
    </row>
    <row r="6012" ht="15" customHeight="1">
      <c r="C6012">
        <f>IF($B6012="","",INT($B6012))</f>
        <v/>
      </c>
      <c r="D6012">
        <f>IF($C6012="","",$C6012-WEEKDAY($C6012,2)+1)</f>
        <v/>
      </c>
      <c r="E6012">
        <f>IF($C6012="","",DATE(YEAR($C6012),MONTH($C6012),1))</f>
        <v/>
      </c>
      <c r="F6012">
        <f>IF($C6012="","",YEAR($C6012)&amp;"-Q"&amp;ROUNDUP(MONTH($C6012)/3,0))</f>
        <v/>
      </c>
      <c r="L6012">
        <f>IF($G6012&lt;&gt;"ALCOHOL","",IF($K6012="","",$H6012*IFERROR(VLOOKUP($K6012,Drink_Templates!$A:$G,7,FALSE),0)))</f>
        <v/>
      </c>
    </row>
    <row r="6013" ht="15" customHeight="1">
      <c r="C6013">
        <f>IF($B6013="","",INT($B6013))</f>
        <v/>
      </c>
      <c r="D6013">
        <f>IF($C6013="","",$C6013-WEEKDAY($C6013,2)+1)</f>
        <v/>
      </c>
      <c r="E6013">
        <f>IF($C6013="","",DATE(YEAR($C6013),MONTH($C6013),1))</f>
        <v/>
      </c>
      <c r="F6013">
        <f>IF($C6013="","",YEAR($C6013)&amp;"-Q"&amp;ROUNDUP(MONTH($C6013)/3,0))</f>
        <v/>
      </c>
      <c r="L6013">
        <f>IF($G6013&lt;&gt;"ALCOHOL","",IF($K6013="","",$H6013*IFERROR(VLOOKUP($K6013,Drink_Templates!$A:$G,7,FALSE),0)))</f>
        <v/>
      </c>
    </row>
    <row r="6014" ht="15" customHeight="1">
      <c r="C6014">
        <f>IF($B6014="","",INT($B6014))</f>
        <v/>
      </c>
      <c r="D6014">
        <f>IF($C6014="","",$C6014-WEEKDAY($C6014,2)+1)</f>
        <v/>
      </c>
      <c r="E6014">
        <f>IF($C6014="","",DATE(YEAR($C6014),MONTH($C6014),1))</f>
        <v/>
      </c>
      <c r="F6014">
        <f>IF($C6014="","",YEAR($C6014)&amp;"-Q"&amp;ROUNDUP(MONTH($C6014)/3,0))</f>
        <v/>
      </c>
      <c r="L6014">
        <f>IF($G6014&lt;&gt;"ALCOHOL","",IF($K6014="","",$H6014*IFERROR(VLOOKUP($K6014,Drink_Templates!$A:$G,7,FALSE),0)))</f>
        <v/>
      </c>
    </row>
    <row r="6015" ht="15" customHeight="1">
      <c r="C6015">
        <f>IF($B6015="","",INT($B6015))</f>
        <v/>
      </c>
      <c r="D6015">
        <f>IF($C6015="","",$C6015-WEEKDAY($C6015,2)+1)</f>
        <v/>
      </c>
      <c r="E6015">
        <f>IF($C6015="","",DATE(YEAR($C6015),MONTH($C6015),1))</f>
        <v/>
      </c>
      <c r="F6015">
        <f>IF($C6015="","",YEAR($C6015)&amp;"-Q"&amp;ROUNDUP(MONTH($C6015)/3,0))</f>
        <v/>
      </c>
      <c r="L6015">
        <f>IF($G6015&lt;&gt;"ALCOHOL","",IF($K6015="","",$H6015*IFERROR(VLOOKUP($K6015,Drink_Templates!$A:$G,7,FALSE),0)))</f>
        <v/>
      </c>
    </row>
    <row r="6016" ht="15" customHeight="1">
      <c r="C6016">
        <f>IF($B6016="","",INT($B6016))</f>
        <v/>
      </c>
      <c r="D6016">
        <f>IF($C6016="","",$C6016-WEEKDAY($C6016,2)+1)</f>
        <v/>
      </c>
      <c r="E6016">
        <f>IF($C6016="","",DATE(YEAR($C6016),MONTH($C6016),1))</f>
        <v/>
      </c>
      <c r="F6016">
        <f>IF($C6016="","",YEAR($C6016)&amp;"-Q"&amp;ROUNDUP(MONTH($C6016)/3,0))</f>
        <v/>
      </c>
      <c r="L6016">
        <f>IF($G6016&lt;&gt;"ALCOHOL","",IF($K6016="","",$H6016*IFERROR(VLOOKUP($K6016,Drink_Templates!$A:$G,7,FALSE),0)))</f>
        <v/>
      </c>
    </row>
    <row r="6017" ht="15" customHeight="1">
      <c r="C6017">
        <f>IF($B6017="","",INT($B6017))</f>
        <v/>
      </c>
      <c r="D6017">
        <f>IF($C6017="","",$C6017-WEEKDAY($C6017,2)+1)</f>
        <v/>
      </c>
      <c r="E6017">
        <f>IF($C6017="","",DATE(YEAR($C6017),MONTH($C6017),1))</f>
        <v/>
      </c>
      <c r="F6017">
        <f>IF($C6017="","",YEAR($C6017)&amp;"-Q"&amp;ROUNDUP(MONTH($C6017)/3,0))</f>
        <v/>
      </c>
      <c r="L6017">
        <f>IF($G6017&lt;&gt;"ALCOHOL","",IF($K6017="","",$H6017*IFERROR(VLOOKUP($K6017,Drink_Templates!$A:$G,7,FALSE),0)))</f>
        <v/>
      </c>
    </row>
    <row r="6018" ht="15" customHeight="1">
      <c r="C6018">
        <f>IF($B6018="","",INT($B6018))</f>
        <v/>
      </c>
      <c r="D6018">
        <f>IF($C6018="","",$C6018-WEEKDAY($C6018,2)+1)</f>
        <v/>
      </c>
      <c r="E6018">
        <f>IF($C6018="","",DATE(YEAR($C6018),MONTH($C6018),1))</f>
        <v/>
      </c>
      <c r="F6018">
        <f>IF($C6018="","",YEAR($C6018)&amp;"-Q"&amp;ROUNDUP(MONTH($C6018)/3,0))</f>
        <v/>
      </c>
      <c r="L6018">
        <f>IF($G6018&lt;&gt;"ALCOHOL","",IF($K6018="","",$H6018*IFERROR(VLOOKUP($K6018,Drink_Templates!$A:$G,7,FALSE),0)))</f>
        <v/>
      </c>
    </row>
    <row r="6019" ht="15" customHeight="1">
      <c r="C6019">
        <f>IF($B6019="","",INT($B6019))</f>
        <v/>
      </c>
      <c r="D6019">
        <f>IF($C6019="","",$C6019-WEEKDAY($C6019,2)+1)</f>
        <v/>
      </c>
      <c r="E6019">
        <f>IF($C6019="","",DATE(YEAR($C6019),MONTH($C6019),1))</f>
        <v/>
      </c>
      <c r="F6019">
        <f>IF($C6019="","",YEAR($C6019)&amp;"-Q"&amp;ROUNDUP(MONTH($C6019)/3,0))</f>
        <v/>
      </c>
      <c r="L6019">
        <f>IF($G6019&lt;&gt;"ALCOHOL","",IF($K6019="","",$H6019*IFERROR(VLOOKUP($K6019,Drink_Templates!$A:$G,7,FALSE),0)))</f>
        <v/>
      </c>
    </row>
    <row r="6020" ht="15" customHeight="1">
      <c r="C6020">
        <f>IF($B6020="","",INT($B6020))</f>
        <v/>
      </c>
      <c r="D6020">
        <f>IF($C6020="","",$C6020-WEEKDAY($C6020,2)+1)</f>
        <v/>
      </c>
      <c r="E6020">
        <f>IF($C6020="","",DATE(YEAR($C6020),MONTH($C6020),1))</f>
        <v/>
      </c>
      <c r="F6020">
        <f>IF($C6020="","",YEAR($C6020)&amp;"-Q"&amp;ROUNDUP(MONTH($C6020)/3,0))</f>
        <v/>
      </c>
      <c r="L6020">
        <f>IF($G6020&lt;&gt;"ALCOHOL","",IF($K6020="","",$H6020*IFERROR(VLOOKUP($K6020,Drink_Templates!$A:$G,7,FALSE),0)))</f>
        <v/>
      </c>
    </row>
    <row r="6021" ht="15" customHeight="1">
      <c r="C6021">
        <f>IF($B6021="","",INT($B6021))</f>
        <v/>
      </c>
      <c r="D6021">
        <f>IF($C6021="","",$C6021-WEEKDAY($C6021,2)+1)</f>
        <v/>
      </c>
      <c r="E6021">
        <f>IF($C6021="","",DATE(YEAR($C6021),MONTH($C6021),1))</f>
        <v/>
      </c>
      <c r="F6021">
        <f>IF($C6021="","",YEAR($C6021)&amp;"-Q"&amp;ROUNDUP(MONTH($C6021)/3,0))</f>
        <v/>
      </c>
      <c r="L6021">
        <f>IF($G6021&lt;&gt;"ALCOHOL","",IF($K6021="","",$H6021*IFERROR(VLOOKUP($K6021,Drink_Templates!$A:$G,7,FALSE),0)))</f>
        <v/>
      </c>
    </row>
    <row r="6022" ht="15" customHeight="1">
      <c r="C6022">
        <f>IF($B6022="","",INT($B6022))</f>
        <v/>
      </c>
      <c r="D6022">
        <f>IF($C6022="","",$C6022-WEEKDAY($C6022,2)+1)</f>
        <v/>
      </c>
      <c r="E6022">
        <f>IF($C6022="","",DATE(YEAR($C6022),MONTH($C6022),1))</f>
        <v/>
      </c>
      <c r="F6022">
        <f>IF($C6022="","",YEAR($C6022)&amp;"-Q"&amp;ROUNDUP(MONTH($C6022)/3,0))</f>
        <v/>
      </c>
      <c r="L6022">
        <f>IF($G6022&lt;&gt;"ALCOHOL","",IF($K6022="","",$H6022*IFERROR(VLOOKUP($K6022,Drink_Templates!$A:$G,7,FALSE),0)))</f>
        <v/>
      </c>
    </row>
    <row r="6023" ht="15" customHeight="1">
      <c r="C6023">
        <f>IF($B6023="","",INT($B6023))</f>
        <v/>
      </c>
      <c r="D6023">
        <f>IF($C6023="","",$C6023-WEEKDAY($C6023,2)+1)</f>
        <v/>
      </c>
      <c r="E6023">
        <f>IF($C6023="","",DATE(YEAR($C6023),MONTH($C6023),1))</f>
        <v/>
      </c>
      <c r="F6023">
        <f>IF($C6023="","",YEAR($C6023)&amp;"-Q"&amp;ROUNDUP(MONTH($C6023)/3,0))</f>
        <v/>
      </c>
      <c r="L6023">
        <f>IF($G6023&lt;&gt;"ALCOHOL","",IF($K6023="","",$H6023*IFERROR(VLOOKUP($K6023,Drink_Templates!$A:$G,7,FALSE),0)))</f>
        <v/>
      </c>
    </row>
    <row r="6024" ht="15" customHeight="1">
      <c r="C6024">
        <f>IF($B6024="","",INT($B6024))</f>
        <v/>
      </c>
      <c r="D6024">
        <f>IF($C6024="","",$C6024-WEEKDAY($C6024,2)+1)</f>
        <v/>
      </c>
      <c r="E6024">
        <f>IF($C6024="","",DATE(YEAR($C6024),MONTH($C6024),1))</f>
        <v/>
      </c>
      <c r="F6024">
        <f>IF($C6024="","",YEAR($C6024)&amp;"-Q"&amp;ROUNDUP(MONTH($C6024)/3,0))</f>
        <v/>
      </c>
      <c r="L6024">
        <f>IF($G6024&lt;&gt;"ALCOHOL","",IF($K6024="","",$H6024*IFERROR(VLOOKUP($K6024,Drink_Templates!$A:$G,7,FALSE),0)))</f>
        <v/>
      </c>
    </row>
    <row r="6025" ht="15" customHeight="1">
      <c r="C6025">
        <f>IF($B6025="","",INT($B6025))</f>
        <v/>
      </c>
      <c r="D6025">
        <f>IF($C6025="","",$C6025-WEEKDAY($C6025,2)+1)</f>
        <v/>
      </c>
      <c r="E6025">
        <f>IF($C6025="","",DATE(YEAR($C6025),MONTH($C6025),1))</f>
        <v/>
      </c>
      <c r="F6025">
        <f>IF($C6025="","",YEAR($C6025)&amp;"-Q"&amp;ROUNDUP(MONTH($C6025)/3,0))</f>
        <v/>
      </c>
      <c r="L6025">
        <f>IF($G6025&lt;&gt;"ALCOHOL","",IF($K6025="","",$H6025*IFERROR(VLOOKUP($K6025,Drink_Templates!$A:$G,7,FALSE),0)))</f>
        <v/>
      </c>
    </row>
    <row r="6026" ht="15" customHeight="1">
      <c r="C6026">
        <f>IF($B6026="","",INT($B6026))</f>
        <v/>
      </c>
      <c r="D6026">
        <f>IF($C6026="","",$C6026-WEEKDAY($C6026,2)+1)</f>
        <v/>
      </c>
      <c r="E6026">
        <f>IF($C6026="","",DATE(YEAR($C6026),MONTH($C6026),1))</f>
        <v/>
      </c>
      <c r="F6026">
        <f>IF($C6026="","",YEAR($C6026)&amp;"-Q"&amp;ROUNDUP(MONTH($C6026)/3,0))</f>
        <v/>
      </c>
      <c r="L6026">
        <f>IF($G6026&lt;&gt;"ALCOHOL","",IF($K6026="","",$H6026*IFERROR(VLOOKUP($K6026,Drink_Templates!$A:$G,7,FALSE),0)))</f>
        <v/>
      </c>
    </row>
    <row r="6027" ht="15" customHeight="1">
      <c r="C6027">
        <f>IF($B6027="","",INT($B6027))</f>
        <v/>
      </c>
      <c r="D6027">
        <f>IF($C6027="","",$C6027-WEEKDAY($C6027,2)+1)</f>
        <v/>
      </c>
      <c r="E6027">
        <f>IF($C6027="","",DATE(YEAR($C6027),MONTH($C6027),1))</f>
        <v/>
      </c>
      <c r="F6027">
        <f>IF($C6027="","",YEAR($C6027)&amp;"-Q"&amp;ROUNDUP(MONTH($C6027)/3,0))</f>
        <v/>
      </c>
      <c r="L6027">
        <f>IF($G6027&lt;&gt;"ALCOHOL","",IF($K6027="","",$H6027*IFERROR(VLOOKUP($K6027,Drink_Templates!$A:$G,7,FALSE),0)))</f>
        <v/>
      </c>
    </row>
    <row r="6028" ht="15" customHeight="1">
      <c r="C6028">
        <f>IF($B6028="","",INT($B6028))</f>
        <v/>
      </c>
      <c r="D6028">
        <f>IF($C6028="","",$C6028-WEEKDAY($C6028,2)+1)</f>
        <v/>
      </c>
      <c r="E6028">
        <f>IF($C6028="","",DATE(YEAR($C6028),MONTH($C6028),1))</f>
        <v/>
      </c>
      <c r="F6028">
        <f>IF($C6028="","",YEAR($C6028)&amp;"-Q"&amp;ROUNDUP(MONTH($C6028)/3,0))</f>
        <v/>
      </c>
      <c r="L6028">
        <f>IF($G6028&lt;&gt;"ALCOHOL","",IF($K6028="","",$H6028*IFERROR(VLOOKUP($K6028,Drink_Templates!$A:$G,7,FALSE),0)))</f>
        <v/>
      </c>
    </row>
    <row r="6029" ht="15" customHeight="1">
      <c r="C6029">
        <f>IF($B6029="","",INT($B6029))</f>
        <v/>
      </c>
      <c r="D6029">
        <f>IF($C6029="","",$C6029-WEEKDAY($C6029,2)+1)</f>
        <v/>
      </c>
      <c r="E6029">
        <f>IF($C6029="","",DATE(YEAR($C6029),MONTH($C6029),1))</f>
        <v/>
      </c>
      <c r="F6029">
        <f>IF($C6029="","",YEAR($C6029)&amp;"-Q"&amp;ROUNDUP(MONTH($C6029)/3,0))</f>
        <v/>
      </c>
      <c r="L6029">
        <f>IF($G6029&lt;&gt;"ALCOHOL","",IF($K6029="","",$H6029*IFERROR(VLOOKUP($K6029,Drink_Templates!$A:$G,7,FALSE),0)))</f>
        <v/>
      </c>
    </row>
    <row r="6030" ht="15" customHeight="1">
      <c r="C6030">
        <f>IF($B6030="","",INT($B6030))</f>
        <v/>
      </c>
      <c r="D6030">
        <f>IF($C6030="","",$C6030-WEEKDAY($C6030,2)+1)</f>
        <v/>
      </c>
      <c r="E6030">
        <f>IF($C6030="","",DATE(YEAR($C6030),MONTH($C6030),1))</f>
        <v/>
      </c>
      <c r="F6030">
        <f>IF($C6030="","",YEAR($C6030)&amp;"-Q"&amp;ROUNDUP(MONTH($C6030)/3,0))</f>
        <v/>
      </c>
      <c r="L6030">
        <f>IF($G6030&lt;&gt;"ALCOHOL","",IF($K6030="","",$H6030*IFERROR(VLOOKUP($K6030,Drink_Templates!$A:$G,7,FALSE),0)))</f>
        <v/>
      </c>
    </row>
    <row r="6031" ht="15" customHeight="1">
      <c r="C6031">
        <f>IF($B6031="","",INT($B6031))</f>
        <v/>
      </c>
      <c r="D6031">
        <f>IF($C6031="","",$C6031-WEEKDAY($C6031,2)+1)</f>
        <v/>
      </c>
      <c r="E6031">
        <f>IF($C6031="","",DATE(YEAR($C6031),MONTH($C6031),1))</f>
        <v/>
      </c>
      <c r="F6031">
        <f>IF($C6031="","",YEAR($C6031)&amp;"-Q"&amp;ROUNDUP(MONTH($C6031)/3,0))</f>
        <v/>
      </c>
      <c r="L6031">
        <f>IF($G6031&lt;&gt;"ALCOHOL","",IF($K6031="","",$H6031*IFERROR(VLOOKUP($K6031,Drink_Templates!$A:$G,7,FALSE),0)))</f>
        <v/>
      </c>
    </row>
    <row r="6032" ht="15" customHeight="1">
      <c r="C6032">
        <f>IF($B6032="","",INT($B6032))</f>
        <v/>
      </c>
      <c r="D6032">
        <f>IF($C6032="","",$C6032-WEEKDAY($C6032,2)+1)</f>
        <v/>
      </c>
      <c r="E6032">
        <f>IF($C6032="","",DATE(YEAR($C6032),MONTH($C6032),1))</f>
        <v/>
      </c>
      <c r="F6032">
        <f>IF($C6032="","",YEAR($C6032)&amp;"-Q"&amp;ROUNDUP(MONTH($C6032)/3,0))</f>
        <v/>
      </c>
      <c r="L6032">
        <f>IF($G6032&lt;&gt;"ALCOHOL","",IF($K6032="","",$H6032*IFERROR(VLOOKUP($K6032,Drink_Templates!$A:$G,7,FALSE),0)))</f>
        <v/>
      </c>
    </row>
    <row r="6033" ht="15" customHeight="1">
      <c r="C6033">
        <f>IF($B6033="","",INT($B6033))</f>
        <v/>
      </c>
      <c r="D6033">
        <f>IF($C6033="","",$C6033-WEEKDAY($C6033,2)+1)</f>
        <v/>
      </c>
      <c r="E6033">
        <f>IF($C6033="","",DATE(YEAR($C6033),MONTH($C6033),1))</f>
        <v/>
      </c>
      <c r="F6033">
        <f>IF($C6033="","",YEAR($C6033)&amp;"-Q"&amp;ROUNDUP(MONTH($C6033)/3,0))</f>
        <v/>
      </c>
      <c r="L6033">
        <f>IF($G6033&lt;&gt;"ALCOHOL","",IF($K6033="","",$H6033*IFERROR(VLOOKUP($K6033,Drink_Templates!$A:$G,7,FALSE),0)))</f>
        <v/>
      </c>
    </row>
    <row r="6034" ht="15" customHeight="1">
      <c r="C6034">
        <f>IF($B6034="","",INT($B6034))</f>
        <v/>
      </c>
      <c r="D6034">
        <f>IF($C6034="","",$C6034-WEEKDAY($C6034,2)+1)</f>
        <v/>
      </c>
      <c r="E6034">
        <f>IF($C6034="","",DATE(YEAR($C6034),MONTH($C6034),1))</f>
        <v/>
      </c>
      <c r="F6034">
        <f>IF($C6034="","",YEAR($C6034)&amp;"-Q"&amp;ROUNDUP(MONTH($C6034)/3,0))</f>
        <v/>
      </c>
      <c r="L6034">
        <f>IF($G6034&lt;&gt;"ALCOHOL","",IF($K6034="","",$H6034*IFERROR(VLOOKUP($K6034,Drink_Templates!$A:$G,7,FALSE),0)))</f>
        <v/>
      </c>
    </row>
    <row r="6035" ht="15" customHeight="1">
      <c r="C6035">
        <f>IF($B6035="","",INT($B6035))</f>
        <v/>
      </c>
      <c r="D6035">
        <f>IF($C6035="","",$C6035-WEEKDAY($C6035,2)+1)</f>
        <v/>
      </c>
      <c r="E6035">
        <f>IF($C6035="","",DATE(YEAR($C6035),MONTH($C6035),1))</f>
        <v/>
      </c>
      <c r="F6035">
        <f>IF($C6035="","",YEAR($C6035)&amp;"-Q"&amp;ROUNDUP(MONTH($C6035)/3,0))</f>
        <v/>
      </c>
      <c r="L6035">
        <f>IF($G6035&lt;&gt;"ALCOHOL","",IF($K6035="","",$H6035*IFERROR(VLOOKUP($K6035,Drink_Templates!$A:$G,7,FALSE),0)))</f>
        <v/>
      </c>
    </row>
    <row r="6036" ht="15" customHeight="1">
      <c r="C6036">
        <f>IF($B6036="","",INT($B6036))</f>
        <v/>
      </c>
      <c r="D6036">
        <f>IF($C6036="","",$C6036-WEEKDAY($C6036,2)+1)</f>
        <v/>
      </c>
      <c r="E6036">
        <f>IF($C6036="","",DATE(YEAR($C6036),MONTH($C6036),1))</f>
        <v/>
      </c>
      <c r="F6036">
        <f>IF($C6036="","",YEAR($C6036)&amp;"-Q"&amp;ROUNDUP(MONTH($C6036)/3,0))</f>
        <v/>
      </c>
      <c r="L6036">
        <f>IF($G6036&lt;&gt;"ALCOHOL","",IF($K6036="","",$H6036*IFERROR(VLOOKUP($K6036,Drink_Templates!$A:$G,7,FALSE),0)))</f>
        <v/>
      </c>
    </row>
    <row r="6037" ht="15" customHeight="1">
      <c r="C6037">
        <f>IF($B6037="","",INT($B6037))</f>
        <v/>
      </c>
      <c r="D6037">
        <f>IF($C6037="","",$C6037-WEEKDAY($C6037,2)+1)</f>
        <v/>
      </c>
      <c r="E6037">
        <f>IF($C6037="","",DATE(YEAR($C6037),MONTH($C6037),1))</f>
        <v/>
      </c>
      <c r="F6037">
        <f>IF($C6037="","",YEAR($C6037)&amp;"-Q"&amp;ROUNDUP(MONTH($C6037)/3,0))</f>
        <v/>
      </c>
      <c r="L6037">
        <f>IF($G6037&lt;&gt;"ALCOHOL","",IF($K6037="","",$H6037*IFERROR(VLOOKUP($K6037,Drink_Templates!$A:$G,7,FALSE),0)))</f>
        <v/>
      </c>
    </row>
    <row r="6038" ht="15" customHeight="1">
      <c r="C6038">
        <f>IF($B6038="","",INT($B6038))</f>
        <v/>
      </c>
      <c r="D6038">
        <f>IF($C6038="","",$C6038-WEEKDAY($C6038,2)+1)</f>
        <v/>
      </c>
      <c r="E6038">
        <f>IF($C6038="","",DATE(YEAR($C6038),MONTH($C6038),1))</f>
        <v/>
      </c>
      <c r="F6038">
        <f>IF($C6038="","",YEAR($C6038)&amp;"-Q"&amp;ROUNDUP(MONTH($C6038)/3,0))</f>
        <v/>
      </c>
      <c r="L6038">
        <f>IF($G6038&lt;&gt;"ALCOHOL","",IF($K6038="","",$H6038*IFERROR(VLOOKUP($K6038,Drink_Templates!$A:$G,7,FALSE),0)))</f>
        <v/>
      </c>
    </row>
    <row r="6039" ht="15" customHeight="1">
      <c r="C6039">
        <f>IF($B6039="","",INT($B6039))</f>
        <v/>
      </c>
      <c r="D6039">
        <f>IF($C6039="","",$C6039-WEEKDAY($C6039,2)+1)</f>
        <v/>
      </c>
      <c r="E6039">
        <f>IF($C6039="","",DATE(YEAR($C6039),MONTH($C6039),1))</f>
        <v/>
      </c>
      <c r="F6039">
        <f>IF($C6039="","",YEAR($C6039)&amp;"-Q"&amp;ROUNDUP(MONTH($C6039)/3,0))</f>
        <v/>
      </c>
      <c r="L6039">
        <f>IF($G6039&lt;&gt;"ALCOHOL","",IF($K6039="","",$H6039*IFERROR(VLOOKUP($K6039,Drink_Templates!$A:$G,7,FALSE),0)))</f>
        <v/>
      </c>
    </row>
    <row r="6040" ht="15" customHeight="1">
      <c r="C6040">
        <f>IF($B6040="","",INT($B6040))</f>
        <v/>
      </c>
      <c r="D6040">
        <f>IF($C6040="","",$C6040-WEEKDAY($C6040,2)+1)</f>
        <v/>
      </c>
      <c r="E6040">
        <f>IF($C6040="","",DATE(YEAR($C6040),MONTH($C6040),1))</f>
        <v/>
      </c>
      <c r="F6040">
        <f>IF($C6040="","",YEAR($C6040)&amp;"-Q"&amp;ROUNDUP(MONTH($C6040)/3,0))</f>
        <v/>
      </c>
      <c r="L6040">
        <f>IF($G6040&lt;&gt;"ALCOHOL","",IF($K6040="","",$H6040*IFERROR(VLOOKUP($K6040,Drink_Templates!$A:$G,7,FALSE),0)))</f>
        <v/>
      </c>
    </row>
    <row r="6041" ht="15" customHeight="1">
      <c r="C6041">
        <f>IF($B6041="","",INT($B6041))</f>
        <v/>
      </c>
      <c r="D6041">
        <f>IF($C6041="","",$C6041-WEEKDAY($C6041,2)+1)</f>
        <v/>
      </c>
      <c r="E6041">
        <f>IF($C6041="","",DATE(YEAR($C6041),MONTH($C6041),1))</f>
        <v/>
      </c>
      <c r="F6041">
        <f>IF($C6041="","",YEAR($C6041)&amp;"-Q"&amp;ROUNDUP(MONTH($C6041)/3,0))</f>
        <v/>
      </c>
      <c r="L6041">
        <f>IF($G6041&lt;&gt;"ALCOHOL","",IF($K6041="","",$H6041*IFERROR(VLOOKUP($K6041,Drink_Templates!$A:$G,7,FALSE),0)))</f>
        <v/>
      </c>
    </row>
    <row r="6042" ht="15" customHeight="1">
      <c r="C6042">
        <f>IF($B6042="","",INT($B6042))</f>
        <v/>
      </c>
      <c r="D6042">
        <f>IF($C6042="","",$C6042-WEEKDAY($C6042,2)+1)</f>
        <v/>
      </c>
      <c r="E6042">
        <f>IF($C6042="","",DATE(YEAR($C6042),MONTH($C6042),1))</f>
        <v/>
      </c>
      <c r="F6042">
        <f>IF($C6042="","",YEAR($C6042)&amp;"-Q"&amp;ROUNDUP(MONTH($C6042)/3,0))</f>
        <v/>
      </c>
      <c r="L6042">
        <f>IF($G6042&lt;&gt;"ALCOHOL","",IF($K6042="","",$H6042*IFERROR(VLOOKUP($K6042,Drink_Templates!$A:$G,7,FALSE),0)))</f>
        <v/>
      </c>
    </row>
    <row r="6043" ht="15" customHeight="1">
      <c r="C6043">
        <f>IF($B6043="","",INT($B6043))</f>
        <v/>
      </c>
      <c r="D6043">
        <f>IF($C6043="","",$C6043-WEEKDAY($C6043,2)+1)</f>
        <v/>
      </c>
      <c r="E6043">
        <f>IF($C6043="","",DATE(YEAR($C6043),MONTH($C6043),1))</f>
        <v/>
      </c>
      <c r="F6043">
        <f>IF($C6043="","",YEAR($C6043)&amp;"-Q"&amp;ROUNDUP(MONTH($C6043)/3,0))</f>
        <v/>
      </c>
      <c r="L6043">
        <f>IF($G6043&lt;&gt;"ALCOHOL","",IF($K6043="","",$H6043*IFERROR(VLOOKUP($K6043,Drink_Templates!$A:$G,7,FALSE),0)))</f>
        <v/>
      </c>
    </row>
    <row r="6044" ht="15" customHeight="1">
      <c r="C6044">
        <f>IF($B6044="","",INT($B6044))</f>
        <v/>
      </c>
      <c r="D6044">
        <f>IF($C6044="","",$C6044-WEEKDAY($C6044,2)+1)</f>
        <v/>
      </c>
      <c r="E6044">
        <f>IF($C6044="","",DATE(YEAR($C6044),MONTH($C6044),1))</f>
        <v/>
      </c>
      <c r="F6044">
        <f>IF($C6044="","",YEAR($C6044)&amp;"-Q"&amp;ROUNDUP(MONTH($C6044)/3,0))</f>
        <v/>
      </c>
      <c r="L6044">
        <f>IF($G6044&lt;&gt;"ALCOHOL","",IF($K6044="","",$H6044*IFERROR(VLOOKUP($K6044,Drink_Templates!$A:$G,7,FALSE),0)))</f>
        <v/>
      </c>
    </row>
    <row r="6045" ht="15" customHeight="1">
      <c r="C6045">
        <f>IF($B6045="","",INT($B6045))</f>
        <v/>
      </c>
      <c r="D6045">
        <f>IF($C6045="","",$C6045-WEEKDAY($C6045,2)+1)</f>
        <v/>
      </c>
      <c r="E6045">
        <f>IF($C6045="","",DATE(YEAR($C6045),MONTH($C6045),1))</f>
        <v/>
      </c>
      <c r="F6045">
        <f>IF($C6045="","",YEAR($C6045)&amp;"-Q"&amp;ROUNDUP(MONTH($C6045)/3,0))</f>
        <v/>
      </c>
      <c r="L6045">
        <f>IF($G6045&lt;&gt;"ALCOHOL","",IF($K6045="","",$H6045*IFERROR(VLOOKUP($K6045,Drink_Templates!$A:$G,7,FALSE),0)))</f>
        <v/>
      </c>
    </row>
    <row r="6046" ht="15" customHeight="1">
      <c r="C6046">
        <f>IF($B6046="","",INT($B6046))</f>
        <v/>
      </c>
      <c r="D6046">
        <f>IF($C6046="","",$C6046-WEEKDAY($C6046,2)+1)</f>
        <v/>
      </c>
      <c r="E6046">
        <f>IF($C6046="","",DATE(YEAR($C6046),MONTH($C6046),1))</f>
        <v/>
      </c>
      <c r="F6046">
        <f>IF($C6046="","",YEAR($C6046)&amp;"-Q"&amp;ROUNDUP(MONTH($C6046)/3,0))</f>
        <v/>
      </c>
      <c r="L6046">
        <f>IF($G6046&lt;&gt;"ALCOHOL","",IF($K6046="","",$H6046*IFERROR(VLOOKUP($K6046,Drink_Templates!$A:$G,7,FALSE),0)))</f>
        <v/>
      </c>
    </row>
    <row r="6047" ht="15" customHeight="1">
      <c r="C6047">
        <f>IF($B6047="","",INT($B6047))</f>
        <v/>
      </c>
      <c r="D6047">
        <f>IF($C6047="","",$C6047-WEEKDAY($C6047,2)+1)</f>
        <v/>
      </c>
      <c r="E6047">
        <f>IF($C6047="","",DATE(YEAR($C6047),MONTH($C6047),1))</f>
        <v/>
      </c>
      <c r="F6047">
        <f>IF($C6047="","",YEAR($C6047)&amp;"-Q"&amp;ROUNDUP(MONTH($C6047)/3,0))</f>
        <v/>
      </c>
      <c r="L6047">
        <f>IF($G6047&lt;&gt;"ALCOHOL","",IF($K6047="","",$H6047*IFERROR(VLOOKUP($K6047,Drink_Templates!$A:$G,7,FALSE),0)))</f>
        <v/>
      </c>
    </row>
    <row r="6048" ht="15" customHeight="1">
      <c r="C6048">
        <f>IF($B6048="","",INT($B6048))</f>
        <v/>
      </c>
      <c r="D6048">
        <f>IF($C6048="","",$C6048-WEEKDAY($C6048,2)+1)</f>
        <v/>
      </c>
      <c r="E6048">
        <f>IF($C6048="","",DATE(YEAR($C6048),MONTH($C6048),1))</f>
        <v/>
      </c>
      <c r="F6048">
        <f>IF($C6048="","",YEAR($C6048)&amp;"-Q"&amp;ROUNDUP(MONTH($C6048)/3,0))</f>
        <v/>
      </c>
      <c r="L6048">
        <f>IF($G6048&lt;&gt;"ALCOHOL","",IF($K6048="","",$H6048*IFERROR(VLOOKUP($K6048,Drink_Templates!$A:$G,7,FALSE),0)))</f>
        <v/>
      </c>
    </row>
    <row r="6049" ht="15" customHeight="1">
      <c r="C6049">
        <f>IF($B6049="","",INT($B6049))</f>
        <v/>
      </c>
      <c r="D6049">
        <f>IF($C6049="","",$C6049-WEEKDAY($C6049,2)+1)</f>
        <v/>
      </c>
      <c r="E6049">
        <f>IF($C6049="","",DATE(YEAR($C6049),MONTH($C6049),1))</f>
        <v/>
      </c>
      <c r="F6049">
        <f>IF($C6049="","",YEAR($C6049)&amp;"-Q"&amp;ROUNDUP(MONTH($C6049)/3,0))</f>
        <v/>
      </c>
      <c r="L6049">
        <f>IF($G6049&lt;&gt;"ALCOHOL","",IF($K6049="","",$H6049*IFERROR(VLOOKUP($K6049,Drink_Templates!$A:$G,7,FALSE),0)))</f>
        <v/>
      </c>
    </row>
    <row r="6050" ht="15" customHeight="1">
      <c r="C6050">
        <f>IF($B6050="","",INT($B6050))</f>
        <v/>
      </c>
      <c r="D6050">
        <f>IF($C6050="","",$C6050-WEEKDAY($C6050,2)+1)</f>
        <v/>
      </c>
      <c r="E6050">
        <f>IF($C6050="","",DATE(YEAR($C6050),MONTH($C6050),1))</f>
        <v/>
      </c>
      <c r="F6050">
        <f>IF($C6050="","",YEAR($C6050)&amp;"-Q"&amp;ROUNDUP(MONTH($C6050)/3,0))</f>
        <v/>
      </c>
      <c r="L6050">
        <f>IF($G6050&lt;&gt;"ALCOHOL","",IF($K6050="","",$H6050*IFERROR(VLOOKUP($K6050,Drink_Templates!$A:$G,7,FALSE),0)))</f>
        <v/>
      </c>
    </row>
    <row r="6051" ht="15" customHeight="1">
      <c r="C6051">
        <f>IF($B6051="","",INT($B6051))</f>
        <v/>
      </c>
      <c r="D6051">
        <f>IF($C6051="","",$C6051-WEEKDAY($C6051,2)+1)</f>
        <v/>
      </c>
      <c r="E6051">
        <f>IF($C6051="","",DATE(YEAR($C6051),MONTH($C6051),1))</f>
        <v/>
      </c>
      <c r="F6051">
        <f>IF($C6051="","",YEAR($C6051)&amp;"-Q"&amp;ROUNDUP(MONTH($C6051)/3,0))</f>
        <v/>
      </c>
      <c r="L6051">
        <f>IF($G6051&lt;&gt;"ALCOHOL","",IF($K6051="","",$H6051*IFERROR(VLOOKUP($K6051,Drink_Templates!$A:$G,7,FALSE),0)))</f>
        <v/>
      </c>
    </row>
    <row r="6052" ht="15" customHeight="1">
      <c r="C6052">
        <f>IF($B6052="","",INT($B6052))</f>
        <v/>
      </c>
      <c r="D6052">
        <f>IF($C6052="","",$C6052-WEEKDAY($C6052,2)+1)</f>
        <v/>
      </c>
      <c r="E6052">
        <f>IF($C6052="","",DATE(YEAR($C6052),MONTH($C6052),1))</f>
        <v/>
      </c>
      <c r="F6052">
        <f>IF($C6052="","",YEAR($C6052)&amp;"-Q"&amp;ROUNDUP(MONTH($C6052)/3,0))</f>
        <v/>
      </c>
      <c r="L6052">
        <f>IF($G6052&lt;&gt;"ALCOHOL","",IF($K6052="","",$H6052*IFERROR(VLOOKUP($K6052,Drink_Templates!$A:$G,7,FALSE),0)))</f>
        <v/>
      </c>
    </row>
    <row r="6053" ht="15" customHeight="1">
      <c r="C6053">
        <f>IF($B6053="","",INT($B6053))</f>
        <v/>
      </c>
      <c r="D6053">
        <f>IF($C6053="","",$C6053-WEEKDAY($C6053,2)+1)</f>
        <v/>
      </c>
      <c r="E6053">
        <f>IF($C6053="","",DATE(YEAR($C6053),MONTH($C6053),1))</f>
        <v/>
      </c>
      <c r="F6053">
        <f>IF($C6053="","",YEAR($C6053)&amp;"-Q"&amp;ROUNDUP(MONTH($C6053)/3,0))</f>
        <v/>
      </c>
      <c r="L6053">
        <f>IF($G6053&lt;&gt;"ALCOHOL","",IF($K6053="","",$H6053*IFERROR(VLOOKUP($K6053,Drink_Templates!$A:$G,7,FALSE),0)))</f>
        <v/>
      </c>
    </row>
    <row r="6054" ht="15" customHeight="1">
      <c r="C6054">
        <f>IF($B6054="","",INT($B6054))</f>
        <v/>
      </c>
      <c r="D6054">
        <f>IF($C6054="","",$C6054-WEEKDAY($C6054,2)+1)</f>
        <v/>
      </c>
      <c r="E6054">
        <f>IF($C6054="","",DATE(YEAR($C6054),MONTH($C6054),1))</f>
        <v/>
      </c>
      <c r="F6054">
        <f>IF($C6054="","",YEAR($C6054)&amp;"-Q"&amp;ROUNDUP(MONTH($C6054)/3,0))</f>
        <v/>
      </c>
      <c r="L6054">
        <f>IF($G6054&lt;&gt;"ALCOHOL","",IF($K6054="","",$H6054*IFERROR(VLOOKUP($K6054,Drink_Templates!$A:$G,7,FALSE),0)))</f>
        <v/>
      </c>
    </row>
    <row r="6055" ht="15" customHeight="1">
      <c r="C6055">
        <f>IF($B6055="","",INT($B6055))</f>
        <v/>
      </c>
      <c r="D6055">
        <f>IF($C6055="","",$C6055-WEEKDAY($C6055,2)+1)</f>
        <v/>
      </c>
      <c r="E6055">
        <f>IF($C6055="","",DATE(YEAR($C6055),MONTH($C6055),1))</f>
        <v/>
      </c>
      <c r="F6055">
        <f>IF($C6055="","",YEAR($C6055)&amp;"-Q"&amp;ROUNDUP(MONTH($C6055)/3,0))</f>
        <v/>
      </c>
      <c r="L6055">
        <f>IF($G6055&lt;&gt;"ALCOHOL","",IF($K6055="","",$H6055*IFERROR(VLOOKUP($K6055,Drink_Templates!$A:$G,7,FALSE),0)))</f>
        <v/>
      </c>
    </row>
    <row r="6056" ht="15" customHeight="1">
      <c r="C6056">
        <f>IF($B6056="","",INT($B6056))</f>
        <v/>
      </c>
      <c r="D6056">
        <f>IF($C6056="","",$C6056-WEEKDAY($C6056,2)+1)</f>
        <v/>
      </c>
      <c r="E6056">
        <f>IF($C6056="","",DATE(YEAR($C6056),MONTH($C6056),1))</f>
        <v/>
      </c>
      <c r="F6056">
        <f>IF($C6056="","",YEAR($C6056)&amp;"-Q"&amp;ROUNDUP(MONTH($C6056)/3,0))</f>
        <v/>
      </c>
      <c r="L6056">
        <f>IF($G6056&lt;&gt;"ALCOHOL","",IF($K6056="","",$H6056*IFERROR(VLOOKUP($K6056,Drink_Templates!$A:$G,7,FALSE),0)))</f>
        <v/>
      </c>
    </row>
    <row r="6057" ht="15" customHeight="1">
      <c r="C6057">
        <f>IF($B6057="","",INT($B6057))</f>
        <v/>
      </c>
      <c r="D6057">
        <f>IF($C6057="","",$C6057-WEEKDAY($C6057,2)+1)</f>
        <v/>
      </c>
      <c r="E6057">
        <f>IF($C6057="","",DATE(YEAR($C6057),MONTH($C6057),1))</f>
        <v/>
      </c>
      <c r="F6057">
        <f>IF($C6057="","",YEAR($C6057)&amp;"-Q"&amp;ROUNDUP(MONTH($C6057)/3,0))</f>
        <v/>
      </c>
      <c r="L6057">
        <f>IF($G6057&lt;&gt;"ALCOHOL","",IF($K6057="","",$H6057*IFERROR(VLOOKUP($K6057,Drink_Templates!$A:$G,7,FALSE),0)))</f>
        <v/>
      </c>
    </row>
    <row r="6058" ht="15" customHeight="1">
      <c r="C6058">
        <f>IF($B6058="","",INT($B6058))</f>
        <v/>
      </c>
      <c r="D6058">
        <f>IF($C6058="","",$C6058-WEEKDAY($C6058,2)+1)</f>
        <v/>
      </c>
      <c r="E6058">
        <f>IF($C6058="","",DATE(YEAR($C6058),MONTH($C6058),1))</f>
        <v/>
      </c>
      <c r="F6058">
        <f>IF($C6058="","",YEAR($C6058)&amp;"-Q"&amp;ROUNDUP(MONTH($C6058)/3,0))</f>
        <v/>
      </c>
      <c r="L6058">
        <f>IF($G6058&lt;&gt;"ALCOHOL","",IF($K6058="","",$H6058*IFERROR(VLOOKUP($K6058,Drink_Templates!$A:$G,7,FALSE),0)))</f>
        <v/>
      </c>
    </row>
    <row r="6059" ht="15" customHeight="1">
      <c r="C6059">
        <f>IF($B6059="","",INT($B6059))</f>
        <v/>
      </c>
      <c r="D6059">
        <f>IF($C6059="","",$C6059-WEEKDAY($C6059,2)+1)</f>
        <v/>
      </c>
      <c r="E6059">
        <f>IF($C6059="","",DATE(YEAR($C6059),MONTH($C6059),1))</f>
        <v/>
      </c>
      <c r="F6059">
        <f>IF($C6059="","",YEAR($C6059)&amp;"-Q"&amp;ROUNDUP(MONTH($C6059)/3,0))</f>
        <v/>
      </c>
      <c r="L6059">
        <f>IF($G6059&lt;&gt;"ALCOHOL","",IF($K6059="","",$H6059*IFERROR(VLOOKUP($K6059,Drink_Templates!$A:$G,7,FALSE),0)))</f>
        <v/>
      </c>
    </row>
    <row r="6060" ht="15" customHeight="1">
      <c r="C6060">
        <f>IF($B6060="","",INT($B6060))</f>
        <v/>
      </c>
      <c r="D6060">
        <f>IF($C6060="","",$C6060-WEEKDAY($C6060,2)+1)</f>
        <v/>
      </c>
      <c r="E6060">
        <f>IF($C6060="","",DATE(YEAR($C6060),MONTH($C6060),1))</f>
        <v/>
      </c>
      <c r="F6060">
        <f>IF($C6060="","",YEAR($C6060)&amp;"-Q"&amp;ROUNDUP(MONTH($C6060)/3,0))</f>
        <v/>
      </c>
      <c r="L6060">
        <f>IF($G6060&lt;&gt;"ALCOHOL","",IF($K6060="","",$H6060*IFERROR(VLOOKUP($K6060,Drink_Templates!$A:$G,7,FALSE),0)))</f>
        <v/>
      </c>
    </row>
    <row r="6061" ht="15" customHeight="1">
      <c r="C6061">
        <f>IF($B6061="","",INT($B6061))</f>
        <v/>
      </c>
      <c r="D6061">
        <f>IF($C6061="","",$C6061-WEEKDAY($C6061,2)+1)</f>
        <v/>
      </c>
      <c r="E6061">
        <f>IF($C6061="","",DATE(YEAR($C6061),MONTH($C6061),1))</f>
        <v/>
      </c>
      <c r="F6061">
        <f>IF($C6061="","",YEAR($C6061)&amp;"-Q"&amp;ROUNDUP(MONTH($C6061)/3,0))</f>
        <v/>
      </c>
      <c r="L6061">
        <f>IF($G6061&lt;&gt;"ALCOHOL","",IF($K6061="","",$H6061*IFERROR(VLOOKUP($K6061,Drink_Templates!$A:$G,7,FALSE),0)))</f>
        <v/>
      </c>
    </row>
    <row r="6062" ht="15" customHeight="1">
      <c r="C6062">
        <f>IF($B6062="","",INT($B6062))</f>
        <v/>
      </c>
      <c r="D6062">
        <f>IF($C6062="","",$C6062-WEEKDAY($C6062,2)+1)</f>
        <v/>
      </c>
      <c r="E6062">
        <f>IF($C6062="","",DATE(YEAR($C6062),MONTH($C6062),1))</f>
        <v/>
      </c>
      <c r="F6062">
        <f>IF($C6062="","",YEAR($C6062)&amp;"-Q"&amp;ROUNDUP(MONTH($C6062)/3,0))</f>
        <v/>
      </c>
      <c r="L6062">
        <f>IF($G6062&lt;&gt;"ALCOHOL","",IF($K6062="","",$H6062*IFERROR(VLOOKUP($K6062,Drink_Templates!$A:$G,7,FALSE),0)))</f>
        <v/>
      </c>
    </row>
    <row r="6063" ht="15" customHeight="1">
      <c r="C6063">
        <f>IF($B6063="","",INT($B6063))</f>
        <v/>
      </c>
      <c r="D6063">
        <f>IF($C6063="","",$C6063-WEEKDAY($C6063,2)+1)</f>
        <v/>
      </c>
      <c r="E6063">
        <f>IF($C6063="","",DATE(YEAR($C6063),MONTH($C6063),1))</f>
        <v/>
      </c>
      <c r="F6063">
        <f>IF($C6063="","",YEAR($C6063)&amp;"-Q"&amp;ROUNDUP(MONTH($C6063)/3,0))</f>
        <v/>
      </c>
      <c r="L6063">
        <f>IF($G6063&lt;&gt;"ALCOHOL","",IF($K6063="","",$H6063*IFERROR(VLOOKUP($K6063,Drink_Templates!$A:$G,7,FALSE),0)))</f>
        <v/>
      </c>
    </row>
    <row r="6064" ht="15" customHeight="1">
      <c r="C6064">
        <f>IF($B6064="","",INT($B6064))</f>
        <v/>
      </c>
      <c r="D6064">
        <f>IF($C6064="","",$C6064-WEEKDAY($C6064,2)+1)</f>
        <v/>
      </c>
      <c r="E6064">
        <f>IF($C6064="","",DATE(YEAR($C6064),MONTH($C6064),1))</f>
        <v/>
      </c>
      <c r="F6064">
        <f>IF($C6064="","",YEAR($C6064)&amp;"-Q"&amp;ROUNDUP(MONTH($C6064)/3,0))</f>
        <v/>
      </c>
      <c r="L6064">
        <f>IF($G6064&lt;&gt;"ALCOHOL","",IF($K6064="","",$H6064*IFERROR(VLOOKUP($K6064,Drink_Templates!$A:$G,7,FALSE),0)))</f>
        <v/>
      </c>
    </row>
    <row r="6065" ht="15" customHeight="1">
      <c r="C6065">
        <f>IF($B6065="","",INT($B6065))</f>
        <v/>
      </c>
      <c r="D6065">
        <f>IF($C6065="","",$C6065-WEEKDAY($C6065,2)+1)</f>
        <v/>
      </c>
      <c r="E6065">
        <f>IF($C6065="","",DATE(YEAR($C6065),MONTH($C6065),1))</f>
        <v/>
      </c>
      <c r="F6065">
        <f>IF($C6065="","",YEAR($C6065)&amp;"-Q"&amp;ROUNDUP(MONTH($C6065)/3,0))</f>
        <v/>
      </c>
      <c r="L6065">
        <f>IF($G6065&lt;&gt;"ALCOHOL","",IF($K6065="","",$H6065*IFERROR(VLOOKUP($K6065,Drink_Templates!$A:$G,7,FALSE),0)))</f>
        <v/>
      </c>
    </row>
    <row r="6066" ht="15" customHeight="1">
      <c r="C6066">
        <f>IF($B6066="","",INT($B6066))</f>
        <v/>
      </c>
      <c r="D6066">
        <f>IF($C6066="","",$C6066-WEEKDAY($C6066,2)+1)</f>
        <v/>
      </c>
      <c r="E6066">
        <f>IF($C6066="","",DATE(YEAR($C6066),MONTH($C6066),1))</f>
        <v/>
      </c>
      <c r="F6066">
        <f>IF($C6066="","",YEAR($C6066)&amp;"-Q"&amp;ROUNDUP(MONTH($C6066)/3,0))</f>
        <v/>
      </c>
      <c r="L6066">
        <f>IF($G6066&lt;&gt;"ALCOHOL","",IF($K6066="","",$H6066*IFERROR(VLOOKUP($K6066,Drink_Templates!$A:$G,7,FALSE),0)))</f>
        <v/>
      </c>
    </row>
    <row r="6067" ht="15" customHeight="1">
      <c r="C6067">
        <f>IF($B6067="","",INT($B6067))</f>
        <v/>
      </c>
      <c r="D6067">
        <f>IF($C6067="","",$C6067-WEEKDAY($C6067,2)+1)</f>
        <v/>
      </c>
      <c r="E6067">
        <f>IF($C6067="","",DATE(YEAR($C6067),MONTH($C6067),1))</f>
        <v/>
      </c>
      <c r="F6067">
        <f>IF($C6067="","",YEAR($C6067)&amp;"-Q"&amp;ROUNDUP(MONTH($C6067)/3,0))</f>
        <v/>
      </c>
      <c r="L6067">
        <f>IF($G6067&lt;&gt;"ALCOHOL","",IF($K6067="","",$H6067*IFERROR(VLOOKUP($K6067,Drink_Templates!$A:$G,7,FALSE),0)))</f>
        <v/>
      </c>
    </row>
    <row r="6068" ht="15" customHeight="1">
      <c r="C6068">
        <f>IF($B6068="","",INT($B6068))</f>
        <v/>
      </c>
      <c r="D6068">
        <f>IF($C6068="","",$C6068-WEEKDAY($C6068,2)+1)</f>
        <v/>
      </c>
      <c r="E6068">
        <f>IF($C6068="","",DATE(YEAR($C6068),MONTH($C6068),1))</f>
        <v/>
      </c>
      <c r="F6068">
        <f>IF($C6068="","",YEAR($C6068)&amp;"-Q"&amp;ROUNDUP(MONTH($C6068)/3,0))</f>
        <v/>
      </c>
      <c r="L6068">
        <f>IF($G6068&lt;&gt;"ALCOHOL","",IF($K6068="","",$H6068*IFERROR(VLOOKUP($K6068,Drink_Templates!$A:$G,7,FALSE),0)))</f>
        <v/>
      </c>
    </row>
    <row r="6069" ht="15" customHeight="1">
      <c r="C6069">
        <f>IF($B6069="","",INT($B6069))</f>
        <v/>
      </c>
      <c r="D6069">
        <f>IF($C6069="","",$C6069-WEEKDAY($C6069,2)+1)</f>
        <v/>
      </c>
      <c r="E6069">
        <f>IF($C6069="","",DATE(YEAR($C6069),MONTH($C6069),1))</f>
        <v/>
      </c>
      <c r="F6069">
        <f>IF($C6069="","",YEAR($C6069)&amp;"-Q"&amp;ROUNDUP(MONTH($C6069)/3,0))</f>
        <v/>
      </c>
      <c r="L6069">
        <f>IF($G6069&lt;&gt;"ALCOHOL","",IF($K6069="","",$H6069*IFERROR(VLOOKUP($K6069,Drink_Templates!$A:$G,7,FALSE),0)))</f>
        <v/>
      </c>
    </row>
    <row r="6070" ht="15" customHeight="1">
      <c r="C6070">
        <f>IF($B6070="","",INT($B6070))</f>
        <v/>
      </c>
      <c r="D6070">
        <f>IF($C6070="","",$C6070-WEEKDAY($C6070,2)+1)</f>
        <v/>
      </c>
      <c r="E6070">
        <f>IF($C6070="","",DATE(YEAR($C6070),MONTH($C6070),1))</f>
        <v/>
      </c>
      <c r="F6070">
        <f>IF($C6070="","",YEAR($C6070)&amp;"-Q"&amp;ROUNDUP(MONTH($C6070)/3,0))</f>
        <v/>
      </c>
      <c r="L6070">
        <f>IF($G6070&lt;&gt;"ALCOHOL","",IF($K6070="","",$H6070*IFERROR(VLOOKUP($K6070,Drink_Templates!$A:$G,7,FALSE),0)))</f>
        <v/>
      </c>
    </row>
    <row r="6071" ht="15" customHeight="1">
      <c r="C6071">
        <f>IF($B6071="","",INT($B6071))</f>
        <v/>
      </c>
      <c r="D6071">
        <f>IF($C6071="","",$C6071-WEEKDAY($C6071,2)+1)</f>
        <v/>
      </c>
      <c r="E6071">
        <f>IF($C6071="","",DATE(YEAR($C6071),MONTH($C6071),1))</f>
        <v/>
      </c>
      <c r="F6071">
        <f>IF($C6071="","",YEAR($C6071)&amp;"-Q"&amp;ROUNDUP(MONTH($C6071)/3,0))</f>
        <v/>
      </c>
      <c r="L6071">
        <f>IF($G6071&lt;&gt;"ALCOHOL","",IF($K6071="","",$H6071*IFERROR(VLOOKUP($K6071,Drink_Templates!$A:$G,7,FALSE),0)))</f>
        <v/>
      </c>
    </row>
    <row r="6072" ht="15" customHeight="1">
      <c r="C6072">
        <f>IF($B6072="","",INT($B6072))</f>
        <v/>
      </c>
      <c r="D6072">
        <f>IF($C6072="","",$C6072-WEEKDAY($C6072,2)+1)</f>
        <v/>
      </c>
      <c r="E6072">
        <f>IF($C6072="","",DATE(YEAR($C6072),MONTH($C6072),1))</f>
        <v/>
      </c>
      <c r="F6072">
        <f>IF($C6072="","",YEAR($C6072)&amp;"-Q"&amp;ROUNDUP(MONTH($C6072)/3,0))</f>
        <v/>
      </c>
      <c r="L6072">
        <f>IF($G6072&lt;&gt;"ALCOHOL","",IF($K6072="","",$H6072*IFERROR(VLOOKUP($K6072,Drink_Templates!$A:$G,7,FALSE),0)))</f>
        <v/>
      </c>
    </row>
    <row r="6073" ht="15" customHeight="1">
      <c r="C6073">
        <f>IF($B6073="","",INT($B6073))</f>
        <v/>
      </c>
      <c r="D6073">
        <f>IF($C6073="","",$C6073-WEEKDAY($C6073,2)+1)</f>
        <v/>
      </c>
      <c r="E6073">
        <f>IF($C6073="","",DATE(YEAR($C6073),MONTH($C6073),1))</f>
        <v/>
      </c>
      <c r="F6073">
        <f>IF($C6073="","",YEAR($C6073)&amp;"-Q"&amp;ROUNDUP(MONTH($C6073)/3,0))</f>
        <v/>
      </c>
      <c r="L6073">
        <f>IF($G6073&lt;&gt;"ALCOHOL","",IF($K6073="","",$H6073*IFERROR(VLOOKUP($K6073,Drink_Templates!$A:$G,7,FALSE),0)))</f>
        <v/>
      </c>
    </row>
    <row r="6074" ht="15" customHeight="1">
      <c r="C6074">
        <f>IF($B6074="","",INT($B6074))</f>
        <v/>
      </c>
      <c r="D6074">
        <f>IF($C6074="","",$C6074-WEEKDAY($C6074,2)+1)</f>
        <v/>
      </c>
      <c r="E6074">
        <f>IF($C6074="","",DATE(YEAR($C6074),MONTH($C6074),1))</f>
        <v/>
      </c>
      <c r="F6074">
        <f>IF($C6074="","",YEAR($C6074)&amp;"-Q"&amp;ROUNDUP(MONTH($C6074)/3,0))</f>
        <v/>
      </c>
      <c r="L6074">
        <f>IF($G6074&lt;&gt;"ALCOHOL","",IF($K6074="","",$H6074*IFERROR(VLOOKUP($K6074,Drink_Templates!$A:$G,7,FALSE),0)))</f>
        <v/>
      </c>
    </row>
    <row r="6075" ht="15" customHeight="1">
      <c r="C6075">
        <f>IF($B6075="","",INT($B6075))</f>
        <v/>
      </c>
      <c r="D6075">
        <f>IF($C6075="","",$C6075-WEEKDAY($C6075,2)+1)</f>
        <v/>
      </c>
      <c r="E6075">
        <f>IF($C6075="","",DATE(YEAR($C6075),MONTH($C6075),1))</f>
        <v/>
      </c>
      <c r="F6075">
        <f>IF($C6075="","",YEAR($C6075)&amp;"-Q"&amp;ROUNDUP(MONTH($C6075)/3,0))</f>
        <v/>
      </c>
      <c r="L6075">
        <f>IF($G6075&lt;&gt;"ALCOHOL","",IF($K6075="","",$H6075*IFERROR(VLOOKUP($K6075,Drink_Templates!$A:$G,7,FALSE),0)))</f>
        <v/>
      </c>
    </row>
    <row r="6076" ht="15" customHeight="1">
      <c r="C6076">
        <f>IF($B6076="","",INT($B6076))</f>
        <v/>
      </c>
      <c r="D6076">
        <f>IF($C6076="","",$C6076-WEEKDAY($C6076,2)+1)</f>
        <v/>
      </c>
      <c r="E6076">
        <f>IF($C6076="","",DATE(YEAR($C6076),MONTH($C6076),1))</f>
        <v/>
      </c>
      <c r="F6076">
        <f>IF($C6076="","",YEAR($C6076)&amp;"-Q"&amp;ROUNDUP(MONTH($C6076)/3,0))</f>
        <v/>
      </c>
      <c r="L6076">
        <f>IF($G6076&lt;&gt;"ALCOHOL","",IF($K6076="","",$H6076*IFERROR(VLOOKUP($K6076,Drink_Templates!$A:$G,7,FALSE),0)))</f>
        <v/>
      </c>
    </row>
    <row r="6077" ht="15" customHeight="1">
      <c r="C6077">
        <f>IF($B6077="","",INT($B6077))</f>
        <v/>
      </c>
      <c r="D6077">
        <f>IF($C6077="","",$C6077-WEEKDAY($C6077,2)+1)</f>
        <v/>
      </c>
      <c r="E6077">
        <f>IF($C6077="","",DATE(YEAR($C6077),MONTH($C6077),1))</f>
        <v/>
      </c>
      <c r="F6077">
        <f>IF($C6077="","",YEAR($C6077)&amp;"-Q"&amp;ROUNDUP(MONTH($C6077)/3,0))</f>
        <v/>
      </c>
      <c r="L6077">
        <f>IF($G6077&lt;&gt;"ALCOHOL","",IF($K6077="","",$H6077*IFERROR(VLOOKUP($K6077,Drink_Templates!$A:$G,7,FALSE),0)))</f>
        <v/>
      </c>
    </row>
    <row r="6078" ht="15" customHeight="1">
      <c r="C6078">
        <f>IF($B6078="","",INT($B6078))</f>
        <v/>
      </c>
      <c r="D6078">
        <f>IF($C6078="","",$C6078-WEEKDAY($C6078,2)+1)</f>
        <v/>
      </c>
      <c r="E6078">
        <f>IF($C6078="","",DATE(YEAR($C6078),MONTH($C6078),1))</f>
        <v/>
      </c>
      <c r="F6078">
        <f>IF($C6078="","",YEAR($C6078)&amp;"-Q"&amp;ROUNDUP(MONTH($C6078)/3,0))</f>
        <v/>
      </c>
      <c r="L6078">
        <f>IF($G6078&lt;&gt;"ALCOHOL","",IF($K6078="","",$H6078*IFERROR(VLOOKUP($K6078,Drink_Templates!$A:$G,7,FALSE),0)))</f>
        <v/>
      </c>
    </row>
    <row r="6079" ht="15" customHeight="1">
      <c r="C6079">
        <f>IF($B6079="","",INT($B6079))</f>
        <v/>
      </c>
      <c r="D6079">
        <f>IF($C6079="","",$C6079-WEEKDAY($C6079,2)+1)</f>
        <v/>
      </c>
      <c r="E6079">
        <f>IF($C6079="","",DATE(YEAR($C6079),MONTH($C6079),1))</f>
        <v/>
      </c>
      <c r="F6079">
        <f>IF($C6079="","",YEAR($C6079)&amp;"-Q"&amp;ROUNDUP(MONTH($C6079)/3,0))</f>
        <v/>
      </c>
      <c r="L6079">
        <f>IF($G6079&lt;&gt;"ALCOHOL","",IF($K6079="","",$H6079*IFERROR(VLOOKUP($K6079,Drink_Templates!$A:$G,7,FALSE),0)))</f>
        <v/>
      </c>
    </row>
    <row r="6080" ht="15" customHeight="1">
      <c r="C6080">
        <f>IF($B6080="","",INT($B6080))</f>
        <v/>
      </c>
      <c r="D6080">
        <f>IF($C6080="","",$C6080-WEEKDAY($C6080,2)+1)</f>
        <v/>
      </c>
      <c r="E6080">
        <f>IF($C6080="","",DATE(YEAR($C6080),MONTH($C6080),1))</f>
        <v/>
      </c>
      <c r="F6080">
        <f>IF($C6080="","",YEAR($C6080)&amp;"-Q"&amp;ROUNDUP(MONTH($C6080)/3,0))</f>
        <v/>
      </c>
      <c r="L6080">
        <f>IF($G6080&lt;&gt;"ALCOHOL","",IF($K6080="","",$H6080*IFERROR(VLOOKUP($K6080,Drink_Templates!$A:$G,7,FALSE),0)))</f>
        <v/>
      </c>
    </row>
    <row r="6081" ht="15" customHeight="1">
      <c r="C6081">
        <f>IF($B6081="","",INT($B6081))</f>
        <v/>
      </c>
      <c r="D6081">
        <f>IF($C6081="","",$C6081-WEEKDAY($C6081,2)+1)</f>
        <v/>
      </c>
      <c r="E6081">
        <f>IF($C6081="","",DATE(YEAR($C6081),MONTH($C6081),1))</f>
        <v/>
      </c>
      <c r="F6081">
        <f>IF($C6081="","",YEAR($C6081)&amp;"-Q"&amp;ROUNDUP(MONTH($C6081)/3,0))</f>
        <v/>
      </c>
      <c r="L6081">
        <f>IF($G6081&lt;&gt;"ALCOHOL","",IF($K6081="","",$H6081*IFERROR(VLOOKUP($K6081,Drink_Templates!$A:$G,7,FALSE),0)))</f>
        <v/>
      </c>
    </row>
    <row r="6082" ht="15" customHeight="1">
      <c r="C6082">
        <f>IF($B6082="","",INT($B6082))</f>
        <v/>
      </c>
      <c r="D6082">
        <f>IF($C6082="","",$C6082-WEEKDAY($C6082,2)+1)</f>
        <v/>
      </c>
      <c r="E6082">
        <f>IF($C6082="","",DATE(YEAR($C6082),MONTH($C6082),1))</f>
        <v/>
      </c>
      <c r="F6082">
        <f>IF($C6082="","",YEAR($C6082)&amp;"-Q"&amp;ROUNDUP(MONTH($C6082)/3,0))</f>
        <v/>
      </c>
      <c r="L6082">
        <f>IF($G6082&lt;&gt;"ALCOHOL","",IF($K6082="","",$H6082*IFERROR(VLOOKUP($K6082,Drink_Templates!$A:$G,7,FALSE),0)))</f>
        <v/>
      </c>
    </row>
    <row r="6083" ht="15" customHeight="1">
      <c r="C6083">
        <f>IF($B6083="","",INT($B6083))</f>
        <v/>
      </c>
      <c r="D6083">
        <f>IF($C6083="","",$C6083-WEEKDAY($C6083,2)+1)</f>
        <v/>
      </c>
      <c r="E6083">
        <f>IF($C6083="","",DATE(YEAR($C6083),MONTH($C6083),1))</f>
        <v/>
      </c>
      <c r="F6083">
        <f>IF($C6083="","",YEAR($C6083)&amp;"-Q"&amp;ROUNDUP(MONTH($C6083)/3,0))</f>
        <v/>
      </c>
      <c r="L6083">
        <f>IF($G6083&lt;&gt;"ALCOHOL","",IF($K6083="","",$H6083*IFERROR(VLOOKUP($K6083,Drink_Templates!$A:$G,7,FALSE),0)))</f>
        <v/>
      </c>
    </row>
    <row r="6084" ht="15" customHeight="1">
      <c r="C6084">
        <f>IF($B6084="","",INT($B6084))</f>
        <v/>
      </c>
      <c r="D6084">
        <f>IF($C6084="","",$C6084-WEEKDAY($C6084,2)+1)</f>
        <v/>
      </c>
      <c r="E6084">
        <f>IF($C6084="","",DATE(YEAR($C6084),MONTH($C6084),1))</f>
        <v/>
      </c>
      <c r="F6084">
        <f>IF($C6084="","",YEAR($C6084)&amp;"-Q"&amp;ROUNDUP(MONTH($C6084)/3,0))</f>
        <v/>
      </c>
      <c r="L6084">
        <f>IF($G6084&lt;&gt;"ALCOHOL","",IF($K6084="","",$H6084*IFERROR(VLOOKUP($K6084,Drink_Templates!$A:$G,7,FALSE),0)))</f>
        <v/>
      </c>
    </row>
    <row r="6085" ht="15" customHeight="1">
      <c r="C6085">
        <f>IF($B6085="","",INT($B6085))</f>
        <v/>
      </c>
      <c r="D6085">
        <f>IF($C6085="","",$C6085-WEEKDAY($C6085,2)+1)</f>
        <v/>
      </c>
      <c r="E6085">
        <f>IF($C6085="","",DATE(YEAR($C6085),MONTH($C6085),1))</f>
        <v/>
      </c>
      <c r="F6085">
        <f>IF($C6085="","",YEAR($C6085)&amp;"-Q"&amp;ROUNDUP(MONTH($C6085)/3,0))</f>
        <v/>
      </c>
      <c r="L6085">
        <f>IF($G6085&lt;&gt;"ALCOHOL","",IF($K6085="","",$H6085*IFERROR(VLOOKUP($K6085,Drink_Templates!$A:$G,7,FALSE),0)))</f>
        <v/>
      </c>
    </row>
    <row r="6086" ht="15" customHeight="1">
      <c r="C6086">
        <f>IF($B6086="","",INT($B6086))</f>
        <v/>
      </c>
      <c r="D6086">
        <f>IF($C6086="","",$C6086-WEEKDAY($C6086,2)+1)</f>
        <v/>
      </c>
      <c r="E6086">
        <f>IF($C6086="","",DATE(YEAR($C6086),MONTH($C6086),1))</f>
        <v/>
      </c>
      <c r="F6086">
        <f>IF($C6086="","",YEAR($C6086)&amp;"-Q"&amp;ROUNDUP(MONTH($C6086)/3,0))</f>
        <v/>
      </c>
      <c r="L6086">
        <f>IF($G6086&lt;&gt;"ALCOHOL","",IF($K6086="","",$H6086*IFERROR(VLOOKUP($K6086,Drink_Templates!$A:$G,7,FALSE),0)))</f>
        <v/>
      </c>
    </row>
    <row r="6087" ht="15" customHeight="1">
      <c r="C6087">
        <f>IF($B6087="","",INT($B6087))</f>
        <v/>
      </c>
      <c r="D6087">
        <f>IF($C6087="","",$C6087-WEEKDAY($C6087,2)+1)</f>
        <v/>
      </c>
      <c r="E6087">
        <f>IF($C6087="","",DATE(YEAR($C6087),MONTH($C6087),1))</f>
        <v/>
      </c>
      <c r="F6087">
        <f>IF($C6087="","",YEAR($C6087)&amp;"-Q"&amp;ROUNDUP(MONTH($C6087)/3,0))</f>
        <v/>
      </c>
      <c r="L6087">
        <f>IF($G6087&lt;&gt;"ALCOHOL","",IF($K6087="","",$H6087*IFERROR(VLOOKUP($K6087,Drink_Templates!$A:$G,7,FALSE),0)))</f>
        <v/>
      </c>
    </row>
    <row r="6088" ht="15" customHeight="1">
      <c r="C6088">
        <f>IF($B6088="","",INT($B6088))</f>
        <v/>
      </c>
      <c r="D6088">
        <f>IF($C6088="","",$C6088-WEEKDAY($C6088,2)+1)</f>
        <v/>
      </c>
      <c r="E6088">
        <f>IF($C6088="","",DATE(YEAR($C6088),MONTH($C6088),1))</f>
        <v/>
      </c>
      <c r="F6088">
        <f>IF($C6088="","",YEAR($C6088)&amp;"-Q"&amp;ROUNDUP(MONTH($C6088)/3,0))</f>
        <v/>
      </c>
      <c r="L6088">
        <f>IF($G6088&lt;&gt;"ALCOHOL","",IF($K6088="","",$H6088*IFERROR(VLOOKUP($K6088,Drink_Templates!$A:$G,7,FALSE),0)))</f>
        <v/>
      </c>
    </row>
    <row r="6089" ht="15" customHeight="1">
      <c r="C6089">
        <f>IF($B6089="","",INT($B6089))</f>
        <v/>
      </c>
      <c r="D6089">
        <f>IF($C6089="","",$C6089-WEEKDAY($C6089,2)+1)</f>
        <v/>
      </c>
      <c r="E6089">
        <f>IF($C6089="","",DATE(YEAR($C6089),MONTH($C6089),1))</f>
        <v/>
      </c>
      <c r="F6089">
        <f>IF($C6089="","",YEAR($C6089)&amp;"-Q"&amp;ROUNDUP(MONTH($C6089)/3,0))</f>
        <v/>
      </c>
      <c r="L6089">
        <f>IF($G6089&lt;&gt;"ALCOHOL","",IF($K6089="","",$H6089*IFERROR(VLOOKUP($K6089,Drink_Templates!$A:$G,7,FALSE),0)))</f>
        <v/>
      </c>
    </row>
    <row r="6090" ht="15" customHeight="1">
      <c r="C6090">
        <f>IF($B6090="","",INT($B6090))</f>
        <v/>
      </c>
      <c r="D6090">
        <f>IF($C6090="","",$C6090-WEEKDAY($C6090,2)+1)</f>
        <v/>
      </c>
      <c r="E6090">
        <f>IF($C6090="","",DATE(YEAR($C6090),MONTH($C6090),1))</f>
        <v/>
      </c>
      <c r="F6090">
        <f>IF($C6090="","",YEAR($C6090)&amp;"-Q"&amp;ROUNDUP(MONTH($C6090)/3,0))</f>
        <v/>
      </c>
      <c r="L6090">
        <f>IF($G6090&lt;&gt;"ALCOHOL","",IF($K6090="","",$H6090*IFERROR(VLOOKUP($K6090,Drink_Templates!$A:$G,7,FALSE),0)))</f>
        <v/>
      </c>
    </row>
    <row r="6091" ht="15" customHeight="1">
      <c r="C6091">
        <f>IF($B6091="","",INT($B6091))</f>
        <v/>
      </c>
      <c r="D6091">
        <f>IF($C6091="","",$C6091-WEEKDAY($C6091,2)+1)</f>
        <v/>
      </c>
      <c r="E6091">
        <f>IF($C6091="","",DATE(YEAR($C6091),MONTH($C6091),1))</f>
        <v/>
      </c>
      <c r="F6091">
        <f>IF($C6091="","",YEAR($C6091)&amp;"-Q"&amp;ROUNDUP(MONTH($C6091)/3,0))</f>
        <v/>
      </c>
      <c r="L6091">
        <f>IF($G6091&lt;&gt;"ALCOHOL","",IF($K6091="","",$H6091*IFERROR(VLOOKUP($K6091,Drink_Templates!$A:$G,7,FALSE),0)))</f>
        <v/>
      </c>
    </row>
    <row r="6092" ht="15" customHeight="1">
      <c r="C6092">
        <f>IF($B6092="","",INT($B6092))</f>
        <v/>
      </c>
      <c r="D6092">
        <f>IF($C6092="","",$C6092-WEEKDAY($C6092,2)+1)</f>
        <v/>
      </c>
      <c r="E6092">
        <f>IF($C6092="","",DATE(YEAR($C6092),MONTH($C6092),1))</f>
        <v/>
      </c>
      <c r="F6092">
        <f>IF($C6092="","",YEAR($C6092)&amp;"-Q"&amp;ROUNDUP(MONTH($C6092)/3,0))</f>
        <v/>
      </c>
      <c r="L6092">
        <f>IF($G6092&lt;&gt;"ALCOHOL","",IF($K6092="","",$H6092*IFERROR(VLOOKUP($K6092,Drink_Templates!$A:$G,7,FALSE),0)))</f>
        <v/>
      </c>
    </row>
    <row r="6093" ht="15" customHeight="1">
      <c r="C6093">
        <f>IF($B6093="","",INT($B6093))</f>
        <v/>
      </c>
      <c r="D6093">
        <f>IF($C6093="","",$C6093-WEEKDAY($C6093,2)+1)</f>
        <v/>
      </c>
      <c r="E6093">
        <f>IF($C6093="","",DATE(YEAR($C6093),MONTH($C6093),1))</f>
        <v/>
      </c>
      <c r="F6093">
        <f>IF($C6093="","",YEAR($C6093)&amp;"-Q"&amp;ROUNDUP(MONTH($C6093)/3,0))</f>
        <v/>
      </c>
      <c r="L6093">
        <f>IF($G6093&lt;&gt;"ALCOHOL","",IF($K6093="","",$H6093*IFERROR(VLOOKUP($K6093,Drink_Templates!$A:$G,7,FALSE),0)))</f>
        <v/>
      </c>
    </row>
    <row r="6094" ht="15" customHeight="1">
      <c r="C6094">
        <f>IF($B6094="","",INT($B6094))</f>
        <v/>
      </c>
      <c r="D6094">
        <f>IF($C6094="","",$C6094-WEEKDAY($C6094,2)+1)</f>
        <v/>
      </c>
      <c r="E6094">
        <f>IF($C6094="","",DATE(YEAR($C6094),MONTH($C6094),1))</f>
        <v/>
      </c>
      <c r="F6094">
        <f>IF($C6094="","",YEAR($C6094)&amp;"-Q"&amp;ROUNDUP(MONTH($C6094)/3,0))</f>
        <v/>
      </c>
      <c r="L6094">
        <f>IF($G6094&lt;&gt;"ALCOHOL","",IF($K6094="","",$H6094*IFERROR(VLOOKUP($K6094,Drink_Templates!$A:$G,7,FALSE),0)))</f>
        <v/>
      </c>
    </row>
    <row r="6095" ht="15" customHeight="1">
      <c r="C6095">
        <f>IF($B6095="","",INT($B6095))</f>
        <v/>
      </c>
      <c r="D6095">
        <f>IF($C6095="","",$C6095-WEEKDAY($C6095,2)+1)</f>
        <v/>
      </c>
      <c r="E6095">
        <f>IF($C6095="","",DATE(YEAR($C6095),MONTH($C6095),1))</f>
        <v/>
      </c>
      <c r="F6095">
        <f>IF($C6095="","",YEAR($C6095)&amp;"-Q"&amp;ROUNDUP(MONTH($C6095)/3,0))</f>
        <v/>
      </c>
      <c r="L6095">
        <f>IF($G6095&lt;&gt;"ALCOHOL","",IF($K6095="","",$H6095*IFERROR(VLOOKUP($K6095,Drink_Templates!$A:$G,7,FALSE),0)))</f>
        <v/>
      </c>
    </row>
    <row r="6096" ht="15" customHeight="1">
      <c r="C6096">
        <f>IF($B6096="","",INT($B6096))</f>
        <v/>
      </c>
      <c r="D6096">
        <f>IF($C6096="","",$C6096-WEEKDAY($C6096,2)+1)</f>
        <v/>
      </c>
      <c r="E6096">
        <f>IF($C6096="","",DATE(YEAR($C6096),MONTH($C6096),1))</f>
        <v/>
      </c>
      <c r="F6096">
        <f>IF($C6096="","",YEAR($C6096)&amp;"-Q"&amp;ROUNDUP(MONTH($C6096)/3,0))</f>
        <v/>
      </c>
      <c r="L6096">
        <f>IF($G6096&lt;&gt;"ALCOHOL","",IF($K6096="","",$H6096*IFERROR(VLOOKUP($K6096,Drink_Templates!$A:$G,7,FALSE),0)))</f>
        <v/>
      </c>
    </row>
    <row r="6097" ht="15" customHeight="1">
      <c r="C6097">
        <f>IF($B6097="","",INT($B6097))</f>
        <v/>
      </c>
      <c r="D6097">
        <f>IF($C6097="","",$C6097-WEEKDAY($C6097,2)+1)</f>
        <v/>
      </c>
      <c r="E6097">
        <f>IF($C6097="","",DATE(YEAR($C6097),MONTH($C6097),1))</f>
        <v/>
      </c>
      <c r="F6097">
        <f>IF($C6097="","",YEAR($C6097)&amp;"-Q"&amp;ROUNDUP(MONTH($C6097)/3,0))</f>
        <v/>
      </c>
      <c r="L6097">
        <f>IF($G6097&lt;&gt;"ALCOHOL","",IF($K6097="","",$H6097*IFERROR(VLOOKUP($K6097,Drink_Templates!$A:$G,7,FALSE),0)))</f>
        <v/>
      </c>
    </row>
    <row r="6098" ht="15" customHeight="1">
      <c r="C6098">
        <f>IF($B6098="","",INT($B6098))</f>
        <v/>
      </c>
      <c r="D6098">
        <f>IF($C6098="","",$C6098-WEEKDAY($C6098,2)+1)</f>
        <v/>
      </c>
      <c r="E6098">
        <f>IF($C6098="","",DATE(YEAR($C6098),MONTH($C6098),1))</f>
        <v/>
      </c>
      <c r="F6098">
        <f>IF($C6098="","",YEAR($C6098)&amp;"-Q"&amp;ROUNDUP(MONTH($C6098)/3,0))</f>
        <v/>
      </c>
      <c r="L6098">
        <f>IF($G6098&lt;&gt;"ALCOHOL","",IF($K6098="","",$H6098*IFERROR(VLOOKUP($K6098,Drink_Templates!$A:$G,7,FALSE),0)))</f>
        <v/>
      </c>
    </row>
    <row r="6099" ht="15" customHeight="1">
      <c r="C6099">
        <f>IF($B6099="","",INT($B6099))</f>
        <v/>
      </c>
      <c r="D6099">
        <f>IF($C6099="","",$C6099-WEEKDAY($C6099,2)+1)</f>
        <v/>
      </c>
      <c r="E6099">
        <f>IF($C6099="","",DATE(YEAR($C6099),MONTH($C6099),1))</f>
        <v/>
      </c>
      <c r="F6099">
        <f>IF($C6099="","",YEAR($C6099)&amp;"-Q"&amp;ROUNDUP(MONTH($C6099)/3,0))</f>
        <v/>
      </c>
      <c r="L6099">
        <f>IF($G6099&lt;&gt;"ALCOHOL","",IF($K6099="","",$H6099*IFERROR(VLOOKUP($K6099,Drink_Templates!$A:$G,7,FALSE),0)))</f>
        <v/>
      </c>
    </row>
    <row r="6100" ht="15" customHeight="1">
      <c r="C6100">
        <f>IF($B6100="","",INT($B6100))</f>
        <v/>
      </c>
      <c r="D6100">
        <f>IF($C6100="","",$C6100-WEEKDAY($C6100,2)+1)</f>
        <v/>
      </c>
      <c r="E6100">
        <f>IF($C6100="","",DATE(YEAR($C6100),MONTH($C6100),1))</f>
        <v/>
      </c>
      <c r="F6100">
        <f>IF($C6100="","",YEAR($C6100)&amp;"-Q"&amp;ROUNDUP(MONTH($C6100)/3,0))</f>
        <v/>
      </c>
      <c r="L6100">
        <f>IF($G6100&lt;&gt;"ALCOHOL","",IF($K6100="","",$H6100*IFERROR(VLOOKUP($K6100,Drink_Templates!$A:$G,7,FALSE),0)))</f>
        <v/>
      </c>
    </row>
    <row r="6101" ht="15" customHeight="1">
      <c r="C6101">
        <f>IF($B6101="","",INT($B6101))</f>
        <v/>
      </c>
      <c r="D6101">
        <f>IF($C6101="","",$C6101-WEEKDAY($C6101,2)+1)</f>
        <v/>
      </c>
      <c r="E6101">
        <f>IF($C6101="","",DATE(YEAR($C6101),MONTH($C6101),1))</f>
        <v/>
      </c>
      <c r="F6101">
        <f>IF($C6101="","",YEAR($C6101)&amp;"-Q"&amp;ROUNDUP(MONTH($C6101)/3,0))</f>
        <v/>
      </c>
      <c r="L6101">
        <f>IF($G6101&lt;&gt;"ALCOHOL","",IF($K6101="","",$H6101*IFERROR(VLOOKUP($K6101,Drink_Templates!$A:$G,7,FALSE),0)))</f>
        <v/>
      </c>
    </row>
    <row r="6102" ht="15" customHeight="1">
      <c r="C6102">
        <f>IF($B6102="","",INT($B6102))</f>
        <v/>
      </c>
      <c r="D6102">
        <f>IF($C6102="","",$C6102-WEEKDAY($C6102,2)+1)</f>
        <v/>
      </c>
      <c r="E6102">
        <f>IF($C6102="","",DATE(YEAR($C6102),MONTH($C6102),1))</f>
        <v/>
      </c>
      <c r="F6102">
        <f>IF($C6102="","",YEAR($C6102)&amp;"-Q"&amp;ROUNDUP(MONTH($C6102)/3,0))</f>
        <v/>
      </c>
      <c r="L6102">
        <f>IF($G6102&lt;&gt;"ALCOHOL","",IF($K6102="","",$H6102*IFERROR(VLOOKUP($K6102,Drink_Templates!$A:$G,7,FALSE),0)))</f>
        <v/>
      </c>
    </row>
    <row r="6103" ht="15" customHeight="1">
      <c r="C6103">
        <f>IF($B6103="","",INT($B6103))</f>
        <v/>
      </c>
      <c r="D6103">
        <f>IF($C6103="","",$C6103-WEEKDAY($C6103,2)+1)</f>
        <v/>
      </c>
      <c r="E6103">
        <f>IF($C6103="","",DATE(YEAR($C6103),MONTH($C6103),1))</f>
        <v/>
      </c>
      <c r="F6103">
        <f>IF($C6103="","",YEAR($C6103)&amp;"-Q"&amp;ROUNDUP(MONTH($C6103)/3,0))</f>
        <v/>
      </c>
      <c r="L6103">
        <f>IF($G6103&lt;&gt;"ALCOHOL","",IF($K6103="","",$H6103*IFERROR(VLOOKUP($K6103,Drink_Templates!$A:$G,7,FALSE),0)))</f>
        <v/>
      </c>
    </row>
    <row r="6104" ht="15" customHeight="1">
      <c r="C6104">
        <f>IF($B6104="","",INT($B6104))</f>
        <v/>
      </c>
      <c r="D6104">
        <f>IF($C6104="","",$C6104-WEEKDAY($C6104,2)+1)</f>
        <v/>
      </c>
      <c r="E6104">
        <f>IF($C6104="","",DATE(YEAR($C6104),MONTH($C6104),1))</f>
        <v/>
      </c>
      <c r="F6104">
        <f>IF($C6104="","",YEAR($C6104)&amp;"-Q"&amp;ROUNDUP(MONTH($C6104)/3,0))</f>
        <v/>
      </c>
      <c r="L6104">
        <f>IF($G6104&lt;&gt;"ALCOHOL","",IF($K6104="","",$H6104*IFERROR(VLOOKUP($K6104,Drink_Templates!$A:$G,7,FALSE),0)))</f>
        <v/>
      </c>
    </row>
    <row r="6105" ht="15" customHeight="1">
      <c r="C6105">
        <f>IF($B6105="","",INT($B6105))</f>
        <v/>
      </c>
      <c r="D6105">
        <f>IF($C6105="","",$C6105-WEEKDAY($C6105,2)+1)</f>
        <v/>
      </c>
      <c r="E6105">
        <f>IF($C6105="","",DATE(YEAR($C6105),MONTH($C6105),1))</f>
        <v/>
      </c>
      <c r="F6105">
        <f>IF($C6105="","",YEAR($C6105)&amp;"-Q"&amp;ROUNDUP(MONTH($C6105)/3,0))</f>
        <v/>
      </c>
      <c r="L6105">
        <f>IF($G6105&lt;&gt;"ALCOHOL","",IF($K6105="","",$H6105*IFERROR(VLOOKUP($K6105,Drink_Templates!$A:$G,7,FALSE),0)))</f>
        <v/>
      </c>
    </row>
    <row r="6106" ht="15" customHeight="1">
      <c r="C6106">
        <f>IF($B6106="","",INT($B6106))</f>
        <v/>
      </c>
      <c r="D6106">
        <f>IF($C6106="","",$C6106-WEEKDAY($C6106,2)+1)</f>
        <v/>
      </c>
      <c r="E6106">
        <f>IF($C6106="","",DATE(YEAR($C6106),MONTH($C6106),1))</f>
        <v/>
      </c>
      <c r="F6106">
        <f>IF($C6106="","",YEAR($C6106)&amp;"-Q"&amp;ROUNDUP(MONTH($C6106)/3,0))</f>
        <v/>
      </c>
      <c r="L6106">
        <f>IF($G6106&lt;&gt;"ALCOHOL","",IF($K6106="","",$H6106*IFERROR(VLOOKUP($K6106,Drink_Templates!$A:$G,7,FALSE),0)))</f>
        <v/>
      </c>
    </row>
    <row r="6107" ht="15" customHeight="1">
      <c r="C6107">
        <f>IF($B6107="","",INT($B6107))</f>
        <v/>
      </c>
      <c r="D6107">
        <f>IF($C6107="","",$C6107-WEEKDAY($C6107,2)+1)</f>
        <v/>
      </c>
      <c r="E6107">
        <f>IF($C6107="","",DATE(YEAR($C6107),MONTH($C6107),1))</f>
        <v/>
      </c>
      <c r="F6107">
        <f>IF($C6107="","",YEAR($C6107)&amp;"-Q"&amp;ROUNDUP(MONTH($C6107)/3,0))</f>
        <v/>
      </c>
      <c r="L6107">
        <f>IF($G6107&lt;&gt;"ALCOHOL","",IF($K6107="","",$H6107*IFERROR(VLOOKUP($K6107,Drink_Templates!$A:$G,7,FALSE),0)))</f>
        <v/>
      </c>
    </row>
    <row r="6108" ht="15" customHeight="1">
      <c r="C6108">
        <f>IF($B6108="","",INT($B6108))</f>
        <v/>
      </c>
      <c r="D6108">
        <f>IF($C6108="","",$C6108-WEEKDAY($C6108,2)+1)</f>
        <v/>
      </c>
      <c r="E6108">
        <f>IF($C6108="","",DATE(YEAR($C6108),MONTH($C6108),1))</f>
        <v/>
      </c>
      <c r="F6108">
        <f>IF($C6108="","",YEAR($C6108)&amp;"-Q"&amp;ROUNDUP(MONTH($C6108)/3,0))</f>
        <v/>
      </c>
      <c r="L6108">
        <f>IF($G6108&lt;&gt;"ALCOHOL","",IF($K6108="","",$H6108*IFERROR(VLOOKUP($K6108,Drink_Templates!$A:$G,7,FALSE),0)))</f>
        <v/>
      </c>
    </row>
    <row r="6109" ht="15" customHeight="1">
      <c r="C6109">
        <f>IF($B6109="","",INT($B6109))</f>
        <v/>
      </c>
      <c r="D6109">
        <f>IF($C6109="","",$C6109-WEEKDAY($C6109,2)+1)</f>
        <v/>
      </c>
      <c r="E6109">
        <f>IF($C6109="","",DATE(YEAR($C6109),MONTH($C6109),1))</f>
        <v/>
      </c>
      <c r="F6109">
        <f>IF($C6109="","",YEAR($C6109)&amp;"-Q"&amp;ROUNDUP(MONTH($C6109)/3,0))</f>
        <v/>
      </c>
      <c r="L6109">
        <f>IF($G6109&lt;&gt;"ALCOHOL","",IF($K6109="","",$H6109*IFERROR(VLOOKUP($K6109,Drink_Templates!$A:$G,7,FALSE),0)))</f>
        <v/>
      </c>
    </row>
    <row r="6110" ht="15" customHeight="1">
      <c r="C6110">
        <f>IF($B6110="","",INT($B6110))</f>
        <v/>
      </c>
      <c r="D6110">
        <f>IF($C6110="","",$C6110-WEEKDAY($C6110,2)+1)</f>
        <v/>
      </c>
      <c r="E6110">
        <f>IF($C6110="","",DATE(YEAR($C6110),MONTH($C6110),1))</f>
        <v/>
      </c>
      <c r="F6110">
        <f>IF($C6110="","",YEAR($C6110)&amp;"-Q"&amp;ROUNDUP(MONTH($C6110)/3,0))</f>
        <v/>
      </c>
      <c r="L6110">
        <f>IF($G6110&lt;&gt;"ALCOHOL","",IF($K6110="","",$H6110*IFERROR(VLOOKUP($K6110,Drink_Templates!$A:$G,7,FALSE),0)))</f>
        <v/>
      </c>
    </row>
    <row r="6111" ht="15" customHeight="1">
      <c r="C6111">
        <f>IF($B6111="","",INT($B6111))</f>
        <v/>
      </c>
      <c r="D6111">
        <f>IF($C6111="","",$C6111-WEEKDAY($C6111,2)+1)</f>
        <v/>
      </c>
      <c r="E6111">
        <f>IF($C6111="","",DATE(YEAR($C6111),MONTH($C6111),1))</f>
        <v/>
      </c>
      <c r="F6111">
        <f>IF($C6111="","",YEAR($C6111)&amp;"-Q"&amp;ROUNDUP(MONTH($C6111)/3,0))</f>
        <v/>
      </c>
      <c r="L6111">
        <f>IF($G6111&lt;&gt;"ALCOHOL","",IF($K6111="","",$H6111*IFERROR(VLOOKUP($K6111,Drink_Templates!$A:$G,7,FALSE),0)))</f>
        <v/>
      </c>
    </row>
    <row r="6112" ht="15" customHeight="1">
      <c r="C6112">
        <f>IF($B6112="","",INT($B6112))</f>
        <v/>
      </c>
      <c r="D6112">
        <f>IF($C6112="","",$C6112-WEEKDAY($C6112,2)+1)</f>
        <v/>
      </c>
      <c r="E6112">
        <f>IF($C6112="","",DATE(YEAR($C6112),MONTH($C6112),1))</f>
        <v/>
      </c>
      <c r="F6112">
        <f>IF($C6112="","",YEAR($C6112)&amp;"-Q"&amp;ROUNDUP(MONTH($C6112)/3,0))</f>
        <v/>
      </c>
      <c r="L6112">
        <f>IF($G6112&lt;&gt;"ALCOHOL","",IF($K6112="","",$H6112*IFERROR(VLOOKUP($K6112,Drink_Templates!$A:$G,7,FALSE),0)))</f>
        <v/>
      </c>
    </row>
    <row r="6113" ht="15" customHeight="1">
      <c r="C6113">
        <f>IF($B6113="","",INT($B6113))</f>
        <v/>
      </c>
      <c r="D6113">
        <f>IF($C6113="","",$C6113-WEEKDAY($C6113,2)+1)</f>
        <v/>
      </c>
      <c r="E6113">
        <f>IF($C6113="","",DATE(YEAR($C6113),MONTH($C6113),1))</f>
        <v/>
      </c>
      <c r="F6113">
        <f>IF($C6113="","",YEAR($C6113)&amp;"-Q"&amp;ROUNDUP(MONTH($C6113)/3,0))</f>
        <v/>
      </c>
      <c r="L6113">
        <f>IF($G6113&lt;&gt;"ALCOHOL","",IF($K6113="","",$H6113*IFERROR(VLOOKUP($K6113,Drink_Templates!$A:$G,7,FALSE),0)))</f>
        <v/>
      </c>
    </row>
    <row r="6114" ht="15" customHeight="1">
      <c r="C6114">
        <f>IF($B6114="","",INT($B6114))</f>
        <v/>
      </c>
      <c r="D6114">
        <f>IF($C6114="","",$C6114-WEEKDAY($C6114,2)+1)</f>
        <v/>
      </c>
      <c r="E6114">
        <f>IF($C6114="","",DATE(YEAR($C6114),MONTH($C6114),1))</f>
        <v/>
      </c>
      <c r="F6114">
        <f>IF($C6114="","",YEAR($C6114)&amp;"-Q"&amp;ROUNDUP(MONTH($C6114)/3,0))</f>
        <v/>
      </c>
      <c r="L6114">
        <f>IF($G6114&lt;&gt;"ALCOHOL","",IF($K6114="","",$H6114*IFERROR(VLOOKUP($K6114,Drink_Templates!$A:$G,7,FALSE),0)))</f>
        <v/>
      </c>
    </row>
    <row r="6115" ht="15" customHeight="1">
      <c r="C6115">
        <f>IF($B6115="","",INT($B6115))</f>
        <v/>
      </c>
      <c r="D6115">
        <f>IF($C6115="","",$C6115-WEEKDAY($C6115,2)+1)</f>
        <v/>
      </c>
      <c r="E6115">
        <f>IF($C6115="","",DATE(YEAR($C6115),MONTH($C6115),1))</f>
        <v/>
      </c>
      <c r="F6115">
        <f>IF($C6115="","",YEAR($C6115)&amp;"-Q"&amp;ROUNDUP(MONTH($C6115)/3,0))</f>
        <v/>
      </c>
      <c r="L6115">
        <f>IF($G6115&lt;&gt;"ALCOHOL","",IF($K6115="","",$H6115*IFERROR(VLOOKUP($K6115,Drink_Templates!$A:$G,7,FALSE),0)))</f>
        <v/>
      </c>
    </row>
    <row r="6116" ht="15" customHeight="1">
      <c r="C6116">
        <f>IF($B6116="","",INT($B6116))</f>
        <v/>
      </c>
      <c r="D6116">
        <f>IF($C6116="","",$C6116-WEEKDAY($C6116,2)+1)</f>
        <v/>
      </c>
      <c r="E6116">
        <f>IF($C6116="","",DATE(YEAR($C6116),MONTH($C6116),1))</f>
        <v/>
      </c>
      <c r="F6116">
        <f>IF($C6116="","",YEAR($C6116)&amp;"-Q"&amp;ROUNDUP(MONTH($C6116)/3,0))</f>
        <v/>
      </c>
      <c r="L6116">
        <f>IF($G6116&lt;&gt;"ALCOHOL","",IF($K6116="","",$H6116*IFERROR(VLOOKUP($K6116,Drink_Templates!$A:$G,7,FALSE),0)))</f>
        <v/>
      </c>
    </row>
    <row r="6117" ht="15" customHeight="1">
      <c r="C6117">
        <f>IF($B6117="","",INT($B6117))</f>
        <v/>
      </c>
      <c r="D6117">
        <f>IF($C6117="","",$C6117-WEEKDAY($C6117,2)+1)</f>
        <v/>
      </c>
      <c r="E6117">
        <f>IF($C6117="","",DATE(YEAR($C6117),MONTH($C6117),1))</f>
        <v/>
      </c>
      <c r="F6117">
        <f>IF($C6117="","",YEAR($C6117)&amp;"-Q"&amp;ROUNDUP(MONTH($C6117)/3,0))</f>
        <v/>
      </c>
      <c r="L6117">
        <f>IF($G6117&lt;&gt;"ALCOHOL","",IF($K6117="","",$H6117*IFERROR(VLOOKUP($K6117,Drink_Templates!$A:$G,7,FALSE),0)))</f>
        <v/>
      </c>
    </row>
    <row r="6118" ht="15" customHeight="1">
      <c r="C6118">
        <f>IF($B6118="","",INT($B6118))</f>
        <v/>
      </c>
      <c r="D6118">
        <f>IF($C6118="","",$C6118-WEEKDAY($C6118,2)+1)</f>
        <v/>
      </c>
      <c r="E6118">
        <f>IF($C6118="","",DATE(YEAR($C6118),MONTH($C6118),1))</f>
        <v/>
      </c>
      <c r="F6118">
        <f>IF($C6118="","",YEAR($C6118)&amp;"-Q"&amp;ROUNDUP(MONTH($C6118)/3,0))</f>
        <v/>
      </c>
      <c r="L6118">
        <f>IF($G6118&lt;&gt;"ALCOHOL","",IF($K6118="","",$H6118*IFERROR(VLOOKUP($K6118,Drink_Templates!$A:$G,7,FALSE),0)))</f>
        <v/>
      </c>
    </row>
    <row r="6119" ht="15" customHeight="1">
      <c r="C6119">
        <f>IF($B6119="","",INT($B6119))</f>
        <v/>
      </c>
      <c r="D6119">
        <f>IF($C6119="","",$C6119-WEEKDAY($C6119,2)+1)</f>
        <v/>
      </c>
      <c r="E6119">
        <f>IF($C6119="","",DATE(YEAR($C6119),MONTH($C6119),1))</f>
        <v/>
      </c>
      <c r="F6119">
        <f>IF($C6119="","",YEAR($C6119)&amp;"-Q"&amp;ROUNDUP(MONTH($C6119)/3,0))</f>
        <v/>
      </c>
      <c r="L6119">
        <f>IF($G6119&lt;&gt;"ALCOHOL","",IF($K6119="","",$H6119*IFERROR(VLOOKUP($K6119,Drink_Templates!$A:$G,7,FALSE),0)))</f>
        <v/>
      </c>
    </row>
    <row r="6120" ht="15" customHeight="1">
      <c r="C6120">
        <f>IF($B6120="","",INT($B6120))</f>
        <v/>
      </c>
      <c r="D6120">
        <f>IF($C6120="","",$C6120-WEEKDAY($C6120,2)+1)</f>
        <v/>
      </c>
      <c r="E6120">
        <f>IF($C6120="","",DATE(YEAR($C6120),MONTH($C6120),1))</f>
        <v/>
      </c>
      <c r="F6120">
        <f>IF($C6120="","",YEAR($C6120)&amp;"-Q"&amp;ROUNDUP(MONTH($C6120)/3,0))</f>
        <v/>
      </c>
      <c r="L6120">
        <f>IF($G6120&lt;&gt;"ALCOHOL","",IF($K6120="","",$H6120*IFERROR(VLOOKUP($K6120,Drink_Templates!$A:$G,7,FALSE),0)))</f>
        <v/>
      </c>
    </row>
    <row r="6121" ht="15" customHeight="1">
      <c r="C6121">
        <f>IF($B6121="","",INT($B6121))</f>
        <v/>
      </c>
      <c r="D6121">
        <f>IF($C6121="","",$C6121-WEEKDAY($C6121,2)+1)</f>
        <v/>
      </c>
      <c r="E6121">
        <f>IF($C6121="","",DATE(YEAR($C6121),MONTH($C6121),1))</f>
        <v/>
      </c>
      <c r="F6121">
        <f>IF($C6121="","",YEAR($C6121)&amp;"-Q"&amp;ROUNDUP(MONTH($C6121)/3,0))</f>
        <v/>
      </c>
      <c r="L6121">
        <f>IF($G6121&lt;&gt;"ALCOHOL","",IF($K6121="","",$H6121*IFERROR(VLOOKUP($K6121,Drink_Templates!$A:$G,7,FALSE),0)))</f>
        <v/>
      </c>
    </row>
    <row r="6122" ht="15" customHeight="1">
      <c r="C6122">
        <f>IF($B6122="","",INT($B6122))</f>
        <v/>
      </c>
      <c r="D6122">
        <f>IF($C6122="","",$C6122-WEEKDAY($C6122,2)+1)</f>
        <v/>
      </c>
      <c r="E6122">
        <f>IF($C6122="","",DATE(YEAR($C6122),MONTH($C6122),1))</f>
        <v/>
      </c>
      <c r="F6122">
        <f>IF($C6122="","",YEAR($C6122)&amp;"-Q"&amp;ROUNDUP(MONTH($C6122)/3,0))</f>
        <v/>
      </c>
      <c r="L6122">
        <f>IF($G6122&lt;&gt;"ALCOHOL","",IF($K6122="","",$H6122*IFERROR(VLOOKUP($K6122,Drink_Templates!$A:$G,7,FALSE),0)))</f>
        <v/>
      </c>
    </row>
    <row r="6123" ht="15" customHeight="1">
      <c r="C6123">
        <f>IF($B6123="","",INT($B6123))</f>
        <v/>
      </c>
      <c r="D6123">
        <f>IF($C6123="","",$C6123-WEEKDAY($C6123,2)+1)</f>
        <v/>
      </c>
      <c r="E6123">
        <f>IF($C6123="","",DATE(YEAR($C6123),MONTH($C6123),1))</f>
        <v/>
      </c>
      <c r="F6123">
        <f>IF($C6123="","",YEAR($C6123)&amp;"-Q"&amp;ROUNDUP(MONTH($C6123)/3,0))</f>
        <v/>
      </c>
      <c r="L6123">
        <f>IF($G6123&lt;&gt;"ALCOHOL","",IF($K6123="","",$H6123*IFERROR(VLOOKUP($K6123,Drink_Templates!$A:$G,7,FALSE),0)))</f>
        <v/>
      </c>
    </row>
    <row r="6124" ht="15" customHeight="1">
      <c r="C6124">
        <f>IF($B6124="","",INT($B6124))</f>
        <v/>
      </c>
      <c r="D6124">
        <f>IF($C6124="","",$C6124-WEEKDAY($C6124,2)+1)</f>
        <v/>
      </c>
      <c r="E6124">
        <f>IF($C6124="","",DATE(YEAR($C6124),MONTH($C6124),1))</f>
        <v/>
      </c>
      <c r="F6124">
        <f>IF($C6124="","",YEAR($C6124)&amp;"-Q"&amp;ROUNDUP(MONTH($C6124)/3,0))</f>
        <v/>
      </c>
      <c r="L6124">
        <f>IF($G6124&lt;&gt;"ALCOHOL","",IF($K6124="","",$H6124*IFERROR(VLOOKUP($K6124,Drink_Templates!$A:$G,7,FALSE),0)))</f>
        <v/>
      </c>
    </row>
    <row r="6125" ht="15" customHeight="1">
      <c r="C6125">
        <f>IF($B6125="","",INT($B6125))</f>
        <v/>
      </c>
      <c r="D6125">
        <f>IF($C6125="","",$C6125-WEEKDAY($C6125,2)+1)</f>
        <v/>
      </c>
      <c r="E6125">
        <f>IF($C6125="","",DATE(YEAR($C6125),MONTH($C6125),1))</f>
        <v/>
      </c>
      <c r="F6125">
        <f>IF($C6125="","",YEAR($C6125)&amp;"-Q"&amp;ROUNDUP(MONTH($C6125)/3,0))</f>
        <v/>
      </c>
      <c r="L6125">
        <f>IF($G6125&lt;&gt;"ALCOHOL","",IF($K6125="","",$H6125*IFERROR(VLOOKUP($K6125,Drink_Templates!$A:$G,7,FALSE),0)))</f>
        <v/>
      </c>
    </row>
    <row r="6126" ht="15" customHeight="1">
      <c r="C6126">
        <f>IF($B6126="","",INT($B6126))</f>
        <v/>
      </c>
      <c r="D6126">
        <f>IF($C6126="","",$C6126-WEEKDAY($C6126,2)+1)</f>
        <v/>
      </c>
      <c r="E6126">
        <f>IF($C6126="","",DATE(YEAR($C6126),MONTH($C6126),1))</f>
        <v/>
      </c>
      <c r="F6126">
        <f>IF($C6126="","",YEAR($C6126)&amp;"-Q"&amp;ROUNDUP(MONTH($C6126)/3,0))</f>
        <v/>
      </c>
      <c r="L6126">
        <f>IF($G6126&lt;&gt;"ALCOHOL","",IF($K6126="","",$H6126*IFERROR(VLOOKUP($K6126,Drink_Templates!$A:$G,7,FALSE),0)))</f>
        <v/>
      </c>
    </row>
    <row r="6127" ht="15" customHeight="1">
      <c r="C6127">
        <f>IF($B6127="","",INT($B6127))</f>
        <v/>
      </c>
      <c r="D6127">
        <f>IF($C6127="","",$C6127-WEEKDAY($C6127,2)+1)</f>
        <v/>
      </c>
      <c r="E6127">
        <f>IF($C6127="","",DATE(YEAR($C6127),MONTH($C6127),1))</f>
        <v/>
      </c>
      <c r="F6127">
        <f>IF($C6127="","",YEAR($C6127)&amp;"-Q"&amp;ROUNDUP(MONTH($C6127)/3,0))</f>
        <v/>
      </c>
      <c r="L6127">
        <f>IF($G6127&lt;&gt;"ALCOHOL","",IF($K6127="","",$H6127*IFERROR(VLOOKUP($K6127,Drink_Templates!$A:$G,7,FALSE),0)))</f>
        <v/>
      </c>
    </row>
    <row r="6128" ht="15" customHeight="1">
      <c r="C6128">
        <f>IF($B6128="","",INT($B6128))</f>
        <v/>
      </c>
      <c r="D6128">
        <f>IF($C6128="","",$C6128-WEEKDAY($C6128,2)+1)</f>
        <v/>
      </c>
      <c r="E6128">
        <f>IF($C6128="","",DATE(YEAR($C6128),MONTH($C6128),1))</f>
        <v/>
      </c>
      <c r="F6128">
        <f>IF($C6128="","",YEAR($C6128)&amp;"-Q"&amp;ROUNDUP(MONTH($C6128)/3,0))</f>
        <v/>
      </c>
      <c r="L6128">
        <f>IF($G6128&lt;&gt;"ALCOHOL","",IF($K6128="","",$H6128*IFERROR(VLOOKUP($K6128,Drink_Templates!$A:$G,7,FALSE),0)))</f>
        <v/>
      </c>
    </row>
    <row r="6129" ht="15" customHeight="1">
      <c r="C6129">
        <f>IF($B6129="","",INT($B6129))</f>
        <v/>
      </c>
      <c r="D6129">
        <f>IF($C6129="","",$C6129-WEEKDAY($C6129,2)+1)</f>
        <v/>
      </c>
      <c r="E6129">
        <f>IF($C6129="","",DATE(YEAR($C6129),MONTH($C6129),1))</f>
        <v/>
      </c>
      <c r="F6129">
        <f>IF($C6129="","",YEAR($C6129)&amp;"-Q"&amp;ROUNDUP(MONTH($C6129)/3,0))</f>
        <v/>
      </c>
      <c r="L6129">
        <f>IF($G6129&lt;&gt;"ALCOHOL","",IF($K6129="","",$H6129*IFERROR(VLOOKUP($K6129,Drink_Templates!$A:$G,7,FALSE),0)))</f>
        <v/>
      </c>
    </row>
    <row r="6130" ht="15" customHeight="1">
      <c r="C6130">
        <f>IF($B6130="","",INT($B6130))</f>
        <v/>
      </c>
      <c r="D6130">
        <f>IF($C6130="","",$C6130-WEEKDAY($C6130,2)+1)</f>
        <v/>
      </c>
      <c r="E6130">
        <f>IF($C6130="","",DATE(YEAR($C6130),MONTH($C6130),1))</f>
        <v/>
      </c>
      <c r="F6130">
        <f>IF($C6130="","",YEAR($C6130)&amp;"-Q"&amp;ROUNDUP(MONTH($C6130)/3,0))</f>
        <v/>
      </c>
      <c r="L6130">
        <f>IF($G6130&lt;&gt;"ALCOHOL","",IF($K6130="","",$H6130*IFERROR(VLOOKUP($K6130,Drink_Templates!$A:$G,7,FALSE),0)))</f>
        <v/>
      </c>
    </row>
    <row r="6131" ht="15" customHeight="1">
      <c r="C6131">
        <f>IF($B6131="","",INT($B6131))</f>
        <v/>
      </c>
      <c r="D6131">
        <f>IF($C6131="","",$C6131-WEEKDAY($C6131,2)+1)</f>
        <v/>
      </c>
      <c r="E6131">
        <f>IF($C6131="","",DATE(YEAR($C6131),MONTH($C6131),1))</f>
        <v/>
      </c>
      <c r="F6131">
        <f>IF($C6131="","",YEAR($C6131)&amp;"-Q"&amp;ROUNDUP(MONTH($C6131)/3,0))</f>
        <v/>
      </c>
      <c r="L6131">
        <f>IF($G6131&lt;&gt;"ALCOHOL","",IF($K6131="","",$H6131*IFERROR(VLOOKUP($K6131,Drink_Templates!$A:$G,7,FALSE),0)))</f>
        <v/>
      </c>
    </row>
    <row r="6132" ht="15" customHeight="1">
      <c r="C6132">
        <f>IF($B6132="","",INT($B6132))</f>
        <v/>
      </c>
      <c r="D6132">
        <f>IF($C6132="","",$C6132-WEEKDAY($C6132,2)+1)</f>
        <v/>
      </c>
      <c r="E6132">
        <f>IF($C6132="","",DATE(YEAR($C6132),MONTH($C6132),1))</f>
        <v/>
      </c>
      <c r="F6132">
        <f>IF($C6132="","",YEAR($C6132)&amp;"-Q"&amp;ROUNDUP(MONTH($C6132)/3,0))</f>
        <v/>
      </c>
      <c r="L6132">
        <f>IF($G6132&lt;&gt;"ALCOHOL","",IF($K6132="","",$H6132*IFERROR(VLOOKUP($K6132,Drink_Templates!$A:$G,7,FALSE),0)))</f>
        <v/>
      </c>
    </row>
    <row r="6133" ht="15" customHeight="1">
      <c r="C6133">
        <f>IF($B6133="","",INT($B6133))</f>
        <v/>
      </c>
      <c r="D6133">
        <f>IF($C6133="","",$C6133-WEEKDAY($C6133,2)+1)</f>
        <v/>
      </c>
      <c r="E6133">
        <f>IF($C6133="","",DATE(YEAR($C6133),MONTH($C6133),1))</f>
        <v/>
      </c>
      <c r="F6133">
        <f>IF($C6133="","",YEAR($C6133)&amp;"-Q"&amp;ROUNDUP(MONTH($C6133)/3,0))</f>
        <v/>
      </c>
      <c r="L6133">
        <f>IF($G6133&lt;&gt;"ALCOHOL","",IF($K6133="","",$H6133*IFERROR(VLOOKUP($K6133,Drink_Templates!$A:$G,7,FALSE),0)))</f>
        <v/>
      </c>
    </row>
    <row r="6134" ht="15" customHeight="1">
      <c r="C6134">
        <f>IF($B6134="","",INT($B6134))</f>
        <v/>
      </c>
      <c r="D6134">
        <f>IF($C6134="","",$C6134-WEEKDAY($C6134,2)+1)</f>
        <v/>
      </c>
      <c r="E6134">
        <f>IF($C6134="","",DATE(YEAR($C6134),MONTH($C6134),1))</f>
        <v/>
      </c>
      <c r="F6134">
        <f>IF($C6134="","",YEAR($C6134)&amp;"-Q"&amp;ROUNDUP(MONTH($C6134)/3,0))</f>
        <v/>
      </c>
      <c r="L6134">
        <f>IF($G6134&lt;&gt;"ALCOHOL","",IF($K6134="","",$H6134*IFERROR(VLOOKUP($K6134,Drink_Templates!$A:$G,7,FALSE),0)))</f>
        <v/>
      </c>
    </row>
    <row r="6135" ht="15" customHeight="1">
      <c r="C6135">
        <f>IF($B6135="","",INT($B6135))</f>
        <v/>
      </c>
      <c r="D6135">
        <f>IF($C6135="","",$C6135-WEEKDAY($C6135,2)+1)</f>
        <v/>
      </c>
      <c r="E6135">
        <f>IF($C6135="","",DATE(YEAR($C6135),MONTH($C6135),1))</f>
        <v/>
      </c>
      <c r="F6135">
        <f>IF($C6135="","",YEAR($C6135)&amp;"-Q"&amp;ROUNDUP(MONTH($C6135)/3,0))</f>
        <v/>
      </c>
      <c r="L6135">
        <f>IF($G6135&lt;&gt;"ALCOHOL","",IF($K6135="","",$H6135*IFERROR(VLOOKUP($K6135,Drink_Templates!$A:$G,7,FALSE),0)))</f>
        <v/>
      </c>
    </row>
    <row r="6136" ht="15" customHeight="1">
      <c r="C6136">
        <f>IF($B6136="","",INT($B6136))</f>
        <v/>
      </c>
      <c r="D6136">
        <f>IF($C6136="","",$C6136-WEEKDAY($C6136,2)+1)</f>
        <v/>
      </c>
      <c r="E6136">
        <f>IF($C6136="","",DATE(YEAR($C6136),MONTH($C6136),1))</f>
        <v/>
      </c>
      <c r="F6136">
        <f>IF($C6136="","",YEAR($C6136)&amp;"-Q"&amp;ROUNDUP(MONTH($C6136)/3,0))</f>
        <v/>
      </c>
      <c r="L6136">
        <f>IF($G6136&lt;&gt;"ALCOHOL","",IF($K6136="","",$H6136*IFERROR(VLOOKUP($K6136,Drink_Templates!$A:$G,7,FALSE),0)))</f>
        <v/>
      </c>
    </row>
    <row r="6137" ht="15" customHeight="1">
      <c r="C6137">
        <f>IF($B6137="","",INT($B6137))</f>
        <v/>
      </c>
      <c r="D6137">
        <f>IF($C6137="","",$C6137-WEEKDAY($C6137,2)+1)</f>
        <v/>
      </c>
      <c r="E6137">
        <f>IF($C6137="","",DATE(YEAR($C6137),MONTH($C6137),1))</f>
        <v/>
      </c>
      <c r="F6137">
        <f>IF($C6137="","",YEAR($C6137)&amp;"-Q"&amp;ROUNDUP(MONTH($C6137)/3,0))</f>
        <v/>
      </c>
      <c r="L6137">
        <f>IF($G6137&lt;&gt;"ALCOHOL","",IF($K6137="","",$H6137*IFERROR(VLOOKUP($K6137,Drink_Templates!$A:$G,7,FALSE),0)))</f>
        <v/>
      </c>
    </row>
    <row r="6138" ht="15" customHeight="1">
      <c r="C6138">
        <f>IF($B6138="","",INT($B6138))</f>
        <v/>
      </c>
      <c r="D6138">
        <f>IF($C6138="","",$C6138-WEEKDAY($C6138,2)+1)</f>
        <v/>
      </c>
      <c r="E6138">
        <f>IF($C6138="","",DATE(YEAR($C6138),MONTH($C6138),1))</f>
        <v/>
      </c>
      <c r="F6138">
        <f>IF($C6138="","",YEAR($C6138)&amp;"-Q"&amp;ROUNDUP(MONTH($C6138)/3,0))</f>
        <v/>
      </c>
      <c r="L6138">
        <f>IF($G6138&lt;&gt;"ALCOHOL","",IF($K6138="","",$H6138*IFERROR(VLOOKUP($K6138,Drink_Templates!$A:$G,7,FALSE),0)))</f>
        <v/>
      </c>
    </row>
    <row r="6139" ht="15" customHeight="1">
      <c r="C6139">
        <f>IF($B6139="","",INT($B6139))</f>
        <v/>
      </c>
      <c r="D6139">
        <f>IF($C6139="","",$C6139-WEEKDAY($C6139,2)+1)</f>
        <v/>
      </c>
      <c r="E6139">
        <f>IF($C6139="","",DATE(YEAR($C6139),MONTH($C6139),1))</f>
        <v/>
      </c>
      <c r="F6139">
        <f>IF($C6139="","",YEAR($C6139)&amp;"-Q"&amp;ROUNDUP(MONTH($C6139)/3,0))</f>
        <v/>
      </c>
      <c r="L6139">
        <f>IF($G6139&lt;&gt;"ALCOHOL","",IF($K6139="","",$H6139*IFERROR(VLOOKUP($K6139,Drink_Templates!$A:$G,7,FALSE),0)))</f>
        <v/>
      </c>
    </row>
    <row r="6140" ht="15" customHeight="1">
      <c r="C6140">
        <f>IF($B6140="","",INT($B6140))</f>
        <v/>
      </c>
      <c r="D6140">
        <f>IF($C6140="","",$C6140-WEEKDAY($C6140,2)+1)</f>
        <v/>
      </c>
      <c r="E6140">
        <f>IF($C6140="","",DATE(YEAR($C6140),MONTH($C6140),1))</f>
        <v/>
      </c>
      <c r="F6140">
        <f>IF($C6140="","",YEAR($C6140)&amp;"-Q"&amp;ROUNDUP(MONTH($C6140)/3,0))</f>
        <v/>
      </c>
      <c r="L6140">
        <f>IF($G6140&lt;&gt;"ALCOHOL","",IF($K6140="","",$H6140*IFERROR(VLOOKUP($K6140,Drink_Templates!$A:$G,7,FALSE),0)))</f>
        <v/>
      </c>
    </row>
    <row r="6141" ht="15" customHeight="1">
      <c r="C6141">
        <f>IF($B6141="","",INT($B6141))</f>
        <v/>
      </c>
      <c r="D6141">
        <f>IF($C6141="","",$C6141-WEEKDAY($C6141,2)+1)</f>
        <v/>
      </c>
      <c r="E6141">
        <f>IF($C6141="","",DATE(YEAR($C6141),MONTH($C6141),1))</f>
        <v/>
      </c>
      <c r="F6141">
        <f>IF($C6141="","",YEAR($C6141)&amp;"-Q"&amp;ROUNDUP(MONTH($C6141)/3,0))</f>
        <v/>
      </c>
      <c r="L6141">
        <f>IF($G6141&lt;&gt;"ALCOHOL","",IF($K6141="","",$H6141*IFERROR(VLOOKUP($K6141,Drink_Templates!$A:$G,7,FALSE),0)))</f>
        <v/>
      </c>
    </row>
    <row r="6142" ht="15" customHeight="1">
      <c r="C6142">
        <f>IF($B6142="","",INT($B6142))</f>
        <v/>
      </c>
      <c r="D6142">
        <f>IF($C6142="","",$C6142-WEEKDAY($C6142,2)+1)</f>
        <v/>
      </c>
      <c r="E6142">
        <f>IF($C6142="","",DATE(YEAR($C6142),MONTH($C6142),1))</f>
        <v/>
      </c>
      <c r="F6142">
        <f>IF($C6142="","",YEAR($C6142)&amp;"-Q"&amp;ROUNDUP(MONTH($C6142)/3,0))</f>
        <v/>
      </c>
      <c r="L6142">
        <f>IF($G6142&lt;&gt;"ALCOHOL","",IF($K6142="","",$H6142*IFERROR(VLOOKUP($K6142,Drink_Templates!$A:$G,7,FALSE),0)))</f>
        <v/>
      </c>
    </row>
    <row r="6143" ht="15" customHeight="1">
      <c r="C6143">
        <f>IF($B6143="","",INT($B6143))</f>
        <v/>
      </c>
      <c r="D6143">
        <f>IF($C6143="","",$C6143-WEEKDAY($C6143,2)+1)</f>
        <v/>
      </c>
      <c r="E6143">
        <f>IF($C6143="","",DATE(YEAR($C6143),MONTH($C6143),1))</f>
        <v/>
      </c>
      <c r="F6143">
        <f>IF($C6143="","",YEAR($C6143)&amp;"-Q"&amp;ROUNDUP(MONTH($C6143)/3,0))</f>
        <v/>
      </c>
      <c r="L6143">
        <f>IF($G6143&lt;&gt;"ALCOHOL","",IF($K6143="","",$H6143*IFERROR(VLOOKUP($K6143,Drink_Templates!$A:$G,7,FALSE),0)))</f>
        <v/>
      </c>
    </row>
    <row r="6144" ht="15" customHeight="1">
      <c r="C6144">
        <f>IF($B6144="","",INT($B6144))</f>
        <v/>
      </c>
      <c r="D6144">
        <f>IF($C6144="","",$C6144-WEEKDAY($C6144,2)+1)</f>
        <v/>
      </c>
      <c r="E6144">
        <f>IF($C6144="","",DATE(YEAR($C6144),MONTH($C6144),1))</f>
        <v/>
      </c>
      <c r="F6144">
        <f>IF($C6144="","",YEAR($C6144)&amp;"-Q"&amp;ROUNDUP(MONTH($C6144)/3,0))</f>
        <v/>
      </c>
      <c r="L6144">
        <f>IF($G6144&lt;&gt;"ALCOHOL","",IF($K6144="","",$H6144*IFERROR(VLOOKUP($K6144,Drink_Templates!$A:$G,7,FALSE),0)))</f>
        <v/>
      </c>
    </row>
    <row r="6145" ht="15" customHeight="1">
      <c r="C6145">
        <f>IF($B6145="","",INT($B6145))</f>
        <v/>
      </c>
      <c r="D6145">
        <f>IF($C6145="","",$C6145-WEEKDAY($C6145,2)+1)</f>
        <v/>
      </c>
      <c r="E6145">
        <f>IF($C6145="","",DATE(YEAR($C6145),MONTH($C6145),1))</f>
        <v/>
      </c>
      <c r="F6145">
        <f>IF($C6145="","",YEAR($C6145)&amp;"-Q"&amp;ROUNDUP(MONTH($C6145)/3,0))</f>
        <v/>
      </c>
      <c r="L6145">
        <f>IF($G6145&lt;&gt;"ALCOHOL","",IF($K6145="","",$H6145*IFERROR(VLOOKUP($K6145,Drink_Templates!$A:$G,7,FALSE),0)))</f>
        <v/>
      </c>
    </row>
    <row r="6146" ht="15" customHeight="1">
      <c r="C6146">
        <f>IF($B6146="","",INT($B6146))</f>
        <v/>
      </c>
      <c r="D6146">
        <f>IF($C6146="","",$C6146-WEEKDAY($C6146,2)+1)</f>
        <v/>
      </c>
      <c r="E6146">
        <f>IF($C6146="","",DATE(YEAR($C6146),MONTH($C6146),1))</f>
        <v/>
      </c>
      <c r="F6146">
        <f>IF($C6146="","",YEAR($C6146)&amp;"-Q"&amp;ROUNDUP(MONTH($C6146)/3,0))</f>
        <v/>
      </c>
      <c r="L6146">
        <f>IF($G6146&lt;&gt;"ALCOHOL","",IF($K6146="","",$H6146*IFERROR(VLOOKUP($K6146,Drink_Templates!$A:$G,7,FALSE),0)))</f>
        <v/>
      </c>
    </row>
    <row r="6147" ht="15" customHeight="1">
      <c r="C6147">
        <f>IF($B6147="","",INT($B6147))</f>
        <v/>
      </c>
      <c r="D6147">
        <f>IF($C6147="","",$C6147-WEEKDAY($C6147,2)+1)</f>
        <v/>
      </c>
      <c r="E6147">
        <f>IF($C6147="","",DATE(YEAR($C6147),MONTH($C6147),1))</f>
        <v/>
      </c>
      <c r="F6147">
        <f>IF($C6147="","",YEAR($C6147)&amp;"-Q"&amp;ROUNDUP(MONTH($C6147)/3,0))</f>
        <v/>
      </c>
      <c r="L6147">
        <f>IF($G6147&lt;&gt;"ALCOHOL","",IF($K6147="","",$H6147*IFERROR(VLOOKUP($K6147,Drink_Templates!$A:$G,7,FALSE),0)))</f>
        <v/>
      </c>
    </row>
    <row r="6148" ht="15" customHeight="1">
      <c r="C6148">
        <f>IF($B6148="","",INT($B6148))</f>
        <v/>
      </c>
      <c r="D6148">
        <f>IF($C6148="","",$C6148-WEEKDAY($C6148,2)+1)</f>
        <v/>
      </c>
      <c r="E6148">
        <f>IF($C6148="","",DATE(YEAR($C6148),MONTH($C6148),1))</f>
        <v/>
      </c>
      <c r="F6148">
        <f>IF($C6148="","",YEAR($C6148)&amp;"-Q"&amp;ROUNDUP(MONTH($C6148)/3,0))</f>
        <v/>
      </c>
      <c r="L6148">
        <f>IF($G6148&lt;&gt;"ALCOHOL","",IF($K6148="","",$H6148*IFERROR(VLOOKUP($K6148,Drink_Templates!$A:$G,7,FALSE),0)))</f>
        <v/>
      </c>
    </row>
    <row r="6149" ht="15" customHeight="1">
      <c r="C6149">
        <f>IF($B6149="","",INT($B6149))</f>
        <v/>
      </c>
      <c r="D6149">
        <f>IF($C6149="","",$C6149-WEEKDAY($C6149,2)+1)</f>
        <v/>
      </c>
      <c r="E6149">
        <f>IF($C6149="","",DATE(YEAR($C6149),MONTH($C6149),1))</f>
        <v/>
      </c>
      <c r="F6149">
        <f>IF($C6149="","",YEAR($C6149)&amp;"-Q"&amp;ROUNDUP(MONTH($C6149)/3,0))</f>
        <v/>
      </c>
      <c r="L6149">
        <f>IF($G6149&lt;&gt;"ALCOHOL","",IF($K6149="","",$H6149*IFERROR(VLOOKUP($K6149,Drink_Templates!$A:$G,7,FALSE),0)))</f>
        <v/>
      </c>
    </row>
    <row r="6150" ht="15" customHeight="1">
      <c r="C6150">
        <f>IF($B6150="","",INT($B6150))</f>
        <v/>
      </c>
      <c r="D6150">
        <f>IF($C6150="","",$C6150-WEEKDAY($C6150,2)+1)</f>
        <v/>
      </c>
      <c r="E6150">
        <f>IF($C6150="","",DATE(YEAR($C6150),MONTH($C6150),1))</f>
        <v/>
      </c>
      <c r="F6150">
        <f>IF($C6150="","",YEAR($C6150)&amp;"-Q"&amp;ROUNDUP(MONTH($C6150)/3,0))</f>
        <v/>
      </c>
      <c r="L6150">
        <f>IF($G6150&lt;&gt;"ALCOHOL","",IF($K6150="","",$H6150*IFERROR(VLOOKUP($K6150,Drink_Templates!$A:$G,7,FALSE),0)))</f>
        <v/>
      </c>
    </row>
    <row r="6151" ht="15" customHeight="1">
      <c r="C6151">
        <f>IF($B6151="","",INT($B6151))</f>
        <v/>
      </c>
      <c r="D6151">
        <f>IF($C6151="","",$C6151-WEEKDAY($C6151,2)+1)</f>
        <v/>
      </c>
      <c r="E6151">
        <f>IF($C6151="","",DATE(YEAR($C6151),MONTH($C6151),1))</f>
        <v/>
      </c>
      <c r="F6151">
        <f>IF($C6151="","",YEAR($C6151)&amp;"-Q"&amp;ROUNDUP(MONTH($C6151)/3,0))</f>
        <v/>
      </c>
      <c r="L6151">
        <f>IF($G6151&lt;&gt;"ALCOHOL","",IF($K6151="","",$H6151*IFERROR(VLOOKUP($K6151,Drink_Templates!$A:$G,7,FALSE),0)))</f>
        <v/>
      </c>
    </row>
    <row r="6152" ht="15" customHeight="1">
      <c r="C6152">
        <f>IF($B6152="","",INT($B6152))</f>
        <v/>
      </c>
      <c r="D6152">
        <f>IF($C6152="","",$C6152-WEEKDAY($C6152,2)+1)</f>
        <v/>
      </c>
      <c r="E6152">
        <f>IF($C6152="","",DATE(YEAR($C6152),MONTH($C6152),1))</f>
        <v/>
      </c>
      <c r="F6152">
        <f>IF($C6152="","",YEAR($C6152)&amp;"-Q"&amp;ROUNDUP(MONTH($C6152)/3,0))</f>
        <v/>
      </c>
      <c r="L6152">
        <f>IF($G6152&lt;&gt;"ALCOHOL","",IF($K6152="","",$H6152*IFERROR(VLOOKUP($K6152,Drink_Templates!$A:$G,7,FALSE),0)))</f>
        <v/>
      </c>
    </row>
    <row r="6153" ht="15" customHeight="1">
      <c r="C6153">
        <f>IF($B6153="","",INT($B6153))</f>
        <v/>
      </c>
      <c r="D6153">
        <f>IF($C6153="","",$C6153-WEEKDAY($C6153,2)+1)</f>
        <v/>
      </c>
      <c r="E6153">
        <f>IF($C6153="","",DATE(YEAR($C6153),MONTH($C6153),1))</f>
        <v/>
      </c>
      <c r="F6153">
        <f>IF($C6153="","",YEAR($C6153)&amp;"-Q"&amp;ROUNDUP(MONTH($C6153)/3,0))</f>
        <v/>
      </c>
      <c r="L6153">
        <f>IF($G6153&lt;&gt;"ALCOHOL","",IF($K6153="","",$H6153*IFERROR(VLOOKUP($K6153,Drink_Templates!$A:$G,7,FALSE),0)))</f>
        <v/>
      </c>
    </row>
    <row r="6154" ht="15" customHeight="1">
      <c r="C6154">
        <f>IF($B6154="","",INT($B6154))</f>
        <v/>
      </c>
      <c r="D6154">
        <f>IF($C6154="","",$C6154-WEEKDAY($C6154,2)+1)</f>
        <v/>
      </c>
      <c r="E6154">
        <f>IF($C6154="","",DATE(YEAR($C6154),MONTH($C6154),1))</f>
        <v/>
      </c>
      <c r="F6154">
        <f>IF($C6154="","",YEAR($C6154)&amp;"-Q"&amp;ROUNDUP(MONTH($C6154)/3,0))</f>
        <v/>
      </c>
      <c r="L6154">
        <f>IF($G6154&lt;&gt;"ALCOHOL","",IF($K6154="","",$H6154*IFERROR(VLOOKUP($K6154,Drink_Templates!$A:$G,7,FALSE),0)))</f>
        <v/>
      </c>
    </row>
    <row r="6155" ht="15" customHeight="1">
      <c r="C6155">
        <f>IF($B6155="","",INT($B6155))</f>
        <v/>
      </c>
      <c r="D6155">
        <f>IF($C6155="","",$C6155-WEEKDAY($C6155,2)+1)</f>
        <v/>
      </c>
      <c r="E6155">
        <f>IF($C6155="","",DATE(YEAR($C6155),MONTH($C6155),1))</f>
        <v/>
      </c>
      <c r="F6155">
        <f>IF($C6155="","",YEAR($C6155)&amp;"-Q"&amp;ROUNDUP(MONTH($C6155)/3,0))</f>
        <v/>
      </c>
      <c r="L6155">
        <f>IF($G6155&lt;&gt;"ALCOHOL","",IF($K6155="","",$H6155*IFERROR(VLOOKUP($K6155,Drink_Templates!$A:$G,7,FALSE),0)))</f>
        <v/>
      </c>
    </row>
    <row r="6156" ht="15" customHeight="1">
      <c r="C6156">
        <f>IF($B6156="","",INT($B6156))</f>
        <v/>
      </c>
      <c r="D6156">
        <f>IF($C6156="","",$C6156-WEEKDAY($C6156,2)+1)</f>
        <v/>
      </c>
      <c r="E6156">
        <f>IF($C6156="","",DATE(YEAR($C6156),MONTH($C6156),1))</f>
        <v/>
      </c>
      <c r="F6156">
        <f>IF($C6156="","",YEAR($C6156)&amp;"-Q"&amp;ROUNDUP(MONTH($C6156)/3,0))</f>
        <v/>
      </c>
      <c r="L6156">
        <f>IF($G6156&lt;&gt;"ALCOHOL","",IF($K6156="","",$H6156*IFERROR(VLOOKUP($K6156,Drink_Templates!$A:$G,7,FALSE),0)))</f>
        <v/>
      </c>
    </row>
    <row r="6157" ht="15" customHeight="1">
      <c r="C6157">
        <f>IF($B6157="","",INT($B6157))</f>
        <v/>
      </c>
      <c r="D6157">
        <f>IF($C6157="","",$C6157-WEEKDAY($C6157,2)+1)</f>
        <v/>
      </c>
      <c r="E6157">
        <f>IF($C6157="","",DATE(YEAR($C6157),MONTH($C6157),1))</f>
        <v/>
      </c>
      <c r="F6157">
        <f>IF($C6157="","",YEAR($C6157)&amp;"-Q"&amp;ROUNDUP(MONTH($C6157)/3,0))</f>
        <v/>
      </c>
      <c r="L6157">
        <f>IF($G6157&lt;&gt;"ALCOHOL","",IF($K6157="","",$H6157*IFERROR(VLOOKUP($K6157,Drink_Templates!$A:$G,7,FALSE),0)))</f>
        <v/>
      </c>
    </row>
    <row r="6158" ht="15" customHeight="1">
      <c r="C6158">
        <f>IF($B6158="","",INT($B6158))</f>
        <v/>
      </c>
      <c r="D6158">
        <f>IF($C6158="","",$C6158-WEEKDAY($C6158,2)+1)</f>
        <v/>
      </c>
      <c r="E6158">
        <f>IF($C6158="","",DATE(YEAR($C6158),MONTH($C6158),1))</f>
        <v/>
      </c>
      <c r="F6158">
        <f>IF($C6158="","",YEAR($C6158)&amp;"-Q"&amp;ROUNDUP(MONTH($C6158)/3,0))</f>
        <v/>
      </c>
      <c r="L6158">
        <f>IF($G6158&lt;&gt;"ALCOHOL","",IF($K6158="","",$H6158*IFERROR(VLOOKUP($K6158,Drink_Templates!$A:$G,7,FALSE),0)))</f>
        <v/>
      </c>
    </row>
    <row r="6159" ht="15" customHeight="1">
      <c r="C6159">
        <f>IF($B6159="","",INT($B6159))</f>
        <v/>
      </c>
      <c r="D6159">
        <f>IF($C6159="","",$C6159-WEEKDAY($C6159,2)+1)</f>
        <v/>
      </c>
      <c r="E6159">
        <f>IF($C6159="","",DATE(YEAR($C6159),MONTH($C6159),1))</f>
        <v/>
      </c>
      <c r="F6159">
        <f>IF($C6159="","",YEAR($C6159)&amp;"-Q"&amp;ROUNDUP(MONTH($C6159)/3,0))</f>
        <v/>
      </c>
      <c r="L6159">
        <f>IF($G6159&lt;&gt;"ALCOHOL","",IF($K6159="","",$H6159*IFERROR(VLOOKUP($K6159,Drink_Templates!$A:$G,7,FALSE),0)))</f>
        <v/>
      </c>
    </row>
    <row r="6160" ht="15" customHeight="1">
      <c r="C6160">
        <f>IF($B6160="","",INT($B6160))</f>
        <v/>
      </c>
      <c r="D6160">
        <f>IF($C6160="","",$C6160-WEEKDAY($C6160,2)+1)</f>
        <v/>
      </c>
      <c r="E6160">
        <f>IF($C6160="","",DATE(YEAR($C6160),MONTH($C6160),1))</f>
        <v/>
      </c>
      <c r="F6160">
        <f>IF($C6160="","",YEAR($C6160)&amp;"-Q"&amp;ROUNDUP(MONTH($C6160)/3,0))</f>
        <v/>
      </c>
      <c r="L6160">
        <f>IF($G6160&lt;&gt;"ALCOHOL","",IF($K6160="","",$H6160*IFERROR(VLOOKUP($K6160,Drink_Templates!$A:$G,7,FALSE),0)))</f>
        <v/>
      </c>
    </row>
    <row r="6161" ht="15" customHeight="1">
      <c r="C6161">
        <f>IF($B6161="","",INT($B6161))</f>
        <v/>
      </c>
      <c r="D6161">
        <f>IF($C6161="","",$C6161-WEEKDAY($C6161,2)+1)</f>
        <v/>
      </c>
      <c r="E6161">
        <f>IF($C6161="","",DATE(YEAR($C6161),MONTH($C6161),1))</f>
        <v/>
      </c>
      <c r="F6161">
        <f>IF($C6161="","",YEAR($C6161)&amp;"-Q"&amp;ROUNDUP(MONTH($C6161)/3,0))</f>
        <v/>
      </c>
      <c r="L6161">
        <f>IF($G6161&lt;&gt;"ALCOHOL","",IF($K6161="","",$H6161*IFERROR(VLOOKUP($K6161,Drink_Templates!$A:$G,7,FALSE),0)))</f>
        <v/>
      </c>
    </row>
    <row r="6162" ht="15" customHeight="1">
      <c r="C6162">
        <f>IF($B6162="","",INT($B6162))</f>
        <v/>
      </c>
      <c r="D6162">
        <f>IF($C6162="","",$C6162-WEEKDAY($C6162,2)+1)</f>
        <v/>
      </c>
      <c r="E6162">
        <f>IF($C6162="","",DATE(YEAR($C6162),MONTH($C6162),1))</f>
        <v/>
      </c>
      <c r="F6162">
        <f>IF($C6162="","",YEAR($C6162)&amp;"-Q"&amp;ROUNDUP(MONTH($C6162)/3,0))</f>
        <v/>
      </c>
      <c r="L6162">
        <f>IF($G6162&lt;&gt;"ALCOHOL","",IF($K6162="","",$H6162*IFERROR(VLOOKUP($K6162,Drink_Templates!$A:$G,7,FALSE),0)))</f>
        <v/>
      </c>
    </row>
    <row r="6163" ht="15" customHeight="1">
      <c r="C6163">
        <f>IF($B6163="","",INT($B6163))</f>
        <v/>
      </c>
      <c r="D6163">
        <f>IF($C6163="","",$C6163-WEEKDAY($C6163,2)+1)</f>
        <v/>
      </c>
      <c r="E6163">
        <f>IF($C6163="","",DATE(YEAR($C6163),MONTH($C6163),1))</f>
        <v/>
      </c>
      <c r="F6163">
        <f>IF($C6163="","",YEAR($C6163)&amp;"-Q"&amp;ROUNDUP(MONTH($C6163)/3,0))</f>
        <v/>
      </c>
      <c r="L6163">
        <f>IF($G6163&lt;&gt;"ALCOHOL","",IF($K6163="","",$H6163*IFERROR(VLOOKUP($K6163,Drink_Templates!$A:$G,7,FALSE),0)))</f>
        <v/>
      </c>
    </row>
    <row r="6164" ht="15" customHeight="1">
      <c r="C6164">
        <f>IF($B6164="","",INT($B6164))</f>
        <v/>
      </c>
      <c r="D6164">
        <f>IF($C6164="","",$C6164-WEEKDAY($C6164,2)+1)</f>
        <v/>
      </c>
      <c r="E6164">
        <f>IF($C6164="","",DATE(YEAR($C6164),MONTH($C6164),1))</f>
        <v/>
      </c>
      <c r="F6164">
        <f>IF($C6164="","",YEAR($C6164)&amp;"-Q"&amp;ROUNDUP(MONTH($C6164)/3,0))</f>
        <v/>
      </c>
      <c r="L6164">
        <f>IF($G6164&lt;&gt;"ALCOHOL","",IF($K6164="","",$H6164*IFERROR(VLOOKUP($K6164,Drink_Templates!$A:$G,7,FALSE),0)))</f>
        <v/>
      </c>
    </row>
    <row r="6165" ht="15" customHeight="1">
      <c r="C6165">
        <f>IF($B6165="","",INT($B6165))</f>
        <v/>
      </c>
      <c r="D6165">
        <f>IF($C6165="","",$C6165-WEEKDAY($C6165,2)+1)</f>
        <v/>
      </c>
      <c r="E6165">
        <f>IF($C6165="","",DATE(YEAR($C6165),MONTH($C6165),1))</f>
        <v/>
      </c>
      <c r="F6165">
        <f>IF($C6165="","",YEAR($C6165)&amp;"-Q"&amp;ROUNDUP(MONTH($C6165)/3,0))</f>
        <v/>
      </c>
      <c r="L6165">
        <f>IF($G6165&lt;&gt;"ALCOHOL","",IF($K6165="","",$H6165*IFERROR(VLOOKUP($K6165,Drink_Templates!$A:$G,7,FALSE),0)))</f>
        <v/>
      </c>
    </row>
    <row r="6166" ht="15" customHeight="1">
      <c r="C6166">
        <f>IF($B6166="","",INT($B6166))</f>
        <v/>
      </c>
      <c r="D6166">
        <f>IF($C6166="","",$C6166-WEEKDAY($C6166,2)+1)</f>
        <v/>
      </c>
      <c r="E6166">
        <f>IF($C6166="","",DATE(YEAR($C6166),MONTH($C6166),1))</f>
        <v/>
      </c>
      <c r="F6166">
        <f>IF($C6166="","",YEAR($C6166)&amp;"-Q"&amp;ROUNDUP(MONTH($C6166)/3,0))</f>
        <v/>
      </c>
      <c r="L6166">
        <f>IF($G6166&lt;&gt;"ALCOHOL","",IF($K6166="","",$H6166*IFERROR(VLOOKUP($K6166,Drink_Templates!$A:$G,7,FALSE),0)))</f>
        <v/>
      </c>
    </row>
    <row r="6167" ht="15" customHeight="1">
      <c r="C6167">
        <f>IF($B6167="","",INT($B6167))</f>
        <v/>
      </c>
      <c r="D6167">
        <f>IF($C6167="","",$C6167-WEEKDAY($C6167,2)+1)</f>
        <v/>
      </c>
      <c r="E6167">
        <f>IF($C6167="","",DATE(YEAR($C6167),MONTH($C6167),1))</f>
        <v/>
      </c>
      <c r="F6167">
        <f>IF($C6167="","",YEAR($C6167)&amp;"-Q"&amp;ROUNDUP(MONTH($C6167)/3,0))</f>
        <v/>
      </c>
      <c r="L6167">
        <f>IF($G6167&lt;&gt;"ALCOHOL","",IF($K6167="","",$H6167*IFERROR(VLOOKUP($K6167,Drink_Templates!$A:$G,7,FALSE),0)))</f>
        <v/>
      </c>
    </row>
    <row r="6168" ht="15" customHeight="1">
      <c r="C6168">
        <f>IF($B6168="","",INT($B6168))</f>
        <v/>
      </c>
      <c r="D6168">
        <f>IF($C6168="","",$C6168-WEEKDAY($C6168,2)+1)</f>
        <v/>
      </c>
      <c r="E6168">
        <f>IF($C6168="","",DATE(YEAR($C6168),MONTH($C6168),1))</f>
        <v/>
      </c>
      <c r="F6168">
        <f>IF($C6168="","",YEAR($C6168)&amp;"-Q"&amp;ROUNDUP(MONTH($C6168)/3,0))</f>
        <v/>
      </c>
      <c r="L6168">
        <f>IF($G6168&lt;&gt;"ALCOHOL","",IF($K6168="","",$H6168*IFERROR(VLOOKUP($K6168,Drink_Templates!$A:$G,7,FALSE),0)))</f>
        <v/>
      </c>
    </row>
    <row r="6169" ht="15" customHeight="1">
      <c r="C6169">
        <f>IF($B6169="","",INT($B6169))</f>
        <v/>
      </c>
      <c r="D6169">
        <f>IF($C6169="","",$C6169-WEEKDAY($C6169,2)+1)</f>
        <v/>
      </c>
      <c r="E6169">
        <f>IF($C6169="","",DATE(YEAR($C6169),MONTH($C6169),1))</f>
        <v/>
      </c>
      <c r="F6169">
        <f>IF($C6169="","",YEAR($C6169)&amp;"-Q"&amp;ROUNDUP(MONTH($C6169)/3,0))</f>
        <v/>
      </c>
      <c r="L6169">
        <f>IF($G6169&lt;&gt;"ALCOHOL","",IF($K6169="","",$H6169*IFERROR(VLOOKUP($K6169,Drink_Templates!$A:$G,7,FALSE),0)))</f>
        <v/>
      </c>
    </row>
    <row r="6170" ht="15" customHeight="1">
      <c r="C6170">
        <f>IF($B6170="","",INT($B6170))</f>
        <v/>
      </c>
      <c r="D6170">
        <f>IF($C6170="","",$C6170-WEEKDAY($C6170,2)+1)</f>
        <v/>
      </c>
      <c r="E6170">
        <f>IF($C6170="","",DATE(YEAR($C6170),MONTH($C6170),1))</f>
        <v/>
      </c>
      <c r="F6170">
        <f>IF($C6170="","",YEAR($C6170)&amp;"-Q"&amp;ROUNDUP(MONTH($C6170)/3,0))</f>
        <v/>
      </c>
      <c r="L6170">
        <f>IF($G6170&lt;&gt;"ALCOHOL","",IF($K6170="","",$H6170*IFERROR(VLOOKUP($K6170,Drink_Templates!$A:$G,7,FALSE),0)))</f>
        <v/>
      </c>
    </row>
    <row r="6171" ht="15" customHeight="1">
      <c r="C6171">
        <f>IF($B6171="","",INT($B6171))</f>
        <v/>
      </c>
      <c r="D6171">
        <f>IF($C6171="","",$C6171-WEEKDAY($C6171,2)+1)</f>
        <v/>
      </c>
      <c r="E6171">
        <f>IF($C6171="","",DATE(YEAR($C6171),MONTH($C6171),1))</f>
        <v/>
      </c>
      <c r="F6171">
        <f>IF($C6171="","",YEAR($C6171)&amp;"-Q"&amp;ROUNDUP(MONTH($C6171)/3,0))</f>
        <v/>
      </c>
      <c r="L6171">
        <f>IF($G6171&lt;&gt;"ALCOHOL","",IF($K6171="","",$H6171*IFERROR(VLOOKUP($K6171,Drink_Templates!$A:$G,7,FALSE),0)))</f>
        <v/>
      </c>
    </row>
    <row r="6172" ht="15" customHeight="1">
      <c r="C6172">
        <f>IF($B6172="","",INT($B6172))</f>
        <v/>
      </c>
      <c r="D6172">
        <f>IF($C6172="","",$C6172-WEEKDAY($C6172,2)+1)</f>
        <v/>
      </c>
      <c r="E6172">
        <f>IF($C6172="","",DATE(YEAR($C6172),MONTH($C6172),1))</f>
        <v/>
      </c>
      <c r="F6172">
        <f>IF($C6172="","",YEAR($C6172)&amp;"-Q"&amp;ROUNDUP(MONTH($C6172)/3,0))</f>
        <v/>
      </c>
      <c r="L6172">
        <f>IF($G6172&lt;&gt;"ALCOHOL","",IF($K6172="","",$H6172*IFERROR(VLOOKUP($K6172,Drink_Templates!$A:$G,7,FALSE),0)))</f>
        <v/>
      </c>
    </row>
    <row r="6173" ht="15" customHeight="1">
      <c r="C6173">
        <f>IF($B6173="","",INT($B6173))</f>
        <v/>
      </c>
      <c r="D6173">
        <f>IF($C6173="","",$C6173-WEEKDAY($C6173,2)+1)</f>
        <v/>
      </c>
      <c r="E6173">
        <f>IF($C6173="","",DATE(YEAR($C6173),MONTH($C6173),1))</f>
        <v/>
      </c>
      <c r="F6173">
        <f>IF($C6173="","",YEAR($C6173)&amp;"-Q"&amp;ROUNDUP(MONTH($C6173)/3,0))</f>
        <v/>
      </c>
      <c r="L6173">
        <f>IF($G6173&lt;&gt;"ALCOHOL","",IF($K6173="","",$H6173*IFERROR(VLOOKUP($K6173,Drink_Templates!$A:$G,7,FALSE),0)))</f>
        <v/>
      </c>
    </row>
    <row r="6174" ht="15" customHeight="1">
      <c r="C6174">
        <f>IF($B6174="","",INT($B6174))</f>
        <v/>
      </c>
      <c r="D6174">
        <f>IF($C6174="","",$C6174-WEEKDAY($C6174,2)+1)</f>
        <v/>
      </c>
      <c r="E6174">
        <f>IF($C6174="","",DATE(YEAR($C6174),MONTH($C6174),1))</f>
        <v/>
      </c>
      <c r="F6174">
        <f>IF($C6174="","",YEAR($C6174)&amp;"-Q"&amp;ROUNDUP(MONTH($C6174)/3,0))</f>
        <v/>
      </c>
      <c r="L6174">
        <f>IF($G6174&lt;&gt;"ALCOHOL","",IF($K6174="","",$H6174*IFERROR(VLOOKUP($K6174,Drink_Templates!$A:$G,7,FALSE),0)))</f>
        <v/>
      </c>
    </row>
    <row r="6175" ht="15" customHeight="1">
      <c r="C6175">
        <f>IF($B6175="","",INT($B6175))</f>
        <v/>
      </c>
      <c r="D6175">
        <f>IF($C6175="","",$C6175-WEEKDAY($C6175,2)+1)</f>
        <v/>
      </c>
      <c r="E6175">
        <f>IF($C6175="","",DATE(YEAR($C6175),MONTH($C6175),1))</f>
        <v/>
      </c>
      <c r="F6175">
        <f>IF($C6175="","",YEAR($C6175)&amp;"-Q"&amp;ROUNDUP(MONTH($C6175)/3,0))</f>
        <v/>
      </c>
      <c r="L6175">
        <f>IF($G6175&lt;&gt;"ALCOHOL","",IF($K6175="","",$H6175*IFERROR(VLOOKUP($K6175,Drink_Templates!$A:$G,7,FALSE),0)))</f>
        <v/>
      </c>
    </row>
    <row r="6176" ht="15" customHeight="1">
      <c r="C6176">
        <f>IF($B6176="","",INT($B6176))</f>
        <v/>
      </c>
      <c r="D6176">
        <f>IF($C6176="","",$C6176-WEEKDAY($C6176,2)+1)</f>
        <v/>
      </c>
      <c r="E6176">
        <f>IF($C6176="","",DATE(YEAR($C6176),MONTH($C6176),1))</f>
        <v/>
      </c>
      <c r="F6176">
        <f>IF($C6176="","",YEAR($C6176)&amp;"-Q"&amp;ROUNDUP(MONTH($C6176)/3,0))</f>
        <v/>
      </c>
      <c r="L6176">
        <f>IF($G6176&lt;&gt;"ALCOHOL","",IF($K6176="","",$H6176*IFERROR(VLOOKUP($K6176,Drink_Templates!$A:$G,7,FALSE),0)))</f>
        <v/>
      </c>
    </row>
    <row r="6177" ht="15" customHeight="1">
      <c r="C6177">
        <f>IF($B6177="","",INT($B6177))</f>
        <v/>
      </c>
      <c r="D6177">
        <f>IF($C6177="","",$C6177-WEEKDAY($C6177,2)+1)</f>
        <v/>
      </c>
      <c r="E6177">
        <f>IF($C6177="","",DATE(YEAR($C6177),MONTH($C6177),1))</f>
        <v/>
      </c>
      <c r="F6177">
        <f>IF($C6177="","",YEAR($C6177)&amp;"-Q"&amp;ROUNDUP(MONTH($C6177)/3,0))</f>
        <v/>
      </c>
      <c r="L6177">
        <f>IF($G6177&lt;&gt;"ALCOHOL","",IF($K6177="","",$H6177*IFERROR(VLOOKUP($K6177,Drink_Templates!$A:$G,7,FALSE),0)))</f>
        <v/>
      </c>
    </row>
    <row r="6178" ht="15" customHeight="1">
      <c r="C6178">
        <f>IF($B6178="","",INT($B6178))</f>
        <v/>
      </c>
      <c r="D6178">
        <f>IF($C6178="","",$C6178-WEEKDAY($C6178,2)+1)</f>
        <v/>
      </c>
      <c r="E6178">
        <f>IF($C6178="","",DATE(YEAR($C6178),MONTH($C6178),1))</f>
        <v/>
      </c>
      <c r="F6178">
        <f>IF($C6178="","",YEAR($C6178)&amp;"-Q"&amp;ROUNDUP(MONTH($C6178)/3,0))</f>
        <v/>
      </c>
      <c r="L6178">
        <f>IF($G6178&lt;&gt;"ALCOHOL","",IF($K6178="","",$H6178*IFERROR(VLOOKUP($K6178,Drink_Templates!$A:$G,7,FALSE),0)))</f>
        <v/>
      </c>
    </row>
    <row r="6179" ht="15" customHeight="1">
      <c r="C6179">
        <f>IF($B6179="","",INT($B6179))</f>
        <v/>
      </c>
      <c r="D6179">
        <f>IF($C6179="","",$C6179-WEEKDAY($C6179,2)+1)</f>
        <v/>
      </c>
      <c r="E6179">
        <f>IF($C6179="","",DATE(YEAR($C6179),MONTH($C6179),1))</f>
        <v/>
      </c>
      <c r="F6179">
        <f>IF($C6179="","",YEAR($C6179)&amp;"-Q"&amp;ROUNDUP(MONTH($C6179)/3,0))</f>
        <v/>
      </c>
      <c r="L6179">
        <f>IF($G6179&lt;&gt;"ALCOHOL","",IF($K6179="","",$H6179*IFERROR(VLOOKUP($K6179,Drink_Templates!$A:$G,7,FALSE),0)))</f>
        <v/>
      </c>
    </row>
    <row r="6180" ht="15" customHeight="1">
      <c r="C6180">
        <f>IF($B6180="","",INT($B6180))</f>
        <v/>
      </c>
      <c r="D6180">
        <f>IF($C6180="","",$C6180-WEEKDAY($C6180,2)+1)</f>
        <v/>
      </c>
      <c r="E6180">
        <f>IF($C6180="","",DATE(YEAR($C6180),MONTH($C6180),1))</f>
        <v/>
      </c>
      <c r="F6180">
        <f>IF($C6180="","",YEAR($C6180)&amp;"-Q"&amp;ROUNDUP(MONTH($C6180)/3,0))</f>
        <v/>
      </c>
      <c r="L6180">
        <f>IF($G6180&lt;&gt;"ALCOHOL","",IF($K6180="","",$H6180*IFERROR(VLOOKUP($K6180,Drink_Templates!$A:$G,7,FALSE),0)))</f>
        <v/>
      </c>
    </row>
    <row r="6181" ht="15" customHeight="1">
      <c r="C6181">
        <f>IF($B6181="","",INT($B6181))</f>
        <v/>
      </c>
      <c r="D6181">
        <f>IF($C6181="","",$C6181-WEEKDAY($C6181,2)+1)</f>
        <v/>
      </c>
      <c r="E6181">
        <f>IF($C6181="","",DATE(YEAR($C6181),MONTH($C6181),1))</f>
        <v/>
      </c>
      <c r="F6181">
        <f>IF($C6181="","",YEAR($C6181)&amp;"-Q"&amp;ROUNDUP(MONTH($C6181)/3,0))</f>
        <v/>
      </c>
      <c r="L6181">
        <f>IF($G6181&lt;&gt;"ALCOHOL","",IF($K6181="","",$H6181*IFERROR(VLOOKUP($K6181,Drink_Templates!$A:$G,7,FALSE),0)))</f>
        <v/>
      </c>
    </row>
    <row r="6182" ht="15" customHeight="1">
      <c r="C6182">
        <f>IF($B6182="","",INT($B6182))</f>
        <v/>
      </c>
      <c r="D6182">
        <f>IF($C6182="","",$C6182-WEEKDAY($C6182,2)+1)</f>
        <v/>
      </c>
      <c r="E6182">
        <f>IF($C6182="","",DATE(YEAR($C6182),MONTH($C6182),1))</f>
        <v/>
      </c>
      <c r="F6182">
        <f>IF($C6182="","",YEAR($C6182)&amp;"-Q"&amp;ROUNDUP(MONTH($C6182)/3,0))</f>
        <v/>
      </c>
      <c r="L6182">
        <f>IF($G6182&lt;&gt;"ALCOHOL","",IF($K6182="","",$H6182*IFERROR(VLOOKUP($K6182,Drink_Templates!$A:$G,7,FALSE),0)))</f>
        <v/>
      </c>
    </row>
    <row r="6183" ht="15" customHeight="1">
      <c r="C6183">
        <f>IF($B6183="","",INT($B6183))</f>
        <v/>
      </c>
      <c r="D6183">
        <f>IF($C6183="","",$C6183-WEEKDAY($C6183,2)+1)</f>
        <v/>
      </c>
      <c r="E6183">
        <f>IF($C6183="","",DATE(YEAR($C6183),MONTH($C6183),1))</f>
        <v/>
      </c>
      <c r="F6183">
        <f>IF($C6183="","",YEAR($C6183)&amp;"-Q"&amp;ROUNDUP(MONTH($C6183)/3,0))</f>
        <v/>
      </c>
      <c r="L6183">
        <f>IF($G6183&lt;&gt;"ALCOHOL","",IF($K6183="","",$H6183*IFERROR(VLOOKUP($K6183,Drink_Templates!$A:$G,7,FALSE),0)))</f>
        <v/>
      </c>
    </row>
    <row r="6184" ht="15" customHeight="1">
      <c r="C6184">
        <f>IF($B6184="","",INT($B6184))</f>
        <v/>
      </c>
      <c r="D6184">
        <f>IF($C6184="","",$C6184-WEEKDAY($C6184,2)+1)</f>
        <v/>
      </c>
      <c r="E6184">
        <f>IF($C6184="","",DATE(YEAR($C6184),MONTH($C6184),1))</f>
        <v/>
      </c>
      <c r="F6184">
        <f>IF($C6184="","",YEAR($C6184)&amp;"-Q"&amp;ROUNDUP(MONTH($C6184)/3,0))</f>
        <v/>
      </c>
      <c r="L6184">
        <f>IF($G6184&lt;&gt;"ALCOHOL","",IF($K6184="","",$H6184*IFERROR(VLOOKUP($K6184,Drink_Templates!$A:$G,7,FALSE),0)))</f>
        <v/>
      </c>
    </row>
    <row r="6185" ht="15" customHeight="1">
      <c r="C6185">
        <f>IF($B6185="","",INT($B6185))</f>
        <v/>
      </c>
      <c r="D6185">
        <f>IF($C6185="","",$C6185-WEEKDAY($C6185,2)+1)</f>
        <v/>
      </c>
      <c r="E6185">
        <f>IF($C6185="","",DATE(YEAR($C6185),MONTH($C6185),1))</f>
        <v/>
      </c>
      <c r="F6185">
        <f>IF($C6185="","",YEAR($C6185)&amp;"-Q"&amp;ROUNDUP(MONTH($C6185)/3,0))</f>
        <v/>
      </c>
      <c r="L6185">
        <f>IF($G6185&lt;&gt;"ALCOHOL","",IF($K6185="","",$H6185*IFERROR(VLOOKUP($K6185,Drink_Templates!$A:$G,7,FALSE),0)))</f>
        <v/>
      </c>
    </row>
    <row r="6186" ht="15" customHeight="1">
      <c r="C6186">
        <f>IF($B6186="","",INT($B6186))</f>
        <v/>
      </c>
      <c r="D6186">
        <f>IF($C6186="","",$C6186-WEEKDAY($C6186,2)+1)</f>
        <v/>
      </c>
      <c r="E6186">
        <f>IF($C6186="","",DATE(YEAR($C6186),MONTH($C6186),1))</f>
        <v/>
      </c>
      <c r="F6186">
        <f>IF($C6186="","",YEAR($C6186)&amp;"-Q"&amp;ROUNDUP(MONTH($C6186)/3,0))</f>
        <v/>
      </c>
      <c r="L6186">
        <f>IF($G6186&lt;&gt;"ALCOHOL","",IF($K6186="","",$H6186*IFERROR(VLOOKUP($K6186,Drink_Templates!$A:$G,7,FALSE),0)))</f>
        <v/>
      </c>
    </row>
    <row r="6187" ht="15" customHeight="1">
      <c r="C6187">
        <f>IF($B6187="","",INT($B6187))</f>
        <v/>
      </c>
      <c r="D6187">
        <f>IF($C6187="","",$C6187-WEEKDAY($C6187,2)+1)</f>
        <v/>
      </c>
      <c r="E6187">
        <f>IF($C6187="","",DATE(YEAR($C6187),MONTH($C6187),1))</f>
        <v/>
      </c>
      <c r="F6187">
        <f>IF($C6187="","",YEAR($C6187)&amp;"-Q"&amp;ROUNDUP(MONTH($C6187)/3,0))</f>
        <v/>
      </c>
      <c r="L6187">
        <f>IF($G6187&lt;&gt;"ALCOHOL","",IF($K6187="","",$H6187*IFERROR(VLOOKUP($K6187,Drink_Templates!$A:$G,7,FALSE),0)))</f>
        <v/>
      </c>
    </row>
    <row r="6188" ht="15" customHeight="1">
      <c r="C6188">
        <f>IF($B6188="","",INT($B6188))</f>
        <v/>
      </c>
      <c r="D6188">
        <f>IF($C6188="","",$C6188-WEEKDAY($C6188,2)+1)</f>
        <v/>
      </c>
      <c r="E6188">
        <f>IF($C6188="","",DATE(YEAR($C6188),MONTH($C6188),1))</f>
        <v/>
      </c>
      <c r="F6188">
        <f>IF($C6188="","",YEAR($C6188)&amp;"-Q"&amp;ROUNDUP(MONTH($C6188)/3,0))</f>
        <v/>
      </c>
      <c r="L6188">
        <f>IF($G6188&lt;&gt;"ALCOHOL","",IF($K6188="","",$H6188*IFERROR(VLOOKUP($K6188,Drink_Templates!$A:$G,7,FALSE),0)))</f>
        <v/>
      </c>
    </row>
    <row r="6189" ht="15" customHeight="1">
      <c r="C6189">
        <f>IF($B6189="","",INT($B6189))</f>
        <v/>
      </c>
      <c r="D6189">
        <f>IF($C6189="","",$C6189-WEEKDAY($C6189,2)+1)</f>
        <v/>
      </c>
      <c r="E6189">
        <f>IF($C6189="","",DATE(YEAR($C6189),MONTH($C6189),1))</f>
        <v/>
      </c>
      <c r="F6189">
        <f>IF($C6189="","",YEAR($C6189)&amp;"-Q"&amp;ROUNDUP(MONTH($C6189)/3,0))</f>
        <v/>
      </c>
      <c r="L6189">
        <f>IF($G6189&lt;&gt;"ALCOHOL","",IF($K6189="","",$H6189*IFERROR(VLOOKUP($K6189,Drink_Templates!$A:$G,7,FALSE),0)))</f>
        <v/>
      </c>
    </row>
    <row r="6190" ht="15" customHeight="1">
      <c r="C6190">
        <f>IF($B6190="","",INT($B6190))</f>
        <v/>
      </c>
      <c r="D6190">
        <f>IF($C6190="","",$C6190-WEEKDAY($C6190,2)+1)</f>
        <v/>
      </c>
      <c r="E6190">
        <f>IF($C6190="","",DATE(YEAR($C6190),MONTH($C6190),1))</f>
        <v/>
      </c>
      <c r="F6190">
        <f>IF($C6190="","",YEAR($C6190)&amp;"-Q"&amp;ROUNDUP(MONTH($C6190)/3,0))</f>
        <v/>
      </c>
      <c r="L6190">
        <f>IF($G6190&lt;&gt;"ALCOHOL","",IF($K6190="","",$H6190*IFERROR(VLOOKUP($K6190,Drink_Templates!$A:$G,7,FALSE),0)))</f>
        <v/>
      </c>
    </row>
    <row r="6191" ht="15" customHeight="1">
      <c r="C6191">
        <f>IF($B6191="","",INT($B6191))</f>
        <v/>
      </c>
      <c r="D6191">
        <f>IF($C6191="","",$C6191-WEEKDAY($C6191,2)+1)</f>
        <v/>
      </c>
      <c r="E6191">
        <f>IF($C6191="","",DATE(YEAR($C6191),MONTH($C6191),1))</f>
        <v/>
      </c>
      <c r="F6191">
        <f>IF($C6191="","",YEAR($C6191)&amp;"-Q"&amp;ROUNDUP(MONTH($C6191)/3,0))</f>
        <v/>
      </c>
      <c r="L6191">
        <f>IF($G6191&lt;&gt;"ALCOHOL","",IF($K6191="","",$H6191*IFERROR(VLOOKUP($K6191,Drink_Templates!$A:$G,7,FALSE),0)))</f>
        <v/>
      </c>
    </row>
    <row r="6192" ht="15" customHeight="1">
      <c r="C6192">
        <f>IF($B6192="","",INT($B6192))</f>
        <v/>
      </c>
      <c r="D6192">
        <f>IF($C6192="","",$C6192-WEEKDAY($C6192,2)+1)</f>
        <v/>
      </c>
      <c r="E6192">
        <f>IF($C6192="","",DATE(YEAR($C6192),MONTH($C6192),1))</f>
        <v/>
      </c>
      <c r="F6192">
        <f>IF($C6192="","",YEAR($C6192)&amp;"-Q"&amp;ROUNDUP(MONTH($C6192)/3,0))</f>
        <v/>
      </c>
      <c r="L6192">
        <f>IF($G6192&lt;&gt;"ALCOHOL","",IF($K6192="","",$H6192*IFERROR(VLOOKUP($K6192,Drink_Templates!$A:$G,7,FALSE),0)))</f>
        <v/>
      </c>
    </row>
    <row r="6193" ht="15" customHeight="1">
      <c r="C6193">
        <f>IF($B6193="","",INT($B6193))</f>
        <v/>
      </c>
      <c r="D6193">
        <f>IF($C6193="","",$C6193-WEEKDAY($C6193,2)+1)</f>
        <v/>
      </c>
      <c r="E6193">
        <f>IF($C6193="","",DATE(YEAR($C6193),MONTH($C6193),1))</f>
        <v/>
      </c>
      <c r="F6193">
        <f>IF($C6193="","",YEAR($C6193)&amp;"-Q"&amp;ROUNDUP(MONTH($C6193)/3,0))</f>
        <v/>
      </c>
      <c r="L6193">
        <f>IF($G6193&lt;&gt;"ALCOHOL","",IF($K6193="","",$H6193*IFERROR(VLOOKUP($K6193,Drink_Templates!$A:$G,7,FALSE),0)))</f>
        <v/>
      </c>
    </row>
    <row r="6194" ht="15" customHeight="1">
      <c r="C6194">
        <f>IF($B6194="","",INT($B6194))</f>
        <v/>
      </c>
      <c r="D6194">
        <f>IF($C6194="","",$C6194-WEEKDAY($C6194,2)+1)</f>
        <v/>
      </c>
      <c r="E6194">
        <f>IF($C6194="","",DATE(YEAR($C6194),MONTH($C6194),1))</f>
        <v/>
      </c>
      <c r="F6194">
        <f>IF($C6194="","",YEAR($C6194)&amp;"-Q"&amp;ROUNDUP(MONTH($C6194)/3,0))</f>
        <v/>
      </c>
      <c r="L6194">
        <f>IF($G6194&lt;&gt;"ALCOHOL","",IF($K6194="","",$H6194*IFERROR(VLOOKUP($K6194,Drink_Templates!$A:$G,7,FALSE),0)))</f>
        <v/>
      </c>
    </row>
    <row r="6195" ht="15" customHeight="1">
      <c r="C6195">
        <f>IF($B6195="","",INT($B6195))</f>
        <v/>
      </c>
      <c r="D6195">
        <f>IF($C6195="","",$C6195-WEEKDAY($C6195,2)+1)</f>
        <v/>
      </c>
      <c r="E6195">
        <f>IF($C6195="","",DATE(YEAR($C6195),MONTH($C6195),1))</f>
        <v/>
      </c>
      <c r="F6195">
        <f>IF($C6195="","",YEAR($C6195)&amp;"-Q"&amp;ROUNDUP(MONTH($C6195)/3,0))</f>
        <v/>
      </c>
      <c r="L6195">
        <f>IF($G6195&lt;&gt;"ALCOHOL","",IF($K6195="","",$H6195*IFERROR(VLOOKUP($K6195,Drink_Templates!$A:$G,7,FALSE),0)))</f>
        <v/>
      </c>
    </row>
    <row r="6196" ht="15" customHeight="1">
      <c r="C6196">
        <f>IF($B6196="","",INT($B6196))</f>
        <v/>
      </c>
      <c r="D6196">
        <f>IF($C6196="","",$C6196-WEEKDAY($C6196,2)+1)</f>
        <v/>
      </c>
      <c r="E6196">
        <f>IF($C6196="","",DATE(YEAR($C6196),MONTH($C6196),1))</f>
        <v/>
      </c>
      <c r="F6196">
        <f>IF($C6196="","",YEAR($C6196)&amp;"-Q"&amp;ROUNDUP(MONTH($C6196)/3,0))</f>
        <v/>
      </c>
      <c r="L6196">
        <f>IF($G6196&lt;&gt;"ALCOHOL","",IF($K6196="","",$H6196*IFERROR(VLOOKUP($K6196,Drink_Templates!$A:$G,7,FALSE),0)))</f>
        <v/>
      </c>
    </row>
    <row r="6197" ht="15" customHeight="1">
      <c r="C6197">
        <f>IF($B6197="","",INT($B6197))</f>
        <v/>
      </c>
      <c r="D6197">
        <f>IF($C6197="","",$C6197-WEEKDAY($C6197,2)+1)</f>
        <v/>
      </c>
      <c r="E6197">
        <f>IF($C6197="","",DATE(YEAR($C6197),MONTH($C6197),1))</f>
        <v/>
      </c>
      <c r="F6197">
        <f>IF($C6197="","",YEAR($C6197)&amp;"-Q"&amp;ROUNDUP(MONTH($C6197)/3,0))</f>
        <v/>
      </c>
      <c r="L6197">
        <f>IF($G6197&lt;&gt;"ALCOHOL","",IF($K6197="","",$H6197*IFERROR(VLOOKUP($K6197,Drink_Templates!$A:$G,7,FALSE),0)))</f>
        <v/>
      </c>
    </row>
    <row r="6198" ht="15" customHeight="1">
      <c r="C6198">
        <f>IF($B6198="","",INT($B6198))</f>
        <v/>
      </c>
      <c r="D6198">
        <f>IF($C6198="","",$C6198-WEEKDAY($C6198,2)+1)</f>
        <v/>
      </c>
      <c r="E6198">
        <f>IF($C6198="","",DATE(YEAR($C6198),MONTH($C6198),1))</f>
        <v/>
      </c>
      <c r="F6198">
        <f>IF($C6198="","",YEAR($C6198)&amp;"-Q"&amp;ROUNDUP(MONTH($C6198)/3,0))</f>
        <v/>
      </c>
      <c r="L6198">
        <f>IF($G6198&lt;&gt;"ALCOHOL","",IF($K6198="","",$H6198*IFERROR(VLOOKUP($K6198,Drink_Templates!$A:$G,7,FALSE),0)))</f>
        <v/>
      </c>
    </row>
    <row r="6199" ht="15" customHeight="1">
      <c r="C6199">
        <f>IF($B6199="","",INT($B6199))</f>
        <v/>
      </c>
      <c r="D6199">
        <f>IF($C6199="","",$C6199-WEEKDAY($C6199,2)+1)</f>
        <v/>
      </c>
      <c r="E6199">
        <f>IF($C6199="","",DATE(YEAR($C6199),MONTH($C6199),1))</f>
        <v/>
      </c>
      <c r="F6199">
        <f>IF($C6199="","",YEAR($C6199)&amp;"-Q"&amp;ROUNDUP(MONTH($C6199)/3,0))</f>
        <v/>
      </c>
      <c r="L6199">
        <f>IF($G6199&lt;&gt;"ALCOHOL","",IF($K6199="","",$H6199*IFERROR(VLOOKUP($K6199,Drink_Templates!$A:$G,7,FALSE),0)))</f>
        <v/>
      </c>
    </row>
    <row r="6200" ht="15" customHeight="1">
      <c r="C6200">
        <f>IF($B6200="","",INT($B6200))</f>
        <v/>
      </c>
      <c r="D6200">
        <f>IF($C6200="","",$C6200-WEEKDAY($C6200,2)+1)</f>
        <v/>
      </c>
      <c r="E6200">
        <f>IF($C6200="","",DATE(YEAR($C6200),MONTH($C6200),1))</f>
        <v/>
      </c>
      <c r="F6200">
        <f>IF($C6200="","",YEAR($C6200)&amp;"-Q"&amp;ROUNDUP(MONTH($C6200)/3,0))</f>
        <v/>
      </c>
      <c r="L6200">
        <f>IF($G6200&lt;&gt;"ALCOHOL","",IF($K6200="","",$H6200*IFERROR(VLOOKUP($K6200,Drink_Templates!$A:$G,7,FALSE),0)))</f>
        <v/>
      </c>
    </row>
    <row r="6201" ht="15" customHeight="1">
      <c r="C6201">
        <f>IF($B6201="","",INT($B6201))</f>
        <v/>
      </c>
      <c r="D6201">
        <f>IF($C6201="","",$C6201-WEEKDAY($C6201,2)+1)</f>
        <v/>
      </c>
      <c r="E6201">
        <f>IF($C6201="","",DATE(YEAR($C6201),MONTH($C6201),1))</f>
        <v/>
      </c>
      <c r="F6201">
        <f>IF($C6201="","",YEAR($C6201)&amp;"-Q"&amp;ROUNDUP(MONTH($C6201)/3,0))</f>
        <v/>
      </c>
      <c r="L6201">
        <f>IF($G6201&lt;&gt;"ALCOHOL","",IF($K6201="","",$H6201*IFERROR(VLOOKUP($K6201,Drink_Templates!$A:$G,7,FALSE),0)))</f>
        <v/>
      </c>
    </row>
    <row r="6202" ht="15" customHeight="1">
      <c r="C6202">
        <f>IF($B6202="","",INT($B6202))</f>
        <v/>
      </c>
      <c r="D6202">
        <f>IF($C6202="","",$C6202-WEEKDAY($C6202,2)+1)</f>
        <v/>
      </c>
      <c r="E6202">
        <f>IF($C6202="","",DATE(YEAR($C6202),MONTH($C6202),1))</f>
        <v/>
      </c>
      <c r="F6202">
        <f>IF($C6202="","",YEAR($C6202)&amp;"-Q"&amp;ROUNDUP(MONTH($C6202)/3,0))</f>
        <v/>
      </c>
      <c r="L6202">
        <f>IF($G6202&lt;&gt;"ALCOHOL","",IF($K6202="","",$H6202*IFERROR(VLOOKUP($K6202,Drink_Templates!$A:$G,7,FALSE),0)))</f>
        <v/>
      </c>
    </row>
    <row r="6203" ht="15" customHeight="1">
      <c r="C6203">
        <f>IF($B6203="","",INT($B6203))</f>
        <v/>
      </c>
      <c r="D6203">
        <f>IF($C6203="","",$C6203-WEEKDAY($C6203,2)+1)</f>
        <v/>
      </c>
      <c r="E6203">
        <f>IF($C6203="","",DATE(YEAR($C6203),MONTH($C6203),1))</f>
        <v/>
      </c>
      <c r="F6203">
        <f>IF($C6203="","",YEAR($C6203)&amp;"-Q"&amp;ROUNDUP(MONTH($C6203)/3,0))</f>
        <v/>
      </c>
      <c r="L6203">
        <f>IF($G6203&lt;&gt;"ALCOHOL","",IF($K6203="","",$H6203*IFERROR(VLOOKUP($K6203,Drink_Templates!$A:$G,7,FALSE),0)))</f>
        <v/>
      </c>
    </row>
    <row r="6204" ht="15" customHeight="1">
      <c r="C6204">
        <f>IF($B6204="","",INT($B6204))</f>
        <v/>
      </c>
      <c r="D6204">
        <f>IF($C6204="","",$C6204-WEEKDAY($C6204,2)+1)</f>
        <v/>
      </c>
      <c r="E6204">
        <f>IF($C6204="","",DATE(YEAR($C6204),MONTH($C6204),1))</f>
        <v/>
      </c>
      <c r="F6204">
        <f>IF($C6204="","",YEAR($C6204)&amp;"-Q"&amp;ROUNDUP(MONTH($C6204)/3,0))</f>
        <v/>
      </c>
      <c r="L6204">
        <f>IF($G6204&lt;&gt;"ALCOHOL","",IF($K6204="","",$H6204*IFERROR(VLOOKUP($K6204,Drink_Templates!$A:$G,7,FALSE),0)))</f>
        <v/>
      </c>
    </row>
    <row r="6205" ht="15" customHeight="1">
      <c r="C6205">
        <f>IF($B6205="","",INT($B6205))</f>
        <v/>
      </c>
      <c r="D6205">
        <f>IF($C6205="","",$C6205-WEEKDAY($C6205,2)+1)</f>
        <v/>
      </c>
      <c r="E6205">
        <f>IF($C6205="","",DATE(YEAR($C6205),MONTH($C6205),1))</f>
        <v/>
      </c>
      <c r="F6205">
        <f>IF($C6205="","",YEAR($C6205)&amp;"-Q"&amp;ROUNDUP(MONTH($C6205)/3,0))</f>
        <v/>
      </c>
      <c r="L6205">
        <f>IF($G6205&lt;&gt;"ALCOHOL","",IF($K6205="","",$H6205*IFERROR(VLOOKUP($K6205,Drink_Templates!$A:$G,7,FALSE),0)))</f>
        <v/>
      </c>
    </row>
    <row r="6206" ht="15" customHeight="1">
      <c r="C6206">
        <f>IF($B6206="","",INT($B6206))</f>
        <v/>
      </c>
      <c r="D6206">
        <f>IF($C6206="","",$C6206-WEEKDAY($C6206,2)+1)</f>
        <v/>
      </c>
      <c r="E6206">
        <f>IF($C6206="","",DATE(YEAR($C6206),MONTH($C6206),1))</f>
        <v/>
      </c>
      <c r="F6206">
        <f>IF($C6206="","",YEAR($C6206)&amp;"-Q"&amp;ROUNDUP(MONTH($C6206)/3,0))</f>
        <v/>
      </c>
      <c r="L6206">
        <f>IF($G6206&lt;&gt;"ALCOHOL","",IF($K6206="","",$H6206*IFERROR(VLOOKUP($K6206,Drink_Templates!$A:$G,7,FALSE),0)))</f>
        <v/>
      </c>
    </row>
    <row r="6207" ht="15" customHeight="1">
      <c r="C6207">
        <f>IF($B6207="","",INT($B6207))</f>
        <v/>
      </c>
      <c r="D6207">
        <f>IF($C6207="","",$C6207-WEEKDAY($C6207,2)+1)</f>
        <v/>
      </c>
      <c r="E6207">
        <f>IF($C6207="","",DATE(YEAR($C6207),MONTH($C6207),1))</f>
        <v/>
      </c>
      <c r="F6207">
        <f>IF($C6207="","",YEAR($C6207)&amp;"-Q"&amp;ROUNDUP(MONTH($C6207)/3,0))</f>
        <v/>
      </c>
      <c r="L6207">
        <f>IF($G6207&lt;&gt;"ALCOHOL","",IF($K6207="","",$H6207*IFERROR(VLOOKUP($K6207,Drink_Templates!$A:$G,7,FALSE),0)))</f>
        <v/>
      </c>
    </row>
    <row r="6208" ht="15" customHeight="1">
      <c r="C6208">
        <f>IF($B6208="","",INT($B6208))</f>
        <v/>
      </c>
      <c r="D6208">
        <f>IF($C6208="","",$C6208-WEEKDAY($C6208,2)+1)</f>
        <v/>
      </c>
      <c r="E6208">
        <f>IF($C6208="","",DATE(YEAR($C6208),MONTH($C6208),1))</f>
        <v/>
      </c>
      <c r="F6208">
        <f>IF($C6208="","",YEAR($C6208)&amp;"-Q"&amp;ROUNDUP(MONTH($C6208)/3,0))</f>
        <v/>
      </c>
      <c r="L6208">
        <f>IF($G6208&lt;&gt;"ALCOHOL","",IF($K6208="","",$H6208*IFERROR(VLOOKUP($K6208,Drink_Templates!$A:$G,7,FALSE),0)))</f>
        <v/>
      </c>
    </row>
    <row r="6209" ht="15" customHeight="1">
      <c r="C6209">
        <f>IF($B6209="","",INT($B6209))</f>
        <v/>
      </c>
      <c r="D6209">
        <f>IF($C6209="","",$C6209-WEEKDAY($C6209,2)+1)</f>
        <v/>
      </c>
      <c r="E6209">
        <f>IF($C6209="","",DATE(YEAR($C6209),MONTH($C6209),1))</f>
        <v/>
      </c>
      <c r="F6209">
        <f>IF($C6209="","",YEAR($C6209)&amp;"-Q"&amp;ROUNDUP(MONTH($C6209)/3,0))</f>
        <v/>
      </c>
      <c r="L6209">
        <f>IF($G6209&lt;&gt;"ALCOHOL","",IF($K6209="","",$H6209*IFERROR(VLOOKUP($K6209,Drink_Templates!$A:$G,7,FALSE),0)))</f>
        <v/>
      </c>
    </row>
    <row r="6210" ht="15" customHeight="1">
      <c r="C6210">
        <f>IF($B6210="","",INT($B6210))</f>
        <v/>
      </c>
      <c r="D6210">
        <f>IF($C6210="","",$C6210-WEEKDAY($C6210,2)+1)</f>
        <v/>
      </c>
      <c r="E6210">
        <f>IF($C6210="","",DATE(YEAR($C6210),MONTH($C6210),1))</f>
        <v/>
      </c>
      <c r="F6210">
        <f>IF($C6210="","",YEAR($C6210)&amp;"-Q"&amp;ROUNDUP(MONTH($C6210)/3,0))</f>
        <v/>
      </c>
      <c r="L6210">
        <f>IF($G6210&lt;&gt;"ALCOHOL","",IF($K6210="","",$H6210*IFERROR(VLOOKUP($K6210,Drink_Templates!$A:$G,7,FALSE),0)))</f>
        <v/>
      </c>
    </row>
    <row r="6211" ht="15" customHeight="1">
      <c r="C6211">
        <f>IF($B6211="","",INT($B6211))</f>
        <v/>
      </c>
      <c r="D6211">
        <f>IF($C6211="","",$C6211-WEEKDAY($C6211,2)+1)</f>
        <v/>
      </c>
      <c r="E6211">
        <f>IF($C6211="","",DATE(YEAR($C6211),MONTH($C6211),1))</f>
        <v/>
      </c>
      <c r="F6211">
        <f>IF($C6211="","",YEAR($C6211)&amp;"-Q"&amp;ROUNDUP(MONTH($C6211)/3,0))</f>
        <v/>
      </c>
      <c r="L6211">
        <f>IF($G6211&lt;&gt;"ALCOHOL","",IF($K6211="","",$H6211*IFERROR(VLOOKUP($K6211,Drink_Templates!$A:$G,7,FALSE),0)))</f>
        <v/>
      </c>
    </row>
    <row r="6212" ht="15" customHeight="1">
      <c r="C6212">
        <f>IF($B6212="","",INT($B6212))</f>
        <v/>
      </c>
      <c r="D6212">
        <f>IF($C6212="","",$C6212-WEEKDAY($C6212,2)+1)</f>
        <v/>
      </c>
      <c r="E6212">
        <f>IF($C6212="","",DATE(YEAR($C6212),MONTH($C6212),1))</f>
        <v/>
      </c>
      <c r="F6212">
        <f>IF($C6212="","",YEAR($C6212)&amp;"-Q"&amp;ROUNDUP(MONTH($C6212)/3,0))</f>
        <v/>
      </c>
      <c r="L6212">
        <f>IF($G6212&lt;&gt;"ALCOHOL","",IF($K6212="","",$H6212*IFERROR(VLOOKUP($K6212,Drink_Templates!$A:$G,7,FALSE),0)))</f>
        <v/>
      </c>
    </row>
    <row r="6213" ht="15" customHeight="1">
      <c r="C6213">
        <f>IF($B6213="","",INT($B6213))</f>
        <v/>
      </c>
      <c r="D6213">
        <f>IF($C6213="","",$C6213-WEEKDAY($C6213,2)+1)</f>
        <v/>
      </c>
      <c r="E6213">
        <f>IF($C6213="","",DATE(YEAR($C6213),MONTH($C6213),1))</f>
        <v/>
      </c>
      <c r="F6213">
        <f>IF($C6213="","",YEAR($C6213)&amp;"-Q"&amp;ROUNDUP(MONTH($C6213)/3,0))</f>
        <v/>
      </c>
      <c r="L6213">
        <f>IF($G6213&lt;&gt;"ALCOHOL","",IF($K6213="","",$H6213*IFERROR(VLOOKUP($K6213,Drink_Templates!$A:$G,7,FALSE),0)))</f>
        <v/>
      </c>
    </row>
    <row r="6214" ht="15" customHeight="1">
      <c r="C6214">
        <f>IF($B6214="","",INT($B6214))</f>
        <v/>
      </c>
      <c r="D6214">
        <f>IF($C6214="","",$C6214-WEEKDAY($C6214,2)+1)</f>
        <v/>
      </c>
      <c r="E6214">
        <f>IF($C6214="","",DATE(YEAR($C6214),MONTH($C6214),1))</f>
        <v/>
      </c>
      <c r="F6214">
        <f>IF($C6214="","",YEAR($C6214)&amp;"-Q"&amp;ROUNDUP(MONTH($C6214)/3,0))</f>
        <v/>
      </c>
      <c r="L6214">
        <f>IF($G6214&lt;&gt;"ALCOHOL","",IF($K6214="","",$H6214*IFERROR(VLOOKUP($K6214,Drink_Templates!$A:$G,7,FALSE),0)))</f>
        <v/>
      </c>
    </row>
    <row r="6215" ht="15" customHeight="1">
      <c r="C6215">
        <f>IF($B6215="","",INT($B6215))</f>
        <v/>
      </c>
      <c r="D6215">
        <f>IF($C6215="","",$C6215-WEEKDAY($C6215,2)+1)</f>
        <v/>
      </c>
      <c r="E6215">
        <f>IF($C6215="","",DATE(YEAR($C6215),MONTH($C6215),1))</f>
        <v/>
      </c>
      <c r="F6215">
        <f>IF($C6215="","",YEAR($C6215)&amp;"-Q"&amp;ROUNDUP(MONTH($C6215)/3,0))</f>
        <v/>
      </c>
      <c r="L6215">
        <f>IF($G6215&lt;&gt;"ALCOHOL","",IF($K6215="","",$H6215*IFERROR(VLOOKUP($K6215,Drink_Templates!$A:$G,7,FALSE),0)))</f>
        <v/>
      </c>
    </row>
    <row r="6216" ht="15" customHeight="1">
      <c r="C6216">
        <f>IF($B6216="","",INT($B6216))</f>
        <v/>
      </c>
      <c r="D6216">
        <f>IF($C6216="","",$C6216-WEEKDAY($C6216,2)+1)</f>
        <v/>
      </c>
      <c r="E6216">
        <f>IF($C6216="","",DATE(YEAR($C6216),MONTH($C6216),1))</f>
        <v/>
      </c>
      <c r="F6216">
        <f>IF($C6216="","",YEAR($C6216)&amp;"-Q"&amp;ROUNDUP(MONTH($C6216)/3,0))</f>
        <v/>
      </c>
      <c r="L6216">
        <f>IF($G6216&lt;&gt;"ALCOHOL","",IF($K6216="","",$H6216*IFERROR(VLOOKUP($K6216,Drink_Templates!$A:$G,7,FALSE),0)))</f>
        <v/>
      </c>
    </row>
    <row r="6217" ht="15" customHeight="1">
      <c r="C6217">
        <f>IF($B6217="","",INT($B6217))</f>
        <v/>
      </c>
      <c r="D6217">
        <f>IF($C6217="","",$C6217-WEEKDAY($C6217,2)+1)</f>
        <v/>
      </c>
      <c r="E6217">
        <f>IF($C6217="","",DATE(YEAR($C6217),MONTH($C6217),1))</f>
        <v/>
      </c>
      <c r="F6217">
        <f>IF($C6217="","",YEAR($C6217)&amp;"-Q"&amp;ROUNDUP(MONTH($C6217)/3,0))</f>
        <v/>
      </c>
      <c r="L6217">
        <f>IF($G6217&lt;&gt;"ALCOHOL","",IF($K6217="","",$H6217*IFERROR(VLOOKUP($K6217,Drink_Templates!$A:$G,7,FALSE),0)))</f>
        <v/>
      </c>
    </row>
    <row r="6218" ht="15" customHeight="1">
      <c r="C6218">
        <f>IF($B6218="","",INT($B6218))</f>
        <v/>
      </c>
      <c r="D6218">
        <f>IF($C6218="","",$C6218-WEEKDAY($C6218,2)+1)</f>
        <v/>
      </c>
      <c r="E6218">
        <f>IF($C6218="","",DATE(YEAR($C6218),MONTH($C6218),1))</f>
        <v/>
      </c>
      <c r="F6218">
        <f>IF($C6218="","",YEAR($C6218)&amp;"-Q"&amp;ROUNDUP(MONTH($C6218)/3,0))</f>
        <v/>
      </c>
      <c r="L6218">
        <f>IF($G6218&lt;&gt;"ALCOHOL","",IF($K6218="","",$H6218*IFERROR(VLOOKUP($K6218,Drink_Templates!$A:$G,7,FALSE),0)))</f>
        <v/>
      </c>
    </row>
    <row r="6219" ht="15" customHeight="1">
      <c r="C6219">
        <f>IF($B6219="","",INT($B6219))</f>
        <v/>
      </c>
      <c r="D6219">
        <f>IF($C6219="","",$C6219-WEEKDAY($C6219,2)+1)</f>
        <v/>
      </c>
      <c r="E6219">
        <f>IF($C6219="","",DATE(YEAR($C6219),MONTH($C6219),1))</f>
        <v/>
      </c>
      <c r="F6219">
        <f>IF($C6219="","",YEAR($C6219)&amp;"-Q"&amp;ROUNDUP(MONTH($C6219)/3,0))</f>
        <v/>
      </c>
      <c r="L6219">
        <f>IF($G6219&lt;&gt;"ALCOHOL","",IF($K6219="","",$H6219*IFERROR(VLOOKUP($K6219,Drink_Templates!$A:$G,7,FALSE),0)))</f>
        <v/>
      </c>
    </row>
    <row r="6220" ht="15" customHeight="1">
      <c r="C6220">
        <f>IF($B6220="","",INT($B6220))</f>
        <v/>
      </c>
      <c r="D6220">
        <f>IF($C6220="","",$C6220-WEEKDAY($C6220,2)+1)</f>
        <v/>
      </c>
      <c r="E6220">
        <f>IF($C6220="","",DATE(YEAR($C6220),MONTH($C6220),1))</f>
        <v/>
      </c>
      <c r="F6220">
        <f>IF($C6220="","",YEAR($C6220)&amp;"-Q"&amp;ROUNDUP(MONTH($C6220)/3,0))</f>
        <v/>
      </c>
      <c r="L6220">
        <f>IF($G6220&lt;&gt;"ALCOHOL","",IF($K6220="","",$H6220*IFERROR(VLOOKUP($K6220,Drink_Templates!$A:$G,7,FALSE),0)))</f>
        <v/>
      </c>
    </row>
    <row r="6221" ht="15" customHeight="1">
      <c r="C6221">
        <f>IF($B6221="","",INT($B6221))</f>
        <v/>
      </c>
      <c r="D6221">
        <f>IF($C6221="","",$C6221-WEEKDAY($C6221,2)+1)</f>
        <v/>
      </c>
      <c r="E6221">
        <f>IF($C6221="","",DATE(YEAR($C6221),MONTH($C6221),1))</f>
        <v/>
      </c>
      <c r="F6221">
        <f>IF($C6221="","",YEAR($C6221)&amp;"-Q"&amp;ROUNDUP(MONTH($C6221)/3,0))</f>
        <v/>
      </c>
      <c r="L6221">
        <f>IF($G6221&lt;&gt;"ALCOHOL","",IF($K6221="","",$H6221*IFERROR(VLOOKUP($K6221,Drink_Templates!$A:$G,7,FALSE),0)))</f>
        <v/>
      </c>
    </row>
    <row r="6222" ht="15" customHeight="1">
      <c r="C6222">
        <f>IF($B6222="","",INT($B6222))</f>
        <v/>
      </c>
      <c r="D6222">
        <f>IF($C6222="","",$C6222-WEEKDAY($C6222,2)+1)</f>
        <v/>
      </c>
      <c r="E6222">
        <f>IF($C6222="","",DATE(YEAR($C6222),MONTH($C6222),1))</f>
        <v/>
      </c>
      <c r="F6222">
        <f>IF($C6222="","",YEAR($C6222)&amp;"-Q"&amp;ROUNDUP(MONTH($C6222)/3,0))</f>
        <v/>
      </c>
      <c r="L6222">
        <f>IF($G6222&lt;&gt;"ALCOHOL","",IF($K6222="","",$H6222*IFERROR(VLOOKUP($K6222,Drink_Templates!$A:$G,7,FALSE),0)))</f>
        <v/>
      </c>
    </row>
    <row r="6223" ht="15" customHeight="1">
      <c r="C6223">
        <f>IF($B6223="","",INT($B6223))</f>
        <v/>
      </c>
      <c r="D6223">
        <f>IF($C6223="","",$C6223-WEEKDAY($C6223,2)+1)</f>
        <v/>
      </c>
      <c r="E6223">
        <f>IF($C6223="","",DATE(YEAR($C6223),MONTH($C6223),1))</f>
        <v/>
      </c>
      <c r="F6223">
        <f>IF($C6223="","",YEAR($C6223)&amp;"-Q"&amp;ROUNDUP(MONTH($C6223)/3,0))</f>
        <v/>
      </c>
      <c r="L6223">
        <f>IF($G6223&lt;&gt;"ALCOHOL","",IF($K6223="","",$H6223*IFERROR(VLOOKUP($K6223,Drink_Templates!$A:$G,7,FALSE),0)))</f>
        <v/>
      </c>
    </row>
    <row r="6224" ht="15" customHeight="1">
      <c r="C6224">
        <f>IF($B6224="","",INT($B6224))</f>
        <v/>
      </c>
      <c r="D6224">
        <f>IF($C6224="","",$C6224-WEEKDAY($C6224,2)+1)</f>
        <v/>
      </c>
      <c r="E6224">
        <f>IF($C6224="","",DATE(YEAR($C6224),MONTH($C6224),1))</f>
        <v/>
      </c>
      <c r="F6224">
        <f>IF($C6224="","",YEAR($C6224)&amp;"-Q"&amp;ROUNDUP(MONTH($C6224)/3,0))</f>
        <v/>
      </c>
      <c r="L6224">
        <f>IF($G6224&lt;&gt;"ALCOHOL","",IF($K6224="","",$H6224*IFERROR(VLOOKUP($K6224,Drink_Templates!$A:$G,7,FALSE),0)))</f>
        <v/>
      </c>
    </row>
    <row r="6225" ht="15" customHeight="1">
      <c r="C6225">
        <f>IF($B6225="","",INT($B6225))</f>
        <v/>
      </c>
      <c r="D6225">
        <f>IF($C6225="","",$C6225-WEEKDAY($C6225,2)+1)</f>
        <v/>
      </c>
      <c r="E6225">
        <f>IF($C6225="","",DATE(YEAR($C6225),MONTH($C6225),1))</f>
        <v/>
      </c>
      <c r="F6225">
        <f>IF($C6225="","",YEAR($C6225)&amp;"-Q"&amp;ROUNDUP(MONTH($C6225)/3,0))</f>
        <v/>
      </c>
      <c r="L6225">
        <f>IF($G6225&lt;&gt;"ALCOHOL","",IF($K6225="","",$H6225*IFERROR(VLOOKUP($K6225,Drink_Templates!$A:$G,7,FALSE),0)))</f>
        <v/>
      </c>
    </row>
    <row r="6226" ht="15" customHeight="1">
      <c r="C6226">
        <f>IF($B6226="","",INT($B6226))</f>
        <v/>
      </c>
      <c r="D6226">
        <f>IF($C6226="","",$C6226-WEEKDAY($C6226,2)+1)</f>
        <v/>
      </c>
      <c r="E6226">
        <f>IF($C6226="","",DATE(YEAR($C6226),MONTH($C6226),1))</f>
        <v/>
      </c>
      <c r="F6226">
        <f>IF($C6226="","",YEAR($C6226)&amp;"-Q"&amp;ROUNDUP(MONTH($C6226)/3,0))</f>
        <v/>
      </c>
      <c r="L6226">
        <f>IF($G6226&lt;&gt;"ALCOHOL","",IF($K6226="","",$H6226*IFERROR(VLOOKUP($K6226,Drink_Templates!$A:$G,7,FALSE),0)))</f>
        <v/>
      </c>
    </row>
    <row r="6227" ht="15" customHeight="1">
      <c r="C6227">
        <f>IF($B6227="","",INT($B6227))</f>
        <v/>
      </c>
      <c r="D6227">
        <f>IF($C6227="","",$C6227-WEEKDAY($C6227,2)+1)</f>
        <v/>
      </c>
      <c r="E6227">
        <f>IF($C6227="","",DATE(YEAR($C6227),MONTH($C6227),1))</f>
        <v/>
      </c>
      <c r="F6227">
        <f>IF($C6227="","",YEAR($C6227)&amp;"-Q"&amp;ROUNDUP(MONTH($C6227)/3,0))</f>
        <v/>
      </c>
      <c r="L6227">
        <f>IF($G6227&lt;&gt;"ALCOHOL","",IF($K6227="","",$H6227*IFERROR(VLOOKUP($K6227,Drink_Templates!$A:$G,7,FALSE),0)))</f>
        <v/>
      </c>
    </row>
    <row r="6228" ht="15" customHeight="1">
      <c r="C6228">
        <f>IF($B6228="","",INT($B6228))</f>
        <v/>
      </c>
      <c r="D6228">
        <f>IF($C6228="","",$C6228-WEEKDAY($C6228,2)+1)</f>
        <v/>
      </c>
      <c r="E6228">
        <f>IF($C6228="","",DATE(YEAR($C6228),MONTH($C6228),1))</f>
        <v/>
      </c>
      <c r="F6228">
        <f>IF($C6228="","",YEAR($C6228)&amp;"-Q"&amp;ROUNDUP(MONTH($C6228)/3,0))</f>
        <v/>
      </c>
      <c r="L6228">
        <f>IF($G6228&lt;&gt;"ALCOHOL","",IF($K6228="","",$H6228*IFERROR(VLOOKUP($K6228,Drink_Templates!$A:$G,7,FALSE),0)))</f>
        <v/>
      </c>
    </row>
    <row r="6229" ht="15" customHeight="1">
      <c r="C6229">
        <f>IF($B6229="","",INT($B6229))</f>
        <v/>
      </c>
      <c r="D6229">
        <f>IF($C6229="","",$C6229-WEEKDAY($C6229,2)+1)</f>
        <v/>
      </c>
      <c r="E6229">
        <f>IF($C6229="","",DATE(YEAR($C6229),MONTH($C6229),1))</f>
        <v/>
      </c>
      <c r="F6229">
        <f>IF($C6229="","",YEAR($C6229)&amp;"-Q"&amp;ROUNDUP(MONTH($C6229)/3,0))</f>
        <v/>
      </c>
      <c r="L6229">
        <f>IF($G6229&lt;&gt;"ALCOHOL","",IF($K6229="","",$H6229*IFERROR(VLOOKUP($K6229,Drink_Templates!$A:$G,7,FALSE),0)))</f>
        <v/>
      </c>
    </row>
    <row r="6230" ht="15" customHeight="1">
      <c r="C6230">
        <f>IF($B6230="","",INT($B6230))</f>
        <v/>
      </c>
      <c r="D6230">
        <f>IF($C6230="","",$C6230-WEEKDAY($C6230,2)+1)</f>
        <v/>
      </c>
      <c r="E6230">
        <f>IF($C6230="","",DATE(YEAR($C6230),MONTH($C6230),1))</f>
        <v/>
      </c>
      <c r="F6230">
        <f>IF($C6230="","",YEAR($C6230)&amp;"-Q"&amp;ROUNDUP(MONTH($C6230)/3,0))</f>
        <v/>
      </c>
      <c r="L6230">
        <f>IF($G6230&lt;&gt;"ALCOHOL","",IF($K6230="","",$H6230*IFERROR(VLOOKUP($K6230,Drink_Templates!$A:$G,7,FALSE),0)))</f>
        <v/>
      </c>
    </row>
    <row r="6231" ht="15" customHeight="1">
      <c r="C6231">
        <f>IF($B6231="","",INT($B6231))</f>
        <v/>
      </c>
      <c r="D6231">
        <f>IF($C6231="","",$C6231-WEEKDAY($C6231,2)+1)</f>
        <v/>
      </c>
      <c r="E6231">
        <f>IF($C6231="","",DATE(YEAR($C6231),MONTH($C6231),1))</f>
        <v/>
      </c>
      <c r="F6231">
        <f>IF($C6231="","",YEAR($C6231)&amp;"-Q"&amp;ROUNDUP(MONTH($C6231)/3,0))</f>
        <v/>
      </c>
      <c r="L6231">
        <f>IF($G6231&lt;&gt;"ALCOHOL","",IF($K6231="","",$H6231*IFERROR(VLOOKUP($K6231,Drink_Templates!$A:$G,7,FALSE),0)))</f>
        <v/>
      </c>
    </row>
    <row r="6232" ht="15" customHeight="1">
      <c r="C6232">
        <f>IF($B6232="","",INT($B6232))</f>
        <v/>
      </c>
      <c r="D6232">
        <f>IF($C6232="","",$C6232-WEEKDAY($C6232,2)+1)</f>
        <v/>
      </c>
      <c r="E6232">
        <f>IF($C6232="","",DATE(YEAR($C6232),MONTH($C6232),1))</f>
        <v/>
      </c>
      <c r="F6232">
        <f>IF($C6232="","",YEAR($C6232)&amp;"-Q"&amp;ROUNDUP(MONTH($C6232)/3,0))</f>
        <v/>
      </c>
      <c r="L6232">
        <f>IF($G6232&lt;&gt;"ALCOHOL","",IF($K6232="","",$H6232*IFERROR(VLOOKUP($K6232,Drink_Templates!$A:$G,7,FALSE),0)))</f>
        <v/>
      </c>
    </row>
    <row r="6233" ht="15" customHeight="1">
      <c r="C6233">
        <f>IF($B6233="","",INT($B6233))</f>
        <v/>
      </c>
      <c r="D6233">
        <f>IF($C6233="","",$C6233-WEEKDAY($C6233,2)+1)</f>
        <v/>
      </c>
      <c r="E6233">
        <f>IF($C6233="","",DATE(YEAR($C6233),MONTH($C6233),1))</f>
        <v/>
      </c>
      <c r="F6233">
        <f>IF($C6233="","",YEAR($C6233)&amp;"-Q"&amp;ROUNDUP(MONTH($C6233)/3,0))</f>
        <v/>
      </c>
      <c r="L6233">
        <f>IF($G6233&lt;&gt;"ALCOHOL","",IF($K6233="","",$H6233*IFERROR(VLOOKUP($K6233,Drink_Templates!$A:$G,7,FALSE),0)))</f>
        <v/>
      </c>
    </row>
    <row r="6234" ht="15" customHeight="1">
      <c r="C6234">
        <f>IF($B6234="","",INT($B6234))</f>
        <v/>
      </c>
      <c r="D6234">
        <f>IF($C6234="","",$C6234-WEEKDAY($C6234,2)+1)</f>
        <v/>
      </c>
      <c r="E6234">
        <f>IF($C6234="","",DATE(YEAR($C6234),MONTH($C6234),1))</f>
        <v/>
      </c>
      <c r="F6234">
        <f>IF($C6234="","",YEAR($C6234)&amp;"-Q"&amp;ROUNDUP(MONTH($C6234)/3,0))</f>
        <v/>
      </c>
      <c r="L6234">
        <f>IF($G6234&lt;&gt;"ALCOHOL","",IF($K6234="","",$H6234*IFERROR(VLOOKUP($K6234,Drink_Templates!$A:$G,7,FALSE),0)))</f>
        <v/>
      </c>
    </row>
    <row r="6235" ht="15" customHeight="1">
      <c r="C6235">
        <f>IF($B6235="","",INT($B6235))</f>
        <v/>
      </c>
      <c r="D6235">
        <f>IF($C6235="","",$C6235-WEEKDAY($C6235,2)+1)</f>
        <v/>
      </c>
      <c r="E6235">
        <f>IF($C6235="","",DATE(YEAR($C6235),MONTH($C6235),1))</f>
        <v/>
      </c>
      <c r="F6235">
        <f>IF($C6235="","",YEAR($C6235)&amp;"-Q"&amp;ROUNDUP(MONTH($C6235)/3,0))</f>
        <v/>
      </c>
      <c r="L6235">
        <f>IF($G6235&lt;&gt;"ALCOHOL","",IF($K6235="","",$H6235*IFERROR(VLOOKUP($K6235,Drink_Templates!$A:$G,7,FALSE),0)))</f>
        <v/>
      </c>
    </row>
    <row r="6236" ht="15" customHeight="1">
      <c r="C6236">
        <f>IF($B6236="","",INT($B6236))</f>
        <v/>
      </c>
      <c r="D6236">
        <f>IF($C6236="","",$C6236-WEEKDAY($C6236,2)+1)</f>
        <v/>
      </c>
      <c r="E6236">
        <f>IF($C6236="","",DATE(YEAR($C6236),MONTH($C6236),1))</f>
        <v/>
      </c>
      <c r="F6236">
        <f>IF($C6236="","",YEAR($C6236)&amp;"-Q"&amp;ROUNDUP(MONTH($C6236)/3,0))</f>
        <v/>
      </c>
      <c r="L6236">
        <f>IF($G6236&lt;&gt;"ALCOHOL","",IF($K6236="","",$H6236*IFERROR(VLOOKUP($K6236,Drink_Templates!$A:$G,7,FALSE),0)))</f>
        <v/>
      </c>
    </row>
    <row r="6237" ht="15" customHeight="1">
      <c r="C6237">
        <f>IF($B6237="","",INT($B6237))</f>
        <v/>
      </c>
      <c r="D6237">
        <f>IF($C6237="","",$C6237-WEEKDAY($C6237,2)+1)</f>
        <v/>
      </c>
      <c r="E6237">
        <f>IF($C6237="","",DATE(YEAR($C6237),MONTH($C6237),1))</f>
        <v/>
      </c>
      <c r="F6237">
        <f>IF($C6237="","",YEAR($C6237)&amp;"-Q"&amp;ROUNDUP(MONTH($C6237)/3,0))</f>
        <v/>
      </c>
      <c r="L6237">
        <f>IF($G6237&lt;&gt;"ALCOHOL","",IF($K6237="","",$H6237*IFERROR(VLOOKUP($K6237,Drink_Templates!$A:$G,7,FALSE),0)))</f>
        <v/>
      </c>
    </row>
    <row r="6238" ht="15" customHeight="1">
      <c r="C6238">
        <f>IF($B6238="","",INT($B6238))</f>
        <v/>
      </c>
      <c r="D6238">
        <f>IF($C6238="","",$C6238-WEEKDAY($C6238,2)+1)</f>
        <v/>
      </c>
      <c r="E6238">
        <f>IF($C6238="","",DATE(YEAR($C6238),MONTH($C6238),1))</f>
        <v/>
      </c>
      <c r="F6238">
        <f>IF($C6238="","",YEAR($C6238)&amp;"-Q"&amp;ROUNDUP(MONTH($C6238)/3,0))</f>
        <v/>
      </c>
      <c r="L6238">
        <f>IF($G6238&lt;&gt;"ALCOHOL","",IF($K6238="","",$H6238*IFERROR(VLOOKUP($K6238,Drink_Templates!$A:$G,7,FALSE),0)))</f>
        <v/>
      </c>
    </row>
    <row r="6239" ht="15" customHeight="1">
      <c r="C6239">
        <f>IF($B6239="","",INT($B6239))</f>
        <v/>
      </c>
      <c r="D6239">
        <f>IF($C6239="","",$C6239-WEEKDAY($C6239,2)+1)</f>
        <v/>
      </c>
      <c r="E6239">
        <f>IF($C6239="","",DATE(YEAR($C6239),MONTH($C6239),1))</f>
        <v/>
      </c>
      <c r="F6239">
        <f>IF($C6239="","",YEAR($C6239)&amp;"-Q"&amp;ROUNDUP(MONTH($C6239)/3,0))</f>
        <v/>
      </c>
      <c r="L6239">
        <f>IF($G6239&lt;&gt;"ALCOHOL","",IF($K6239="","",$H6239*IFERROR(VLOOKUP($K6239,Drink_Templates!$A:$G,7,FALSE),0)))</f>
        <v/>
      </c>
    </row>
    <row r="6240" ht="15" customHeight="1">
      <c r="C6240">
        <f>IF($B6240="","",INT($B6240))</f>
        <v/>
      </c>
      <c r="D6240">
        <f>IF($C6240="","",$C6240-WEEKDAY($C6240,2)+1)</f>
        <v/>
      </c>
      <c r="E6240">
        <f>IF($C6240="","",DATE(YEAR($C6240),MONTH($C6240),1))</f>
        <v/>
      </c>
      <c r="F6240">
        <f>IF($C6240="","",YEAR($C6240)&amp;"-Q"&amp;ROUNDUP(MONTH($C6240)/3,0))</f>
        <v/>
      </c>
      <c r="L6240">
        <f>IF($G6240&lt;&gt;"ALCOHOL","",IF($K6240="","",$H6240*IFERROR(VLOOKUP($K6240,Drink_Templates!$A:$G,7,FALSE),0)))</f>
        <v/>
      </c>
    </row>
    <row r="6241" ht="15" customHeight="1">
      <c r="C6241">
        <f>IF($B6241="","",INT($B6241))</f>
        <v/>
      </c>
      <c r="D6241">
        <f>IF($C6241="","",$C6241-WEEKDAY($C6241,2)+1)</f>
        <v/>
      </c>
      <c r="E6241">
        <f>IF($C6241="","",DATE(YEAR($C6241),MONTH($C6241),1))</f>
        <v/>
      </c>
      <c r="F6241">
        <f>IF($C6241="","",YEAR($C6241)&amp;"-Q"&amp;ROUNDUP(MONTH($C6241)/3,0))</f>
        <v/>
      </c>
      <c r="L6241">
        <f>IF($G6241&lt;&gt;"ALCOHOL","",IF($K6241="","",$H6241*IFERROR(VLOOKUP($K6241,Drink_Templates!$A:$G,7,FALSE),0)))</f>
        <v/>
      </c>
    </row>
    <row r="6242" ht="15" customHeight="1">
      <c r="C6242">
        <f>IF($B6242="","",INT($B6242))</f>
        <v/>
      </c>
      <c r="D6242">
        <f>IF($C6242="","",$C6242-WEEKDAY($C6242,2)+1)</f>
        <v/>
      </c>
      <c r="E6242">
        <f>IF($C6242="","",DATE(YEAR($C6242),MONTH($C6242),1))</f>
        <v/>
      </c>
      <c r="F6242">
        <f>IF($C6242="","",YEAR($C6242)&amp;"-Q"&amp;ROUNDUP(MONTH($C6242)/3,0))</f>
        <v/>
      </c>
      <c r="L6242">
        <f>IF($G6242&lt;&gt;"ALCOHOL","",IF($K6242="","",$H6242*IFERROR(VLOOKUP($K6242,Drink_Templates!$A:$G,7,FALSE),0)))</f>
        <v/>
      </c>
    </row>
    <row r="6243" ht="15" customHeight="1">
      <c r="C6243">
        <f>IF($B6243="","",INT($B6243))</f>
        <v/>
      </c>
      <c r="D6243">
        <f>IF($C6243="","",$C6243-WEEKDAY($C6243,2)+1)</f>
        <v/>
      </c>
      <c r="E6243">
        <f>IF($C6243="","",DATE(YEAR($C6243),MONTH($C6243),1))</f>
        <v/>
      </c>
      <c r="F6243">
        <f>IF($C6243="","",YEAR($C6243)&amp;"-Q"&amp;ROUNDUP(MONTH($C6243)/3,0))</f>
        <v/>
      </c>
      <c r="L6243">
        <f>IF($G6243&lt;&gt;"ALCOHOL","",IF($K6243="","",$H6243*IFERROR(VLOOKUP($K6243,Drink_Templates!$A:$G,7,FALSE),0)))</f>
        <v/>
      </c>
    </row>
    <row r="6244" ht="15" customHeight="1">
      <c r="C6244">
        <f>IF($B6244="","",INT($B6244))</f>
        <v/>
      </c>
      <c r="D6244">
        <f>IF($C6244="","",$C6244-WEEKDAY($C6244,2)+1)</f>
        <v/>
      </c>
      <c r="E6244">
        <f>IF($C6244="","",DATE(YEAR($C6244),MONTH($C6244),1))</f>
        <v/>
      </c>
      <c r="F6244">
        <f>IF($C6244="","",YEAR($C6244)&amp;"-Q"&amp;ROUNDUP(MONTH($C6244)/3,0))</f>
        <v/>
      </c>
      <c r="L6244">
        <f>IF($G6244&lt;&gt;"ALCOHOL","",IF($K6244="","",$H6244*IFERROR(VLOOKUP($K6244,Drink_Templates!$A:$G,7,FALSE),0)))</f>
        <v/>
      </c>
    </row>
    <row r="6245" ht="15" customHeight="1">
      <c r="C6245">
        <f>IF($B6245="","",INT($B6245))</f>
        <v/>
      </c>
      <c r="D6245">
        <f>IF($C6245="","",$C6245-WEEKDAY($C6245,2)+1)</f>
        <v/>
      </c>
      <c r="E6245">
        <f>IF($C6245="","",DATE(YEAR($C6245),MONTH($C6245),1))</f>
        <v/>
      </c>
      <c r="F6245">
        <f>IF($C6245="","",YEAR($C6245)&amp;"-Q"&amp;ROUNDUP(MONTH($C6245)/3,0))</f>
        <v/>
      </c>
      <c r="L6245">
        <f>IF($G6245&lt;&gt;"ALCOHOL","",IF($K6245="","",$H6245*IFERROR(VLOOKUP($K6245,Drink_Templates!$A:$G,7,FALSE),0)))</f>
        <v/>
      </c>
    </row>
    <row r="6246" ht="15" customHeight="1">
      <c r="C6246">
        <f>IF($B6246="","",INT($B6246))</f>
        <v/>
      </c>
      <c r="D6246">
        <f>IF($C6246="","",$C6246-WEEKDAY($C6246,2)+1)</f>
        <v/>
      </c>
      <c r="E6246">
        <f>IF($C6246="","",DATE(YEAR($C6246),MONTH($C6246),1))</f>
        <v/>
      </c>
      <c r="F6246">
        <f>IF($C6246="","",YEAR($C6246)&amp;"-Q"&amp;ROUNDUP(MONTH($C6246)/3,0))</f>
        <v/>
      </c>
      <c r="L6246">
        <f>IF($G6246&lt;&gt;"ALCOHOL","",IF($K6246="","",$H6246*IFERROR(VLOOKUP($K6246,Drink_Templates!$A:$G,7,FALSE),0)))</f>
        <v/>
      </c>
    </row>
    <row r="6247" ht="15" customHeight="1">
      <c r="C6247">
        <f>IF($B6247="","",INT($B6247))</f>
        <v/>
      </c>
      <c r="D6247">
        <f>IF($C6247="","",$C6247-WEEKDAY($C6247,2)+1)</f>
        <v/>
      </c>
      <c r="E6247">
        <f>IF($C6247="","",DATE(YEAR($C6247),MONTH($C6247),1))</f>
        <v/>
      </c>
      <c r="F6247">
        <f>IF($C6247="","",YEAR($C6247)&amp;"-Q"&amp;ROUNDUP(MONTH($C6247)/3,0))</f>
        <v/>
      </c>
      <c r="L6247">
        <f>IF($G6247&lt;&gt;"ALCOHOL","",IF($K6247="","",$H6247*IFERROR(VLOOKUP($K6247,Drink_Templates!$A:$G,7,FALSE),0)))</f>
        <v/>
      </c>
    </row>
    <row r="6248" ht="15" customHeight="1">
      <c r="C6248">
        <f>IF($B6248="","",INT($B6248))</f>
        <v/>
      </c>
      <c r="D6248">
        <f>IF($C6248="","",$C6248-WEEKDAY($C6248,2)+1)</f>
        <v/>
      </c>
      <c r="E6248">
        <f>IF($C6248="","",DATE(YEAR($C6248),MONTH($C6248),1))</f>
        <v/>
      </c>
      <c r="F6248">
        <f>IF($C6248="","",YEAR($C6248)&amp;"-Q"&amp;ROUNDUP(MONTH($C6248)/3,0))</f>
        <v/>
      </c>
      <c r="L6248">
        <f>IF($G6248&lt;&gt;"ALCOHOL","",IF($K6248="","",$H6248*IFERROR(VLOOKUP($K6248,Drink_Templates!$A:$G,7,FALSE),0)))</f>
        <v/>
      </c>
    </row>
    <row r="6249" ht="15" customHeight="1">
      <c r="C6249">
        <f>IF($B6249="","",INT($B6249))</f>
        <v/>
      </c>
      <c r="D6249">
        <f>IF($C6249="","",$C6249-WEEKDAY($C6249,2)+1)</f>
        <v/>
      </c>
      <c r="E6249">
        <f>IF($C6249="","",DATE(YEAR($C6249),MONTH($C6249),1))</f>
        <v/>
      </c>
      <c r="F6249">
        <f>IF($C6249="","",YEAR($C6249)&amp;"-Q"&amp;ROUNDUP(MONTH($C6249)/3,0))</f>
        <v/>
      </c>
      <c r="L6249">
        <f>IF($G6249&lt;&gt;"ALCOHOL","",IF($K6249="","",$H6249*IFERROR(VLOOKUP($K6249,Drink_Templates!$A:$G,7,FALSE),0)))</f>
        <v/>
      </c>
    </row>
    <row r="6250" ht="15" customHeight="1">
      <c r="C6250">
        <f>IF($B6250="","",INT($B6250))</f>
        <v/>
      </c>
      <c r="D6250">
        <f>IF($C6250="","",$C6250-WEEKDAY($C6250,2)+1)</f>
        <v/>
      </c>
      <c r="E6250">
        <f>IF($C6250="","",DATE(YEAR($C6250),MONTH($C6250),1))</f>
        <v/>
      </c>
      <c r="F6250">
        <f>IF($C6250="","",YEAR($C6250)&amp;"-Q"&amp;ROUNDUP(MONTH($C6250)/3,0))</f>
        <v/>
      </c>
      <c r="L6250">
        <f>IF($G6250&lt;&gt;"ALCOHOL","",IF($K6250="","",$H6250*IFERROR(VLOOKUP($K6250,Drink_Templates!$A:$G,7,FALSE),0)))</f>
        <v/>
      </c>
    </row>
    <row r="6251" ht="15" customHeight="1">
      <c r="C6251">
        <f>IF($B6251="","",INT($B6251))</f>
        <v/>
      </c>
      <c r="D6251">
        <f>IF($C6251="","",$C6251-WEEKDAY($C6251,2)+1)</f>
        <v/>
      </c>
      <c r="E6251">
        <f>IF($C6251="","",DATE(YEAR($C6251),MONTH($C6251),1))</f>
        <v/>
      </c>
      <c r="F6251">
        <f>IF($C6251="","",YEAR($C6251)&amp;"-Q"&amp;ROUNDUP(MONTH($C6251)/3,0))</f>
        <v/>
      </c>
      <c r="L6251">
        <f>IF($G6251&lt;&gt;"ALCOHOL","",IF($K6251="","",$H6251*IFERROR(VLOOKUP($K6251,Drink_Templates!$A:$G,7,FALSE),0)))</f>
        <v/>
      </c>
    </row>
    <row r="6252" ht="15" customHeight="1">
      <c r="C6252">
        <f>IF($B6252="","",INT($B6252))</f>
        <v/>
      </c>
      <c r="D6252">
        <f>IF($C6252="","",$C6252-WEEKDAY($C6252,2)+1)</f>
        <v/>
      </c>
      <c r="E6252">
        <f>IF($C6252="","",DATE(YEAR($C6252),MONTH($C6252),1))</f>
        <v/>
      </c>
      <c r="F6252">
        <f>IF($C6252="","",YEAR($C6252)&amp;"-Q"&amp;ROUNDUP(MONTH($C6252)/3,0))</f>
        <v/>
      </c>
      <c r="L6252">
        <f>IF($G6252&lt;&gt;"ALCOHOL","",IF($K6252="","",$H6252*IFERROR(VLOOKUP($K6252,Drink_Templates!$A:$G,7,FALSE),0)))</f>
        <v/>
      </c>
    </row>
    <row r="6253" ht="15" customHeight="1">
      <c r="C6253">
        <f>IF($B6253="","",INT($B6253))</f>
        <v/>
      </c>
      <c r="D6253">
        <f>IF($C6253="","",$C6253-WEEKDAY($C6253,2)+1)</f>
        <v/>
      </c>
      <c r="E6253">
        <f>IF($C6253="","",DATE(YEAR($C6253),MONTH($C6253),1))</f>
        <v/>
      </c>
      <c r="F6253">
        <f>IF($C6253="","",YEAR($C6253)&amp;"-Q"&amp;ROUNDUP(MONTH($C6253)/3,0))</f>
        <v/>
      </c>
      <c r="L6253">
        <f>IF($G6253&lt;&gt;"ALCOHOL","",IF($K6253="","",$H6253*IFERROR(VLOOKUP($K6253,Drink_Templates!$A:$G,7,FALSE),0)))</f>
        <v/>
      </c>
    </row>
    <row r="6254" ht="15" customHeight="1">
      <c r="C6254">
        <f>IF($B6254="","",INT($B6254))</f>
        <v/>
      </c>
      <c r="D6254">
        <f>IF($C6254="","",$C6254-WEEKDAY($C6254,2)+1)</f>
        <v/>
      </c>
      <c r="E6254">
        <f>IF($C6254="","",DATE(YEAR($C6254),MONTH($C6254),1))</f>
        <v/>
      </c>
      <c r="F6254">
        <f>IF($C6254="","",YEAR($C6254)&amp;"-Q"&amp;ROUNDUP(MONTH($C6254)/3,0))</f>
        <v/>
      </c>
      <c r="L6254">
        <f>IF($G6254&lt;&gt;"ALCOHOL","",IF($K6254="","",$H6254*IFERROR(VLOOKUP($K6254,Drink_Templates!$A:$G,7,FALSE),0)))</f>
        <v/>
      </c>
    </row>
    <row r="6255" ht="15" customHeight="1">
      <c r="C6255">
        <f>IF($B6255="","",INT($B6255))</f>
        <v/>
      </c>
      <c r="D6255">
        <f>IF($C6255="","",$C6255-WEEKDAY($C6255,2)+1)</f>
        <v/>
      </c>
      <c r="E6255">
        <f>IF($C6255="","",DATE(YEAR($C6255),MONTH($C6255),1))</f>
        <v/>
      </c>
      <c r="F6255">
        <f>IF($C6255="","",YEAR($C6255)&amp;"-Q"&amp;ROUNDUP(MONTH($C6255)/3,0))</f>
        <v/>
      </c>
      <c r="L6255">
        <f>IF($G6255&lt;&gt;"ALCOHOL","",IF($K6255="","",$H6255*IFERROR(VLOOKUP($K6255,Drink_Templates!$A:$G,7,FALSE),0)))</f>
        <v/>
      </c>
    </row>
    <row r="6256" ht="15" customHeight="1">
      <c r="C6256">
        <f>IF($B6256="","",INT($B6256))</f>
        <v/>
      </c>
      <c r="D6256">
        <f>IF($C6256="","",$C6256-WEEKDAY($C6256,2)+1)</f>
        <v/>
      </c>
      <c r="E6256">
        <f>IF($C6256="","",DATE(YEAR($C6256),MONTH($C6256),1))</f>
        <v/>
      </c>
      <c r="F6256">
        <f>IF($C6256="","",YEAR($C6256)&amp;"-Q"&amp;ROUNDUP(MONTH($C6256)/3,0))</f>
        <v/>
      </c>
      <c r="L6256">
        <f>IF($G6256&lt;&gt;"ALCOHOL","",IF($K6256="","",$H6256*IFERROR(VLOOKUP($K6256,Drink_Templates!$A:$G,7,FALSE),0)))</f>
        <v/>
      </c>
    </row>
    <row r="6257" ht="15" customHeight="1">
      <c r="C6257">
        <f>IF($B6257="","",INT($B6257))</f>
        <v/>
      </c>
      <c r="D6257">
        <f>IF($C6257="","",$C6257-WEEKDAY($C6257,2)+1)</f>
        <v/>
      </c>
      <c r="E6257">
        <f>IF($C6257="","",DATE(YEAR($C6257),MONTH($C6257),1))</f>
        <v/>
      </c>
      <c r="F6257">
        <f>IF($C6257="","",YEAR($C6257)&amp;"-Q"&amp;ROUNDUP(MONTH($C6257)/3,0))</f>
        <v/>
      </c>
      <c r="L6257">
        <f>IF($G6257&lt;&gt;"ALCOHOL","",IF($K6257="","",$H6257*IFERROR(VLOOKUP($K6257,Drink_Templates!$A:$G,7,FALSE),0)))</f>
        <v/>
      </c>
    </row>
    <row r="6258" ht="15" customHeight="1">
      <c r="C6258">
        <f>IF($B6258="","",INT($B6258))</f>
        <v/>
      </c>
      <c r="D6258">
        <f>IF($C6258="","",$C6258-WEEKDAY($C6258,2)+1)</f>
        <v/>
      </c>
      <c r="E6258">
        <f>IF($C6258="","",DATE(YEAR($C6258),MONTH($C6258),1))</f>
        <v/>
      </c>
      <c r="F6258">
        <f>IF($C6258="","",YEAR($C6258)&amp;"-Q"&amp;ROUNDUP(MONTH($C6258)/3,0))</f>
        <v/>
      </c>
      <c r="L6258">
        <f>IF($G6258&lt;&gt;"ALCOHOL","",IF($K6258="","",$H6258*IFERROR(VLOOKUP($K6258,Drink_Templates!$A:$G,7,FALSE),0)))</f>
        <v/>
      </c>
    </row>
    <row r="6259" ht="15" customHeight="1">
      <c r="C6259">
        <f>IF($B6259="","",INT($B6259))</f>
        <v/>
      </c>
      <c r="D6259">
        <f>IF($C6259="","",$C6259-WEEKDAY($C6259,2)+1)</f>
        <v/>
      </c>
      <c r="E6259">
        <f>IF($C6259="","",DATE(YEAR($C6259),MONTH($C6259),1))</f>
        <v/>
      </c>
      <c r="F6259">
        <f>IF($C6259="","",YEAR($C6259)&amp;"-Q"&amp;ROUNDUP(MONTH($C6259)/3,0))</f>
        <v/>
      </c>
      <c r="L6259">
        <f>IF($G6259&lt;&gt;"ALCOHOL","",IF($K6259="","",$H6259*IFERROR(VLOOKUP($K6259,Drink_Templates!$A:$G,7,FALSE),0)))</f>
        <v/>
      </c>
    </row>
    <row r="6260" ht="15" customHeight="1">
      <c r="C6260">
        <f>IF($B6260="","",INT($B6260))</f>
        <v/>
      </c>
      <c r="D6260">
        <f>IF($C6260="","",$C6260-WEEKDAY($C6260,2)+1)</f>
        <v/>
      </c>
      <c r="E6260">
        <f>IF($C6260="","",DATE(YEAR($C6260),MONTH($C6260),1))</f>
        <v/>
      </c>
      <c r="F6260">
        <f>IF($C6260="","",YEAR($C6260)&amp;"-Q"&amp;ROUNDUP(MONTH($C6260)/3,0))</f>
        <v/>
      </c>
      <c r="L6260">
        <f>IF($G6260&lt;&gt;"ALCOHOL","",IF($K6260="","",$H6260*IFERROR(VLOOKUP($K6260,Drink_Templates!$A:$G,7,FALSE),0)))</f>
        <v/>
      </c>
    </row>
    <row r="6261" ht="15" customHeight="1">
      <c r="C6261">
        <f>IF($B6261="","",INT($B6261))</f>
        <v/>
      </c>
      <c r="D6261">
        <f>IF($C6261="","",$C6261-WEEKDAY($C6261,2)+1)</f>
        <v/>
      </c>
      <c r="E6261">
        <f>IF($C6261="","",DATE(YEAR($C6261),MONTH($C6261),1))</f>
        <v/>
      </c>
      <c r="F6261">
        <f>IF($C6261="","",YEAR($C6261)&amp;"-Q"&amp;ROUNDUP(MONTH($C6261)/3,0))</f>
        <v/>
      </c>
      <c r="L6261">
        <f>IF($G6261&lt;&gt;"ALCOHOL","",IF($K6261="","",$H6261*IFERROR(VLOOKUP($K6261,Drink_Templates!$A:$G,7,FALSE),0)))</f>
        <v/>
      </c>
    </row>
    <row r="6262" ht="15" customHeight="1">
      <c r="C6262">
        <f>IF($B6262="","",INT($B6262))</f>
        <v/>
      </c>
      <c r="D6262">
        <f>IF($C6262="","",$C6262-WEEKDAY($C6262,2)+1)</f>
        <v/>
      </c>
      <c r="E6262">
        <f>IF($C6262="","",DATE(YEAR($C6262),MONTH($C6262),1))</f>
        <v/>
      </c>
      <c r="F6262">
        <f>IF($C6262="","",YEAR($C6262)&amp;"-Q"&amp;ROUNDUP(MONTH($C6262)/3,0))</f>
        <v/>
      </c>
      <c r="L6262">
        <f>IF($G6262&lt;&gt;"ALCOHOL","",IF($K6262="","",$H6262*IFERROR(VLOOKUP($K6262,Drink_Templates!$A:$G,7,FALSE),0)))</f>
        <v/>
      </c>
    </row>
    <row r="6263" ht="15" customHeight="1">
      <c r="C6263">
        <f>IF($B6263="","",INT($B6263))</f>
        <v/>
      </c>
      <c r="D6263">
        <f>IF($C6263="","",$C6263-WEEKDAY($C6263,2)+1)</f>
        <v/>
      </c>
      <c r="E6263">
        <f>IF($C6263="","",DATE(YEAR($C6263),MONTH($C6263),1))</f>
        <v/>
      </c>
      <c r="F6263">
        <f>IF($C6263="","",YEAR($C6263)&amp;"-Q"&amp;ROUNDUP(MONTH($C6263)/3,0))</f>
        <v/>
      </c>
      <c r="L6263">
        <f>IF($G6263&lt;&gt;"ALCOHOL","",IF($K6263="","",$H6263*IFERROR(VLOOKUP($K6263,Drink_Templates!$A:$G,7,FALSE),0)))</f>
        <v/>
      </c>
    </row>
    <row r="6264" ht="15" customHeight="1">
      <c r="C6264">
        <f>IF($B6264="","",INT($B6264))</f>
        <v/>
      </c>
      <c r="D6264">
        <f>IF($C6264="","",$C6264-WEEKDAY($C6264,2)+1)</f>
        <v/>
      </c>
      <c r="E6264">
        <f>IF($C6264="","",DATE(YEAR($C6264),MONTH($C6264),1))</f>
        <v/>
      </c>
      <c r="F6264">
        <f>IF($C6264="","",YEAR($C6264)&amp;"-Q"&amp;ROUNDUP(MONTH($C6264)/3,0))</f>
        <v/>
      </c>
      <c r="L6264">
        <f>IF($G6264&lt;&gt;"ALCOHOL","",IF($K6264="","",$H6264*IFERROR(VLOOKUP($K6264,Drink_Templates!$A:$G,7,FALSE),0)))</f>
        <v/>
      </c>
    </row>
    <row r="6265" ht="15" customHeight="1">
      <c r="C6265">
        <f>IF($B6265="","",INT($B6265))</f>
        <v/>
      </c>
      <c r="D6265">
        <f>IF($C6265="","",$C6265-WEEKDAY($C6265,2)+1)</f>
        <v/>
      </c>
      <c r="E6265">
        <f>IF($C6265="","",DATE(YEAR($C6265),MONTH($C6265),1))</f>
        <v/>
      </c>
      <c r="F6265">
        <f>IF($C6265="","",YEAR($C6265)&amp;"-Q"&amp;ROUNDUP(MONTH($C6265)/3,0))</f>
        <v/>
      </c>
      <c r="L6265">
        <f>IF($G6265&lt;&gt;"ALCOHOL","",IF($K6265="","",$H6265*IFERROR(VLOOKUP($K6265,Drink_Templates!$A:$G,7,FALSE),0)))</f>
        <v/>
      </c>
    </row>
    <row r="6266" ht="15" customHeight="1">
      <c r="C6266">
        <f>IF($B6266="","",INT($B6266))</f>
        <v/>
      </c>
      <c r="D6266">
        <f>IF($C6266="","",$C6266-WEEKDAY($C6266,2)+1)</f>
        <v/>
      </c>
      <c r="E6266">
        <f>IF($C6266="","",DATE(YEAR($C6266),MONTH($C6266),1))</f>
        <v/>
      </c>
      <c r="F6266">
        <f>IF($C6266="","",YEAR($C6266)&amp;"-Q"&amp;ROUNDUP(MONTH($C6266)/3,0))</f>
        <v/>
      </c>
      <c r="L6266">
        <f>IF($G6266&lt;&gt;"ALCOHOL","",IF($K6266="","",$H6266*IFERROR(VLOOKUP($K6266,Drink_Templates!$A:$G,7,FALSE),0)))</f>
        <v/>
      </c>
    </row>
    <row r="6267" ht="15" customHeight="1">
      <c r="C6267">
        <f>IF($B6267="","",INT($B6267))</f>
        <v/>
      </c>
      <c r="D6267">
        <f>IF($C6267="","",$C6267-WEEKDAY($C6267,2)+1)</f>
        <v/>
      </c>
      <c r="E6267">
        <f>IF($C6267="","",DATE(YEAR($C6267),MONTH($C6267),1))</f>
        <v/>
      </c>
      <c r="F6267">
        <f>IF($C6267="","",YEAR($C6267)&amp;"-Q"&amp;ROUNDUP(MONTH($C6267)/3,0))</f>
        <v/>
      </c>
      <c r="L6267">
        <f>IF($G6267&lt;&gt;"ALCOHOL","",IF($K6267="","",$H6267*IFERROR(VLOOKUP($K6267,Drink_Templates!$A:$G,7,FALSE),0)))</f>
        <v/>
      </c>
    </row>
    <row r="6268" ht="15" customHeight="1">
      <c r="C6268">
        <f>IF($B6268="","",INT($B6268))</f>
        <v/>
      </c>
      <c r="D6268">
        <f>IF($C6268="","",$C6268-WEEKDAY($C6268,2)+1)</f>
        <v/>
      </c>
      <c r="E6268">
        <f>IF($C6268="","",DATE(YEAR($C6268),MONTH($C6268),1))</f>
        <v/>
      </c>
      <c r="F6268">
        <f>IF($C6268="","",YEAR($C6268)&amp;"-Q"&amp;ROUNDUP(MONTH($C6268)/3,0))</f>
        <v/>
      </c>
      <c r="L6268">
        <f>IF($G6268&lt;&gt;"ALCOHOL","",IF($K6268="","",$H6268*IFERROR(VLOOKUP($K6268,Drink_Templates!$A:$G,7,FALSE),0)))</f>
        <v/>
      </c>
    </row>
    <row r="6269" ht="15" customHeight="1">
      <c r="C6269">
        <f>IF($B6269="","",INT($B6269))</f>
        <v/>
      </c>
      <c r="D6269">
        <f>IF($C6269="","",$C6269-WEEKDAY($C6269,2)+1)</f>
        <v/>
      </c>
      <c r="E6269">
        <f>IF($C6269="","",DATE(YEAR($C6269),MONTH($C6269),1))</f>
        <v/>
      </c>
      <c r="F6269">
        <f>IF($C6269="","",YEAR($C6269)&amp;"-Q"&amp;ROUNDUP(MONTH($C6269)/3,0))</f>
        <v/>
      </c>
      <c r="L6269">
        <f>IF($G6269&lt;&gt;"ALCOHOL","",IF($K6269="","",$H6269*IFERROR(VLOOKUP($K6269,Drink_Templates!$A:$G,7,FALSE),0)))</f>
        <v/>
      </c>
    </row>
    <row r="6270" ht="15" customHeight="1">
      <c r="C6270">
        <f>IF($B6270="","",INT($B6270))</f>
        <v/>
      </c>
      <c r="D6270">
        <f>IF($C6270="","",$C6270-WEEKDAY($C6270,2)+1)</f>
        <v/>
      </c>
      <c r="E6270">
        <f>IF($C6270="","",DATE(YEAR($C6270),MONTH($C6270),1))</f>
        <v/>
      </c>
      <c r="F6270">
        <f>IF($C6270="","",YEAR($C6270)&amp;"-Q"&amp;ROUNDUP(MONTH($C6270)/3,0))</f>
        <v/>
      </c>
      <c r="L6270">
        <f>IF($G6270&lt;&gt;"ALCOHOL","",IF($K6270="","",$H6270*IFERROR(VLOOKUP($K6270,Drink_Templates!$A:$G,7,FALSE),0)))</f>
        <v/>
      </c>
    </row>
    <row r="6271" ht="15" customHeight="1">
      <c r="C6271">
        <f>IF($B6271="","",INT($B6271))</f>
        <v/>
      </c>
      <c r="D6271">
        <f>IF($C6271="","",$C6271-WEEKDAY($C6271,2)+1)</f>
        <v/>
      </c>
      <c r="E6271">
        <f>IF($C6271="","",DATE(YEAR($C6271),MONTH($C6271),1))</f>
        <v/>
      </c>
      <c r="F6271">
        <f>IF($C6271="","",YEAR($C6271)&amp;"-Q"&amp;ROUNDUP(MONTH($C6271)/3,0))</f>
        <v/>
      </c>
      <c r="L6271">
        <f>IF($G6271&lt;&gt;"ALCOHOL","",IF($K6271="","",$H6271*IFERROR(VLOOKUP($K6271,Drink_Templates!$A:$G,7,FALSE),0)))</f>
        <v/>
      </c>
    </row>
    <row r="6272" ht="15" customHeight="1">
      <c r="C6272">
        <f>IF($B6272="","",INT($B6272))</f>
        <v/>
      </c>
      <c r="D6272">
        <f>IF($C6272="","",$C6272-WEEKDAY($C6272,2)+1)</f>
        <v/>
      </c>
      <c r="E6272">
        <f>IF($C6272="","",DATE(YEAR($C6272),MONTH($C6272),1))</f>
        <v/>
      </c>
      <c r="F6272">
        <f>IF($C6272="","",YEAR($C6272)&amp;"-Q"&amp;ROUNDUP(MONTH($C6272)/3,0))</f>
        <v/>
      </c>
      <c r="L6272">
        <f>IF($G6272&lt;&gt;"ALCOHOL","",IF($K6272="","",$H6272*IFERROR(VLOOKUP($K6272,Drink_Templates!$A:$G,7,FALSE),0)))</f>
        <v/>
      </c>
    </row>
    <row r="6273" ht="15" customHeight="1">
      <c r="C6273">
        <f>IF($B6273="","",INT($B6273))</f>
        <v/>
      </c>
      <c r="D6273">
        <f>IF($C6273="","",$C6273-WEEKDAY($C6273,2)+1)</f>
        <v/>
      </c>
      <c r="E6273">
        <f>IF($C6273="","",DATE(YEAR($C6273),MONTH($C6273),1))</f>
        <v/>
      </c>
      <c r="F6273">
        <f>IF($C6273="","",YEAR($C6273)&amp;"-Q"&amp;ROUNDUP(MONTH($C6273)/3,0))</f>
        <v/>
      </c>
      <c r="L6273">
        <f>IF($G6273&lt;&gt;"ALCOHOL","",IF($K6273="","",$H6273*IFERROR(VLOOKUP($K6273,Drink_Templates!$A:$G,7,FALSE),0)))</f>
        <v/>
      </c>
    </row>
    <row r="6274" ht="15" customHeight="1">
      <c r="C6274">
        <f>IF($B6274="","",INT($B6274))</f>
        <v/>
      </c>
      <c r="D6274">
        <f>IF($C6274="","",$C6274-WEEKDAY($C6274,2)+1)</f>
        <v/>
      </c>
      <c r="E6274">
        <f>IF($C6274="","",DATE(YEAR($C6274),MONTH($C6274),1))</f>
        <v/>
      </c>
      <c r="F6274">
        <f>IF($C6274="","",YEAR($C6274)&amp;"-Q"&amp;ROUNDUP(MONTH($C6274)/3,0))</f>
        <v/>
      </c>
      <c r="L6274">
        <f>IF($G6274&lt;&gt;"ALCOHOL","",IF($K6274="","",$H6274*IFERROR(VLOOKUP($K6274,Drink_Templates!$A:$G,7,FALSE),0)))</f>
        <v/>
      </c>
    </row>
    <row r="6275" ht="15" customHeight="1">
      <c r="C6275">
        <f>IF($B6275="","",INT($B6275))</f>
        <v/>
      </c>
      <c r="D6275">
        <f>IF($C6275="","",$C6275-WEEKDAY($C6275,2)+1)</f>
        <v/>
      </c>
      <c r="E6275">
        <f>IF($C6275="","",DATE(YEAR($C6275),MONTH($C6275),1))</f>
        <v/>
      </c>
      <c r="F6275">
        <f>IF($C6275="","",YEAR($C6275)&amp;"-Q"&amp;ROUNDUP(MONTH($C6275)/3,0))</f>
        <v/>
      </c>
      <c r="L6275">
        <f>IF($G6275&lt;&gt;"ALCOHOL","",IF($K6275="","",$H6275*IFERROR(VLOOKUP($K6275,Drink_Templates!$A:$G,7,FALSE),0)))</f>
        <v/>
      </c>
    </row>
    <row r="6276" ht="15" customHeight="1">
      <c r="C6276">
        <f>IF($B6276="","",INT($B6276))</f>
        <v/>
      </c>
      <c r="D6276">
        <f>IF($C6276="","",$C6276-WEEKDAY($C6276,2)+1)</f>
        <v/>
      </c>
      <c r="E6276">
        <f>IF($C6276="","",DATE(YEAR($C6276),MONTH($C6276),1))</f>
        <v/>
      </c>
      <c r="F6276">
        <f>IF($C6276="","",YEAR($C6276)&amp;"-Q"&amp;ROUNDUP(MONTH($C6276)/3,0))</f>
        <v/>
      </c>
      <c r="L6276">
        <f>IF($G6276&lt;&gt;"ALCOHOL","",IF($K6276="","",$H6276*IFERROR(VLOOKUP($K6276,Drink_Templates!$A:$G,7,FALSE),0)))</f>
        <v/>
      </c>
    </row>
    <row r="6277" ht="15" customHeight="1">
      <c r="C6277">
        <f>IF($B6277="","",INT($B6277))</f>
        <v/>
      </c>
      <c r="D6277">
        <f>IF($C6277="","",$C6277-WEEKDAY($C6277,2)+1)</f>
        <v/>
      </c>
      <c r="E6277">
        <f>IF($C6277="","",DATE(YEAR($C6277),MONTH($C6277),1))</f>
        <v/>
      </c>
      <c r="F6277">
        <f>IF($C6277="","",YEAR($C6277)&amp;"-Q"&amp;ROUNDUP(MONTH($C6277)/3,0))</f>
        <v/>
      </c>
      <c r="L6277">
        <f>IF($G6277&lt;&gt;"ALCOHOL","",IF($K6277="","",$H6277*IFERROR(VLOOKUP($K6277,Drink_Templates!$A:$G,7,FALSE),0)))</f>
        <v/>
      </c>
    </row>
    <row r="6278" ht="15" customHeight="1">
      <c r="C6278">
        <f>IF($B6278="","",INT($B6278))</f>
        <v/>
      </c>
      <c r="D6278">
        <f>IF($C6278="","",$C6278-WEEKDAY($C6278,2)+1)</f>
        <v/>
      </c>
      <c r="E6278">
        <f>IF($C6278="","",DATE(YEAR($C6278),MONTH($C6278),1))</f>
        <v/>
      </c>
      <c r="F6278">
        <f>IF($C6278="","",YEAR($C6278)&amp;"-Q"&amp;ROUNDUP(MONTH($C6278)/3,0))</f>
        <v/>
      </c>
      <c r="L6278">
        <f>IF($G6278&lt;&gt;"ALCOHOL","",IF($K6278="","",$H6278*IFERROR(VLOOKUP($K6278,Drink_Templates!$A:$G,7,FALSE),0)))</f>
        <v/>
      </c>
    </row>
    <row r="6279" ht="15" customHeight="1">
      <c r="C6279">
        <f>IF($B6279="","",INT($B6279))</f>
        <v/>
      </c>
      <c r="D6279">
        <f>IF($C6279="","",$C6279-WEEKDAY($C6279,2)+1)</f>
        <v/>
      </c>
      <c r="E6279">
        <f>IF($C6279="","",DATE(YEAR($C6279),MONTH($C6279),1))</f>
        <v/>
      </c>
      <c r="F6279">
        <f>IF($C6279="","",YEAR($C6279)&amp;"-Q"&amp;ROUNDUP(MONTH($C6279)/3,0))</f>
        <v/>
      </c>
      <c r="L6279">
        <f>IF($G6279&lt;&gt;"ALCOHOL","",IF($K6279="","",$H6279*IFERROR(VLOOKUP($K6279,Drink_Templates!$A:$G,7,FALSE),0)))</f>
        <v/>
      </c>
    </row>
    <row r="6280" ht="15" customHeight="1">
      <c r="C6280">
        <f>IF($B6280="","",INT($B6280))</f>
        <v/>
      </c>
      <c r="D6280">
        <f>IF($C6280="","",$C6280-WEEKDAY($C6280,2)+1)</f>
        <v/>
      </c>
      <c r="E6280">
        <f>IF($C6280="","",DATE(YEAR($C6280),MONTH($C6280),1))</f>
        <v/>
      </c>
      <c r="F6280">
        <f>IF($C6280="","",YEAR($C6280)&amp;"-Q"&amp;ROUNDUP(MONTH($C6280)/3,0))</f>
        <v/>
      </c>
      <c r="L6280">
        <f>IF($G6280&lt;&gt;"ALCOHOL","",IF($K6280="","",$H6280*IFERROR(VLOOKUP($K6280,Drink_Templates!$A:$G,7,FALSE),0)))</f>
        <v/>
      </c>
    </row>
    <row r="6281" ht="15" customHeight="1">
      <c r="C6281">
        <f>IF($B6281="","",INT($B6281))</f>
        <v/>
      </c>
      <c r="D6281">
        <f>IF($C6281="","",$C6281-WEEKDAY($C6281,2)+1)</f>
        <v/>
      </c>
      <c r="E6281">
        <f>IF($C6281="","",DATE(YEAR($C6281),MONTH($C6281),1))</f>
        <v/>
      </c>
      <c r="F6281">
        <f>IF($C6281="","",YEAR($C6281)&amp;"-Q"&amp;ROUNDUP(MONTH($C6281)/3,0))</f>
        <v/>
      </c>
      <c r="L6281">
        <f>IF($G6281&lt;&gt;"ALCOHOL","",IF($K6281="","",$H6281*IFERROR(VLOOKUP($K6281,Drink_Templates!$A:$G,7,FALSE),0)))</f>
        <v/>
      </c>
    </row>
    <row r="6282" ht="15" customHeight="1">
      <c r="C6282">
        <f>IF($B6282="","",INT($B6282))</f>
        <v/>
      </c>
      <c r="D6282">
        <f>IF($C6282="","",$C6282-WEEKDAY($C6282,2)+1)</f>
        <v/>
      </c>
      <c r="E6282">
        <f>IF($C6282="","",DATE(YEAR($C6282),MONTH($C6282),1))</f>
        <v/>
      </c>
      <c r="F6282">
        <f>IF($C6282="","",YEAR($C6282)&amp;"-Q"&amp;ROUNDUP(MONTH($C6282)/3,0))</f>
        <v/>
      </c>
      <c r="L6282">
        <f>IF($G6282&lt;&gt;"ALCOHOL","",IF($K6282="","",$H6282*IFERROR(VLOOKUP($K6282,Drink_Templates!$A:$G,7,FALSE),0)))</f>
        <v/>
      </c>
    </row>
    <row r="6283" ht="15" customHeight="1">
      <c r="C6283">
        <f>IF($B6283="","",INT($B6283))</f>
        <v/>
      </c>
      <c r="D6283">
        <f>IF($C6283="","",$C6283-WEEKDAY($C6283,2)+1)</f>
        <v/>
      </c>
      <c r="E6283">
        <f>IF($C6283="","",DATE(YEAR($C6283),MONTH($C6283),1))</f>
        <v/>
      </c>
      <c r="F6283">
        <f>IF($C6283="","",YEAR($C6283)&amp;"-Q"&amp;ROUNDUP(MONTH($C6283)/3,0))</f>
        <v/>
      </c>
      <c r="L6283">
        <f>IF($G6283&lt;&gt;"ALCOHOL","",IF($K6283="","",$H6283*IFERROR(VLOOKUP($K6283,Drink_Templates!$A:$G,7,FALSE),0)))</f>
        <v/>
      </c>
    </row>
    <row r="6284" ht="15" customHeight="1">
      <c r="C6284">
        <f>IF($B6284="","",INT($B6284))</f>
        <v/>
      </c>
      <c r="D6284">
        <f>IF($C6284="","",$C6284-WEEKDAY($C6284,2)+1)</f>
        <v/>
      </c>
      <c r="E6284">
        <f>IF($C6284="","",DATE(YEAR($C6284),MONTH($C6284),1))</f>
        <v/>
      </c>
      <c r="F6284">
        <f>IF($C6284="","",YEAR($C6284)&amp;"-Q"&amp;ROUNDUP(MONTH($C6284)/3,0))</f>
        <v/>
      </c>
      <c r="L6284">
        <f>IF($G6284&lt;&gt;"ALCOHOL","",IF($K6284="","",$H6284*IFERROR(VLOOKUP($K6284,Drink_Templates!$A:$G,7,FALSE),0)))</f>
        <v/>
      </c>
    </row>
    <row r="6285" ht="15" customHeight="1">
      <c r="C6285">
        <f>IF($B6285="","",INT($B6285))</f>
        <v/>
      </c>
      <c r="D6285">
        <f>IF($C6285="","",$C6285-WEEKDAY($C6285,2)+1)</f>
        <v/>
      </c>
      <c r="E6285">
        <f>IF($C6285="","",DATE(YEAR($C6285),MONTH($C6285),1))</f>
        <v/>
      </c>
      <c r="F6285">
        <f>IF($C6285="","",YEAR($C6285)&amp;"-Q"&amp;ROUNDUP(MONTH($C6285)/3,0))</f>
        <v/>
      </c>
      <c r="L6285">
        <f>IF($G6285&lt;&gt;"ALCOHOL","",IF($K6285="","",$H6285*IFERROR(VLOOKUP($K6285,Drink_Templates!$A:$G,7,FALSE),0)))</f>
        <v/>
      </c>
    </row>
    <row r="6286" ht="15" customHeight="1">
      <c r="C6286">
        <f>IF($B6286="","",INT($B6286))</f>
        <v/>
      </c>
      <c r="D6286">
        <f>IF($C6286="","",$C6286-WEEKDAY($C6286,2)+1)</f>
        <v/>
      </c>
      <c r="E6286">
        <f>IF($C6286="","",DATE(YEAR($C6286),MONTH($C6286),1))</f>
        <v/>
      </c>
      <c r="F6286">
        <f>IF($C6286="","",YEAR($C6286)&amp;"-Q"&amp;ROUNDUP(MONTH($C6286)/3,0))</f>
        <v/>
      </c>
      <c r="L6286">
        <f>IF($G6286&lt;&gt;"ALCOHOL","",IF($K6286="","",$H6286*IFERROR(VLOOKUP($K6286,Drink_Templates!$A:$G,7,FALSE),0)))</f>
        <v/>
      </c>
    </row>
    <row r="6287" ht="15" customHeight="1">
      <c r="C6287">
        <f>IF($B6287="","",INT($B6287))</f>
        <v/>
      </c>
      <c r="D6287">
        <f>IF($C6287="","",$C6287-WEEKDAY($C6287,2)+1)</f>
        <v/>
      </c>
      <c r="E6287">
        <f>IF($C6287="","",DATE(YEAR($C6287),MONTH($C6287),1))</f>
        <v/>
      </c>
      <c r="F6287">
        <f>IF($C6287="","",YEAR($C6287)&amp;"-Q"&amp;ROUNDUP(MONTH($C6287)/3,0))</f>
        <v/>
      </c>
      <c r="L6287">
        <f>IF($G6287&lt;&gt;"ALCOHOL","",IF($K6287="","",$H6287*IFERROR(VLOOKUP($K6287,Drink_Templates!$A:$G,7,FALSE),0)))</f>
        <v/>
      </c>
    </row>
    <row r="6288" ht="15" customHeight="1">
      <c r="C6288">
        <f>IF($B6288="","",INT($B6288))</f>
        <v/>
      </c>
      <c r="D6288">
        <f>IF($C6288="","",$C6288-WEEKDAY($C6288,2)+1)</f>
        <v/>
      </c>
      <c r="E6288">
        <f>IF($C6288="","",DATE(YEAR($C6288),MONTH($C6288),1))</f>
        <v/>
      </c>
      <c r="F6288">
        <f>IF($C6288="","",YEAR($C6288)&amp;"-Q"&amp;ROUNDUP(MONTH($C6288)/3,0))</f>
        <v/>
      </c>
      <c r="L6288">
        <f>IF($G6288&lt;&gt;"ALCOHOL","",IF($K6288="","",$H6288*IFERROR(VLOOKUP($K6288,Drink_Templates!$A:$G,7,FALSE),0)))</f>
        <v/>
      </c>
    </row>
    <row r="6289" ht="15" customHeight="1">
      <c r="C6289">
        <f>IF($B6289="","",INT($B6289))</f>
        <v/>
      </c>
      <c r="D6289">
        <f>IF($C6289="","",$C6289-WEEKDAY($C6289,2)+1)</f>
        <v/>
      </c>
      <c r="E6289">
        <f>IF($C6289="","",DATE(YEAR($C6289),MONTH($C6289),1))</f>
        <v/>
      </c>
      <c r="F6289">
        <f>IF($C6289="","",YEAR($C6289)&amp;"-Q"&amp;ROUNDUP(MONTH($C6289)/3,0))</f>
        <v/>
      </c>
      <c r="L6289">
        <f>IF($G6289&lt;&gt;"ALCOHOL","",IF($K6289="","",$H6289*IFERROR(VLOOKUP($K6289,Drink_Templates!$A:$G,7,FALSE),0)))</f>
        <v/>
      </c>
    </row>
    <row r="6290" ht="15" customHeight="1">
      <c r="C6290">
        <f>IF($B6290="","",INT($B6290))</f>
        <v/>
      </c>
      <c r="D6290">
        <f>IF($C6290="","",$C6290-WEEKDAY($C6290,2)+1)</f>
        <v/>
      </c>
      <c r="E6290">
        <f>IF($C6290="","",DATE(YEAR($C6290),MONTH($C6290),1))</f>
        <v/>
      </c>
      <c r="F6290">
        <f>IF($C6290="","",YEAR($C6290)&amp;"-Q"&amp;ROUNDUP(MONTH($C6290)/3,0))</f>
        <v/>
      </c>
      <c r="L6290">
        <f>IF($G6290&lt;&gt;"ALCOHOL","",IF($K6290="","",$H6290*IFERROR(VLOOKUP($K6290,Drink_Templates!$A:$G,7,FALSE),0)))</f>
        <v/>
      </c>
    </row>
    <row r="6291" ht="15" customHeight="1">
      <c r="C6291">
        <f>IF($B6291="","",INT($B6291))</f>
        <v/>
      </c>
      <c r="D6291">
        <f>IF($C6291="","",$C6291-WEEKDAY($C6291,2)+1)</f>
        <v/>
      </c>
      <c r="E6291">
        <f>IF($C6291="","",DATE(YEAR($C6291),MONTH($C6291),1))</f>
        <v/>
      </c>
      <c r="F6291">
        <f>IF($C6291="","",YEAR($C6291)&amp;"-Q"&amp;ROUNDUP(MONTH($C6291)/3,0))</f>
        <v/>
      </c>
      <c r="L6291">
        <f>IF($G6291&lt;&gt;"ALCOHOL","",IF($K6291="","",$H6291*IFERROR(VLOOKUP($K6291,Drink_Templates!$A:$G,7,FALSE),0)))</f>
        <v/>
      </c>
    </row>
    <row r="6292" ht="15" customHeight="1">
      <c r="C6292">
        <f>IF($B6292="","",INT($B6292))</f>
        <v/>
      </c>
      <c r="D6292">
        <f>IF($C6292="","",$C6292-WEEKDAY($C6292,2)+1)</f>
        <v/>
      </c>
      <c r="E6292">
        <f>IF($C6292="","",DATE(YEAR($C6292),MONTH($C6292),1))</f>
        <v/>
      </c>
      <c r="F6292">
        <f>IF($C6292="","",YEAR($C6292)&amp;"-Q"&amp;ROUNDUP(MONTH($C6292)/3,0))</f>
        <v/>
      </c>
      <c r="L6292">
        <f>IF($G6292&lt;&gt;"ALCOHOL","",IF($K6292="","",$H6292*IFERROR(VLOOKUP($K6292,Drink_Templates!$A:$G,7,FALSE),0)))</f>
        <v/>
      </c>
    </row>
    <row r="6293" ht="15" customHeight="1">
      <c r="C6293">
        <f>IF($B6293="","",INT($B6293))</f>
        <v/>
      </c>
      <c r="D6293">
        <f>IF($C6293="","",$C6293-WEEKDAY($C6293,2)+1)</f>
        <v/>
      </c>
      <c r="E6293">
        <f>IF($C6293="","",DATE(YEAR($C6293),MONTH($C6293),1))</f>
        <v/>
      </c>
      <c r="F6293">
        <f>IF($C6293="","",YEAR($C6293)&amp;"-Q"&amp;ROUNDUP(MONTH($C6293)/3,0))</f>
        <v/>
      </c>
      <c r="L6293">
        <f>IF($G6293&lt;&gt;"ALCOHOL","",IF($K6293="","",$H6293*IFERROR(VLOOKUP($K6293,Drink_Templates!$A:$G,7,FALSE),0)))</f>
        <v/>
      </c>
    </row>
    <row r="6294" ht="15" customHeight="1">
      <c r="C6294">
        <f>IF($B6294="","",INT($B6294))</f>
        <v/>
      </c>
      <c r="D6294">
        <f>IF($C6294="","",$C6294-WEEKDAY($C6294,2)+1)</f>
        <v/>
      </c>
      <c r="E6294">
        <f>IF($C6294="","",DATE(YEAR($C6294),MONTH($C6294),1))</f>
        <v/>
      </c>
      <c r="F6294">
        <f>IF($C6294="","",YEAR($C6294)&amp;"-Q"&amp;ROUNDUP(MONTH($C6294)/3,0))</f>
        <v/>
      </c>
      <c r="L6294">
        <f>IF($G6294&lt;&gt;"ALCOHOL","",IF($K6294="","",$H6294*IFERROR(VLOOKUP($K6294,Drink_Templates!$A:$G,7,FALSE),0)))</f>
        <v/>
      </c>
    </row>
    <row r="6295" ht="15" customHeight="1">
      <c r="C6295">
        <f>IF($B6295="","",INT($B6295))</f>
        <v/>
      </c>
      <c r="D6295">
        <f>IF($C6295="","",$C6295-WEEKDAY($C6295,2)+1)</f>
        <v/>
      </c>
      <c r="E6295">
        <f>IF($C6295="","",DATE(YEAR($C6295),MONTH($C6295),1))</f>
        <v/>
      </c>
      <c r="F6295">
        <f>IF($C6295="","",YEAR($C6295)&amp;"-Q"&amp;ROUNDUP(MONTH($C6295)/3,0))</f>
        <v/>
      </c>
      <c r="L6295">
        <f>IF($G6295&lt;&gt;"ALCOHOL","",IF($K6295="","",$H6295*IFERROR(VLOOKUP($K6295,Drink_Templates!$A:$G,7,FALSE),0)))</f>
        <v/>
      </c>
    </row>
    <row r="6296" ht="15" customHeight="1">
      <c r="C6296">
        <f>IF($B6296="","",INT($B6296))</f>
        <v/>
      </c>
      <c r="D6296">
        <f>IF($C6296="","",$C6296-WEEKDAY($C6296,2)+1)</f>
        <v/>
      </c>
      <c r="E6296">
        <f>IF($C6296="","",DATE(YEAR($C6296),MONTH($C6296),1))</f>
        <v/>
      </c>
      <c r="F6296">
        <f>IF($C6296="","",YEAR($C6296)&amp;"-Q"&amp;ROUNDUP(MONTH($C6296)/3,0))</f>
        <v/>
      </c>
      <c r="L6296">
        <f>IF($G6296&lt;&gt;"ALCOHOL","",IF($K6296="","",$H6296*IFERROR(VLOOKUP($K6296,Drink_Templates!$A:$G,7,FALSE),0)))</f>
        <v/>
      </c>
    </row>
    <row r="6297" ht="15" customHeight="1">
      <c r="C6297">
        <f>IF($B6297="","",INT($B6297))</f>
        <v/>
      </c>
      <c r="D6297">
        <f>IF($C6297="","",$C6297-WEEKDAY($C6297,2)+1)</f>
        <v/>
      </c>
      <c r="E6297">
        <f>IF($C6297="","",DATE(YEAR($C6297),MONTH($C6297),1))</f>
        <v/>
      </c>
      <c r="F6297">
        <f>IF($C6297="","",YEAR($C6297)&amp;"-Q"&amp;ROUNDUP(MONTH($C6297)/3,0))</f>
        <v/>
      </c>
      <c r="L6297">
        <f>IF($G6297&lt;&gt;"ALCOHOL","",IF($K6297="","",$H6297*IFERROR(VLOOKUP($K6297,Drink_Templates!$A:$G,7,FALSE),0)))</f>
        <v/>
      </c>
    </row>
    <row r="6298" ht="15" customHeight="1">
      <c r="C6298">
        <f>IF($B6298="","",INT($B6298))</f>
        <v/>
      </c>
      <c r="D6298">
        <f>IF($C6298="","",$C6298-WEEKDAY($C6298,2)+1)</f>
        <v/>
      </c>
      <c r="E6298">
        <f>IF($C6298="","",DATE(YEAR($C6298),MONTH($C6298),1))</f>
        <v/>
      </c>
      <c r="F6298">
        <f>IF($C6298="","",YEAR($C6298)&amp;"-Q"&amp;ROUNDUP(MONTH($C6298)/3,0))</f>
        <v/>
      </c>
      <c r="L6298">
        <f>IF($G6298&lt;&gt;"ALCOHOL","",IF($K6298="","",$H6298*IFERROR(VLOOKUP($K6298,Drink_Templates!$A:$G,7,FALSE),0)))</f>
        <v/>
      </c>
    </row>
    <row r="6299" ht="15" customHeight="1">
      <c r="C6299">
        <f>IF($B6299="","",INT($B6299))</f>
        <v/>
      </c>
      <c r="D6299">
        <f>IF($C6299="","",$C6299-WEEKDAY($C6299,2)+1)</f>
        <v/>
      </c>
      <c r="E6299">
        <f>IF($C6299="","",DATE(YEAR($C6299),MONTH($C6299),1))</f>
        <v/>
      </c>
      <c r="F6299">
        <f>IF($C6299="","",YEAR($C6299)&amp;"-Q"&amp;ROUNDUP(MONTH($C6299)/3,0))</f>
        <v/>
      </c>
      <c r="L6299">
        <f>IF($G6299&lt;&gt;"ALCOHOL","",IF($K6299="","",$H6299*IFERROR(VLOOKUP($K6299,Drink_Templates!$A:$G,7,FALSE),0)))</f>
        <v/>
      </c>
    </row>
    <row r="6300" ht="15" customHeight="1">
      <c r="C6300">
        <f>IF($B6300="","",INT($B6300))</f>
        <v/>
      </c>
      <c r="D6300">
        <f>IF($C6300="","",$C6300-WEEKDAY($C6300,2)+1)</f>
        <v/>
      </c>
      <c r="E6300">
        <f>IF($C6300="","",DATE(YEAR($C6300),MONTH($C6300),1))</f>
        <v/>
      </c>
      <c r="F6300">
        <f>IF($C6300="","",YEAR($C6300)&amp;"-Q"&amp;ROUNDUP(MONTH($C6300)/3,0))</f>
        <v/>
      </c>
      <c r="L6300">
        <f>IF($G6300&lt;&gt;"ALCOHOL","",IF($K6300="","",$H6300*IFERROR(VLOOKUP($K6300,Drink_Templates!$A:$G,7,FALSE),0)))</f>
        <v/>
      </c>
    </row>
    <row r="6301" ht="15" customHeight="1">
      <c r="C6301">
        <f>IF($B6301="","",INT($B6301))</f>
        <v/>
      </c>
      <c r="D6301">
        <f>IF($C6301="","",$C6301-WEEKDAY($C6301,2)+1)</f>
        <v/>
      </c>
      <c r="E6301">
        <f>IF($C6301="","",DATE(YEAR($C6301),MONTH($C6301),1))</f>
        <v/>
      </c>
      <c r="F6301">
        <f>IF($C6301="","",YEAR($C6301)&amp;"-Q"&amp;ROUNDUP(MONTH($C6301)/3,0))</f>
        <v/>
      </c>
      <c r="L6301">
        <f>IF($G6301&lt;&gt;"ALCOHOL","",IF($K6301="","",$H6301*IFERROR(VLOOKUP($K6301,Drink_Templates!$A:$G,7,FALSE),0)))</f>
        <v/>
      </c>
    </row>
    <row r="6302" ht="15" customHeight="1">
      <c r="C6302">
        <f>IF($B6302="","",INT($B6302))</f>
        <v/>
      </c>
      <c r="D6302">
        <f>IF($C6302="","",$C6302-WEEKDAY($C6302,2)+1)</f>
        <v/>
      </c>
      <c r="E6302">
        <f>IF($C6302="","",DATE(YEAR($C6302),MONTH($C6302),1))</f>
        <v/>
      </c>
      <c r="F6302">
        <f>IF($C6302="","",YEAR($C6302)&amp;"-Q"&amp;ROUNDUP(MONTH($C6302)/3,0))</f>
        <v/>
      </c>
      <c r="L6302">
        <f>IF($G6302&lt;&gt;"ALCOHOL","",IF($K6302="","",$H6302*IFERROR(VLOOKUP($K6302,Drink_Templates!$A:$G,7,FALSE),0)))</f>
        <v/>
      </c>
    </row>
    <row r="6303" ht="15" customHeight="1">
      <c r="C6303">
        <f>IF($B6303="","",INT($B6303))</f>
        <v/>
      </c>
      <c r="D6303">
        <f>IF($C6303="","",$C6303-WEEKDAY($C6303,2)+1)</f>
        <v/>
      </c>
      <c r="E6303">
        <f>IF($C6303="","",DATE(YEAR($C6303),MONTH($C6303),1))</f>
        <v/>
      </c>
      <c r="F6303">
        <f>IF($C6303="","",YEAR($C6303)&amp;"-Q"&amp;ROUNDUP(MONTH($C6303)/3,0))</f>
        <v/>
      </c>
      <c r="L6303">
        <f>IF($G6303&lt;&gt;"ALCOHOL","",IF($K6303="","",$H6303*IFERROR(VLOOKUP($K6303,Drink_Templates!$A:$G,7,FALSE),0)))</f>
        <v/>
      </c>
    </row>
    <row r="6304" ht="15" customHeight="1">
      <c r="C6304">
        <f>IF($B6304="","",INT($B6304))</f>
        <v/>
      </c>
      <c r="D6304">
        <f>IF($C6304="","",$C6304-WEEKDAY($C6304,2)+1)</f>
        <v/>
      </c>
      <c r="E6304">
        <f>IF($C6304="","",DATE(YEAR($C6304),MONTH($C6304),1))</f>
        <v/>
      </c>
      <c r="F6304">
        <f>IF($C6304="","",YEAR($C6304)&amp;"-Q"&amp;ROUNDUP(MONTH($C6304)/3,0))</f>
        <v/>
      </c>
      <c r="L6304">
        <f>IF($G6304&lt;&gt;"ALCOHOL","",IF($K6304="","",$H6304*IFERROR(VLOOKUP($K6304,Drink_Templates!$A:$G,7,FALSE),0)))</f>
        <v/>
      </c>
    </row>
    <row r="6305" ht="15" customHeight="1">
      <c r="C6305">
        <f>IF($B6305="","",INT($B6305))</f>
        <v/>
      </c>
      <c r="D6305">
        <f>IF($C6305="","",$C6305-WEEKDAY($C6305,2)+1)</f>
        <v/>
      </c>
      <c r="E6305">
        <f>IF($C6305="","",DATE(YEAR($C6305),MONTH($C6305),1))</f>
        <v/>
      </c>
      <c r="F6305">
        <f>IF($C6305="","",YEAR($C6305)&amp;"-Q"&amp;ROUNDUP(MONTH($C6305)/3,0))</f>
        <v/>
      </c>
      <c r="L6305">
        <f>IF($G6305&lt;&gt;"ALCOHOL","",IF($K6305="","",$H6305*IFERROR(VLOOKUP($K6305,Drink_Templates!$A:$G,7,FALSE),0)))</f>
        <v/>
      </c>
    </row>
    <row r="6306" ht="15" customHeight="1">
      <c r="C6306">
        <f>IF($B6306="","",INT($B6306))</f>
        <v/>
      </c>
      <c r="D6306">
        <f>IF($C6306="","",$C6306-WEEKDAY($C6306,2)+1)</f>
        <v/>
      </c>
      <c r="E6306">
        <f>IF($C6306="","",DATE(YEAR($C6306),MONTH($C6306),1))</f>
        <v/>
      </c>
      <c r="F6306">
        <f>IF($C6306="","",YEAR($C6306)&amp;"-Q"&amp;ROUNDUP(MONTH($C6306)/3,0))</f>
        <v/>
      </c>
      <c r="L6306">
        <f>IF($G6306&lt;&gt;"ALCOHOL","",IF($K6306="","",$H6306*IFERROR(VLOOKUP($K6306,Drink_Templates!$A:$G,7,FALSE),0)))</f>
        <v/>
      </c>
    </row>
    <row r="6307" ht="15" customHeight="1">
      <c r="C6307">
        <f>IF($B6307="","",INT($B6307))</f>
        <v/>
      </c>
      <c r="D6307">
        <f>IF($C6307="","",$C6307-WEEKDAY($C6307,2)+1)</f>
        <v/>
      </c>
      <c r="E6307">
        <f>IF($C6307="","",DATE(YEAR($C6307),MONTH($C6307),1))</f>
        <v/>
      </c>
      <c r="F6307">
        <f>IF($C6307="","",YEAR($C6307)&amp;"-Q"&amp;ROUNDUP(MONTH($C6307)/3,0))</f>
        <v/>
      </c>
      <c r="L6307">
        <f>IF($G6307&lt;&gt;"ALCOHOL","",IF($K6307="","",$H6307*IFERROR(VLOOKUP($K6307,Drink_Templates!$A:$G,7,FALSE),0)))</f>
        <v/>
      </c>
    </row>
    <row r="6308" ht="15" customHeight="1">
      <c r="C6308">
        <f>IF($B6308="","",INT($B6308))</f>
        <v/>
      </c>
      <c r="D6308">
        <f>IF($C6308="","",$C6308-WEEKDAY($C6308,2)+1)</f>
        <v/>
      </c>
      <c r="E6308">
        <f>IF($C6308="","",DATE(YEAR($C6308),MONTH($C6308),1))</f>
        <v/>
      </c>
      <c r="F6308">
        <f>IF($C6308="","",YEAR($C6308)&amp;"-Q"&amp;ROUNDUP(MONTH($C6308)/3,0))</f>
        <v/>
      </c>
      <c r="L6308">
        <f>IF($G6308&lt;&gt;"ALCOHOL","",IF($K6308="","",$H6308*IFERROR(VLOOKUP($K6308,Drink_Templates!$A:$G,7,FALSE),0)))</f>
        <v/>
      </c>
    </row>
    <row r="6309" ht="15" customHeight="1">
      <c r="C6309">
        <f>IF($B6309="","",INT($B6309))</f>
        <v/>
      </c>
      <c r="D6309">
        <f>IF($C6309="","",$C6309-WEEKDAY($C6309,2)+1)</f>
        <v/>
      </c>
      <c r="E6309">
        <f>IF($C6309="","",DATE(YEAR($C6309),MONTH($C6309),1))</f>
        <v/>
      </c>
      <c r="F6309">
        <f>IF($C6309="","",YEAR($C6309)&amp;"-Q"&amp;ROUNDUP(MONTH($C6309)/3,0))</f>
        <v/>
      </c>
      <c r="L6309">
        <f>IF($G6309&lt;&gt;"ALCOHOL","",IF($K6309="","",$H6309*IFERROR(VLOOKUP($K6309,Drink_Templates!$A:$G,7,FALSE),0)))</f>
        <v/>
      </c>
    </row>
    <row r="6310" ht="15" customHeight="1">
      <c r="C6310">
        <f>IF($B6310="","",INT($B6310))</f>
        <v/>
      </c>
      <c r="D6310">
        <f>IF($C6310="","",$C6310-WEEKDAY($C6310,2)+1)</f>
        <v/>
      </c>
      <c r="E6310">
        <f>IF($C6310="","",DATE(YEAR($C6310),MONTH($C6310),1))</f>
        <v/>
      </c>
      <c r="F6310">
        <f>IF($C6310="","",YEAR($C6310)&amp;"-Q"&amp;ROUNDUP(MONTH($C6310)/3,0))</f>
        <v/>
      </c>
      <c r="L6310">
        <f>IF($G6310&lt;&gt;"ALCOHOL","",IF($K6310="","",$H6310*IFERROR(VLOOKUP($K6310,Drink_Templates!$A:$G,7,FALSE),0)))</f>
        <v/>
      </c>
    </row>
    <row r="6311" ht="15" customHeight="1">
      <c r="C6311">
        <f>IF($B6311="","",INT($B6311))</f>
        <v/>
      </c>
      <c r="D6311">
        <f>IF($C6311="","",$C6311-WEEKDAY($C6311,2)+1)</f>
        <v/>
      </c>
      <c r="E6311">
        <f>IF($C6311="","",DATE(YEAR($C6311),MONTH($C6311),1))</f>
        <v/>
      </c>
      <c r="F6311">
        <f>IF($C6311="","",YEAR($C6311)&amp;"-Q"&amp;ROUNDUP(MONTH($C6311)/3,0))</f>
        <v/>
      </c>
      <c r="L6311">
        <f>IF($G6311&lt;&gt;"ALCOHOL","",IF($K6311="","",$H6311*IFERROR(VLOOKUP($K6311,Drink_Templates!$A:$G,7,FALSE),0)))</f>
        <v/>
      </c>
    </row>
    <row r="6312" ht="15" customHeight="1">
      <c r="C6312">
        <f>IF($B6312="","",INT($B6312))</f>
        <v/>
      </c>
      <c r="D6312">
        <f>IF($C6312="","",$C6312-WEEKDAY($C6312,2)+1)</f>
        <v/>
      </c>
      <c r="E6312">
        <f>IF($C6312="","",DATE(YEAR($C6312),MONTH($C6312),1))</f>
        <v/>
      </c>
      <c r="F6312">
        <f>IF($C6312="","",YEAR($C6312)&amp;"-Q"&amp;ROUNDUP(MONTH($C6312)/3,0))</f>
        <v/>
      </c>
      <c r="L6312">
        <f>IF($G6312&lt;&gt;"ALCOHOL","",IF($K6312="","",$H6312*IFERROR(VLOOKUP($K6312,Drink_Templates!$A:$G,7,FALSE),0)))</f>
        <v/>
      </c>
    </row>
    <row r="6313" ht="15" customHeight="1">
      <c r="C6313">
        <f>IF($B6313="","",INT($B6313))</f>
        <v/>
      </c>
      <c r="D6313">
        <f>IF($C6313="","",$C6313-WEEKDAY($C6313,2)+1)</f>
        <v/>
      </c>
      <c r="E6313">
        <f>IF($C6313="","",DATE(YEAR($C6313),MONTH($C6313),1))</f>
        <v/>
      </c>
      <c r="F6313">
        <f>IF($C6313="","",YEAR($C6313)&amp;"-Q"&amp;ROUNDUP(MONTH($C6313)/3,0))</f>
        <v/>
      </c>
      <c r="L6313">
        <f>IF($G6313&lt;&gt;"ALCOHOL","",IF($K6313="","",$H6313*IFERROR(VLOOKUP($K6313,Drink_Templates!$A:$G,7,FALSE),0)))</f>
        <v/>
      </c>
    </row>
    <row r="6314" ht="15" customHeight="1">
      <c r="C6314">
        <f>IF($B6314="","",INT($B6314))</f>
        <v/>
      </c>
      <c r="D6314">
        <f>IF($C6314="","",$C6314-WEEKDAY($C6314,2)+1)</f>
        <v/>
      </c>
      <c r="E6314">
        <f>IF($C6314="","",DATE(YEAR($C6314),MONTH($C6314),1))</f>
        <v/>
      </c>
      <c r="F6314">
        <f>IF($C6314="","",YEAR($C6314)&amp;"-Q"&amp;ROUNDUP(MONTH($C6314)/3,0))</f>
        <v/>
      </c>
      <c r="L6314">
        <f>IF($G6314&lt;&gt;"ALCOHOL","",IF($K6314="","",$H6314*IFERROR(VLOOKUP($K6314,Drink_Templates!$A:$G,7,FALSE),0)))</f>
        <v/>
      </c>
    </row>
    <row r="6315" ht="15" customHeight="1">
      <c r="C6315">
        <f>IF($B6315="","",INT($B6315))</f>
        <v/>
      </c>
      <c r="D6315">
        <f>IF($C6315="","",$C6315-WEEKDAY($C6315,2)+1)</f>
        <v/>
      </c>
      <c r="E6315">
        <f>IF($C6315="","",DATE(YEAR($C6315),MONTH($C6315),1))</f>
        <v/>
      </c>
      <c r="F6315">
        <f>IF($C6315="","",YEAR($C6315)&amp;"-Q"&amp;ROUNDUP(MONTH($C6315)/3,0))</f>
        <v/>
      </c>
      <c r="L6315">
        <f>IF($G6315&lt;&gt;"ALCOHOL","",IF($K6315="","",$H6315*IFERROR(VLOOKUP($K6315,Drink_Templates!$A:$G,7,FALSE),0)))</f>
        <v/>
      </c>
    </row>
    <row r="6316" ht="15" customHeight="1">
      <c r="C6316">
        <f>IF($B6316="","",INT($B6316))</f>
        <v/>
      </c>
      <c r="D6316">
        <f>IF($C6316="","",$C6316-WEEKDAY($C6316,2)+1)</f>
        <v/>
      </c>
      <c r="E6316">
        <f>IF($C6316="","",DATE(YEAR($C6316),MONTH($C6316),1))</f>
        <v/>
      </c>
      <c r="F6316">
        <f>IF($C6316="","",YEAR($C6316)&amp;"-Q"&amp;ROUNDUP(MONTH($C6316)/3,0))</f>
        <v/>
      </c>
      <c r="L6316">
        <f>IF($G6316&lt;&gt;"ALCOHOL","",IF($K6316="","",$H6316*IFERROR(VLOOKUP($K6316,Drink_Templates!$A:$G,7,FALSE),0)))</f>
        <v/>
      </c>
    </row>
    <row r="6317" ht="15" customHeight="1">
      <c r="C6317">
        <f>IF($B6317="","",INT($B6317))</f>
        <v/>
      </c>
      <c r="D6317">
        <f>IF($C6317="","",$C6317-WEEKDAY($C6317,2)+1)</f>
        <v/>
      </c>
      <c r="E6317">
        <f>IF($C6317="","",DATE(YEAR($C6317),MONTH($C6317),1))</f>
        <v/>
      </c>
      <c r="F6317">
        <f>IF($C6317="","",YEAR($C6317)&amp;"-Q"&amp;ROUNDUP(MONTH($C6317)/3,0))</f>
        <v/>
      </c>
      <c r="L6317">
        <f>IF($G6317&lt;&gt;"ALCOHOL","",IF($K6317="","",$H6317*IFERROR(VLOOKUP($K6317,Drink_Templates!$A:$G,7,FALSE),0)))</f>
        <v/>
      </c>
    </row>
    <row r="6318" ht="15" customHeight="1">
      <c r="C6318">
        <f>IF($B6318="","",INT($B6318))</f>
        <v/>
      </c>
      <c r="D6318">
        <f>IF($C6318="","",$C6318-WEEKDAY($C6318,2)+1)</f>
        <v/>
      </c>
      <c r="E6318">
        <f>IF($C6318="","",DATE(YEAR($C6318),MONTH($C6318),1))</f>
        <v/>
      </c>
      <c r="F6318">
        <f>IF($C6318="","",YEAR($C6318)&amp;"-Q"&amp;ROUNDUP(MONTH($C6318)/3,0))</f>
        <v/>
      </c>
      <c r="L6318">
        <f>IF($G6318&lt;&gt;"ALCOHOL","",IF($K6318="","",$H6318*IFERROR(VLOOKUP($K6318,Drink_Templates!$A:$G,7,FALSE),0)))</f>
        <v/>
      </c>
    </row>
    <row r="6319" ht="15" customHeight="1">
      <c r="C6319">
        <f>IF($B6319="","",INT($B6319))</f>
        <v/>
      </c>
      <c r="D6319">
        <f>IF($C6319="","",$C6319-WEEKDAY($C6319,2)+1)</f>
        <v/>
      </c>
      <c r="E6319">
        <f>IF($C6319="","",DATE(YEAR($C6319),MONTH($C6319),1))</f>
        <v/>
      </c>
      <c r="F6319">
        <f>IF($C6319="","",YEAR($C6319)&amp;"-Q"&amp;ROUNDUP(MONTH($C6319)/3,0))</f>
        <v/>
      </c>
      <c r="L6319">
        <f>IF($G6319&lt;&gt;"ALCOHOL","",IF($K6319="","",$H6319*IFERROR(VLOOKUP($K6319,Drink_Templates!$A:$G,7,FALSE),0)))</f>
        <v/>
      </c>
    </row>
    <row r="6320" ht="15" customHeight="1">
      <c r="C6320">
        <f>IF($B6320="","",INT($B6320))</f>
        <v/>
      </c>
      <c r="D6320">
        <f>IF($C6320="","",$C6320-WEEKDAY($C6320,2)+1)</f>
        <v/>
      </c>
      <c r="E6320">
        <f>IF($C6320="","",DATE(YEAR($C6320),MONTH($C6320),1))</f>
        <v/>
      </c>
      <c r="F6320">
        <f>IF($C6320="","",YEAR($C6320)&amp;"-Q"&amp;ROUNDUP(MONTH($C6320)/3,0))</f>
        <v/>
      </c>
      <c r="L6320">
        <f>IF($G6320&lt;&gt;"ALCOHOL","",IF($K6320="","",$H6320*IFERROR(VLOOKUP($K6320,Drink_Templates!$A:$G,7,FALSE),0)))</f>
        <v/>
      </c>
    </row>
    <row r="6321" ht="15" customHeight="1">
      <c r="C6321">
        <f>IF($B6321="","",INT($B6321))</f>
        <v/>
      </c>
      <c r="D6321">
        <f>IF($C6321="","",$C6321-WEEKDAY($C6321,2)+1)</f>
        <v/>
      </c>
      <c r="E6321">
        <f>IF($C6321="","",DATE(YEAR($C6321),MONTH($C6321),1))</f>
        <v/>
      </c>
      <c r="F6321">
        <f>IF($C6321="","",YEAR($C6321)&amp;"-Q"&amp;ROUNDUP(MONTH($C6321)/3,0))</f>
        <v/>
      </c>
      <c r="L6321">
        <f>IF($G6321&lt;&gt;"ALCOHOL","",IF($K6321="","",$H6321*IFERROR(VLOOKUP($K6321,Drink_Templates!$A:$G,7,FALSE),0)))</f>
        <v/>
      </c>
    </row>
    <row r="6322" ht="15" customHeight="1">
      <c r="C6322">
        <f>IF($B6322="","",INT($B6322))</f>
        <v/>
      </c>
      <c r="D6322">
        <f>IF($C6322="","",$C6322-WEEKDAY($C6322,2)+1)</f>
        <v/>
      </c>
      <c r="E6322">
        <f>IF($C6322="","",DATE(YEAR($C6322),MONTH($C6322),1))</f>
        <v/>
      </c>
      <c r="F6322">
        <f>IF($C6322="","",YEAR($C6322)&amp;"-Q"&amp;ROUNDUP(MONTH($C6322)/3,0))</f>
        <v/>
      </c>
      <c r="L6322">
        <f>IF($G6322&lt;&gt;"ALCOHOL","",IF($K6322="","",$H6322*IFERROR(VLOOKUP($K6322,Drink_Templates!$A:$G,7,FALSE),0)))</f>
        <v/>
      </c>
    </row>
    <row r="6323" ht="15" customHeight="1">
      <c r="C6323">
        <f>IF($B6323="","",INT($B6323))</f>
        <v/>
      </c>
      <c r="D6323">
        <f>IF($C6323="","",$C6323-WEEKDAY($C6323,2)+1)</f>
        <v/>
      </c>
      <c r="E6323">
        <f>IF($C6323="","",DATE(YEAR($C6323),MONTH($C6323),1))</f>
        <v/>
      </c>
      <c r="F6323">
        <f>IF($C6323="","",YEAR($C6323)&amp;"-Q"&amp;ROUNDUP(MONTH($C6323)/3,0))</f>
        <v/>
      </c>
      <c r="L6323">
        <f>IF($G6323&lt;&gt;"ALCOHOL","",IF($K6323="","",$H6323*IFERROR(VLOOKUP($K6323,Drink_Templates!$A:$G,7,FALSE),0)))</f>
        <v/>
      </c>
    </row>
    <row r="6324" ht="15" customHeight="1">
      <c r="C6324">
        <f>IF($B6324="","",INT($B6324))</f>
        <v/>
      </c>
      <c r="D6324">
        <f>IF($C6324="","",$C6324-WEEKDAY($C6324,2)+1)</f>
        <v/>
      </c>
      <c r="E6324">
        <f>IF($C6324="","",DATE(YEAR($C6324),MONTH($C6324),1))</f>
        <v/>
      </c>
      <c r="F6324">
        <f>IF($C6324="","",YEAR($C6324)&amp;"-Q"&amp;ROUNDUP(MONTH($C6324)/3,0))</f>
        <v/>
      </c>
      <c r="L6324">
        <f>IF($G6324&lt;&gt;"ALCOHOL","",IF($K6324="","",$H6324*IFERROR(VLOOKUP($K6324,Drink_Templates!$A:$G,7,FALSE),0)))</f>
        <v/>
      </c>
    </row>
    <row r="6325" ht="15" customHeight="1">
      <c r="C6325">
        <f>IF($B6325="","",INT($B6325))</f>
        <v/>
      </c>
      <c r="D6325">
        <f>IF($C6325="","",$C6325-WEEKDAY($C6325,2)+1)</f>
        <v/>
      </c>
      <c r="E6325">
        <f>IF($C6325="","",DATE(YEAR($C6325),MONTH($C6325),1))</f>
        <v/>
      </c>
      <c r="F6325">
        <f>IF($C6325="","",YEAR($C6325)&amp;"-Q"&amp;ROUNDUP(MONTH($C6325)/3,0))</f>
        <v/>
      </c>
      <c r="L6325">
        <f>IF($G6325&lt;&gt;"ALCOHOL","",IF($K6325="","",$H6325*IFERROR(VLOOKUP($K6325,Drink_Templates!$A:$G,7,FALSE),0)))</f>
        <v/>
      </c>
    </row>
    <row r="6326" ht="15" customHeight="1">
      <c r="C6326">
        <f>IF($B6326="","",INT($B6326))</f>
        <v/>
      </c>
      <c r="D6326">
        <f>IF($C6326="","",$C6326-WEEKDAY($C6326,2)+1)</f>
        <v/>
      </c>
      <c r="E6326">
        <f>IF($C6326="","",DATE(YEAR($C6326),MONTH($C6326),1))</f>
        <v/>
      </c>
      <c r="F6326">
        <f>IF($C6326="","",YEAR($C6326)&amp;"-Q"&amp;ROUNDUP(MONTH($C6326)/3,0))</f>
        <v/>
      </c>
      <c r="L6326">
        <f>IF($G6326&lt;&gt;"ALCOHOL","",IF($K6326="","",$H6326*IFERROR(VLOOKUP($K6326,Drink_Templates!$A:$G,7,FALSE),0)))</f>
        <v/>
      </c>
    </row>
    <row r="6327" ht="15" customHeight="1">
      <c r="C6327">
        <f>IF($B6327="","",INT($B6327))</f>
        <v/>
      </c>
      <c r="D6327">
        <f>IF($C6327="","",$C6327-WEEKDAY($C6327,2)+1)</f>
        <v/>
      </c>
      <c r="E6327">
        <f>IF($C6327="","",DATE(YEAR($C6327),MONTH($C6327),1))</f>
        <v/>
      </c>
      <c r="F6327">
        <f>IF($C6327="","",YEAR($C6327)&amp;"-Q"&amp;ROUNDUP(MONTH($C6327)/3,0))</f>
        <v/>
      </c>
      <c r="L6327">
        <f>IF($G6327&lt;&gt;"ALCOHOL","",IF($K6327="","",$H6327*IFERROR(VLOOKUP($K6327,Drink_Templates!$A:$G,7,FALSE),0)))</f>
        <v/>
      </c>
    </row>
    <row r="6328" ht="15" customHeight="1">
      <c r="C6328">
        <f>IF($B6328="","",INT($B6328))</f>
        <v/>
      </c>
      <c r="D6328">
        <f>IF($C6328="","",$C6328-WEEKDAY($C6328,2)+1)</f>
        <v/>
      </c>
      <c r="E6328">
        <f>IF($C6328="","",DATE(YEAR($C6328),MONTH($C6328),1))</f>
        <v/>
      </c>
      <c r="F6328">
        <f>IF($C6328="","",YEAR($C6328)&amp;"-Q"&amp;ROUNDUP(MONTH($C6328)/3,0))</f>
        <v/>
      </c>
      <c r="L6328">
        <f>IF($G6328&lt;&gt;"ALCOHOL","",IF($K6328="","",$H6328*IFERROR(VLOOKUP($K6328,Drink_Templates!$A:$G,7,FALSE),0)))</f>
        <v/>
      </c>
    </row>
    <row r="6329" ht="15" customHeight="1">
      <c r="C6329">
        <f>IF($B6329="","",INT($B6329))</f>
        <v/>
      </c>
      <c r="D6329">
        <f>IF($C6329="","",$C6329-WEEKDAY($C6329,2)+1)</f>
        <v/>
      </c>
      <c r="E6329">
        <f>IF($C6329="","",DATE(YEAR($C6329),MONTH($C6329),1))</f>
        <v/>
      </c>
      <c r="F6329">
        <f>IF($C6329="","",YEAR($C6329)&amp;"-Q"&amp;ROUNDUP(MONTH($C6329)/3,0))</f>
        <v/>
      </c>
      <c r="L6329">
        <f>IF($G6329&lt;&gt;"ALCOHOL","",IF($K6329="","",$H6329*IFERROR(VLOOKUP($K6329,Drink_Templates!$A:$G,7,FALSE),0)))</f>
        <v/>
      </c>
    </row>
    <row r="6330" ht="15" customHeight="1">
      <c r="C6330">
        <f>IF($B6330="","",INT($B6330))</f>
        <v/>
      </c>
      <c r="D6330">
        <f>IF($C6330="","",$C6330-WEEKDAY($C6330,2)+1)</f>
        <v/>
      </c>
      <c r="E6330">
        <f>IF($C6330="","",DATE(YEAR($C6330),MONTH($C6330),1))</f>
        <v/>
      </c>
      <c r="F6330">
        <f>IF($C6330="","",YEAR($C6330)&amp;"-Q"&amp;ROUNDUP(MONTH($C6330)/3,0))</f>
        <v/>
      </c>
      <c r="L6330">
        <f>IF($G6330&lt;&gt;"ALCOHOL","",IF($K6330="","",$H6330*IFERROR(VLOOKUP($K6330,Drink_Templates!$A:$G,7,FALSE),0)))</f>
        <v/>
      </c>
    </row>
    <row r="6331" ht="15" customHeight="1">
      <c r="C6331">
        <f>IF($B6331="","",INT($B6331))</f>
        <v/>
      </c>
      <c r="D6331">
        <f>IF($C6331="","",$C6331-WEEKDAY($C6331,2)+1)</f>
        <v/>
      </c>
      <c r="E6331">
        <f>IF($C6331="","",DATE(YEAR($C6331),MONTH($C6331),1))</f>
        <v/>
      </c>
      <c r="F6331">
        <f>IF($C6331="","",YEAR($C6331)&amp;"-Q"&amp;ROUNDUP(MONTH($C6331)/3,0))</f>
        <v/>
      </c>
      <c r="L6331">
        <f>IF($G6331&lt;&gt;"ALCOHOL","",IF($K6331="","",$H6331*IFERROR(VLOOKUP($K6331,Drink_Templates!$A:$G,7,FALSE),0)))</f>
        <v/>
      </c>
    </row>
    <row r="6332" ht="15" customHeight="1">
      <c r="C6332">
        <f>IF($B6332="","",INT($B6332))</f>
        <v/>
      </c>
      <c r="D6332">
        <f>IF($C6332="","",$C6332-WEEKDAY($C6332,2)+1)</f>
        <v/>
      </c>
      <c r="E6332">
        <f>IF($C6332="","",DATE(YEAR($C6332),MONTH($C6332),1))</f>
        <v/>
      </c>
      <c r="F6332">
        <f>IF($C6332="","",YEAR($C6332)&amp;"-Q"&amp;ROUNDUP(MONTH($C6332)/3,0))</f>
        <v/>
      </c>
      <c r="L6332">
        <f>IF($G6332&lt;&gt;"ALCOHOL","",IF($K6332="","",$H6332*IFERROR(VLOOKUP($K6332,Drink_Templates!$A:$G,7,FALSE),0)))</f>
        <v/>
      </c>
    </row>
    <row r="6333" ht="15" customHeight="1">
      <c r="C6333">
        <f>IF($B6333="","",INT($B6333))</f>
        <v/>
      </c>
      <c r="D6333">
        <f>IF($C6333="","",$C6333-WEEKDAY($C6333,2)+1)</f>
        <v/>
      </c>
      <c r="E6333">
        <f>IF($C6333="","",DATE(YEAR($C6333),MONTH($C6333),1))</f>
        <v/>
      </c>
      <c r="F6333">
        <f>IF($C6333="","",YEAR($C6333)&amp;"-Q"&amp;ROUNDUP(MONTH($C6333)/3,0))</f>
        <v/>
      </c>
      <c r="L6333">
        <f>IF($G6333&lt;&gt;"ALCOHOL","",IF($K6333="","",$H6333*IFERROR(VLOOKUP($K6333,Drink_Templates!$A:$G,7,FALSE),0)))</f>
        <v/>
      </c>
    </row>
    <row r="6334" ht="15" customHeight="1">
      <c r="C6334">
        <f>IF($B6334="","",INT($B6334))</f>
        <v/>
      </c>
      <c r="D6334">
        <f>IF($C6334="","",$C6334-WEEKDAY($C6334,2)+1)</f>
        <v/>
      </c>
      <c r="E6334">
        <f>IF($C6334="","",DATE(YEAR($C6334),MONTH($C6334),1))</f>
        <v/>
      </c>
      <c r="F6334">
        <f>IF($C6334="","",YEAR($C6334)&amp;"-Q"&amp;ROUNDUP(MONTH($C6334)/3,0))</f>
        <v/>
      </c>
      <c r="L6334">
        <f>IF($G6334&lt;&gt;"ALCOHOL","",IF($K6334="","",$H6334*IFERROR(VLOOKUP($K6334,Drink_Templates!$A:$G,7,FALSE),0)))</f>
        <v/>
      </c>
    </row>
    <row r="6335" ht="15" customHeight="1">
      <c r="C6335">
        <f>IF($B6335="","",INT($B6335))</f>
        <v/>
      </c>
      <c r="D6335">
        <f>IF($C6335="","",$C6335-WEEKDAY($C6335,2)+1)</f>
        <v/>
      </c>
      <c r="E6335">
        <f>IF($C6335="","",DATE(YEAR($C6335),MONTH($C6335),1))</f>
        <v/>
      </c>
      <c r="F6335">
        <f>IF($C6335="","",YEAR($C6335)&amp;"-Q"&amp;ROUNDUP(MONTH($C6335)/3,0))</f>
        <v/>
      </c>
      <c r="L6335">
        <f>IF($G6335&lt;&gt;"ALCOHOL","",IF($K6335="","",$H6335*IFERROR(VLOOKUP($K6335,Drink_Templates!$A:$G,7,FALSE),0)))</f>
        <v/>
      </c>
    </row>
    <row r="6336" ht="15" customHeight="1">
      <c r="C6336">
        <f>IF($B6336="","",INT($B6336))</f>
        <v/>
      </c>
      <c r="D6336">
        <f>IF($C6336="","",$C6336-WEEKDAY($C6336,2)+1)</f>
        <v/>
      </c>
      <c r="E6336">
        <f>IF($C6336="","",DATE(YEAR($C6336),MONTH($C6336),1))</f>
        <v/>
      </c>
      <c r="F6336">
        <f>IF($C6336="","",YEAR($C6336)&amp;"-Q"&amp;ROUNDUP(MONTH($C6336)/3,0))</f>
        <v/>
      </c>
      <c r="L6336">
        <f>IF($G6336&lt;&gt;"ALCOHOL","",IF($K6336="","",$H6336*IFERROR(VLOOKUP($K6336,Drink_Templates!$A:$G,7,FALSE),0)))</f>
        <v/>
      </c>
    </row>
    <row r="6337" ht="15" customHeight="1">
      <c r="C6337">
        <f>IF($B6337="","",INT($B6337))</f>
        <v/>
      </c>
      <c r="D6337">
        <f>IF($C6337="","",$C6337-WEEKDAY($C6337,2)+1)</f>
        <v/>
      </c>
      <c r="E6337">
        <f>IF($C6337="","",DATE(YEAR($C6337),MONTH($C6337),1))</f>
        <v/>
      </c>
      <c r="F6337">
        <f>IF($C6337="","",YEAR($C6337)&amp;"-Q"&amp;ROUNDUP(MONTH($C6337)/3,0))</f>
        <v/>
      </c>
      <c r="L6337">
        <f>IF($G6337&lt;&gt;"ALCOHOL","",IF($K6337="","",$H6337*IFERROR(VLOOKUP($K6337,Drink_Templates!$A:$G,7,FALSE),0)))</f>
        <v/>
      </c>
    </row>
    <row r="6338" ht="15" customHeight="1">
      <c r="C6338">
        <f>IF($B6338="","",INT($B6338))</f>
        <v/>
      </c>
      <c r="D6338">
        <f>IF($C6338="","",$C6338-WEEKDAY($C6338,2)+1)</f>
        <v/>
      </c>
      <c r="E6338">
        <f>IF($C6338="","",DATE(YEAR($C6338),MONTH($C6338),1))</f>
        <v/>
      </c>
      <c r="F6338">
        <f>IF($C6338="","",YEAR($C6338)&amp;"-Q"&amp;ROUNDUP(MONTH($C6338)/3,0))</f>
        <v/>
      </c>
      <c r="L6338">
        <f>IF($G6338&lt;&gt;"ALCOHOL","",IF($K6338="","",$H6338*IFERROR(VLOOKUP($K6338,Drink_Templates!$A:$G,7,FALSE),0)))</f>
        <v/>
      </c>
    </row>
    <row r="6339" ht="15" customHeight="1">
      <c r="C6339">
        <f>IF($B6339="","",INT($B6339))</f>
        <v/>
      </c>
      <c r="D6339">
        <f>IF($C6339="","",$C6339-WEEKDAY($C6339,2)+1)</f>
        <v/>
      </c>
      <c r="E6339">
        <f>IF($C6339="","",DATE(YEAR($C6339),MONTH($C6339),1))</f>
        <v/>
      </c>
      <c r="F6339">
        <f>IF($C6339="","",YEAR($C6339)&amp;"-Q"&amp;ROUNDUP(MONTH($C6339)/3,0))</f>
        <v/>
      </c>
      <c r="L6339">
        <f>IF($G6339&lt;&gt;"ALCOHOL","",IF($K6339="","",$H6339*IFERROR(VLOOKUP($K6339,Drink_Templates!$A:$G,7,FALSE),0)))</f>
        <v/>
      </c>
    </row>
    <row r="6340" ht="15" customHeight="1">
      <c r="C6340">
        <f>IF($B6340="","",INT($B6340))</f>
        <v/>
      </c>
      <c r="D6340">
        <f>IF($C6340="","",$C6340-WEEKDAY($C6340,2)+1)</f>
        <v/>
      </c>
      <c r="E6340">
        <f>IF($C6340="","",DATE(YEAR($C6340),MONTH($C6340),1))</f>
        <v/>
      </c>
      <c r="F6340">
        <f>IF($C6340="","",YEAR($C6340)&amp;"-Q"&amp;ROUNDUP(MONTH($C6340)/3,0))</f>
        <v/>
      </c>
      <c r="L6340">
        <f>IF($G6340&lt;&gt;"ALCOHOL","",IF($K6340="","",$H6340*IFERROR(VLOOKUP($K6340,Drink_Templates!$A:$G,7,FALSE),0)))</f>
        <v/>
      </c>
    </row>
    <row r="6341" ht="15" customHeight="1">
      <c r="C6341">
        <f>IF($B6341="","",INT($B6341))</f>
        <v/>
      </c>
      <c r="D6341">
        <f>IF($C6341="","",$C6341-WEEKDAY($C6341,2)+1)</f>
        <v/>
      </c>
      <c r="E6341">
        <f>IF($C6341="","",DATE(YEAR($C6341),MONTH($C6341),1))</f>
        <v/>
      </c>
      <c r="F6341">
        <f>IF($C6341="","",YEAR($C6341)&amp;"-Q"&amp;ROUNDUP(MONTH($C6341)/3,0))</f>
        <v/>
      </c>
      <c r="L6341">
        <f>IF($G6341&lt;&gt;"ALCOHOL","",IF($K6341="","",$H6341*IFERROR(VLOOKUP($K6341,Drink_Templates!$A:$G,7,FALSE),0)))</f>
        <v/>
      </c>
    </row>
    <row r="6342" ht="15" customHeight="1">
      <c r="C6342">
        <f>IF($B6342="","",INT($B6342))</f>
        <v/>
      </c>
      <c r="D6342">
        <f>IF($C6342="","",$C6342-WEEKDAY($C6342,2)+1)</f>
        <v/>
      </c>
      <c r="E6342">
        <f>IF($C6342="","",DATE(YEAR($C6342),MONTH($C6342),1))</f>
        <v/>
      </c>
      <c r="F6342">
        <f>IF($C6342="","",YEAR($C6342)&amp;"-Q"&amp;ROUNDUP(MONTH($C6342)/3,0))</f>
        <v/>
      </c>
      <c r="L6342">
        <f>IF($G6342&lt;&gt;"ALCOHOL","",IF($K6342="","",$H6342*IFERROR(VLOOKUP($K6342,Drink_Templates!$A:$G,7,FALSE),0)))</f>
        <v/>
      </c>
    </row>
    <row r="6343" ht="15" customHeight="1">
      <c r="C6343">
        <f>IF($B6343="","",INT($B6343))</f>
        <v/>
      </c>
      <c r="D6343">
        <f>IF($C6343="","",$C6343-WEEKDAY($C6343,2)+1)</f>
        <v/>
      </c>
      <c r="E6343">
        <f>IF($C6343="","",DATE(YEAR($C6343),MONTH($C6343),1))</f>
        <v/>
      </c>
      <c r="F6343">
        <f>IF($C6343="","",YEAR($C6343)&amp;"-Q"&amp;ROUNDUP(MONTH($C6343)/3,0))</f>
        <v/>
      </c>
      <c r="L6343">
        <f>IF($G6343&lt;&gt;"ALCOHOL","",IF($K6343="","",$H6343*IFERROR(VLOOKUP($K6343,Drink_Templates!$A:$G,7,FALSE),0)))</f>
        <v/>
      </c>
    </row>
    <row r="6344" ht="15" customHeight="1">
      <c r="C6344">
        <f>IF($B6344="","",INT($B6344))</f>
        <v/>
      </c>
      <c r="D6344">
        <f>IF($C6344="","",$C6344-WEEKDAY($C6344,2)+1)</f>
        <v/>
      </c>
      <c r="E6344">
        <f>IF($C6344="","",DATE(YEAR($C6344),MONTH($C6344),1))</f>
        <v/>
      </c>
      <c r="F6344">
        <f>IF($C6344="","",YEAR($C6344)&amp;"-Q"&amp;ROUNDUP(MONTH($C6344)/3,0))</f>
        <v/>
      </c>
      <c r="L6344">
        <f>IF($G6344&lt;&gt;"ALCOHOL","",IF($K6344="","",$H6344*IFERROR(VLOOKUP($K6344,Drink_Templates!$A:$G,7,FALSE),0)))</f>
        <v/>
      </c>
    </row>
    <row r="6345" ht="15" customHeight="1">
      <c r="C6345">
        <f>IF($B6345="","",INT($B6345))</f>
        <v/>
      </c>
      <c r="D6345">
        <f>IF($C6345="","",$C6345-WEEKDAY($C6345,2)+1)</f>
        <v/>
      </c>
      <c r="E6345">
        <f>IF($C6345="","",DATE(YEAR($C6345),MONTH($C6345),1))</f>
        <v/>
      </c>
      <c r="F6345">
        <f>IF($C6345="","",YEAR($C6345)&amp;"-Q"&amp;ROUNDUP(MONTH($C6345)/3,0))</f>
        <v/>
      </c>
      <c r="L6345">
        <f>IF($G6345&lt;&gt;"ALCOHOL","",IF($K6345="","",$H6345*IFERROR(VLOOKUP($K6345,Drink_Templates!$A:$G,7,FALSE),0)))</f>
        <v/>
      </c>
    </row>
    <row r="6346" ht="15" customHeight="1">
      <c r="C6346">
        <f>IF($B6346="","",INT($B6346))</f>
        <v/>
      </c>
      <c r="D6346">
        <f>IF($C6346="","",$C6346-WEEKDAY($C6346,2)+1)</f>
        <v/>
      </c>
      <c r="E6346">
        <f>IF($C6346="","",DATE(YEAR($C6346),MONTH($C6346),1))</f>
        <v/>
      </c>
      <c r="F6346">
        <f>IF($C6346="","",YEAR($C6346)&amp;"-Q"&amp;ROUNDUP(MONTH($C6346)/3,0))</f>
        <v/>
      </c>
      <c r="L6346">
        <f>IF($G6346&lt;&gt;"ALCOHOL","",IF($K6346="","",$H6346*IFERROR(VLOOKUP($K6346,Drink_Templates!$A:$G,7,FALSE),0)))</f>
        <v/>
      </c>
    </row>
    <row r="6347" ht="15" customHeight="1">
      <c r="C6347">
        <f>IF($B6347="","",INT($B6347))</f>
        <v/>
      </c>
      <c r="D6347">
        <f>IF($C6347="","",$C6347-WEEKDAY($C6347,2)+1)</f>
        <v/>
      </c>
      <c r="E6347">
        <f>IF($C6347="","",DATE(YEAR($C6347),MONTH($C6347),1))</f>
        <v/>
      </c>
      <c r="F6347">
        <f>IF($C6347="","",YEAR($C6347)&amp;"-Q"&amp;ROUNDUP(MONTH($C6347)/3,0))</f>
        <v/>
      </c>
      <c r="L6347">
        <f>IF($G6347&lt;&gt;"ALCOHOL","",IF($K6347="","",$H6347*IFERROR(VLOOKUP($K6347,Drink_Templates!$A:$G,7,FALSE),0)))</f>
        <v/>
      </c>
    </row>
    <row r="6348" ht="15" customHeight="1">
      <c r="C6348">
        <f>IF($B6348="","",INT($B6348))</f>
        <v/>
      </c>
      <c r="D6348">
        <f>IF($C6348="","",$C6348-WEEKDAY($C6348,2)+1)</f>
        <v/>
      </c>
      <c r="E6348">
        <f>IF($C6348="","",DATE(YEAR($C6348),MONTH($C6348),1))</f>
        <v/>
      </c>
      <c r="F6348">
        <f>IF($C6348="","",YEAR($C6348)&amp;"-Q"&amp;ROUNDUP(MONTH($C6348)/3,0))</f>
        <v/>
      </c>
      <c r="L6348">
        <f>IF($G6348&lt;&gt;"ALCOHOL","",IF($K6348="","",$H6348*IFERROR(VLOOKUP($K6348,Drink_Templates!$A:$G,7,FALSE),0)))</f>
        <v/>
      </c>
    </row>
    <row r="6349" ht="15" customHeight="1">
      <c r="C6349">
        <f>IF($B6349="","",INT($B6349))</f>
        <v/>
      </c>
      <c r="D6349">
        <f>IF($C6349="","",$C6349-WEEKDAY($C6349,2)+1)</f>
        <v/>
      </c>
      <c r="E6349">
        <f>IF($C6349="","",DATE(YEAR($C6349),MONTH($C6349),1))</f>
        <v/>
      </c>
      <c r="F6349">
        <f>IF($C6349="","",YEAR($C6349)&amp;"-Q"&amp;ROUNDUP(MONTH($C6349)/3,0))</f>
        <v/>
      </c>
      <c r="L6349">
        <f>IF($G6349&lt;&gt;"ALCOHOL","",IF($K6349="","",$H6349*IFERROR(VLOOKUP($K6349,Drink_Templates!$A:$G,7,FALSE),0)))</f>
        <v/>
      </c>
    </row>
    <row r="6350" ht="15" customHeight="1">
      <c r="C6350">
        <f>IF($B6350="","",INT($B6350))</f>
        <v/>
      </c>
      <c r="D6350">
        <f>IF($C6350="","",$C6350-WEEKDAY($C6350,2)+1)</f>
        <v/>
      </c>
      <c r="E6350">
        <f>IF($C6350="","",DATE(YEAR($C6350),MONTH($C6350),1))</f>
        <v/>
      </c>
      <c r="F6350">
        <f>IF($C6350="","",YEAR($C6350)&amp;"-Q"&amp;ROUNDUP(MONTH($C6350)/3,0))</f>
        <v/>
      </c>
      <c r="L6350">
        <f>IF($G6350&lt;&gt;"ALCOHOL","",IF($K6350="","",$H6350*IFERROR(VLOOKUP($K6350,Drink_Templates!$A:$G,7,FALSE),0)))</f>
        <v/>
      </c>
    </row>
    <row r="6351" ht="15" customHeight="1">
      <c r="C6351">
        <f>IF($B6351="","",INT($B6351))</f>
        <v/>
      </c>
      <c r="D6351">
        <f>IF($C6351="","",$C6351-WEEKDAY($C6351,2)+1)</f>
        <v/>
      </c>
      <c r="E6351">
        <f>IF($C6351="","",DATE(YEAR($C6351),MONTH($C6351),1))</f>
        <v/>
      </c>
      <c r="F6351">
        <f>IF($C6351="","",YEAR($C6351)&amp;"-Q"&amp;ROUNDUP(MONTH($C6351)/3,0))</f>
        <v/>
      </c>
      <c r="L6351">
        <f>IF($G6351&lt;&gt;"ALCOHOL","",IF($K6351="","",$H6351*IFERROR(VLOOKUP($K6351,Drink_Templates!$A:$G,7,FALSE),0)))</f>
        <v/>
      </c>
    </row>
    <row r="6352" ht="15" customHeight="1">
      <c r="C6352">
        <f>IF($B6352="","",INT($B6352))</f>
        <v/>
      </c>
      <c r="D6352">
        <f>IF($C6352="","",$C6352-WEEKDAY($C6352,2)+1)</f>
        <v/>
      </c>
      <c r="E6352">
        <f>IF($C6352="","",DATE(YEAR($C6352),MONTH($C6352),1))</f>
        <v/>
      </c>
      <c r="F6352">
        <f>IF($C6352="","",YEAR($C6352)&amp;"-Q"&amp;ROUNDUP(MONTH($C6352)/3,0))</f>
        <v/>
      </c>
      <c r="L6352">
        <f>IF($G6352&lt;&gt;"ALCOHOL","",IF($K6352="","",$H6352*IFERROR(VLOOKUP($K6352,Drink_Templates!$A:$G,7,FALSE),0)))</f>
        <v/>
      </c>
    </row>
    <row r="6353" ht="15" customHeight="1">
      <c r="C6353">
        <f>IF($B6353="","",INT($B6353))</f>
        <v/>
      </c>
      <c r="D6353">
        <f>IF($C6353="","",$C6353-WEEKDAY($C6353,2)+1)</f>
        <v/>
      </c>
      <c r="E6353">
        <f>IF($C6353="","",DATE(YEAR($C6353),MONTH($C6353),1))</f>
        <v/>
      </c>
      <c r="F6353">
        <f>IF($C6353="","",YEAR($C6353)&amp;"-Q"&amp;ROUNDUP(MONTH($C6353)/3,0))</f>
        <v/>
      </c>
      <c r="L6353">
        <f>IF($G6353&lt;&gt;"ALCOHOL","",IF($K6353="","",$H6353*IFERROR(VLOOKUP($K6353,Drink_Templates!$A:$G,7,FALSE),0)))</f>
        <v/>
      </c>
    </row>
    <row r="6354" ht="15" customHeight="1">
      <c r="C6354">
        <f>IF($B6354="","",INT($B6354))</f>
        <v/>
      </c>
      <c r="D6354">
        <f>IF($C6354="","",$C6354-WEEKDAY($C6354,2)+1)</f>
        <v/>
      </c>
      <c r="E6354">
        <f>IF($C6354="","",DATE(YEAR($C6354),MONTH($C6354),1))</f>
        <v/>
      </c>
      <c r="F6354">
        <f>IF($C6354="","",YEAR($C6354)&amp;"-Q"&amp;ROUNDUP(MONTH($C6354)/3,0))</f>
        <v/>
      </c>
      <c r="L6354">
        <f>IF($G6354&lt;&gt;"ALCOHOL","",IF($K6354="","",$H6354*IFERROR(VLOOKUP($K6354,Drink_Templates!$A:$G,7,FALSE),0)))</f>
        <v/>
      </c>
    </row>
    <row r="6355" ht="15" customHeight="1">
      <c r="C6355">
        <f>IF($B6355="","",INT($B6355))</f>
        <v/>
      </c>
      <c r="D6355">
        <f>IF($C6355="","",$C6355-WEEKDAY($C6355,2)+1)</f>
        <v/>
      </c>
      <c r="E6355">
        <f>IF($C6355="","",DATE(YEAR($C6355),MONTH($C6355),1))</f>
        <v/>
      </c>
      <c r="F6355">
        <f>IF($C6355="","",YEAR($C6355)&amp;"-Q"&amp;ROUNDUP(MONTH($C6355)/3,0))</f>
        <v/>
      </c>
      <c r="L6355">
        <f>IF($G6355&lt;&gt;"ALCOHOL","",IF($K6355="","",$H6355*IFERROR(VLOOKUP($K6355,Drink_Templates!$A:$G,7,FALSE),0)))</f>
        <v/>
      </c>
    </row>
    <row r="6356" ht="15" customHeight="1">
      <c r="C6356">
        <f>IF($B6356="","",INT($B6356))</f>
        <v/>
      </c>
      <c r="D6356">
        <f>IF($C6356="","",$C6356-WEEKDAY($C6356,2)+1)</f>
        <v/>
      </c>
      <c r="E6356">
        <f>IF($C6356="","",DATE(YEAR($C6356),MONTH($C6356),1))</f>
        <v/>
      </c>
      <c r="F6356">
        <f>IF($C6356="","",YEAR($C6356)&amp;"-Q"&amp;ROUNDUP(MONTH($C6356)/3,0))</f>
        <v/>
      </c>
      <c r="L6356">
        <f>IF($G6356&lt;&gt;"ALCOHOL","",IF($K6356="","",$H6356*IFERROR(VLOOKUP($K6356,Drink_Templates!$A:$G,7,FALSE),0)))</f>
        <v/>
      </c>
    </row>
    <row r="6357" ht="15" customHeight="1">
      <c r="C6357">
        <f>IF($B6357="","",INT($B6357))</f>
        <v/>
      </c>
      <c r="D6357">
        <f>IF($C6357="","",$C6357-WEEKDAY($C6357,2)+1)</f>
        <v/>
      </c>
      <c r="E6357">
        <f>IF($C6357="","",DATE(YEAR($C6357),MONTH($C6357),1))</f>
        <v/>
      </c>
      <c r="F6357">
        <f>IF($C6357="","",YEAR($C6357)&amp;"-Q"&amp;ROUNDUP(MONTH($C6357)/3,0))</f>
        <v/>
      </c>
      <c r="L6357">
        <f>IF($G6357&lt;&gt;"ALCOHOL","",IF($K6357="","",$H6357*IFERROR(VLOOKUP($K6357,Drink_Templates!$A:$G,7,FALSE),0)))</f>
        <v/>
      </c>
    </row>
    <row r="6358" ht="15" customHeight="1">
      <c r="C6358">
        <f>IF($B6358="","",INT($B6358))</f>
        <v/>
      </c>
      <c r="D6358">
        <f>IF($C6358="","",$C6358-WEEKDAY($C6358,2)+1)</f>
        <v/>
      </c>
      <c r="E6358">
        <f>IF($C6358="","",DATE(YEAR($C6358),MONTH($C6358),1))</f>
        <v/>
      </c>
      <c r="F6358">
        <f>IF($C6358="","",YEAR($C6358)&amp;"-Q"&amp;ROUNDUP(MONTH($C6358)/3,0))</f>
        <v/>
      </c>
      <c r="L6358">
        <f>IF($G6358&lt;&gt;"ALCOHOL","",IF($K6358="","",$H6358*IFERROR(VLOOKUP($K6358,Drink_Templates!$A:$G,7,FALSE),0)))</f>
        <v/>
      </c>
    </row>
    <row r="6359" ht="15" customHeight="1">
      <c r="C6359">
        <f>IF($B6359="","",INT($B6359))</f>
        <v/>
      </c>
      <c r="D6359">
        <f>IF($C6359="","",$C6359-WEEKDAY($C6359,2)+1)</f>
        <v/>
      </c>
      <c r="E6359">
        <f>IF($C6359="","",DATE(YEAR($C6359),MONTH($C6359),1))</f>
        <v/>
      </c>
      <c r="F6359">
        <f>IF($C6359="","",YEAR($C6359)&amp;"-Q"&amp;ROUNDUP(MONTH($C6359)/3,0))</f>
        <v/>
      </c>
      <c r="L6359">
        <f>IF($G6359&lt;&gt;"ALCOHOL","",IF($K6359="","",$H6359*IFERROR(VLOOKUP($K6359,Drink_Templates!$A:$G,7,FALSE),0)))</f>
        <v/>
      </c>
    </row>
    <row r="6360" ht="15" customHeight="1">
      <c r="C6360">
        <f>IF($B6360="","",INT($B6360))</f>
        <v/>
      </c>
      <c r="D6360">
        <f>IF($C6360="","",$C6360-WEEKDAY($C6360,2)+1)</f>
        <v/>
      </c>
      <c r="E6360">
        <f>IF($C6360="","",DATE(YEAR($C6360),MONTH($C6360),1))</f>
        <v/>
      </c>
      <c r="F6360">
        <f>IF($C6360="","",YEAR($C6360)&amp;"-Q"&amp;ROUNDUP(MONTH($C6360)/3,0))</f>
        <v/>
      </c>
      <c r="L6360">
        <f>IF($G6360&lt;&gt;"ALCOHOL","",IF($K6360="","",$H6360*IFERROR(VLOOKUP($K6360,Drink_Templates!$A:$G,7,FALSE),0)))</f>
        <v/>
      </c>
    </row>
    <row r="6361" ht="15" customHeight="1">
      <c r="C6361">
        <f>IF($B6361="","",INT($B6361))</f>
        <v/>
      </c>
      <c r="D6361">
        <f>IF($C6361="","",$C6361-WEEKDAY($C6361,2)+1)</f>
        <v/>
      </c>
      <c r="E6361">
        <f>IF($C6361="","",DATE(YEAR($C6361),MONTH($C6361),1))</f>
        <v/>
      </c>
      <c r="F6361">
        <f>IF($C6361="","",YEAR($C6361)&amp;"-Q"&amp;ROUNDUP(MONTH($C6361)/3,0))</f>
        <v/>
      </c>
      <c r="L6361">
        <f>IF($G6361&lt;&gt;"ALCOHOL","",IF($K6361="","",$H6361*IFERROR(VLOOKUP($K6361,Drink_Templates!$A:$G,7,FALSE),0)))</f>
        <v/>
      </c>
    </row>
    <row r="6362" ht="15" customHeight="1">
      <c r="C6362">
        <f>IF($B6362="","",INT($B6362))</f>
        <v/>
      </c>
      <c r="D6362">
        <f>IF($C6362="","",$C6362-WEEKDAY($C6362,2)+1)</f>
        <v/>
      </c>
      <c r="E6362">
        <f>IF($C6362="","",DATE(YEAR($C6362),MONTH($C6362),1))</f>
        <v/>
      </c>
      <c r="F6362">
        <f>IF($C6362="","",YEAR($C6362)&amp;"-Q"&amp;ROUNDUP(MONTH($C6362)/3,0))</f>
        <v/>
      </c>
      <c r="L6362">
        <f>IF($G6362&lt;&gt;"ALCOHOL","",IF($K6362="","",$H6362*IFERROR(VLOOKUP($K6362,Drink_Templates!$A:$G,7,FALSE),0)))</f>
        <v/>
      </c>
    </row>
    <row r="6363" ht="15" customHeight="1">
      <c r="C6363">
        <f>IF($B6363="","",INT($B6363))</f>
        <v/>
      </c>
      <c r="D6363">
        <f>IF($C6363="","",$C6363-WEEKDAY($C6363,2)+1)</f>
        <v/>
      </c>
      <c r="E6363">
        <f>IF($C6363="","",DATE(YEAR($C6363),MONTH($C6363),1))</f>
        <v/>
      </c>
      <c r="F6363">
        <f>IF($C6363="","",YEAR($C6363)&amp;"-Q"&amp;ROUNDUP(MONTH($C6363)/3,0))</f>
        <v/>
      </c>
      <c r="L6363">
        <f>IF($G6363&lt;&gt;"ALCOHOL","",IF($K6363="","",$H6363*IFERROR(VLOOKUP($K6363,Drink_Templates!$A:$G,7,FALSE),0)))</f>
        <v/>
      </c>
    </row>
    <row r="6364" ht="15" customHeight="1">
      <c r="C6364">
        <f>IF($B6364="","",INT($B6364))</f>
        <v/>
      </c>
      <c r="D6364">
        <f>IF($C6364="","",$C6364-WEEKDAY($C6364,2)+1)</f>
        <v/>
      </c>
      <c r="E6364">
        <f>IF($C6364="","",DATE(YEAR($C6364),MONTH($C6364),1))</f>
        <v/>
      </c>
      <c r="F6364">
        <f>IF($C6364="","",YEAR($C6364)&amp;"-Q"&amp;ROUNDUP(MONTH($C6364)/3,0))</f>
        <v/>
      </c>
      <c r="L6364">
        <f>IF($G6364&lt;&gt;"ALCOHOL","",IF($K6364="","",$H6364*IFERROR(VLOOKUP($K6364,Drink_Templates!$A:$G,7,FALSE),0)))</f>
        <v/>
      </c>
    </row>
    <row r="6365" ht="15" customHeight="1">
      <c r="C6365">
        <f>IF($B6365="","",INT($B6365))</f>
        <v/>
      </c>
      <c r="D6365">
        <f>IF($C6365="","",$C6365-WEEKDAY($C6365,2)+1)</f>
        <v/>
      </c>
      <c r="E6365">
        <f>IF($C6365="","",DATE(YEAR($C6365),MONTH($C6365),1))</f>
        <v/>
      </c>
      <c r="F6365">
        <f>IF($C6365="","",YEAR($C6365)&amp;"-Q"&amp;ROUNDUP(MONTH($C6365)/3,0))</f>
        <v/>
      </c>
      <c r="L6365">
        <f>IF($G6365&lt;&gt;"ALCOHOL","",IF($K6365="","",$H6365*IFERROR(VLOOKUP($K6365,Drink_Templates!$A:$G,7,FALSE),0)))</f>
        <v/>
      </c>
    </row>
    <row r="6366" ht="15" customHeight="1">
      <c r="C6366">
        <f>IF($B6366="","",INT($B6366))</f>
        <v/>
      </c>
      <c r="D6366">
        <f>IF($C6366="","",$C6366-WEEKDAY($C6366,2)+1)</f>
        <v/>
      </c>
      <c r="E6366">
        <f>IF($C6366="","",DATE(YEAR($C6366),MONTH($C6366),1))</f>
        <v/>
      </c>
      <c r="F6366">
        <f>IF($C6366="","",YEAR($C6366)&amp;"-Q"&amp;ROUNDUP(MONTH($C6366)/3,0))</f>
        <v/>
      </c>
      <c r="L6366">
        <f>IF($G6366&lt;&gt;"ALCOHOL","",IF($K6366="","",$H6366*IFERROR(VLOOKUP($K6366,Drink_Templates!$A:$G,7,FALSE),0)))</f>
        <v/>
      </c>
    </row>
    <row r="6367" ht="15" customHeight="1">
      <c r="C6367">
        <f>IF($B6367="","",INT($B6367))</f>
        <v/>
      </c>
      <c r="D6367">
        <f>IF($C6367="","",$C6367-WEEKDAY($C6367,2)+1)</f>
        <v/>
      </c>
      <c r="E6367">
        <f>IF($C6367="","",DATE(YEAR($C6367),MONTH($C6367),1))</f>
        <v/>
      </c>
      <c r="F6367">
        <f>IF($C6367="","",YEAR($C6367)&amp;"-Q"&amp;ROUNDUP(MONTH($C6367)/3,0))</f>
        <v/>
      </c>
      <c r="L6367">
        <f>IF($G6367&lt;&gt;"ALCOHOL","",IF($K6367="","",$H6367*IFERROR(VLOOKUP($K6367,Drink_Templates!$A:$G,7,FALSE),0)))</f>
        <v/>
      </c>
    </row>
    <row r="6368" ht="15" customHeight="1">
      <c r="C6368">
        <f>IF($B6368="","",INT($B6368))</f>
        <v/>
      </c>
      <c r="D6368">
        <f>IF($C6368="","",$C6368-WEEKDAY($C6368,2)+1)</f>
        <v/>
      </c>
      <c r="E6368">
        <f>IF($C6368="","",DATE(YEAR($C6368),MONTH($C6368),1))</f>
        <v/>
      </c>
      <c r="F6368">
        <f>IF($C6368="","",YEAR($C6368)&amp;"-Q"&amp;ROUNDUP(MONTH($C6368)/3,0))</f>
        <v/>
      </c>
      <c r="L6368">
        <f>IF($G6368&lt;&gt;"ALCOHOL","",IF($K6368="","",$H6368*IFERROR(VLOOKUP($K6368,Drink_Templates!$A:$G,7,FALSE),0)))</f>
        <v/>
      </c>
    </row>
    <row r="6369" ht="15" customHeight="1">
      <c r="C6369">
        <f>IF($B6369="","",INT($B6369))</f>
        <v/>
      </c>
      <c r="D6369">
        <f>IF($C6369="","",$C6369-WEEKDAY($C6369,2)+1)</f>
        <v/>
      </c>
      <c r="E6369">
        <f>IF($C6369="","",DATE(YEAR($C6369),MONTH($C6369),1))</f>
        <v/>
      </c>
      <c r="F6369">
        <f>IF($C6369="","",YEAR($C6369)&amp;"-Q"&amp;ROUNDUP(MONTH($C6369)/3,0))</f>
        <v/>
      </c>
      <c r="L6369">
        <f>IF($G6369&lt;&gt;"ALCOHOL","",IF($K6369="","",$H6369*IFERROR(VLOOKUP($K6369,Drink_Templates!$A:$G,7,FALSE),0)))</f>
        <v/>
      </c>
    </row>
    <row r="6370" ht="15" customHeight="1">
      <c r="C6370">
        <f>IF($B6370="","",INT($B6370))</f>
        <v/>
      </c>
      <c r="D6370">
        <f>IF($C6370="","",$C6370-WEEKDAY($C6370,2)+1)</f>
        <v/>
      </c>
      <c r="E6370">
        <f>IF($C6370="","",DATE(YEAR($C6370),MONTH($C6370),1))</f>
        <v/>
      </c>
      <c r="F6370">
        <f>IF($C6370="","",YEAR($C6370)&amp;"-Q"&amp;ROUNDUP(MONTH($C6370)/3,0))</f>
        <v/>
      </c>
      <c r="L6370">
        <f>IF($G6370&lt;&gt;"ALCOHOL","",IF($K6370="","",$H6370*IFERROR(VLOOKUP($K6370,Drink_Templates!$A:$G,7,FALSE),0)))</f>
        <v/>
      </c>
    </row>
    <row r="6371" ht="15" customHeight="1">
      <c r="C6371">
        <f>IF($B6371="","",INT($B6371))</f>
        <v/>
      </c>
      <c r="D6371">
        <f>IF($C6371="","",$C6371-WEEKDAY($C6371,2)+1)</f>
        <v/>
      </c>
      <c r="E6371">
        <f>IF($C6371="","",DATE(YEAR($C6371),MONTH($C6371),1))</f>
        <v/>
      </c>
      <c r="F6371">
        <f>IF($C6371="","",YEAR($C6371)&amp;"-Q"&amp;ROUNDUP(MONTH($C6371)/3,0))</f>
        <v/>
      </c>
      <c r="L6371">
        <f>IF($G6371&lt;&gt;"ALCOHOL","",IF($K6371="","",$H6371*IFERROR(VLOOKUP($K6371,Drink_Templates!$A:$G,7,FALSE),0)))</f>
        <v/>
      </c>
    </row>
    <row r="6372" ht="15" customHeight="1">
      <c r="C6372">
        <f>IF($B6372="","",INT($B6372))</f>
        <v/>
      </c>
      <c r="D6372">
        <f>IF($C6372="","",$C6372-WEEKDAY($C6372,2)+1)</f>
        <v/>
      </c>
      <c r="E6372">
        <f>IF($C6372="","",DATE(YEAR($C6372),MONTH($C6372),1))</f>
        <v/>
      </c>
      <c r="F6372">
        <f>IF($C6372="","",YEAR($C6372)&amp;"-Q"&amp;ROUNDUP(MONTH($C6372)/3,0))</f>
        <v/>
      </c>
      <c r="L6372">
        <f>IF($G6372&lt;&gt;"ALCOHOL","",IF($K6372="","",$H6372*IFERROR(VLOOKUP($K6372,Drink_Templates!$A:$G,7,FALSE),0)))</f>
        <v/>
      </c>
    </row>
    <row r="6373" ht="15" customHeight="1">
      <c r="C6373">
        <f>IF($B6373="","",INT($B6373))</f>
        <v/>
      </c>
      <c r="D6373">
        <f>IF($C6373="","",$C6373-WEEKDAY($C6373,2)+1)</f>
        <v/>
      </c>
      <c r="E6373">
        <f>IF($C6373="","",DATE(YEAR($C6373),MONTH($C6373),1))</f>
        <v/>
      </c>
      <c r="F6373">
        <f>IF($C6373="","",YEAR($C6373)&amp;"-Q"&amp;ROUNDUP(MONTH($C6373)/3,0))</f>
        <v/>
      </c>
      <c r="L6373">
        <f>IF($G6373&lt;&gt;"ALCOHOL","",IF($K6373="","",$H6373*IFERROR(VLOOKUP($K6373,Drink_Templates!$A:$G,7,FALSE),0)))</f>
        <v/>
      </c>
    </row>
    <row r="6374" ht="15" customHeight="1">
      <c r="C6374">
        <f>IF($B6374="","",INT($B6374))</f>
        <v/>
      </c>
      <c r="D6374">
        <f>IF($C6374="","",$C6374-WEEKDAY($C6374,2)+1)</f>
        <v/>
      </c>
      <c r="E6374">
        <f>IF($C6374="","",DATE(YEAR($C6374),MONTH($C6374),1))</f>
        <v/>
      </c>
      <c r="F6374">
        <f>IF($C6374="","",YEAR($C6374)&amp;"-Q"&amp;ROUNDUP(MONTH($C6374)/3,0))</f>
        <v/>
      </c>
      <c r="L6374">
        <f>IF($G6374&lt;&gt;"ALCOHOL","",IF($K6374="","",$H6374*IFERROR(VLOOKUP($K6374,Drink_Templates!$A:$G,7,FALSE),0)))</f>
        <v/>
      </c>
    </row>
    <row r="6375" ht="15" customHeight="1">
      <c r="C6375">
        <f>IF($B6375="","",INT($B6375))</f>
        <v/>
      </c>
      <c r="D6375">
        <f>IF($C6375="","",$C6375-WEEKDAY($C6375,2)+1)</f>
        <v/>
      </c>
      <c r="E6375">
        <f>IF($C6375="","",DATE(YEAR($C6375),MONTH($C6375),1))</f>
        <v/>
      </c>
      <c r="F6375">
        <f>IF($C6375="","",YEAR($C6375)&amp;"-Q"&amp;ROUNDUP(MONTH($C6375)/3,0))</f>
        <v/>
      </c>
      <c r="L6375">
        <f>IF($G6375&lt;&gt;"ALCOHOL","",IF($K6375="","",$H6375*IFERROR(VLOOKUP($K6375,Drink_Templates!$A:$G,7,FALSE),0)))</f>
        <v/>
      </c>
    </row>
    <row r="6376" ht="15" customHeight="1">
      <c r="C6376">
        <f>IF($B6376="","",INT($B6376))</f>
        <v/>
      </c>
      <c r="D6376">
        <f>IF($C6376="","",$C6376-WEEKDAY($C6376,2)+1)</f>
        <v/>
      </c>
      <c r="E6376">
        <f>IF($C6376="","",DATE(YEAR($C6376),MONTH($C6376),1))</f>
        <v/>
      </c>
      <c r="F6376">
        <f>IF($C6376="","",YEAR($C6376)&amp;"-Q"&amp;ROUNDUP(MONTH($C6376)/3,0))</f>
        <v/>
      </c>
      <c r="L6376">
        <f>IF($G6376&lt;&gt;"ALCOHOL","",IF($K6376="","",$H6376*IFERROR(VLOOKUP($K6376,Drink_Templates!$A:$G,7,FALSE),0)))</f>
        <v/>
      </c>
    </row>
    <row r="6377" ht="15" customHeight="1">
      <c r="C6377">
        <f>IF($B6377="","",INT($B6377))</f>
        <v/>
      </c>
      <c r="D6377">
        <f>IF($C6377="","",$C6377-WEEKDAY($C6377,2)+1)</f>
        <v/>
      </c>
      <c r="E6377">
        <f>IF($C6377="","",DATE(YEAR($C6377),MONTH($C6377),1))</f>
        <v/>
      </c>
      <c r="F6377">
        <f>IF($C6377="","",YEAR($C6377)&amp;"-Q"&amp;ROUNDUP(MONTH($C6377)/3,0))</f>
        <v/>
      </c>
      <c r="L6377">
        <f>IF($G6377&lt;&gt;"ALCOHOL","",IF($K6377="","",$H6377*IFERROR(VLOOKUP($K6377,Drink_Templates!$A:$G,7,FALSE),0)))</f>
        <v/>
      </c>
    </row>
    <row r="6378" ht="15" customHeight="1">
      <c r="C6378">
        <f>IF($B6378="","",INT($B6378))</f>
        <v/>
      </c>
      <c r="D6378">
        <f>IF($C6378="","",$C6378-WEEKDAY($C6378,2)+1)</f>
        <v/>
      </c>
      <c r="E6378">
        <f>IF($C6378="","",DATE(YEAR($C6378),MONTH($C6378),1))</f>
        <v/>
      </c>
      <c r="F6378">
        <f>IF($C6378="","",YEAR($C6378)&amp;"-Q"&amp;ROUNDUP(MONTH($C6378)/3,0))</f>
        <v/>
      </c>
      <c r="L6378">
        <f>IF($G6378&lt;&gt;"ALCOHOL","",IF($K6378="","",$H6378*IFERROR(VLOOKUP($K6378,Drink_Templates!$A:$G,7,FALSE),0)))</f>
        <v/>
      </c>
    </row>
    <row r="6379" ht="15" customHeight="1">
      <c r="C6379">
        <f>IF($B6379="","",INT($B6379))</f>
        <v/>
      </c>
      <c r="D6379">
        <f>IF($C6379="","",$C6379-WEEKDAY($C6379,2)+1)</f>
        <v/>
      </c>
      <c r="E6379">
        <f>IF($C6379="","",DATE(YEAR($C6379),MONTH($C6379),1))</f>
        <v/>
      </c>
      <c r="F6379">
        <f>IF($C6379="","",YEAR($C6379)&amp;"-Q"&amp;ROUNDUP(MONTH($C6379)/3,0))</f>
        <v/>
      </c>
      <c r="L6379">
        <f>IF($G6379&lt;&gt;"ALCOHOL","",IF($K6379="","",$H6379*IFERROR(VLOOKUP($K6379,Drink_Templates!$A:$G,7,FALSE),0)))</f>
        <v/>
      </c>
    </row>
    <row r="6380" ht="15" customHeight="1">
      <c r="C6380">
        <f>IF($B6380="","",INT($B6380))</f>
        <v/>
      </c>
      <c r="D6380">
        <f>IF($C6380="","",$C6380-WEEKDAY($C6380,2)+1)</f>
        <v/>
      </c>
      <c r="E6380">
        <f>IF($C6380="","",DATE(YEAR($C6380),MONTH($C6380),1))</f>
        <v/>
      </c>
      <c r="F6380">
        <f>IF($C6380="","",YEAR($C6380)&amp;"-Q"&amp;ROUNDUP(MONTH($C6380)/3,0))</f>
        <v/>
      </c>
      <c r="L6380">
        <f>IF($G6380&lt;&gt;"ALCOHOL","",IF($K6380="","",$H6380*IFERROR(VLOOKUP($K6380,Drink_Templates!$A:$G,7,FALSE),0)))</f>
        <v/>
      </c>
    </row>
    <row r="6381" ht="15" customHeight="1">
      <c r="C6381">
        <f>IF($B6381="","",INT($B6381))</f>
        <v/>
      </c>
      <c r="D6381">
        <f>IF($C6381="","",$C6381-WEEKDAY($C6381,2)+1)</f>
        <v/>
      </c>
      <c r="E6381">
        <f>IF($C6381="","",DATE(YEAR($C6381),MONTH($C6381),1))</f>
        <v/>
      </c>
      <c r="F6381">
        <f>IF($C6381="","",YEAR($C6381)&amp;"-Q"&amp;ROUNDUP(MONTH($C6381)/3,0))</f>
        <v/>
      </c>
      <c r="L6381">
        <f>IF($G6381&lt;&gt;"ALCOHOL","",IF($K6381="","",$H6381*IFERROR(VLOOKUP($K6381,Drink_Templates!$A:$G,7,FALSE),0)))</f>
        <v/>
      </c>
    </row>
    <row r="6382" ht="15" customHeight="1">
      <c r="C6382">
        <f>IF($B6382="","",INT($B6382))</f>
        <v/>
      </c>
      <c r="D6382">
        <f>IF($C6382="","",$C6382-WEEKDAY($C6382,2)+1)</f>
        <v/>
      </c>
      <c r="E6382">
        <f>IF($C6382="","",DATE(YEAR($C6382),MONTH($C6382),1))</f>
        <v/>
      </c>
      <c r="F6382">
        <f>IF($C6382="","",YEAR($C6382)&amp;"-Q"&amp;ROUNDUP(MONTH($C6382)/3,0))</f>
        <v/>
      </c>
      <c r="L6382">
        <f>IF($G6382&lt;&gt;"ALCOHOL","",IF($K6382="","",$H6382*IFERROR(VLOOKUP($K6382,Drink_Templates!$A:$G,7,FALSE),0)))</f>
        <v/>
      </c>
    </row>
    <row r="6383" ht="15" customHeight="1">
      <c r="C6383">
        <f>IF($B6383="","",INT($B6383))</f>
        <v/>
      </c>
      <c r="D6383">
        <f>IF($C6383="","",$C6383-WEEKDAY($C6383,2)+1)</f>
        <v/>
      </c>
      <c r="E6383">
        <f>IF($C6383="","",DATE(YEAR($C6383),MONTH($C6383),1))</f>
        <v/>
      </c>
      <c r="F6383">
        <f>IF($C6383="","",YEAR($C6383)&amp;"-Q"&amp;ROUNDUP(MONTH($C6383)/3,0))</f>
        <v/>
      </c>
      <c r="L6383">
        <f>IF($G6383&lt;&gt;"ALCOHOL","",IF($K6383="","",$H6383*IFERROR(VLOOKUP($K6383,Drink_Templates!$A:$G,7,FALSE),0)))</f>
        <v/>
      </c>
    </row>
    <row r="6384" ht="15" customHeight="1">
      <c r="C6384">
        <f>IF($B6384="","",INT($B6384))</f>
        <v/>
      </c>
      <c r="D6384">
        <f>IF($C6384="","",$C6384-WEEKDAY($C6384,2)+1)</f>
        <v/>
      </c>
      <c r="E6384">
        <f>IF($C6384="","",DATE(YEAR($C6384),MONTH($C6384),1))</f>
        <v/>
      </c>
      <c r="F6384">
        <f>IF($C6384="","",YEAR($C6384)&amp;"-Q"&amp;ROUNDUP(MONTH($C6384)/3,0))</f>
        <v/>
      </c>
      <c r="L6384">
        <f>IF($G6384&lt;&gt;"ALCOHOL","",IF($K6384="","",$H6384*IFERROR(VLOOKUP($K6384,Drink_Templates!$A:$G,7,FALSE),0)))</f>
        <v/>
      </c>
    </row>
    <row r="6385" ht="15" customHeight="1">
      <c r="C6385">
        <f>IF($B6385="","",INT($B6385))</f>
        <v/>
      </c>
      <c r="D6385">
        <f>IF($C6385="","",$C6385-WEEKDAY($C6385,2)+1)</f>
        <v/>
      </c>
      <c r="E6385">
        <f>IF($C6385="","",DATE(YEAR($C6385),MONTH($C6385),1))</f>
        <v/>
      </c>
      <c r="F6385">
        <f>IF($C6385="","",YEAR($C6385)&amp;"-Q"&amp;ROUNDUP(MONTH($C6385)/3,0))</f>
        <v/>
      </c>
      <c r="L6385">
        <f>IF($G6385&lt;&gt;"ALCOHOL","",IF($K6385="","",$H6385*IFERROR(VLOOKUP($K6385,Drink_Templates!$A:$G,7,FALSE),0)))</f>
        <v/>
      </c>
    </row>
    <row r="6386" ht="15" customHeight="1">
      <c r="C6386">
        <f>IF($B6386="","",INT($B6386))</f>
        <v/>
      </c>
      <c r="D6386">
        <f>IF($C6386="","",$C6386-WEEKDAY($C6386,2)+1)</f>
        <v/>
      </c>
      <c r="E6386">
        <f>IF($C6386="","",DATE(YEAR($C6386),MONTH($C6386),1))</f>
        <v/>
      </c>
      <c r="F6386">
        <f>IF($C6386="","",YEAR($C6386)&amp;"-Q"&amp;ROUNDUP(MONTH($C6386)/3,0))</f>
        <v/>
      </c>
      <c r="L6386">
        <f>IF($G6386&lt;&gt;"ALCOHOL","",IF($K6386="","",$H6386*IFERROR(VLOOKUP($K6386,Drink_Templates!$A:$G,7,FALSE),0)))</f>
        <v/>
      </c>
    </row>
    <row r="6387" ht="15" customHeight="1">
      <c r="C6387">
        <f>IF($B6387="","",INT($B6387))</f>
        <v/>
      </c>
      <c r="D6387">
        <f>IF($C6387="","",$C6387-WEEKDAY($C6387,2)+1)</f>
        <v/>
      </c>
      <c r="E6387">
        <f>IF($C6387="","",DATE(YEAR($C6387),MONTH($C6387),1))</f>
        <v/>
      </c>
      <c r="F6387">
        <f>IF($C6387="","",YEAR($C6387)&amp;"-Q"&amp;ROUNDUP(MONTH($C6387)/3,0))</f>
        <v/>
      </c>
      <c r="L6387">
        <f>IF($G6387&lt;&gt;"ALCOHOL","",IF($K6387="","",$H6387*IFERROR(VLOOKUP($K6387,Drink_Templates!$A:$G,7,FALSE),0)))</f>
        <v/>
      </c>
    </row>
    <row r="6388" ht="15" customHeight="1">
      <c r="C6388">
        <f>IF($B6388="","",INT($B6388))</f>
        <v/>
      </c>
      <c r="D6388">
        <f>IF($C6388="","",$C6388-WEEKDAY($C6388,2)+1)</f>
        <v/>
      </c>
      <c r="E6388">
        <f>IF($C6388="","",DATE(YEAR($C6388),MONTH($C6388),1))</f>
        <v/>
      </c>
      <c r="F6388">
        <f>IF($C6388="","",YEAR($C6388)&amp;"-Q"&amp;ROUNDUP(MONTH($C6388)/3,0))</f>
        <v/>
      </c>
      <c r="L6388">
        <f>IF($G6388&lt;&gt;"ALCOHOL","",IF($K6388="","",$H6388*IFERROR(VLOOKUP($K6388,Drink_Templates!$A:$G,7,FALSE),0)))</f>
        <v/>
      </c>
    </row>
    <row r="6389" ht="15" customHeight="1">
      <c r="C6389">
        <f>IF($B6389="","",INT($B6389))</f>
        <v/>
      </c>
      <c r="D6389">
        <f>IF($C6389="","",$C6389-WEEKDAY($C6389,2)+1)</f>
        <v/>
      </c>
      <c r="E6389">
        <f>IF($C6389="","",DATE(YEAR($C6389),MONTH($C6389),1))</f>
        <v/>
      </c>
      <c r="F6389">
        <f>IF($C6389="","",YEAR($C6389)&amp;"-Q"&amp;ROUNDUP(MONTH($C6389)/3,0))</f>
        <v/>
      </c>
      <c r="L6389">
        <f>IF($G6389&lt;&gt;"ALCOHOL","",IF($K6389="","",$H6389*IFERROR(VLOOKUP($K6389,Drink_Templates!$A:$G,7,FALSE),0)))</f>
        <v/>
      </c>
    </row>
    <row r="6390" ht="15" customHeight="1">
      <c r="C6390">
        <f>IF($B6390="","",INT($B6390))</f>
        <v/>
      </c>
      <c r="D6390">
        <f>IF($C6390="","",$C6390-WEEKDAY($C6390,2)+1)</f>
        <v/>
      </c>
      <c r="E6390">
        <f>IF($C6390="","",DATE(YEAR($C6390),MONTH($C6390),1))</f>
        <v/>
      </c>
      <c r="F6390">
        <f>IF($C6390="","",YEAR($C6390)&amp;"-Q"&amp;ROUNDUP(MONTH($C6390)/3,0))</f>
        <v/>
      </c>
      <c r="L6390">
        <f>IF($G6390&lt;&gt;"ALCOHOL","",IF($K6390="","",$H6390*IFERROR(VLOOKUP($K6390,Drink_Templates!$A:$G,7,FALSE),0)))</f>
        <v/>
      </c>
    </row>
    <row r="6391" ht="15" customHeight="1">
      <c r="C6391">
        <f>IF($B6391="","",INT($B6391))</f>
        <v/>
      </c>
      <c r="D6391">
        <f>IF($C6391="","",$C6391-WEEKDAY($C6391,2)+1)</f>
        <v/>
      </c>
      <c r="E6391">
        <f>IF($C6391="","",DATE(YEAR($C6391),MONTH($C6391),1))</f>
        <v/>
      </c>
      <c r="F6391">
        <f>IF($C6391="","",YEAR($C6391)&amp;"-Q"&amp;ROUNDUP(MONTH($C6391)/3,0))</f>
        <v/>
      </c>
      <c r="L6391">
        <f>IF($G6391&lt;&gt;"ALCOHOL","",IF($K6391="","",$H6391*IFERROR(VLOOKUP($K6391,Drink_Templates!$A:$G,7,FALSE),0)))</f>
        <v/>
      </c>
    </row>
    <row r="6392" ht="15" customHeight="1">
      <c r="C6392">
        <f>IF($B6392="","",INT($B6392))</f>
        <v/>
      </c>
      <c r="D6392">
        <f>IF($C6392="","",$C6392-WEEKDAY($C6392,2)+1)</f>
        <v/>
      </c>
      <c r="E6392">
        <f>IF($C6392="","",DATE(YEAR($C6392),MONTH($C6392),1))</f>
        <v/>
      </c>
      <c r="F6392">
        <f>IF($C6392="","",YEAR($C6392)&amp;"-Q"&amp;ROUNDUP(MONTH($C6392)/3,0))</f>
        <v/>
      </c>
      <c r="L6392">
        <f>IF($G6392&lt;&gt;"ALCOHOL","",IF($K6392="","",$H6392*IFERROR(VLOOKUP($K6392,Drink_Templates!$A:$G,7,FALSE),0)))</f>
        <v/>
      </c>
    </row>
    <row r="6393" ht="15" customHeight="1">
      <c r="C6393">
        <f>IF($B6393="","",INT($B6393))</f>
        <v/>
      </c>
      <c r="D6393">
        <f>IF($C6393="","",$C6393-WEEKDAY($C6393,2)+1)</f>
        <v/>
      </c>
      <c r="E6393">
        <f>IF($C6393="","",DATE(YEAR($C6393),MONTH($C6393),1))</f>
        <v/>
      </c>
      <c r="F6393">
        <f>IF($C6393="","",YEAR($C6393)&amp;"-Q"&amp;ROUNDUP(MONTH($C6393)/3,0))</f>
        <v/>
      </c>
      <c r="L6393">
        <f>IF($G6393&lt;&gt;"ALCOHOL","",IF($K6393="","",$H6393*IFERROR(VLOOKUP($K6393,Drink_Templates!$A:$G,7,FALSE),0)))</f>
        <v/>
      </c>
    </row>
    <row r="6394" ht="15" customHeight="1">
      <c r="C6394">
        <f>IF($B6394="","",INT($B6394))</f>
        <v/>
      </c>
      <c r="D6394">
        <f>IF($C6394="","",$C6394-WEEKDAY($C6394,2)+1)</f>
        <v/>
      </c>
      <c r="E6394">
        <f>IF($C6394="","",DATE(YEAR($C6394),MONTH($C6394),1))</f>
        <v/>
      </c>
      <c r="F6394">
        <f>IF($C6394="","",YEAR($C6394)&amp;"-Q"&amp;ROUNDUP(MONTH($C6394)/3,0))</f>
        <v/>
      </c>
      <c r="L6394">
        <f>IF($G6394&lt;&gt;"ALCOHOL","",IF($K6394="","",$H6394*IFERROR(VLOOKUP($K6394,Drink_Templates!$A:$G,7,FALSE),0)))</f>
        <v/>
      </c>
    </row>
    <row r="6395" ht="15" customHeight="1">
      <c r="C6395">
        <f>IF($B6395="","",INT($B6395))</f>
        <v/>
      </c>
      <c r="D6395">
        <f>IF($C6395="","",$C6395-WEEKDAY($C6395,2)+1)</f>
        <v/>
      </c>
      <c r="E6395">
        <f>IF($C6395="","",DATE(YEAR($C6395),MONTH($C6395),1))</f>
        <v/>
      </c>
      <c r="F6395">
        <f>IF($C6395="","",YEAR($C6395)&amp;"-Q"&amp;ROUNDUP(MONTH($C6395)/3,0))</f>
        <v/>
      </c>
      <c r="L6395">
        <f>IF($G6395&lt;&gt;"ALCOHOL","",IF($K6395="","",$H6395*IFERROR(VLOOKUP($K6395,Drink_Templates!$A:$G,7,FALSE),0)))</f>
        <v/>
      </c>
    </row>
    <row r="6396" ht="15" customHeight="1">
      <c r="C6396">
        <f>IF($B6396="","",INT($B6396))</f>
        <v/>
      </c>
      <c r="D6396">
        <f>IF($C6396="","",$C6396-WEEKDAY($C6396,2)+1)</f>
        <v/>
      </c>
      <c r="E6396">
        <f>IF($C6396="","",DATE(YEAR($C6396),MONTH($C6396),1))</f>
        <v/>
      </c>
      <c r="F6396">
        <f>IF($C6396="","",YEAR($C6396)&amp;"-Q"&amp;ROUNDUP(MONTH($C6396)/3,0))</f>
        <v/>
      </c>
      <c r="L6396">
        <f>IF($G6396&lt;&gt;"ALCOHOL","",IF($K6396="","",$H6396*IFERROR(VLOOKUP($K6396,Drink_Templates!$A:$G,7,FALSE),0)))</f>
        <v/>
      </c>
    </row>
    <row r="6397" ht="15" customHeight="1">
      <c r="C6397">
        <f>IF($B6397="","",INT($B6397))</f>
        <v/>
      </c>
      <c r="D6397">
        <f>IF($C6397="","",$C6397-WEEKDAY($C6397,2)+1)</f>
        <v/>
      </c>
      <c r="E6397">
        <f>IF($C6397="","",DATE(YEAR($C6397),MONTH($C6397),1))</f>
        <v/>
      </c>
      <c r="F6397">
        <f>IF($C6397="","",YEAR($C6397)&amp;"-Q"&amp;ROUNDUP(MONTH($C6397)/3,0))</f>
        <v/>
      </c>
      <c r="L6397">
        <f>IF($G6397&lt;&gt;"ALCOHOL","",IF($K6397="","",$H6397*IFERROR(VLOOKUP($K6397,Drink_Templates!$A:$G,7,FALSE),0)))</f>
        <v/>
      </c>
    </row>
    <row r="6398" ht="15" customHeight="1">
      <c r="C6398">
        <f>IF($B6398="","",INT($B6398))</f>
        <v/>
      </c>
      <c r="D6398">
        <f>IF($C6398="","",$C6398-WEEKDAY($C6398,2)+1)</f>
        <v/>
      </c>
      <c r="E6398">
        <f>IF($C6398="","",DATE(YEAR($C6398),MONTH($C6398),1))</f>
        <v/>
      </c>
      <c r="F6398">
        <f>IF($C6398="","",YEAR($C6398)&amp;"-Q"&amp;ROUNDUP(MONTH($C6398)/3,0))</f>
        <v/>
      </c>
      <c r="L6398">
        <f>IF($G6398&lt;&gt;"ALCOHOL","",IF($K6398="","",$H6398*IFERROR(VLOOKUP($K6398,Drink_Templates!$A:$G,7,FALSE),0)))</f>
        <v/>
      </c>
    </row>
    <row r="6399" ht="15" customHeight="1">
      <c r="C6399">
        <f>IF($B6399="","",INT($B6399))</f>
        <v/>
      </c>
      <c r="D6399">
        <f>IF($C6399="","",$C6399-WEEKDAY($C6399,2)+1)</f>
        <v/>
      </c>
      <c r="E6399">
        <f>IF($C6399="","",DATE(YEAR($C6399),MONTH($C6399),1))</f>
        <v/>
      </c>
      <c r="F6399">
        <f>IF($C6399="","",YEAR($C6399)&amp;"-Q"&amp;ROUNDUP(MONTH($C6399)/3,0))</f>
        <v/>
      </c>
      <c r="L6399">
        <f>IF($G6399&lt;&gt;"ALCOHOL","",IF($K6399="","",$H6399*IFERROR(VLOOKUP($K6399,Drink_Templates!$A:$G,7,FALSE),0)))</f>
        <v/>
      </c>
    </row>
    <row r="6400" ht="15" customHeight="1">
      <c r="C6400">
        <f>IF($B6400="","",INT($B6400))</f>
        <v/>
      </c>
      <c r="D6400">
        <f>IF($C6400="","",$C6400-WEEKDAY($C6400,2)+1)</f>
        <v/>
      </c>
      <c r="E6400">
        <f>IF($C6400="","",DATE(YEAR($C6400),MONTH($C6400),1))</f>
        <v/>
      </c>
      <c r="F6400">
        <f>IF($C6400="","",YEAR($C6400)&amp;"-Q"&amp;ROUNDUP(MONTH($C6400)/3,0))</f>
        <v/>
      </c>
      <c r="L6400">
        <f>IF($G6400&lt;&gt;"ALCOHOL","",IF($K6400="","",$H6400*IFERROR(VLOOKUP($K6400,Drink_Templates!$A:$G,7,FALSE),0)))</f>
        <v/>
      </c>
    </row>
    <row r="6401" ht="15" customHeight="1">
      <c r="C6401">
        <f>IF($B6401="","",INT($B6401))</f>
        <v/>
      </c>
      <c r="D6401">
        <f>IF($C6401="","",$C6401-WEEKDAY($C6401,2)+1)</f>
        <v/>
      </c>
      <c r="E6401">
        <f>IF($C6401="","",DATE(YEAR($C6401),MONTH($C6401),1))</f>
        <v/>
      </c>
      <c r="F6401">
        <f>IF($C6401="","",YEAR($C6401)&amp;"-Q"&amp;ROUNDUP(MONTH($C6401)/3,0))</f>
        <v/>
      </c>
      <c r="L6401">
        <f>IF($G6401&lt;&gt;"ALCOHOL","",IF($K6401="","",$H6401*IFERROR(VLOOKUP($K6401,Drink_Templates!$A:$G,7,FALSE),0)))</f>
        <v/>
      </c>
    </row>
    <row r="6402" ht="15" customHeight="1">
      <c r="C6402">
        <f>IF($B6402="","",INT($B6402))</f>
        <v/>
      </c>
      <c r="D6402">
        <f>IF($C6402="","",$C6402-WEEKDAY($C6402,2)+1)</f>
        <v/>
      </c>
      <c r="E6402">
        <f>IF($C6402="","",DATE(YEAR($C6402),MONTH($C6402),1))</f>
        <v/>
      </c>
      <c r="F6402">
        <f>IF($C6402="","",YEAR($C6402)&amp;"-Q"&amp;ROUNDUP(MONTH($C6402)/3,0))</f>
        <v/>
      </c>
      <c r="L6402">
        <f>IF($G6402&lt;&gt;"ALCOHOL","",IF($K6402="","",$H6402*IFERROR(VLOOKUP($K6402,Drink_Templates!$A:$G,7,FALSE),0)))</f>
        <v/>
      </c>
    </row>
    <row r="6403" ht="15" customHeight="1">
      <c r="C6403">
        <f>IF($B6403="","",INT($B6403))</f>
        <v/>
      </c>
      <c r="D6403">
        <f>IF($C6403="","",$C6403-WEEKDAY($C6403,2)+1)</f>
        <v/>
      </c>
      <c r="E6403">
        <f>IF($C6403="","",DATE(YEAR($C6403),MONTH($C6403),1))</f>
        <v/>
      </c>
      <c r="F6403">
        <f>IF($C6403="","",YEAR($C6403)&amp;"-Q"&amp;ROUNDUP(MONTH($C6403)/3,0))</f>
        <v/>
      </c>
      <c r="L6403">
        <f>IF($G6403&lt;&gt;"ALCOHOL","",IF($K6403="","",$H6403*IFERROR(VLOOKUP($K6403,Drink_Templates!$A:$G,7,FALSE),0)))</f>
        <v/>
      </c>
    </row>
    <row r="6404" ht="15" customHeight="1">
      <c r="C6404">
        <f>IF($B6404="","",INT($B6404))</f>
        <v/>
      </c>
      <c r="D6404">
        <f>IF($C6404="","",$C6404-WEEKDAY($C6404,2)+1)</f>
        <v/>
      </c>
      <c r="E6404">
        <f>IF($C6404="","",DATE(YEAR($C6404),MONTH($C6404),1))</f>
        <v/>
      </c>
      <c r="F6404">
        <f>IF($C6404="","",YEAR($C6404)&amp;"-Q"&amp;ROUNDUP(MONTH($C6404)/3,0))</f>
        <v/>
      </c>
      <c r="L6404">
        <f>IF($G6404&lt;&gt;"ALCOHOL","",IF($K6404="","",$H6404*IFERROR(VLOOKUP($K6404,Drink_Templates!$A:$G,7,FALSE),0)))</f>
        <v/>
      </c>
    </row>
    <row r="6405" ht="15" customHeight="1">
      <c r="C6405">
        <f>IF($B6405="","",INT($B6405))</f>
        <v/>
      </c>
      <c r="D6405">
        <f>IF($C6405="","",$C6405-WEEKDAY($C6405,2)+1)</f>
        <v/>
      </c>
      <c r="E6405">
        <f>IF($C6405="","",DATE(YEAR($C6405),MONTH($C6405),1))</f>
        <v/>
      </c>
      <c r="F6405">
        <f>IF($C6405="","",YEAR($C6405)&amp;"-Q"&amp;ROUNDUP(MONTH($C6405)/3,0))</f>
        <v/>
      </c>
      <c r="L6405">
        <f>IF($G6405&lt;&gt;"ALCOHOL","",IF($K6405="","",$H6405*IFERROR(VLOOKUP($K6405,Drink_Templates!$A:$G,7,FALSE),0)))</f>
        <v/>
      </c>
    </row>
    <row r="6406" ht="15" customHeight="1">
      <c r="C6406">
        <f>IF($B6406="","",INT($B6406))</f>
        <v/>
      </c>
      <c r="D6406">
        <f>IF($C6406="","",$C6406-WEEKDAY($C6406,2)+1)</f>
        <v/>
      </c>
      <c r="E6406">
        <f>IF($C6406="","",DATE(YEAR($C6406),MONTH($C6406),1))</f>
        <v/>
      </c>
      <c r="F6406">
        <f>IF($C6406="","",YEAR($C6406)&amp;"-Q"&amp;ROUNDUP(MONTH($C6406)/3,0))</f>
        <v/>
      </c>
      <c r="L6406">
        <f>IF($G6406&lt;&gt;"ALCOHOL","",IF($K6406="","",$H6406*IFERROR(VLOOKUP($K6406,Drink_Templates!$A:$G,7,FALSE),0)))</f>
        <v/>
      </c>
    </row>
    <row r="6407" ht="15" customHeight="1">
      <c r="C6407">
        <f>IF($B6407="","",INT($B6407))</f>
        <v/>
      </c>
      <c r="D6407">
        <f>IF($C6407="","",$C6407-WEEKDAY($C6407,2)+1)</f>
        <v/>
      </c>
      <c r="E6407">
        <f>IF($C6407="","",DATE(YEAR($C6407),MONTH($C6407),1))</f>
        <v/>
      </c>
      <c r="F6407">
        <f>IF($C6407="","",YEAR($C6407)&amp;"-Q"&amp;ROUNDUP(MONTH($C6407)/3,0))</f>
        <v/>
      </c>
      <c r="L6407">
        <f>IF($G6407&lt;&gt;"ALCOHOL","",IF($K6407="","",$H6407*IFERROR(VLOOKUP($K6407,Drink_Templates!$A:$G,7,FALSE),0)))</f>
        <v/>
      </c>
    </row>
    <row r="6408" ht="15" customHeight="1">
      <c r="C6408">
        <f>IF($B6408="","",INT($B6408))</f>
        <v/>
      </c>
      <c r="D6408">
        <f>IF($C6408="","",$C6408-WEEKDAY($C6408,2)+1)</f>
        <v/>
      </c>
      <c r="E6408">
        <f>IF($C6408="","",DATE(YEAR($C6408),MONTH($C6408),1))</f>
        <v/>
      </c>
      <c r="F6408">
        <f>IF($C6408="","",YEAR($C6408)&amp;"-Q"&amp;ROUNDUP(MONTH($C6408)/3,0))</f>
        <v/>
      </c>
      <c r="L6408">
        <f>IF($G6408&lt;&gt;"ALCOHOL","",IF($K6408="","",$H6408*IFERROR(VLOOKUP($K6408,Drink_Templates!$A:$G,7,FALSE),0)))</f>
        <v/>
      </c>
    </row>
    <row r="6409" ht="15" customHeight="1">
      <c r="C6409">
        <f>IF($B6409="","",INT($B6409))</f>
        <v/>
      </c>
      <c r="D6409">
        <f>IF($C6409="","",$C6409-WEEKDAY($C6409,2)+1)</f>
        <v/>
      </c>
      <c r="E6409">
        <f>IF($C6409="","",DATE(YEAR($C6409),MONTH($C6409),1))</f>
        <v/>
      </c>
      <c r="F6409">
        <f>IF($C6409="","",YEAR($C6409)&amp;"-Q"&amp;ROUNDUP(MONTH($C6409)/3,0))</f>
        <v/>
      </c>
      <c r="L6409">
        <f>IF($G6409&lt;&gt;"ALCOHOL","",IF($K6409="","",$H6409*IFERROR(VLOOKUP($K6409,Drink_Templates!$A:$G,7,FALSE),0)))</f>
        <v/>
      </c>
    </row>
    <row r="6410" ht="15" customHeight="1">
      <c r="C6410">
        <f>IF($B6410="","",INT($B6410))</f>
        <v/>
      </c>
      <c r="D6410">
        <f>IF($C6410="","",$C6410-WEEKDAY($C6410,2)+1)</f>
        <v/>
      </c>
      <c r="E6410">
        <f>IF($C6410="","",DATE(YEAR($C6410),MONTH($C6410),1))</f>
        <v/>
      </c>
      <c r="F6410">
        <f>IF($C6410="","",YEAR($C6410)&amp;"-Q"&amp;ROUNDUP(MONTH($C6410)/3,0))</f>
        <v/>
      </c>
      <c r="L6410">
        <f>IF($G6410&lt;&gt;"ALCOHOL","",IF($K6410="","",$H6410*IFERROR(VLOOKUP($K6410,Drink_Templates!$A:$G,7,FALSE),0)))</f>
        <v/>
      </c>
    </row>
    <row r="6411" ht="15" customHeight="1">
      <c r="C6411">
        <f>IF($B6411="","",INT($B6411))</f>
        <v/>
      </c>
      <c r="D6411">
        <f>IF($C6411="","",$C6411-WEEKDAY($C6411,2)+1)</f>
        <v/>
      </c>
      <c r="E6411">
        <f>IF($C6411="","",DATE(YEAR($C6411),MONTH($C6411),1))</f>
        <v/>
      </c>
      <c r="F6411">
        <f>IF($C6411="","",YEAR($C6411)&amp;"-Q"&amp;ROUNDUP(MONTH($C6411)/3,0))</f>
        <v/>
      </c>
      <c r="L6411">
        <f>IF($G6411&lt;&gt;"ALCOHOL","",IF($K6411="","",$H6411*IFERROR(VLOOKUP($K6411,Drink_Templates!$A:$G,7,FALSE),0)))</f>
        <v/>
      </c>
    </row>
    <row r="6412" ht="15" customHeight="1">
      <c r="C6412">
        <f>IF($B6412="","",INT($B6412))</f>
        <v/>
      </c>
      <c r="D6412">
        <f>IF($C6412="","",$C6412-WEEKDAY($C6412,2)+1)</f>
        <v/>
      </c>
      <c r="E6412">
        <f>IF($C6412="","",DATE(YEAR($C6412),MONTH($C6412),1))</f>
        <v/>
      </c>
      <c r="F6412">
        <f>IF($C6412="","",YEAR($C6412)&amp;"-Q"&amp;ROUNDUP(MONTH($C6412)/3,0))</f>
        <v/>
      </c>
      <c r="L6412">
        <f>IF($G6412&lt;&gt;"ALCOHOL","",IF($K6412="","",$H6412*IFERROR(VLOOKUP($K6412,Drink_Templates!$A:$G,7,FALSE),0)))</f>
        <v/>
      </c>
    </row>
    <row r="6413" ht="15" customHeight="1">
      <c r="C6413">
        <f>IF($B6413="","",INT($B6413))</f>
        <v/>
      </c>
      <c r="D6413">
        <f>IF($C6413="","",$C6413-WEEKDAY($C6413,2)+1)</f>
        <v/>
      </c>
      <c r="E6413">
        <f>IF($C6413="","",DATE(YEAR($C6413),MONTH($C6413),1))</f>
        <v/>
      </c>
      <c r="F6413">
        <f>IF($C6413="","",YEAR($C6413)&amp;"-Q"&amp;ROUNDUP(MONTH($C6413)/3,0))</f>
        <v/>
      </c>
      <c r="L6413">
        <f>IF($G6413&lt;&gt;"ALCOHOL","",IF($K6413="","",$H6413*IFERROR(VLOOKUP($K6413,Drink_Templates!$A:$G,7,FALSE),0)))</f>
        <v/>
      </c>
    </row>
    <row r="6414" ht="15" customHeight="1">
      <c r="C6414">
        <f>IF($B6414="","",INT($B6414))</f>
        <v/>
      </c>
      <c r="D6414">
        <f>IF($C6414="","",$C6414-WEEKDAY($C6414,2)+1)</f>
        <v/>
      </c>
      <c r="E6414">
        <f>IF($C6414="","",DATE(YEAR($C6414),MONTH($C6414),1))</f>
        <v/>
      </c>
      <c r="F6414">
        <f>IF($C6414="","",YEAR($C6414)&amp;"-Q"&amp;ROUNDUP(MONTH($C6414)/3,0))</f>
        <v/>
      </c>
      <c r="L6414">
        <f>IF($G6414&lt;&gt;"ALCOHOL","",IF($K6414="","",$H6414*IFERROR(VLOOKUP($K6414,Drink_Templates!$A:$G,7,FALSE),0)))</f>
        <v/>
      </c>
    </row>
    <row r="6415" ht="15" customHeight="1">
      <c r="C6415">
        <f>IF($B6415="","",INT($B6415))</f>
        <v/>
      </c>
      <c r="D6415">
        <f>IF($C6415="","",$C6415-WEEKDAY($C6415,2)+1)</f>
        <v/>
      </c>
      <c r="E6415">
        <f>IF($C6415="","",DATE(YEAR($C6415),MONTH($C6415),1))</f>
        <v/>
      </c>
      <c r="F6415">
        <f>IF($C6415="","",YEAR($C6415)&amp;"-Q"&amp;ROUNDUP(MONTH($C6415)/3,0))</f>
        <v/>
      </c>
      <c r="L6415">
        <f>IF($G6415&lt;&gt;"ALCOHOL","",IF($K6415="","",$H6415*IFERROR(VLOOKUP($K6415,Drink_Templates!$A:$G,7,FALSE),0)))</f>
        <v/>
      </c>
    </row>
    <row r="6416" ht="15" customHeight="1">
      <c r="C6416">
        <f>IF($B6416="","",INT($B6416))</f>
        <v/>
      </c>
      <c r="D6416">
        <f>IF($C6416="","",$C6416-WEEKDAY($C6416,2)+1)</f>
        <v/>
      </c>
      <c r="E6416">
        <f>IF($C6416="","",DATE(YEAR($C6416),MONTH($C6416),1))</f>
        <v/>
      </c>
      <c r="F6416">
        <f>IF($C6416="","",YEAR($C6416)&amp;"-Q"&amp;ROUNDUP(MONTH($C6416)/3,0))</f>
        <v/>
      </c>
      <c r="L6416">
        <f>IF($G6416&lt;&gt;"ALCOHOL","",IF($K6416="","",$H6416*IFERROR(VLOOKUP($K6416,Drink_Templates!$A:$G,7,FALSE),0)))</f>
        <v/>
      </c>
    </row>
    <row r="6417" ht="15" customHeight="1">
      <c r="C6417">
        <f>IF($B6417="","",INT($B6417))</f>
        <v/>
      </c>
      <c r="D6417">
        <f>IF($C6417="","",$C6417-WEEKDAY($C6417,2)+1)</f>
        <v/>
      </c>
      <c r="E6417">
        <f>IF($C6417="","",DATE(YEAR($C6417),MONTH($C6417),1))</f>
        <v/>
      </c>
      <c r="F6417">
        <f>IF($C6417="","",YEAR($C6417)&amp;"-Q"&amp;ROUNDUP(MONTH($C6417)/3,0))</f>
        <v/>
      </c>
      <c r="L6417">
        <f>IF($G6417&lt;&gt;"ALCOHOL","",IF($K6417="","",$H6417*IFERROR(VLOOKUP($K6417,Drink_Templates!$A:$G,7,FALSE),0)))</f>
        <v/>
      </c>
    </row>
    <row r="6418" ht="15" customHeight="1">
      <c r="C6418">
        <f>IF($B6418="","",INT($B6418))</f>
        <v/>
      </c>
      <c r="D6418">
        <f>IF($C6418="","",$C6418-WEEKDAY($C6418,2)+1)</f>
        <v/>
      </c>
      <c r="E6418">
        <f>IF($C6418="","",DATE(YEAR($C6418),MONTH($C6418),1))</f>
        <v/>
      </c>
      <c r="F6418">
        <f>IF($C6418="","",YEAR($C6418)&amp;"-Q"&amp;ROUNDUP(MONTH($C6418)/3,0))</f>
        <v/>
      </c>
      <c r="L6418">
        <f>IF($G6418&lt;&gt;"ALCOHOL","",IF($K6418="","",$H6418*IFERROR(VLOOKUP($K6418,Drink_Templates!$A:$G,7,FALSE),0)))</f>
        <v/>
      </c>
    </row>
    <row r="6419" ht="15" customHeight="1">
      <c r="C6419">
        <f>IF($B6419="","",INT($B6419))</f>
        <v/>
      </c>
      <c r="D6419">
        <f>IF($C6419="","",$C6419-WEEKDAY($C6419,2)+1)</f>
        <v/>
      </c>
      <c r="E6419">
        <f>IF($C6419="","",DATE(YEAR($C6419),MONTH($C6419),1))</f>
        <v/>
      </c>
      <c r="F6419">
        <f>IF($C6419="","",YEAR($C6419)&amp;"-Q"&amp;ROUNDUP(MONTH($C6419)/3,0))</f>
        <v/>
      </c>
      <c r="L6419">
        <f>IF($G6419&lt;&gt;"ALCOHOL","",IF($K6419="","",$H6419*IFERROR(VLOOKUP($K6419,Drink_Templates!$A:$G,7,FALSE),0)))</f>
        <v/>
      </c>
    </row>
    <row r="6420" ht="15" customHeight="1">
      <c r="C6420">
        <f>IF($B6420="","",INT($B6420))</f>
        <v/>
      </c>
      <c r="D6420">
        <f>IF($C6420="","",$C6420-WEEKDAY($C6420,2)+1)</f>
        <v/>
      </c>
      <c r="E6420">
        <f>IF($C6420="","",DATE(YEAR($C6420),MONTH($C6420),1))</f>
        <v/>
      </c>
      <c r="F6420">
        <f>IF($C6420="","",YEAR($C6420)&amp;"-Q"&amp;ROUNDUP(MONTH($C6420)/3,0))</f>
        <v/>
      </c>
      <c r="L6420">
        <f>IF($G6420&lt;&gt;"ALCOHOL","",IF($K6420="","",$H6420*IFERROR(VLOOKUP($K6420,Drink_Templates!$A:$G,7,FALSE),0)))</f>
        <v/>
      </c>
    </row>
    <row r="6421" ht="15" customHeight="1">
      <c r="C6421">
        <f>IF($B6421="","",INT($B6421))</f>
        <v/>
      </c>
      <c r="D6421">
        <f>IF($C6421="","",$C6421-WEEKDAY($C6421,2)+1)</f>
        <v/>
      </c>
      <c r="E6421">
        <f>IF($C6421="","",DATE(YEAR($C6421),MONTH($C6421),1))</f>
        <v/>
      </c>
      <c r="F6421">
        <f>IF($C6421="","",YEAR($C6421)&amp;"-Q"&amp;ROUNDUP(MONTH($C6421)/3,0))</f>
        <v/>
      </c>
      <c r="L6421">
        <f>IF($G6421&lt;&gt;"ALCOHOL","",IF($K6421="","",$H6421*IFERROR(VLOOKUP($K6421,Drink_Templates!$A:$G,7,FALSE),0)))</f>
        <v/>
      </c>
    </row>
    <row r="6422" ht="15" customHeight="1">
      <c r="C6422">
        <f>IF($B6422="","",INT($B6422))</f>
        <v/>
      </c>
      <c r="D6422">
        <f>IF($C6422="","",$C6422-WEEKDAY($C6422,2)+1)</f>
        <v/>
      </c>
      <c r="E6422">
        <f>IF($C6422="","",DATE(YEAR($C6422),MONTH($C6422),1))</f>
        <v/>
      </c>
      <c r="F6422">
        <f>IF($C6422="","",YEAR($C6422)&amp;"-Q"&amp;ROUNDUP(MONTH($C6422)/3,0))</f>
        <v/>
      </c>
      <c r="L6422">
        <f>IF($G6422&lt;&gt;"ALCOHOL","",IF($K6422="","",$H6422*IFERROR(VLOOKUP($K6422,Drink_Templates!$A:$G,7,FALSE),0)))</f>
        <v/>
      </c>
    </row>
    <row r="6423" ht="15" customHeight="1">
      <c r="C6423">
        <f>IF($B6423="","",INT($B6423))</f>
        <v/>
      </c>
      <c r="D6423">
        <f>IF($C6423="","",$C6423-WEEKDAY($C6423,2)+1)</f>
        <v/>
      </c>
      <c r="E6423">
        <f>IF($C6423="","",DATE(YEAR($C6423),MONTH($C6423),1))</f>
        <v/>
      </c>
      <c r="F6423">
        <f>IF($C6423="","",YEAR($C6423)&amp;"-Q"&amp;ROUNDUP(MONTH($C6423)/3,0))</f>
        <v/>
      </c>
      <c r="L6423">
        <f>IF($G6423&lt;&gt;"ALCOHOL","",IF($K6423="","",$H6423*IFERROR(VLOOKUP($K6423,Drink_Templates!$A:$G,7,FALSE),0)))</f>
        <v/>
      </c>
    </row>
    <row r="6424" ht="15" customHeight="1">
      <c r="C6424">
        <f>IF($B6424="","",INT($B6424))</f>
        <v/>
      </c>
      <c r="D6424">
        <f>IF($C6424="","",$C6424-WEEKDAY($C6424,2)+1)</f>
        <v/>
      </c>
      <c r="E6424">
        <f>IF($C6424="","",DATE(YEAR($C6424),MONTH($C6424),1))</f>
        <v/>
      </c>
      <c r="F6424">
        <f>IF($C6424="","",YEAR($C6424)&amp;"-Q"&amp;ROUNDUP(MONTH($C6424)/3,0))</f>
        <v/>
      </c>
      <c r="L6424">
        <f>IF($G6424&lt;&gt;"ALCOHOL","",IF($K6424="","",$H6424*IFERROR(VLOOKUP($K6424,Drink_Templates!$A:$G,7,FALSE),0)))</f>
        <v/>
      </c>
    </row>
    <row r="6425" ht="15" customHeight="1">
      <c r="C6425">
        <f>IF($B6425="","",INT($B6425))</f>
        <v/>
      </c>
      <c r="D6425">
        <f>IF($C6425="","",$C6425-WEEKDAY($C6425,2)+1)</f>
        <v/>
      </c>
      <c r="E6425">
        <f>IF($C6425="","",DATE(YEAR($C6425),MONTH($C6425),1))</f>
        <v/>
      </c>
      <c r="F6425">
        <f>IF($C6425="","",YEAR($C6425)&amp;"-Q"&amp;ROUNDUP(MONTH($C6425)/3,0))</f>
        <v/>
      </c>
      <c r="L6425">
        <f>IF($G6425&lt;&gt;"ALCOHOL","",IF($K6425="","",$H6425*IFERROR(VLOOKUP($K6425,Drink_Templates!$A:$G,7,FALSE),0)))</f>
        <v/>
      </c>
    </row>
    <row r="6426" ht="15" customHeight="1">
      <c r="C6426">
        <f>IF($B6426="","",INT($B6426))</f>
        <v/>
      </c>
      <c r="D6426">
        <f>IF($C6426="","",$C6426-WEEKDAY($C6426,2)+1)</f>
        <v/>
      </c>
      <c r="E6426">
        <f>IF($C6426="","",DATE(YEAR($C6426),MONTH($C6426),1))</f>
        <v/>
      </c>
      <c r="F6426">
        <f>IF($C6426="","",YEAR($C6426)&amp;"-Q"&amp;ROUNDUP(MONTH($C6426)/3,0))</f>
        <v/>
      </c>
      <c r="L6426">
        <f>IF($G6426&lt;&gt;"ALCOHOL","",IF($K6426="","",$H6426*IFERROR(VLOOKUP($K6426,Drink_Templates!$A:$G,7,FALSE),0)))</f>
        <v/>
      </c>
    </row>
    <row r="6427" ht="15" customHeight="1">
      <c r="C6427">
        <f>IF($B6427="","",INT($B6427))</f>
        <v/>
      </c>
      <c r="D6427">
        <f>IF($C6427="","",$C6427-WEEKDAY($C6427,2)+1)</f>
        <v/>
      </c>
      <c r="E6427">
        <f>IF($C6427="","",DATE(YEAR($C6427),MONTH($C6427),1))</f>
        <v/>
      </c>
      <c r="F6427">
        <f>IF($C6427="","",YEAR($C6427)&amp;"-Q"&amp;ROUNDUP(MONTH($C6427)/3,0))</f>
        <v/>
      </c>
      <c r="L6427">
        <f>IF($G6427&lt;&gt;"ALCOHOL","",IF($K6427="","",$H6427*IFERROR(VLOOKUP($K6427,Drink_Templates!$A:$G,7,FALSE),0)))</f>
        <v/>
      </c>
    </row>
    <row r="6428" ht="15" customHeight="1">
      <c r="C6428">
        <f>IF($B6428="","",INT($B6428))</f>
        <v/>
      </c>
      <c r="D6428">
        <f>IF($C6428="","",$C6428-WEEKDAY($C6428,2)+1)</f>
        <v/>
      </c>
      <c r="E6428">
        <f>IF($C6428="","",DATE(YEAR($C6428),MONTH($C6428),1))</f>
        <v/>
      </c>
      <c r="F6428">
        <f>IF($C6428="","",YEAR($C6428)&amp;"-Q"&amp;ROUNDUP(MONTH($C6428)/3,0))</f>
        <v/>
      </c>
      <c r="L6428">
        <f>IF($G6428&lt;&gt;"ALCOHOL","",IF($K6428="","",$H6428*IFERROR(VLOOKUP($K6428,Drink_Templates!$A:$G,7,FALSE),0)))</f>
        <v/>
      </c>
    </row>
    <row r="6429" ht="15" customHeight="1">
      <c r="C6429">
        <f>IF($B6429="","",INT($B6429))</f>
        <v/>
      </c>
      <c r="D6429">
        <f>IF($C6429="","",$C6429-WEEKDAY($C6429,2)+1)</f>
        <v/>
      </c>
      <c r="E6429">
        <f>IF($C6429="","",DATE(YEAR($C6429),MONTH($C6429),1))</f>
        <v/>
      </c>
      <c r="F6429">
        <f>IF($C6429="","",YEAR($C6429)&amp;"-Q"&amp;ROUNDUP(MONTH($C6429)/3,0))</f>
        <v/>
      </c>
      <c r="L6429">
        <f>IF($G6429&lt;&gt;"ALCOHOL","",IF($K6429="","",$H6429*IFERROR(VLOOKUP($K6429,Drink_Templates!$A:$G,7,FALSE),0)))</f>
        <v/>
      </c>
    </row>
    <row r="6430" ht="15" customHeight="1">
      <c r="C6430">
        <f>IF($B6430="","",INT($B6430))</f>
        <v/>
      </c>
      <c r="D6430">
        <f>IF($C6430="","",$C6430-WEEKDAY($C6430,2)+1)</f>
        <v/>
      </c>
      <c r="E6430">
        <f>IF($C6430="","",DATE(YEAR($C6430),MONTH($C6430),1))</f>
        <v/>
      </c>
      <c r="F6430">
        <f>IF($C6430="","",YEAR($C6430)&amp;"-Q"&amp;ROUNDUP(MONTH($C6430)/3,0))</f>
        <v/>
      </c>
      <c r="L6430">
        <f>IF($G6430&lt;&gt;"ALCOHOL","",IF($K6430="","",$H6430*IFERROR(VLOOKUP($K6430,Drink_Templates!$A:$G,7,FALSE),0)))</f>
        <v/>
      </c>
    </row>
    <row r="6431" ht="15" customHeight="1">
      <c r="C6431">
        <f>IF($B6431="","",INT($B6431))</f>
        <v/>
      </c>
      <c r="D6431">
        <f>IF($C6431="","",$C6431-WEEKDAY($C6431,2)+1)</f>
        <v/>
      </c>
      <c r="E6431">
        <f>IF($C6431="","",DATE(YEAR($C6431),MONTH($C6431),1))</f>
        <v/>
      </c>
      <c r="F6431">
        <f>IF($C6431="","",YEAR($C6431)&amp;"-Q"&amp;ROUNDUP(MONTH($C6431)/3,0))</f>
        <v/>
      </c>
      <c r="L6431">
        <f>IF($G6431&lt;&gt;"ALCOHOL","",IF($K6431="","",$H6431*IFERROR(VLOOKUP($K6431,Drink_Templates!$A:$G,7,FALSE),0)))</f>
        <v/>
      </c>
    </row>
    <row r="6432" ht="15" customHeight="1">
      <c r="C6432">
        <f>IF($B6432="","",INT($B6432))</f>
        <v/>
      </c>
      <c r="D6432">
        <f>IF($C6432="","",$C6432-WEEKDAY($C6432,2)+1)</f>
        <v/>
      </c>
      <c r="E6432">
        <f>IF($C6432="","",DATE(YEAR($C6432),MONTH($C6432),1))</f>
        <v/>
      </c>
      <c r="F6432">
        <f>IF($C6432="","",YEAR($C6432)&amp;"-Q"&amp;ROUNDUP(MONTH($C6432)/3,0))</f>
        <v/>
      </c>
      <c r="L6432">
        <f>IF($G6432&lt;&gt;"ALCOHOL","",IF($K6432="","",$H6432*IFERROR(VLOOKUP($K6432,Drink_Templates!$A:$G,7,FALSE),0)))</f>
        <v/>
      </c>
    </row>
    <row r="6433" ht="15" customHeight="1">
      <c r="C6433">
        <f>IF($B6433="","",INT($B6433))</f>
        <v/>
      </c>
      <c r="D6433">
        <f>IF($C6433="","",$C6433-WEEKDAY($C6433,2)+1)</f>
        <v/>
      </c>
      <c r="E6433">
        <f>IF($C6433="","",DATE(YEAR($C6433),MONTH($C6433),1))</f>
        <v/>
      </c>
      <c r="F6433">
        <f>IF($C6433="","",YEAR($C6433)&amp;"-Q"&amp;ROUNDUP(MONTH($C6433)/3,0))</f>
        <v/>
      </c>
      <c r="L6433">
        <f>IF($G6433&lt;&gt;"ALCOHOL","",IF($K6433="","",$H6433*IFERROR(VLOOKUP($K6433,Drink_Templates!$A:$G,7,FALSE),0)))</f>
        <v/>
      </c>
    </row>
    <row r="6434" ht="15" customHeight="1">
      <c r="C6434">
        <f>IF($B6434="","",INT($B6434))</f>
        <v/>
      </c>
      <c r="D6434">
        <f>IF($C6434="","",$C6434-WEEKDAY($C6434,2)+1)</f>
        <v/>
      </c>
      <c r="E6434">
        <f>IF($C6434="","",DATE(YEAR($C6434),MONTH($C6434),1))</f>
        <v/>
      </c>
      <c r="F6434">
        <f>IF($C6434="","",YEAR($C6434)&amp;"-Q"&amp;ROUNDUP(MONTH($C6434)/3,0))</f>
        <v/>
      </c>
      <c r="L6434">
        <f>IF($G6434&lt;&gt;"ALCOHOL","",IF($K6434="","",$H6434*IFERROR(VLOOKUP($K6434,Drink_Templates!$A:$G,7,FALSE),0)))</f>
        <v/>
      </c>
    </row>
    <row r="6435" ht="15" customHeight="1">
      <c r="C6435">
        <f>IF($B6435="","",INT($B6435))</f>
        <v/>
      </c>
      <c r="D6435">
        <f>IF($C6435="","",$C6435-WEEKDAY($C6435,2)+1)</f>
        <v/>
      </c>
      <c r="E6435">
        <f>IF($C6435="","",DATE(YEAR($C6435),MONTH($C6435),1))</f>
        <v/>
      </c>
      <c r="F6435">
        <f>IF($C6435="","",YEAR($C6435)&amp;"-Q"&amp;ROUNDUP(MONTH($C6435)/3,0))</f>
        <v/>
      </c>
      <c r="L6435">
        <f>IF($G6435&lt;&gt;"ALCOHOL","",IF($K6435="","",$H6435*IFERROR(VLOOKUP($K6435,Drink_Templates!$A:$G,7,FALSE),0)))</f>
        <v/>
      </c>
    </row>
    <row r="6436" ht="15" customHeight="1">
      <c r="C6436">
        <f>IF($B6436="","",INT($B6436))</f>
        <v/>
      </c>
      <c r="D6436">
        <f>IF($C6436="","",$C6436-WEEKDAY($C6436,2)+1)</f>
        <v/>
      </c>
      <c r="E6436">
        <f>IF($C6436="","",DATE(YEAR($C6436),MONTH($C6436),1))</f>
        <v/>
      </c>
      <c r="F6436">
        <f>IF($C6436="","",YEAR($C6436)&amp;"-Q"&amp;ROUNDUP(MONTH($C6436)/3,0))</f>
        <v/>
      </c>
      <c r="L6436">
        <f>IF($G6436&lt;&gt;"ALCOHOL","",IF($K6436="","",$H6436*IFERROR(VLOOKUP($K6436,Drink_Templates!$A:$G,7,FALSE),0)))</f>
        <v/>
      </c>
    </row>
    <row r="6437" ht="15" customHeight="1">
      <c r="C6437">
        <f>IF($B6437="","",INT($B6437))</f>
        <v/>
      </c>
      <c r="D6437">
        <f>IF($C6437="","",$C6437-WEEKDAY($C6437,2)+1)</f>
        <v/>
      </c>
      <c r="E6437">
        <f>IF($C6437="","",DATE(YEAR($C6437),MONTH($C6437),1))</f>
        <v/>
      </c>
      <c r="F6437">
        <f>IF($C6437="","",YEAR($C6437)&amp;"-Q"&amp;ROUNDUP(MONTH($C6437)/3,0))</f>
        <v/>
      </c>
      <c r="L6437">
        <f>IF($G6437&lt;&gt;"ALCOHOL","",IF($K6437="","",$H6437*IFERROR(VLOOKUP($K6437,Drink_Templates!$A:$G,7,FALSE),0)))</f>
        <v/>
      </c>
    </row>
    <row r="6438" ht="15" customHeight="1">
      <c r="C6438">
        <f>IF($B6438="","",INT($B6438))</f>
        <v/>
      </c>
      <c r="D6438">
        <f>IF($C6438="","",$C6438-WEEKDAY($C6438,2)+1)</f>
        <v/>
      </c>
      <c r="E6438">
        <f>IF($C6438="","",DATE(YEAR($C6438),MONTH($C6438),1))</f>
        <v/>
      </c>
      <c r="F6438">
        <f>IF($C6438="","",YEAR($C6438)&amp;"-Q"&amp;ROUNDUP(MONTH($C6438)/3,0))</f>
        <v/>
      </c>
      <c r="L6438">
        <f>IF($G6438&lt;&gt;"ALCOHOL","",IF($K6438="","",$H6438*IFERROR(VLOOKUP($K6438,Drink_Templates!$A:$G,7,FALSE),0)))</f>
        <v/>
      </c>
    </row>
    <row r="6439" ht="15" customHeight="1">
      <c r="C6439">
        <f>IF($B6439="","",INT($B6439))</f>
        <v/>
      </c>
      <c r="D6439">
        <f>IF($C6439="","",$C6439-WEEKDAY($C6439,2)+1)</f>
        <v/>
      </c>
      <c r="E6439">
        <f>IF($C6439="","",DATE(YEAR($C6439),MONTH($C6439),1))</f>
        <v/>
      </c>
      <c r="F6439">
        <f>IF($C6439="","",YEAR($C6439)&amp;"-Q"&amp;ROUNDUP(MONTH($C6439)/3,0))</f>
        <v/>
      </c>
      <c r="L6439">
        <f>IF($G6439&lt;&gt;"ALCOHOL","",IF($K6439="","",$H6439*IFERROR(VLOOKUP($K6439,Drink_Templates!$A:$G,7,FALSE),0)))</f>
        <v/>
      </c>
    </row>
    <row r="6440" ht="15" customHeight="1">
      <c r="C6440">
        <f>IF($B6440="","",INT($B6440))</f>
        <v/>
      </c>
      <c r="D6440">
        <f>IF($C6440="","",$C6440-WEEKDAY($C6440,2)+1)</f>
        <v/>
      </c>
      <c r="E6440">
        <f>IF($C6440="","",DATE(YEAR($C6440),MONTH($C6440),1))</f>
        <v/>
      </c>
      <c r="F6440">
        <f>IF($C6440="","",YEAR($C6440)&amp;"-Q"&amp;ROUNDUP(MONTH($C6440)/3,0))</f>
        <v/>
      </c>
      <c r="L6440">
        <f>IF($G6440&lt;&gt;"ALCOHOL","",IF($K6440="","",$H6440*IFERROR(VLOOKUP($K6440,Drink_Templates!$A:$G,7,FALSE),0)))</f>
        <v/>
      </c>
    </row>
    <row r="6441" ht="15" customHeight="1">
      <c r="C6441">
        <f>IF($B6441="","",INT($B6441))</f>
        <v/>
      </c>
      <c r="D6441">
        <f>IF($C6441="","",$C6441-WEEKDAY($C6441,2)+1)</f>
        <v/>
      </c>
      <c r="E6441">
        <f>IF($C6441="","",DATE(YEAR($C6441),MONTH($C6441),1))</f>
        <v/>
      </c>
      <c r="F6441">
        <f>IF($C6441="","",YEAR($C6441)&amp;"-Q"&amp;ROUNDUP(MONTH($C6441)/3,0))</f>
        <v/>
      </c>
      <c r="L6441">
        <f>IF($G6441&lt;&gt;"ALCOHOL","",IF($K6441="","",$H6441*IFERROR(VLOOKUP($K6441,Drink_Templates!$A:$G,7,FALSE),0)))</f>
        <v/>
      </c>
    </row>
    <row r="6442" ht="15" customHeight="1">
      <c r="C6442">
        <f>IF($B6442="","",INT($B6442))</f>
        <v/>
      </c>
      <c r="D6442">
        <f>IF($C6442="","",$C6442-WEEKDAY($C6442,2)+1)</f>
        <v/>
      </c>
      <c r="E6442">
        <f>IF($C6442="","",DATE(YEAR($C6442),MONTH($C6442),1))</f>
        <v/>
      </c>
      <c r="F6442">
        <f>IF($C6442="","",YEAR($C6442)&amp;"-Q"&amp;ROUNDUP(MONTH($C6442)/3,0))</f>
        <v/>
      </c>
      <c r="L6442">
        <f>IF($G6442&lt;&gt;"ALCOHOL","",IF($K6442="","",$H6442*IFERROR(VLOOKUP($K6442,Drink_Templates!$A:$G,7,FALSE),0)))</f>
        <v/>
      </c>
    </row>
    <row r="6443" ht="15" customHeight="1">
      <c r="C6443">
        <f>IF($B6443="","",INT($B6443))</f>
        <v/>
      </c>
      <c r="D6443">
        <f>IF($C6443="","",$C6443-WEEKDAY($C6443,2)+1)</f>
        <v/>
      </c>
      <c r="E6443">
        <f>IF($C6443="","",DATE(YEAR($C6443),MONTH($C6443),1))</f>
        <v/>
      </c>
      <c r="F6443">
        <f>IF($C6443="","",YEAR($C6443)&amp;"-Q"&amp;ROUNDUP(MONTH($C6443)/3,0))</f>
        <v/>
      </c>
      <c r="L6443">
        <f>IF($G6443&lt;&gt;"ALCOHOL","",IF($K6443="","",$H6443*IFERROR(VLOOKUP($K6443,Drink_Templates!$A:$G,7,FALSE),0)))</f>
        <v/>
      </c>
    </row>
    <row r="6444" ht="15" customHeight="1">
      <c r="C6444">
        <f>IF($B6444="","",INT($B6444))</f>
        <v/>
      </c>
      <c r="D6444">
        <f>IF($C6444="","",$C6444-WEEKDAY($C6444,2)+1)</f>
        <v/>
      </c>
      <c r="E6444">
        <f>IF($C6444="","",DATE(YEAR($C6444),MONTH($C6444),1))</f>
        <v/>
      </c>
      <c r="F6444">
        <f>IF($C6444="","",YEAR($C6444)&amp;"-Q"&amp;ROUNDUP(MONTH($C6444)/3,0))</f>
        <v/>
      </c>
      <c r="L6444">
        <f>IF($G6444&lt;&gt;"ALCOHOL","",IF($K6444="","",$H6444*IFERROR(VLOOKUP($K6444,Drink_Templates!$A:$G,7,FALSE),0)))</f>
        <v/>
      </c>
    </row>
    <row r="6445" ht="15" customHeight="1">
      <c r="C6445">
        <f>IF($B6445="","",INT($B6445))</f>
        <v/>
      </c>
      <c r="D6445">
        <f>IF($C6445="","",$C6445-WEEKDAY($C6445,2)+1)</f>
        <v/>
      </c>
      <c r="E6445">
        <f>IF($C6445="","",DATE(YEAR($C6445),MONTH($C6445),1))</f>
        <v/>
      </c>
      <c r="F6445">
        <f>IF($C6445="","",YEAR($C6445)&amp;"-Q"&amp;ROUNDUP(MONTH($C6445)/3,0))</f>
        <v/>
      </c>
      <c r="L6445">
        <f>IF($G6445&lt;&gt;"ALCOHOL","",IF($K6445="","",$H6445*IFERROR(VLOOKUP($K6445,Drink_Templates!$A:$G,7,FALSE),0)))</f>
        <v/>
      </c>
    </row>
    <row r="6446" ht="15" customHeight="1">
      <c r="C6446">
        <f>IF($B6446="","",INT($B6446))</f>
        <v/>
      </c>
      <c r="D6446">
        <f>IF($C6446="","",$C6446-WEEKDAY($C6446,2)+1)</f>
        <v/>
      </c>
      <c r="E6446">
        <f>IF($C6446="","",DATE(YEAR($C6446),MONTH($C6446),1))</f>
        <v/>
      </c>
      <c r="F6446">
        <f>IF($C6446="","",YEAR($C6446)&amp;"-Q"&amp;ROUNDUP(MONTH($C6446)/3,0))</f>
        <v/>
      </c>
      <c r="L6446">
        <f>IF($G6446&lt;&gt;"ALCOHOL","",IF($K6446="","",$H6446*IFERROR(VLOOKUP($K6446,Drink_Templates!$A:$G,7,FALSE),0)))</f>
        <v/>
      </c>
    </row>
    <row r="6447" ht="15" customHeight="1">
      <c r="C6447">
        <f>IF($B6447="","",INT($B6447))</f>
        <v/>
      </c>
      <c r="D6447">
        <f>IF($C6447="","",$C6447-WEEKDAY($C6447,2)+1)</f>
        <v/>
      </c>
      <c r="E6447">
        <f>IF($C6447="","",DATE(YEAR($C6447),MONTH($C6447),1))</f>
        <v/>
      </c>
      <c r="F6447">
        <f>IF($C6447="","",YEAR($C6447)&amp;"-Q"&amp;ROUNDUP(MONTH($C6447)/3,0))</f>
        <v/>
      </c>
      <c r="L6447">
        <f>IF($G6447&lt;&gt;"ALCOHOL","",IF($K6447="","",$H6447*IFERROR(VLOOKUP($K6447,Drink_Templates!$A:$G,7,FALSE),0)))</f>
        <v/>
      </c>
    </row>
    <row r="6448" ht="15" customHeight="1">
      <c r="C6448">
        <f>IF($B6448="","",INT($B6448))</f>
        <v/>
      </c>
      <c r="D6448">
        <f>IF($C6448="","",$C6448-WEEKDAY($C6448,2)+1)</f>
        <v/>
      </c>
      <c r="E6448">
        <f>IF($C6448="","",DATE(YEAR($C6448),MONTH($C6448),1))</f>
        <v/>
      </c>
      <c r="F6448">
        <f>IF($C6448="","",YEAR($C6448)&amp;"-Q"&amp;ROUNDUP(MONTH($C6448)/3,0))</f>
        <v/>
      </c>
      <c r="L6448">
        <f>IF($G6448&lt;&gt;"ALCOHOL","",IF($K6448="","",$H6448*IFERROR(VLOOKUP($K6448,Drink_Templates!$A:$G,7,FALSE),0)))</f>
        <v/>
      </c>
    </row>
    <row r="6449" ht="15" customHeight="1">
      <c r="C6449">
        <f>IF($B6449="","",INT($B6449))</f>
        <v/>
      </c>
      <c r="D6449">
        <f>IF($C6449="","",$C6449-WEEKDAY($C6449,2)+1)</f>
        <v/>
      </c>
      <c r="E6449">
        <f>IF($C6449="","",DATE(YEAR($C6449),MONTH($C6449),1))</f>
        <v/>
      </c>
      <c r="F6449">
        <f>IF($C6449="","",YEAR($C6449)&amp;"-Q"&amp;ROUNDUP(MONTH($C6449)/3,0))</f>
        <v/>
      </c>
      <c r="L6449">
        <f>IF($G6449&lt;&gt;"ALCOHOL","",IF($K6449="","",$H6449*IFERROR(VLOOKUP($K6449,Drink_Templates!$A:$G,7,FALSE),0)))</f>
        <v/>
      </c>
    </row>
    <row r="6450" ht="15" customHeight="1">
      <c r="C6450">
        <f>IF($B6450="","",INT($B6450))</f>
        <v/>
      </c>
      <c r="D6450">
        <f>IF($C6450="","",$C6450-WEEKDAY($C6450,2)+1)</f>
        <v/>
      </c>
      <c r="E6450">
        <f>IF($C6450="","",DATE(YEAR($C6450),MONTH($C6450),1))</f>
        <v/>
      </c>
      <c r="F6450">
        <f>IF($C6450="","",YEAR($C6450)&amp;"-Q"&amp;ROUNDUP(MONTH($C6450)/3,0))</f>
        <v/>
      </c>
      <c r="L6450">
        <f>IF($G6450&lt;&gt;"ALCOHOL","",IF($K6450="","",$H6450*IFERROR(VLOOKUP($K6450,Drink_Templates!$A:$G,7,FALSE),0)))</f>
        <v/>
      </c>
    </row>
    <row r="6451" ht="15" customHeight="1">
      <c r="C6451">
        <f>IF($B6451="","",INT($B6451))</f>
        <v/>
      </c>
      <c r="D6451">
        <f>IF($C6451="","",$C6451-WEEKDAY($C6451,2)+1)</f>
        <v/>
      </c>
      <c r="E6451">
        <f>IF($C6451="","",DATE(YEAR($C6451),MONTH($C6451),1))</f>
        <v/>
      </c>
      <c r="F6451">
        <f>IF($C6451="","",YEAR($C6451)&amp;"-Q"&amp;ROUNDUP(MONTH($C6451)/3,0))</f>
        <v/>
      </c>
      <c r="L6451">
        <f>IF($G6451&lt;&gt;"ALCOHOL","",IF($K6451="","",$H6451*IFERROR(VLOOKUP($K6451,Drink_Templates!$A:$G,7,FALSE),0)))</f>
        <v/>
      </c>
    </row>
    <row r="6452" ht="15" customHeight="1">
      <c r="C6452">
        <f>IF($B6452="","",INT($B6452))</f>
        <v/>
      </c>
      <c r="D6452">
        <f>IF($C6452="","",$C6452-WEEKDAY($C6452,2)+1)</f>
        <v/>
      </c>
      <c r="E6452">
        <f>IF($C6452="","",DATE(YEAR($C6452),MONTH($C6452),1))</f>
        <v/>
      </c>
      <c r="F6452">
        <f>IF($C6452="","",YEAR($C6452)&amp;"-Q"&amp;ROUNDUP(MONTH($C6452)/3,0))</f>
        <v/>
      </c>
      <c r="L6452">
        <f>IF($G6452&lt;&gt;"ALCOHOL","",IF($K6452="","",$H6452*IFERROR(VLOOKUP($K6452,Drink_Templates!$A:$G,7,FALSE),0)))</f>
        <v/>
      </c>
    </row>
    <row r="6453" ht="15" customHeight="1">
      <c r="C6453">
        <f>IF($B6453="","",INT($B6453))</f>
        <v/>
      </c>
      <c r="D6453">
        <f>IF($C6453="","",$C6453-WEEKDAY($C6453,2)+1)</f>
        <v/>
      </c>
      <c r="E6453">
        <f>IF($C6453="","",DATE(YEAR($C6453),MONTH($C6453),1))</f>
        <v/>
      </c>
      <c r="F6453">
        <f>IF($C6453="","",YEAR($C6453)&amp;"-Q"&amp;ROUNDUP(MONTH($C6453)/3,0))</f>
        <v/>
      </c>
      <c r="L6453">
        <f>IF($G6453&lt;&gt;"ALCOHOL","",IF($K6453="","",$H6453*IFERROR(VLOOKUP($K6453,Drink_Templates!$A:$G,7,FALSE),0)))</f>
        <v/>
      </c>
    </row>
    <row r="6454" ht="15" customHeight="1">
      <c r="C6454">
        <f>IF($B6454="","",INT($B6454))</f>
        <v/>
      </c>
      <c r="D6454">
        <f>IF($C6454="","",$C6454-WEEKDAY($C6454,2)+1)</f>
        <v/>
      </c>
      <c r="E6454">
        <f>IF($C6454="","",DATE(YEAR($C6454),MONTH($C6454),1))</f>
        <v/>
      </c>
      <c r="F6454">
        <f>IF($C6454="","",YEAR($C6454)&amp;"-Q"&amp;ROUNDUP(MONTH($C6454)/3,0))</f>
        <v/>
      </c>
      <c r="L6454">
        <f>IF($G6454&lt;&gt;"ALCOHOL","",IF($K6454="","",$H6454*IFERROR(VLOOKUP($K6454,Drink_Templates!$A:$G,7,FALSE),0)))</f>
        <v/>
      </c>
    </row>
    <row r="6455" ht="15" customHeight="1">
      <c r="C6455">
        <f>IF($B6455="","",INT($B6455))</f>
        <v/>
      </c>
      <c r="D6455">
        <f>IF($C6455="","",$C6455-WEEKDAY($C6455,2)+1)</f>
        <v/>
      </c>
      <c r="E6455">
        <f>IF($C6455="","",DATE(YEAR($C6455),MONTH($C6455),1))</f>
        <v/>
      </c>
      <c r="F6455">
        <f>IF($C6455="","",YEAR($C6455)&amp;"-Q"&amp;ROUNDUP(MONTH($C6455)/3,0))</f>
        <v/>
      </c>
      <c r="L6455">
        <f>IF($G6455&lt;&gt;"ALCOHOL","",IF($K6455="","",$H6455*IFERROR(VLOOKUP($K6455,Drink_Templates!$A:$G,7,FALSE),0)))</f>
        <v/>
      </c>
    </row>
    <row r="6456" ht="15" customHeight="1">
      <c r="C6456">
        <f>IF($B6456="","",INT($B6456))</f>
        <v/>
      </c>
      <c r="D6456">
        <f>IF($C6456="","",$C6456-WEEKDAY($C6456,2)+1)</f>
        <v/>
      </c>
      <c r="E6456">
        <f>IF($C6456="","",DATE(YEAR($C6456),MONTH($C6456),1))</f>
        <v/>
      </c>
      <c r="F6456">
        <f>IF($C6456="","",YEAR($C6456)&amp;"-Q"&amp;ROUNDUP(MONTH($C6456)/3,0))</f>
        <v/>
      </c>
      <c r="L6456">
        <f>IF($G6456&lt;&gt;"ALCOHOL","",IF($K6456="","",$H6456*IFERROR(VLOOKUP($K6456,Drink_Templates!$A:$G,7,FALSE),0)))</f>
        <v/>
      </c>
    </row>
    <row r="6457" ht="15" customHeight="1">
      <c r="C6457">
        <f>IF($B6457="","",INT($B6457))</f>
        <v/>
      </c>
      <c r="D6457">
        <f>IF($C6457="","",$C6457-WEEKDAY($C6457,2)+1)</f>
        <v/>
      </c>
      <c r="E6457">
        <f>IF($C6457="","",DATE(YEAR($C6457),MONTH($C6457),1))</f>
        <v/>
      </c>
      <c r="F6457">
        <f>IF($C6457="","",YEAR($C6457)&amp;"-Q"&amp;ROUNDUP(MONTH($C6457)/3,0))</f>
        <v/>
      </c>
      <c r="L6457">
        <f>IF($G6457&lt;&gt;"ALCOHOL","",IF($K6457="","",$H6457*IFERROR(VLOOKUP($K6457,Drink_Templates!$A:$G,7,FALSE),0)))</f>
        <v/>
      </c>
    </row>
    <row r="6458" ht="15" customHeight="1">
      <c r="C6458">
        <f>IF($B6458="","",INT($B6458))</f>
        <v/>
      </c>
      <c r="D6458">
        <f>IF($C6458="","",$C6458-WEEKDAY($C6458,2)+1)</f>
        <v/>
      </c>
      <c r="E6458">
        <f>IF($C6458="","",DATE(YEAR($C6458),MONTH($C6458),1))</f>
        <v/>
      </c>
      <c r="F6458">
        <f>IF($C6458="","",YEAR($C6458)&amp;"-Q"&amp;ROUNDUP(MONTH($C6458)/3,0))</f>
        <v/>
      </c>
      <c r="L6458">
        <f>IF($G6458&lt;&gt;"ALCOHOL","",IF($K6458="","",$H6458*IFERROR(VLOOKUP($K6458,Drink_Templates!$A:$G,7,FALSE),0)))</f>
        <v/>
      </c>
    </row>
    <row r="6459" ht="15" customHeight="1">
      <c r="C6459">
        <f>IF($B6459="","",INT($B6459))</f>
        <v/>
      </c>
      <c r="D6459">
        <f>IF($C6459="","",$C6459-WEEKDAY($C6459,2)+1)</f>
        <v/>
      </c>
      <c r="E6459">
        <f>IF($C6459="","",DATE(YEAR($C6459),MONTH($C6459),1))</f>
        <v/>
      </c>
      <c r="F6459">
        <f>IF($C6459="","",YEAR($C6459)&amp;"-Q"&amp;ROUNDUP(MONTH($C6459)/3,0))</f>
        <v/>
      </c>
      <c r="L6459">
        <f>IF($G6459&lt;&gt;"ALCOHOL","",IF($K6459="","",$H6459*IFERROR(VLOOKUP($K6459,Drink_Templates!$A:$G,7,FALSE),0)))</f>
        <v/>
      </c>
    </row>
    <row r="6460" ht="15" customHeight="1">
      <c r="C6460">
        <f>IF($B6460="","",INT($B6460))</f>
        <v/>
      </c>
      <c r="D6460">
        <f>IF($C6460="","",$C6460-WEEKDAY($C6460,2)+1)</f>
        <v/>
      </c>
      <c r="E6460">
        <f>IF($C6460="","",DATE(YEAR($C6460),MONTH($C6460),1))</f>
        <v/>
      </c>
      <c r="F6460">
        <f>IF($C6460="","",YEAR($C6460)&amp;"-Q"&amp;ROUNDUP(MONTH($C6460)/3,0))</f>
        <v/>
      </c>
      <c r="L6460">
        <f>IF($G6460&lt;&gt;"ALCOHOL","",IF($K6460="","",$H6460*IFERROR(VLOOKUP($K6460,Drink_Templates!$A:$G,7,FALSE),0)))</f>
        <v/>
      </c>
    </row>
    <row r="6461" ht="15" customHeight="1">
      <c r="C6461">
        <f>IF($B6461="","",INT($B6461))</f>
        <v/>
      </c>
      <c r="D6461">
        <f>IF($C6461="","",$C6461-WEEKDAY($C6461,2)+1)</f>
        <v/>
      </c>
      <c r="E6461">
        <f>IF($C6461="","",DATE(YEAR($C6461),MONTH($C6461),1))</f>
        <v/>
      </c>
      <c r="F6461">
        <f>IF($C6461="","",YEAR($C6461)&amp;"-Q"&amp;ROUNDUP(MONTH($C6461)/3,0))</f>
        <v/>
      </c>
      <c r="L6461">
        <f>IF($G6461&lt;&gt;"ALCOHOL","",IF($K6461="","",$H6461*IFERROR(VLOOKUP($K6461,Drink_Templates!$A:$G,7,FALSE),0)))</f>
        <v/>
      </c>
    </row>
    <row r="6462" ht="15" customHeight="1">
      <c r="C6462">
        <f>IF($B6462="","",INT($B6462))</f>
        <v/>
      </c>
      <c r="D6462">
        <f>IF($C6462="","",$C6462-WEEKDAY($C6462,2)+1)</f>
        <v/>
      </c>
      <c r="E6462">
        <f>IF($C6462="","",DATE(YEAR($C6462),MONTH($C6462),1))</f>
        <v/>
      </c>
      <c r="F6462">
        <f>IF($C6462="","",YEAR($C6462)&amp;"-Q"&amp;ROUNDUP(MONTH($C6462)/3,0))</f>
        <v/>
      </c>
      <c r="L6462">
        <f>IF($G6462&lt;&gt;"ALCOHOL","",IF($K6462="","",$H6462*IFERROR(VLOOKUP($K6462,Drink_Templates!$A:$G,7,FALSE),0)))</f>
        <v/>
      </c>
    </row>
    <row r="6463" ht="15" customHeight="1">
      <c r="C6463">
        <f>IF($B6463="","",INT($B6463))</f>
        <v/>
      </c>
      <c r="D6463">
        <f>IF($C6463="","",$C6463-WEEKDAY($C6463,2)+1)</f>
        <v/>
      </c>
      <c r="E6463">
        <f>IF($C6463="","",DATE(YEAR($C6463),MONTH($C6463),1))</f>
        <v/>
      </c>
      <c r="F6463">
        <f>IF($C6463="","",YEAR($C6463)&amp;"-Q"&amp;ROUNDUP(MONTH($C6463)/3,0))</f>
        <v/>
      </c>
      <c r="L6463">
        <f>IF($G6463&lt;&gt;"ALCOHOL","",IF($K6463="","",$H6463*IFERROR(VLOOKUP($K6463,Drink_Templates!$A:$G,7,FALSE),0)))</f>
        <v/>
      </c>
    </row>
    <row r="6464" ht="15" customHeight="1">
      <c r="C6464">
        <f>IF($B6464="","",INT($B6464))</f>
        <v/>
      </c>
      <c r="D6464">
        <f>IF($C6464="","",$C6464-WEEKDAY($C6464,2)+1)</f>
        <v/>
      </c>
      <c r="E6464">
        <f>IF($C6464="","",DATE(YEAR($C6464),MONTH($C6464),1))</f>
        <v/>
      </c>
      <c r="F6464">
        <f>IF($C6464="","",YEAR($C6464)&amp;"-Q"&amp;ROUNDUP(MONTH($C6464)/3,0))</f>
        <v/>
      </c>
      <c r="L6464">
        <f>IF($G6464&lt;&gt;"ALCOHOL","",IF($K6464="","",$H6464*IFERROR(VLOOKUP($K6464,Drink_Templates!$A:$G,7,FALSE),0)))</f>
        <v/>
      </c>
    </row>
    <row r="6465" ht="15" customHeight="1">
      <c r="C6465">
        <f>IF($B6465="","",INT($B6465))</f>
        <v/>
      </c>
      <c r="D6465">
        <f>IF($C6465="","",$C6465-WEEKDAY($C6465,2)+1)</f>
        <v/>
      </c>
      <c r="E6465">
        <f>IF($C6465="","",DATE(YEAR($C6465),MONTH($C6465),1))</f>
        <v/>
      </c>
      <c r="F6465">
        <f>IF($C6465="","",YEAR($C6465)&amp;"-Q"&amp;ROUNDUP(MONTH($C6465)/3,0))</f>
        <v/>
      </c>
      <c r="L6465">
        <f>IF($G6465&lt;&gt;"ALCOHOL","",IF($K6465="","",$H6465*IFERROR(VLOOKUP($K6465,Drink_Templates!$A:$G,7,FALSE),0)))</f>
        <v/>
      </c>
    </row>
    <row r="6466" ht="15" customHeight="1">
      <c r="C6466">
        <f>IF($B6466="","",INT($B6466))</f>
        <v/>
      </c>
      <c r="D6466">
        <f>IF($C6466="","",$C6466-WEEKDAY($C6466,2)+1)</f>
        <v/>
      </c>
      <c r="E6466">
        <f>IF($C6466="","",DATE(YEAR($C6466),MONTH($C6466),1))</f>
        <v/>
      </c>
      <c r="F6466">
        <f>IF($C6466="","",YEAR($C6466)&amp;"-Q"&amp;ROUNDUP(MONTH($C6466)/3,0))</f>
        <v/>
      </c>
      <c r="L6466">
        <f>IF($G6466&lt;&gt;"ALCOHOL","",IF($K6466="","",$H6466*IFERROR(VLOOKUP($K6466,Drink_Templates!$A:$G,7,FALSE),0)))</f>
        <v/>
      </c>
    </row>
    <row r="6467" ht="15" customHeight="1">
      <c r="C6467">
        <f>IF($B6467="","",INT($B6467))</f>
        <v/>
      </c>
      <c r="D6467">
        <f>IF($C6467="","",$C6467-WEEKDAY($C6467,2)+1)</f>
        <v/>
      </c>
      <c r="E6467">
        <f>IF($C6467="","",DATE(YEAR($C6467),MONTH($C6467),1))</f>
        <v/>
      </c>
      <c r="F6467">
        <f>IF($C6467="","",YEAR($C6467)&amp;"-Q"&amp;ROUNDUP(MONTH($C6467)/3,0))</f>
        <v/>
      </c>
      <c r="L6467">
        <f>IF($G6467&lt;&gt;"ALCOHOL","",IF($K6467="","",$H6467*IFERROR(VLOOKUP($K6467,Drink_Templates!$A:$G,7,FALSE),0)))</f>
        <v/>
      </c>
    </row>
    <row r="6468" ht="15" customHeight="1">
      <c r="C6468">
        <f>IF($B6468="","",INT($B6468))</f>
        <v/>
      </c>
      <c r="D6468">
        <f>IF($C6468="","",$C6468-WEEKDAY($C6468,2)+1)</f>
        <v/>
      </c>
      <c r="E6468">
        <f>IF($C6468="","",DATE(YEAR($C6468),MONTH($C6468),1))</f>
        <v/>
      </c>
      <c r="F6468">
        <f>IF($C6468="","",YEAR($C6468)&amp;"-Q"&amp;ROUNDUP(MONTH($C6468)/3,0))</f>
        <v/>
      </c>
      <c r="L6468">
        <f>IF($G6468&lt;&gt;"ALCOHOL","",IF($K6468="","",$H6468*IFERROR(VLOOKUP($K6468,Drink_Templates!$A:$G,7,FALSE),0)))</f>
        <v/>
      </c>
    </row>
    <row r="6469" ht="15" customHeight="1">
      <c r="C6469">
        <f>IF($B6469="","",INT($B6469))</f>
        <v/>
      </c>
      <c r="D6469">
        <f>IF($C6469="","",$C6469-WEEKDAY($C6469,2)+1)</f>
        <v/>
      </c>
      <c r="E6469">
        <f>IF($C6469="","",DATE(YEAR($C6469),MONTH($C6469),1))</f>
        <v/>
      </c>
      <c r="F6469">
        <f>IF($C6469="","",YEAR($C6469)&amp;"-Q"&amp;ROUNDUP(MONTH($C6469)/3,0))</f>
        <v/>
      </c>
      <c r="L6469">
        <f>IF($G6469&lt;&gt;"ALCOHOL","",IF($K6469="","",$H6469*IFERROR(VLOOKUP($K6469,Drink_Templates!$A:$G,7,FALSE),0)))</f>
        <v/>
      </c>
    </row>
    <row r="6470" ht="15" customHeight="1">
      <c r="C6470">
        <f>IF($B6470="","",INT($B6470))</f>
        <v/>
      </c>
      <c r="D6470">
        <f>IF($C6470="","",$C6470-WEEKDAY($C6470,2)+1)</f>
        <v/>
      </c>
      <c r="E6470">
        <f>IF($C6470="","",DATE(YEAR($C6470),MONTH($C6470),1))</f>
        <v/>
      </c>
      <c r="F6470">
        <f>IF($C6470="","",YEAR($C6470)&amp;"-Q"&amp;ROUNDUP(MONTH($C6470)/3,0))</f>
        <v/>
      </c>
      <c r="L6470">
        <f>IF($G6470&lt;&gt;"ALCOHOL","",IF($K6470="","",$H6470*IFERROR(VLOOKUP($K6470,Drink_Templates!$A:$G,7,FALSE),0)))</f>
        <v/>
      </c>
    </row>
    <row r="6471" ht="15" customHeight="1">
      <c r="C6471">
        <f>IF($B6471="","",INT($B6471))</f>
        <v/>
      </c>
      <c r="D6471">
        <f>IF($C6471="","",$C6471-WEEKDAY($C6471,2)+1)</f>
        <v/>
      </c>
      <c r="E6471">
        <f>IF($C6471="","",DATE(YEAR($C6471),MONTH($C6471),1))</f>
        <v/>
      </c>
      <c r="F6471">
        <f>IF($C6471="","",YEAR($C6471)&amp;"-Q"&amp;ROUNDUP(MONTH($C6471)/3,0))</f>
        <v/>
      </c>
      <c r="L6471">
        <f>IF($G6471&lt;&gt;"ALCOHOL","",IF($K6471="","",$H6471*IFERROR(VLOOKUP($K6471,Drink_Templates!$A:$G,7,FALSE),0)))</f>
        <v/>
      </c>
    </row>
    <row r="6472" ht="15" customHeight="1">
      <c r="C6472">
        <f>IF($B6472="","",INT($B6472))</f>
        <v/>
      </c>
      <c r="D6472">
        <f>IF($C6472="","",$C6472-WEEKDAY($C6472,2)+1)</f>
        <v/>
      </c>
      <c r="E6472">
        <f>IF($C6472="","",DATE(YEAR($C6472),MONTH($C6472),1))</f>
        <v/>
      </c>
      <c r="F6472">
        <f>IF($C6472="","",YEAR($C6472)&amp;"-Q"&amp;ROUNDUP(MONTH($C6472)/3,0))</f>
        <v/>
      </c>
      <c r="L6472">
        <f>IF($G6472&lt;&gt;"ALCOHOL","",IF($K6472="","",$H6472*IFERROR(VLOOKUP($K6472,Drink_Templates!$A:$G,7,FALSE),0)))</f>
        <v/>
      </c>
    </row>
    <row r="6473" ht="15" customHeight="1">
      <c r="C6473">
        <f>IF($B6473="","",INT($B6473))</f>
        <v/>
      </c>
      <c r="D6473">
        <f>IF($C6473="","",$C6473-WEEKDAY($C6473,2)+1)</f>
        <v/>
      </c>
      <c r="E6473">
        <f>IF($C6473="","",DATE(YEAR($C6473),MONTH($C6473),1))</f>
        <v/>
      </c>
      <c r="F6473">
        <f>IF($C6473="","",YEAR($C6473)&amp;"-Q"&amp;ROUNDUP(MONTH($C6473)/3,0))</f>
        <v/>
      </c>
      <c r="L6473">
        <f>IF($G6473&lt;&gt;"ALCOHOL","",IF($K6473="","",$H6473*IFERROR(VLOOKUP($K6473,Drink_Templates!$A:$G,7,FALSE),0)))</f>
        <v/>
      </c>
    </row>
    <row r="6474" ht="15" customHeight="1">
      <c r="C6474">
        <f>IF($B6474="","",INT($B6474))</f>
        <v/>
      </c>
      <c r="D6474">
        <f>IF($C6474="","",$C6474-WEEKDAY($C6474,2)+1)</f>
        <v/>
      </c>
      <c r="E6474">
        <f>IF($C6474="","",DATE(YEAR($C6474),MONTH($C6474),1))</f>
        <v/>
      </c>
      <c r="F6474">
        <f>IF($C6474="","",YEAR($C6474)&amp;"-Q"&amp;ROUNDUP(MONTH($C6474)/3,0))</f>
        <v/>
      </c>
      <c r="L6474">
        <f>IF($G6474&lt;&gt;"ALCOHOL","",IF($K6474="","",$H6474*IFERROR(VLOOKUP($K6474,Drink_Templates!$A:$G,7,FALSE),0)))</f>
        <v/>
      </c>
    </row>
    <row r="6475" ht="15" customHeight="1">
      <c r="C6475">
        <f>IF($B6475="","",INT($B6475))</f>
        <v/>
      </c>
      <c r="D6475">
        <f>IF($C6475="","",$C6475-WEEKDAY($C6475,2)+1)</f>
        <v/>
      </c>
      <c r="E6475">
        <f>IF($C6475="","",DATE(YEAR($C6475),MONTH($C6475),1))</f>
        <v/>
      </c>
      <c r="F6475">
        <f>IF($C6475="","",YEAR($C6475)&amp;"-Q"&amp;ROUNDUP(MONTH($C6475)/3,0))</f>
        <v/>
      </c>
      <c r="L6475">
        <f>IF($G6475&lt;&gt;"ALCOHOL","",IF($K6475="","",$H6475*IFERROR(VLOOKUP($K6475,Drink_Templates!$A:$G,7,FALSE),0)))</f>
        <v/>
      </c>
    </row>
    <row r="6476" ht="15" customHeight="1">
      <c r="C6476">
        <f>IF($B6476="","",INT($B6476))</f>
        <v/>
      </c>
      <c r="D6476">
        <f>IF($C6476="","",$C6476-WEEKDAY($C6476,2)+1)</f>
        <v/>
      </c>
      <c r="E6476">
        <f>IF($C6476="","",DATE(YEAR($C6476),MONTH($C6476),1))</f>
        <v/>
      </c>
      <c r="F6476">
        <f>IF($C6476="","",YEAR($C6476)&amp;"-Q"&amp;ROUNDUP(MONTH($C6476)/3,0))</f>
        <v/>
      </c>
      <c r="L6476">
        <f>IF($G6476&lt;&gt;"ALCOHOL","",IF($K6476="","",$H6476*IFERROR(VLOOKUP($K6476,Drink_Templates!$A:$G,7,FALSE),0)))</f>
        <v/>
      </c>
    </row>
    <row r="6477" ht="15" customHeight="1">
      <c r="C6477">
        <f>IF($B6477="","",INT($B6477))</f>
        <v/>
      </c>
      <c r="D6477">
        <f>IF($C6477="","",$C6477-WEEKDAY($C6477,2)+1)</f>
        <v/>
      </c>
      <c r="E6477">
        <f>IF($C6477="","",DATE(YEAR($C6477),MONTH($C6477),1))</f>
        <v/>
      </c>
      <c r="F6477">
        <f>IF($C6477="","",YEAR($C6477)&amp;"-Q"&amp;ROUNDUP(MONTH($C6477)/3,0))</f>
        <v/>
      </c>
      <c r="L6477">
        <f>IF($G6477&lt;&gt;"ALCOHOL","",IF($K6477="","",$H6477*IFERROR(VLOOKUP($K6477,Drink_Templates!$A:$G,7,FALSE),0)))</f>
        <v/>
      </c>
    </row>
    <row r="6478" ht="15" customHeight="1">
      <c r="C6478">
        <f>IF($B6478="","",INT($B6478))</f>
        <v/>
      </c>
      <c r="D6478">
        <f>IF($C6478="","",$C6478-WEEKDAY($C6478,2)+1)</f>
        <v/>
      </c>
      <c r="E6478">
        <f>IF($C6478="","",DATE(YEAR($C6478),MONTH($C6478),1))</f>
        <v/>
      </c>
      <c r="F6478">
        <f>IF($C6478="","",YEAR($C6478)&amp;"-Q"&amp;ROUNDUP(MONTH($C6478)/3,0))</f>
        <v/>
      </c>
      <c r="L6478">
        <f>IF($G6478&lt;&gt;"ALCOHOL","",IF($K6478="","",$H6478*IFERROR(VLOOKUP($K6478,Drink_Templates!$A:$G,7,FALSE),0)))</f>
        <v/>
      </c>
    </row>
    <row r="6479" ht="15" customHeight="1">
      <c r="C6479">
        <f>IF($B6479="","",INT($B6479))</f>
        <v/>
      </c>
      <c r="D6479">
        <f>IF($C6479="","",$C6479-WEEKDAY($C6479,2)+1)</f>
        <v/>
      </c>
      <c r="E6479">
        <f>IF($C6479="","",DATE(YEAR($C6479),MONTH($C6479),1))</f>
        <v/>
      </c>
      <c r="F6479">
        <f>IF($C6479="","",YEAR($C6479)&amp;"-Q"&amp;ROUNDUP(MONTH($C6479)/3,0))</f>
        <v/>
      </c>
      <c r="L6479">
        <f>IF($G6479&lt;&gt;"ALCOHOL","",IF($K6479="","",$H6479*IFERROR(VLOOKUP($K6479,Drink_Templates!$A:$G,7,FALSE),0)))</f>
        <v/>
      </c>
    </row>
    <row r="6480" ht="15" customHeight="1">
      <c r="C6480">
        <f>IF($B6480="","",INT($B6480))</f>
        <v/>
      </c>
      <c r="D6480">
        <f>IF($C6480="","",$C6480-WEEKDAY($C6480,2)+1)</f>
        <v/>
      </c>
      <c r="E6480">
        <f>IF($C6480="","",DATE(YEAR($C6480),MONTH($C6480),1))</f>
        <v/>
      </c>
      <c r="F6480">
        <f>IF($C6480="","",YEAR($C6480)&amp;"-Q"&amp;ROUNDUP(MONTH($C6480)/3,0))</f>
        <v/>
      </c>
      <c r="L6480">
        <f>IF($G6480&lt;&gt;"ALCOHOL","",IF($K6480="","",$H6480*IFERROR(VLOOKUP($K6480,Drink_Templates!$A:$G,7,FALSE),0)))</f>
        <v/>
      </c>
    </row>
    <row r="6481" ht="15" customHeight="1">
      <c r="C6481">
        <f>IF($B6481="","",INT($B6481))</f>
        <v/>
      </c>
      <c r="D6481">
        <f>IF($C6481="","",$C6481-WEEKDAY($C6481,2)+1)</f>
        <v/>
      </c>
      <c r="E6481">
        <f>IF($C6481="","",DATE(YEAR($C6481),MONTH($C6481),1))</f>
        <v/>
      </c>
      <c r="F6481">
        <f>IF($C6481="","",YEAR($C6481)&amp;"-Q"&amp;ROUNDUP(MONTH($C6481)/3,0))</f>
        <v/>
      </c>
      <c r="L6481">
        <f>IF($G6481&lt;&gt;"ALCOHOL","",IF($K6481="","",$H6481*IFERROR(VLOOKUP($K6481,Drink_Templates!$A:$G,7,FALSE),0)))</f>
        <v/>
      </c>
    </row>
    <row r="6482" ht="15" customHeight="1">
      <c r="C6482">
        <f>IF($B6482="","",INT($B6482))</f>
        <v/>
      </c>
      <c r="D6482">
        <f>IF($C6482="","",$C6482-WEEKDAY($C6482,2)+1)</f>
        <v/>
      </c>
      <c r="E6482">
        <f>IF($C6482="","",DATE(YEAR($C6482),MONTH($C6482),1))</f>
        <v/>
      </c>
      <c r="F6482">
        <f>IF($C6482="","",YEAR($C6482)&amp;"-Q"&amp;ROUNDUP(MONTH($C6482)/3,0))</f>
        <v/>
      </c>
      <c r="L6482">
        <f>IF($G6482&lt;&gt;"ALCOHOL","",IF($K6482="","",$H6482*IFERROR(VLOOKUP($K6482,Drink_Templates!$A:$G,7,FALSE),0)))</f>
        <v/>
      </c>
    </row>
    <row r="6483" ht="15" customHeight="1">
      <c r="C6483">
        <f>IF($B6483="","",INT($B6483))</f>
        <v/>
      </c>
      <c r="D6483">
        <f>IF($C6483="","",$C6483-WEEKDAY($C6483,2)+1)</f>
        <v/>
      </c>
      <c r="E6483">
        <f>IF($C6483="","",DATE(YEAR($C6483),MONTH($C6483),1))</f>
        <v/>
      </c>
      <c r="F6483">
        <f>IF($C6483="","",YEAR($C6483)&amp;"-Q"&amp;ROUNDUP(MONTH($C6483)/3,0))</f>
        <v/>
      </c>
      <c r="L6483">
        <f>IF($G6483&lt;&gt;"ALCOHOL","",IF($K6483="","",$H6483*IFERROR(VLOOKUP($K6483,Drink_Templates!$A:$G,7,FALSE),0)))</f>
        <v/>
      </c>
    </row>
    <row r="6484" ht="15" customHeight="1">
      <c r="C6484">
        <f>IF($B6484="","",INT($B6484))</f>
        <v/>
      </c>
      <c r="D6484">
        <f>IF($C6484="","",$C6484-WEEKDAY($C6484,2)+1)</f>
        <v/>
      </c>
      <c r="E6484">
        <f>IF($C6484="","",DATE(YEAR($C6484),MONTH($C6484),1))</f>
        <v/>
      </c>
      <c r="F6484">
        <f>IF($C6484="","",YEAR($C6484)&amp;"-Q"&amp;ROUNDUP(MONTH($C6484)/3,0))</f>
        <v/>
      </c>
      <c r="L6484">
        <f>IF($G6484&lt;&gt;"ALCOHOL","",IF($K6484="","",$H6484*IFERROR(VLOOKUP($K6484,Drink_Templates!$A:$G,7,FALSE),0)))</f>
        <v/>
      </c>
    </row>
    <row r="6485" ht="15" customHeight="1">
      <c r="C6485">
        <f>IF($B6485="","",INT($B6485))</f>
        <v/>
      </c>
      <c r="D6485">
        <f>IF($C6485="","",$C6485-WEEKDAY($C6485,2)+1)</f>
        <v/>
      </c>
      <c r="E6485">
        <f>IF($C6485="","",DATE(YEAR($C6485),MONTH($C6485),1))</f>
        <v/>
      </c>
      <c r="F6485">
        <f>IF($C6485="","",YEAR($C6485)&amp;"-Q"&amp;ROUNDUP(MONTH($C6485)/3,0))</f>
        <v/>
      </c>
      <c r="L6485">
        <f>IF($G6485&lt;&gt;"ALCOHOL","",IF($K6485="","",$H6485*IFERROR(VLOOKUP($K6485,Drink_Templates!$A:$G,7,FALSE),0)))</f>
        <v/>
      </c>
    </row>
    <row r="6486" ht="15" customHeight="1">
      <c r="C6486">
        <f>IF($B6486="","",INT($B6486))</f>
        <v/>
      </c>
      <c r="D6486">
        <f>IF($C6486="","",$C6486-WEEKDAY($C6486,2)+1)</f>
        <v/>
      </c>
      <c r="E6486">
        <f>IF($C6486="","",DATE(YEAR($C6486),MONTH($C6486),1))</f>
        <v/>
      </c>
      <c r="F6486">
        <f>IF($C6486="","",YEAR($C6486)&amp;"-Q"&amp;ROUNDUP(MONTH($C6486)/3,0))</f>
        <v/>
      </c>
      <c r="L6486">
        <f>IF($G6486&lt;&gt;"ALCOHOL","",IF($K6486="","",$H6486*IFERROR(VLOOKUP($K6486,Drink_Templates!$A:$G,7,FALSE),0)))</f>
        <v/>
      </c>
    </row>
    <row r="6487" ht="15" customHeight="1">
      <c r="C6487">
        <f>IF($B6487="","",INT($B6487))</f>
        <v/>
      </c>
      <c r="D6487">
        <f>IF($C6487="","",$C6487-WEEKDAY($C6487,2)+1)</f>
        <v/>
      </c>
      <c r="E6487">
        <f>IF($C6487="","",DATE(YEAR($C6487),MONTH($C6487),1))</f>
        <v/>
      </c>
      <c r="F6487">
        <f>IF($C6487="","",YEAR($C6487)&amp;"-Q"&amp;ROUNDUP(MONTH($C6487)/3,0))</f>
        <v/>
      </c>
      <c r="L6487">
        <f>IF($G6487&lt;&gt;"ALCOHOL","",IF($K6487="","",$H6487*IFERROR(VLOOKUP($K6487,Drink_Templates!$A:$G,7,FALSE),0)))</f>
        <v/>
      </c>
    </row>
    <row r="6488" ht="15" customHeight="1">
      <c r="C6488">
        <f>IF($B6488="","",INT($B6488))</f>
        <v/>
      </c>
      <c r="D6488">
        <f>IF($C6488="","",$C6488-WEEKDAY($C6488,2)+1)</f>
        <v/>
      </c>
      <c r="E6488">
        <f>IF($C6488="","",DATE(YEAR($C6488),MONTH($C6488),1))</f>
        <v/>
      </c>
      <c r="F6488">
        <f>IF($C6488="","",YEAR($C6488)&amp;"-Q"&amp;ROUNDUP(MONTH($C6488)/3,0))</f>
        <v/>
      </c>
      <c r="L6488">
        <f>IF($G6488&lt;&gt;"ALCOHOL","",IF($K6488="","",$H6488*IFERROR(VLOOKUP($K6488,Drink_Templates!$A:$G,7,FALSE),0)))</f>
        <v/>
      </c>
    </row>
    <row r="6489" ht="15" customHeight="1">
      <c r="C6489">
        <f>IF($B6489="","",INT($B6489))</f>
        <v/>
      </c>
      <c r="D6489">
        <f>IF($C6489="","",$C6489-WEEKDAY($C6489,2)+1)</f>
        <v/>
      </c>
      <c r="E6489">
        <f>IF($C6489="","",DATE(YEAR($C6489),MONTH($C6489),1))</f>
        <v/>
      </c>
      <c r="F6489">
        <f>IF($C6489="","",YEAR($C6489)&amp;"-Q"&amp;ROUNDUP(MONTH($C6489)/3,0))</f>
        <v/>
      </c>
      <c r="L6489">
        <f>IF($G6489&lt;&gt;"ALCOHOL","",IF($K6489="","",$H6489*IFERROR(VLOOKUP($K6489,Drink_Templates!$A:$G,7,FALSE),0)))</f>
        <v/>
      </c>
    </row>
    <row r="6490" ht="15" customHeight="1">
      <c r="C6490">
        <f>IF($B6490="","",INT($B6490))</f>
        <v/>
      </c>
      <c r="D6490">
        <f>IF($C6490="","",$C6490-WEEKDAY($C6490,2)+1)</f>
        <v/>
      </c>
      <c r="E6490">
        <f>IF($C6490="","",DATE(YEAR($C6490),MONTH($C6490),1))</f>
        <v/>
      </c>
      <c r="F6490">
        <f>IF($C6490="","",YEAR($C6490)&amp;"-Q"&amp;ROUNDUP(MONTH($C6490)/3,0))</f>
        <v/>
      </c>
      <c r="L6490">
        <f>IF($G6490&lt;&gt;"ALCOHOL","",IF($K6490="","",$H6490*IFERROR(VLOOKUP($K6490,Drink_Templates!$A:$G,7,FALSE),0)))</f>
        <v/>
      </c>
    </row>
    <row r="6491" ht="15" customHeight="1">
      <c r="C6491">
        <f>IF($B6491="","",INT($B6491))</f>
        <v/>
      </c>
      <c r="D6491">
        <f>IF($C6491="","",$C6491-WEEKDAY($C6491,2)+1)</f>
        <v/>
      </c>
      <c r="E6491">
        <f>IF($C6491="","",DATE(YEAR($C6491),MONTH($C6491),1))</f>
        <v/>
      </c>
      <c r="F6491">
        <f>IF($C6491="","",YEAR($C6491)&amp;"-Q"&amp;ROUNDUP(MONTH($C6491)/3,0))</f>
        <v/>
      </c>
      <c r="L6491">
        <f>IF($G6491&lt;&gt;"ALCOHOL","",IF($K6491="","",$H6491*IFERROR(VLOOKUP($K6491,Drink_Templates!$A:$G,7,FALSE),0)))</f>
        <v/>
      </c>
    </row>
    <row r="6492" ht="15" customHeight="1">
      <c r="C6492">
        <f>IF($B6492="","",INT($B6492))</f>
        <v/>
      </c>
      <c r="D6492">
        <f>IF($C6492="","",$C6492-WEEKDAY($C6492,2)+1)</f>
        <v/>
      </c>
      <c r="E6492">
        <f>IF($C6492="","",DATE(YEAR($C6492),MONTH($C6492),1))</f>
        <v/>
      </c>
      <c r="F6492">
        <f>IF($C6492="","",YEAR($C6492)&amp;"-Q"&amp;ROUNDUP(MONTH($C6492)/3,0))</f>
        <v/>
      </c>
      <c r="L6492">
        <f>IF($G6492&lt;&gt;"ALCOHOL","",IF($K6492="","",$H6492*IFERROR(VLOOKUP($K6492,Drink_Templates!$A:$G,7,FALSE),0)))</f>
        <v/>
      </c>
    </row>
    <row r="6493" ht="15" customHeight="1">
      <c r="C6493">
        <f>IF($B6493="","",INT($B6493))</f>
        <v/>
      </c>
      <c r="D6493">
        <f>IF($C6493="","",$C6493-WEEKDAY($C6493,2)+1)</f>
        <v/>
      </c>
      <c r="E6493">
        <f>IF($C6493="","",DATE(YEAR($C6493),MONTH($C6493),1))</f>
        <v/>
      </c>
      <c r="F6493">
        <f>IF($C6493="","",YEAR($C6493)&amp;"-Q"&amp;ROUNDUP(MONTH($C6493)/3,0))</f>
        <v/>
      </c>
      <c r="L6493">
        <f>IF($G6493&lt;&gt;"ALCOHOL","",IF($K6493="","",$H6493*IFERROR(VLOOKUP($K6493,Drink_Templates!$A:$G,7,FALSE),0)))</f>
        <v/>
      </c>
    </row>
    <row r="6494" ht="15" customHeight="1">
      <c r="C6494">
        <f>IF($B6494="","",INT($B6494))</f>
        <v/>
      </c>
      <c r="D6494">
        <f>IF($C6494="","",$C6494-WEEKDAY($C6494,2)+1)</f>
        <v/>
      </c>
      <c r="E6494">
        <f>IF($C6494="","",DATE(YEAR($C6494),MONTH($C6494),1))</f>
        <v/>
      </c>
      <c r="F6494">
        <f>IF($C6494="","",YEAR($C6494)&amp;"-Q"&amp;ROUNDUP(MONTH($C6494)/3,0))</f>
        <v/>
      </c>
      <c r="L6494">
        <f>IF($G6494&lt;&gt;"ALCOHOL","",IF($K6494="","",$H6494*IFERROR(VLOOKUP($K6494,Drink_Templates!$A:$G,7,FALSE),0)))</f>
        <v/>
      </c>
    </row>
    <row r="6495" ht="15" customHeight="1">
      <c r="C6495">
        <f>IF($B6495="","",INT($B6495))</f>
        <v/>
      </c>
      <c r="D6495">
        <f>IF($C6495="","",$C6495-WEEKDAY($C6495,2)+1)</f>
        <v/>
      </c>
      <c r="E6495">
        <f>IF($C6495="","",DATE(YEAR($C6495),MONTH($C6495),1))</f>
        <v/>
      </c>
      <c r="F6495">
        <f>IF($C6495="","",YEAR($C6495)&amp;"-Q"&amp;ROUNDUP(MONTH($C6495)/3,0))</f>
        <v/>
      </c>
      <c r="L6495">
        <f>IF($G6495&lt;&gt;"ALCOHOL","",IF($K6495="","",$H6495*IFERROR(VLOOKUP($K6495,Drink_Templates!$A:$G,7,FALSE),0)))</f>
        <v/>
      </c>
    </row>
    <row r="6496" ht="15" customHeight="1">
      <c r="C6496">
        <f>IF($B6496="","",INT($B6496))</f>
        <v/>
      </c>
      <c r="D6496">
        <f>IF($C6496="","",$C6496-WEEKDAY($C6496,2)+1)</f>
        <v/>
      </c>
      <c r="E6496">
        <f>IF($C6496="","",DATE(YEAR($C6496),MONTH($C6496),1))</f>
        <v/>
      </c>
      <c r="F6496">
        <f>IF($C6496="","",YEAR($C6496)&amp;"-Q"&amp;ROUNDUP(MONTH($C6496)/3,0))</f>
        <v/>
      </c>
      <c r="L6496">
        <f>IF($G6496&lt;&gt;"ALCOHOL","",IF($K6496="","",$H6496*IFERROR(VLOOKUP($K6496,Drink_Templates!$A:$G,7,FALSE),0)))</f>
        <v/>
      </c>
    </row>
    <row r="6497" ht="15" customHeight="1">
      <c r="C6497">
        <f>IF($B6497="","",INT($B6497))</f>
        <v/>
      </c>
      <c r="D6497">
        <f>IF($C6497="","",$C6497-WEEKDAY($C6497,2)+1)</f>
        <v/>
      </c>
      <c r="E6497">
        <f>IF($C6497="","",DATE(YEAR($C6497),MONTH($C6497),1))</f>
        <v/>
      </c>
      <c r="F6497">
        <f>IF($C6497="","",YEAR($C6497)&amp;"-Q"&amp;ROUNDUP(MONTH($C6497)/3,0))</f>
        <v/>
      </c>
      <c r="L6497">
        <f>IF($G6497&lt;&gt;"ALCOHOL","",IF($K6497="","",$H6497*IFERROR(VLOOKUP($K6497,Drink_Templates!$A:$G,7,FALSE),0)))</f>
        <v/>
      </c>
    </row>
    <row r="6498" ht="15" customHeight="1">
      <c r="C6498">
        <f>IF($B6498="","",INT($B6498))</f>
        <v/>
      </c>
      <c r="D6498">
        <f>IF($C6498="","",$C6498-WEEKDAY($C6498,2)+1)</f>
        <v/>
      </c>
      <c r="E6498">
        <f>IF($C6498="","",DATE(YEAR($C6498),MONTH($C6498),1))</f>
        <v/>
      </c>
      <c r="F6498">
        <f>IF($C6498="","",YEAR($C6498)&amp;"-Q"&amp;ROUNDUP(MONTH($C6498)/3,0))</f>
        <v/>
      </c>
      <c r="L6498">
        <f>IF($G6498&lt;&gt;"ALCOHOL","",IF($K6498="","",$H6498*IFERROR(VLOOKUP($K6498,Drink_Templates!$A:$G,7,FALSE),0)))</f>
        <v/>
      </c>
    </row>
    <row r="6499" ht="15" customHeight="1">
      <c r="C6499">
        <f>IF($B6499="","",INT($B6499))</f>
        <v/>
      </c>
      <c r="D6499">
        <f>IF($C6499="","",$C6499-WEEKDAY($C6499,2)+1)</f>
        <v/>
      </c>
      <c r="E6499">
        <f>IF($C6499="","",DATE(YEAR($C6499),MONTH($C6499),1))</f>
        <v/>
      </c>
      <c r="F6499">
        <f>IF($C6499="","",YEAR($C6499)&amp;"-Q"&amp;ROUNDUP(MONTH($C6499)/3,0))</f>
        <v/>
      </c>
      <c r="L6499">
        <f>IF($G6499&lt;&gt;"ALCOHOL","",IF($K6499="","",$H6499*IFERROR(VLOOKUP($K6499,Drink_Templates!$A:$G,7,FALSE),0)))</f>
        <v/>
      </c>
    </row>
    <row r="6500" ht="15" customHeight="1">
      <c r="C6500">
        <f>IF($B6500="","",INT($B6500))</f>
        <v/>
      </c>
      <c r="D6500">
        <f>IF($C6500="","",$C6500-WEEKDAY($C6500,2)+1)</f>
        <v/>
      </c>
      <c r="E6500">
        <f>IF($C6500="","",DATE(YEAR($C6500),MONTH($C6500),1))</f>
        <v/>
      </c>
      <c r="F6500">
        <f>IF($C6500="","",YEAR($C6500)&amp;"-Q"&amp;ROUNDUP(MONTH($C6500)/3,0))</f>
        <v/>
      </c>
      <c r="L6500">
        <f>IF($G6500&lt;&gt;"ALCOHOL","",IF($K6500="","",$H6500*IFERROR(VLOOKUP($K6500,Drink_Templates!$A:$G,7,FALSE),0)))</f>
        <v/>
      </c>
    </row>
    <row r="6501" ht="15" customHeight="1">
      <c r="C6501">
        <f>IF($B6501="","",INT($B6501))</f>
        <v/>
      </c>
      <c r="D6501">
        <f>IF($C6501="","",$C6501-WEEKDAY($C6501,2)+1)</f>
        <v/>
      </c>
      <c r="E6501">
        <f>IF($C6501="","",DATE(YEAR($C6501),MONTH($C6501),1))</f>
        <v/>
      </c>
      <c r="F6501">
        <f>IF($C6501="","",YEAR($C6501)&amp;"-Q"&amp;ROUNDUP(MONTH($C6501)/3,0))</f>
        <v/>
      </c>
      <c r="L6501">
        <f>IF($G6501&lt;&gt;"ALCOHOL","",IF($K6501="","",$H6501*IFERROR(VLOOKUP($K6501,Drink_Templates!$A:$G,7,FALSE),0)))</f>
        <v/>
      </c>
    </row>
    <row r="6502" ht="15" customHeight="1">
      <c r="C6502">
        <f>IF($B6502="","",INT($B6502))</f>
        <v/>
      </c>
      <c r="D6502">
        <f>IF($C6502="","",$C6502-WEEKDAY($C6502,2)+1)</f>
        <v/>
      </c>
      <c r="E6502">
        <f>IF($C6502="","",DATE(YEAR($C6502),MONTH($C6502),1))</f>
        <v/>
      </c>
      <c r="F6502">
        <f>IF($C6502="","",YEAR($C6502)&amp;"-Q"&amp;ROUNDUP(MONTH($C6502)/3,0))</f>
        <v/>
      </c>
      <c r="L6502">
        <f>IF($G6502&lt;&gt;"ALCOHOL","",IF($K6502="","",$H6502*IFERROR(VLOOKUP($K6502,Drink_Templates!$A:$G,7,FALSE),0)))</f>
        <v/>
      </c>
    </row>
    <row r="6503" ht="15" customHeight="1">
      <c r="C6503">
        <f>IF($B6503="","",INT($B6503))</f>
        <v/>
      </c>
      <c r="D6503">
        <f>IF($C6503="","",$C6503-WEEKDAY($C6503,2)+1)</f>
        <v/>
      </c>
      <c r="E6503">
        <f>IF($C6503="","",DATE(YEAR($C6503),MONTH($C6503),1))</f>
        <v/>
      </c>
      <c r="F6503">
        <f>IF($C6503="","",YEAR($C6503)&amp;"-Q"&amp;ROUNDUP(MONTH($C6503)/3,0))</f>
        <v/>
      </c>
      <c r="L6503">
        <f>IF($G6503&lt;&gt;"ALCOHOL","",IF($K6503="","",$H6503*IFERROR(VLOOKUP($K6503,Drink_Templates!$A:$G,7,FALSE),0)))</f>
        <v/>
      </c>
    </row>
    <row r="6504" ht="15" customHeight="1">
      <c r="C6504">
        <f>IF($B6504="","",INT($B6504))</f>
        <v/>
      </c>
      <c r="D6504">
        <f>IF($C6504="","",$C6504-WEEKDAY($C6504,2)+1)</f>
        <v/>
      </c>
      <c r="E6504">
        <f>IF($C6504="","",DATE(YEAR($C6504),MONTH($C6504),1))</f>
        <v/>
      </c>
      <c r="F6504">
        <f>IF($C6504="","",YEAR($C6504)&amp;"-Q"&amp;ROUNDUP(MONTH($C6504)/3,0))</f>
        <v/>
      </c>
      <c r="L6504">
        <f>IF($G6504&lt;&gt;"ALCOHOL","",IF($K6504="","",$H6504*IFERROR(VLOOKUP($K6504,Drink_Templates!$A:$G,7,FALSE),0)))</f>
        <v/>
      </c>
    </row>
    <row r="6505" ht="15" customHeight="1">
      <c r="C6505">
        <f>IF($B6505="","",INT($B6505))</f>
        <v/>
      </c>
      <c r="D6505">
        <f>IF($C6505="","",$C6505-WEEKDAY($C6505,2)+1)</f>
        <v/>
      </c>
      <c r="E6505">
        <f>IF($C6505="","",DATE(YEAR($C6505),MONTH($C6505),1))</f>
        <v/>
      </c>
      <c r="F6505">
        <f>IF($C6505="","",YEAR($C6505)&amp;"-Q"&amp;ROUNDUP(MONTH($C6505)/3,0))</f>
        <v/>
      </c>
      <c r="L6505">
        <f>IF($G6505&lt;&gt;"ALCOHOL","",IF($K6505="","",$H6505*IFERROR(VLOOKUP($K6505,Drink_Templates!$A:$G,7,FALSE),0)))</f>
        <v/>
      </c>
    </row>
    <row r="6506" ht="15" customHeight="1">
      <c r="C6506">
        <f>IF($B6506="","",INT($B6506))</f>
        <v/>
      </c>
      <c r="D6506">
        <f>IF($C6506="","",$C6506-WEEKDAY($C6506,2)+1)</f>
        <v/>
      </c>
      <c r="E6506">
        <f>IF($C6506="","",DATE(YEAR($C6506),MONTH($C6506),1))</f>
        <v/>
      </c>
      <c r="F6506">
        <f>IF($C6506="","",YEAR($C6506)&amp;"-Q"&amp;ROUNDUP(MONTH($C6506)/3,0))</f>
        <v/>
      </c>
      <c r="L6506">
        <f>IF($G6506&lt;&gt;"ALCOHOL","",IF($K6506="","",$H6506*IFERROR(VLOOKUP($K6506,Drink_Templates!$A:$G,7,FALSE),0)))</f>
        <v/>
      </c>
    </row>
    <row r="6507" ht="15" customHeight="1">
      <c r="C6507">
        <f>IF($B6507="","",INT($B6507))</f>
        <v/>
      </c>
      <c r="D6507">
        <f>IF($C6507="","",$C6507-WEEKDAY($C6507,2)+1)</f>
        <v/>
      </c>
      <c r="E6507">
        <f>IF($C6507="","",DATE(YEAR($C6507),MONTH($C6507),1))</f>
        <v/>
      </c>
      <c r="F6507">
        <f>IF($C6507="","",YEAR($C6507)&amp;"-Q"&amp;ROUNDUP(MONTH($C6507)/3,0))</f>
        <v/>
      </c>
      <c r="L6507">
        <f>IF($G6507&lt;&gt;"ALCOHOL","",IF($K6507="","",$H6507*IFERROR(VLOOKUP($K6507,Drink_Templates!$A:$G,7,FALSE),0)))</f>
        <v/>
      </c>
    </row>
    <row r="6508" ht="15" customHeight="1">
      <c r="C6508">
        <f>IF($B6508="","",INT($B6508))</f>
        <v/>
      </c>
      <c r="D6508">
        <f>IF($C6508="","",$C6508-WEEKDAY($C6508,2)+1)</f>
        <v/>
      </c>
      <c r="E6508">
        <f>IF($C6508="","",DATE(YEAR($C6508),MONTH($C6508),1))</f>
        <v/>
      </c>
      <c r="F6508">
        <f>IF($C6508="","",YEAR($C6508)&amp;"-Q"&amp;ROUNDUP(MONTH($C6508)/3,0))</f>
        <v/>
      </c>
      <c r="L6508">
        <f>IF($G6508&lt;&gt;"ALCOHOL","",IF($K6508="","",$H6508*IFERROR(VLOOKUP($K6508,Drink_Templates!$A:$G,7,FALSE),0)))</f>
        <v/>
      </c>
    </row>
    <row r="6509" ht="15" customHeight="1">
      <c r="C6509">
        <f>IF($B6509="","",INT($B6509))</f>
        <v/>
      </c>
      <c r="D6509">
        <f>IF($C6509="","",$C6509-WEEKDAY($C6509,2)+1)</f>
        <v/>
      </c>
      <c r="E6509">
        <f>IF($C6509="","",DATE(YEAR($C6509),MONTH($C6509),1))</f>
        <v/>
      </c>
      <c r="F6509">
        <f>IF($C6509="","",YEAR($C6509)&amp;"-Q"&amp;ROUNDUP(MONTH($C6509)/3,0))</f>
        <v/>
      </c>
      <c r="L6509">
        <f>IF($G6509&lt;&gt;"ALCOHOL","",IF($K6509="","",$H6509*IFERROR(VLOOKUP($K6509,Drink_Templates!$A:$G,7,FALSE),0)))</f>
        <v/>
      </c>
    </row>
    <row r="6510" ht="15" customHeight="1">
      <c r="C6510">
        <f>IF($B6510="","",INT($B6510))</f>
        <v/>
      </c>
      <c r="D6510">
        <f>IF($C6510="","",$C6510-WEEKDAY($C6510,2)+1)</f>
        <v/>
      </c>
      <c r="E6510">
        <f>IF($C6510="","",DATE(YEAR($C6510),MONTH($C6510),1))</f>
        <v/>
      </c>
      <c r="F6510">
        <f>IF($C6510="","",YEAR($C6510)&amp;"-Q"&amp;ROUNDUP(MONTH($C6510)/3,0))</f>
        <v/>
      </c>
      <c r="L6510">
        <f>IF($G6510&lt;&gt;"ALCOHOL","",IF($K6510="","",$H6510*IFERROR(VLOOKUP($K6510,Drink_Templates!$A:$G,7,FALSE),0)))</f>
        <v/>
      </c>
    </row>
    <row r="6511" ht="15" customHeight="1">
      <c r="C6511">
        <f>IF($B6511="","",INT($B6511))</f>
        <v/>
      </c>
      <c r="D6511">
        <f>IF($C6511="","",$C6511-WEEKDAY($C6511,2)+1)</f>
        <v/>
      </c>
      <c r="E6511">
        <f>IF($C6511="","",DATE(YEAR($C6511),MONTH($C6511),1))</f>
        <v/>
      </c>
      <c r="F6511">
        <f>IF($C6511="","",YEAR($C6511)&amp;"-Q"&amp;ROUNDUP(MONTH($C6511)/3,0))</f>
        <v/>
      </c>
      <c r="L6511">
        <f>IF($G6511&lt;&gt;"ALCOHOL","",IF($K6511="","",$H6511*IFERROR(VLOOKUP($K6511,Drink_Templates!$A:$G,7,FALSE),0)))</f>
        <v/>
      </c>
    </row>
    <row r="6512" ht="15" customHeight="1">
      <c r="C6512">
        <f>IF($B6512="","",INT($B6512))</f>
        <v/>
      </c>
      <c r="D6512">
        <f>IF($C6512="","",$C6512-WEEKDAY($C6512,2)+1)</f>
        <v/>
      </c>
      <c r="E6512">
        <f>IF($C6512="","",DATE(YEAR($C6512),MONTH($C6512),1))</f>
        <v/>
      </c>
      <c r="F6512">
        <f>IF($C6512="","",YEAR($C6512)&amp;"-Q"&amp;ROUNDUP(MONTH($C6512)/3,0))</f>
        <v/>
      </c>
      <c r="L6512">
        <f>IF($G6512&lt;&gt;"ALCOHOL","",IF($K6512="","",$H6512*IFERROR(VLOOKUP($K6512,Drink_Templates!$A:$G,7,FALSE),0)))</f>
        <v/>
      </c>
    </row>
    <row r="6513" ht="15" customHeight="1">
      <c r="C6513">
        <f>IF($B6513="","",INT($B6513))</f>
        <v/>
      </c>
      <c r="D6513">
        <f>IF($C6513="","",$C6513-WEEKDAY($C6513,2)+1)</f>
        <v/>
      </c>
      <c r="E6513">
        <f>IF($C6513="","",DATE(YEAR($C6513),MONTH($C6513),1))</f>
        <v/>
      </c>
      <c r="F6513">
        <f>IF($C6513="","",YEAR($C6513)&amp;"-Q"&amp;ROUNDUP(MONTH($C6513)/3,0))</f>
        <v/>
      </c>
      <c r="L6513">
        <f>IF($G6513&lt;&gt;"ALCOHOL","",IF($K6513="","",$H6513*IFERROR(VLOOKUP($K6513,Drink_Templates!$A:$G,7,FALSE),0)))</f>
        <v/>
      </c>
    </row>
    <row r="6514" ht="15" customHeight="1">
      <c r="C6514">
        <f>IF($B6514="","",INT($B6514))</f>
        <v/>
      </c>
      <c r="D6514">
        <f>IF($C6514="","",$C6514-WEEKDAY($C6514,2)+1)</f>
        <v/>
      </c>
      <c r="E6514">
        <f>IF($C6514="","",DATE(YEAR($C6514),MONTH($C6514),1))</f>
        <v/>
      </c>
      <c r="F6514">
        <f>IF($C6514="","",YEAR($C6514)&amp;"-Q"&amp;ROUNDUP(MONTH($C6514)/3,0))</f>
        <v/>
      </c>
      <c r="L6514">
        <f>IF($G6514&lt;&gt;"ALCOHOL","",IF($K6514="","",$H6514*IFERROR(VLOOKUP($K6514,Drink_Templates!$A:$G,7,FALSE),0)))</f>
        <v/>
      </c>
    </row>
    <row r="6515" ht="15" customHeight="1">
      <c r="C6515">
        <f>IF($B6515="","",INT($B6515))</f>
        <v/>
      </c>
      <c r="D6515">
        <f>IF($C6515="","",$C6515-WEEKDAY($C6515,2)+1)</f>
        <v/>
      </c>
      <c r="E6515">
        <f>IF($C6515="","",DATE(YEAR($C6515),MONTH($C6515),1))</f>
        <v/>
      </c>
      <c r="F6515">
        <f>IF($C6515="","",YEAR($C6515)&amp;"-Q"&amp;ROUNDUP(MONTH($C6515)/3,0))</f>
        <v/>
      </c>
      <c r="L6515">
        <f>IF($G6515&lt;&gt;"ALCOHOL","",IF($K6515="","",$H6515*IFERROR(VLOOKUP($K6515,Drink_Templates!$A:$G,7,FALSE),0)))</f>
        <v/>
      </c>
    </row>
    <row r="6516" ht="15" customHeight="1">
      <c r="C6516">
        <f>IF($B6516="","",INT($B6516))</f>
        <v/>
      </c>
      <c r="D6516">
        <f>IF($C6516="","",$C6516-WEEKDAY($C6516,2)+1)</f>
        <v/>
      </c>
      <c r="E6516">
        <f>IF($C6516="","",DATE(YEAR($C6516),MONTH($C6516),1))</f>
        <v/>
      </c>
      <c r="F6516">
        <f>IF($C6516="","",YEAR($C6516)&amp;"-Q"&amp;ROUNDUP(MONTH($C6516)/3,0))</f>
        <v/>
      </c>
      <c r="L6516">
        <f>IF($G6516&lt;&gt;"ALCOHOL","",IF($K6516="","",$H6516*IFERROR(VLOOKUP($K6516,Drink_Templates!$A:$G,7,FALSE),0)))</f>
        <v/>
      </c>
    </row>
    <row r="6517" ht="15" customHeight="1">
      <c r="C6517">
        <f>IF($B6517="","",INT($B6517))</f>
        <v/>
      </c>
      <c r="D6517">
        <f>IF($C6517="","",$C6517-WEEKDAY($C6517,2)+1)</f>
        <v/>
      </c>
      <c r="E6517">
        <f>IF($C6517="","",DATE(YEAR($C6517),MONTH($C6517),1))</f>
        <v/>
      </c>
      <c r="F6517">
        <f>IF($C6517="","",YEAR($C6517)&amp;"-Q"&amp;ROUNDUP(MONTH($C6517)/3,0))</f>
        <v/>
      </c>
      <c r="L6517">
        <f>IF($G6517&lt;&gt;"ALCOHOL","",IF($K6517="","",$H6517*IFERROR(VLOOKUP($K6517,Drink_Templates!$A:$G,7,FALSE),0)))</f>
        <v/>
      </c>
    </row>
    <row r="6518" ht="15" customHeight="1">
      <c r="C6518">
        <f>IF($B6518="","",INT($B6518))</f>
        <v/>
      </c>
      <c r="D6518">
        <f>IF($C6518="","",$C6518-WEEKDAY($C6518,2)+1)</f>
        <v/>
      </c>
      <c r="E6518">
        <f>IF($C6518="","",DATE(YEAR($C6518),MONTH($C6518),1))</f>
        <v/>
      </c>
      <c r="F6518">
        <f>IF($C6518="","",YEAR($C6518)&amp;"-Q"&amp;ROUNDUP(MONTH($C6518)/3,0))</f>
        <v/>
      </c>
      <c r="L6518">
        <f>IF($G6518&lt;&gt;"ALCOHOL","",IF($K6518="","",$H6518*IFERROR(VLOOKUP($K6518,Drink_Templates!$A:$G,7,FALSE),0)))</f>
        <v/>
      </c>
    </row>
    <row r="6519" ht="15" customHeight="1">
      <c r="C6519">
        <f>IF($B6519="","",INT($B6519))</f>
        <v/>
      </c>
      <c r="D6519">
        <f>IF($C6519="","",$C6519-WEEKDAY($C6519,2)+1)</f>
        <v/>
      </c>
      <c r="E6519">
        <f>IF($C6519="","",DATE(YEAR($C6519),MONTH($C6519),1))</f>
        <v/>
      </c>
      <c r="F6519">
        <f>IF($C6519="","",YEAR($C6519)&amp;"-Q"&amp;ROUNDUP(MONTH($C6519)/3,0))</f>
        <v/>
      </c>
      <c r="L6519">
        <f>IF($G6519&lt;&gt;"ALCOHOL","",IF($K6519="","",$H6519*IFERROR(VLOOKUP($K6519,Drink_Templates!$A:$G,7,FALSE),0)))</f>
        <v/>
      </c>
    </row>
    <row r="6520" ht="15" customHeight="1">
      <c r="C6520">
        <f>IF($B6520="","",INT($B6520))</f>
        <v/>
      </c>
      <c r="D6520">
        <f>IF($C6520="","",$C6520-WEEKDAY($C6520,2)+1)</f>
        <v/>
      </c>
      <c r="E6520">
        <f>IF($C6520="","",DATE(YEAR($C6520),MONTH($C6520),1))</f>
        <v/>
      </c>
      <c r="F6520">
        <f>IF($C6520="","",YEAR($C6520)&amp;"-Q"&amp;ROUNDUP(MONTH($C6520)/3,0))</f>
        <v/>
      </c>
      <c r="L6520">
        <f>IF($G6520&lt;&gt;"ALCOHOL","",IF($K6520="","",$H6520*IFERROR(VLOOKUP($K6520,Drink_Templates!$A:$G,7,FALSE),0)))</f>
        <v/>
      </c>
    </row>
    <row r="6521" ht="15" customHeight="1">
      <c r="C6521">
        <f>IF($B6521="","",INT($B6521))</f>
        <v/>
      </c>
      <c r="D6521">
        <f>IF($C6521="","",$C6521-WEEKDAY($C6521,2)+1)</f>
        <v/>
      </c>
      <c r="E6521">
        <f>IF($C6521="","",DATE(YEAR($C6521),MONTH($C6521),1))</f>
        <v/>
      </c>
      <c r="F6521">
        <f>IF($C6521="","",YEAR($C6521)&amp;"-Q"&amp;ROUNDUP(MONTH($C6521)/3,0))</f>
        <v/>
      </c>
      <c r="L6521">
        <f>IF($G6521&lt;&gt;"ALCOHOL","",IF($K6521="","",$H6521*IFERROR(VLOOKUP($K6521,Drink_Templates!$A:$G,7,FALSE),0)))</f>
        <v/>
      </c>
    </row>
    <row r="6522" ht="15" customHeight="1">
      <c r="C6522">
        <f>IF($B6522="","",INT($B6522))</f>
        <v/>
      </c>
      <c r="D6522">
        <f>IF($C6522="","",$C6522-WEEKDAY($C6522,2)+1)</f>
        <v/>
      </c>
      <c r="E6522">
        <f>IF($C6522="","",DATE(YEAR($C6522),MONTH($C6522),1))</f>
        <v/>
      </c>
      <c r="F6522">
        <f>IF($C6522="","",YEAR($C6522)&amp;"-Q"&amp;ROUNDUP(MONTH($C6522)/3,0))</f>
        <v/>
      </c>
      <c r="L6522">
        <f>IF($G6522&lt;&gt;"ALCOHOL","",IF($K6522="","",$H6522*IFERROR(VLOOKUP($K6522,Drink_Templates!$A:$G,7,FALSE),0)))</f>
        <v/>
      </c>
    </row>
    <row r="6523" ht="15" customHeight="1">
      <c r="C6523">
        <f>IF($B6523="","",INT($B6523))</f>
        <v/>
      </c>
      <c r="D6523">
        <f>IF($C6523="","",$C6523-WEEKDAY($C6523,2)+1)</f>
        <v/>
      </c>
      <c r="E6523">
        <f>IF($C6523="","",DATE(YEAR($C6523),MONTH($C6523),1))</f>
        <v/>
      </c>
      <c r="F6523">
        <f>IF($C6523="","",YEAR($C6523)&amp;"-Q"&amp;ROUNDUP(MONTH($C6523)/3,0))</f>
        <v/>
      </c>
      <c r="L6523">
        <f>IF($G6523&lt;&gt;"ALCOHOL","",IF($K6523="","",$H6523*IFERROR(VLOOKUP($K6523,Drink_Templates!$A:$G,7,FALSE),0)))</f>
        <v/>
      </c>
    </row>
    <row r="6524" ht="15" customHeight="1">
      <c r="C6524">
        <f>IF($B6524="","",INT($B6524))</f>
        <v/>
      </c>
      <c r="D6524">
        <f>IF($C6524="","",$C6524-WEEKDAY($C6524,2)+1)</f>
        <v/>
      </c>
      <c r="E6524">
        <f>IF($C6524="","",DATE(YEAR($C6524),MONTH($C6524),1))</f>
        <v/>
      </c>
      <c r="F6524">
        <f>IF($C6524="","",YEAR($C6524)&amp;"-Q"&amp;ROUNDUP(MONTH($C6524)/3,0))</f>
        <v/>
      </c>
      <c r="L6524">
        <f>IF($G6524&lt;&gt;"ALCOHOL","",IF($K6524="","",$H6524*IFERROR(VLOOKUP($K6524,Drink_Templates!$A:$G,7,FALSE),0)))</f>
        <v/>
      </c>
    </row>
    <row r="6525" ht="15" customHeight="1">
      <c r="C6525">
        <f>IF($B6525="","",INT($B6525))</f>
        <v/>
      </c>
      <c r="D6525">
        <f>IF($C6525="","",$C6525-WEEKDAY($C6525,2)+1)</f>
        <v/>
      </c>
      <c r="E6525">
        <f>IF($C6525="","",DATE(YEAR($C6525),MONTH($C6525),1))</f>
        <v/>
      </c>
      <c r="F6525">
        <f>IF($C6525="","",YEAR($C6525)&amp;"-Q"&amp;ROUNDUP(MONTH($C6525)/3,0))</f>
        <v/>
      </c>
      <c r="L6525">
        <f>IF($G6525&lt;&gt;"ALCOHOL","",IF($K6525="","",$H6525*IFERROR(VLOOKUP($K6525,Drink_Templates!$A:$G,7,FALSE),0)))</f>
        <v/>
      </c>
    </row>
    <row r="6526" ht="15" customHeight="1">
      <c r="C6526">
        <f>IF($B6526="","",INT($B6526))</f>
        <v/>
      </c>
      <c r="D6526">
        <f>IF($C6526="","",$C6526-WEEKDAY($C6526,2)+1)</f>
        <v/>
      </c>
      <c r="E6526">
        <f>IF($C6526="","",DATE(YEAR($C6526),MONTH($C6526),1))</f>
        <v/>
      </c>
      <c r="F6526">
        <f>IF($C6526="","",YEAR($C6526)&amp;"-Q"&amp;ROUNDUP(MONTH($C6526)/3,0))</f>
        <v/>
      </c>
      <c r="L6526">
        <f>IF($G6526&lt;&gt;"ALCOHOL","",IF($K6526="","",$H6526*IFERROR(VLOOKUP($K6526,Drink_Templates!$A:$G,7,FALSE),0)))</f>
        <v/>
      </c>
    </row>
    <row r="6527" ht="15" customHeight="1">
      <c r="C6527">
        <f>IF($B6527="","",INT($B6527))</f>
        <v/>
      </c>
      <c r="D6527">
        <f>IF($C6527="","",$C6527-WEEKDAY($C6527,2)+1)</f>
        <v/>
      </c>
      <c r="E6527">
        <f>IF($C6527="","",DATE(YEAR($C6527),MONTH($C6527),1))</f>
        <v/>
      </c>
      <c r="F6527">
        <f>IF($C6527="","",YEAR($C6527)&amp;"-Q"&amp;ROUNDUP(MONTH($C6527)/3,0))</f>
        <v/>
      </c>
      <c r="L6527">
        <f>IF($G6527&lt;&gt;"ALCOHOL","",IF($K6527="","",$H6527*IFERROR(VLOOKUP($K6527,Drink_Templates!$A:$G,7,FALSE),0)))</f>
        <v/>
      </c>
    </row>
    <row r="6528" ht="15" customHeight="1">
      <c r="C6528">
        <f>IF($B6528="","",INT($B6528))</f>
        <v/>
      </c>
      <c r="D6528">
        <f>IF($C6528="","",$C6528-WEEKDAY($C6528,2)+1)</f>
        <v/>
      </c>
      <c r="E6528">
        <f>IF($C6528="","",DATE(YEAR($C6528),MONTH($C6528),1))</f>
        <v/>
      </c>
      <c r="F6528">
        <f>IF($C6528="","",YEAR($C6528)&amp;"-Q"&amp;ROUNDUP(MONTH($C6528)/3,0))</f>
        <v/>
      </c>
      <c r="L6528">
        <f>IF($G6528&lt;&gt;"ALCOHOL","",IF($K6528="","",$H6528*IFERROR(VLOOKUP($K6528,Drink_Templates!$A:$G,7,FALSE),0)))</f>
        <v/>
      </c>
    </row>
    <row r="6529" ht="15" customHeight="1">
      <c r="C6529">
        <f>IF($B6529="","",INT($B6529))</f>
        <v/>
      </c>
      <c r="D6529">
        <f>IF($C6529="","",$C6529-WEEKDAY($C6529,2)+1)</f>
        <v/>
      </c>
      <c r="E6529">
        <f>IF($C6529="","",DATE(YEAR($C6529),MONTH($C6529),1))</f>
        <v/>
      </c>
      <c r="F6529">
        <f>IF($C6529="","",YEAR($C6529)&amp;"-Q"&amp;ROUNDUP(MONTH($C6529)/3,0))</f>
        <v/>
      </c>
      <c r="L6529">
        <f>IF($G6529&lt;&gt;"ALCOHOL","",IF($K6529="","",$H6529*IFERROR(VLOOKUP($K6529,Drink_Templates!$A:$G,7,FALSE),0)))</f>
        <v/>
      </c>
    </row>
    <row r="6530" ht="15" customHeight="1">
      <c r="C6530">
        <f>IF($B6530="","",INT($B6530))</f>
        <v/>
      </c>
      <c r="D6530">
        <f>IF($C6530="","",$C6530-WEEKDAY($C6530,2)+1)</f>
        <v/>
      </c>
      <c r="E6530">
        <f>IF($C6530="","",DATE(YEAR($C6530),MONTH($C6530),1))</f>
        <v/>
      </c>
      <c r="F6530">
        <f>IF($C6530="","",YEAR($C6530)&amp;"-Q"&amp;ROUNDUP(MONTH($C6530)/3,0))</f>
        <v/>
      </c>
      <c r="L6530">
        <f>IF($G6530&lt;&gt;"ALCOHOL","",IF($K6530="","",$H6530*IFERROR(VLOOKUP($K6530,Drink_Templates!$A:$G,7,FALSE),0)))</f>
        <v/>
      </c>
    </row>
    <row r="6531" ht="15" customHeight="1">
      <c r="C6531">
        <f>IF($B6531="","",INT($B6531))</f>
        <v/>
      </c>
      <c r="D6531">
        <f>IF($C6531="","",$C6531-WEEKDAY($C6531,2)+1)</f>
        <v/>
      </c>
      <c r="E6531">
        <f>IF($C6531="","",DATE(YEAR($C6531),MONTH($C6531),1))</f>
        <v/>
      </c>
      <c r="F6531">
        <f>IF($C6531="","",YEAR($C6531)&amp;"-Q"&amp;ROUNDUP(MONTH($C6531)/3,0))</f>
        <v/>
      </c>
      <c r="L6531">
        <f>IF($G6531&lt;&gt;"ALCOHOL","",IF($K6531="","",$H6531*IFERROR(VLOOKUP($K6531,Drink_Templates!$A:$G,7,FALSE),0)))</f>
        <v/>
      </c>
    </row>
    <row r="6532" ht="15" customHeight="1">
      <c r="C6532">
        <f>IF($B6532="","",INT($B6532))</f>
        <v/>
      </c>
      <c r="D6532">
        <f>IF($C6532="","",$C6532-WEEKDAY($C6532,2)+1)</f>
        <v/>
      </c>
      <c r="E6532">
        <f>IF($C6532="","",DATE(YEAR($C6532),MONTH($C6532),1))</f>
        <v/>
      </c>
      <c r="F6532">
        <f>IF($C6532="","",YEAR($C6532)&amp;"-Q"&amp;ROUNDUP(MONTH($C6532)/3,0))</f>
        <v/>
      </c>
      <c r="L6532">
        <f>IF($G6532&lt;&gt;"ALCOHOL","",IF($K6532="","",$H6532*IFERROR(VLOOKUP($K6532,Drink_Templates!$A:$G,7,FALSE),0)))</f>
        <v/>
      </c>
    </row>
    <row r="6533" ht="15" customHeight="1">
      <c r="C6533">
        <f>IF($B6533="","",INT($B6533))</f>
        <v/>
      </c>
      <c r="D6533">
        <f>IF($C6533="","",$C6533-WEEKDAY($C6533,2)+1)</f>
        <v/>
      </c>
      <c r="E6533">
        <f>IF($C6533="","",DATE(YEAR($C6533),MONTH($C6533),1))</f>
        <v/>
      </c>
      <c r="F6533">
        <f>IF($C6533="","",YEAR($C6533)&amp;"-Q"&amp;ROUNDUP(MONTH($C6533)/3,0))</f>
        <v/>
      </c>
      <c r="L6533">
        <f>IF($G6533&lt;&gt;"ALCOHOL","",IF($K6533="","",$H6533*IFERROR(VLOOKUP($K6533,Drink_Templates!$A:$G,7,FALSE),0)))</f>
        <v/>
      </c>
    </row>
    <row r="6534" ht="15" customHeight="1">
      <c r="C6534">
        <f>IF($B6534="","",INT($B6534))</f>
        <v/>
      </c>
      <c r="D6534">
        <f>IF($C6534="","",$C6534-WEEKDAY($C6534,2)+1)</f>
        <v/>
      </c>
      <c r="E6534">
        <f>IF($C6534="","",DATE(YEAR($C6534),MONTH($C6534),1))</f>
        <v/>
      </c>
      <c r="F6534">
        <f>IF($C6534="","",YEAR($C6534)&amp;"-Q"&amp;ROUNDUP(MONTH($C6534)/3,0))</f>
        <v/>
      </c>
      <c r="L6534">
        <f>IF($G6534&lt;&gt;"ALCOHOL","",IF($K6534="","",$H6534*IFERROR(VLOOKUP($K6534,Drink_Templates!$A:$G,7,FALSE),0)))</f>
        <v/>
      </c>
    </row>
    <row r="6535" ht="15" customHeight="1">
      <c r="C6535">
        <f>IF($B6535="","",INT($B6535))</f>
        <v/>
      </c>
      <c r="D6535">
        <f>IF($C6535="","",$C6535-WEEKDAY($C6535,2)+1)</f>
        <v/>
      </c>
      <c r="E6535">
        <f>IF($C6535="","",DATE(YEAR($C6535),MONTH($C6535),1))</f>
        <v/>
      </c>
      <c r="F6535">
        <f>IF($C6535="","",YEAR($C6535)&amp;"-Q"&amp;ROUNDUP(MONTH($C6535)/3,0))</f>
        <v/>
      </c>
      <c r="L6535">
        <f>IF($G6535&lt;&gt;"ALCOHOL","",IF($K6535="","",$H6535*IFERROR(VLOOKUP($K6535,Drink_Templates!$A:$G,7,FALSE),0)))</f>
        <v/>
      </c>
    </row>
    <row r="6536" ht="15" customHeight="1">
      <c r="C6536">
        <f>IF($B6536="","",INT($B6536))</f>
        <v/>
      </c>
      <c r="D6536">
        <f>IF($C6536="","",$C6536-WEEKDAY($C6536,2)+1)</f>
        <v/>
      </c>
      <c r="E6536">
        <f>IF($C6536="","",DATE(YEAR($C6536),MONTH($C6536),1))</f>
        <v/>
      </c>
      <c r="F6536">
        <f>IF($C6536="","",YEAR($C6536)&amp;"-Q"&amp;ROUNDUP(MONTH($C6536)/3,0))</f>
        <v/>
      </c>
      <c r="L6536">
        <f>IF($G6536&lt;&gt;"ALCOHOL","",IF($K6536="","",$H6536*IFERROR(VLOOKUP($K6536,Drink_Templates!$A:$G,7,FALSE),0)))</f>
        <v/>
      </c>
    </row>
    <row r="6537" ht="15" customHeight="1">
      <c r="C6537">
        <f>IF($B6537="","",INT($B6537))</f>
        <v/>
      </c>
      <c r="D6537">
        <f>IF($C6537="","",$C6537-WEEKDAY($C6537,2)+1)</f>
        <v/>
      </c>
      <c r="E6537">
        <f>IF($C6537="","",DATE(YEAR($C6537),MONTH($C6537),1))</f>
        <v/>
      </c>
      <c r="F6537">
        <f>IF($C6537="","",YEAR($C6537)&amp;"-Q"&amp;ROUNDUP(MONTH($C6537)/3,0))</f>
        <v/>
      </c>
      <c r="L6537">
        <f>IF($G6537&lt;&gt;"ALCOHOL","",IF($K6537="","",$H6537*IFERROR(VLOOKUP($K6537,Drink_Templates!$A:$G,7,FALSE),0)))</f>
        <v/>
      </c>
    </row>
    <row r="6538" ht="15" customHeight="1">
      <c r="C6538">
        <f>IF($B6538="","",INT($B6538))</f>
        <v/>
      </c>
      <c r="D6538">
        <f>IF($C6538="","",$C6538-WEEKDAY($C6538,2)+1)</f>
        <v/>
      </c>
      <c r="E6538">
        <f>IF($C6538="","",DATE(YEAR($C6538),MONTH($C6538),1))</f>
        <v/>
      </c>
      <c r="F6538">
        <f>IF($C6538="","",YEAR($C6538)&amp;"-Q"&amp;ROUNDUP(MONTH($C6538)/3,0))</f>
        <v/>
      </c>
      <c r="L6538">
        <f>IF($G6538&lt;&gt;"ALCOHOL","",IF($K6538="","",$H6538*IFERROR(VLOOKUP($K6538,Drink_Templates!$A:$G,7,FALSE),0)))</f>
        <v/>
      </c>
    </row>
    <row r="6539" ht="15" customHeight="1">
      <c r="C6539">
        <f>IF($B6539="","",INT($B6539))</f>
        <v/>
      </c>
      <c r="D6539">
        <f>IF($C6539="","",$C6539-WEEKDAY($C6539,2)+1)</f>
        <v/>
      </c>
      <c r="E6539">
        <f>IF($C6539="","",DATE(YEAR($C6539),MONTH($C6539),1))</f>
        <v/>
      </c>
      <c r="F6539">
        <f>IF($C6539="","",YEAR($C6539)&amp;"-Q"&amp;ROUNDUP(MONTH($C6539)/3,0))</f>
        <v/>
      </c>
      <c r="L6539">
        <f>IF($G6539&lt;&gt;"ALCOHOL","",IF($K6539="","",$H6539*IFERROR(VLOOKUP($K6539,Drink_Templates!$A:$G,7,FALSE),0)))</f>
        <v/>
      </c>
    </row>
    <row r="6540" ht="15" customHeight="1">
      <c r="C6540">
        <f>IF($B6540="","",INT($B6540))</f>
        <v/>
      </c>
      <c r="D6540">
        <f>IF($C6540="","",$C6540-WEEKDAY($C6540,2)+1)</f>
        <v/>
      </c>
      <c r="E6540">
        <f>IF($C6540="","",DATE(YEAR($C6540),MONTH($C6540),1))</f>
        <v/>
      </c>
      <c r="F6540">
        <f>IF($C6540="","",YEAR($C6540)&amp;"-Q"&amp;ROUNDUP(MONTH($C6540)/3,0))</f>
        <v/>
      </c>
      <c r="L6540">
        <f>IF($G6540&lt;&gt;"ALCOHOL","",IF($K6540="","",$H6540*IFERROR(VLOOKUP($K6540,Drink_Templates!$A:$G,7,FALSE),0)))</f>
        <v/>
      </c>
    </row>
    <row r="6541" ht="15" customHeight="1">
      <c r="C6541">
        <f>IF($B6541="","",INT($B6541))</f>
        <v/>
      </c>
      <c r="D6541">
        <f>IF($C6541="","",$C6541-WEEKDAY($C6541,2)+1)</f>
        <v/>
      </c>
      <c r="E6541">
        <f>IF($C6541="","",DATE(YEAR($C6541),MONTH($C6541),1))</f>
        <v/>
      </c>
      <c r="F6541">
        <f>IF($C6541="","",YEAR($C6541)&amp;"-Q"&amp;ROUNDUP(MONTH($C6541)/3,0))</f>
        <v/>
      </c>
      <c r="L6541">
        <f>IF($G6541&lt;&gt;"ALCOHOL","",IF($K6541="","",$H6541*IFERROR(VLOOKUP($K6541,Drink_Templates!$A:$G,7,FALSE),0)))</f>
        <v/>
      </c>
    </row>
    <row r="6542" ht="15" customHeight="1">
      <c r="C6542">
        <f>IF($B6542="","",INT($B6542))</f>
        <v/>
      </c>
      <c r="D6542">
        <f>IF($C6542="","",$C6542-WEEKDAY($C6542,2)+1)</f>
        <v/>
      </c>
      <c r="E6542">
        <f>IF($C6542="","",DATE(YEAR($C6542),MONTH($C6542),1))</f>
        <v/>
      </c>
      <c r="F6542">
        <f>IF($C6542="","",YEAR($C6542)&amp;"-Q"&amp;ROUNDUP(MONTH($C6542)/3,0))</f>
        <v/>
      </c>
      <c r="L6542">
        <f>IF($G6542&lt;&gt;"ALCOHOL","",IF($K6542="","",$H6542*IFERROR(VLOOKUP($K6542,Drink_Templates!$A:$G,7,FALSE),0)))</f>
        <v/>
      </c>
    </row>
    <row r="6543" ht="15" customHeight="1">
      <c r="C6543">
        <f>IF($B6543="","",INT($B6543))</f>
        <v/>
      </c>
      <c r="D6543">
        <f>IF($C6543="","",$C6543-WEEKDAY($C6543,2)+1)</f>
        <v/>
      </c>
      <c r="E6543">
        <f>IF($C6543="","",DATE(YEAR($C6543),MONTH($C6543),1))</f>
        <v/>
      </c>
      <c r="F6543">
        <f>IF($C6543="","",YEAR($C6543)&amp;"-Q"&amp;ROUNDUP(MONTH($C6543)/3,0))</f>
        <v/>
      </c>
      <c r="L6543">
        <f>IF($G6543&lt;&gt;"ALCOHOL","",IF($K6543="","",$H6543*IFERROR(VLOOKUP($K6543,Drink_Templates!$A:$G,7,FALSE),0)))</f>
        <v/>
      </c>
    </row>
    <row r="6544" ht="15" customHeight="1">
      <c r="C6544">
        <f>IF($B6544="","",INT($B6544))</f>
        <v/>
      </c>
      <c r="D6544">
        <f>IF($C6544="","",$C6544-WEEKDAY($C6544,2)+1)</f>
        <v/>
      </c>
      <c r="E6544">
        <f>IF($C6544="","",DATE(YEAR($C6544),MONTH($C6544),1))</f>
        <v/>
      </c>
      <c r="F6544">
        <f>IF($C6544="","",YEAR($C6544)&amp;"-Q"&amp;ROUNDUP(MONTH($C6544)/3,0))</f>
        <v/>
      </c>
      <c r="L6544">
        <f>IF($G6544&lt;&gt;"ALCOHOL","",IF($K6544="","",$H6544*IFERROR(VLOOKUP($K6544,Drink_Templates!$A:$G,7,FALSE),0)))</f>
        <v/>
      </c>
    </row>
    <row r="6545" ht="15" customHeight="1">
      <c r="C6545">
        <f>IF($B6545="","",INT($B6545))</f>
        <v/>
      </c>
      <c r="D6545">
        <f>IF($C6545="","",$C6545-WEEKDAY($C6545,2)+1)</f>
        <v/>
      </c>
      <c r="E6545">
        <f>IF($C6545="","",DATE(YEAR($C6545),MONTH($C6545),1))</f>
        <v/>
      </c>
      <c r="F6545">
        <f>IF($C6545="","",YEAR($C6545)&amp;"-Q"&amp;ROUNDUP(MONTH($C6545)/3,0))</f>
        <v/>
      </c>
      <c r="L6545">
        <f>IF($G6545&lt;&gt;"ALCOHOL","",IF($K6545="","",$H6545*IFERROR(VLOOKUP($K6545,Drink_Templates!$A:$G,7,FALSE),0)))</f>
        <v/>
      </c>
    </row>
    <row r="6546" ht="15" customHeight="1">
      <c r="C6546">
        <f>IF($B6546="","",INT($B6546))</f>
        <v/>
      </c>
      <c r="D6546">
        <f>IF($C6546="","",$C6546-WEEKDAY($C6546,2)+1)</f>
        <v/>
      </c>
      <c r="E6546">
        <f>IF($C6546="","",DATE(YEAR($C6546),MONTH($C6546),1))</f>
        <v/>
      </c>
      <c r="F6546">
        <f>IF($C6546="","",YEAR($C6546)&amp;"-Q"&amp;ROUNDUP(MONTH($C6546)/3,0))</f>
        <v/>
      </c>
      <c r="L6546">
        <f>IF($G6546&lt;&gt;"ALCOHOL","",IF($K6546="","",$H6546*IFERROR(VLOOKUP($K6546,Drink_Templates!$A:$G,7,FALSE),0)))</f>
        <v/>
      </c>
    </row>
    <row r="6547" ht="15" customHeight="1">
      <c r="C6547">
        <f>IF($B6547="","",INT($B6547))</f>
        <v/>
      </c>
      <c r="D6547">
        <f>IF($C6547="","",$C6547-WEEKDAY($C6547,2)+1)</f>
        <v/>
      </c>
      <c r="E6547">
        <f>IF($C6547="","",DATE(YEAR($C6547),MONTH($C6547),1))</f>
        <v/>
      </c>
      <c r="F6547">
        <f>IF($C6547="","",YEAR($C6547)&amp;"-Q"&amp;ROUNDUP(MONTH($C6547)/3,0))</f>
        <v/>
      </c>
      <c r="L6547">
        <f>IF($G6547&lt;&gt;"ALCOHOL","",IF($K6547="","",$H6547*IFERROR(VLOOKUP($K6547,Drink_Templates!$A:$G,7,FALSE),0)))</f>
        <v/>
      </c>
    </row>
    <row r="6548" ht="15" customHeight="1">
      <c r="C6548">
        <f>IF($B6548="","",INT($B6548))</f>
        <v/>
      </c>
      <c r="D6548">
        <f>IF($C6548="","",$C6548-WEEKDAY($C6548,2)+1)</f>
        <v/>
      </c>
      <c r="E6548">
        <f>IF($C6548="","",DATE(YEAR($C6548),MONTH($C6548),1))</f>
        <v/>
      </c>
      <c r="F6548">
        <f>IF($C6548="","",YEAR($C6548)&amp;"-Q"&amp;ROUNDUP(MONTH($C6548)/3,0))</f>
        <v/>
      </c>
      <c r="L6548">
        <f>IF($G6548&lt;&gt;"ALCOHOL","",IF($K6548="","",$H6548*IFERROR(VLOOKUP($K6548,Drink_Templates!$A:$G,7,FALSE),0)))</f>
        <v/>
      </c>
    </row>
    <row r="6549" ht="15" customHeight="1">
      <c r="C6549">
        <f>IF($B6549="","",INT($B6549))</f>
        <v/>
      </c>
      <c r="D6549">
        <f>IF($C6549="","",$C6549-WEEKDAY($C6549,2)+1)</f>
        <v/>
      </c>
      <c r="E6549">
        <f>IF($C6549="","",DATE(YEAR($C6549),MONTH($C6549),1))</f>
        <v/>
      </c>
      <c r="F6549">
        <f>IF($C6549="","",YEAR($C6549)&amp;"-Q"&amp;ROUNDUP(MONTH($C6549)/3,0))</f>
        <v/>
      </c>
      <c r="L6549">
        <f>IF($G6549&lt;&gt;"ALCOHOL","",IF($K6549="","",$H6549*IFERROR(VLOOKUP($K6549,Drink_Templates!$A:$G,7,FALSE),0)))</f>
        <v/>
      </c>
    </row>
    <row r="6550" ht="15" customHeight="1">
      <c r="C6550">
        <f>IF($B6550="","",INT($B6550))</f>
        <v/>
      </c>
      <c r="D6550">
        <f>IF($C6550="","",$C6550-WEEKDAY($C6550,2)+1)</f>
        <v/>
      </c>
      <c r="E6550">
        <f>IF($C6550="","",DATE(YEAR($C6550),MONTH($C6550),1))</f>
        <v/>
      </c>
      <c r="F6550">
        <f>IF($C6550="","",YEAR($C6550)&amp;"-Q"&amp;ROUNDUP(MONTH($C6550)/3,0))</f>
        <v/>
      </c>
      <c r="L6550">
        <f>IF($G6550&lt;&gt;"ALCOHOL","",IF($K6550="","",$H6550*IFERROR(VLOOKUP($K6550,Drink_Templates!$A:$G,7,FALSE),0)))</f>
        <v/>
      </c>
    </row>
    <row r="6551" ht="15" customHeight="1">
      <c r="C6551">
        <f>IF($B6551="","",INT($B6551))</f>
        <v/>
      </c>
      <c r="D6551">
        <f>IF($C6551="","",$C6551-WEEKDAY($C6551,2)+1)</f>
        <v/>
      </c>
      <c r="E6551">
        <f>IF($C6551="","",DATE(YEAR($C6551),MONTH($C6551),1))</f>
        <v/>
      </c>
      <c r="F6551">
        <f>IF($C6551="","",YEAR($C6551)&amp;"-Q"&amp;ROUNDUP(MONTH($C6551)/3,0))</f>
        <v/>
      </c>
      <c r="L6551">
        <f>IF($G6551&lt;&gt;"ALCOHOL","",IF($K6551="","",$H6551*IFERROR(VLOOKUP($K6551,Drink_Templates!$A:$G,7,FALSE),0)))</f>
        <v/>
      </c>
    </row>
    <row r="6552" ht="15" customHeight="1">
      <c r="C6552">
        <f>IF($B6552="","",INT($B6552))</f>
        <v/>
      </c>
      <c r="D6552">
        <f>IF($C6552="","",$C6552-WEEKDAY($C6552,2)+1)</f>
        <v/>
      </c>
      <c r="E6552">
        <f>IF($C6552="","",DATE(YEAR($C6552),MONTH($C6552),1))</f>
        <v/>
      </c>
      <c r="F6552">
        <f>IF($C6552="","",YEAR($C6552)&amp;"-Q"&amp;ROUNDUP(MONTH($C6552)/3,0))</f>
        <v/>
      </c>
      <c r="L6552">
        <f>IF($G6552&lt;&gt;"ALCOHOL","",IF($K6552="","",$H6552*IFERROR(VLOOKUP($K6552,Drink_Templates!$A:$G,7,FALSE),0)))</f>
        <v/>
      </c>
    </row>
    <row r="6553" ht="15" customHeight="1">
      <c r="C6553">
        <f>IF($B6553="","",INT($B6553))</f>
        <v/>
      </c>
      <c r="D6553">
        <f>IF($C6553="","",$C6553-WEEKDAY($C6553,2)+1)</f>
        <v/>
      </c>
      <c r="E6553">
        <f>IF($C6553="","",DATE(YEAR($C6553),MONTH($C6553),1))</f>
        <v/>
      </c>
      <c r="F6553">
        <f>IF($C6553="","",YEAR($C6553)&amp;"-Q"&amp;ROUNDUP(MONTH($C6553)/3,0))</f>
        <v/>
      </c>
      <c r="L6553">
        <f>IF($G6553&lt;&gt;"ALCOHOL","",IF($K6553="","",$H6553*IFERROR(VLOOKUP($K6553,Drink_Templates!$A:$G,7,FALSE),0)))</f>
        <v/>
      </c>
    </row>
    <row r="6554" ht="15" customHeight="1">
      <c r="C6554">
        <f>IF($B6554="","",INT($B6554))</f>
        <v/>
      </c>
      <c r="D6554">
        <f>IF($C6554="","",$C6554-WEEKDAY($C6554,2)+1)</f>
        <v/>
      </c>
      <c r="E6554">
        <f>IF($C6554="","",DATE(YEAR($C6554),MONTH($C6554),1))</f>
        <v/>
      </c>
      <c r="F6554">
        <f>IF($C6554="","",YEAR($C6554)&amp;"-Q"&amp;ROUNDUP(MONTH($C6554)/3,0))</f>
        <v/>
      </c>
      <c r="L6554">
        <f>IF($G6554&lt;&gt;"ALCOHOL","",IF($K6554="","",$H6554*IFERROR(VLOOKUP($K6554,Drink_Templates!$A:$G,7,FALSE),0)))</f>
        <v/>
      </c>
    </row>
    <row r="6555" ht="15" customHeight="1">
      <c r="C6555">
        <f>IF($B6555="","",INT($B6555))</f>
        <v/>
      </c>
      <c r="D6555">
        <f>IF($C6555="","",$C6555-WEEKDAY($C6555,2)+1)</f>
        <v/>
      </c>
      <c r="E6555">
        <f>IF($C6555="","",DATE(YEAR($C6555),MONTH($C6555),1))</f>
        <v/>
      </c>
      <c r="F6555">
        <f>IF($C6555="","",YEAR($C6555)&amp;"-Q"&amp;ROUNDUP(MONTH($C6555)/3,0))</f>
        <v/>
      </c>
      <c r="L6555">
        <f>IF($G6555&lt;&gt;"ALCOHOL","",IF($K6555="","",$H6555*IFERROR(VLOOKUP($K6555,Drink_Templates!$A:$G,7,FALSE),0)))</f>
        <v/>
      </c>
    </row>
    <row r="6556" ht="15" customHeight="1">
      <c r="C6556">
        <f>IF($B6556="","",INT($B6556))</f>
        <v/>
      </c>
      <c r="D6556">
        <f>IF($C6556="","",$C6556-WEEKDAY($C6556,2)+1)</f>
        <v/>
      </c>
      <c r="E6556">
        <f>IF($C6556="","",DATE(YEAR($C6556),MONTH($C6556),1))</f>
        <v/>
      </c>
      <c r="F6556">
        <f>IF($C6556="","",YEAR($C6556)&amp;"-Q"&amp;ROUNDUP(MONTH($C6556)/3,0))</f>
        <v/>
      </c>
      <c r="L6556">
        <f>IF($G6556&lt;&gt;"ALCOHOL","",IF($K6556="","",$H6556*IFERROR(VLOOKUP($K6556,Drink_Templates!$A:$G,7,FALSE),0)))</f>
        <v/>
      </c>
    </row>
    <row r="6557" ht="15" customHeight="1">
      <c r="C6557">
        <f>IF($B6557="","",INT($B6557))</f>
        <v/>
      </c>
      <c r="D6557">
        <f>IF($C6557="","",$C6557-WEEKDAY($C6557,2)+1)</f>
        <v/>
      </c>
      <c r="E6557">
        <f>IF($C6557="","",DATE(YEAR($C6557),MONTH($C6557),1))</f>
        <v/>
      </c>
      <c r="F6557">
        <f>IF($C6557="","",YEAR($C6557)&amp;"-Q"&amp;ROUNDUP(MONTH($C6557)/3,0))</f>
        <v/>
      </c>
      <c r="L6557">
        <f>IF($G6557&lt;&gt;"ALCOHOL","",IF($K6557="","",$H6557*IFERROR(VLOOKUP($K6557,Drink_Templates!$A:$G,7,FALSE),0)))</f>
        <v/>
      </c>
    </row>
    <row r="6558" ht="15" customHeight="1">
      <c r="C6558">
        <f>IF($B6558="","",INT($B6558))</f>
        <v/>
      </c>
      <c r="D6558">
        <f>IF($C6558="","",$C6558-WEEKDAY($C6558,2)+1)</f>
        <v/>
      </c>
      <c r="E6558">
        <f>IF($C6558="","",DATE(YEAR($C6558),MONTH($C6558),1))</f>
        <v/>
      </c>
      <c r="F6558">
        <f>IF($C6558="","",YEAR($C6558)&amp;"-Q"&amp;ROUNDUP(MONTH($C6558)/3,0))</f>
        <v/>
      </c>
      <c r="L6558">
        <f>IF($G6558&lt;&gt;"ALCOHOL","",IF($K6558="","",$H6558*IFERROR(VLOOKUP($K6558,Drink_Templates!$A:$G,7,FALSE),0)))</f>
        <v/>
      </c>
    </row>
    <row r="6559" ht="15" customHeight="1">
      <c r="C6559">
        <f>IF($B6559="","",INT($B6559))</f>
        <v/>
      </c>
      <c r="D6559">
        <f>IF($C6559="","",$C6559-WEEKDAY($C6559,2)+1)</f>
        <v/>
      </c>
      <c r="E6559">
        <f>IF($C6559="","",DATE(YEAR($C6559),MONTH($C6559),1))</f>
        <v/>
      </c>
      <c r="F6559">
        <f>IF($C6559="","",YEAR($C6559)&amp;"-Q"&amp;ROUNDUP(MONTH($C6559)/3,0))</f>
        <v/>
      </c>
      <c r="L6559">
        <f>IF($G6559&lt;&gt;"ALCOHOL","",IF($K6559="","",$H6559*IFERROR(VLOOKUP($K6559,Drink_Templates!$A:$G,7,FALSE),0)))</f>
        <v/>
      </c>
    </row>
    <row r="6560" ht="15" customHeight="1">
      <c r="C6560">
        <f>IF($B6560="","",INT($B6560))</f>
        <v/>
      </c>
      <c r="D6560">
        <f>IF($C6560="","",$C6560-WEEKDAY($C6560,2)+1)</f>
        <v/>
      </c>
      <c r="E6560">
        <f>IF($C6560="","",DATE(YEAR($C6560),MONTH($C6560),1))</f>
        <v/>
      </c>
      <c r="F6560">
        <f>IF($C6560="","",YEAR($C6560)&amp;"-Q"&amp;ROUNDUP(MONTH($C6560)/3,0))</f>
        <v/>
      </c>
      <c r="L6560">
        <f>IF($G6560&lt;&gt;"ALCOHOL","",IF($K6560="","",$H6560*IFERROR(VLOOKUP($K6560,Drink_Templates!$A:$G,7,FALSE),0)))</f>
        <v/>
      </c>
    </row>
    <row r="6561" ht="15" customHeight="1">
      <c r="C6561">
        <f>IF($B6561="","",INT($B6561))</f>
        <v/>
      </c>
      <c r="D6561">
        <f>IF($C6561="","",$C6561-WEEKDAY($C6561,2)+1)</f>
        <v/>
      </c>
      <c r="E6561">
        <f>IF($C6561="","",DATE(YEAR($C6561),MONTH($C6561),1))</f>
        <v/>
      </c>
      <c r="F6561">
        <f>IF($C6561="","",YEAR($C6561)&amp;"-Q"&amp;ROUNDUP(MONTH($C6561)/3,0))</f>
        <v/>
      </c>
      <c r="L6561">
        <f>IF($G6561&lt;&gt;"ALCOHOL","",IF($K6561="","",$H6561*IFERROR(VLOOKUP($K6561,Drink_Templates!$A:$G,7,FALSE),0)))</f>
        <v/>
      </c>
    </row>
    <row r="6562" ht="15" customHeight="1">
      <c r="C6562">
        <f>IF($B6562="","",INT($B6562))</f>
        <v/>
      </c>
      <c r="D6562">
        <f>IF($C6562="","",$C6562-WEEKDAY($C6562,2)+1)</f>
        <v/>
      </c>
      <c r="E6562">
        <f>IF($C6562="","",DATE(YEAR($C6562),MONTH($C6562),1))</f>
        <v/>
      </c>
      <c r="F6562">
        <f>IF($C6562="","",YEAR($C6562)&amp;"-Q"&amp;ROUNDUP(MONTH($C6562)/3,0))</f>
        <v/>
      </c>
      <c r="L6562">
        <f>IF($G6562&lt;&gt;"ALCOHOL","",IF($K6562="","",$H6562*IFERROR(VLOOKUP($K6562,Drink_Templates!$A:$G,7,FALSE),0)))</f>
        <v/>
      </c>
    </row>
    <row r="6563" ht="15" customHeight="1">
      <c r="C6563">
        <f>IF($B6563="","",INT($B6563))</f>
        <v/>
      </c>
      <c r="D6563">
        <f>IF($C6563="","",$C6563-WEEKDAY($C6563,2)+1)</f>
        <v/>
      </c>
      <c r="E6563">
        <f>IF($C6563="","",DATE(YEAR($C6563),MONTH($C6563),1))</f>
        <v/>
      </c>
      <c r="F6563">
        <f>IF($C6563="","",YEAR($C6563)&amp;"-Q"&amp;ROUNDUP(MONTH($C6563)/3,0))</f>
        <v/>
      </c>
      <c r="L6563">
        <f>IF($G6563&lt;&gt;"ALCOHOL","",IF($K6563="","",$H6563*IFERROR(VLOOKUP($K6563,Drink_Templates!$A:$G,7,FALSE),0)))</f>
        <v/>
      </c>
    </row>
    <row r="6564" ht="15" customHeight="1">
      <c r="C6564">
        <f>IF($B6564="","",INT($B6564))</f>
        <v/>
      </c>
      <c r="D6564">
        <f>IF($C6564="","",$C6564-WEEKDAY($C6564,2)+1)</f>
        <v/>
      </c>
      <c r="E6564">
        <f>IF($C6564="","",DATE(YEAR($C6564),MONTH($C6564),1))</f>
        <v/>
      </c>
      <c r="F6564">
        <f>IF($C6564="","",YEAR($C6564)&amp;"-Q"&amp;ROUNDUP(MONTH($C6564)/3,0))</f>
        <v/>
      </c>
      <c r="L6564">
        <f>IF($G6564&lt;&gt;"ALCOHOL","",IF($K6564="","",$H6564*IFERROR(VLOOKUP($K6564,Drink_Templates!$A:$G,7,FALSE),0)))</f>
        <v/>
      </c>
    </row>
    <row r="6565" ht="15" customHeight="1">
      <c r="C6565">
        <f>IF($B6565="","",INT($B6565))</f>
        <v/>
      </c>
      <c r="D6565">
        <f>IF($C6565="","",$C6565-WEEKDAY($C6565,2)+1)</f>
        <v/>
      </c>
      <c r="E6565">
        <f>IF($C6565="","",DATE(YEAR($C6565),MONTH($C6565),1))</f>
        <v/>
      </c>
      <c r="F6565">
        <f>IF($C6565="","",YEAR($C6565)&amp;"-Q"&amp;ROUNDUP(MONTH($C6565)/3,0))</f>
        <v/>
      </c>
      <c r="L6565">
        <f>IF($G6565&lt;&gt;"ALCOHOL","",IF($K6565="","",$H6565*IFERROR(VLOOKUP($K6565,Drink_Templates!$A:$G,7,FALSE),0)))</f>
        <v/>
      </c>
    </row>
    <row r="6566" ht="15" customHeight="1">
      <c r="C6566">
        <f>IF($B6566="","",INT($B6566))</f>
        <v/>
      </c>
      <c r="D6566">
        <f>IF($C6566="","",$C6566-WEEKDAY($C6566,2)+1)</f>
        <v/>
      </c>
      <c r="E6566">
        <f>IF($C6566="","",DATE(YEAR($C6566),MONTH($C6566),1))</f>
        <v/>
      </c>
      <c r="F6566">
        <f>IF($C6566="","",YEAR($C6566)&amp;"-Q"&amp;ROUNDUP(MONTH($C6566)/3,0))</f>
        <v/>
      </c>
      <c r="L6566">
        <f>IF($G6566&lt;&gt;"ALCOHOL","",IF($K6566="","",$H6566*IFERROR(VLOOKUP($K6566,Drink_Templates!$A:$G,7,FALSE),0)))</f>
        <v/>
      </c>
    </row>
    <row r="6567" ht="15" customHeight="1">
      <c r="C6567">
        <f>IF($B6567="","",INT($B6567))</f>
        <v/>
      </c>
      <c r="D6567">
        <f>IF($C6567="","",$C6567-WEEKDAY($C6567,2)+1)</f>
        <v/>
      </c>
      <c r="E6567">
        <f>IF($C6567="","",DATE(YEAR($C6567),MONTH($C6567),1))</f>
        <v/>
      </c>
      <c r="F6567">
        <f>IF($C6567="","",YEAR($C6567)&amp;"-Q"&amp;ROUNDUP(MONTH($C6567)/3,0))</f>
        <v/>
      </c>
      <c r="L6567">
        <f>IF($G6567&lt;&gt;"ALCOHOL","",IF($K6567="","",$H6567*IFERROR(VLOOKUP($K6567,Drink_Templates!$A:$G,7,FALSE),0)))</f>
        <v/>
      </c>
    </row>
    <row r="6568" ht="15" customHeight="1">
      <c r="C6568">
        <f>IF($B6568="","",INT($B6568))</f>
        <v/>
      </c>
      <c r="D6568">
        <f>IF($C6568="","",$C6568-WEEKDAY($C6568,2)+1)</f>
        <v/>
      </c>
      <c r="E6568">
        <f>IF($C6568="","",DATE(YEAR($C6568),MONTH($C6568),1))</f>
        <v/>
      </c>
      <c r="F6568">
        <f>IF($C6568="","",YEAR($C6568)&amp;"-Q"&amp;ROUNDUP(MONTH($C6568)/3,0))</f>
        <v/>
      </c>
      <c r="L6568">
        <f>IF($G6568&lt;&gt;"ALCOHOL","",IF($K6568="","",$H6568*IFERROR(VLOOKUP($K6568,Drink_Templates!$A:$G,7,FALSE),0)))</f>
        <v/>
      </c>
    </row>
    <row r="6569" ht="15" customHeight="1">
      <c r="C6569">
        <f>IF($B6569="","",INT($B6569))</f>
        <v/>
      </c>
      <c r="D6569">
        <f>IF($C6569="","",$C6569-WEEKDAY($C6569,2)+1)</f>
        <v/>
      </c>
      <c r="E6569">
        <f>IF($C6569="","",DATE(YEAR($C6569),MONTH($C6569),1))</f>
        <v/>
      </c>
      <c r="F6569">
        <f>IF($C6569="","",YEAR($C6569)&amp;"-Q"&amp;ROUNDUP(MONTH($C6569)/3,0))</f>
        <v/>
      </c>
      <c r="L6569">
        <f>IF($G6569&lt;&gt;"ALCOHOL","",IF($K6569="","",$H6569*IFERROR(VLOOKUP($K6569,Drink_Templates!$A:$G,7,FALSE),0)))</f>
        <v/>
      </c>
    </row>
    <row r="6570" ht="15" customHeight="1">
      <c r="C6570">
        <f>IF($B6570="","",INT($B6570))</f>
        <v/>
      </c>
      <c r="D6570">
        <f>IF($C6570="","",$C6570-WEEKDAY($C6570,2)+1)</f>
        <v/>
      </c>
      <c r="E6570">
        <f>IF($C6570="","",DATE(YEAR($C6570),MONTH($C6570),1))</f>
        <v/>
      </c>
      <c r="F6570">
        <f>IF($C6570="","",YEAR($C6570)&amp;"-Q"&amp;ROUNDUP(MONTH($C6570)/3,0))</f>
        <v/>
      </c>
      <c r="L6570">
        <f>IF($G6570&lt;&gt;"ALCOHOL","",IF($K6570="","",$H6570*IFERROR(VLOOKUP($K6570,Drink_Templates!$A:$G,7,FALSE),0)))</f>
        <v/>
      </c>
    </row>
    <row r="6571" ht="15" customHeight="1">
      <c r="C6571">
        <f>IF($B6571="","",INT($B6571))</f>
        <v/>
      </c>
      <c r="D6571">
        <f>IF($C6571="","",$C6571-WEEKDAY($C6571,2)+1)</f>
        <v/>
      </c>
      <c r="E6571">
        <f>IF($C6571="","",DATE(YEAR($C6571),MONTH($C6571),1))</f>
        <v/>
      </c>
      <c r="F6571">
        <f>IF($C6571="","",YEAR($C6571)&amp;"-Q"&amp;ROUNDUP(MONTH($C6571)/3,0))</f>
        <v/>
      </c>
      <c r="L6571">
        <f>IF($G6571&lt;&gt;"ALCOHOL","",IF($K6571="","",$H6571*IFERROR(VLOOKUP($K6571,Drink_Templates!$A:$G,7,FALSE),0)))</f>
        <v/>
      </c>
    </row>
    <row r="6572" ht="15" customHeight="1">
      <c r="C6572">
        <f>IF($B6572="","",INT($B6572))</f>
        <v/>
      </c>
      <c r="D6572">
        <f>IF($C6572="","",$C6572-WEEKDAY($C6572,2)+1)</f>
        <v/>
      </c>
      <c r="E6572">
        <f>IF($C6572="","",DATE(YEAR($C6572),MONTH($C6572),1))</f>
        <v/>
      </c>
      <c r="F6572">
        <f>IF($C6572="","",YEAR($C6572)&amp;"-Q"&amp;ROUNDUP(MONTH($C6572)/3,0))</f>
        <v/>
      </c>
      <c r="L6572">
        <f>IF($G6572&lt;&gt;"ALCOHOL","",IF($K6572="","",$H6572*IFERROR(VLOOKUP($K6572,Drink_Templates!$A:$G,7,FALSE),0)))</f>
        <v/>
      </c>
    </row>
    <row r="6573" ht="15" customHeight="1">
      <c r="C6573">
        <f>IF($B6573="","",INT($B6573))</f>
        <v/>
      </c>
      <c r="D6573">
        <f>IF($C6573="","",$C6573-WEEKDAY($C6573,2)+1)</f>
        <v/>
      </c>
      <c r="E6573">
        <f>IF($C6573="","",DATE(YEAR($C6573),MONTH($C6573),1))</f>
        <v/>
      </c>
      <c r="F6573">
        <f>IF($C6573="","",YEAR($C6573)&amp;"-Q"&amp;ROUNDUP(MONTH($C6573)/3,0))</f>
        <v/>
      </c>
      <c r="L6573">
        <f>IF($G6573&lt;&gt;"ALCOHOL","",IF($K6573="","",$H6573*IFERROR(VLOOKUP($K6573,Drink_Templates!$A:$G,7,FALSE),0)))</f>
        <v/>
      </c>
    </row>
    <row r="6574" ht="15" customHeight="1">
      <c r="C6574">
        <f>IF($B6574="","",INT($B6574))</f>
        <v/>
      </c>
      <c r="D6574">
        <f>IF($C6574="","",$C6574-WEEKDAY($C6574,2)+1)</f>
        <v/>
      </c>
      <c r="E6574">
        <f>IF($C6574="","",DATE(YEAR($C6574),MONTH($C6574),1))</f>
        <v/>
      </c>
      <c r="F6574">
        <f>IF($C6574="","",YEAR($C6574)&amp;"-Q"&amp;ROUNDUP(MONTH($C6574)/3,0))</f>
        <v/>
      </c>
      <c r="L6574">
        <f>IF($G6574&lt;&gt;"ALCOHOL","",IF($K6574="","",$H6574*IFERROR(VLOOKUP($K6574,Drink_Templates!$A:$G,7,FALSE),0)))</f>
        <v/>
      </c>
    </row>
    <row r="6575" ht="15" customHeight="1">
      <c r="C6575">
        <f>IF($B6575="","",INT($B6575))</f>
        <v/>
      </c>
      <c r="D6575">
        <f>IF($C6575="","",$C6575-WEEKDAY($C6575,2)+1)</f>
        <v/>
      </c>
      <c r="E6575">
        <f>IF($C6575="","",DATE(YEAR($C6575),MONTH($C6575),1))</f>
        <v/>
      </c>
      <c r="F6575">
        <f>IF($C6575="","",YEAR($C6575)&amp;"-Q"&amp;ROUNDUP(MONTH($C6575)/3,0))</f>
        <v/>
      </c>
      <c r="L6575">
        <f>IF($G6575&lt;&gt;"ALCOHOL","",IF($K6575="","",$H6575*IFERROR(VLOOKUP($K6575,Drink_Templates!$A:$G,7,FALSE),0)))</f>
        <v/>
      </c>
    </row>
    <row r="6576" ht="15" customHeight="1">
      <c r="C6576">
        <f>IF($B6576="","",INT($B6576))</f>
        <v/>
      </c>
      <c r="D6576">
        <f>IF($C6576="","",$C6576-WEEKDAY($C6576,2)+1)</f>
        <v/>
      </c>
      <c r="E6576">
        <f>IF($C6576="","",DATE(YEAR($C6576),MONTH($C6576),1))</f>
        <v/>
      </c>
      <c r="F6576">
        <f>IF($C6576="","",YEAR($C6576)&amp;"-Q"&amp;ROUNDUP(MONTH($C6576)/3,0))</f>
        <v/>
      </c>
      <c r="L6576">
        <f>IF($G6576&lt;&gt;"ALCOHOL","",IF($K6576="","",$H6576*IFERROR(VLOOKUP($K6576,Drink_Templates!$A:$G,7,FALSE),0)))</f>
        <v/>
      </c>
    </row>
    <row r="6577" ht="15" customHeight="1">
      <c r="C6577">
        <f>IF($B6577="","",INT($B6577))</f>
        <v/>
      </c>
      <c r="D6577">
        <f>IF($C6577="","",$C6577-WEEKDAY($C6577,2)+1)</f>
        <v/>
      </c>
      <c r="E6577">
        <f>IF($C6577="","",DATE(YEAR($C6577),MONTH($C6577),1))</f>
        <v/>
      </c>
      <c r="F6577">
        <f>IF($C6577="","",YEAR($C6577)&amp;"-Q"&amp;ROUNDUP(MONTH($C6577)/3,0))</f>
        <v/>
      </c>
      <c r="L6577">
        <f>IF($G6577&lt;&gt;"ALCOHOL","",IF($K6577="","",$H6577*IFERROR(VLOOKUP($K6577,Drink_Templates!$A:$G,7,FALSE),0)))</f>
        <v/>
      </c>
    </row>
    <row r="6578" ht="15" customHeight="1">
      <c r="C6578">
        <f>IF($B6578="","",INT($B6578))</f>
        <v/>
      </c>
      <c r="D6578">
        <f>IF($C6578="","",$C6578-WEEKDAY($C6578,2)+1)</f>
        <v/>
      </c>
      <c r="E6578">
        <f>IF($C6578="","",DATE(YEAR($C6578),MONTH($C6578),1))</f>
        <v/>
      </c>
      <c r="F6578">
        <f>IF($C6578="","",YEAR($C6578)&amp;"-Q"&amp;ROUNDUP(MONTH($C6578)/3,0))</f>
        <v/>
      </c>
      <c r="L6578">
        <f>IF($G6578&lt;&gt;"ALCOHOL","",IF($K6578="","",$H6578*IFERROR(VLOOKUP($K6578,Drink_Templates!$A:$G,7,FALSE),0)))</f>
        <v/>
      </c>
    </row>
    <row r="6579" ht="15" customHeight="1">
      <c r="C6579">
        <f>IF($B6579="","",INT($B6579))</f>
        <v/>
      </c>
      <c r="D6579">
        <f>IF($C6579="","",$C6579-WEEKDAY($C6579,2)+1)</f>
        <v/>
      </c>
      <c r="E6579">
        <f>IF($C6579="","",DATE(YEAR($C6579),MONTH($C6579),1))</f>
        <v/>
      </c>
      <c r="F6579">
        <f>IF($C6579="","",YEAR($C6579)&amp;"-Q"&amp;ROUNDUP(MONTH($C6579)/3,0))</f>
        <v/>
      </c>
      <c r="L6579">
        <f>IF($G6579&lt;&gt;"ALCOHOL","",IF($K6579="","",$H6579*IFERROR(VLOOKUP($K6579,Drink_Templates!$A:$G,7,FALSE),0)))</f>
        <v/>
      </c>
    </row>
    <row r="6580" ht="15" customHeight="1">
      <c r="C6580">
        <f>IF($B6580="","",INT($B6580))</f>
        <v/>
      </c>
      <c r="D6580">
        <f>IF($C6580="","",$C6580-WEEKDAY($C6580,2)+1)</f>
        <v/>
      </c>
      <c r="E6580">
        <f>IF($C6580="","",DATE(YEAR($C6580),MONTH($C6580),1))</f>
        <v/>
      </c>
      <c r="F6580">
        <f>IF($C6580="","",YEAR($C6580)&amp;"-Q"&amp;ROUNDUP(MONTH($C6580)/3,0))</f>
        <v/>
      </c>
      <c r="L6580">
        <f>IF($G6580&lt;&gt;"ALCOHOL","",IF($K6580="","",$H6580*IFERROR(VLOOKUP($K6580,Drink_Templates!$A:$G,7,FALSE),0)))</f>
        <v/>
      </c>
    </row>
    <row r="6581" ht="15" customHeight="1">
      <c r="C6581">
        <f>IF($B6581="","",INT($B6581))</f>
        <v/>
      </c>
      <c r="D6581">
        <f>IF($C6581="","",$C6581-WEEKDAY($C6581,2)+1)</f>
        <v/>
      </c>
      <c r="E6581">
        <f>IF($C6581="","",DATE(YEAR($C6581),MONTH($C6581),1))</f>
        <v/>
      </c>
      <c r="F6581">
        <f>IF($C6581="","",YEAR($C6581)&amp;"-Q"&amp;ROUNDUP(MONTH($C6581)/3,0))</f>
        <v/>
      </c>
      <c r="L6581">
        <f>IF($G6581&lt;&gt;"ALCOHOL","",IF($K6581="","",$H6581*IFERROR(VLOOKUP($K6581,Drink_Templates!$A:$G,7,FALSE),0)))</f>
        <v/>
      </c>
    </row>
    <row r="6582" ht="15" customHeight="1">
      <c r="C6582">
        <f>IF($B6582="","",INT($B6582))</f>
        <v/>
      </c>
      <c r="D6582">
        <f>IF($C6582="","",$C6582-WEEKDAY($C6582,2)+1)</f>
        <v/>
      </c>
      <c r="E6582">
        <f>IF($C6582="","",DATE(YEAR($C6582),MONTH($C6582),1))</f>
        <v/>
      </c>
      <c r="F6582">
        <f>IF($C6582="","",YEAR($C6582)&amp;"-Q"&amp;ROUNDUP(MONTH($C6582)/3,0))</f>
        <v/>
      </c>
      <c r="L6582">
        <f>IF($G6582&lt;&gt;"ALCOHOL","",IF($K6582="","",$H6582*IFERROR(VLOOKUP($K6582,Drink_Templates!$A:$G,7,FALSE),0)))</f>
        <v/>
      </c>
    </row>
    <row r="6583" ht="15" customHeight="1">
      <c r="C6583">
        <f>IF($B6583="","",INT($B6583))</f>
        <v/>
      </c>
      <c r="D6583">
        <f>IF($C6583="","",$C6583-WEEKDAY($C6583,2)+1)</f>
        <v/>
      </c>
      <c r="E6583">
        <f>IF($C6583="","",DATE(YEAR($C6583),MONTH($C6583),1))</f>
        <v/>
      </c>
      <c r="F6583">
        <f>IF($C6583="","",YEAR($C6583)&amp;"-Q"&amp;ROUNDUP(MONTH($C6583)/3,0))</f>
        <v/>
      </c>
      <c r="L6583">
        <f>IF($G6583&lt;&gt;"ALCOHOL","",IF($K6583="","",$H6583*IFERROR(VLOOKUP($K6583,Drink_Templates!$A:$G,7,FALSE),0)))</f>
        <v/>
      </c>
    </row>
    <row r="6584" ht="15" customHeight="1">
      <c r="C6584">
        <f>IF($B6584="","",INT($B6584))</f>
        <v/>
      </c>
      <c r="D6584">
        <f>IF($C6584="","",$C6584-WEEKDAY($C6584,2)+1)</f>
        <v/>
      </c>
      <c r="E6584">
        <f>IF($C6584="","",DATE(YEAR($C6584),MONTH($C6584),1))</f>
        <v/>
      </c>
      <c r="F6584">
        <f>IF($C6584="","",YEAR($C6584)&amp;"-Q"&amp;ROUNDUP(MONTH($C6584)/3,0))</f>
        <v/>
      </c>
      <c r="L6584">
        <f>IF($G6584&lt;&gt;"ALCOHOL","",IF($K6584="","",$H6584*IFERROR(VLOOKUP($K6584,Drink_Templates!$A:$G,7,FALSE),0)))</f>
        <v/>
      </c>
    </row>
    <row r="6585" ht="15" customHeight="1">
      <c r="C6585">
        <f>IF($B6585="","",INT($B6585))</f>
        <v/>
      </c>
      <c r="D6585">
        <f>IF($C6585="","",$C6585-WEEKDAY($C6585,2)+1)</f>
        <v/>
      </c>
      <c r="E6585">
        <f>IF($C6585="","",DATE(YEAR($C6585),MONTH($C6585),1))</f>
        <v/>
      </c>
      <c r="F6585">
        <f>IF($C6585="","",YEAR($C6585)&amp;"-Q"&amp;ROUNDUP(MONTH($C6585)/3,0))</f>
        <v/>
      </c>
      <c r="L6585">
        <f>IF($G6585&lt;&gt;"ALCOHOL","",IF($K6585="","",$H6585*IFERROR(VLOOKUP($K6585,Drink_Templates!$A:$G,7,FALSE),0)))</f>
        <v/>
      </c>
    </row>
    <row r="6586" ht="15" customHeight="1">
      <c r="C6586">
        <f>IF($B6586="","",INT($B6586))</f>
        <v/>
      </c>
      <c r="D6586">
        <f>IF($C6586="","",$C6586-WEEKDAY($C6586,2)+1)</f>
        <v/>
      </c>
      <c r="E6586">
        <f>IF($C6586="","",DATE(YEAR($C6586),MONTH($C6586),1))</f>
        <v/>
      </c>
      <c r="F6586">
        <f>IF($C6586="","",YEAR($C6586)&amp;"-Q"&amp;ROUNDUP(MONTH($C6586)/3,0))</f>
        <v/>
      </c>
      <c r="L6586">
        <f>IF($G6586&lt;&gt;"ALCOHOL","",IF($K6586="","",$H6586*IFERROR(VLOOKUP($K6586,Drink_Templates!$A:$G,7,FALSE),0)))</f>
        <v/>
      </c>
    </row>
    <row r="6587" ht="15" customHeight="1">
      <c r="C6587">
        <f>IF($B6587="","",INT($B6587))</f>
        <v/>
      </c>
      <c r="D6587">
        <f>IF($C6587="","",$C6587-WEEKDAY($C6587,2)+1)</f>
        <v/>
      </c>
      <c r="E6587">
        <f>IF($C6587="","",DATE(YEAR($C6587),MONTH($C6587),1))</f>
        <v/>
      </c>
      <c r="F6587">
        <f>IF($C6587="","",YEAR($C6587)&amp;"-Q"&amp;ROUNDUP(MONTH($C6587)/3,0))</f>
        <v/>
      </c>
      <c r="L6587">
        <f>IF($G6587&lt;&gt;"ALCOHOL","",IF($K6587="","",$H6587*IFERROR(VLOOKUP($K6587,Drink_Templates!$A:$G,7,FALSE),0)))</f>
        <v/>
      </c>
    </row>
    <row r="6588" ht="15" customHeight="1">
      <c r="C6588">
        <f>IF($B6588="","",INT($B6588))</f>
        <v/>
      </c>
      <c r="D6588">
        <f>IF($C6588="","",$C6588-WEEKDAY($C6588,2)+1)</f>
        <v/>
      </c>
      <c r="E6588">
        <f>IF($C6588="","",DATE(YEAR($C6588),MONTH($C6588),1))</f>
        <v/>
      </c>
      <c r="F6588">
        <f>IF($C6588="","",YEAR($C6588)&amp;"-Q"&amp;ROUNDUP(MONTH($C6588)/3,0))</f>
        <v/>
      </c>
      <c r="L6588">
        <f>IF($G6588&lt;&gt;"ALCOHOL","",IF($K6588="","",$H6588*IFERROR(VLOOKUP($K6588,Drink_Templates!$A:$G,7,FALSE),0)))</f>
        <v/>
      </c>
    </row>
    <row r="6589" ht="15" customHeight="1">
      <c r="C6589">
        <f>IF($B6589="","",INT($B6589))</f>
        <v/>
      </c>
      <c r="D6589">
        <f>IF($C6589="","",$C6589-WEEKDAY($C6589,2)+1)</f>
        <v/>
      </c>
      <c r="E6589">
        <f>IF($C6589="","",DATE(YEAR($C6589),MONTH($C6589),1))</f>
        <v/>
      </c>
      <c r="F6589">
        <f>IF($C6589="","",YEAR($C6589)&amp;"-Q"&amp;ROUNDUP(MONTH($C6589)/3,0))</f>
        <v/>
      </c>
      <c r="L6589">
        <f>IF($G6589&lt;&gt;"ALCOHOL","",IF($K6589="","",$H6589*IFERROR(VLOOKUP($K6589,Drink_Templates!$A:$G,7,FALSE),0)))</f>
        <v/>
      </c>
    </row>
    <row r="6590" ht="15" customHeight="1">
      <c r="C6590">
        <f>IF($B6590="","",INT($B6590))</f>
        <v/>
      </c>
      <c r="D6590">
        <f>IF($C6590="","",$C6590-WEEKDAY($C6590,2)+1)</f>
        <v/>
      </c>
      <c r="E6590">
        <f>IF($C6590="","",DATE(YEAR($C6590),MONTH($C6590),1))</f>
        <v/>
      </c>
      <c r="F6590">
        <f>IF($C6590="","",YEAR($C6590)&amp;"-Q"&amp;ROUNDUP(MONTH($C6590)/3,0))</f>
        <v/>
      </c>
      <c r="L6590">
        <f>IF($G6590&lt;&gt;"ALCOHOL","",IF($K6590="","",$H6590*IFERROR(VLOOKUP($K6590,Drink_Templates!$A:$G,7,FALSE),0)))</f>
        <v/>
      </c>
    </row>
    <row r="6591" ht="15" customHeight="1">
      <c r="C6591">
        <f>IF($B6591="","",INT($B6591))</f>
        <v/>
      </c>
      <c r="D6591">
        <f>IF($C6591="","",$C6591-WEEKDAY($C6591,2)+1)</f>
        <v/>
      </c>
      <c r="E6591">
        <f>IF($C6591="","",DATE(YEAR($C6591),MONTH($C6591),1))</f>
        <v/>
      </c>
      <c r="F6591">
        <f>IF($C6591="","",YEAR($C6591)&amp;"-Q"&amp;ROUNDUP(MONTH($C6591)/3,0))</f>
        <v/>
      </c>
      <c r="L6591">
        <f>IF($G6591&lt;&gt;"ALCOHOL","",IF($K6591="","",$H6591*IFERROR(VLOOKUP($K6591,Drink_Templates!$A:$G,7,FALSE),0)))</f>
        <v/>
      </c>
    </row>
    <row r="6592" ht="15" customHeight="1">
      <c r="C6592">
        <f>IF($B6592="","",INT($B6592))</f>
        <v/>
      </c>
      <c r="D6592">
        <f>IF($C6592="","",$C6592-WEEKDAY($C6592,2)+1)</f>
        <v/>
      </c>
      <c r="E6592">
        <f>IF($C6592="","",DATE(YEAR($C6592),MONTH($C6592),1))</f>
        <v/>
      </c>
      <c r="F6592">
        <f>IF($C6592="","",YEAR($C6592)&amp;"-Q"&amp;ROUNDUP(MONTH($C6592)/3,0))</f>
        <v/>
      </c>
      <c r="L6592">
        <f>IF($G6592&lt;&gt;"ALCOHOL","",IF($K6592="","",$H6592*IFERROR(VLOOKUP($K6592,Drink_Templates!$A:$G,7,FALSE),0)))</f>
        <v/>
      </c>
    </row>
    <row r="6593" ht="15" customHeight="1">
      <c r="C6593">
        <f>IF($B6593="","",INT($B6593))</f>
        <v/>
      </c>
      <c r="D6593">
        <f>IF($C6593="","",$C6593-WEEKDAY($C6593,2)+1)</f>
        <v/>
      </c>
      <c r="E6593">
        <f>IF($C6593="","",DATE(YEAR($C6593),MONTH($C6593),1))</f>
        <v/>
      </c>
      <c r="F6593">
        <f>IF($C6593="","",YEAR($C6593)&amp;"-Q"&amp;ROUNDUP(MONTH($C6593)/3,0))</f>
        <v/>
      </c>
      <c r="L6593">
        <f>IF($G6593&lt;&gt;"ALCOHOL","",IF($K6593="","",$H6593*IFERROR(VLOOKUP($K6593,Drink_Templates!$A:$G,7,FALSE),0)))</f>
        <v/>
      </c>
    </row>
    <row r="6594" ht="15" customHeight="1">
      <c r="C6594">
        <f>IF($B6594="","",INT($B6594))</f>
        <v/>
      </c>
      <c r="D6594">
        <f>IF($C6594="","",$C6594-WEEKDAY($C6594,2)+1)</f>
        <v/>
      </c>
      <c r="E6594">
        <f>IF($C6594="","",DATE(YEAR($C6594),MONTH($C6594),1))</f>
        <v/>
      </c>
      <c r="F6594">
        <f>IF($C6594="","",YEAR($C6594)&amp;"-Q"&amp;ROUNDUP(MONTH($C6594)/3,0))</f>
        <v/>
      </c>
      <c r="L6594">
        <f>IF($G6594&lt;&gt;"ALCOHOL","",IF($K6594="","",$H6594*IFERROR(VLOOKUP($K6594,Drink_Templates!$A:$G,7,FALSE),0)))</f>
        <v/>
      </c>
    </row>
    <row r="6595" ht="15" customHeight="1">
      <c r="C6595">
        <f>IF($B6595="","",INT($B6595))</f>
        <v/>
      </c>
      <c r="D6595">
        <f>IF($C6595="","",$C6595-WEEKDAY($C6595,2)+1)</f>
        <v/>
      </c>
      <c r="E6595">
        <f>IF($C6595="","",DATE(YEAR($C6595),MONTH($C6595),1))</f>
        <v/>
      </c>
      <c r="F6595">
        <f>IF($C6595="","",YEAR($C6595)&amp;"-Q"&amp;ROUNDUP(MONTH($C6595)/3,0))</f>
        <v/>
      </c>
      <c r="L6595">
        <f>IF($G6595&lt;&gt;"ALCOHOL","",IF($K6595="","",$H6595*IFERROR(VLOOKUP($K6595,Drink_Templates!$A:$G,7,FALSE),0)))</f>
        <v/>
      </c>
    </row>
    <row r="6596" ht="15" customHeight="1">
      <c r="C6596">
        <f>IF($B6596="","",INT($B6596))</f>
        <v/>
      </c>
      <c r="D6596">
        <f>IF($C6596="","",$C6596-WEEKDAY($C6596,2)+1)</f>
        <v/>
      </c>
      <c r="E6596">
        <f>IF($C6596="","",DATE(YEAR($C6596),MONTH($C6596),1))</f>
        <v/>
      </c>
      <c r="F6596">
        <f>IF($C6596="","",YEAR($C6596)&amp;"-Q"&amp;ROUNDUP(MONTH($C6596)/3,0))</f>
        <v/>
      </c>
      <c r="L6596">
        <f>IF($G6596&lt;&gt;"ALCOHOL","",IF($K6596="","",$H6596*IFERROR(VLOOKUP($K6596,Drink_Templates!$A:$G,7,FALSE),0)))</f>
        <v/>
      </c>
    </row>
    <row r="6597" ht="15" customHeight="1">
      <c r="C6597">
        <f>IF($B6597="","",INT($B6597))</f>
        <v/>
      </c>
      <c r="D6597">
        <f>IF($C6597="","",$C6597-WEEKDAY($C6597,2)+1)</f>
        <v/>
      </c>
      <c r="E6597">
        <f>IF($C6597="","",DATE(YEAR($C6597),MONTH($C6597),1))</f>
        <v/>
      </c>
      <c r="F6597">
        <f>IF($C6597="","",YEAR($C6597)&amp;"-Q"&amp;ROUNDUP(MONTH($C6597)/3,0))</f>
        <v/>
      </c>
      <c r="L6597">
        <f>IF($G6597&lt;&gt;"ALCOHOL","",IF($K6597="","",$H6597*IFERROR(VLOOKUP($K6597,Drink_Templates!$A:$G,7,FALSE),0)))</f>
        <v/>
      </c>
    </row>
    <row r="6598" ht="15" customHeight="1">
      <c r="C6598">
        <f>IF($B6598="","",INT($B6598))</f>
        <v/>
      </c>
      <c r="D6598">
        <f>IF($C6598="","",$C6598-WEEKDAY($C6598,2)+1)</f>
        <v/>
      </c>
      <c r="E6598">
        <f>IF($C6598="","",DATE(YEAR($C6598),MONTH($C6598),1))</f>
        <v/>
      </c>
      <c r="F6598">
        <f>IF($C6598="","",YEAR($C6598)&amp;"-Q"&amp;ROUNDUP(MONTH($C6598)/3,0))</f>
        <v/>
      </c>
      <c r="L6598">
        <f>IF($G6598&lt;&gt;"ALCOHOL","",IF($K6598="","",$H6598*IFERROR(VLOOKUP($K6598,Drink_Templates!$A:$G,7,FALSE),0)))</f>
        <v/>
      </c>
    </row>
    <row r="6599" ht="15" customHeight="1">
      <c r="C6599">
        <f>IF($B6599="","",INT($B6599))</f>
        <v/>
      </c>
      <c r="D6599">
        <f>IF($C6599="","",$C6599-WEEKDAY($C6599,2)+1)</f>
        <v/>
      </c>
      <c r="E6599">
        <f>IF($C6599="","",DATE(YEAR($C6599),MONTH($C6599),1))</f>
        <v/>
      </c>
      <c r="F6599">
        <f>IF($C6599="","",YEAR($C6599)&amp;"-Q"&amp;ROUNDUP(MONTH($C6599)/3,0))</f>
        <v/>
      </c>
      <c r="L6599">
        <f>IF($G6599&lt;&gt;"ALCOHOL","",IF($K6599="","",$H6599*IFERROR(VLOOKUP($K6599,Drink_Templates!$A:$G,7,FALSE),0)))</f>
        <v/>
      </c>
    </row>
    <row r="6600" ht="15" customHeight="1">
      <c r="C6600">
        <f>IF($B6600="","",INT($B6600))</f>
        <v/>
      </c>
      <c r="D6600">
        <f>IF($C6600="","",$C6600-WEEKDAY($C6600,2)+1)</f>
        <v/>
      </c>
      <c r="E6600">
        <f>IF($C6600="","",DATE(YEAR($C6600),MONTH($C6600),1))</f>
        <v/>
      </c>
      <c r="F6600">
        <f>IF($C6600="","",YEAR($C6600)&amp;"-Q"&amp;ROUNDUP(MONTH($C6600)/3,0))</f>
        <v/>
      </c>
      <c r="L6600">
        <f>IF($G6600&lt;&gt;"ALCOHOL","",IF($K6600="","",$H6600*IFERROR(VLOOKUP($K6600,Drink_Templates!$A:$G,7,FALSE),0)))</f>
        <v/>
      </c>
    </row>
    <row r="6601" ht="15" customHeight="1">
      <c r="C6601">
        <f>IF($B6601="","",INT($B6601))</f>
        <v/>
      </c>
      <c r="D6601">
        <f>IF($C6601="","",$C6601-WEEKDAY($C6601,2)+1)</f>
        <v/>
      </c>
      <c r="E6601">
        <f>IF($C6601="","",DATE(YEAR($C6601),MONTH($C6601),1))</f>
        <v/>
      </c>
      <c r="F6601">
        <f>IF($C6601="","",YEAR($C6601)&amp;"-Q"&amp;ROUNDUP(MONTH($C6601)/3,0))</f>
        <v/>
      </c>
      <c r="L6601">
        <f>IF($G6601&lt;&gt;"ALCOHOL","",IF($K6601="","",$H6601*IFERROR(VLOOKUP($K6601,Drink_Templates!$A:$G,7,FALSE),0)))</f>
        <v/>
      </c>
    </row>
    <row r="6602" ht="15" customHeight="1">
      <c r="C6602">
        <f>IF($B6602="","",INT($B6602))</f>
        <v/>
      </c>
      <c r="D6602">
        <f>IF($C6602="","",$C6602-WEEKDAY($C6602,2)+1)</f>
        <v/>
      </c>
      <c r="E6602">
        <f>IF($C6602="","",DATE(YEAR($C6602),MONTH($C6602),1))</f>
        <v/>
      </c>
      <c r="F6602">
        <f>IF($C6602="","",YEAR($C6602)&amp;"-Q"&amp;ROUNDUP(MONTH($C6602)/3,0))</f>
        <v/>
      </c>
      <c r="L6602">
        <f>IF($G6602&lt;&gt;"ALCOHOL","",IF($K6602="","",$H6602*IFERROR(VLOOKUP($K6602,Drink_Templates!$A:$G,7,FALSE),0)))</f>
        <v/>
      </c>
    </row>
    <row r="6603" ht="15" customHeight="1">
      <c r="C6603">
        <f>IF($B6603="","",INT($B6603))</f>
        <v/>
      </c>
      <c r="D6603">
        <f>IF($C6603="","",$C6603-WEEKDAY($C6603,2)+1)</f>
        <v/>
      </c>
      <c r="E6603">
        <f>IF($C6603="","",DATE(YEAR($C6603),MONTH($C6603),1))</f>
        <v/>
      </c>
      <c r="F6603">
        <f>IF($C6603="","",YEAR($C6603)&amp;"-Q"&amp;ROUNDUP(MONTH($C6603)/3,0))</f>
        <v/>
      </c>
      <c r="L6603">
        <f>IF($G6603&lt;&gt;"ALCOHOL","",IF($K6603="","",$H6603*IFERROR(VLOOKUP($K6603,Drink_Templates!$A:$G,7,FALSE),0)))</f>
        <v/>
      </c>
    </row>
    <row r="6604" ht="15" customHeight="1">
      <c r="C6604">
        <f>IF($B6604="","",INT($B6604))</f>
        <v/>
      </c>
      <c r="D6604">
        <f>IF($C6604="","",$C6604-WEEKDAY($C6604,2)+1)</f>
        <v/>
      </c>
      <c r="E6604">
        <f>IF($C6604="","",DATE(YEAR($C6604),MONTH($C6604),1))</f>
        <v/>
      </c>
      <c r="F6604">
        <f>IF($C6604="","",YEAR($C6604)&amp;"-Q"&amp;ROUNDUP(MONTH($C6604)/3,0))</f>
        <v/>
      </c>
      <c r="L6604">
        <f>IF($G6604&lt;&gt;"ALCOHOL","",IF($K6604="","",$H6604*IFERROR(VLOOKUP($K6604,Drink_Templates!$A:$G,7,FALSE),0)))</f>
        <v/>
      </c>
    </row>
    <row r="6605" ht="15" customHeight="1">
      <c r="C6605">
        <f>IF($B6605="","",INT($B6605))</f>
        <v/>
      </c>
      <c r="D6605">
        <f>IF($C6605="","",$C6605-WEEKDAY($C6605,2)+1)</f>
        <v/>
      </c>
      <c r="E6605">
        <f>IF($C6605="","",DATE(YEAR($C6605),MONTH($C6605),1))</f>
        <v/>
      </c>
      <c r="F6605">
        <f>IF($C6605="","",YEAR($C6605)&amp;"-Q"&amp;ROUNDUP(MONTH($C6605)/3,0))</f>
        <v/>
      </c>
      <c r="L6605">
        <f>IF($G6605&lt;&gt;"ALCOHOL","",IF($K6605="","",$H6605*IFERROR(VLOOKUP($K6605,Drink_Templates!$A:$G,7,FALSE),0)))</f>
        <v/>
      </c>
    </row>
    <row r="6606" ht="15" customHeight="1">
      <c r="C6606">
        <f>IF($B6606="","",INT($B6606))</f>
        <v/>
      </c>
      <c r="D6606">
        <f>IF($C6606="","",$C6606-WEEKDAY($C6606,2)+1)</f>
        <v/>
      </c>
      <c r="E6606">
        <f>IF($C6606="","",DATE(YEAR($C6606),MONTH($C6606),1))</f>
        <v/>
      </c>
      <c r="F6606">
        <f>IF($C6606="","",YEAR($C6606)&amp;"-Q"&amp;ROUNDUP(MONTH($C6606)/3,0))</f>
        <v/>
      </c>
      <c r="L6606">
        <f>IF($G6606&lt;&gt;"ALCOHOL","",IF($K6606="","",$H6606*IFERROR(VLOOKUP($K6606,Drink_Templates!$A:$G,7,FALSE),0)))</f>
        <v/>
      </c>
    </row>
    <row r="6607" ht="15" customHeight="1">
      <c r="C6607">
        <f>IF($B6607="","",INT($B6607))</f>
        <v/>
      </c>
      <c r="D6607">
        <f>IF($C6607="","",$C6607-WEEKDAY($C6607,2)+1)</f>
        <v/>
      </c>
      <c r="E6607">
        <f>IF($C6607="","",DATE(YEAR($C6607),MONTH($C6607),1))</f>
        <v/>
      </c>
      <c r="F6607">
        <f>IF($C6607="","",YEAR($C6607)&amp;"-Q"&amp;ROUNDUP(MONTH($C6607)/3,0))</f>
        <v/>
      </c>
      <c r="L6607">
        <f>IF($G6607&lt;&gt;"ALCOHOL","",IF($K6607="","",$H6607*IFERROR(VLOOKUP($K6607,Drink_Templates!$A:$G,7,FALSE),0)))</f>
        <v/>
      </c>
    </row>
    <row r="6608" ht="15" customHeight="1">
      <c r="C6608">
        <f>IF($B6608="","",INT($B6608))</f>
        <v/>
      </c>
      <c r="D6608">
        <f>IF($C6608="","",$C6608-WEEKDAY($C6608,2)+1)</f>
        <v/>
      </c>
      <c r="E6608">
        <f>IF($C6608="","",DATE(YEAR($C6608),MONTH($C6608),1))</f>
        <v/>
      </c>
      <c r="F6608">
        <f>IF($C6608="","",YEAR($C6608)&amp;"-Q"&amp;ROUNDUP(MONTH($C6608)/3,0))</f>
        <v/>
      </c>
      <c r="L6608">
        <f>IF($G6608&lt;&gt;"ALCOHOL","",IF($K6608="","",$H6608*IFERROR(VLOOKUP($K6608,Drink_Templates!$A:$G,7,FALSE),0)))</f>
        <v/>
      </c>
    </row>
    <row r="6609" ht="15" customHeight="1">
      <c r="C6609">
        <f>IF($B6609="","",INT($B6609))</f>
        <v/>
      </c>
      <c r="D6609">
        <f>IF($C6609="","",$C6609-WEEKDAY($C6609,2)+1)</f>
        <v/>
      </c>
      <c r="E6609">
        <f>IF($C6609="","",DATE(YEAR($C6609),MONTH($C6609),1))</f>
        <v/>
      </c>
      <c r="F6609">
        <f>IF($C6609="","",YEAR($C6609)&amp;"-Q"&amp;ROUNDUP(MONTH($C6609)/3,0))</f>
        <v/>
      </c>
      <c r="L6609">
        <f>IF($G6609&lt;&gt;"ALCOHOL","",IF($K6609="","",$H6609*IFERROR(VLOOKUP($K6609,Drink_Templates!$A:$G,7,FALSE),0)))</f>
        <v/>
      </c>
    </row>
    <row r="6610" ht="15" customHeight="1">
      <c r="C6610">
        <f>IF($B6610="","",INT($B6610))</f>
        <v/>
      </c>
      <c r="D6610">
        <f>IF($C6610="","",$C6610-WEEKDAY($C6610,2)+1)</f>
        <v/>
      </c>
      <c r="E6610">
        <f>IF($C6610="","",DATE(YEAR($C6610),MONTH($C6610),1))</f>
        <v/>
      </c>
      <c r="F6610">
        <f>IF($C6610="","",YEAR($C6610)&amp;"-Q"&amp;ROUNDUP(MONTH($C6610)/3,0))</f>
        <v/>
      </c>
      <c r="L6610">
        <f>IF($G6610&lt;&gt;"ALCOHOL","",IF($K6610="","",$H6610*IFERROR(VLOOKUP($K6610,Drink_Templates!$A:$G,7,FALSE),0)))</f>
        <v/>
      </c>
    </row>
    <row r="6611" ht="15" customHeight="1">
      <c r="C6611">
        <f>IF($B6611="","",INT($B6611))</f>
        <v/>
      </c>
      <c r="D6611">
        <f>IF($C6611="","",$C6611-WEEKDAY($C6611,2)+1)</f>
        <v/>
      </c>
      <c r="E6611">
        <f>IF($C6611="","",DATE(YEAR($C6611),MONTH($C6611),1))</f>
        <v/>
      </c>
      <c r="F6611">
        <f>IF($C6611="","",YEAR($C6611)&amp;"-Q"&amp;ROUNDUP(MONTH($C6611)/3,0))</f>
        <v/>
      </c>
      <c r="L6611">
        <f>IF($G6611&lt;&gt;"ALCOHOL","",IF($K6611="","",$H6611*IFERROR(VLOOKUP($K6611,Drink_Templates!$A:$G,7,FALSE),0)))</f>
        <v/>
      </c>
    </row>
    <row r="6612" ht="15" customHeight="1">
      <c r="C6612">
        <f>IF($B6612="","",INT($B6612))</f>
        <v/>
      </c>
      <c r="D6612">
        <f>IF($C6612="","",$C6612-WEEKDAY($C6612,2)+1)</f>
        <v/>
      </c>
      <c r="E6612">
        <f>IF($C6612="","",DATE(YEAR($C6612),MONTH($C6612),1))</f>
        <v/>
      </c>
      <c r="F6612">
        <f>IF($C6612="","",YEAR($C6612)&amp;"-Q"&amp;ROUNDUP(MONTH($C6612)/3,0))</f>
        <v/>
      </c>
      <c r="L6612">
        <f>IF($G6612&lt;&gt;"ALCOHOL","",IF($K6612="","",$H6612*IFERROR(VLOOKUP($K6612,Drink_Templates!$A:$G,7,FALSE),0)))</f>
        <v/>
      </c>
    </row>
    <row r="6613" ht="15" customHeight="1">
      <c r="C6613">
        <f>IF($B6613="","",INT($B6613))</f>
        <v/>
      </c>
      <c r="D6613">
        <f>IF($C6613="","",$C6613-WEEKDAY($C6613,2)+1)</f>
        <v/>
      </c>
      <c r="E6613">
        <f>IF($C6613="","",DATE(YEAR($C6613),MONTH($C6613),1))</f>
        <v/>
      </c>
      <c r="F6613">
        <f>IF($C6613="","",YEAR($C6613)&amp;"-Q"&amp;ROUNDUP(MONTH($C6613)/3,0))</f>
        <v/>
      </c>
      <c r="L6613">
        <f>IF($G6613&lt;&gt;"ALCOHOL","",IF($K6613="","",$H6613*IFERROR(VLOOKUP($K6613,Drink_Templates!$A:$G,7,FALSE),0)))</f>
        <v/>
      </c>
    </row>
    <row r="6614" ht="15" customHeight="1">
      <c r="C6614">
        <f>IF($B6614="","",INT($B6614))</f>
        <v/>
      </c>
      <c r="D6614">
        <f>IF($C6614="","",$C6614-WEEKDAY($C6614,2)+1)</f>
        <v/>
      </c>
      <c r="E6614">
        <f>IF($C6614="","",DATE(YEAR($C6614),MONTH($C6614),1))</f>
        <v/>
      </c>
      <c r="F6614">
        <f>IF($C6614="","",YEAR($C6614)&amp;"-Q"&amp;ROUNDUP(MONTH($C6614)/3,0))</f>
        <v/>
      </c>
      <c r="L6614">
        <f>IF($G6614&lt;&gt;"ALCOHOL","",IF($K6614="","",$H6614*IFERROR(VLOOKUP($K6614,Drink_Templates!$A:$G,7,FALSE),0)))</f>
        <v/>
      </c>
    </row>
    <row r="6615" ht="15" customHeight="1">
      <c r="C6615">
        <f>IF($B6615="","",INT($B6615))</f>
        <v/>
      </c>
      <c r="D6615">
        <f>IF($C6615="","",$C6615-WEEKDAY($C6615,2)+1)</f>
        <v/>
      </c>
      <c r="E6615">
        <f>IF($C6615="","",DATE(YEAR($C6615),MONTH($C6615),1))</f>
        <v/>
      </c>
      <c r="F6615">
        <f>IF($C6615="","",YEAR($C6615)&amp;"-Q"&amp;ROUNDUP(MONTH($C6615)/3,0))</f>
        <v/>
      </c>
      <c r="L6615">
        <f>IF($G6615&lt;&gt;"ALCOHOL","",IF($K6615="","",$H6615*IFERROR(VLOOKUP($K6615,Drink_Templates!$A:$G,7,FALSE),0)))</f>
        <v/>
      </c>
    </row>
    <row r="6616" ht="15" customHeight="1">
      <c r="C6616">
        <f>IF($B6616="","",INT($B6616))</f>
        <v/>
      </c>
      <c r="D6616">
        <f>IF($C6616="","",$C6616-WEEKDAY($C6616,2)+1)</f>
        <v/>
      </c>
      <c r="E6616">
        <f>IF($C6616="","",DATE(YEAR($C6616),MONTH($C6616),1))</f>
        <v/>
      </c>
      <c r="F6616">
        <f>IF($C6616="","",YEAR($C6616)&amp;"-Q"&amp;ROUNDUP(MONTH($C6616)/3,0))</f>
        <v/>
      </c>
      <c r="L6616">
        <f>IF($G6616&lt;&gt;"ALCOHOL","",IF($K6616="","",$H6616*IFERROR(VLOOKUP($K6616,Drink_Templates!$A:$G,7,FALSE),0)))</f>
        <v/>
      </c>
    </row>
    <row r="6617" ht="15" customHeight="1">
      <c r="C6617">
        <f>IF($B6617="","",INT($B6617))</f>
        <v/>
      </c>
      <c r="D6617">
        <f>IF($C6617="","",$C6617-WEEKDAY($C6617,2)+1)</f>
        <v/>
      </c>
      <c r="E6617">
        <f>IF($C6617="","",DATE(YEAR($C6617),MONTH($C6617),1))</f>
        <v/>
      </c>
      <c r="F6617">
        <f>IF($C6617="","",YEAR($C6617)&amp;"-Q"&amp;ROUNDUP(MONTH($C6617)/3,0))</f>
        <v/>
      </c>
      <c r="L6617">
        <f>IF($G6617&lt;&gt;"ALCOHOL","",IF($K6617="","",$H6617*IFERROR(VLOOKUP($K6617,Drink_Templates!$A:$G,7,FALSE),0)))</f>
        <v/>
      </c>
    </row>
    <row r="6618" ht="15" customHeight="1">
      <c r="C6618">
        <f>IF($B6618="","",INT($B6618))</f>
        <v/>
      </c>
      <c r="D6618">
        <f>IF($C6618="","",$C6618-WEEKDAY($C6618,2)+1)</f>
        <v/>
      </c>
      <c r="E6618">
        <f>IF($C6618="","",DATE(YEAR($C6618),MONTH($C6618),1))</f>
        <v/>
      </c>
      <c r="F6618">
        <f>IF($C6618="","",YEAR($C6618)&amp;"-Q"&amp;ROUNDUP(MONTH($C6618)/3,0))</f>
        <v/>
      </c>
      <c r="L6618">
        <f>IF($G6618&lt;&gt;"ALCOHOL","",IF($K6618="","",$H6618*IFERROR(VLOOKUP($K6618,Drink_Templates!$A:$G,7,FALSE),0)))</f>
        <v/>
      </c>
    </row>
    <row r="6619" ht="15" customHeight="1">
      <c r="C6619">
        <f>IF($B6619="","",INT($B6619))</f>
        <v/>
      </c>
      <c r="D6619">
        <f>IF($C6619="","",$C6619-WEEKDAY($C6619,2)+1)</f>
        <v/>
      </c>
      <c r="E6619">
        <f>IF($C6619="","",DATE(YEAR($C6619),MONTH($C6619),1))</f>
        <v/>
      </c>
      <c r="F6619">
        <f>IF($C6619="","",YEAR($C6619)&amp;"-Q"&amp;ROUNDUP(MONTH($C6619)/3,0))</f>
        <v/>
      </c>
      <c r="L6619">
        <f>IF($G6619&lt;&gt;"ALCOHOL","",IF($K6619="","",$H6619*IFERROR(VLOOKUP($K6619,Drink_Templates!$A:$G,7,FALSE),0)))</f>
        <v/>
      </c>
    </row>
    <row r="6620" ht="15" customHeight="1">
      <c r="C6620">
        <f>IF($B6620="","",INT($B6620))</f>
        <v/>
      </c>
      <c r="D6620">
        <f>IF($C6620="","",$C6620-WEEKDAY($C6620,2)+1)</f>
        <v/>
      </c>
      <c r="E6620">
        <f>IF($C6620="","",DATE(YEAR($C6620),MONTH($C6620),1))</f>
        <v/>
      </c>
      <c r="F6620">
        <f>IF($C6620="","",YEAR($C6620)&amp;"-Q"&amp;ROUNDUP(MONTH($C6620)/3,0))</f>
        <v/>
      </c>
      <c r="L6620">
        <f>IF($G6620&lt;&gt;"ALCOHOL","",IF($K6620="","",$H6620*IFERROR(VLOOKUP($K6620,Drink_Templates!$A:$G,7,FALSE),0)))</f>
        <v/>
      </c>
    </row>
    <row r="6621" ht="15" customHeight="1">
      <c r="C6621">
        <f>IF($B6621="","",INT($B6621))</f>
        <v/>
      </c>
      <c r="D6621">
        <f>IF($C6621="","",$C6621-WEEKDAY($C6621,2)+1)</f>
        <v/>
      </c>
      <c r="E6621">
        <f>IF($C6621="","",DATE(YEAR($C6621),MONTH($C6621),1))</f>
        <v/>
      </c>
      <c r="F6621">
        <f>IF($C6621="","",YEAR($C6621)&amp;"-Q"&amp;ROUNDUP(MONTH($C6621)/3,0))</f>
        <v/>
      </c>
      <c r="L6621">
        <f>IF($G6621&lt;&gt;"ALCOHOL","",IF($K6621="","",$H6621*IFERROR(VLOOKUP($K6621,Drink_Templates!$A:$G,7,FALSE),0)))</f>
        <v/>
      </c>
    </row>
    <row r="6622" ht="15" customHeight="1">
      <c r="C6622">
        <f>IF($B6622="","",INT($B6622))</f>
        <v/>
      </c>
      <c r="D6622">
        <f>IF($C6622="","",$C6622-WEEKDAY($C6622,2)+1)</f>
        <v/>
      </c>
      <c r="E6622">
        <f>IF($C6622="","",DATE(YEAR($C6622),MONTH($C6622),1))</f>
        <v/>
      </c>
      <c r="F6622">
        <f>IF($C6622="","",YEAR($C6622)&amp;"-Q"&amp;ROUNDUP(MONTH($C6622)/3,0))</f>
        <v/>
      </c>
      <c r="L6622">
        <f>IF($G6622&lt;&gt;"ALCOHOL","",IF($K6622="","",$H6622*IFERROR(VLOOKUP($K6622,Drink_Templates!$A:$G,7,FALSE),0)))</f>
        <v/>
      </c>
    </row>
    <row r="6623" ht="15" customHeight="1">
      <c r="C6623">
        <f>IF($B6623="","",INT($B6623))</f>
        <v/>
      </c>
      <c r="D6623">
        <f>IF($C6623="","",$C6623-WEEKDAY($C6623,2)+1)</f>
        <v/>
      </c>
      <c r="E6623">
        <f>IF($C6623="","",DATE(YEAR($C6623),MONTH($C6623),1))</f>
        <v/>
      </c>
      <c r="F6623">
        <f>IF($C6623="","",YEAR($C6623)&amp;"-Q"&amp;ROUNDUP(MONTH($C6623)/3,0))</f>
        <v/>
      </c>
      <c r="L6623">
        <f>IF($G6623&lt;&gt;"ALCOHOL","",IF($K6623="","",$H6623*IFERROR(VLOOKUP($K6623,Drink_Templates!$A:$G,7,FALSE),0)))</f>
        <v/>
      </c>
    </row>
    <row r="6624" ht="15" customHeight="1">
      <c r="C6624">
        <f>IF($B6624="","",INT($B6624))</f>
        <v/>
      </c>
      <c r="D6624">
        <f>IF($C6624="","",$C6624-WEEKDAY($C6624,2)+1)</f>
        <v/>
      </c>
      <c r="E6624">
        <f>IF($C6624="","",DATE(YEAR($C6624),MONTH($C6624),1))</f>
        <v/>
      </c>
      <c r="F6624">
        <f>IF($C6624="","",YEAR($C6624)&amp;"-Q"&amp;ROUNDUP(MONTH($C6624)/3,0))</f>
        <v/>
      </c>
      <c r="L6624">
        <f>IF($G6624&lt;&gt;"ALCOHOL","",IF($K6624="","",$H6624*IFERROR(VLOOKUP($K6624,Drink_Templates!$A:$G,7,FALSE),0)))</f>
        <v/>
      </c>
    </row>
    <row r="6625" ht="15" customHeight="1">
      <c r="C6625">
        <f>IF($B6625="","",INT($B6625))</f>
        <v/>
      </c>
      <c r="D6625">
        <f>IF($C6625="","",$C6625-WEEKDAY($C6625,2)+1)</f>
        <v/>
      </c>
      <c r="E6625">
        <f>IF($C6625="","",DATE(YEAR($C6625),MONTH($C6625),1))</f>
        <v/>
      </c>
      <c r="F6625">
        <f>IF($C6625="","",YEAR($C6625)&amp;"-Q"&amp;ROUNDUP(MONTH($C6625)/3,0))</f>
        <v/>
      </c>
      <c r="L6625">
        <f>IF($G6625&lt;&gt;"ALCOHOL","",IF($K6625="","",$H6625*IFERROR(VLOOKUP($K6625,Drink_Templates!$A:$G,7,FALSE),0)))</f>
        <v/>
      </c>
    </row>
    <row r="6626" ht="15" customHeight="1">
      <c r="C6626">
        <f>IF($B6626="","",INT($B6626))</f>
        <v/>
      </c>
      <c r="D6626">
        <f>IF($C6626="","",$C6626-WEEKDAY($C6626,2)+1)</f>
        <v/>
      </c>
      <c r="E6626">
        <f>IF($C6626="","",DATE(YEAR($C6626),MONTH($C6626),1))</f>
        <v/>
      </c>
      <c r="F6626">
        <f>IF($C6626="","",YEAR($C6626)&amp;"-Q"&amp;ROUNDUP(MONTH($C6626)/3,0))</f>
        <v/>
      </c>
      <c r="L6626">
        <f>IF($G6626&lt;&gt;"ALCOHOL","",IF($K6626="","",$H6626*IFERROR(VLOOKUP($K6626,Drink_Templates!$A:$G,7,FALSE),0)))</f>
        <v/>
      </c>
    </row>
    <row r="6627" ht="15" customHeight="1">
      <c r="C6627">
        <f>IF($B6627="","",INT($B6627))</f>
        <v/>
      </c>
      <c r="D6627">
        <f>IF($C6627="","",$C6627-WEEKDAY($C6627,2)+1)</f>
        <v/>
      </c>
      <c r="E6627">
        <f>IF($C6627="","",DATE(YEAR($C6627),MONTH($C6627),1))</f>
        <v/>
      </c>
      <c r="F6627">
        <f>IF($C6627="","",YEAR($C6627)&amp;"-Q"&amp;ROUNDUP(MONTH($C6627)/3,0))</f>
        <v/>
      </c>
      <c r="L6627">
        <f>IF($G6627&lt;&gt;"ALCOHOL","",IF($K6627="","",$H6627*IFERROR(VLOOKUP($K6627,Drink_Templates!$A:$G,7,FALSE),0)))</f>
        <v/>
      </c>
    </row>
    <row r="6628" ht="15" customHeight="1">
      <c r="C6628">
        <f>IF($B6628="","",INT($B6628))</f>
        <v/>
      </c>
      <c r="D6628">
        <f>IF($C6628="","",$C6628-WEEKDAY($C6628,2)+1)</f>
        <v/>
      </c>
      <c r="E6628">
        <f>IF($C6628="","",DATE(YEAR($C6628),MONTH($C6628),1))</f>
        <v/>
      </c>
      <c r="F6628">
        <f>IF($C6628="","",YEAR($C6628)&amp;"-Q"&amp;ROUNDUP(MONTH($C6628)/3,0))</f>
        <v/>
      </c>
      <c r="L6628">
        <f>IF($G6628&lt;&gt;"ALCOHOL","",IF($K6628="","",$H6628*IFERROR(VLOOKUP($K6628,Drink_Templates!$A:$G,7,FALSE),0)))</f>
        <v/>
      </c>
    </row>
    <row r="6629" ht="15" customHeight="1">
      <c r="C6629">
        <f>IF($B6629="","",INT($B6629))</f>
        <v/>
      </c>
      <c r="D6629">
        <f>IF($C6629="","",$C6629-WEEKDAY($C6629,2)+1)</f>
        <v/>
      </c>
      <c r="E6629">
        <f>IF($C6629="","",DATE(YEAR($C6629),MONTH($C6629),1))</f>
        <v/>
      </c>
      <c r="F6629">
        <f>IF($C6629="","",YEAR($C6629)&amp;"-Q"&amp;ROUNDUP(MONTH($C6629)/3,0))</f>
        <v/>
      </c>
      <c r="L6629">
        <f>IF($G6629&lt;&gt;"ALCOHOL","",IF($K6629="","",$H6629*IFERROR(VLOOKUP($K6629,Drink_Templates!$A:$G,7,FALSE),0)))</f>
        <v/>
      </c>
    </row>
    <row r="6630" ht="15" customHeight="1">
      <c r="C6630">
        <f>IF($B6630="","",INT($B6630))</f>
        <v/>
      </c>
      <c r="D6630">
        <f>IF($C6630="","",$C6630-WEEKDAY($C6630,2)+1)</f>
        <v/>
      </c>
      <c r="E6630">
        <f>IF($C6630="","",DATE(YEAR($C6630),MONTH($C6630),1))</f>
        <v/>
      </c>
      <c r="F6630">
        <f>IF($C6630="","",YEAR($C6630)&amp;"-Q"&amp;ROUNDUP(MONTH($C6630)/3,0))</f>
        <v/>
      </c>
      <c r="L6630">
        <f>IF($G6630&lt;&gt;"ALCOHOL","",IF($K6630="","",$H6630*IFERROR(VLOOKUP($K6630,Drink_Templates!$A:$G,7,FALSE),0)))</f>
        <v/>
      </c>
    </row>
    <row r="6631" ht="15" customHeight="1">
      <c r="C6631">
        <f>IF($B6631="","",INT($B6631))</f>
        <v/>
      </c>
      <c r="D6631">
        <f>IF($C6631="","",$C6631-WEEKDAY($C6631,2)+1)</f>
        <v/>
      </c>
      <c r="E6631">
        <f>IF($C6631="","",DATE(YEAR($C6631),MONTH($C6631),1))</f>
        <v/>
      </c>
      <c r="F6631">
        <f>IF($C6631="","",YEAR($C6631)&amp;"-Q"&amp;ROUNDUP(MONTH($C6631)/3,0))</f>
        <v/>
      </c>
      <c r="L6631">
        <f>IF($G6631&lt;&gt;"ALCOHOL","",IF($K6631="","",$H6631*IFERROR(VLOOKUP($K6631,Drink_Templates!$A:$G,7,FALSE),0)))</f>
        <v/>
      </c>
    </row>
    <row r="6632" ht="15" customHeight="1">
      <c r="C6632">
        <f>IF($B6632="","",INT($B6632))</f>
        <v/>
      </c>
      <c r="D6632">
        <f>IF($C6632="","",$C6632-WEEKDAY($C6632,2)+1)</f>
        <v/>
      </c>
      <c r="E6632">
        <f>IF($C6632="","",DATE(YEAR($C6632),MONTH($C6632),1))</f>
        <v/>
      </c>
      <c r="F6632">
        <f>IF($C6632="","",YEAR($C6632)&amp;"-Q"&amp;ROUNDUP(MONTH($C6632)/3,0))</f>
        <v/>
      </c>
      <c r="L6632">
        <f>IF($G6632&lt;&gt;"ALCOHOL","",IF($K6632="","",$H6632*IFERROR(VLOOKUP($K6632,Drink_Templates!$A:$G,7,FALSE),0)))</f>
        <v/>
      </c>
    </row>
    <row r="6633" ht="15" customHeight="1">
      <c r="C6633">
        <f>IF($B6633="","",INT($B6633))</f>
        <v/>
      </c>
      <c r="D6633">
        <f>IF($C6633="","",$C6633-WEEKDAY($C6633,2)+1)</f>
        <v/>
      </c>
      <c r="E6633">
        <f>IF($C6633="","",DATE(YEAR($C6633),MONTH($C6633),1))</f>
        <v/>
      </c>
      <c r="F6633">
        <f>IF($C6633="","",YEAR($C6633)&amp;"-Q"&amp;ROUNDUP(MONTH($C6633)/3,0))</f>
        <v/>
      </c>
      <c r="L6633">
        <f>IF($G6633&lt;&gt;"ALCOHOL","",IF($K6633="","",$H6633*IFERROR(VLOOKUP($K6633,Drink_Templates!$A:$G,7,FALSE),0)))</f>
        <v/>
      </c>
    </row>
    <row r="6634" ht="15" customHeight="1">
      <c r="C6634">
        <f>IF($B6634="","",INT($B6634))</f>
        <v/>
      </c>
      <c r="D6634">
        <f>IF($C6634="","",$C6634-WEEKDAY($C6634,2)+1)</f>
        <v/>
      </c>
      <c r="E6634">
        <f>IF($C6634="","",DATE(YEAR($C6634),MONTH($C6634),1))</f>
        <v/>
      </c>
      <c r="F6634">
        <f>IF($C6634="","",YEAR($C6634)&amp;"-Q"&amp;ROUNDUP(MONTH($C6634)/3,0))</f>
        <v/>
      </c>
      <c r="L6634">
        <f>IF($G6634&lt;&gt;"ALCOHOL","",IF($K6634="","",$H6634*IFERROR(VLOOKUP($K6634,Drink_Templates!$A:$G,7,FALSE),0)))</f>
        <v/>
      </c>
    </row>
    <row r="6635" ht="15" customHeight="1">
      <c r="C6635">
        <f>IF($B6635="","",INT($B6635))</f>
        <v/>
      </c>
      <c r="D6635">
        <f>IF($C6635="","",$C6635-WEEKDAY($C6635,2)+1)</f>
        <v/>
      </c>
      <c r="E6635">
        <f>IF($C6635="","",DATE(YEAR($C6635),MONTH($C6635),1))</f>
        <v/>
      </c>
      <c r="F6635">
        <f>IF($C6635="","",YEAR($C6635)&amp;"-Q"&amp;ROUNDUP(MONTH($C6635)/3,0))</f>
        <v/>
      </c>
      <c r="L6635">
        <f>IF($G6635&lt;&gt;"ALCOHOL","",IF($K6635="","",$H6635*IFERROR(VLOOKUP($K6635,Drink_Templates!$A:$G,7,FALSE),0)))</f>
        <v/>
      </c>
    </row>
    <row r="6636" ht="15" customHeight="1">
      <c r="C6636">
        <f>IF($B6636="","",INT($B6636))</f>
        <v/>
      </c>
      <c r="D6636">
        <f>IF($C6636="","",$C6636-WEEKDAY($C6636,2)+1)</f>
        <v/>
      </c>
      <c r="E6636">
        <f>IF($C6636="","",DATE(YEAR($C6636),MONTH($C6636),1))</f>
        <v/>
      </c>
      <c r="F6636">
        <f>IF($C6636="","",YEAR($C6636)&amp;"-Q"&amp;ROUNDUP(MONTH($C6636)/3,0))</f>
        <v/>
      </c>
      <c r="L6636">
        <f>IF($G6636&lt;&gt;"ALCOHOL","",IF($K6636="","",$H6636*IFERROR(VLOOKUP($K6636,Drink_Templates!$A:$G,7,FALSE),0)))</f>
        <v/>
      </c>
    </row>
    <row r="6637" ht="15" customHeight="1">
      <c r="C6637">
        <f>IF($B6637="","",INT($B6637))</f>
        <v/>
      </c>
      <c r="D6637">
        <f>IF($C6637="","",$C6637-WEEKDAY($C6637,2)+1)</f>
        <v/>
      </c>
      <c r="E6637">
        <f>IF($C6637="","",DATE(YEAR($C6637),MONTH($C6637),1))</f>
        <v/>
      </c>
      <c r="F6637">
        <f>IF($C6637="","",YEAR($C6637)&amp;"-Q"&amp;ROUNDUP(MONTH($C6637)/3,0))</f>
        <v/>
      </c>
      <c r="L6637">
        <f>IF($G6637&lt;&gt;"ALCOHOL","",IF($K6637="","",$H6637*IFERROR(VLOOKUP($K6637,Drink_Templates!$A:$G,7,FALSE),0)))</f>
        <v/>
      </c>
    </row>
    <row r="6638" ht="15" customHeight="1">
      <c r="C6638">
        <f>IF($B6638="","",INT($B6638))</f>
        <v/>
      </c>
      <c r="D6638">
        <f>IF($C6638="","",$C6638-WEEKDAY($C6638,2)+1)</f>
        <v/>
      </c>
      <c r="E6638">
        <f>IF($C6638="","",DATE(YEAR($C6638),MONTH($C6638),1))</f>
        <v/>
      </c>
      <c r="F6638">
        <f>IF($C6638="","",YEAR($C6638)&amp;"-Q"&amp;ROUNDUP(MONTH($C6638)/3,0))</f>
        <v/>
      </c>
      <c r="L6638">
        <f>IF($G6638&lt;&gt;"ALCOHOL","",IF($K6638="","",$H6638*IFERROR(VLOOKUP($K6638,Drink_Templates!$A:$G,7,FALSE),0)))</f>
        <v/>
      </c>
    </row>
    <row r="6639" ht="15" customHeight="1">
      <c r="C6639">
        <f>IF($B6639="","",INT($B6639))</f>
        <v/>
      </c>
      <c r="D6639">
        <f>IF($C6639="","",$C6639-WEEKDAY($C6639,2)+1)</f>
        <v/>
      </c>
      <c r="E6639">
        <f>IF($C6639="","",DATE(YEAR($C6639),MONTH($C6639),1))</f>
        <v/>
      </c>
      <c r="F6639">
        <f>IF($C6639="","",YEAR($C6639)&amp;"-Q"&amp;ROUNDUP(MONTH($C6639)/3,0))</f>
        <v/>
      </c>
      <c r="L6639">
        <f>IF($G6639&lt;&gt;"ALCOHOL","",IF($K6639="","",$H6639*IFERROR(VLOOKUP($K6639,Drink_Templates!$A:$G,7,FALSE),0)))</f>
        <v/>
      </c>
    </row>
    <row r="6640" ht="15" customHeight="1">
      <c r="C6640">
        <f>IF($B6640="","",INT($B6640))</f>
        <v/>
      </c>
      <c r="D6640">
        <f>IF($C6640="","",$C6640-WEEKDAY($C6640,2)+1)</f>
        <v/>
      </c>
      <c r="E6640">
        <f>IF($C6640="","",DATE(YEAR($C6640),MONTH($C6640),1))</f>
        <v/>
      </c>
      <c r="F6640">
        <f>IF($C6640="","",YEAR($C6640)&amp;"-Q"&amp;ROUNDUP(MONTH($C6640)/3,0))</f>
        <v/>
      </c>
      <c r="L6640">
        <f>IF($G6640&lt;&gt;"ALCOHOL","",IF($K6640="","",$H6640*IFERROR(VLOOKUP($K6640,Drink_Templates!$A:$G,7,FALSE),0)))</f>
        <v/>
      </c>
    </row>
    <row r="6641" ht="15" customHeight="1">
      <c r="C6641">
        <f>IF($B6641="","",INT($B6641))</f>
        <v/>
      </c>
      <c r="D6641">
        <f>IF($C6641="","",$C6641-WEEKDAY($C6641,2)+1)</f>
        <v/>
      </c>
      <c r="E6641">
        <f>IF($C6641="","",DATE(YEAR($C6641),MONTH($C6641),1))</f>
        <v/>
      </c>
      <c r="F6641">
        <f>IF($C6641="","",YEAR($C6641)&amp;"-Q"&amp;ROUNDUP(MONTH($C6641)/3,0))</f>
        <v/>
      </c>
      <c r="L6641">
        <f>IF($G6641&lt;&gt;"ALCOHOL","",IF($K6641="","",$H6641*IFERROR(VLOOKUP($K6641,Drink_Templates!$A:$G,7,FALSE),0)))</f>
        <v/>
      </c>
    </row>
    <row r="6642" ht="15" customHeight="1">
      <c r="C6642">
        <f>IF($B6642="","",INT($B6642))</f>
        <v/>
      </c>
      <c r="D6642">
        <f>IF($C6642="","",$C6642-WEEKDAY($C6642,2)+1)</f>
        <v/>
      </c>
      <c r="E6642">
        <f>IF($C6642="","",DATE(YEAR($C6642),MONTH($C6642),1))</f>
        <v/>
      </c>
      <c r="F6642">
        <f>IF($C6642="","",YEAR($C6642)&amp;"-Q"&amp;ROUNDUP(MONTH($C6642)/3,0))</f>
        <v/>
      </c>
      <c r="L6642">
        <f>IF($G6642&lt;&gt;"ALCOHOL","",IF($K6642="","",$H6642*IFERROR(VLOOKUP($K6642,Drink_Templates!$A:$G,7,FALSE),0)))</f>
        <v/>
      </c>
    </row>
    <row r="6643" ht="15" customHeight="1">
      <c r="C6643">
        <f>IF($B6643="","",INT($B6643))</f>
        <v/>
      </c>
      <c r="D6643">
        <f>IF($C6643="","",$C6643-WEEKDAY($C6643,2)+1)</f>
        <v/>
      </c>
      <c r="E6643">
        <f>IF($C6643="","",DATE(YEAR($C6643),MONTH($C6643),1))</f>
        <v/>
      </c>
      <c r="F6643">
        <f>IF($C6643="","",YEAR($C6643)&amp;"-Q"&amp;ROUNDUP(MONTH($C6643)/3,0))</f>
        <v/>
      </c>
      <c r="L6643">
        <f>IF($G6643&lt;&gt;"ALCOHOL","",IF($K6643="","",$H6643*IFERROR(VLOOKUP($K6643,Drink_Templates!$A:$G,7,FALSE),0)))</f>
        <v/>
      </c>
    </row>
    <row r="6644" ht="15" customHeight="1">
      <c r="C6644">
        <f>IF($B6644="","",INT($B6644))</f>
        <v/>
      </c>
      <c r="D6644">
        <f>IF($C6644="","",$C6644-WEEKDAY($C6644,2)+1)</f>
        <v/>
      </c>
      <c r="E6644">
        <f>IF($C6644="","",DATE(YEAR($C6644),MONTH($C6644),1))</f>
        <v/>
      </c>
      <c r="F6644">
        <f>IF($C6644="","",YEAR($C6644)&amp;"-Q"&amp;ROUNDUP(MONTH($C6644)/3,0))</f>
        <v/>
      </c>
      <c r="L6644">
        <f>IF($G6644&lt;&gt;"ALCOHOL","",IF($K6644="","",$H6644*IFERROR(VLOOKUP($K6644,Drink_Templates!$A:$G,7,FALSE),0)))</f>
        <v/>
      </c>
    </row>
    <row r="6645" ht="15" customHeight="1">
      <c r="C6645">
        <f>IF($B6645="","",INT($B6645))</f>
        <v/>
      </c>
      <c r="D6645">
        <f>IF($C6645="","",$C6645-WEEKDAY($C6645,2)+1)</f>
        <v/>
      </c>
      <c r="E6645">
        <f>IF($C6645="","",DATE(YEAR($C6645),MONTH($C6645),1))</f>
        <v/>
      </c>
      <c r="F6645">
        <f>IF($C6645="","",YEAR($C6645)&amp;"-Q"&amp;ROUNDUP(MONTH($C6645)/3,0))</f>
        <v/>
      </c>
      <c r="L6645">
        <f>IF($G6645&lt;&gt;"ALCOHOL","",IF($K6645="","",$H6645*IFERROR(VLOOKUP($K6645,Drink_Templates!$A:$G,7,FALSE),0)))</f>
        <v/>
      </c>
    </row>
    <row r="6646" ht="15" customHeight="1">
      <c r="C6646">
        <f>IF($B6646="","",INT($B6646))</f>
        <v/>
      </c>
      <c r="D6646">
        <f>IF($C6646="","",$C6646-WEEKDAY($C6646,2)+1)</f>
        <v/>
      </c>
      <c r="E6646">
        <f>IF($C6646="","",DATE(YEAR($C6646),MONTH($C6646),1))</f>
        <v/>
      </c>
      <c r="F6646">
        <f>IF($C6646="","",YEAR($C6646)&amp;"-Q"&amp;ROUNDUP(MONTH($C6646)/3,0))</f>
        <v/>
      </c>
      <c r="L6646">
        <f>IF($G6646&lt;&gt;"ALCOHOL","",IF($K6646="","",$H6646*IFERROR(VLOOKUP($K6646,Drink_Templates!$A:$G,7,FALSE),0)))</f>
        <v/>
      </c>
    </row>
    <row r="6647" ht="15" customHeight="1">
      <c r="C6647">
        <f>IF($B6647="","",INT($B6647))</f>
        <v/>
      </c>
      <c r="D6647">
        <f>IF($C6647="","",$C6647-WEEKDAY($C6647,2)+1)</f>
        <v/>
      </c>
      <c r="E6647">
        <f>IF($C6647="","",DATE(YEAR($C6647),MONTH($C6647),1))</f>
        <v/>
      </c>
      <c r="F6647">
        <f>IF($C6647="","",YEAR($C6647)&amp;"-Q"&amp;ROUNDUP(MONTH($C6647)/3,0))</f>
        <v/>
      </c>
      <c r="L6647">
        <f>IF($G6647&lt;&gt;"ALCOHOL","",IF($K6647="","",$H6647*IFERROR(VLOOKUP($K6647,Drink_Templates!$A:$G,7,FALSE),0)))</f>
        <v/>
      </c>
    </row>
    <row r="6648" ht="15" customHeight="1">
      <c r="C6648">
        <f>IF($B6648="","",INT($B6648))</f>
        <v/>
      </c>
      <c r="D6648">
        <f>IF($C6648="","",$C6648-WEEKDAY($C6648,2)+1)</f>
        <v/>
      </c>
      <c r="E6648">
        <f>IF($C6648="","",DATE(YEAR($C6648),MONTH($C6648),1))</f>
        <v/>
      </c>
      <c r="F6648">
        <f>IF($C6648="","",YEAR($C6648)&amp;"-Q"&amp;ROUNDUP(MONTH($C6648)/3,0))</f>
        <v/>
      </c>
      <c r="L6648">
        <f>IF($G6648&lt;&gt;"ALCOHOL","",IF($K6648="","",$H6648*IFERROR(VLOOKUP($K6648,Drink_Templates!$A:$G,7,FALSE),0)))</f>
        <v/>
      </c>
    </row>
    <row r="6649" ht="15" customHeight="1">
      <c r="C6649">
        <f>IF($B6649="","",INT($B6649))</f>
        <v/>
      </c>
      <c r="D6649">
        <f>IF($C6649="","",$C6649-WEEKDAY($C6649,2)+1)</f>
        <v/>
      </c>
      <c r="E6649">
        <f>IF($C6649="","",DATE(YEAR($C6649),MONTH($C6649),1))</f>
        <v/>
      </c>
      <c r="F6649">
        <f>IF($C6649="","",YEAR($C6649)&amp;"-Q"&amp;ROUNDUP(MONTH($C6649)/3,0))</f>
        <v/>
      </c>
      <c r="L6649">
        <f>IF($G6649&lt;&gt;"ALCOHOL","",IF($K6649="","",$H6649*IFERROR(VLOOKUP($K6649,Drink_Templates!$A:$G,7,FALSE),0)))</f>
        <v/>
      </c>
    </row>
    <row r="6650" ht="15" customHeight="1">
      <c r="C6650">
        <f>IF($B6650="","",INT($B6650))</f>
        <v/>
      </c>
      <c r="D6650">
        <f>IF($C6650="","",$C6650-WEEKDAY($C6650,2)+1)</f>
        <v/>
      </c>
      <c r="E6650">
        <f>IF($C6650="","",DATE(YEAR($C6650),MONTH($C6650),1))</f>
        <v/>
      </c>
      <c r="F6650">
        <f>IF($C6650="","",YEAR($C6650)&amp;"-Q"&amp;ROUNDUP(MONTH($C6650)/3,0))</f>
        <v/>
      </c>
      <c r="L6650">
        <f>IF($G6650&lt;&gt;"ALCOHOL","",IF($K6650="","",$H6650*IFERROR(VLOOKUP($K6650,Drink_Templates!$A:$G,7,FALSE),0)))</f>
        <v/>
      </c>
    </row>
    <row r="6651" ht="15" customHeight="1">
      <c r="C6651">
        <f>IF($B6651="","",INT($B6651))</f>
        <v/>
      </c>
      <c r="D6651">
        <f>IF($C6651="","",$C6651-WEEKDAY($C6651,2)+1)</f>
        <v/>
      </c>
      <c r="E6651">
        <f>IF($C6651="","",DATE(YEAR($C6651),MONTH($C6651),1))</f>
        <v/>
      </c>
      <c r="F6651">
        <f>IF($C6651="","",YEAR($C6651)&amp;"-Q"&amp;ROUNDUP(MONTH($C6651)/3,0))</f>
        <v/>
      </c>
      <c r="L6651">
        <f>IF($G6651&lt;&gt;"ALCOHOL","",IF($K6651="","",$H6651*IFERROR(VLOOKUP($K6651,Drink_Templates!$A:$G,7,FALSE),0)))</f>
        <v/>
      </c>
    </row>
    <row r="6652" ht="15" customHeight="1">
      <c r="C6652">
        <f>IF($B6652="","",INT($B6652))</f>
        <v/>
      </c>
      <c r="D6652">
        <f>IF($C6652="","",$C6652-WEEKDAY($C6652,2)+1)</f>
        <v/>
      </c>
      <c r="E6652">
        <f>IF($C6652="","",DATE(YEAR($C6652),MONTH($C6652),1))</f>
        <v/>
      </c>
      <c r="F6652">
        <f>IF($C6652="","",YEAR($C6652)&amp;"-Q"&amp;ROUNDUP(MONTH($C6652)/3,0))</f>
        <v/>
      </c>
      <c r="L6652">
        <f>IF($G6652&lt;&gt;"ALCOHOL","",IF($K6652="","",$H6652*IFERROR(VLOOKUP($K6652,Drink_Templates!$A:$G,7,FALSE),0)))</f>
        <v/>
      </c>
    </row>
    <row r="6653" ht="15" customHeight="1">
      <c r="C6653">
        <f>IF($B6653="","",INT($B6653))</f>
        <v/>
      </c>
      <c r="D6653">
        <f>IF($C6653="","",$C6653-WEEKDAY($C6653,2)+1)</f>
        <v/>
      </c>
      <c r="E6653">
        <f>IF($C6653="","",DATE(YEAR($C6653),MONTH($C6653),1))</f>
        <v/>
      </c>
      <c r="F6653">
        <f>IF($C6653="","",YEAR($C6653)&amp;"-Q"&amp;ROUNDUP(MONTH($C6653)/3,0))</f>
        <v/>
      </c>
      <c r="L6653">
        <f>IF($G6653&lt;&gt;"ALCOHOL","",IF($K6653="","",$H6653*IFERROR(VLOOKUP($K6653,Drink_Templates!$A:$G,7,FALSE),0)))</f>
        <v/>
      </c>
    </row>
    <row r="6654" ht="15" customHeight="1">
      <c r="C6654">
        <f>IF($B6654="","",INT($B6654))</f>
        <v/>
      </c>
      <c r="D6654">
        <f>IF($C6654="","",$C6654-WEEKDAY($C6654,2)+1)</f>
        <v/>
      </c>
      <c r="E6654">
        <f>IF($C6654="","",DATE(YEAR($C6654),MONTH($C6654),1))</f>
        <v/>
      </c>
      <c r="F6654">
        <f>IF($C6654="","",YEAR($C6654)&amp;"-Q"&amp;ROUNDUP(MONTH($C6654)/3,0))</f>
        <v/>
      </c>
      <c r="L6654">
        <f>IF($G6654&lt;&gt;"ALCOHOL","",IF($K6654="","",$H6654*IFERROR(VLOOKUP($K6654,Drink_Templates!$A:$G,7,FALSE),0)))</f>
        <v/>
      </c>
    </row>
    <row r="6655" ht="15" customHeight="1">
      <c r="C6655">
        <f>IF($B6655="","",INT($B6655))</f>
        <v/>
      </c>
      <c r="D6655">
        <f>IF($C6655="","",$C6655-WEEKDAY($C6655,2)+1)</f>
        <v/>
      </c>
      <c r="E6655">
        <f>IF($C6655="","",DATE(YEAR($C6655),MONTH($C6655),1))</f>
        <v/>
      </c>
      <c r="F6655">
        <f>IF($C6655="","",YEAR($C6655)&amp;"-Q"&amp;ROUNDUP(MONTH($C6655)/3,0))</f>
        <v/>
      </c>
      <c r="L6655">
        <f>IF($G6655&lt;&gt;"ALCOHOL","",IF($K6655="","",$H6655*IFERROR(VLOOKUP($K6655,Drink_Templates!$A:$G,7,FALSE),0)))</f>
        <v/>
      </c>
    </row>
    <row r="6656" ht="15" customHeight="1">
      <c r="C6656">
        <f>IF($B6656="","",INT($B6656))</f>
        <v/>
      </c>
      <c r="D6656">
        <f>IF($C6656="","",$C6656-WEEKDAY($C6656,2)+1)</f>
        <v/>
      </c>
      <c r="E6656">
        <f>IF($C6656="","",DATE(YEAR($C6656),MONTH($C6656),1))</f>
        <v/>
      </c>
      <c r="F6656">
        <f>IF($C6656="","",YEAR($C6656)&amp;"-Q"&amp;ROUNDUP(MONTH($C6656)/3,0))</f>
        <v/>
      </c>
      <c r="L6656">
        <f>IF($G6656&lt;&gt;"ALCOHOL","",IF($K6656="","",$H6656*IFERROR(VLOOKUP($K6656,Drink_Templates!$A:$G,7,FALSE),0)))</f>
        <v/>
      </c>
    </row>
    <row r="6657" ht="15" customHeight="1">
      <c r="C6657">
        <f>IF($B6657="","",INT($B6657))</f>
        <v/>
      </c>
      <c r="D6657">
        <f>IF($C6657="","",$C6657-WEEKDAY($C6657,2)+1)</f>
        <v/>
      </c>
      <c r="E6657">
        <f>IF($C6657="","",DATE(YEAR($C6657),MONTH($C6657),1))</f>
        <v/>
      </c>
      <c r="F6657">
        <f>IF($C6657="","",YEAR($C6657)&amp;"-Q"&amp;ROUNDUP(MONTH($C6657)/3,0))</f>
        <v/>
      </c>
      <c r="L6657">
        <f>IF($G6657&lt;&gt;"ALCOHOL","",IF($K6657="","",$H6657*IFERROR(VLOOKUP($K6657,Drink_Templates!$A:$G,7,FALSE),0)))</f>
        <v/>
      </c>
    </row>
    <row r="6658" ht="15" customHeight="1">
      <c r="C6658">
        <f>IF($B6658="","",INT($B6658))</f>
        <v/>
      </c>
      <c r="D6658">
        <f>IF($C6658="","",$C6658-WEEKDAY($C6658,2)+1)</f>
        <v/>
      </c>
      <c r="E6658">
        <f>IF($C6658="","",DATE(YEAR($C6658),MONTH($C6658),1))</f>
        <v/>
      </c>
      <c r="F6658">
        <f>IF($C6658="","",YEAR($C6658)&amp;"-Q"&amp;ROUNDUP(MONTH($C6658)/3,0))</f>
        <v/>
      </c>
      <c r="L6658">
        <f>IF($G6658&lt;&gt;"ALCOHOL","",IF($K6658="","",$H6658*IFERROR(VLOOKUP($K6658,Drink_Templates!$A:$G,7,FALSE),0)))</f>
        <v/>
      </c>
    </row>
    <row r="6659" ht="15" customHeight="1">
      <c r="C6659">
        <f>IF($B6659="","",INT($B6659))</f>
        <v/>
      </c>
      <c r="D6659">
        <f>IF($C6659="","",$C6659-WEEKDAY($C6659,2)+1)</f>
        <v/>
      </c>
      <c r="E6659">
        <f>IF($C6659="","",DATE(YEAR($C6659),MONTH($C6659),1))</f>
        <v/>
      </c>
      <c r="F6659">
        <f>IF($C6659="","",YEAR($C6659)&amp;"-Q"&amp;ROUNDUP(MONTH($C6659)/3,0))</f>
        <v/>
      </c>
      <c r="L6659">
        <f>IF($G6659&lt;&gt;"ALCOHOL","",IF($K6659="","",$H6659*IFERROR(VLOOKUP($K6659,Drink_Templates!$A:$G,7,FALSE),0)))</f>
        <v/>
      </c>
    </row>
    <row r="6660" ht="15" customHeight="1">
      <c r="C6660">
        <f>IF($B6660="","",INT($B6660))</f>
        <v/>
      </c>
      <c r="D6660">
        <f>IF($C6660="","",$C6660-WEEKDAY($C6660,2)+1)</f>
        <v/>
      </c>
      <c r="E6660">
        <f>IF($C6660="","",DATE(YEAR($C6660),MONTH($C6660),1))</f>
        <v/>
      </c>
      <c r="F6660">
        <f>IF($C6660="","",YEAR($C6660)&amp;"-Q"&amp;ROUNDUP(MONTH($C6660)/3,0))</f>
        <v/>
      </c>
      <c r="L6660">
        <f>IF($G6660&lt;&gt;"ALCOHOL","",IF($K6660="","",$H6660*IFERROR(VLOOKUP($K6660,Drink_Templates!$A:$G,7,FALSE),0)))</f>
        <v/>
      </c>
    </row>
    <row r="6661" ht="15" customHeight="1">
      <c r="C6661">
        <f>IF($B6661="","",INT($B6661))</f>
        <v/>
      </c>
      <c r="D6661">
        <f>IF($C6661="","",$C6661-WEEKDAY($C6661,2)+1)</f>
        <v/>
      </c>
      <c r="E6661">
        <f>IF($C6661="","",DATE(YEAR($C6661),MONTH($C6661),1))</f>
        <v/>
      </c>
      <c r="F6661">
        <f>IF($C6661="","",YEAR($C6661)&amp;"-Q"&amp;ROUNDUP(MONTH($C6661)/3,0))</f>
        <v/>
      </c>
      <c r="L6661">
        <f>IF($G6661&lt;&gt;"ALCOHOL","",IF($K6661="","",$H6661*IFERROR(VLOOKUP($K6661,Drink_Templates!$A:$G,7,FALSE),0)))</f>
        <v/>
      </c>
    </row>
    <row r="6662" ht="15" customHeight="1">
      <c r="C6662">
        <f>IF($B6662="","",INT($B6662))</f>
        <v/>
      </c>
      <c r="D6662">
        <f>IF($C6662="","",$C6662-WEEKDAY($C6662,2)+1)</f>
        <v/>
      </c>
      <c r="E6662">
        <f>IF($C6662="","",DATE(YEAR($C6662),MONTH($C6662),1))</f>
        <v/>
      </c>
      <c r="F6662">
        <f>IF($C6662="","",YEAR($C6662)&amp;"-Q"&amp;ROUNDUP(MONTH($C6662)/3,0))</f>
        <v/>
      </c>
      <c r="L6662">
        <f>IF($G6662&lt;&gt;"ALCOHOL","",IF($K6662="","",$H6662*IFERROR(VLOOKUP($K6662,Drink_Templates!$A:$G,7,FALSE),0)))</f>
        <v/>
      </c>
    </row>
    <row r="6663" ht="15" customHeight="1">
      <c r="C6663">
        <f>IF($B6663="","",INT($B6663))</f>
        <v/>
      </c>
      <c r="D6663">
        <f>IF($C6663="","",$C6663-WEEKDAY($C6663,2)+1)</f>
        <v/>
      </c>
      <c r="E6663">
        <f>IF($C6663="","",DATE(YEAR($C6663),MONTH($C6663),1))</f>
        <v/>
      </c>
      <c r="F6663">
        <f>IF($C6663="","",YEAR($C6663)&amp;"-Q"&amp;ROUNDUP(MONTH($C6663)/3,0))</f>
        <v/>
      </c>
      <c r="L6663">
        <f>IF($G6663&lt;&gt;"ALCOHOL","",IF($K6663="","",$H6663*IFERROR(VLOOKUP($K6663,Drink_Templates!$A:$G,7,FALSE),0)))</f>
        <v/>
      </c>
    </row>
    <row r="6664" ht="15" customHeight="1">
      <c r="C6664">
        <f>IF($B6664="","",INT($B6664))</f>
        <v/>
      </c>
      <c r="D6664">
        <f>IF($C6664="","",$C6664-WEEKDAY($C6664,2)+1)</f>
        <v/>
      </c>
      <c r="E6664">
        <f>IF($C6664="","",DATE(YEAR($C6664),MONTH($C6664),1))</f>
        <v/>
      </c>
      <c r="F6664">
        <f>IF($C6664="","",YEAR($C6664)&amp;"-Q"&amp;ROUNDUP(MONTH($C6664)/3,0))</f>
        <v/>
      </c>
      <c r="L6664">
        <f>IF($G6664&lt;&gt;"ALCOHOL","",IF($K6664="","",$H6664*IFERROR(VLOOKUP($K6664,Drink_Templates!$A:$G,7,FALSE),0)))</f>
        <v/>
      </c>
    </row>
    <row r="6665" ht="15" customHeight="1">
      <c r="C6665">
        <f>IF($B6665="","",INT($B6665))</f>
        <v/>
      </c>
      <c r="D6665">
        <f>IF($C6665="","",$C6665-WEEKDAY($C6665,2)+1)</f>
        <v/>
      </c>
      <c r="E6665">
        <f>IF($C6665="","",DATE(YEAR($C6665),MONTH($C6665),1))</f>
        <v/>
      </c>
      <c r="F6665">
        <f>IF($C6665="","",YEAR($C6665)&amp;"-Q"&amp;ROUNDUP(MONTH($C6665)/3,0))</f>
        <v/>
      </c>
      <c r="L6665">
        <f>IF($G6665&lt;&gt;"ALCOHOL","",IF($K6665="","",$H6665*IFERROR(VLOOKUP($K6665,Drink_Templates!$A:$G,7,FALSE),0)))</f>
        <v/>
      </c>
    </row>
    <row r="6666" ht="15" customHeight="1">
      <c r="C6666">
        <f>IF($B6666="","",INT($B6666))</f>
        <v/>
      </c>
      <c r="D6666">
        <f>IF($C6666="","",$C6666-WEEKDAY($C6666,2)+1)</f>
        <v/>
      </c>
      <c r="E6666">
        <f>IF($C6666="","",DATE(YEAR($C6666),MONTH($C6666),1))</f>
        <v/>
      </c>
      <c r="F6666">
        <f>IF($C6666="","",YEAR($C6666)&amp;"-Q"&amp;ROUNDUP(MONTH($C6666)/3,0))</f>
        <v/>
      </c>
      <c r="L6666">
        <f>IF($G6666&lt;&gt;"ALCOHOL","",IF($K6666="","",$H6666*IFERROR(VLOOKUP($K6666,Drink_Templates!$A:$G,7,FALSE),0)))</f>
        <v/>
      </c>
    </row>
    <row r="6667" ht="15" customHeight="1">
      <c r="C6667">
        <f>IF($B6667="","",INT($B6667))</f>
        <v/>
      </c>
      <c r="D6667">
        <f>IF($C6667="","",$C6667-WEEKDAY($C6667,2)+1)</f>
        <v/>
      </c>
      <c r="E6667">
        <f>IF($C6667="","",DATE(YEAR($C6667),MONTH($C6667),1))</f>
        <v/>
      </c>
      <c r="F6667">
        <f>IF($C6667="","",YEAR($C6667)&amp;"-Q"&amp;ROUNDUP(MONTH($C6667)/3,0))</f>
        <v/>
      </c>
      <c r="L6667">
        <f>IF($G6667&lt;&gt;"ALCOHOL","",IF($K6667="","",$H6667*IFERROR(VLOOKUP($K6667,Drink_Templates!$A:$G,7,FALSE),0)))</f>
        <v/>
      </c>
    </row>
    <row r="6668" ht="15" customHeight="1">
      <c r="C6668">
        <f>IF($B6668="","",INT($B6668))</f>
        <v/>
      </c>
      <c r="D6668">
        <f>IF($C6668="","",$C6668-WEEKDAY($C6668,2)+1)</f>
        <v/>
      </c>
      <c r="E6668">
        <f>IF($C6668="","",DATE(YEAR($C6668),MONTH($C6668),1))</f>
        <v/>
      </c>
      <c r="F6668">
        <f>IF($C6668="","",YEAR($C6668)&amp;"-Q"&amp;ROUNDUP(MONTH($C6668)/3,0))</f>
        <v/>
      </c>
      <c r="L6668">
        <f>IF($G6668&lt;&gt;"ALCOHOL","",IF($K6668="","",$H6668*IFERROR(VLOOKUP($K6668,Drink_Templates!$A:$G,7,FALSE),0)))</f>
        <v/>
      </c>
    </row>
    <row r="6669" ht="15" customHeight="1">
      <c r="C6669">
        <f>IF($B6669="","",INT($B6669))</f>
        <v/>
      </c>
      <c r="D6669">
        <f>IF($C6669="","",$C6669-WEEKDAY($C6669,2)+1)</f>
        <v/>
      </c>
      <c r="E6669">
        <f>IF($C6669="","",DATE(YEAR($C6669),MONTH($C6669),1))</f>
        <v/>
      </c>
      <c r="F6669">
        <f>IF($C6669="","",YEAR($C6669)&amp;"-Q"&amp;ROUNDUP(MONTH($C6669)/3,0))</f>
        <v/>
      </c>
      <c r="L6669">
        <f>IF($G6669&lt;&gt;"ALCOHOL","",IF($K6669="","",$H6669*IFERROR(VLOOKUP($K6669,Drink_Templates!$A:$G,7,FALSE),0)))</f>
        <v/>
      </c>
    </row>
    <row r="6670" ht="15" customHeight="1">
      <c r="C6670">
        <f>IF($B6670="","",INT($B6670))</f>
        <v/>
      </c>
      <c r="D6670">
        <f>IF($C6670="","",$C6670-WEEKDAY($C6670,2)+1)</f>
        <v/>
      </c>
      <c r="E6670">
        <f>IF($C6670="","",DATE(YEAR($C6670),MONTH($C6670),1))</f>
        <v/>
      </c>
      <c r="F6670">
        <f>IF($C6670="","",YEAR($C6670)&amp;"-Q"&amp;ROUNDUP(MONTH($C6670)/3,0))</f>
        <v/>
      </c>
      <c r="L6670">
        <f>IF($G6670&lt;&gt;"ALCOHOL","",IF($K6670="","",$H6670*IFERROR(VLOOKUP($K6670,Drink_Templates!$A:$G,7,FALSE),0)))</f>
        <v/>
      </c>
    </row>
    <row r="6671" ht="15" customHeight="1">
      <c r="C6671">
        <f>IF($B6671="","",INT($B6671))</f>
        <v/>
      </c>
      <c r="D6671">
        <f>IF($C6671="","",$C6671-WEEKDAY($C6671,2)+1)</f>
        <v/>
      </c>
      <c r="E6671">
        <f>IF($C6671="","",DATE(YEAR($C6671),MONTH($C6671),1))</f>
        <v/>
      </c>
      <c r="F6671">
        <f>IF($C6671="","",YEAR($C6671)&amp;"-Q"&amp;ROUNDUP(MONTH($C6671)/3,0))</f>
        <v/>
      </c>
      <c r="L6671">
        <f>IF($G6671&lt;&gt;"ALCOHOL","",IF($K6671="","",$H6671*IFERROR(VLOOKUP($K6671,Drink_Templates!$A:$G,7,FALSE),0)))</f>
        <v/>
      </c>
    </row>
    <row r="6672" ht="15" customHeight="1">
      <c r="C6672">
        <f>IF($B6672="","",INT($B6672))</f>
        <v/>
      </c>
      <c r="D6672">
        <f>IF($C6672="","",$C6672-WEEKDAY($C6672,2)+1)</f>
        <v/>
      </c>
      <c r="E6672">
        <f>IF($C6672="","",DATE(YEAR($C6672),MONTH($C6672),1))</f>
        <v/>
      </c>
      <c r="F6672">
        <f>IF($C6672="","",YEAR($C6672)&amp;"-Q"&amp;ROUNDUP(MONTH($C6672)/3,0))</f>
        <v/>
      </c>
      <c r="L6672">
        <f>IF($G6672&lt;&gt;"ALCOHOL","",IF($K6672="","",$H6672*IFERROR(VLOOKUP($K6672,Drink_Templates!$A:$G,7,FALSE),0)))</f>
        <v/>
      </c>
    </row>
    <row r="6673" ht="15" customHeight="1">
      <c r="C6673">
        <f>IF($B6673="","",INT($B6673))</f>
        <v/>
      </c>
      <c r="D6673">
        <f>IF($C6673="","",$C6673-WEEKDAY($C6673,2)+1)</f>
        <v/>
      </c>
      <c r="E6673">
        <f>IF($C6673="","",DATE(YEAR($C6673),MONTH($C6673),1))</f>
        <v/>
      </c>
      <c r="F6673">
        <f>IF($C6673="","",YEAR($C6673)&amp;"-Q"&amp;ROUNDUP(MONTH($C6673)/3,0))</f>
        <v/>
      </c>
      <c r="L6673">
        <f>IF($G6673&lt;&gt;"ALCOHOL","",IF($K6673="","",$H6673*IFERROR(VLOOKUP($K6673,Drink_Templates!$A:$G,7,FALSE),0)))</f>
        <v/>
      </c>
    </row>
    <row r="6674" ht="15" customHeight="1">
      <c r="C6674">
        <f>IF($B6674="","",INT($B6674))</f>
        <v/>
      </c>
      <c r="D6674">
        <f>IF($C6674="","",$C6674-WEEKDAY($C6674,2)+1)</f>
        <v/>
      </c>
      <c r="E6674">
        <f>IF($C6674="","",DATE(YEAR($C6674),MONTH($C6674),1))</f>
        <v/>
      </c>
      <c r="F6674">
        <f>IF($C6674="","",YEAR($C6674)&amp;"-Q"&amp;ROUNDUP(MONTH($C6674)/3,0))</f>
        <v/>
      </c>
      <c r="L6674">
        <f>IF($G6674&lt;&gt;"ALCOHOL","",IF($K6674="","",$H6674*IFERROR(VLOOKUP($K6674,Drink_Templates!$A:$G,7,FALSE),0)))</f>
        <v/>
      </c>
    </row>
    <row r="6675" ht="15" customHeight="1">
      <c r="C6675">
        <f>IF($B6675="","",INT($B6675))</f>
        <v/>
      </c>
      <c r="D6675">
        <f>IF($C6675="","",$C6675-WEEKDAY($C6675,2)+1)</f>
        <v/>
      </c>
      <c r="E6675">
        <f>IF($C6675="","",DATE(YEAR($C6675),MONTH($C6675),1))</f>
        <v/>
      </c>
      <c r="F6675">
        <f>IF($C6675="","",YEAR($C6675)&amp;"-Q"&amp;ROUNDUP(MONTH($C6675)/3,0))</f>
        <v/>
      </c>
      <c r="L6675">
        <f>IF($G6675&lt;&gt;"ALCOHOL","",IF($K6675="","",$H6675*IFERROR(VLOOKUP($K6675,Drink_Templates!$A:$G,7,FALSE),0)))</f>
        <v/>
      </c>
    </row>
    <row r="6676" ht="15" customHeight="1">
      <c r="C6676">
        <f>IF($B6676="","",INT($B6676))</f>
        <v/>
      </c>
      <c r="D6676">
        <f>IF($C6676="","",$C6676-WEEKDAY($C6676,2)+1)</f>
        <v/>
      </c>
      <c r="E6676">
        <f>IF($C6676="","",DATE(YEAR($C6676),MONTH($C6676),1))</f>
        <v/>
      </c>
      <c r="F6676">
        <f>IF($C6676="","",YEAR($C6676)&amp;"-Q"&amp;ROUNDUP(MONTH($C6676)/3,0))</f>
        <v/>
      </c>
      <c r="L6676">
        <f>IF($G6676&lt;&gt;"ALCOHOL","",IF($K6676="","",$H6676*IFERROR(VLOOKUP($K6676,Drink_Templates!$A:$G,7,FALSE),0)))</f>
        <v/>
      </c>
    </row>
    <row r="6677" ht="15" customHeight="1">
      <c r="C6677">
        <f>IF($B6677="","",INT($B6677))</f>
        <v/>
      </c>
      <c r="D6677">
        <f>IF($C6677="","",$C6677-WEEKDAY($C6677,2)+1)</f>
        <v/>
      </c>
      <c r="E6677">
        <f>IF($C6677="","",DATE(YEAR($C6677),MONTH($C6677),1))</f>
        <v/>
      </c>
      <c r="F6677">
        <f>IF($C6677="","",YEAR($C6677)&amp;"-Q"&amp;ROUNDUP(MONTH($C6677)/3,0))</f>
        <v/>
      </c>
      <c r="L6677">
        <f>IF($G6677&lt;&gt;"ALCOHOL","",IF($K6677="","",$H6677*IFERROR(VLOOKUP($K6677,Drink_Templates!$A:$G,7,FALSE),0)))</f>
        <v/>
      </c>
    </row>
    <row r="6678" ht="15" customHeight="1">
      <c r="C6678">
        <f>IF($B6678="","",INT($B6678))</f>
        <v/>
      </c>
      <c r="D6678">
        <f>IF($C6678="","",$C6678-WEEKDAY($C6678,2)+1)</f>
        <v/>
      </c>
      <c r="E6678">
        <f>IF($C6678="","",DATE(YEAR($C6678),MONTH($C6678),1))</f>
        <v/>
      </c>
      <c r="F6678">
        <f>IF($C6678="","",YEAR($C6678)&amp;"-Q"&amp;ROUNDUP(MONTH($C6678)/3,0))</f>
        <v/>
      </c>
      <c r="L6678">
        <f>IF($G6678&lt;&gt;"ALCOHOL","",IF($K6678="","",$H6678*IFERROR(VLOOKUP($K6678,Drink_Templates!$A:$G,7,FALSE),0)))</f>
        <v/>
      </c>
    </row>
    <row r="6679" ht="15" customHeight="1">
      <c r="C6679">
        <f>IF($B6679="","",INT($B6679))</f>
        <v/>
      </c>
      <c r="D6679">
        <f>IF($C6679="","",$C6679-WEEKDAY($C6679,2)+1)</f>
        <v/>
      </c>
      <c r="E6679">
        <f>IF($C6679="","",DATE(YEAR($C6679),MONTH($C6679),1))</f>
        <v/>
      </c>
      <c r="F6679">
        <f>IF($C6679="","",YEAR($C6679)&amp;"-Q"&amp;ROUNDUP(MONTH($C6679)/3,0))</f>
        <v/>
      </c>
      <c r="L6679">
        <f>IF($G6679&lt;&gt;"ALCOHOL","",IF($K6679="","",$H6679*IFERROR(VLOOKUP($K6679,Drink_Templates!$A:$G,7,FALSE),0)))</f>
        <v/>
      </c>
    </row>
    <row r="6680" ht="15" customHeight="1">
      <c r="C6680">
        <f>IF($B6680="","",INT($B6680))</f>
        <v/>
      </c>
      <c r="D6680">
        <f>IF($C6680="","",$C6680-WEEKDAY($C6680,2)+1)</f>
        <v/>
      </c>
      <c r="E6680">
        <f>IF($C6680="","",DATE(YEAR($C6680),MONTH($C6680),1))</f>
        <v/>
      </c>
      <c r="F6680">
        <f>IF($C6680="","",YEAR($C6680)&amp;"-Q"&amp;ROUNDUP(MONTH($C6680)/3,0))</f>
        <v/>
      </c>
      <c r="L6680">
        <f>IF($G6680&lt;&gt;"ALCOHOL","",IF($K6680="","",$H6680*IFERROR(VLOOKUP($K6680,Drink_Templates!$A:$G,7,FALSE),0)))</f>
        <v/>
      </c>
    </row>
    <row r="6681" ht="15" customHeight="1">
      <c r="C6681">
        <f>IF($B6681="","",INT($B6681))</f>
        <v/>
      </c>
      <c r="D6681">
        <f>IF($C6681="","",$C6681-WEEKDAY($C6681,2)+1)</f>
        <v/>
      </c>
      <c r="E6681">
        <f>IF($C6681="","",DATE(YEAR($C6681),MONTH($C6681),1))</f>
        <v/>
      </c>
      <c r="F6681">
        <f>IF($C6681="","",YEAR($C6681)&amp;"-Q"&amp;ROUNDUP(MONTH($C6681)/3,0))</f>
        <v/>
      </c>
      <c r="L6681">
        <f>IF($G6681&lt;&gt;"ALCOHOL","",IF($K6681="","",$H6681*IFERROR(VLOOKUP($K6681,Drink_Templates!$A:$G,7,FALSE),0)))</f>
        <v/>
      </c>
    </row>
    <row r="6682" ht="15" customHeight="1">
      <c r="C6682">
        <f>IF($B6682="","",INT($B6682))</f>
        <v/>
      </c>
      <c r="D6682">
        <f>IF($C6682="","",$C6682-WEEKDAY($C6682,2)+1)</f>
        <v/>
      </c>
      <c r="E6682">
        <f>IF($C6682="","",DATE(YEAR($C6682),MONTH($C6682),1))</f>
        <v/>
      </c>
      <c r="F6682">
        <f>IF($C6682="","",YEAR($C6682)&amp;"-Q"&amp;ROUNDUP(MONTH($C6682)/3,0))</f>
        <v/>
      </c>
      <c r="L6682">
        <f>IF($G6682&lt;&gt;"ALCOHOL","",IF($K6682="","",$H6682*IFERROR(VLOOKUP($K6682,Drink_Templates!$A:$G,7,FALSE),0)))</f>
        <v/>
      </c>
    </row>
    <row r="6683" ht="15" customHeight="1">
      <c r="C6683">
        <f>IF($B6683="","",INT($B6683))</f>
        <v/>
      </c>
      <c r="D6683">
        <f>IF($C6683="","",$C6683-WEEKDAY($C6683,2)+1)</f>
        <v/>
      </c>
      <c r="E6683">
        <f>IF($C6683="","",DATE(YEAR($C6683),MONTH($C6683),1))</f>
        <v/>
      </c>
      <c r="F6683">
        <f>IF($C6683="","",YEAR($C6683)&amp;"-Q"&amp;ROUNDUP(MONTH($C6683)/3,0))</f>
        <v/>
      </c>
      <c r="L6683">
        <f>IF($G6683&lt;&gt;"ALCOHOL","",IF($K6683="","",$H6683*IFERROR(VLOOKUP($K6683,Drink_Templates!$A:$G,7,FALSE),0)))</f>
        <v/>
      </c>
    </row>
    <row r="6684" ht="15" customHeight="1">
      <c r="C6684">
        <f>IF($B6684="","",INT($B6684))</f>
        <v/>
      </c>
      <c r="D6684">
        <f>IF($C6684="","",$C6684-WEEKDAY($C6684,2)+1)</f>
        <v/>
      </c>
      <c r="E6684">
        <f>IF($C6684="","",DATE(YEAR($C6684),MONTH($C6684),1))</f>
        <v/>
      </c>
      <c r="F6684">
        <f>IF($C6684="","",YEAR($C6684)&amp;"-Q"&amp;ROUNDUP(MONTH($C6684)/3,0))</f>
        <v/>
      </c>
      <c r="L6684">
        <f>IF($G6684&lt;&gt;"ALCOHOL","",IF($K6684="","",$H6684*IFERROR(VLOOKUP($K6684,Drink_Templates!$A:$G,7,FALSE),0)))</f>
        <v/>
      </c>
    </row>
    <row r="6685" ht="15" customHeight="1">
      <c r="C6685">
        <f>IF($B6685="","",INT($B6685))</f>
        <v/>
      </c>
      <c r="D6685">
        <f>IF($C6685="","",$C6685-WEEKDAY($C6685,2)+1)</f>
        <v/>
      </c>
      <c r="E6685">
        <f>IF($C6685="","",DATE(YEAR($C6685),MONTH($C6685),1))</f>
        <v/>
      </c>
      <c r="F6685">
        <f>IF($C6685="","",YEAR($C6685)&amp;"-Q"&amp;ROUNDUP(MONTH($C6685)/3,0))</f>
        <v/>
      </c>
      <c r="L6685">
        <f>IF($G6685&lt;&gt;"ALCOHOL","",IF($K6685="","",$H6685*IFERROR(VLOOKUP($K6685,Drink_Templates!$A:$G,7,FALSE),0)))</f>
        <v/>
      </c>
    </row>
    <row r="6686" ht="15" customHeight="1">
      <c r="C6686">
        <f>IF($B6686="","",INT($B6686))</f>
        <v/>
      </c>
      <c r="D6686">
        <f>IF($C6686="","",$C6686-WEEKDAY($C6686,2)+1)</f>
        <v/>
      </c>
      <c r="E6686">
        <f>IF($C6686="","",DATE(YEAR($C6686),MONTH($C6686),1))</f>
        <v/>
      </c>
      <c r="F6686">
        <f>IF($C6686="","",YEAR($C6686)&amp;"-Q"&amp;ROUNDUP(MONTH($C6686)/3,0))</f>
        <v/>
      </c>
      <c r="L6686">
        <f>IF($G6686&lt;&gt;"ALCOHOL","",IF($K6686="","",$H6686*IFERROR(VLOOKUP($K6686,Drink_Templates!$A:$G,7,FALSE),0)))</f>
        <v/>
      </c>
    </row>
    <row r="6687" ht="15" customHeight="1">
      <c r="C6687">
        <f>IF($B6687="","",INT($B6687))</f>
        <v/>
      </c>
      <c r="D6687">
        <f>IF($C6687="","",$C6687-WEEKDAY($C6687,2)+1)</f>
        <v/>
      </c>
      <c r="E6687">
        <f>IF($C6687="","",DATE(YEAR($C6687),MONTH($C6687),1))</f>
        <v/>
      </c>
      <c r="F6687">
        <f>IF($C6687="","",YEAR($C6687)&amp;"-Q"&amp;ROUNDUP(MONTH($C6687)/3,0))</f>
        <v/>
      </c>
      <c r="L6687">
        <f>IF($G6687&lt;&gt;"ALCOHOL","",IF($K6687="","",$H6687*IFERROR(VLOOKUP($K6687,Drink_Templates!$A:$G,7,FALSE),0)))</f>
        <v/>
      </c>
    </row>
    <row r="6688" ht="15" customHeight="1">
      <c r="C6688">
        <f>IF($B6688="","",INT($B6688))</f>
        <v/>
      </c>
      <c r="D6688">
        <f>IF($C6688="","",$C6688-WEEKDAY($C6688,2)+1)</f>
        <v/>
      </c>
      <c r="E6688">
        <f>IF($C6688="","",DATE(YEAR($C6688),MONTH($C6688),1))</f>
        <v/>
      </c>
      <c r="F6688">
        <f>IF($C6688="","",YEAR($C6688)&amp;"-Q"&amp;ROUNDUP(MONTH($C6688)/3,0))</f>
        <v/>
      </c>
      <c r="L6688">
        <f>IF($G6688&lt;&gt;"ALCOHOL","",IF($K6688="","",$H6688*IFERROR(VLOOKUP($K6688,Drink_Templates!$A:$G,7,FALSE),0)))</f>
        <v/>
      </c>
    </row>
    <row r="6689" ht="15" customHeight="1">
      <c r="C6689">
        <f>IF($B6689="","",INT($B6689))</f>
        <v/>
      </c>
      <c r="D6689">
        <f>IF($C6689="","",$C6689-WEEKDAY($C6689,2)+1)</f>
        <v/>
      </c>
      <c r="E6689">
        <f>IF($C6689="","",DATE(YEAR($C6689),MONTH($C6689),1))</f>
        <v/>
      </c>
      <c r="F6689">
        <f>IF($C6689="","",YEAR($C6689)&amp;"-Q"&amp;ROUNDUP(MONTH($C6689)/3,0))</f>
        <v/>
      </c>
      <c r="L6689">
        <f>IF($G6689&lt;&gt;"ALCOHOL","",IF($K6689="","",$H6689*IFERROR(VLOOKUP($K6689,Drink_Templates!$A:$G,7,FALSE),0)))</f>
        <v/>
      </c>
    </row>
    <row r="6690" ht="15" customHeight="1">
      <c r="C6690">
        <f>IF($B6690="","",INT($B6690))</f>
        <v/>
      </c>
      <c r="D6690">
        <f>IF($C6690="","",$C6690-WEEKDAY($C6690,2)+1)</f>
        <v/>
      </c>
      <c r="E6690">
        <f>IF($C6690="","",DATE(YEAR($C6690),MONTH($C6690),1))</f>
        <v/>
      </c>
      <c r="F6690">
        <f>IF($C6690="","",YEAR($C6690)&amp;"-Q"&amp;ROUNDUP(MONTH($C6690)/3,0))</f>
        <v/>
      </c>
      <c r="L6690">
        <f>IF($G6690&lt;&gt;"ALCOHOL","",IF($K6690="","",$H6690*IFERROR(VLOOKUP($K6690,Drink_Templates!$A:$G,7,FALSE),0)))</f>
        <v/>
      </c>
    </row>
    <row r="6691" ht="15" customHeight="1">
      <c r="C6691">
        <f>IF($B6691="","",INT($B6691))</f>
        <v/>
      </c>
      <c r="D6691">
        <f>IF($C6691="","",$C6691-WEEKDAY($C6691,2)+1)</f>
        <v/>
      </c>
      <c r="E6691">
        <f>IF($C6691="","",DATE(YEAR($C6691),MONTH($C6691),1))</f>
        <v/>
      </c>
      <c r="F6691">
        <f>IF($C6691="","",YEAR($C6691)&amp;"-Q"&amp;ROUNDUP(MONTH($C6691)/3,0))</f>
        <v/>
      </c>
      <c r="L6691">
        <f>IF($G6691&lt;&gt;"ALCOHOL","",IF($K6691="","",$H6691*IFERROR(VLOOKUP($K6691,Drink_Templates!$A:$G,7,FALSE),0)))</f>
        <v/>
      </c>
    </row>
    <row r="6692" ht="15" customHeight="1">
      <c r="C6692">
        <f>IF($B6692="","",INT($B6692))</f>
        <v/>
      </c>
      <c r="D6692">
        <f>IF($C6692="","",$C6692-WEEKDAY($C6692,2)+1)</f>
        <v/>
      </c>
      <c r="E6692">
        <f>IF($C6692="","",DATE(YEAR($C6692),MONTH($C6692),1))</f>
        <v/>
      </c>
      <c r="F6692">
        <f>IF($C6692="","",YEAR($C6692)&amp;"-Q"&amp;ROUNDUP(MONTH($C6692)/3,0))</f>
        <v/>
      </c>
      <c r="L6692">
        <f>IF($G6692&lt;&gt;"ALCOHOL","",IF($K6692="","",$H6692*IFERROR(VLOOKUP($K6692,Drink_Templates!$A:$G,7,FALSE),0)))</f>
        <v/>
      </c>
    </row>
    <row r="6693" ht="15" customHeight="1">
      <c r="C6693">
        <f>IF($B6693="","",INT($B6693))</f>
        <v/>
      </c>
      <c r="D6693">
        <f>IF($C6693="","",$C6693-WEEKDAY($C6693,2)+1)</f>
        <v/>
      </c>
      <c r="E6693">
        <f>IF($C6693="","",DATE(YEAR($C6693),MONTH($C6693),1))</f>
        <v/>
      </c>
      <c r="F6693">
        <f>IF($C6693="","",YEAR($C6693)&amp;"-Q"&amp;ROUNDUP(MONTH($C6693)/3,0))</f>
        <v/>
      </c>
      <c r="L6693">
        <f>IF($G6693&lt;&gt;"ALCOHOL","",IF($K6693="","",$H6693*IFERROR(VLOOKUP($K6693,Drink_Templates!$A:$G,7,FALSE),0)))</f>
        <v/>
      </c>
    </row>
    <row r="6694" ht="15" customHeight="1">
      <c r="C6694">
        <f>IF($B6694="","",INT($B6694))</f>
        <v/>
      </c>
      <c r="D6694">
        <f>IF($C6694="","",$C6694-WEEKDAY($C6694,2)+1)</f>
        <v/>
      </c>
      <c r="E6694">
        <f>IF($C6694="","",DATE(YEAR($C6694),MONTH($C6694),1))</f>
        <v/>
      </c>
      <c r="F6694">
        <f>IF($C6694="","",YEAR($C6694)&amp;"-Q"&amp;ROUNDUP(MONTH($C6694)/3,0))</f>
        <v/>
      </c>
      <c r="L6694">
        <f>IF($G6694&lt;&gt;"ALCOHOL","",IF($K6694="","",$H6694*IFERROR(VLOOKUP($K6694,Drink_Templates!$A:$G,7,FALSE),0)))</f>
        <v/>
      </c>
    </row>
    <row r="6695" ht="15" customHeight="1">
      <c r="C6695">
        <f>IF($B6695="","",INT($B6695))</f>
        <v/>
      </c>
      <c r="D6695">
        <f>IF($C6695="","",$C6695-WEEKDAY($C6695,2)+1)</f>
        <v/>
      </c>
      <c r="E6695">
        <f>IF($C6695="","",DATE(YEAR($C6695),MONTH($C6695),1))</f>
        <v/>
      </c>
      <c r="F6695">
        <f>IF($C6695="","",YEAR($C6695)&amp;"-Q"&amp;ROUNDUP(MONTH($C6695)/3,0))</f>
        <v/>
      </c>
      <c r="L6695">
        <f>IF($G6695&lt;&gt;"ALCOHOL","",IF($K6695="","",$H6695*IFERROR(VLOOKUP($K6695,Drink_Templates!$A:$G,7,FALSE),0)))</f>
        <v/>
      </c>
    </row>
    <row r="6696" ht="15" customHeight="1">
      <c r="C6696">
        <f>IF($B6696="","",INT($B6696))</f>
        <v/>
      </c>
      <c r="D6696">
        <f>IF($C6696="","",$C6696-WEEKDAY($C6696,2)+1)</f>
        <v/>
      </c>
      <c r="E6696">
        <f>IF($C6696="","",DATE(YEAR($C6696),MONTH($C6696),1))</f>
        <v/>
      </c>
      <c r="F6696">
        <f>IF($C6696="","",YEAR($C6696)&amp;"-Q"&amp;ROUNDUP(MONTH($C6696)/3,0))</f>
        <v/>
      </c>
      <c r="L6696">
        <f>IF($G6696&lt;&gt;"ALCOHOL","",IF($K6696="","",$H6696*IFERROR(VLOOKUP($K6696,Drink_Templates!$A:$G,7,FALSE),0)))</f>
        <v/>
      </c>
    </row>
    <row r="6697" ht="15" customHeight="1">
      <c r="C6697">
        <f>IF($B6697="","",INT($B6697))</f>
        <v/>
      </c>
      <c r="D6697">
        <f>IF($C6697="","",$C6697-WEEKDAY($C6697,2)+1)</f>
        <v/>
      </c>
      <c r="E6697">
        <f>IF($C6697="","",DATE(YEAR($C6697),MONTH($C6697),1))</f>
        <v/>
      </c>
      <c r="F6697">
        <f>IF($C6697="","",YEAR($C6697)&amp;"-Q"&amp;ROUNDUP(MONTH($C6697)/3,0))</f>
        <v/>
      </c>
      <c r="L6697">
        <f>IF($G6697&lt;&gt;"ALCOHOL","",IF($K6697="","",$H6697*IFERROR(VLOOKUP($K6697,Drink_Templates!$A:$G,7,FALSE),0)))</f>
        <v/>
      </c>
    </row>
    <row r="6698" ht="15" customHeight="1">
      <c r="C6698">
        <f>IF($B6698="","",INT($B6698))</f>
        <v/>
      </c>
      <c r="D6698">
        <f>IF($C6698="","",$C6698-WEEKDAY($C6698,2)+1)</f>
        <v/>
      </c>
      <c r="E6698">
        <f>IF($C6698="","",DATE(YEAR($C6698),MONTH($C6698),1))</f>
        <v/>
      </c>
      <c r="F6698">
        <f>IF($C6698="","",YEAR($C6698)&amp;"-Q"&amp;ROUNDUP(MONTH($C6698)/3,0))</f>
        <v/>
      </c>
      <c r="L6698">
        <f>IF($G6698&lt;&gt;"ALCOHOL","",IF($K6698="","",$H6698*IFERROR(VLOOKUP($K6698,Drink_Templates!$A:$G,7,FALSE),0)))</f>
        <v/>
      </c>
    </row>
    <row r="6699" ht="15" customHeight="1">
      <c r="C6699">
        <f>IF($B6699="","",INT($B6699))</f>
        <v/>
      </c>
      <c r="D6699">
        <f>IF($C6699="","",$C6699-WEEKDAY($C6699,2)+1)</f>
        <v/>
      </c>
      <c r="E6699">
        <f>IF($C6699="","",DATE(YEAR($C6699),MONTH($C6699),1))</f>
        <v/>
      </c>
      <c r="F6699">
        <f>IF($C6699="","",YEAR($C6699)&amp;"-Q"&amp;ROUNDUP(MONTH($C6699)/3,0))</f>
        <v/>
      </c>
      <c r="L6699">
        <f>IF($G6699&lt;&gt;"ALCOHOL","",IF($K6699="","",$H6699*IFERROR(VLOOKUP($K6699,Drink_Templates!$A:$G,7,FALSE),0)))</f>
        <v/>
      </c>
    </row>
    <row r="6700" ht="15" customHeight="1">
      <c r="C6700">
        <f>IF($B6700="","",INT($B6700))</f>
        <v/>
      </c>
      <c r="D6700">
        <f>IF($C6700="","",$C6700-WEEKDAY($C6700,2)+1)</f>
        <v/>
      </c>
      <c r="E6700">
        <f>IF($C6700="","",DATE(YEAR($C6700),MONTH($C6700),1))</f>
        <v/>
      </c>
      <c r="F6700">
        <f>IF($C6700="","",YEAR($C6700)&amp;"-Q"&amp;ROUNDUP(MONTH($C6700)/3,0))</f>
        <v/>
      </c>
      <c r="L6700">
        <f>IF($G6700&lt;&gt;"ALCOHOL","",IF($K6700="","",$H6700*IFERROR(VLOOKUP($K6700,Drink_Templates!$A:$G,7,FALSE),0)))</f>
        <v/>
      </c>
    </row>
    <row r="6701" ht="15" customHeight="1">
      <c r="C6701">
        <f>IF($B6701="","",INT($B6701))</f>
        <v/>
      </c>
      <c r="D6701">
        <f>IF($C6701="","",$C6701-WEEKDAY($C6701,2)+1)</f>
        <v/>
      </c>
      <c r="E6701">
        <f>IF($C6701="","",DATE(YEAR($C6701),MONTH($C6701),1))</f>
        <v/>
      </c>
      <c r="F6701">
        <f>IF($C6701="","",YEAR($C6701)&amp;"-Q"&amp;ROUNDUP(MONTH($C6701)/3,0))</f>
        <v/>
      </c>
      <c r="L6701">
        <f>IF($G6701&lt;&gt;"ALCOHOL","",IF($K6701="","",$H6701*IFERROR(VLOOKUP($K6701,Drink_Templates!$A:$G,7,FALSE),0)))</f>
        <v/>
      </c>
    </row>
    <row r="6702" ht="15" customHeight="1">
      <c r="C6702">
        <f>IF($B6702="","",INT($B6702))</f>
        <v/>
      </c>
      <c r="D6702">
        <f>IF($C6702="","",$C6702-WEEKDAY($C6702,2)+1)</f>
        <v/>
      </c>
      <c r="E6702">
        <f>IF($C6702="","",DATE(YEAR($C6702),MONTH($C6702),1))</f>
        <v/>
      </c>
      <c r="F6702">
        <f>IF($C6702="","",YEAR($C6702)&amp;"-Q"&amp;ROUNDUP(MONTH($C6702)/3,0))</f>
        <v/>
      </c>
      <c r="L6702">
        <f>IF($G6702&lt;&gt;"ALCOHOL","",IF($K6702="","",$H6702*IFERROR(VLOOKUP($K6702,Drink_Templates!$A:$G,7,FALSE),0)))</f>
        <v/>
      </c>
    </row>
    <row r="6703" ht="15" customHeight="1">
      <c r="C6703">
        <f>IF($B6703="","",INT($B6703))</f>
        <v/>
      </c>
      <c r="D6703">
        <f>IF($C6703="","",$C6703-WEEKDAY($C6703,2)+1)</f>
        <v/>
      </c>
      <c r="E6703">
        <f>IF($C6703="","",DATE(YEAR($C6703),MONTH($C6703),1))</f>
        <v/>
      </c>
      <c r="F6703">
        <f>IF($C6703="","",YEAR($C6703)&amp;"-Q"&amp;ROUNDUP(MONTH($C6703)/3,0))</f>
        <v/>
      </c>
      <c r="L6703">
        <f>IF($G6703&lt;&gt;"ALCOHOL","",IF($K6703="","",$H6703*IFERROR(VLOOKUP($K6703,Drink_Templates!$A:$G,7,FALSE),0)))</f>
        <v/>
      </c>
    </row>
    <row r="6704" ht="15" customHeight="1">
      <c r="C6704">
        <f>IF($B6704="","",INT($B6704))</f>
        <v/>
      </c>
      <c r="D6704">
        <f>IF($C6704="","",$C6704-WEEKDAY($C6704,2)+1)</f>
        <v/>
      </c>
      <c r="E6704">
        <f>IF($C6704="","",DATE(YEAR($C6704),MONTH($C6704),1))</f>
        <v/>
      </c>
      <c r="F6704">
        <f>IF($C6704="","",YEAR($C6704)&amp;"-Q"&amp;ROUNDUP(MONTH($C6704)/3,0))</f>
        <v/>
      </c>
      <c r="L6704">
        <f>IF($G6704&lt;&gt;"ALCOHOL","",IF($K6704="","",$H6704*IFERROR(VLOOKUP($K6704,Drink_Templates!$A:$G,7,FALSE),0)))</f>
        <v/>
      </c>
    </row>
    <row r="6705" ht="15" customHeight="1">
      <c r="C6705">
        <f>IF($B6705="","",INT($B6705))</f>
        <v/>
      </c>
      <c r="D6705">
        <f>IF($C6705="","",$C6705-WEEKDAY($C6705,2)+1)</f>
        <v/>
      </c>
      <c r="E6705">
        <f>IF($C6705="","",DATE(YEAR($C6705),MONTH($C6705),1))</f>
        <v/>
      </c>
      <c r="F6705">
        <f>IF($C6705="","",YEAR($C6705)&amp;"-Q"&amp;ROUNDUP(MONTH($C6705)/3,0))</f>
        <v/>
      </c>
      <c r="L6705">
        <f>IF($G6705&lt;&gt;"ALCOHOL","",IF($K6705="","",$H6705*IFERROR(VLOOKUP($K6705,Drink_Templates!$A:$G,7,FALSE),0)))</f>
        <v/>
      </c>
    </row>
    <row r="6706" ht="15" customHeight="1">
      <c r="C6706">
        <f>IF($B6706="","",INT($B6706))</f>
        <v/>
      </c>
      <c r="D6706">
        <f>IF($C6706="","",$C6706-WEEKDAY($C6706,2)+1)</f>
        <v/>
      </c>
      <c r="E6706">
        <f>IF($C6706="","",DATE(YEAR($C6706),MONTH($C6706),1))</f>
        <v/>
      </c>
      <c r="F6706">
        <f>IF($C6706="","",YEAR($C6706)&amp;"-Q"&amp;ROUNDUP(MONTH($C6706)/3,0))</f>
        <v/>
      </c>
      <c r="L6706">
        <f>IF($G6706&lt;&gt;"ALCOHOL","",IF($K6706="","",$H6706*IFERROR(VLOOKUP($K6706,Drink_Templates!$A:$G,7,FALSE),0)))</f>
        <v/>
      </c>
    </row>
    <row r="6707" ht="15" customHeight="1">
      <c r="C6707">
        <f>IF($B6707="","",INT($B6707))</f>
        <v/>
      </c>
      <c r="D6707">
        <f>IF($C6707="","",$C6707-WEEKDAY($C6707,2)+1)</f>
        <v/>
      </c>
      <c r="E6707">
        <f>IF($C6707="","",DATE(YEAR($C6707),MONTH($C6707),1))</f>
        <v/>
      </c>
      <c r="F6707">
        <f>IF($C6707="","",YEAR($C6707)&amp;"-Q"&amp;ROUNDUP(MONTH($C6707)/3,0))</f>
        <v/>
      </c>
      <c r="L6707">
        <f>IF($G6707&lt;&gt;"ALCOHOL","",IF($K6707="","",$H6707*IFERROR(VLOOKUP($K6707,Drink_Templates!$A:$G,7,FALSE),0)))</f>
        <v/>
      </c>
    </row>
    <row r="6708" ht="15" customHeight="1">
      <c r="C6708">
        <f>IF($B6708="","",INT($B6708))</f>
        <v/>
      </c>
      <c r="D6708">
        <f>IF($C6708="","",$C6708-WEEKDAY($C6708,2)+1)</f>
        <v/>
      </c>
      <c r="E6708">
        <f>IF($C6708="","",DATE(YEAR($C6708),MONTH($C6708),1))</f>
        <v/>
      </c>
      <c r="F6708">
        <f>IF($C6708="","",YEAR($C6708)&amp;"-Q"&amp;ROUNDUP(MONTH($C6708)/3,0))</f>
        <v/>
      </c>
      <c r="L6708">
        <f>IF($G6708&lt;&gt;"ALCOHOL","",IF($K6708="","",$H6708*IFERROR(VLOOKUP($K6708,Drink_Templates!$A:$G,7,FALSE),0)))</f>
        <v/>
      </c>
    </row>
    <row r="6709" ht="15" customHeight="1">
      <c r="C6709">
        <f>IF($B6709="","",INT($B6709))</f>
        <v/>
      </c>
      <c r="D6709">
        <f>IF($C6709="","",$C6709-WEEKDAY($C6709,2)+1)</f>
        <v/>
      </c>
      <c r="E6709">
        <f>IF($C6709="","",DATE(YEAR($C6709),MONTH($C6709),1))</f>
        <v/>
      </c>
      <c r="F6709">
        <f>IF($C6709="","",YEAR($C6709)&amp;"-Q"&amp;ROUNDUP(MONTH($C6709)/3,0))</f>
        <v/>
      </c>
      <c r="L6709">
        <f>IF($G6709&lt;&gt;"ALCOHOL","",IF($K6709="","",$H6709*IFERROR(VLOOKUP($K6709,Drink_Templates!$A:$G,7,FALSE),0)))</f>
        <v/>
      </c>
    </row>
    <row r="6710" ht="15" customHeight="1">
      <c r="C6710">
        <f>IF($B6710="","",INT($B6710))</f>
        <v/>
      </c>
      <c r="D6710">
        <f>IF($C6710="","",$C6710-WEEKDAY($C6710,2)+1)</f>
        <v/>
      </c>
      <c r="E6710">
        <f>IF($C6710="","",DATE(YEAR($C6710),MONTH($C6710),1))</f>
        <v/>
      </c>
      <c r="F6710">
        <f>IF($C6710="","",YEAR($C6710)&amp;"-Q"&amp;ROUNDUP(MONTH($C6710)/3,0))</f>
        <v/>
      </c>
      <c r="L6710">
        <f>IF($G6710&lt;&gt;"ALCOHOL","",IF($K6710="","",$H6710*IFERROR(VLOOKUP($K6710,Drink_Templates!$A:$G,7,FALSE),0)))</f>
        <v/>
      </c>
    </row>
    <row r="6711" ht="15" customHeight="1">
      <c r="C6711">
        <f>IF($B6711="","",INT($B6711))</f>
        <v/>
      </c>
      <c r="D6711">
        <f>IF($C6711="","",$C6711-WEEKDAY($C6711,2)+1)</f>
        <v/>
      </c>
      <c r="E6711">
        <f>IF($C6711="","",DATE(YEAR($C6711),MONTH($C6711),1))</f>
        <v/>
      </c>
      <c r="F6711">
        <f>IF($C6711="","",YEAR($C6711)&amp;"-Q"&amp;ROUNDUP(MONTH($C6711)/3,0))</f>
        <v/>
      </c>
      <c r="L6711">
        <f>IF($G6711&lt;&gt;"ALCOHOL","",IF($K6711="","",$H6711*IFERROR(VLOOKUP($K6711,Drink_Templates!$A:$G,7,FALSE),0)))</f>
        <v/>
      </c>
    </row>
    <row r="6712" ht="15" customHeight="1">
      <c r="C6712">
        <f>IF($B6712="","",INT($B6712))</f>
        <v/>
      </c>
      <c r="D6712">
        <f>IF($C6712="","",$C6712-WEEKDAY($C6712,2)+1)</f>
        <v/>
      </c>
      <c r="E6712">
        <f>IF($C6712="","",DATE(YEAR($C6712),MONTH($C6712),1))</f>
        <v/>
      </c>
      <c r="F6712">
        <f>IF($C6712="","",YEAR($C6712)&amp;"-Q"&amp;ROUNDUP(MONTH($C6712)/3,0))</f>
        <v/>
      </c>
      <c r="L6712">
        <f>IF($G6712&lt;&gt;"ALCOHOL","",IF($K6712="","",$H6712*IFERROR(VLOOKUP($K6712,Drink_Templates!$A:$G,7,FALSE),0)))</f>
        <v/>
      </c>
    </row>
    <row r="6713" ht="15" customHeight="1">
      <c r="C6713">
        <f>IF($B6713="","",INT($B6713))</f>
        <v/>
      </c>
      <c r="D6713">
        <f>IF($C6713="","",$C6713-WEEKDAY($C6713,2)+1)</f>
        <v/>
      </c>
      <c r="E6713">
        <f>IF($C6713="","",DATE(YEAR($C6713),MONTH($C6713),1))</f>
        <v/>
      </c>
      <c r="F6713">
        <f>IF($C6713="","",YEAR($C6713)&amp;"-Q"&amp;ROUNDUP(MONTH($C6713)/3,0))</f>
        <v/>
      </c>
      <c r="L6713">
        <f>IF($G6713&lt;&gt;"ALCOHOL","",IF($K6713="","",$H6713*IFERROR(VLOOKUP($K6713,Drink_Templates!$A:$G,7,FALSE),0)))</f>
        <v/>
      </c>
    </row>
    <row r="6714" ht="15" customHeight="1">
      <c r="C6714">
        <f>IF($B6714="","",INT($B6714))</f>
        <v/>
      </c>
      <c r="D6714">
        <f>IF($C6714="","",$C6714-WEEKDAY($C6714,2)+1)</f>
        <v/>
      </c>
      <c r="E6714">
        <f>IF($C6714="","",DATE(YEAR($C6714),MONTH($C6714),1))</f>
        <v/>
      </c>
      <c r="F6714">
        <f>IF($C6714="","",YEAR($C6714)&amp;"-Q"&amp;ROUNDUP(MONTH($C6714)/3,0))</f>
        <v/>
      </c>
      <c r="L6714">
        <f>IF($G6714&lt;&gt;"ALCOHOL","",IF($K6714="","",$H6714*IFERROR(VLOOKUP($K6714,Drink_Templates!$A:$G,7,FALSE),0)))</f>
        <v/>
      </c>
    </row>
    <row r="6715" ht="15" customHeight="1">
      <c r="C6715">
        <f>IF($B6715="","",INT($B6715))</f>
        <v/>
      </c>
      <c r="D6715">
        <f>IF($C6715="","",$C6715-WEEKDAY($C6715,2)+1)</f>
        <v/>
      </c>
      <c r="E6715">
        <f>IF($C6715="","",DATE(YEAR($C6715),MONTH($C6715),1))</f>
        <v/>
      </c>
      <c r="F6715">
        <f>IF($C6715="","",YEAR($C6715)&amp;"-Q"&amp;ROUNDUP(MONTH($C6715)/3,0))</f>
        <v/>
      </c>
      <c r="L6715">
        <f>IF($G6715&lt;&gt;"ALCOHOL","",IF($K6715="","",$H6715*IFERROR(VLOOKUP($K6715,Drink_Templates!$A:$G,7,FALSE),0)))</f>
        <v/>
      </c>
    </row>
    <row r="6716" ht="15" customHeight="1">
      <c r="C6716">
        <f>IF($B6716="","",INT($B6716))</f>
        <v/>
      </c>
      <c r="D6716">
        <f>IF($C6716="","",$C6716-WEEKDAY($C6716,2)+1)</f>
        <v/>
      </c>
      <c r="E6716">
        <f>IF($C6716="","",DATE(YEAR($C6716),MONTH($C6716),1))</f>
        <v/>
      </c>
      <c r="F6716">
        <f>IF($C6716="","",YEAR($C6716)&amp;"-Q"&amp;ROUNDUP(MONTH($C6716)/3,0))</f>
        <v/>
      </c>
      <c r="L6716">
        <f>IF($G6716&lt;&gt;"ALCOHOL","",IF($K6716="","",$H6716*IFERROR(VLOOKUP($K6716,Drink_Templates!$A:$G,7,FALSE),0)))</f>
        <v/>
      </c>
    </row>
    <row r="6717" ht="15" customHeight="1">
      <c r="C6717">
        <f>IF($B6717="","",INT($B6717))</f>
        <v/>
      </c>
      <c r="D6717">
        <f>IF($C6717="","",$C6717-WEEKDAY($C6717,2)+1)</f>
        <v/>
      </c>
      <c r="E6717">
        <f>IF($C6717="","",DATE(YEAR($C6717),MONTH($C6717),1))</f>
        <v/>
      </c>
      <c r="F6717">
        <f>IF($C6717="","",YEAR($C6717)&amp;"-Q"&amp;ROUNDUP(MONTH($C6717)/3,0))</f>
        <v/>
      </c>
      <c r="L6717">
        <f>IF($G6717&lt;&gt;"ALCOHOL","",IF($K6717="","",$H6717*IFERROR(VLOOKUP($K6717,Drink_Templates!$A:$G,7,FALSE),0)))</f>
        <v/>
      </c>
    </row>
    <row r="6718" ht="15" customHeight="1">
      <c r="C6718">
        <f>IF($B6718="","",INT($B6718))</f>
        <v/>
      </c>
      <c r="D6718">
        <f>IF($C6718="","",$C6718-WEEKDAY($C6718,2)+1)</f>
        <v/>
      </c>
      <c r="E6718">
        <f>IF($C6718="","",DATE(YEAR($C6718),MONTH($C6718),1))</f>
        <v/>
      </c>
      <c r="F6718">
        <f>IF($C6718="","",YEAR($C6718)&amp;"-Q"&amp;ROUNDUP(MONTH($C6718)/3,0))</f>
        <v/>
      </c>
      <c r="L6718">
        <f>IF($G6718&lt;&gt;"ALCOHOL","",IF($K6718="","",$H6718*IFERROR(VLOOKUP($K6718,Drink_Templates!$A:$G,7,FALSE),0)))</f>
        <v/>
      </c>
    </row>
    <row r="6719" ht="15" customHeight="1">
      <c r="C6719">
        <f>IF($B6719="","",INT($B6719))</f>
        <v/>
      </c>
      <c r="D6719">
        <f>IF($C6719="","",$C6719-WEEKDAY($C6719,2)+1)</f>
        <v/>
      </c>
      <c r="E6719">
        <f>IF($C6719="","",DATE(YEAR($C6719),MONTH($C6719),1))</f>
        <v/>
      </c>
      <c r="F6719">
        <f>IF($C6719="","",YEAR($C6719)&amp;"-Q"&amp;ROUNDUP(MONTH($C6719)/3,0))</f>
        <v/>
      </c>
      <c r="L6719">
        <f>IF($G6719&lt;&gt;"ALCOHOL","",IF($K6719="","",$H6719*IFERROR(VLOOKUP($K6719,Drink_Templates!$A:$G,7,FALSE),0)))</f>
        <v/>
      </c>
    </row>
    <row r="6720" ht="15" customHeight="1">
      <c r="C6720">
        <f>IF($B6720="","",INT($B6720))</f>
        <v/>
      </c>
      <c r="D6720">
        <f>IF($C6720="","",$C6720-WEEKDAY($C6720,2)+1)</f>
        <v/>
      </c>
      <c r="E6720">
        <f>IF($C6720="","",DATE(YEAR($C6720),MONTH($C6720),1))</f>
        <v/>
      </c>
      <c r="F6720">
        <f>IF($C6720="","",YEAR($C6720)&amp;"-Q"&amp;ROUNDUP(MONTH($C6720)/3,0))</f>
        <v/>
      </c>
      <c r="L6720">
        <f>IF($G6720&lt;&gt;"ALCOHOL","",IF($K6720="","",$H6720*IFERROR(VLOOKUP($K6720,Drink_Templates!$A:$G,7,FALSE),0)))</f>
        <v/>
      </c>
    </row>
    <row r="6721" ht="15" customHeight="1">
      <c r="C6721">
        <f>IF($B6721="","",INT($B6721))</f>
        <v/>
      </c>
      <c r="D6721">
        <f>IF($C6721="","",$C6721-WEEKDAY($C6721,2)+1)</f>
        <v/>
      </c>
      <c r="E6721">
        <f>IF($C6721="","",DATE(YEAR($C6721),MONTH($C6721),1))</f>
        <v/>
      </c>
      <c r="F6721">
        <f>IF($C6721="","",YEAR($C6721)&amp;"-Q"&amp;ROUNDUP(MONTH($C6721)/3,0))</f>
        <v/>
      </c>
      <c r="L6721">
        <f>IF($G6721&lt;&gt;"ALCOHOL","",IF($K6721="","",$H6721*IFERROR(VLOOKUP($K6721,Drink_Templates!$A:$G,7,FALSE),0)))</f>
        <v/>
      </c>
    </row>
    <row r="6722" ht="15" customHeight="1">
      <c r="C6722">
        <f>IF($B6722="","",INT($B6722))</f>
        <v/>
      </c>
      <c r="D6722">
        <f>IF($C6722="","",$C6722-WEEKDAY($C6722,2)+1)</f>
        <v/>
      </c>
      <c r="E6722">
        <f>IF($C6722="","",DATE(YEAR($C6722),MONTH($C6722),1))</f>
        <v/>
      </c>
      <c r="F6722">
        <f>IF($C6722="","",YEAR($C6722)&amp;"-Q"&amp;ROUNDUP(MONTH($C6722)/3,0))</f>
        <v/>
      </c>
      <c r="L6722">
        <f>IF($G6722&lt;&gt;"ALCOHOL","",IF($K6722="","",$H6722*IFERROR(VLOOKUP($K6722,Drink_Templates!$A:$G,7,FALSE),0)))</f>
        <v/>
      </c>
    </row>
    <row r="6723" ht="15" customHeight="1">
      <c r="C6723">
        <f>IF($B6723="","",INT($B6723))</f>
        <v/>
      </c>
      <c r="D6723">
        <f>IF($C6723="","",$C6723-WEEKDAY($C6723,2)+1)</f>
        <v/>
      </c>
      <c r="E6723">
        <f>IF($C6723="","",DATE(YEAR($C6723),MONTH($C6723),1))</f>
        <v/>
      </c>
      <c r="F6723">
        <f>IF($C6723="","",YEAR($C6723)&amp;"-Q"&amp;ROUNDUP(MONTH($C6723)/3,0))</f>
        <v/>
      </c>
      <c r="L6723">
        <f>IF($G6723&lt;&gt;"ALCOHOL","",IF($K6723="","",$H6723*IFERROR(VLOOKUP($K6723,Drink_Templates!$A:$G,7,FALSE),0)))</f>
        <v/>
      </c>
    </row>
    <row r="6724" ht="15" customHeight="1">
      <c r="C6724">
        <f>IF($B6724="","",INT($B6724))</f>
        <v/>
      </c>
      <c r="D6724">
        <f>IF($C6724="","",$C6724-WEEKDAY($C6724,2)+1)</f>
        <v/>
      </c>
      <c r="E6724">
        <f>IF($C6724="","",DATE(YEAR($C6724),MONTH($C6724),1))</f>
        <v/>
      </c>
      <c r="F6724">
        <f>IF($C6724="","",YEAR($C6724)&amp;"-Q"&amp;ROUNDUP(MONTH($C6724)/3,0))</f>
        <v/>
      </c>
      <c r="L6724">
        <f>IF($G6724&lt;&gt;"ALCOHOL","",IF($K6724="","",$H6724*IFERROR(VLOOKUP($K6724,Drink_Templates!$A:$G,7,FALSE),0)))</f>
        <v/>
      </c>
    </row>
    <row r="6725" ht="15" customHeight="1">
      <c r="C6725">
        <f>IF($B6725="","",INT($B6725))</f>
        <v/>
      </c>
      <c r="D6725">
        <f>IF($C6725="","",$C6725-WEEKDAY($C6725,2)+1)</f>
        <v/>
      </c>
      <c r="E6725">
        <f>IF($C6725="","",DATE(YEAR($C6725),MONTH($C6725),1))</f>
        <v/>
      </c>
      <c r="F6725">
        <f>IF($C6725="","",YEAR($C6725)&amp;"-Q"&amp;ROUNDUP(MONTH($C6725)/3,0))</f>
        <v/>
      </c>
      <c r="L6725">
        <f>IF($G6725&lt;&gt;"ALCOHOL","",IF($K6725="","",$H6725*IFERROR(VLOOKUP($K6725,Drink_Templates!$A:$G,7,FALSE),0)))</f>
        <v/>
      </c>
    </row>
    <row r="6726" ht="15" customHeight="1">
      <c r="C6726">
        <f>IF($B6726="","",INT($B6726))</f>
        <v/>
      </c>
      <c r="D6726">
        <f>IF($C6726="","",$C6726-WEEKDAY($C6726,2)+1)</f>
        <v/>
      </c>
      <c r="E6726">
        <f>IF($C6726="","",DATE(YEAR($C6726),MONTH($C6726),1))</f>
        <v/>
      </c>
      <c r="F6726">
        <f>IF($C6726="","",YEAR($C6726)&amp;"-Q"&amp;ROUNDUP(MONTH($C6726)/3,0))</f>
        <v/>
      </c>
      <c r="L6726">
        <f>IF($G6726&lt;&gt;"ALCOHOL","",IF($K6726="","",$H6726*IFERROR(VLOOKUP($K6726,Drink_Templates!$A:$G,7,FALSE),0)))</f>
        <v/>
      </c>
    </row>
    <row r="6727" ht="15" customHeight="1">
      <c r="C6727">
        <f>IF($B6727="","",INT($B6727))</f>
        <v/>
      </c>
      <c r="D6727">
        <f>IF($C6727="","",$C6727-WEEKDAY($C6727,2)+1)</f>
        <v/>
      </c>
      <c r="E6727">
        <f>IF($C6727="","",DATE(YEAR($C6727),MONTH($C6727),1))</f>
        <v/>
      </c>
      <c r="F6727">
        <f>IF($C6727="","",YEAR($C6727)&amp;"-Q"&amp;ROUNDUP(MONTH($C6727)/3,0))</f>
        <v/>
      </c>
      <c r="L6727">
        <f>IF($G6727&lt;&gt;"ALCOHOL","",IF($K6727="","",$H6727*IFERROR(VLOOKUP($K6727,Drink_Templates!$A:$G,7,FALSE),0)))</f>
        <v/>
      </c>
    </row>
    <row r="6728" ht="15" customHeight="1">
      <c r="C6728">
        <f>IF($B6728="","",INT($B6728))</f>
        <v/>
      </c>
      <c r="D6728">
        <f>IF($C6728="","",$C6728-WEEKDAY($C6728,2)+1)</f>
        <v/>
      </c>
      <c r="E6728">
        <f>IF($C6728="","",DATE(YEAR($C6728),MONTH($C6728),1))</f>
        <v/>
      </c>
      <c r="F6728">
        <f>IF($C6728="","",YEAR($C6728)&amp;"-Q"&amp;ROUNDUP(MONTH($C6728)/3,0))</f>
        <v/>
      </c>
      <c r="L6728">
        <f>IF($G6728&lt;&gt;"ALCOHOL","",IF($K6728="","",$H6728*IFERROR(VLOOKUP($K6728,Drink_Templates!$A:$G,7,FALSE),0)))</f>
        <v/>
      </c>
    </row>
    <row r="6729" ht="15" customHeight="1">
      <c r="C6729">
        <f>IF($B6729="","",INT($B6729))</f>
        <v/>
      </c>
      <c r="D6729">
        <f>IF($C6729="","",$C6729-WEEKDAY($C6729,2)+1)</f>
        <v/>
      </c>
      <c r="E6729">
        <f>IF($C6729="","",DATE(YEAR($C6729),MONTH($C6729),1))</f>
        <v/>
      </c>
      <c r="F6729">
        <f>IF($C6729="","",YEAR($C6729)&amp;"-Q"&amp;ROUNDUP(MONTH($C6729)/3,0))</f>
        <v/>
      </c>
      <c r="L6729">
        <f>IF($G6729&lt;&gt;"ALCOHOL","",IF($K6729="","",$H6729*IFERROR(VLOOKUP($K6729,Drink_Templates!$A:$G,7,FALSE),0)))</f>
        <v/>
      </c>
    </row>
    <row r="6730" ht="15" customHeight="1">
      <c r="C6730">
        <f>IF($B6730="","",INT($B6730))</f>
        <v/>
      </c>
      <c r="D6730">
        <f>IF($C6730="","",$C6730-WEEKDAY($C6730,2)+1)</f>
        <v/>
      </c>
      <c r="E6730">
        <f>IF($C6730="","",DATE(YEAR($C6730),MONTH($C6730),1))</f>
        <v/>
      </c>
      <c r="F6730">
        <f>IF($C6730="","",YEAR($C6730)&amp;"-Q"&amp;ROUNDUP(MONTH($C6730)/3,0))</f>
        <v/>
      </c>
      <c r="L6730">
        <f>IF($G6730&lt;&gt;"ALCOHOL","",IF($K6730="","",$H6730*IFERROR(VLOOKUP($K6730,Drink_Templates!$A:$G,7,FALSE),0)))</f>
        <v/>
      </c>
    </row>
    <row r="6731" ht="15" customHeight="1">
      <c r="C6731">
        <f>IF($B6731="","",INT($B6731))</f>
        <v/>
      </c>
      <c r="D6731">
        <f>IF($C6731="","",$C6731-WEEKDAY($C6731,2)+1)</f>
        <v/>
      </c>
      <c r="E6731">
        <f>IF($C6731="","",DATE(YEAR($C6731),MONTH($C6731),1))</f>
        <v/>
      </c>
      <c r="F6731">
        <f>IF($C6731="","",YEAR($C6731)&amp;"-Q"&amp;ROUNDUP(MONTH($C6731)/3,0))</f>
        <v/>
      </c>
      <c r="L6731">
        <f>IF($G6731&lt;&gt;"ALCOHOL","",IF($K6731="","",$H6731*IFERROR(VLOOKUP($K6731,Drink_Templates!$A:$G,7,FALSE),0)))</f>
        <v/>
      </c>
    </row>
    <row r="6732" ht="15" customHeight="1">
      <c r="C6732">
        <f>IF($B6732="","",INT($B6732))</f>
        <v/>
      </c>
      <c r="D6732">
        <f>IF($C6732="","",$C6732-WEEKDAY($C6732,2)+1)</f>
        <v/>
      </c>
      <c r="E6732">
        <f>IF($C6732="","",DATE(YEAR($C6732),MONTH($C6732),1))</f>
        <v/>
      </c>
      <c r="F6732">
        <f>IF($C6732="","",YEAR($C6732)&amp;"-Q"&amp;ROUNDUP(MONTH($C6732)/3,0))</f>
        <v/>
      </c>
      <c r="L6732">
        <f>IF($G6732&lt;&gt;"ALCOHOL","",IF($K6732="","",$H6732*IFERROR(VLOOKUP($K6732,Drink_Templates!$A:$G,7,FALSE),0)))</f>
        <v/>
      </c>
    </row>
    <row r="6733" ht="15" customHeight="1">
      <c r="C6733">
        <f>IF($B6733="","",INT($B6733))</f>
        <v/>
      </c>
      <c r="D6733">
        <f>IF($C6733="","",$C6733-WEEKDAY($C6733,2)+1)</f>
        <v/>
      </c>
      <c r="E6733">
        <f>IF($C6733="","",DATE(YEAR($C6733),MONTH($C6733),1))</f>
        <v/>
      </c>
      <c r="F6733">
        <f>IF($C6733="","",YEAR($C6733)&amp;"-Q"&amp;ROUNDUP(MONTH($C6733)/3,0))</f>
        <v/>
      </c>
      <c r="L6733">
        <f>IF($G6733&lt;&gt;"ALCOHOL","",IF($K6733="","",$H6733*IFERROR(VLOOKUP($K6733,Drink_Templates!$A:$G,7,FALSE),0)))</f>
        <v/>
      </c>
    </row>
    <row r="6734" ht="15" customHeight="1">
      <c r="C6734">
        <f>IF($B6734="","",INT($B6734))</f>
        <v/>
      </c>
      <c r="D6734">
        <f>IF($C6734="","",$C6734-WEEKDAY($C6734,2)+1)</f>
        <v/>
      </c>
      <c r="E6734">
        <f>IF($C6734="","",DATE(YEAR($C6734),MONTH($C6734),1))</f>
        <v/>
      </c>
      <c r="F6734">
        <f>IF($C6734="","",YEAR($C6734)&amp;"-Q"&amp;ROUNDUP(MONTH($C6734)/3,0))</f>
        <v/>
      </c>
      <c r="L6734">
        <f>IF($G6734&lt;&gt;"ALCOHOL","",IF($K6734="","",$H6734*IFERROR(VLOOKUP($K6734,Drink_Templates!$A:$G,7,FALSE),0)))</f>
        <v/>
      </c>
    </row>
    <row r="6735" ht="15" customHeight="1">
      <c r="C6735">
        <f>IF($B6735="","",INT($B6735))</f>
        <v/>
      </c>
      <c r="D6735">
        <f>IF($C6735="","",$C6735-WEEKDAY($C6735,2)+1)</f>
        <v/>
      </c>
      <c r="E6735">
        <f>IF($C6735="","",DATE(YEAR($C6735),MONTH($C6735),1))</f>
        <v/>
      </c>
      <c r="F6735">
        <f>IF($C6735="","",YEAR($C6735)&amp;"-Q"&amp;ROUNDUP(MONTH($C6735)/3,0))</f>
        <v/>
      </c>
      <c r="L6735">
        <f>IF($G6735&lt;&gt;"ALCOHOL","",IF($K6735="","",$H6735*IFERROR(VLOOKUP($K6735,Drink_Templates!$A:$G,7,FALSE),0)))</f>
        <v/>
      </c>
    </row>
    <row r="6736" ht="15" customHeight="1">
      <c r="C6736">
        <f>IF($B6736="","",INT($B6736))</f>
        <v/>
      </c>
      <c r="D6736">
        <f>IF($C6736="","",$C6736-WEEKDAY($C6736,2)+1)</f>
        <v/>
      </c>
      <c r="E6736">
        <f>IF($C6736="","",DATE(YEAR($C6736),MONTH($C6736),1))</f>
        <v/>
      </c>
      <c r="F6736">
        <f>IF($C6736="","",YEAR($C6736)&amp;"-Q"&amp;ROUNDUP(MONTH($C6736)/3,0))</f>
        <v/>
      </c>
      <c r="L6736">
        <f>IF($G6736&lt;&gt;"ALCOHOL","",IF($K6736="","",$H6736*IFERROR(VLOOKUP($K6736,Drink_Templates!$A:$G,7,FALSE),0)))</f>
        <v/>
      </c>
    </row>
    <row r="6737" ht="15" customHeight="1">
      <c r="C6737">
        <f>IF($B6737="","",INT($B6737))</f>
        <v/>
      </c>
      <c r="D6737">
        <f>IF($C6737="","",$C6737-WEEKDAY($C6737,2)+1)</f>
        <v/>
      </c>
      <c r="E6737">
        <f>IF($C6737="","",DATE(YEAR($C6737),MONTH($C6737),1))</f>
        <v/>
      </c>
      <c r="F6737">
        <f>IF($C6737="","",YEAR($C6737)&amp;"-Q"&amp;ROUNDUP(MONTH($C6737)/3,0))</f>
        <v/>
      </c>
      <c r="L6737">
        <f>IF($G6737&lt;&gt;"ALCOHOL","",IF($K6737="","",$H6737*IFERROR(VLOOKUP($K6737,Drink_Templates!$A:$G,7,FALSE),0)))</f>
        <v/>
      </c>
    </row>
    <row r="6738" ht="15" customHeight="1">
      <c r="C6738">
        <f>IF($B6738="","",INT($B6738))</f>
        <v/>
      </c>
      <c r="D6738">
        <f>IF($C6738="","",$C6738-WEEKDAY($C6738,2)+1)</f>
        <v/>
      </c>
      <c r="E6738">
        <f>IF($C6738="","",DATE(YEAR($C6738),MONTH($C6738),1))</f>
        <v/>
      </c>
      <c r="F6738">
        <f>IF($C6738="","",YEAR($C6738)&amp;"-Q"&amp;ROUNDUP(MONTH($C6738)/3,0))</f>
        <v/>
      </c>
      <c r="L6738">
        <f>IF($G6738&lt;&gt;"ALCOHOL","",IF($K6738="","",$H6738*IFERROR(VLOOKUP($K6738,Drink_Templates!$A:$G,7,FALSE),0)))</f>
        <v/>
      </c>
    </row>
    <row r="6739" ht="15" customHeight="1">
      <c r="C6739">
        <f>IF($B6739="","",INT($B6739))</f>
        <v/>
      </c>
      <c r="D6739">
        <f>IF($C6739="","",$C6739-WEEKDAY($C6739,2)+1)</f>
        <v/>
      </c>
      <c r="E6739">
        <f>IF($C6739="","",DATE(YEAR($C6739),MONTH($C6739),1))</f>
        <v/>
      </c>
      <c r="F6739">
        <f>IF($C6739="","",YEAR($C6739)&amp;"-Q"&amp;ROUNDUP(MONTH($C6739)/3,0))</f>
        <v/>
      </c>
      <c r="L6739">
        <f>IF($G6739&lt;&gt;"ALCOHOL","",IF($K6739="","",$H6739*IFERROR(VLOOKUP($K6739,Drink_Templates!$A:$G,7,FALSE),0)))</f>
        <v/>
      </c>
    </row>
    <row r="6740" ht="15" customHeight="1">
      <c r="C6740">
        <f>IF($B6740="","",INT($B6740))</f>
        <v/>
      </c>
      <c r="D6740">
        <f>IF($C6740="","",$C6740-WEEKDAY($C6740,2)+1)</f>
        <v/>
      </c>
      <c r="E6740">
        <f>IF($C6740="","",DATE(YEAR($C6740),MONTH($C6740),1))</f>
        <v/>
      </c>
      <c r="F6740">
        <f>IF($C6740="","",YEAR($C6740)&amp;"-Q"&amp;ROUNDUP(MONTH($C6740)/3,0))</f>
        <v/>
      </c>
      <c r="L6740">
        <f>IF($G6740&lt;&gt;"ALCOHOL","",IF($K6740="","",$H6740*IFERROR(VLOOKUP($K6740,Drink_Templates!$A:$G,7,FALSE),0)))</f>
        <v/>
      </c>
    </row>
    <row r="6741" ht="15" customHeight="1">
      <c r="C6741">
        <f>IF($B6741="","",INT($B6741))</f>
        <v/>
      </c>
      <c r="D6741">
        <f>IF($C6741="","",$C6741-WEEKDAY($C6741,2)+1)</f>
        <v/>
      </c>
      <c r="E6741">
        <f>IF($C6741="","",DATE(YEAR($C6741),MONTH($C6741),1))</f>
        <v/>
      </c>
      <c r="F6741">
        <f>IF($C6741="","",YEAR($C6741)&amp;"-Q"&amp;ROUNDUP(MONTH($C6741)/3,0))</f>
        <v/>
      </c>
      <c r="L6741">
        <f>IF($G6741&lt;&gt;"ALCOHOL","",IF($K6741="","",$H6741*IFERROR(VLOOKUP($K6741,Drink_Templates!$A:$G,7,FALSE),0)))</f>
        <v/>
      </c>
    </row>
    <row r="6742" ht="15" customHeight="1">
      <c r="C6742">
        <f>IF($B6742="","",INT($B6742))</f>
        <v/>
      </c>
      <c r="D6742">
        <f>IF($C6742="","",$C6742-WEEKDAY($C6742,2)+1)</f>
        <v/>
      </c>
      <c r="E6742">
        <f>IF($C6742="","",DATE(YEAR($C6742),MONTH($C6742),1))</f>
        <v/>
      </c>
      <c r="F6742">
        <f>IF($C6742="","",YEAR($C6742)&amp;"-Q"&amp;ROUNDUP(MONTH($C6742)/3,0))</f>
        <v/>
      </c>
      <c r="L6742">
        <f>IF($G6742&lt;&gt;"ALCOHOL","",IF($K6742="","",$H6742*IFERROR(VLOOKUP($K6742,Drink_Templates!$A:$G,7,FALSE),0)))</f>
        <v/>
      </c>
    </row>
    <row r="6743" ht="15" customHeight="1">
      <c r="C6743">
        <f>IF($B6743="","",INT($B6743))</f>
        <v/>
      </c>
      <c r="D6743">
        <f>IF($C6743="","",$C6743-WEEKDAY($C6743,2)+1)</f>
        <v/>
      </c>
      <c r="E6743">
        <f>IF($C6743="","",DATE(YEAR($C6743),MONTH($C6743),1))</f>
        <v/>
      </c>
      <c r="F6743">
        <f>IF($C6743="","",YEAR($C6743)&amp;"-Q"&amp;ROUNDUP(MONTH($C6743)/3,0))</f>
        <v/>
      </c>
      <c r="L6743">
        <f>IF($G6743&lt;&gt;"ALCOHOL","",IF($K6743="","",$H6743*IFERROR(VLOOKUP($K6743,Drink_Templates!$A:$G,7,FALSE),0)))</f>
        <v/>
      </c>
    </row>
    <row r="6744" ht="15" customHeight="1">
      <c r="C6744">
        <f>IF($B6744="","",INT($B6744))</f>
        <v/>
      </c>
      <c r="D6744">
        <f>IF($C6744="","",$C6744-WEEKDAY($C6744,2)+1)</f>
        <v/>
      </c>
      <c r="E6744">
        <f>IF($C6744="","",DATE(YEAR($C6744),MONTH($C6744),1))</f>
        <v/>
      </c>
      <c r="F6744">
        <f>IF($C6744="","",YEAR($C6744)&amp;"-Q"&amp;ROUNDUP(MONTH($C6744)/3,0))</f>
        <v/>
      </c>
      <c r="L6744">
        <f>IF($G6744&lt;&gt;"ALCOHOL","",IF($K6744="","",$H6744*IFERROR(VLOOKUP($K6744,Drink_Templates!$A:$G,7,FALSE),0)))</f>
        <v/>
      </c>
    </row>
    <row r="6745" ht="15" customHeight="1">
      <c r="C6745">
        <f>IF($B6745="","",INT($B6745))</f>
        <v/>
      </c>
      <c r="D6745">
        <f>IF($C6745="","",$C6745-WEEKDAY($C6745,2)+1)</f>
        <v/>
      </c>
      <c r="E6745">
        <f>IF($C6745="","",DATE(YEAR($C6745),MONTH($C6745),1))</f>
        <v/>
      </c>
      <c r="F6745">
        <f>IF($C6745="","",YEAR($C6745)&amp;"-Q"&amp;ROUNDUP(MONTH($C6745)/3,0))</f>
        <v/>
      </c>
      <c r="L6745">
        <f>IF($G6745&lt;&gt;"ALCOHOL","",IF($K6745="","",$H6745*IFERROR(VLOOKUP($K6745,Drink_Templates!$A:$G,7,FALSE),0)))</f>
        <v/>
      </c>
    </row>
    <row r="6746" ht="15" customHeight="1">
      <c r="C6746">
        <f>IF($B6746="","",INT($B6746))</f>
        <v/>
      </c>
      <c r="D6746">
        <f>IF($C6746="","",$C6746-WEEKDAY($C6746,2)+1)</f>
        <v/>
      </c>
      <c r="E6746">
        <f>IF($C6746="","",DATE(YEAR($C6746),MONTH($C6746),1))</f>
        <v/>
      </c>
      <c r="F6746">
        <f>IF($C6746="","",YEAR($C6746)&amp;"-Q"&amp;ROUNDUP(MONTH($C6746)/3,0))</f>
        <v/>
      </c>
      <c r="L6746">
        <f>IF($G6746&lt;&gt;"ALCOHOL","",IF($K6746="","",$H6746*IFERROR(VLOOKUP($K6746,Drink_Templates!$A:$G,7,FALSE),0)))</f>
        <v/>
      </c>
    </row>
    <row r="6747" ht="15" customHeight="1">
      <c r="C6747">
        <f>IF($B6747="","",INT($B6747))</f>
        <v/>
      </c>
      <c r="D6747">
        <f>IF($C6747="","",$C6747-WEEKDAY($C6747,2)+1)</f>
        <v/>
      </c>
      <c r="E6747">
        <f>IF($C6747="","",DATE(YEAR($C6747),MONTH($C6747),1))</f>
        <v/>
      </c>
      <c r="F6747">
        <f>IF($C6747="","",YEAR($C6747)&amp;"-Q"&amp;ROUNDUP(MONTH($C6747)/3,0))</f>
        <v/>
      </c>
      <c r="L6747">
        <f>IF($G6747&lt;&gt;"ALCOHOL","",IF($K6747="","",$H6747*IFERROR(VLOOKUP($K6747,Drink_Templates!$A:$G,7,FALSE),0)))</f>
        <v/>
      </c>
    </row>
    <row r="6748" ht="15" customHeight="1">
      <c r="C6748">
        <f>IF($B6748="","",INT($B6748))</f>
        <v/>
      </c>
      <c r="D6748">
        <f>IF($C6748="","",$C6748-WEEKDAY($C6748,2)+1)</f>
        <v/>
      </c>
      <c r="E6748">
        <f>IF($C6748="","",DATE(YEAR($C6748),MONTH($C6748),1))</f>
        <v/>
      </c>
      <c r="F6748">
        <f>IF($C6748="","",YEAR($C6748)&amp;"-Q"&amp;ROUNDUP(MONTH($C6748)/3,0))</f>
        <v/>
      </c>
      <c r="L6748">
        <f>IF($G6748&lt;&gt;"ALCOHOL","",IF($K6748="","",$H6748*IFERROR(VLOOKUP($K6748,Drink_Templates!$A:$G,7,FALSE),0)))</f>
        <v/>
      </c>
    </row>
    <row r="6749" ht="15" customHeight="1">
      <c r="C6749">
        <f>IF($B6749="","",INT($B6749))</f>
        <v/>
      </c>
      <c r="D6749">
        <f>IF($C6749="","",$C6749-WEEKDAY($C6749,2)+1)</f>
        <v/>
      </c>
      <c r="E6749">
        <f>IF($C6749="","",DATE(YEAR($C6749),MONTH($C6749),1))</f>
        <v/>
      </c>
      <c r="F6749">
        <f>IF($C6749="","",YEAR($C6749)&amp;"-Q"&amp;ROUNDUP(MONTH($C6749)/3,0))</f>
        <v/>
      </c>
      <c r="L6749">
        <f>IF($G6749&lt;&gt;"ALCOHOL","",IF($K6749="","",$H6749*IFERROR(VLOOKUP($K6749,Drink_Templates!$A:$G,7,FALSE),0)))</f>
        <v/>
      </c>
    </row>
    <row r="6750" ht="15" customHeight="1">
      <c r="C6750">
        <f>IF($B6750="","",INT($B6750))</f>
        <v/>
      </c>
      <c r="D6750">
        <f>IF($C6750="","",$C6750-WEEKDAY($C6750,2)+1)</f>
        <v/>
      </c>
      <c r="E6750">
        <f>IF($C6750="","",DATE(YEAR($C6750),MONTH($C6750),1))</f>
        <v/>
      </c>
      <c r="F6750">
        <f>IF($C6750="","",YEAR($C6750)&amp;"-Q"&amp;ROUNDUP(MONTH($C6750)/3,0))</f>
        <v/>
      </c>
      <c r="L6750">
        <f>IF($G6750&lt;&gt;"ALCOHOL","",IF($K6750="","",$H6750*IFERROR(VLOOKUP($K6750,Drink_Templates!$A:$G,7,FALSE),0)))</f>
        <v/>
      </c>
    </row>
    <row r="6751" ht="15" customHeight="1">
      <c r="C6751">
        <f>IF($B6751="","",INT($B6751))</f>
        <v/>
      </c>
      <c r="D6751">
        <f>IF($C6751="","",$C6751-WEEKDAY($C6751,2)+1)</f>
        <v/>
      </c>
      <c r="E6751">
        <f>IF($C6751="","",DATE(YEAR($C6751),MONTH($C6751),1))</f>
        <v/>
      </c>
      <c r="F6751">
        <f>IF($C6751="","",YEAR($C6751)&amp;"-Q"&amp;ROUNDUP(MONTH($C6751)/3,0))</f>
        <v/>
      </c>
      <c r="L6751">
        <f>IF($G6751&lt;&gt;"ALCOHOL","",IF($K6751="","",$H6751*IFERROR(VLOOKUP($K6751,Drink_Templates!$A:$G,7,FALSE),0)))</f>
        <v/>
      </c>
    </row>
    <row r="6752" ht="15" customHeight="1">
      <c r="C6752">
        <f>IF($B6752="","",INT($B6752))</f>
        <v/>
      </c>
      <c r="D6752">
        <f>IF($C6752="","",$C6752-WEEKDAY($C6752,2)+1)</f>
        <v/>
      </c>
      <c r="E6752">
        <f>IF($C6752="","",DATE(YEAR($C6752),MONTH($C6752),1))</f>
        <v/>
      </c>
      <c r="F6752">
        <f>IF($C6752="","",YEAR($C6752)&amp;"-Q"&amp;ROUNDUP(MONTH($C6752)/3,0))</f>
        <v/>
      </c>
      <c r="L6752">
        <f>IF($G6752&lt;&gt;"ALCOHOL","",IF($K6752="","",$H6752*IFERROR(VLOOKUP($K6752,Drink_Templates!$A:$G,7,FALSE),0)))</f>
        <v/>
      </c>
    </row>
    <row r="6753" ht="15" customHeight="1">
      <c r="C6753">
        <f>IF($B6753="","",INT($B6753))</f>
        <v/>
      </c>
      <c r="D6753">
        <f>IF($C6753="","",$C6753-WEEKDAY($C6753,2)+1)</f>
        <v/>
      </c>
      <c r="E6753">
        <f>IF($C6753="","",DATE(YEAR($C6753),MONTH($C6753),1))</f>
        <v/>
      </c>
      <c r="F6753">
        <f>IF($C6753="","",YEAR($C6753)&amp;"-Q"&amp;ROUNDUP(MONTH($C6753)/3,0))</f>
        <v/>
      </c>
      <c r="L6753">
        <f>IF($G6753&lt;&gt;"ALCOHOL","",IF($K6753="","",$H6753*IFERROR(VLOOKUP($K6753,Drink_Templates!$A:$G,7,FALSE),0)))</f>
        <v/>
      </c>
    </row>
    <row r="6754" ht="15" customHeight="1">
      <c r="C6754">
        <f>IF($B6754="","",INT($B6754))</f>
        <v/>
      </c>
      <c r="D6754">
        <f>IF($C6754="","",$C6754-WEEKDAY($C6754,2)+1)</f>
        <v/>
      </c>
      <c r="E6754">
        <f>IF($C6754="","",DATE(YEAR($C6754),MONTH($C6754),1))</f>
        <v/>
      </c>
      <c r="F6754">
        <f>IF($C6754="","",YEAR($C6754)&amp;"-Q"&amp;ROUNDUP(MONTH($C6754)/3,0))</f>
        <v/>
      </c>
      <c r="L6754">
        <f>IF($G6754&lt;&gt;"ALCOHOL","",IF($K6754="","",$H6754*IFERROR(VLOOKUP($K6754,Drink_Templates!$A:$G,7,FALSE),0)))</f>
        <v/>
      </c>
    </row>
    <row r="6755" ht="15" customHeight="1">
      <c r="C6755">
        <f>IF($B6755="","",INT($B6755))</f>
        <v/>
      </c>
      <c r="D6755">
        <f>IF($C6755="","",$C6755-WEEKDAY($C6755,2)+1)</f>
        <v/>
      </c>
      <c r="E6755">
        <f>IF($C6755="","",DATE(YEAR($C6755),MONTH($C6755),1))</f>
        <v/>
      </c>
      <c r="F6755">
        <f>IF($C6755="","",YEAR($C6755)&amp;"-Q"&amp;ROUNDUP(MONTH($C6755)/3,0))</f>
        <v/>
      </c>
      <c r="L6755">
        <f>IF($G6755&lt;&gt;"ALCOHOL","",IF($K6755="","",$H6755*IFERROR(VLOOKUP($K6755,Drink_Templates!$A:$G,7,FALSE),0)))</f>
        <v/>
      </c>
    </row>
    <row r="6756" ht="15" customHeight="1">
      <c r="C6756">
        <f>IF($B6756="","",INT($B6756))</f>
        <v/>
      </c>
      <c r="D6756">
        <f>IF($C6756="","",$C6756-WEEKDAY($C6756,2)+1)</f>
        <v/>
      </c>
      <c r="E6756">
        <f>IF($C6756="","",DATE(YEAR($C6756),MONTH($C6756),1))</f>
        <v/>
      </c>
      <c r="F6756">
        <f>IF($C6756="","",YEAR($C6756)&amp;"-Q"&amp;ROUNDUP(MONTH($C6756)/3,0))</f>
        <v/>
      </c>
      <c r="L6756">
        <f>IF($G6756&lt;&gt;"ALCOHOL","",IF($K6756="","",$H6756*IFERROR(VLOOKUP($K6756,Drink_Templates!$A:$G,7,FALSE),0)))</f>
        <v/>
      </c>
    </row>
    <row r="6757" ht="15" customHeight="1">
      <c r="C6757">
        <f>IF($B6757="","",INT($B6757))</f>
        <v/>
      </c>
      <c r="D6757">
        <f>IF($C6757="","",$C6757-WEEKDAY($C6757,2)+1)</f>
        <v/>
      </c>
      <c r="E6757">
        <f>IF($C6757="","",DATE(YEAR($C6757),MONTH($C6757),1))</f>
        <v/>
      </c>
      <c r="F6757">
        <f>IF($C6757="","",YEAR($C6757)&amp;"-Q"&amp;ROUNDUP(MONTH($C6757)/3,0))</f>
        <v/>
      </c>
      <c r="L6757">
        <f>IF($G6757&lt;&gt;"ALCOHOL","",IF($K6757="","",$H6757*IFERROR(VLOOKUP($K6757,Drink_Templates!$A:$G,7,FALSE),0)))</f>
        <v/>
      </c>
    </row>
    <row r="6758" ht="15" customHeight="1">
      <c r="C6758">
        <f>IF($B6758="","",INT($B6758))</f>
        <v/>
      </c>
      <c r="D6758">
        <f>IF($C6758="","",$C6758-WEEKDAY($C6758,2)+1)</f>
        <v/>
      </c>
      <c r="E6758">
        <f>IF($C6758="","",DATE(YEAR($C6758),MONTH($C6758),1))</f>
        <v/>
      </c>
      <c r="F6758">
        <f>IF($C6758="","",YEAR($C6758)&amp;"-Q"&amp;ROUNDUP(MONTH($C6758)/3,0))</f>
        <v/>
      </c>
      <c r="L6758">
        <f>IF($G6758&lt;&gt;"ALCOHOL","",IF($K6758="","",$H6758*IFERROR(VLOOKUP($K6758,Drink_Templates!$A:$G,7,FALSE),0)))</f>
        <v/>
      </c>
    </row>
    <row r="6759" ht="15" customHeight="1">
      <c r="C6759">
        <f>IF($B6759="","",INT($B6759))</f>
        <v/>
      </c>
      <c r="D6759">
        <f>IF($C6759="","",$C6759-WEEKDAY($C6759,2)+1)</f>
        <v/>
      </c>
      <c r="E6759">
        <f>IF($C6759="","",DATE(YEAR($C6759),MONTH($C6759),1))</f>
        <v/>
      </c>
      <c r="F6759">
        <f>IF($C6759="","",YEAR($C6759)&amp;"-Q"&amp;ROUNDUP(MONTH($C6759)/3,0))</f>
        <v/>
      </c>
      <c r="L6759">
        <f>IF($G6759&lt;&gt;"ALCOHOL","",IF($K6759="","",$H6759*IFERROR(VLOOKUP($K6759,Drink_Templates!$A:$G,7,FALSE),0)))</f>
        <v/>
      </c>
    </row>
    <row r="6760" ht="15" customHeight="1">
      <c r="C6760">
        <f>IF($B6760="","",INT($B6760))</f>
        <v/>
      </c>
      <c r="D6760">
        <f>IF($C6760="","",$C6760-WEEKDAY($C6760,2)+1)</f>
        <v/>
      </c>
      <c r="E6760">
        <f>IF($C6760="","",DATE(YEAR($C6760),MONTH($C6760),1))</f>
        <v/>
      </c>
      <c r="F6760">
        <f>IF($C6760="","",YEAR($C6760)&amp;"-Q"&amp;ROUNDUP(MONTH($C6760)/3,0))</f>
        <v/>
      </c>
      <c r="L6760">
        <f>IF($G6760&lt;&gt;"ALCOHOL","",IF($K6760="","",$H6760*IFERROR(VLOOKUP($K6760,Drink_Templates!$A:$G,7,FALSE),0)))</f>
        <v/>
      </c>
    </row>
    <row r="6761" ht="15" customHeight="1">
      <c r="C6761">
        <f>IF($B6761="","",INT($B6761))</f>
        <v/>
      </c>
      <c r="D6761">
        <f>IF($C6761="","",$C6761-WEEKDAY($C6761,2)+1)</f>
        <v/>
      </c>
      <c r="E6761">
        <f>IF($C6761="","",DATE(YEAR($C6761),MONTH($C6761),1))</f>
        <v/>
      </c>
      <c r="F6761">
        <f>IF($C6761="","",YEAR($C6761)&amp;"-Q"&amp;ROUNDUP(MONTH($C6761)/3,0))</f>
        <v/>
      </c>
      <c r="L6761">
        <f>IF($G6761&lt;&gt;"ALCOHOL","",IF($K6761="","",$H6761*IFERROR(VLOOKUP($K6761,Drink_Templates!$A:$G,7,FALSE),0)))</f>
        <v/>
      </c>
    </row>
    <row r="6762" ht="15" customHeight="1">
      <c r="C6762">
        <f>IF($B6762="","",INT($B6762))</f>
        <v/>
      </c>
      <c r="D6762">
        <f>IF($C6762="","",$C6762-WEEKDAY($C6762,2)+1)</f>
        <v/>
      </c>
      <c r="E6762">
        <f>IF($C6762="","",DATE(YEAR($C6762),MONTH($C6762),1))</f>
        <v/>
      </c>
      <c r="F6762">
        <f>IF($C6762="","",YEAR($C6762)&amp;"-Q"&amp;ROUNDUP(MONTH($C6762)/3,0))</f>
        <v/>
      </c>
      <c r="L6762">
        <f>IF($G6762&lt;&gt;"ALCOHOL","",IF($K6762="","",$H6762*IFERROR(VLOOKUP($K6762,Drink_Templates!$A:$G,7,FALSE),0)))</f>
        <v/>
      </c>
    </row>
    <row r="6763" ht="15" customHeight="1">
      <c r="C6763">
        <f>IF($B6763="","",INT($B6763))</f>
        <v/>
      </c>
      <c r="D6763">
        <f>IF($C6763="","",$C6763-WEEKDAY($C6763,2)+1)</f>
        <v/>
      </c>
      <c r="E6763">
        <f>IF($C6763="","",DATE(YEAR($C6763),MONTH($C6763),1))</f>
        <v/>
      </c>
      <c r="F6763">
        <f>IF($C6763="","",YEAR($C6763)&amp;"-Q"&amp;ROUNDUP(MONTH($C6763)/3,0))</f>
        <v/>
      </c>
      <c r="L6763">
        <f>IF($G6763&lt;&gt;"ALCOHOL","",IF($K6763="","",$H6763*IFERROR(VLOOKUP($K6763,Drink_Templates!$A:$G,7,FALSE),0)))</f>
        <v/>
      </c>
    </row>
    <row r="6764" ht="15" customHeight="1">
      <c r="C6764">
        <f>IF($B6764="","",INT($B6764))</f>
        <v/>
      </c>
      <c r="D6764">
        <f>IF($C6764="","",$C6764-WEEKDAY($C6764,2)+1)</f>
        <v/>
      </c>
      <c r="E6764">
        <f>IF($C6764="","",DATE(YEAR($C6764),MONTH($C6764),1))</f>
        <v/>
      </c>
      <c r="F6764">
        <f>IF($C6764="","",YEAR($C6764)&amp;"-Q"&amp;ROUNDUP(MONTH($C6764)/3,0))</f>
        <v/>
      </c>
      <c r="L6764">
        <f>IF($G6764&lt;&gt;"ALCOHOL","",IF($K6764="","",$H6764*IFERROR(VLOOKUP($K6764,Drink_Templates!$A:$G,7,FALSE),0)))</f>
        <v/>
      </c>
    </row>
    <row r="6765" ht="15" customHeight="1">
      <c r="C6765">
        <f>IF($B6765="","",INT($B6765))</f>
        <v/>
      </c>
      <c r="D6765">
        <f>IF($C6765="","",$C6765-WEEKDAY($C6765,2)+1)</f>
        <v/>
      </c>
      <c r="E6765">
        <f>IF($C6765="","",DATE(YEAR($C6765),MONTH($C6765),1))</f>
        <v/>
      </c>
      <c r="F6765">
        <f>IF($C6765="","",YEAR($C6765)&amp;"-Q"&amp;ROUNDUP(MONTH($C6765)/3,0))</f>
        <v/>
      </c>
      <c r="L6765">
        <f>IF($G6765&lt;&gt;"ALCOHOL","",IF($K6765="","",$H6765*IFERROR(VLOOKUP($K6765,Drink_Templates!$A:$G,7,FALSE),0)))</f>
        <v/>
      </c>
    </row>
    <row r="6766" ht="15" customHeight="1">
      <c r="C6766">
        <f>IF($B6766="","",INT($B6766))</f>
        <v/>
      </c>
      <c r="D6766">
        <f>IF($C6766="","",$C6766-WEEKDAY($C6766,2)+1)</f>
        <v/>
      </c>
      <c r="E6766">
        <f>IF($C6766="","",DATE(YEAR($C6766),MONTH($C6766),1))</f>
        <v/>
      </c>
      <c r="F6766">
        <f>IF($C6766="","",YEAR($C6766)&amp;"-Q"&amp;ROUNDUP(MONTH($C6766)/3,0))</f>
        <v/>
      </c>
      <c r="L6766">
        <f>IF($G6766&lt;&gt;"ALCOHOL","",IF($K6766="","",$H6766*IFERROR(VLOOKUP($K6766,Drink_Templates!$A:$G,7,FALSE),0)))</f>
        <v/>
      </c>
    </row>
    <row r="6767" ht="15" customHeight="1">
      <c r="C6767">
        <f>IF($B6767="","",INT($B6767))</f>
        <v/>
      </c>
      <c r="D6767">
        <f>IF($C6767="","",$C6767-WEEKDAY($C6767,2)+1)</f>
        <v/>
      </c>
      <c r="E6767">
        <f>IF($C6767="","",DATE(YEAR($C6767),MONTH($C6767),1))</f>
        <v/>
      </c>
      <c r="F6767">
        <f>IF($C6767="","",YEAR($C6767)&amp;"-Q"&amp;ROUNDUP(MONTH($C6767)/3,0))</f>
        <v/>
      </c>
      <c r="L6767">
        <f>IF($G6767&lt;&gt;"ALCOHOL","",IF($K6767="","",$H6767*IFERROR(VLOOKUP($K6767,Drink_Templates!$A:$G,7,FALSE),0)))</f>
        <v/>
      </c>
    </row>
    <row r="6768" ht="15" customHeight="1">
      <c r="C6768">
        <f>IF($B6768="","",INT($B6768))</f>
        <v/>
      </c>
      <c r="D6768">
        <f>IF($C6768="","",$C6768-WEEKDAY($C6768,2)+1)</f>
        <v/>
      </c>
      <c r="E6768">
        <f>IF($C6768="","",DATE(YEAR($C6768),MONTH($C6768),1))</f>
        <v/>
      </c>
      <c r="F6768">
        <f>IF($C6768="","",YEAR($C6768)&amp;"-Q"&amp;ROUNDUP(MONTH($C6768)/3,0))</f>
        <v/>
      </c>
      <c r="L6768">
        <f>IF($G6768&lt;&gt;"ALCOHOL","",IF($K6768="","",$H6768*IFERROR(VLOOKUP($K6768,Drink_Templates!$A:$G,7,FALSE),0)))</f>
        <v/>
      </c>
    </row>
    <row r="6769" ht="15" customHeight="1">
      <c r="C6769">
        <f>IF($B6769="","",INT($B6769))</f>
        <v/>
      </c>
      <c r="D6769">
        <f>IF($C6769="","",$C6769-WEEKDAY($C6769,2)+1)</f>
        <v/>
      </c>
      <c r="E6769">
        <f>IF($C6769="","",DATE(YEAR($C6769),MONTH($C6769),1))</f>
        <v/>
      </c>
      <c r="F6769">
        <f>IF($C6769="","",YEAR($C6769)&amp;"-Q"&amp;ROUNDUP(MONTH($C6769)/3,0))</f>
        <v/>
      </c>
      <c r="L6769">
        <f>IF($G6769&lt;&gt;"ALCOHOL","",IF($K6769="","",$H6769*IFERROR(VLOOKUP($K6769,Drink_Templates!$A:$G,7,FALSE),0)))</f>
        <v/>
      </c>
    </row>
    <row r="6770" ht="15" customHeight="1">
      <c r="C6770">
        <f>IF($B6770="","",INT($B6770))</f>
        <v/>
      </c>
      <c r="D6770">
        <f>IF($C6770="","",$C6770-WEEKDAY($C6770,2)+1)</f>
        <v/>
      </c>
      <c r="E6770">
        <f>IF($C6770="","",DATE(YEAR($C6770),MONTH($C6770),1))</f>
        <v/>
      </c>
      <c r="F6770">
        <f>IF($C6770="","",YEAR($C6770)&amp;"-Q"&amp;ROUNDUP(MONTH($C6770)/3,0))</f>
        <v/>
      </c>
      <c r="L6770">
        <f>IF($G6770&lt;&gt;"ALCOHOL","",IF($K6770="","",$H6770*IFERROR(VLOOKUP($K6770,Drink_Templates!$A:$G,7,FALSE),0)))</f>
        <v/>
      </c>
    </row>
    <row r="6771" ht="15" customHeight="1">
      <c r="C6771">
        <f>IF($B6771="","",INT($B6771))</f>
        <v/>
      </c>
      <c r="D6771">
        <f>IF($C6771="","",$C6771-WEEKDAY($C6771,2)+1)</f>
        <v/>
      </c>
      <c r="E6771">
        <f>IF($C6771="","",DATE(YEAR($C6771),MONTH($C6771),1))</f>
        <v/>
      </c>
      <c r="F6771">
        <f>IF($C6771="","",YEAR($C6771)&amp;"-Q"&amp;ROUNDUP(MONTH($C6771)/3,0))</f>
        <v/>
      </c>
      <c r="L6771">
        <f>IF($G6771&lt;&gt;"ALCOHOL","",IF($K6771="","",$H6771*IFERROR(VLOOKUP($K6771,Drink_Templates!$A:$G,7,FALSE),0)))</f>
        <v/>
      </c>
    </row>
    <row r="6772" ht="15" customHeight="1">
      <c r="C6772">
        <f>IF($B6772="","",INT($B6772))</f>
        <v/>
      </c>
      <c r="D6772">
        <f>IF($C6772="","",$C6772-WEEKDAY($C6772,2)+1)</f>
        <v/>
      </c>
      <c r="E6772">
        <f>IF($C6772="","",DATE(YEAR($C6772),MONTH($C6772),1))</f>
        <v/>
      </c>
      <c r="F6772">
        <f>IF($C6772="","",YEAR($C6772)&amp;"-Q"&amp;ROUNDUP(MONTH($C6772)/3,0))</f>
        <v/>
      </c>
      <c r="L6772">
        <f>IF($G6772&lt;&gt;"ALCOHOL","",IF($K6772="","",$H6772*IFERROR(VLOOKUP($K6772,Drink_Templates!$A:$G,7,FALSE),0)))</f>
        <v/>
      </c>
    </row>
    <row r="6773" ht="15" customHeight="1">
      <c r="C6773">
        <f>IF($B6773="","",INT($B6773))</f>
        <v/>
      </c>
      <c r="D6773">
        <f>IF($C6773="","",$C6773-WEEKDAY($C6773,2)+1)</f>
        <v/>
      </c>
      <c r="E6773">
        <f>IF($C6773="","",DATE(YEAR($C6773),MONTH($C6773),1))</f>
        <v/>
      </c>
      <c r="F6773">
        <f>IF($C6773="","",YEAR($C6773)&amp;"-Q"&amp;ROUNDUP(MONTH($C6773)/3,0))</f>
        <v/>
      </c>
      <c r="L6773">
        <f>IF($G6773&lt;&gt;"ALCOHOL","",IF($K6773="","",$H6773*IFERROR(VLOOKUP($K6773,Drink_Templates!$A:$G,7,FALSE),0)))</f>
        <v/>
      </c>
    </row>
    <row r="6774" ht="15" customHeight="1">
      <c r="C6774">
        <f>IF($B6774="","",INT($B6774))</f>
        <v/>
      </c>
      <c r="D6774">
        <f>IF($C6774="","",$C6774-WEEKDAY($C6774,2)+1)</f>
        <v/>
      </c>
      <c r="E6774">
        <f>IF($C6774="","",DATE(YEAR($C6774),MONTH($C6774),1))</f>
        <v/>
      </c>
      <c r="F6774">
        <f>IF($C6774="","",YEAR($C6774)&amp;"-Q"&amp;ROUNDUP(MONTH($C6774)/3,0))</f>
        <v/>
      </c>
      <c r="L6774">
        <f>IF($G6774&lt;&gt;"ALCOHOL","",IF($K6774="","",$H6774*IFERROR(VLOOKUP($K6774,Drink_Templates!$A:$G,7,FALSE),0)))</f>
        <v/>
      </c>
    </row>
    <row r="6775" ht="15" customHeight="1">
      <c r="C6775">
        <f>IF($B6775="","",INT($B6775))</f>
        <v/>
      </c>
      <c r="D6775">
        <f>IF($C6775="","",$C6775-WEEKDAY($C6775,2)+1)</f>
        <v/>
      </c>
      <c r="E6775">
        <f>IF($C6775="","",DATE(YEAR($C6775),MONTH($C6775),1))</f>
        <v/>
      </c>
      <c r="F6775">
        <f>IF($C6775="","",YEAR($C6775)&amp;"-Q"&amp;ROUNDUP(MONTH($C6775)/3,0))</f>
        <v/>
      </c>
      <c r="L6775">
        <f>IF($G6775&lt;&gt;"ALCOHOL","",IF($K6775="","",$H6775*IFERROR(VLOOKUP($K6775,Drink_Templates!$A:$G,7,FALSE),0)))</f>
        <v/>
      </c>
    </row>
    <row r="6776" ht="15" customHeight="1">
      <c r="C6776">
        <f>IF($B6776="","",INT($B6776))</f>
        <v/>
      </c>
      <c r="D6776">
        <f>IF($C6776="","",$C6776-WEEKDAY($C6776,2)+1)</f>
        <v/>
      </c>
      <c r="E6776">
        <f>IF($C6776="","",DATE(YEAR($C6776),MONTH($C6776),1))</f>
        <v/>
      </c>
      <c r="F6776">
        <f>IF($C6776="","",YEAR($C6776)&amp;"-Q"&amp;ROUNDUP(MONTH($C6776)/3,0))</f>
        <v/>
      </c>
      <c r="L6776">
        <f>IF($G6776&lt;&gt;"ALCOHOL","",IF($K6776="","",$H6776*IFERROR(VLOOKUP($K6776,Drink_Templates!$A:$G,7,FALSE),0)))</f>
        <v/>
      </c>
    </row>
    <row r="6777" ht="15" customHeight="1">
      <c r="C6777">
        <f>IF($B6777="","",INT($B6777))</f>
        <v/>
      </c>
      <c r="D6777">
        <f>IF($C6777="","",$C6777-WEEKDAY($C6777,2)+1)</f>
        <v/>
      </c>
      <c r="E6777">
        <f>IF($C6777="","",DATE(YEAR($C6777),MONTH($C6777),1))</f>
        <v/>
      </c>
      <c r="F6777">
        <f>IF($C6777="","",YEAR($C6777)&amp;"-Q"&amp;ROUNDUP(MONTH($C6777)/3,0))</f>
        <v/>
      </c>
      <c r="L6777">
        <f>IF($G6777&lt;&gt;"ALCOHOL","",IF($K6777="","",$H6777*IFERROR(VLOOKUP($K6777,Drink_Templates!$A:$G,7,FALSE),0)))</f>
        <v/>
      </c>
    </row>
    <row r="6778" ht="15" customHeight="1">
      <c r="C6778">
        <f>IF($B6778="","",INT($B6778))</f>
        <v/>
      </c>
      <c r="D6778">
        <f>IF($C6778="","",$C6778-WEEKDAY($C6778,2)+1)</f>
        <v/>
      </c>
      <c r="E6778">
        <f>IF($C6778="","",DATE(YEAR($C6778),MONTH($C6778),1))</f>
        <v/>
      </c>
      <c r="F6778">
        <f>IF($C6778="","",YEAR($C6778)&amp;"-Q"&amp;ROUNDUP(MONTH($C6778)/3,0))</f>
        <v/>
      </c>
      <c r="L6778">
        <f>IF($G6778&lt;&gt;"ALCOHOL","",IF($K6778="","",$H6778*IFERROR(VLOOKUP($K6778,Drink_Templates!$A:$G,7,FALSE),0)))</f>
        <v/>
      </c>
    </row>
    <row r="6779" ht="15" customHeight="1">
      <c r="C6779">
        <f>IF($B6779="","",INT($B6779))</f>
        <v/>
      </c>
      <c r="D6779">
        <f>IF($C6779="","",$C6779-WEEKDAY($C6779,2)+1)</f>
        <v/>
      </c>
      <c r="E6779">
        <f>IF($C6779="","",DATE(YEAR($C6779),MONTH($C6779),1))</f>
        <v/>
      </c>
      <c r="F6779">
        <f>IF($C6779="","",YEAR($C6779)&amp;"-Q"&amp;ROUNDUP(MONTH($C6779)/3,0))</f>
        <v/>
      </c>
      <c r="L6779">
        <f>IF($G6779&lt;&gt;"ALCOHOL","",IF($K6779="","",$H6779*IFERROR(VLOOKUP($K6779,Drink_Templates!$A:$G,7,FALSE),0)))</f>
        <v/>
      </c>
    </row>
    <row r="6780" ht="15" customHeight="1">
      <c r="C6780">
        <f>IF($B6780="","",INT($B6780))</f>
        <v/>
      </c>
      <c r="D6780">
        <f>IF($C6780="","",$C6780-WEEKDAY($C6780,2)+1)</f>
        <v/>
      </c>
      <c r="E6780">
        <f>IF($C6780="","",DATE(YEAR($C6780),MONTH($C6780),1))</f>
        <v/>
      </c>
      <c r="F6780">
        <f>IF($C6780="","",YEAR($C6780)&amp;"-Q"&amp;ROUNDUP(MONTH($C6780)/3,0))</f>
        <v/>
      </c>
      <c r="L6780">
        <f>IF($G6780&lt;&gt;"ALCOHOL","",IF($K6780="","",$H6780*IFERROR(VLOOKUP($K6780,Drink_Templates!$A:$G,7,FALSE),0)))</f>
        <v/>
      </c>
    </row>
    <row r="6781" ht="15" customHeight="1">
      <c r="C6781">
        <f>IF($B6781="","",INT($B6781))</f>
        <v/>
      </c>
      <c r="D6781">
        <f>IF($C6781="","",$C6781-WEEKDAY($C6781,2)+1)</f>
        <v/>
      </c>
      <c r="E6781">
        <f>IF($C6781="","",DATE(YEAR($C6781),MONTH($C6781),1))</f>
        <v/>
      </c>
      <c r="F6781">
        <f>IF($C6781="","",YEAR($C6781)&amp;"-Q"&amp;ROUNDUP(MONTH($C6781)/3,0))</f>
        <v/>
      </c>
      <c r="L6781">
        <f>IF($G6781&lt;&gt;"ALCOHOL","",IF($K6781="","",$H6781*IFERROR(VLOOKUP($K6781,Drink_Templates!$A:$G,7,FALSE),0)))</f>
        <v/>
      </c>
    </row>
    <row r="6782" ht="15" customHeight="1">
      <c r="C6782">
        <f>IF($B6782="","",INT($B6782))</f>
        <v/>
      </c>
      <c r="D6782">
        <f>IF($C6782="","",$C6782-WEEKDAY($C6782,2)+1)</f>
        <v/>
      </c>
      <c r="E6782">
        <f>IF($C6782="","",DATE(YEAR($C6782),MONTH($C6782),1))</f>
        <v/>
      </c>
      <c r="F6782">
        <f>IF($C6782="","",YEAR($C6782)&amp;"-Q"&amp;ROUNDUP(MONTH($C6782)/3,0))</f>
        <v/>
      </c>
      <c r="L6782">
        <f>IF($G6782&lt;&gt;"ALCOHOL","",IF($K6782="","",$H6782*IFERROR(VLOOKUP($K6782,Drink_Templates!$A:$G,7,FALSE),0)))</f>
        <v/>
      </c>
    </row>
    <row r="6783" ht="15" customHeight="1">
      <c r="C6783">
        <f>IF($B6783="","",INT($B6783))</f>
        <v/>
      </c>
      <c r="D6783">
        <f>IF($C6783="","",$C6783-WEEKDAY($C6783,2)+1)</f>
        <v/>
      </c>
      <c r="E6783">
        <f>IF($C6783="","",DATE(YEAR($C6783),MONTH($C6783),1))</f>
        <v/>
      </c>
      <c r="F6783">
        <f>IF($C6783="","",YEAR($C6783)&amp;"-Q"&amp;ROUNDUP(MONTH($C6783)/3,0))</f>
        <v/>
      </c>
      <c r="L6783">
        <f>IF($G6783&lt;&gt;"ALCOHOL","",IF($K6783="","",$H6783*IFERROR(VLOOKUP($K6783,Drink_Templates!$A:$G,7,FALSE),0)))</f>
        <v/>
      </c>
    </row>
    <row r="6784" ht="15" customHeight="1">
      <c r="C6784">
        <f>IF($B6784="","",INT($B6784))</f>
        <v/>
      </c>
      <c r="D6784">
        <f>IF($C6784="","",$C6784-WEEKDAY($C6784,2)+1)</f>
        <v/>
      </c>
      <c r="E6784">
        <f>IF($C6784="","",DATE(YEAR($C6784),MONTH($C6784),1))</f>
        <v/>
      </c>
      <c r="F6784">
        <f>IF($C6784="","",YEAR($C6784)&amp;"-Q"&amp;ROUNDUP(MONTH($C6784)/3,0))</f>
        <v/>
      </c>
      <c r="L6784">
        <f>IF($G6784&lt;&gt;"ALCOHOL","",IF($K6784="","",$H6784*IFERROR(VLOOKUP($K6784,Drink_Templates!$A:$G,7,FALSE),0)))</f>
        <v/>
      </c>
    </row>
    <row r="6785" ht="15" customHeight="1">
      <c r="C6785">
        <f>IF($B6785="","",INT($B6785))</f>
        <v/>
      </c>
      <c r="D6785">
        <f>IF($C6785="","",$C6785-WEEKDAY($C6785,2)+1)</f>
        <v/>
      </c>
      <c r="E6785">
        <f>IF($C6785="","",DATE(YEAR($C6785),MONTH($C6785),1))</f>
        <v/>
      </c>
      <c r="F6785">
        <f>IF($C6785="","",YEAR($C6785)&amp;"-Q"&amp;ROUNDUP(MONTH($C6785)/3,0))</f>
        <v/>
      </c>
      <c r="L6785">
        <f>IF($G6785&lt;&gt;"ALCOHOL","",IF($K6785="","",$H6785*IFERROR(VLOOKUP($K6785,Drink_Templates!$A:$G,7,FALSE),0)))</f>
        <v/>
      </c>
    </row>
    <row r="6786" ht="15" customHeight="1">
      <c r="C6786">
        <f>IF($B6786="","",INT($B6786))</f>
        <v/>
      </c>
      <c r="D6786">
        <f>IF($C6786="","",$C6786-WEEKDAY($C6786,2)+1)</f>
        <v/>
      </c>
      <c r="E6786">
        <f>IF($C6786="","",DATE(YEAR($C6786),MONTH($C6786),1))</f>
        <v/>
      </c>
      <c r="F6786">
        <f>IF($C6786="","",YEAR($C6786)&amp;"-Q"&amp;ROUNDUP(MONTH($C6786)/3,0))</f>
        <v/>
      </c>
      <c r="L6786">
        <f>IF($G6786&lt;&gt;"ALCOHOL","",IF($K6786="","",$H6786*IFERROR(VLOOKUP($K6786,Drink_Templates!$A:$G,7,FALSE),0)))</f>
        <v/>
      </c>
    </row>
    <row r="6787" ht="15" customHeight="1">
      <c r="C6787">
        <f>IF($B6787="","",INT($B6787))</f>
        <v/>
      </c>
      <c r="D6787">
        <f>IF($C6787="","",$C6787-WEEKDAY($C6787,2)+1)</f>
        <v/>
      </c>
      <c r="E6787">
        <f>IF($C6787="","",DATE(YEAR($C6787),MONTH($C6787),1))</f>
        <v/>
      </c>
      <c r="F6787">
        <f>IF($C6787="","",YEAR($C6787)&amp;"-Q"&amp;ROUNDUP(MONTH($C6787)/3,0))</f>
        <v/>
      </c>
      <c r="L6787">
        <f>IF($G6787&lt;&gt;"ALCOHOL","",IF($K6787="","",$H6787*IFERROR(VLOOKUP($K6787,Drink_Templates!$A:$G,7,FALSE),0)))</f>
        <v/>
      </c>
    </row>
    <row r="6788" ht="15" customHeight="1">
      <c r="C6788">
        <f>IF($B6788="","",INT($B6788))</f>
        <v/>
      </c>
      <c r="D6788">
        <f>IF($C6788="","",$C6788-WEEKDAY($C6788,2)+1)</f>
        <v/>
      </c>
      <c r="E6788">
        <f>IF($C6788="","",DATE(YEAR($C6788),MONTH($C6788),1))</f>
        <v/>
      </c>
      <c r="F6788">
        <f>IF($C6788="","",YEAR($C6788)&amp;"-Q"&amp;ROUNDUP(MONTH($C6788)/3,0))</f>
        <v/>
      </c>
      <c r="L6788">
        <f>IF($G6788&lt;&gt;"ALCOHOL","",IF($K6788="","",$H6788*IFERROR(VLOOKUP($K6788,Drink_Templates!$A:$G,7,FALSE),0)))</f>
        <v/>
      </c>
    </row>
    <row r="6789" ht="15" customHeight="1">
      <c r="C6789">
        <f>IF($B6789="","",INT($B6789))</f>
        <v/>
      </c>
      <c r="D6789">
        <f>IF($C6789="","",$C6789-WEEKDAY($C6789,2)+1)</f>
        <v/>
      </c>
      <c r="E6789">
        <f>IF($C6789="","",DATE(YEAR($C6789),MONTH($C6789),1))</f>
        <v/>
      </c>
      <c r="F6789">
        <f>IF($C6789="","",YEAR($C6789)&amp;"-Q"&amp;ROUNDUP(MONTH($C6789)/3,0))</f>
        <v/>
      </c>
      <c r="L6789">
        <f>IF($G6789&lt;&gt;"ALCOHOL","",IF($K6789="","",$H6789*IFERROR(VLOOKUP($K6789,Drink_Templates!$A:$G,7,FALSE),0)))</f>
        <v/>
      </c>
    </row>
    <row r="6790" ht="15" customHeight="1">
      <c r="C6790">
        <f>IF($B6790="","",INT($B6790))</f>
        <v/>
      </c>
      <c r="D6790">
        <f>IF($C6790="","",$C6790-WEEKDAY($C6790,2)+1)</f>
        <v/>
      </c>
      <c r="E6790">
        <f>IF($C6790="","",DATE(YEAR($C6790),MONTH($C6790),1))</f>
        <v/>
      </c>
      <c r="F6790">
        <f>IF($C6790="","",YEAR($C6790)&amp;"-Q"&amp;ROUNDUP(MONTH($C6790)/3,0))</f>
        <v/>
      </c>
      <c r="L6790">
        <f>IF($G6790&lt;&gt;"ALCOHOL","",IF($K6790="","",$H6790*IFERROR(VLOOKUP($K6790,Drink_Templates!$A:$G,7,FALSE),0)))</f>
        <v/>
      </c>
    </row>
    <row r="6791" ht="15" customHeight="1">
      <c r="C6791">
        <f>IF($B6791="","",INT($B6791))</f>
        <v/>
      </c>
      <c r="D6791">
        <f>IF($C6791="","",$C6791-WEEKDAY($C6791,2)+1)</f>
        <v/>
      </c>
      <c r="E6791">
        <f>IF($C6791="","",DATE(YEAR($C6791),MONTH($C6791),1))</f>
        <v/>
      </c>
      <c r="F6791">
        <f>IF($C6791="","",YEAR($C6791)&amp;"-Q"&amp;ROUNDUP(MONTH($C6791)/3,0))</f>
        <v/>
      </c>
      <c r="L6791">
        <f>IF($G6791&lt;&gt;"ALCOHOL","",IF($K6791="","",$H6791*IFERROR(VLOOKUP($K6791,Drink_Templates!$A:$G,7,FALSE),0)))</f>
        <v/>
      </c>
    </row>
    <row r="6792" ht="15" customHeight="1">
      <c r="C6792">
        <f>IF($B6792="","",INT($B6792))</f>
        <v/>
      </c>
      <c r="D6792">
        <f>IF($C6792="","",$C6792-WEEKDAY($C6792,2)+1)</f>
        <v/>
      </c>
      <c r="E6792">
        <f>IF($C6792="","",DATE(YEAR($C6792),MONTH($C6792),1))</f>
        <v/>
      </c>
      <c r="F6792">
        <f>IF($C6792="","",YEAR($C6792)&amp;"-Q"&amp;ROUNDUP(MONTH($C6792)/3,0))</f>
        <v/>
      </c>
      <c r="L6792">
        <f>IF($G6792&lt;&gt;"ALCOHOL","",IF($K6792="","",$H6792*IFERROR(VLOOKUP($K6792,Drink_Templates!$A:$G,7,FALSE),0)))</f>
        <v/>
      </c>
    </row>
    <row r="6793" ht="15" customHeight="1">
      <c r="C6793">
        <f>IF($B6793="","",INT($B6793))</f>
        <v/>
      </c>
      <c r="D6793">
        <f>IF($C6793="","",$C6793-WEEKDAY($C6793,2)+1)</f>
        <v/>
      </c>
      <c r="E6793">
        <f>IF($C6793="","",DATE(YEAR($C6793),MONTH($C6793),1))</f>
        <v/>
      </c>
      <c r="F6793">
        <f>IF($C6793="","",YEAR($C6793)&amp;"-Q"&amp;ROUNDUP(MONTH($C6793)/3,0))</f>
        <v/>
      </c>
      <c r="L6793">
        <f>IF($G6793&lt;&gt;"ALCOHOL","",IF($K6793="","",$H6793*IFERROR(VLOOKUP($K6793,Drink_Templates!$A:$G,7,FALSE),0)))</f>
        <v/>
      </c>
    </row>
    <row r="6794" ht="15" customHeight="1">
      <c r="C6794">
        <f>IF($B6794="","",INT($B6794))</f>
        <v/>
      </c>
      <c r="D6794">
        <f>IF($C6794="","",$C6794-WEEKDAY($C6794,2)+1)</f>
        <v/>
      </c>
      <c r="E6794">
        <f>IF($C6794="","",DATE(YEAR($C6794),MONTH($C6794),1))</f>
        <v/>
      </c>
      <c r="F6794">
        <f>IF($C6794="","",YEAR($C6794)&amp;"-Q"&amp;ROUNDUP(MONTH($C6794)/3,0))</f>
        <v/>
      </c>
      <c r="L6794">
        <f>IF($G6794&lt;&gt;"ALCOHOL","",IF($K6794="","",$H6794*IFERROR(VLOOKUP($K6794,Drink_Templates!$A:$G,7,FALSE),0)))</f>
        <v/>
      </c>
    </row>
    <row r="6795" ht="15" customHeight="1">
      <c r="C6795">
        <f>IF($B6795="","",INT($B6795))</f>
        <v/>
      </c>
      <c r="D6795">
        <f>IF($C6795="","",$C6795-WEEKDAY($C6795,2)+1)</f>
        <v/>
      </c>
      <c r="E6795">
        <f>IF($C6795="","",DATE(YEAR($C6795),MONTH($C6795),1))</f>
        <v/>
      </c>
      <c r="F6795">
        <f>IF($C6795="","",YEAR($C6795)&amp;"-Q"&amp;ROUNDUP(MONTH($C6795)/3,0))</f>
        <v/>
      </c>
      <c r="L6795">
        <f>IF($G6795&lt;&gt;"ALCOHOL","",IF($K6795="","",$H6795*IFERROR(VLOOKUP($K6795,Drink_Templates!$A:$G,7,FALSE),0)))</f>
        <v/>
      </c>
    </row>
    <row r="6796" ht="15" customHeight="1">
      <c r="C6796">
        <f>IF($B6796="","",INT($B6796))</f>
        <v/>
      </c>
      <c r="D6796">
        <f>IF($C6796="","",$C6796-WEEKDAY($C6796,2)+1)</f>
        <v/>
      </c>
      <c r="E6796">
        <f>IF($C6796="","",DATE(YEAR($C6796),MONTH($C6796),1))</f>
        <v/>
      </c>
      <c r="F6796">
        <f>IF($C6796="","",YEAR($C6796)&amp;"-Q"&amp;ROUNDUP(MONTH($C6796)/3,0))</f>
        <v/>
      </c>
      <c r="L6796">
        <f>IF($G6796&lt;&gt;"ALCOHOL","",IF($K6796="","",$H6796*IFERROR(VLOOKUP($K6796,Drink_Templates!$A:$G,7,FALSE),0)))</f>
        <v/>
      </c>
    </row>
    <row r="6797" ht="15" customHeight="1">
      <c r="C6797">
        <f>IF($B6797="","",INT($B6797))</f>
        <v/>
      </c>
      <c r="D6797">
        <f>IF($C6797="","",$C6797-WEEKDAY($C6797,2)+1)</f>
        <v/>
      </c>
      <c r="E6797">
        <f>IF($C6797="","",DATE(YEAR($C6797),MONTH($C6797),1))</f>
        <v/>
      </c>
      <c r="F6797">
        <f>IF($C6797="","",YEAR($C6797)&amp;"-Q"&amp;ROUNDUP(MONTH($C6797)/3,0))</f>
        <v/>
      </c>
      <c r="L6797">
        <f>IF($G6797&lt;&gt;"ALCOHOL","",IF($K6797="","",$H6797*IFERROR(VLOOKUP($K6797,Drink_Templates!$A:$G,7,FALSE),0)))</f>
        <v/>
      </c>
    </row>
    <row r="6798" ht="15" customHeight="1">
      <c r="C6798">
        <f>IF($B6798="","",INT($B6798))</f>
        <v/>
      </c>
      <c r="D6798">
        <f>IF($C6798="","",$C6798-WEEKDAY($C6798,2)+1)</f>
        <v/>
      </c>
      <c r="E6798">
        <f>IF($C6798="","",DATE(YEAR($C6798),MONTH($C6798),1))</f>
        <v/>
      </c>
      <c r="F6798">
        <f>IF($C6798="","",YEAR($C6798)&amp;"-Q"&amp;ROUNDUP(MONTH($C6798)/3,0))</f>
        <v/>
      </c>
      <c r="L6798">
        <f>IF($G6798&lt;&gt;"ALCOHOL","",IF($K6798="","",$H6798*IFERROR(VLOOKUP($K6798,Drink_Templates!$A:$G,7,FALSE),0)))</f>
        <v/>
      </c>
    </row>
    <row r="6799" ht="15" customHeight="1">
      <c r="C6799">
        <f>IF($B6799="","",INT($B6799))</f>
        <v/>
      </c>
      <c r="D6799">
        <f>IF($C6799="","",$C6799-WEEKDAY($C6799,2)+1)</f>
        <v/>
      </c>
      <c r="E6799">
        <f>IF($C6799="","",DATE(YEAR($C6799),MONTH($C6799),1))</f>
        <v/>
      </c>
      <c r="F6799">
        <f>IF($C6799="","",YEAR($C6799)&amp;"-Q"&amp;ROUNDUP(MONTH($C6799)/3,0))</f>
        <v/>
      </c>
      <c r="L6799">
        <f>IF($G6799&lt;&gt;"ALCOHOL","",IF($K6799="","",$H6799*IFERROR(VLOOKUP($K6799,Drink_Templates!$A:$G,7,FALSE),0)))</f>
        <v/>
      </c>
    </row>
    <row r="6800" ht="15" customHeight="1">
      <c r="C6800">
        <f>IF($B6800="","",INT($B6800))</f>
        <v/>
      </c>
      <c r="D6800">
        <f>IF($C6800="","",$C6800-WEEKDAY($C6800,2)+1)</f>
        <v/>
      </c>
      <c r="E6800">
        <f>IF($C6800="","",DATE(YEAR($C6800),MONTH($C6800),1))</f>
        <v/>
      </c>
      <c r="F6800">
        <f>IF($C6800="","",YEAR($C6800)&amp;"-Q"&amp;ROUNDUP(MONTH($C6800)/3,0))</f>
        <v/>
      </c>
      <c r="L6800">
        <f>IF($G6800&lt;&gt;"ALCOHOL","",IF($K6800="","",$H6800*IFERROR(VLOOKUP($K6800,Drink_Templates!$A:$G,7,FALSE),0)))</f>
        <v/>
      </c>
    </row>
    <row r="6801" ht="15" customHeight="1">
      <c r="C6801">
        <f>IF($B6801="","",INT($B6801))</f>
        <v/>
      </c>
      <c r="D6801">
        <f>IF($C6801="","",$C6801-WEEKDAY($C6801,2)+1)</f>
        <v/>
      </c>
      <c r="E6801">
        <f>IF($C6801="","",DATE(YEAR($C6801),MONTH($C6801),1))</f>
        <v/>
      </c>
      <c r="F6801">
        <f>IF($C6801="","",YEAR($C6801)&amp;"-Q"&amp;ROUNDUP(MONTH($C6801)/3,0))</f>
        <v/>
      </c>
      <c r="L6801">
        <f>IF($G6801&lt;&gt;"ALCOHOL","",IF($K6801="","",$H6801*IFERROR(VLOOKUP($K6801,Drink_Templates!$A:$G,7,FALSE),0)))</f>
        <v/>
      </c>
    </row>
    <row r="6802" ht="15" customHeight="1">
      <c r="C6802">
        <f>IF($B6802="","",INT($B6802))</f>
        <v/>
      </c>
      <c r="D6802">
        <f>IF($C6802="","",$C6802-WEEKDAY($C6802,2)+1)</f>
        <v/>
      </c>
      <c r="E6802">
        <f>IF($C6802="","",DATE(YEAR($C6802),MONTH($C6802),1))</f>
        <v/>
      </c>
      <c r="F6802">
        <f>IF($C6802="","",YEAR($C6802)&amp;"-Q"&amp;ROUNDUP(MONTH($C6802)/3,0))</f>
        <v/>
      </c>
      <c r="L6802">
        <f>IF($G6802&lt;&gt;"ALCOHOL","",IF($K6802="","",$H6802*IFERROR(VLOOKUP($K6802,Drink_Templates!$A:$G,7,FALSE),0)))</f>
        <v/>
      </c>
    </row>
    <row r="6803" ht="15" customHeight="1">
      <c r="C6803">
        <f>IF($B6803="","",INT($B6803))</f>
        <v/>
      </c>
      <c r="D6803">
        <f>IF($C6803="","",$C6803-WEEKDAY($C6803,2)+1)</f>
        <v/>
      </c>
      <c r="E6803">
        <f>IF($C6803="","",DATE(YEAR($C6803),MONTH($C6803),1))</f>
        <v/>
      </c>
      <c r="F6803">
        <f>IF($C6803="","",YEAR($C6803)&amp;"-Q"&amp;ROUNDUP(MONTH($C6803)/3,0))</f>
        <v/>
      </c>
      <c r="L6803">
        <f>IF($G6803&lt;&gt;"ALCOHOL","",IF($K6803="","",$H6803*IFERROR(VLOOKUP($K6803,Drink_Templates!$A:$G,7,FALSE),0)))</f>
        <v/>
      </c>
    </row>
    <row r="6804" ht="15" customHeight="1">
      <c r="C6804">
        <f>IF($B6804="","",INT($B6804))</f>
        <v/>
      </c>
      <c r="D6804">
        <f>IF($C6804="","",$C6804-WEEKDAY($C6804,2)+1)</f>
        <v/>
      </c>
      <c r="E6804">
        <f>IF($C6804="","",DATE(YEAR($C6804),MONTH($C6804),1))</f>
        <v/>
      </c>
      <c r="F6804">
        <f>IF($C6804="","",YEAR($C6804)&amp;"-Q"&amp;ROUNDUP(MONTH($C6804)/3,0))</f>
        <v/>
      </c>
      <c r="L6804">
        <f>IF($G6804&lt;&gt;"ALCOHOL","",IF($K6804="","",$H6804*IFERROR(VLOOKUP($K6804,Drink_Templates!$A:$G,7,FALSE),0)))</f>
        <v/>
      </c>
    </row>
    <row r="6805" ht="15" customHeight="1">
      <c r="C6805">
        <f>IF($B6805="","",INT($B6805))</f>
        <v/>
      </c>
      <c r="D6805">
        <f>IF($C6805="","",$C6805-WEEKDAY($C6805,2)+1)</f>
        <v/>
      </c>
      <c r="E6805">
        <f>IF($C6805="","",DATE(YEAR($C6805),MONTH($C6805),1))</f>
        <v/>
      </c>
      <c r="F6805">
        <f>IF($C6805="","",YEAR($C6805)&amp;"-Q"&amp;ROUNDUP(MONTH($C6805)/3,0))</f>
        <v/>
      </c>
      <c r="L6805">
        <f>IF($G6805&lt;&gt;"ALCOHOL","",IF($K6805="","",$H6805*IFERROR(VLOOKUP($K6805,Drink_Templates!$A:$G,7,FALSE),0)))</f>
        <v/>
      </c>
    </row>
    <row r="6806" ht="15" customHeight="1">
      <c r="C6806">
        <f>IF($B6806="","",INT($B6806))</f>
        <v/>
      </c>
      <c r="D6806">
        <f>IF($C6806="","",$C6806-WEEKDAY($C6806,2)+1)</f>
        <v/>
      </c>
      <c r="E6806">
        <f>IF($C6806="","",DATE(YEAR($C6806),MONTH($C6806),1))</f>
        <v/>
      </c>
      <c r="F6806">
        <f>IF($C6806="","",YEAR($C6806)&amp;"-Q"&amp;ROUNDUP(MONTH($C6806)/3,0))</f>
        <v/>
      </c>
      <c r="L6806">
        <f>IF($G6806&lt;&gt;"ALCOHOL","",IF($K6806="","",$H6806*IFERROR(VLOOKUP($K6806,Drink_Templates!$A:$G,7,FALSE),0)))</f>
        <v/>
      </c>
    </row>
    <row r="6807" ht="15" customHeight="1">
      <c r="C6807">
        <f>IF($B6807="","",INT($B6807))</f>
        <v/>
      </c>
      <c r="D6807">
        <f>IF($C6807="","",$C6807-WEEKDAY($C6807,2)+1)</f>
        <v/>
      </c>
      <c r="E6807">
        <f>IF($C6807="","",DATE(YEAR($C6807),MONTH($C6807),1))</f>
        <v/>
      </c>
      <c r="F6807">
        <f>IF($C6807="","",YEAR($C6807)&amp;"-Q"&amp;ROUNDUP(MONTH($C6807)/3,0))</f>
        <v/>
      </c>
      <c r="L6807">
        <f>IF($G6807&lt;&gt;"ALCOHOL","",IF($K6807="","",$H6807*IFERROR(VLOOKUP($K6807,Drink_Templates!$A:$G,7,FALSE),0)))</f>
        <v/>
      </c>
    </row>
    <row r="6808" ht="15" customHeight="1">
      <c r="C6808">
        <f>IF($B6808="","",INT($B6808))</f>
        <v/>
      </c>
      <c r="D6808">
        <f>IF($C6808="","",$C6808-WEEKDAY($C6808,2)+1)</f>
        <v/>
      </c>
      <c r="E6808">
        <f>IF($C6808="","",DATE(YEAR($C6808),MONTH($C6808),1))</f>
        <v/>
      </c>
      <c r="F6808">
        <f>IF($C6808="","",YEAR($C6808)&amp;"-Q"&amp;ROUNDUP(MONTH($C6808)/3,0))</f>
        <v/>
      </c>
      <c r="L6808">
        <f>IF($G6808&lt;&gt;"ALCOHOL","",IF($K6808="","",$H6808*IFERROR(VLOOKUP($K6808,Drink_Templates!$A:$G,7,FALSE),0)))</f>
        <v/>
      </c>
    </row>
    <row r="6809" ht="15" customHeight="1">
      <c r="C6809">
        <f>IF($B6809="","",INT($B6809))</f>
        <v/>
      </c>
      <c r="D6809">
        <f>IF($C6809="","",$C6809-WEEKDAY($C6809,2)+1)</f>
        <v/>
      </c>
      <c r="E6809">
        <f>IF($C6809="","",DATE(YEAR($C6809),MONTH($C6809),1))</f>
        <v/>
      </c>
      <c r="F6809">
        <f>IF($C6809="","",YEAR($C6809)&amp;"-Q"&amp;ROUNDUP(MONTH($C6809)/3,0))</f>
        <v/>
      </c>
      <c r="L6809">
        <f>IF($G6809&lt;&gt;"ALCOHOL","",IF($K6809="","",$H6809*IFERROR(VLOOKUP($K6809,Drink_Templates!$A:$G,7,FALSE),0)))</f>
        <v/>
      </c>
    </row>
    <row r="6810" ht="15" customHeight="1">
      <c r="C6810">
        <f>IF($B6810="","",INT($B6810))</f>
        <v/>
      </c>
      <c r="D6810">
        <f>IF($C6810="","",$C6810-WEEKDAY($C6810,2)+1)</f>
        <v/>
      </c>
      <c r="E6810">
        <f>IF($C6810="","",DATE(YEAR($C6810),MONTH($C6810),1))</f>
        <v/>
      </c>
      <c r="F6810">
        <f>IF($C6810="","",YEAR($C6810)&amp;"-Q"&amp;ROUNDUP(MONTH($C6810)/3,0))</f>
        <v/>
      </c>
      <c r="L6810">
        <f>IF($G6810&lt;&gt;"ALCOHOL","",IF($K6810="","",$H6810*IFERROR(VLOOKUP($K6810,Drink_Templates!$A:$G,7,FALSE),0)))</f>
        <v/>
      </c>
    </row>
    <row r="6811" ht="15" customHeight="1">
      <c r="C6811">
        <f>IF($B6811="","",INT($B6811))</f>
        <v/>
      </c>
      <c r="D6811">
        <f>IF($C6811="","",$C6811-WEEKDAY($C6811,2)+1)</f>
        <v/>
      </c>
      <c r="E6811">
        <f>IF($C6811="","",DATE(YEAR($C6811),MONTH($C6811),1))</f>
        <v/>
      </c>
      <c r="F6811">
        <f>IF($C6811="","",YEAR($C6811)&amp;"-Q"&amp;ROUNDUP(MONTH($C6811)/3,0))</f>
        <v/>
      </c>
      <c r="L6811">
        <f>IF($G6811&lt;&gt;"ALCOHOL","",IF($K6811="","",$H6811*IFERROR(VLOOKUP($K6811,Drink_Templates!$A:$G,7,FALSE),0)))</f>
        <v/>
      </c>
    </row>
    <row r="6812" ht="15" customHeight="1">
      <c r="C6812">
        <f>IF($B6812="","",INT($B6812))</f>
        <v/>
      </c>
      <c r="D6812">
        <f>IF($C6812="","",$C6812-WEEKDAY($C6812,2)+1)</f>
        <v/>
      </c>
      <c r="E6812">
        <f>IF($C6812="","",DATE(YEAR($C6812),MONTH($C6812),1))</f>
        <v/>
      </c>
      <c r="F6812">
        <f>IF($C6812="","",YEAR($C6812)&amp;"-Q"&amp;ROUNDUP(MONTH($C6812)/3,0))</f>
        <v/>
      </c>
      <c r="L6812">
        <f>IF($G6812&lt;&gt;"ALCOHOL","",IF($K6812="","",$H6812*IFERROR(VLOOKUP($K6812,Drink_Templates!$A:$G,7,FALSE),0)))</f>
        <v/>
      </c>
    </row>
    <row r="6813" ht="15" customHeight="1">
      <c r="C6813">
        <f>IF($B6813="","",INT($B6813))</f>
        <v/>
      </c>
      <c r="D6813">
        <f>IF($C6813="","",$C6813-WEEKDAY($C6813,2)+1)</f>
        <v/>
      </c>
      <c r="E6813">
        <f>IF($C6813="","",DATE(YEAR($C6813),MONTH($C6813),1))</f>
        <v/>
      </c>
      <c r="F6813">
        <f>IF($C6813="","",YEAR($C6813)&amp;"-Q"&amp;ROUNDUP(MONTH($C6813)/3,0))</f>
        <v/>
      </c>
      <c r="L6813">
        <f>IF($G6813&lt;&gt;"ALCOHOL","",IF($K6813="","",$H6813*IFERROR(VLOOKUP($K6813,Drink_Templates!$A:$G,7,FALSE),0)))</f>
        <v/>
      </c>
    </row>
    <row r="6814" ht="15" customHeight="1">
      <c r="C6814">
        <f>IF($B6814="","",INT($B6814))</f>
        <v/>
      </c>
      <c r="D6814">
        <f>IF($C6814="","",$C6814-WEEKDAY($C6814,2)+1)</f>
        <v/>
      </c>
      <c r="E6814">
        <f>IF($C6814="","",DATE(YEAR($C6814),MONTH($C6814),1))</f>
        <v/>
      </c>
      <c r="F6814">
        <f>IF($C6814="","",YEAR($C6814)&amp;"-Q"&amp;ROUNDUP(MONTH($C6814)/3,0))</f>
        <v/>
      </c>
      <c r="L6814">
        <f>IF($G6814&lt;&gt;"ALCOHOL","",IF($K6814="","",$H6814*IFERROR(VLOOKUP($K6814,Drink_Templates!$A:$G,7,FALSE),0)))</f>
        <v/>
      </c>
    </row>
    <row r="6815" ht="15" customHeight="1">
      <c r="C6815">
        <f>IF($B6815="","",INT($B6815))</f>
        <v/>
      </c>
      <c r="D6815">
        <f>IF($C6815="","",$C6815-WEEKDAY($C6815,2)+1)</f>
        <v/>
      </c>
      <c r="E6815">
        <f>IF($C6815="","",DATE(YEAR($C6815),MONTH($C6815),1))</f>
        <v/>
      </c>
      <c r="F6815">
        <f>IF($C6815="","",YEAR($C6815)&amp;"-Q"&amp;ROUNDUP(MONTH($C6815)/3,0))</f>
        <v/>
      </c>
      <c r="L6815">
        <f>IF($G6815&lt;&gt;"ALCOHOL","",IF($K6815="","",$H6815*IFERROR(VLOOKUP($K6815,Drink_Templates!$A:$G,7,FALSE),0)))</f>
        <v/>
      </c>
    </row>
    <row r="6816" ht="15" customHeight="1">
      <c r="C6816">
        <f>IF($B6816="","",INT($B6816))</f>
        <v/>
      </c>
      <c r="D6816">
        <f>IF($C6816="","",$C6816-WEEKDAY($C6816,2)+1)</f>
        <v/>
      </c>
      <c r="E6816">
        <f>IF($C6816="","",DATE(YEAR($C6816),MONTH($C6816),1))</f>
        <v/>
      </c>
      <c r="F6816">
        <f>IF($C6816="","",YEAR($C6816)&amp;"-Q"&amp;ROUNDUP(MONTH($C6816)/3,0))</f>
        <v/>
      </c>
      <c r="L6816">
        <f>IF($G6816&lt;&gt;"ALCOHOL","",IF($K6816="","",$H6816*IFERROR(VLOOKUP($K6816,Drink_Templates!$A:$G,7,FALSE),0)))</f>
        <v/>
      </c>
    </row>
    <row r="6817" ht="15" customHeight="1">
      <c r="C6817">
        <f>IF($B6817="","",INT($B6817))</f>
        <v/>
      </c>
      <c r="D6817">
        <f>IF($C6817="","",$C6817-WEEKDAY($C6817,2)+1)</f>
        <v/>
      </c>
      <c r="E6817">
        <f>IF($C6817="","",DATE(YEAR($C6817),MONTH($C6817),1))</f>
        <v/>
      </c>
      <c r="F6817">
        <f>IF($C6817="","",YEAR($C6817)&amp;"-Q"&amp;ROUNDUP(MONTH($C6817)/3,0))</f>
        <v/>
      </c>
      <c r="L6817">
        <f>IF($G6817&lt;&gt;"ALCOHOL","",IF($K6817="","",$H6817*IFERROR(VLOOKUP($K6817,Drink_Templates!$A:$G,7,FALSE),0)))</f>
        <v/>
      </c>
    </row>
    <row r="6818" ht="15" customHeight="1">
      <c r="C6818">
        <f>IF($B6818="","",INT($B6818))</f>
        <v/>
      </c>
      <c r="D6818">
        <f>IF($C6818="","",$C6818-WEEKDAY($C6818,2)+1)</f>
        <v/>
      </c>
      <c r="E6818">
        <f>IF($C6818="","",DATE(YEAR($C6818),MONTH($C6818),1))</f>
        <v/>
      </c>
      <c r="F6818">
        <f>IF($C6818="","",YEAR($C6818)&amp;"-Q"&amp;ROUNDUP(MONTH($C6818)/3,0))</f>
        <v/>
      </c>
      <c r="L6818">
        <f>IF($G6818&lt;&gt;"ALCOHOL","",IF($K6818="","",$H6818*IFERROR(VLOOKUP($K6818,Drink_Templates!$A:$G,7,FALSE),0)))</f>
        <v/>
      </c>
    </row>
    <row r="6819" ht="15" customHeight="1">
      <c r="C6819">
        <f>IF($B6819="","",INT($B6819))</f>
        <v/>
      </c>
      <c r="D6819">
        <f>IF($C6819="","",$C6819-WEEKDAY($C6819,2)+1)</f>
        <v/>
      </c>
      <c r="E6819">
        <f>IF($C6819="","",DATE(YEAR($C6819),MONTH($C6819),1))</f>
        <v/>
      </c>
      <c r="F6819">
        <f>IF($C6819="","",YEAR($C6819)&amp;"-Q"&amp;ROUNDUP(MONTH($C6819)/3,0))</f>
        <v/>
      </c>
      <c r="L6819">
        <f>IF($G6819&lt;&gt;"ALCOHOL","",IF($K6819="","",$H6819*IFERROR(VLOOKUP($K6819,Drink_Templates!$A:$G,7,FALSE),0)))</f>
        <v/>
      </c>
    </row>
    <row r="6820" ht="15" customHeight="1">
      <c r="C6820">
        <f>IF($B6820="","",INT($B6820))</f>
        <v/>
      </c>
      <c r="D6820">
        <f>IF($C6820="","",$C6820-WEEKDAY($C6820,2)+1)</f>
        <v/>
      </c>
      <c r="E6820">
        <f>IF($C6820="","",DATE(YEAR($C6820),MONTH($C6820),1))</f>
        <v/>
      </c>
      <c r="F6820">
        <f>IF($C6820="","",YEAR($C6820)&amp;"-Q"&amp;ROUNDUP(MONTH($C6820)/3,0))</f>
        <v/>
      </c>
      <c r="L6820">
        <f>IF($G6820&lt;&gt;"ALCOHOL","",IF($K6820="","",$H6820*IFERROR(VLOOKUP($K6820,Drink_Templates!$A:$G,7,FALSE),0)))</f>
        <v/>
      </c>
    </row>
    <row r="6821" ht="15" customHeight="1">
      <c r="C6821">
        <f>IF($B6821="","",INT($B6821))</f>
        <v/>
      </c>
      <c r="D6821">
        <f>IF($C6821="","",$C6821-WEEKDAY($C6821,2)+1)</f>
        <v/>
      </c>
      <c r="E6821">
        <f>IF($C6821="","",DATE(YEAR($C6821),MONTH($C6821),1))</f>
        <v/>
      </c>
      <c r="F6821">
        <f>IF($C6821="","",YEAR($C6821)&amp;"-Q"&amp;ROUNDUP(MONTH($C6821)/3,0))</f>
        <v/>
      </c>
      <c r="L6821">
        <f>IF($G6821&lt;&gt;"ALCOHOL","",IF($K6821="","",$H6821*IFERROR(VLOOKUP($K6821,Drink_Templates!$A:$G,7,FALSE),0)))</f>
        <v/>
      </c>
    </row>
    <row r="6822" ht="15" customHeight="1">
      <c r="C6822">
        <f>IF($B6822="","",INT($B6822))</f>
        <v/>
      </c>
      <c r="D6822">
        <f>IF($C6822="","",$C6822-WEEKDAY($C6822,2)+1)</f>
        <v/>
      </c>
      <c r="E6822">
        <f>IF($C6822="","",DATE(YEAR($C6822),MONTH($C6822),1))</f>
        <v/>
      </c>
      <c r="F6822">
        <f>IF($C6822="","",YEAR($C6822)&amp;"-Q"&amp;ROUNDUP(MONTH($C6822)/3,0))</f>
        <v/>
      </c>
      <c r="L6822">
        <f>IF($G6822&lt;&gt;"ALCOHOL","",IF($K6822="","",$H6822*IFERROR(VLOOKUP($K6822,Drink_Templates!$A:$G,7,FALSE),0)))</f>
        <v/>
      </c>
    </row>
    <row r="6823" ht="15" customHeight="1">
      <c r="C6823">
        <f>IF($B6823="","",INT($B6823))</f>
        <v/>
      </c>
      <c r="D6823">
        <f>IF($C6823="","",$C6823-WEEKDAY($C6823,2)+1)</f>
        <v/>
      </c>
      <c r="E6823">
        <f>IF($C6823="","",DATE(YEAR($C6823),MONTH($C6823),1))</f>
        <v/>
      </c>
      <c r="F6823">
        <f>IF($C6823="","",YEAR($C6823)&amp;"-Q"&amp;ROUNDUP(MONTH($C6823)/3,0))</f>
        <v/>
      </c>
      <c r="L6823">
        <f>IF($G6823&lt;&gt;"ALCOHOL","",IF($K6823="","",$H6823*IFERROR(VLOOKUP($K6823,Drink_Templates!$A:$G,7,FALSE),0)))</f>
        <v/>
      </c>
    </row>
    <row r="6824" ht="15" customHeight="1">
      <c r="C6824">
        <f>IF($B6824="","",INT($B6824))</f>
        <v/>
      </c>
      <c r="D6824">
        <f>IF($C6824="","",$C6824-WEEKDAY($C6824,2)+1)</f>
        <v/>
      </c>
      <c r="E6824">
        <f>IF($C6824="","",DATE(YEAR($C6824),MONTH($C6824),1))</f>
        <v/>
      </c>
      <c r="F6824">
        <f>IF($C6824="","",YEAR($C6824)&amp;"-Q"&amp;ROUNDUP(MONTH($C6824)/3,0))</f>
        <v/>
      </c>
      <c r="L6824">
        <f>IF($G6824&lt;&gt;"ALCOHOL","",IF($K6824="","",$H6824*IFERROR(VLOOKUP($K6824,Drink_Templates!$A:$G,7,FALSE),0)))</f>
        <v/>
      </c>
    </row>
    <row r="6825" ht="15" customHeight="1">
      <c r="C6825">
        <f>IF($B6825="","",INT($B6825))</f>
        <v/>
      </c>
      <c r="D6825">
        <f>IF($C6825="","",$C6825-WEEKDAY($C6825,2)+1)</f>
        <v/>
      </c>
      <c r="E6825">
        <f>IF($C6825="","",DATE(YEAR($C6825),MONTH($C6825),1))</f>
        <v/>
      </c>
      <c r="F6825">
        <f>IF($C6825="","",YEAR($C6825)&amp;"-Q"&amp;ROUNDUP(MONTH($C6825)/3,0))</f>
        <v/>
      </c>
      <c r="L6825">
        <f>IF($G6825&lt;&gt;"ALCOHOL","",IF($K6825="","",$H6825*IFERROR(VLOOKUP($K6825,Drink_Templates!$A:$G,7,FALSE),0)))</f>
        <v/>
      </c>
    </row>
    <row r="6826" ht="15" customHeight="1">
      <c r="C6826">
        <f>IF($B6826="","",INT($B6826))</f>
        <v/>
      </c>
      <c r="D6826">
        <f>IF($C6826="","",$C6826-WEEKDAY($C6826,2)+1)</f>
        <v/>
      </c>
      <c r="E6826">
        <f>IF($C6826="","",DATE(YEAR($C6826),MONTH($C6826),1))</f>
        <v/>
      </c>
      <c r="F6826">
        <f>IF($C6826="","",YEAR($C6826)&amp;"-Q"&amp;ROUNDUP(MONTH($C6826)/3,0))</f>
        <v/>
      </c>
      <c r="L6826">
        <f>IF($G6826&lt;&gt;"ALCOHOL","",IF($K6826="","",$H6826*IFERROR(VLOOKUP($K6826,Drink_Templates!$A:$G,7,FALSE),0)))</f>
        <v/>
      </c>
    </row>
    <row r="6827" ht="15" customHeight="1">
      <c r="C6827">
        <f>IF($B6827="","",INT($B6827))</f>
        <v/>
      </c>
      <c r="D6827">
        <f>IF($C6827="","",$C6827-WEEKDAY($C6827,2)+1)</f>
        <v/>
      </c>
      <c r="E6827">
        <f>IF($C6827="","",DATE(YEAR($C6827),MONTH($C6827),1))</f>
        <v/>
      </c>
      <c r="F6827">
        <f>IF($C6827="","",YEAR($C6827)&amp;"-Q"&amp;ROUNDUP(MONTH($C6827)/3,0))</f>
        <v/>
      </c>
      <c r="L6827">
        <f>IF($G6827&lt;&gt;"ALCOHOL","",IF($K6827="","",$H6827*IFERROR(VLOOKUP($K6827,Drink_Templates!$A:$G,7,FALSE),0)))</f>
        <v/>
      </c>
    </row>
    <row r="6828" ht="15" customHeight="1">
      <c r="C6828">
        <f>IF($B6828="","",INT($B6828))</f>
        <v/>
      </c>
      <c r="D6828">
        <f>IF($C6828="","",$C6828-WEEKDAY($C6828,2)+1)</f>
        <v/>
      </c>
      <c r="E6828">
        <f>IF($C6828="","",DATE(YEAR($C6828),MONTH($C6828),1))</f>
        <v/>
      </c>
      <c r="F6828">
        <f>IF($C6828="","",YEAR($C6828)&amp;"-Q"&amp;ROUNDUP(MONTH($C6828)/3,0))</f>
        <v/>
      </c>
      <c r="L6828">
        <f>IF($G6828&lt;&gt;"ALCOHOL","",IF($K6828="","",$H6828*IFERROR(VLOOKUP($K6828,Drink_Templates!$A:$G,7,FALSE),0)))</f>
        <v/>
      </c>
    </row>
    <row r="6829" ht="15" customHeight="1">
      <c r="C6829">
        <f>IF($B6829="","",INT($B6829))</f>
        <v/>
      </c>
      <c r="D6829">
        <f>IF($C6829="","",$C6829-WEEKDAY($C6829,2)+1)</f>
        <v/>
      </c>
      <c r="E6829">
        <f>IF($C6829="","",DATE(YEAR($C6829),MONTH($C6829),1))</f>
        <v/>
      </c>
      <c r="F6829">
        <f>IF($C6829="","",YEAR($C6829)&amp;"-Q"&amp;ROUNDUP(MONTH($C6829)/3,0))</f>
        <v/>
      </c>
      <c r="L6829">
        <f>IF($G6829&lt;&gt;"ALCOHOL","",IF($K6829="","",$H6829*IFERROR(VLOOKUP($K6829,Drink_Templates!$A:$G,7,FALSE),0)))</f>
        <v/>
      </c>
    </row>
    <row r="6830" ht="15" customHeight="1">
      <c r="C6830">
        <f>IF($B6830="","",INT($B6830))</f>
        <v/>
      </c>
      <c r="D6830">
        <f>IF($C6830="","",$C6830-WEEKDAY($C6830,2)+1)</f>
        <v/>
      </c>
      <c r="E6830">
        <f>IF($C6830="","",DATE(YEAR($C6830),MONTH($C6830),1))</f>
        <v/>
      </c>
      <c r="F6830">
        <f>IF($C6830="","",YEAR($C6830)&amp;"-Q"&amp;ROUNDUP(MONTH($C6830)/3,0))</f>
        <v/>
      </c>
      <c r="L6830">
        <f>IF($G6830&lt;&gt;"ALCOHOL","",IF($K6830="","",$H6830*IFERROR(VLOOKUP($K6830,Drink_Templates!$A:$G,7,FALSE),0)))</f>
        <v/>
      </c>
    </row>
    <row r="6831" ht="15" customHeight="1">
      <c r="C6831">
        <f>IF($B6831="","",INT($B6831))</f>
        <v/>
      </c>
      <c r="D6831">
        <f>IF($C6831="","",$C6831-WEEKDAY($C6831,2)+1)</f>
        <v/>
      </c>
      <c r="E6831">
        <f>IF($C6831="","",DATE(YEAR($C6831),MONTH($C6831),1))</f>
        <v/>
      </c>
      <c r="F6831">
        <f>IF($C6831="","",YEAR($C6831)&amp;"-Q"&amp;ROUNDUP(MONTH($C6831)/3,0))</f>
        <v/>
      </c>
      <c r="L6831">
        <f>IF($G6831&lt;&gt;"ALCOHOL","",IF($K6831="","",$H6831*IFERROR(VLOOKUP($K6831,Drink_Templates!$A:$G,7,FALSE),0)))</f>
        <v/>
      </c>
    </row>
    <row r="6832" ht="15" customHeight="1">
      <c r="C6832">
        <f>IF($B6832="","",INT($B6832))</f>
        <v/>
      </c>
      <c r="D6832">
        <f>IF($C6832="","",$C6832-WEEKDAY($C6832,2)+1)</f>
        <v/>
      </c>
      <c r="E6832">
        <f>IF($C6832="","",DATE(YEAR($C6832),MONTH($C6832),1))</f>
        <v/>
      </c>
      <c r="F6832">
        <f>IF($C6832="","",YEAR($C6832)&amp;"-Q"&amp;ROUNDUP(MONTH($C6832)/3,0))</f>
        <v/>
      </c>
      <c r="L6832">
        <f>IF($G6832&lt;&gt;"ALCOHOL","",IF($K6832="","",$H6832*IFERROR(VLOOKUP($K6832,Drink_Templates!$A:$G,7,FALSE),0)))</f>
        <v/>
      </c>
    </row>
    <row r="6833" ht="15" customHeight="1">
      <c r="C6833">
        <f>IF($B6833="","",INT($B6833))</f>
        <v/>
      </c>
      <c r="D6833">
        <f>IF($C6833="","",$C6833-WEEKDAY($C6833,2)+1)</f>
        <v/>
      </c>
      <c r="E6833">
        <f>IF($C6833="","",DATE(YEAR($C6833),MONTH($C6833),1))</f>
        <v/>
      </c>
      <c r="F6833">
        <f>IF($C6833="","",YEAR($C6833)&amp;"-Q"&amp;ROUNDUP(MONTH($C6833)/3,0))</f>
        <v/>
      </c>
      <c r="L6833">
        <f>IF($G6833&lt;&gt;"ALCOHOL","",IF($K6833="","",$H6833*IFERROR(VLOOKUP($K6833,Drink_Templates!$A:$G,7,FALSE),0)))</f>
        <v/>
      </c>
    </row>
    <row r="6834" ht="15" customHeight="1">
      <c r="C6834">
        <f>IF($B6834="","",INT($B6834))</f>
        <v/>
      </c>
      <c r="D6834">
        <f>IF($C6834="","",$C6834-WEEKDAY($C6834,2)+1)</f>
        <v/>
      </c>
      <c r="E6834">
        <f>IF($C6834="","",DATE(YEAR($C6834),MONTH($C6834),1))</f>
        <v/>
      </c>
      <c r="F6834">
        <f>IF($C6834="","",YEAR($C6834)&amp;"-Q"&amp;ROUNDUP(MONTH($C6834)/3,0))</f>
        <v/>
      </c>
      <c r="L6834">
        <f>IF($G6834&lt;&gt;"ALCOHOL","",IF($K6834="","",$H6834*IFERROR(VLOOKUP($K6834,Drink_Templates!$A:$G,7,FALSE),0)))</f>
        <v/>
      </c>
    </row>
    <row r="6835" ht="15" customHeight="1">
      <c r="C6835">
        <f>IF($B6835="","",INT($B6835))</f>
        <v/>
      </c>
      <c r="D6835">
        <f>IF($C6835="","",$C6835-WEEKDAY($C6835,2)+1)</f>
        <v/>
      </c>
      <c r="E6835">
        <f>IF($C6835="","",DATE(YEAR($C6835),MONTH($C6835),1))</f>
        <v/>
      </c>
      <c r="F6835">
        <f>IF($C6835="","",YEAR($C6835)&amp;"-Q"&amp;ROUNDUP(MONTH($C6835)/3,0))</f>
        <v/>
      </c>
      <c r="L6835">
        <f>IF($G6835&lt;&gt;"ALCOHOL","",IF($K6835="","",$H6835*IFERROR(VLOOKUP($K6835,Drink_Templates!$A:$G,7,FALSE),0)))</f>
        <v/>
      </c>
    </row>
    <row r="6836" ht="15" customHeight="1">
      <c r="C6836">
        <f>IF($B6836="","",INT($B6836))</f>
        <v/>
      </c>
      <c r="D6836">
        <f>IF($C6836="","",$C6836-WEEKDAY($C6836,2)+1)</f>
        <v/>
      </c>
      <c r="E6836">
        <f>IF($C6836="","",DATE(YEAR($C6836),MONTH($C6836),1))</f>
        <v/>
      </c>
      <c r="F6836">
        <f>IF($C6836="","",YEAR($C6836)&amp;"-Q"&amp;ROUNDUP(MONTH($C6836)/3,0))</f>
        <v/>
      </c>
      <c r="L6836">
        <f>IF($G6836&lt;&gt;"ALCOHOL","",IF($K6836="","",$H6836*IFERROR(VLOOKUP($K6836,Drink_Templates!$A:$G,7,FALSE),0)))</f>
        <v/>
      </c>
    </row>
    <row r="6837" ht="15" customHeight="1">
      <c r="C6837">
        <f>IF($B6837="","",INT($B6837))</f>
        <v/>
      </c>
      <c r="D6837">
        <f>IF($C6837="","",$C6837-WEEKDAY($C6837,2)+1)</f>
        <v/>
      </c>
      <c r="E6837">
        <f>IF($C6837="","",DATE(YEAR($C6837),MONTH($C6837),1))</f>
        <v/>
      </c>
      <c r="F6837">
        <f>IF($C6837="","",YEAR($C6837)&amp;"-Q"&amp;ROUNDUP(MONTH($C6837)/3,0))</f>
        <v/>
      </c>
      <c r="L6837">
        <f>IF($G6837&lt;&gt;"ALCOHOL","",IF($K6837="","",$H6837*IFERROR(VLOOKUP($K6837,Drink_Templates!$A:$G,7,FALSE),0)))</f>
        <v/>
      </c>
    </row>
    <row r="6838" ht="15" customHeight="1">
      <c r="C6838">
        <f>IF($B6838="","",INT($B6838))</f>
        <v/>
      </c>
      <c r="D6838">
        <f>IF($C6838="","",$C6838-WEEKDAY($C6838,2)+1)</f>
        <v/>
      </c>
      <c r="E6838">
        <f>IF($C6838="","",DATE(YEAR($C6838),MONTH($C6838),1))</f>
        <v/>
      </c>
      <c r="F6838">
        <f>IF($C6838="","",YEAR($C6838)&amp;"-Q"&amp;ROUNDUP(MONTH($C6838)/3,0))</f>
        <v/>
      </c>
      <c r="L6838">
        <f>IF($G6838&lt;&gt;"ALCOHOL","",IF($K6838="","",$H6838*IFERROR(VLOOKUP($K6838,Drink_Templates!$A:$G,7,FALSE),0)))</f>
        <v/>
      </c>
    </row>
    <row r="6839" ht="15" customHeight="1">
      <c r="C6839">
        <f>IF($B6839="","",INT($B6839))</f>
        <v/>
      </c>
      <c r="D6839">
        <f>IF($C6839="","",$C6839-WEEKDAY($C6839,2)+1)</f>
        <v/>
      </c>
      <c r="E6839">
        <f>IF($C6839="","",DATE(YEAR($C6839),MONTH($C6839),1))</f>
        <v/>
      </c>
      <c r="F6839">
        <f>IF($C6839="","",YEAR($C6839)&amp;"-Q"&amp;ROUNDUP(MONTH($C6839)/3,0))</f>
        <v/>
      </c>
      <c r="L6839">
        <f>IF($G6839&lt;&gt;"ALCOHOL","",IF($K6839="","",$H6839*IFERROR(VLOOKUP($K6839,Drink_Templates!$A:$G,7,FALSE),0)))</f>
        <v/>
      </c>
    </row>
    <row r="6840" ht="15" customHeight="1">
      <c r="C6840">
        <f>IF($B6840="","",INT($B6840))</f>
        <v/>
      </c>
      <c r="D6840">
        <f>IF($C6840="","",$C6840-WEEKDAY($C6840,2)+1)</f>
        <v/>
      </c>
      <c r="E6840">
        <f>IF($C6840="","",DATE(YEAR($C6840),MONTH($C6840),1))</f>
        <v/>
      </c>
      <c r="F6840">
        <f>IF($C6840="","",YEAR($C6840)&amp;"-Q"&amp;ROUNDUP(MONTH($C6840)/3,0))</f>
        <v/>
      </c>
      <c r="L6840">
        <f>IF($G6840&lt;&gt;"ALCOHOL","",IF($K6840="","",$H6840*IFERROR(VLOOKUP($K6840,Drink_Templates!$A:$G,7,FALSE),0)))</f>
        <v/>
      </c>
    </row>
    <row r="6841" ht="15" customHeight="1">
      <c r="C6841">
        <f>IF($B6841="","",INT($B6841))</f>
        <v/>
      </c>
      <c r="D6841">
        <f>IF($C6841="","",$C6841-WEEKDAY($C6841,2)+1)</f>
        <v/>
      </c>
      <c r="E6841">
        <f>IF($C6841="","",DATE(YEAR($C6841),MONTH($C6841),1))</f>
        <v/>
      </c>
      <c r="F6841">
        <f>IF($C6841="","",YEAR($C6841)&amp;"-Q"&amp;ROUNDUP(MONTH($C6841)/3,0))</f>
        <v/>
      </c>
      <c r="L6841">
        <f>IF($G6841&lt;&gt;"ALCOHOL","",IF($K6841="","",$H6841*IFERROR(VLOOKUP($K6841,Drink_Templates!$A:$G,7,FALSE),0)))</f>
        <v/>
      </c>
    </row>
    <row r="6842" ht="15" customHeight="1">
      <c r="C6842">
        <f>IF($B6842="","",INT($B6842))</f>
        <v/>
      </c>
      <c r="D6842">
        <f>IF($C6842="","",$C6842-WEEKDAY($C6842,2)+1)</f>
        <v/>
      </c>
      <c r="E6842">
        <f>IF($C6842="","",DATE(YEAR($C6842),MONTH($C6842),1))</f>
        <v/>
      </c>
      <c r="F6842">
        <f>IF($C6842="","",YEAR($C6842)&amp;"-Q"&amp;ROUNDUP(MONTH($C6842)/3,0))</f>
        <v/>
      </c>
      <c r="L6842">
        <f>IF($G6842&lt;&gt;"ALCOHOL","",IF($K6842="","",$H6842*IFERROR(VLOOKUP($K6842,Drink_Templates!$A:$G,7,FALSE),0)))</f>
        <v/>
      </c>
    </row>
    <row r="6843" ht="15" customHeight="1">
      <c r="C6843">
        <f>IF($B6843="","",INT($B6843))</f>
        <v/>
      </c>
      <c r="D6843">
        <f>IF($C6843="","",$C6843-WEEKDAY($C6843,2)+1)</f>
        <v/>
      </c>
      <c r="E6843">
        <f>IF($C6843="","",DATE(YEAR($C6843),MONTH($C6843),1))</f>
        <v/>
      </c>
      <c r="F6843">
        <f>IF($C6843="","",YEAR($C6843)&amp;"-Q"&amp;ROUNDUP(MONTH($C6843)/3,0))</f>
        <v/>
      </c>
      <c r="L6843">
        <f>IF($G6843&lt;&gt;"ALCOHOL","",IF($K6843="","",$H6843*IFERROR(VLOOKUP($K6843,Drink_Templates!$A:$G,7,FALSE),0)))</f>
        <v/>
      </c>
    </row>
    <row r="6844" ht="15" customHeight="1">
      <c r="C6844">
        <f>IF($B6844="","",INT($B6844))</f>
        <v/>
      </c>
      <c r="D6844">
        <f>IF($C6844="","",$C6844-WEEKDAY($C6844,2)+1)</f>
        <v/>
      </c>
      <c r="E6844">
        <f>IF($C6844="","",DATE(YEAR($C6844),MONTH($C6844),1))</f>
        <v/>
      </c>
      <c r="F6844">
        <f>IF($C6844="","",YEAR($C6844)&amp;"-Q"&amp;ROUNDUP(MONTH($C6844)/3,0))</f>
        <v/>
      </c>
      <c r="L6844">
        <f>IF($G6844&lt;&gt;"ALCOHOL","",IF($K6844="","",$H6844*IFERROR(VLOOKUP($K6844,Drink_Templates!$A:$G,7,FALSE),0)))</f>
        <v/>
      </c>
    </row>
    <row r="6845" ht="15" customHeight="1">
      <c r="C6845">
        <f>IF($B6845="","",INT($B6845))</f>
        <v/>
      </c>
      <c r="D6845">
        <f>IF($C6845="","",$C6845-WEEKDAY($C6845,2)+1)</f>
        <v/>
      </c>
      <c r="E6845">
        <f>IF($C6845="","",DATE(YEAR($C6845),MONTH($C6845),1))</f>
        <v/>
      </c>
      <c r="F6845">
        <f>IF($C6845="","",YEAR($C6845)&amp;"-Q"&amp;ROUNDUP(MONTH($C6845)/3,0))</f>
        <v/>
      </c>
      <c r="L6845">
        <f>IF($G6845&lt;&gt;"ALCOHOL","",IF($K6845="","",$H6845*IFERROR(VLOOKUP($K6845,Drink_Templates!$A:$G,7,FALSE),0)))</f>
        <v/>
      </c>
    </row>
    <row r="6846" ht="15" customHeight="1">
      <c r="C6846">
        <f>IF($B6846="","",INT($B6846))</f>
        <v/>
      </c>
      <c r="D6846">
        <f>IF($C6846="","",$C6846-WEEKDAY($C6846,2)+1)</f>
        <v/>
      </c>
      <c r="E6846">
        <f>IF($C6846="","",DATE(YEAR($C6846),MONTH($C6846),1))</f>
        <v/>
      </c>
      <c r="F6846">
        <f>IF($C6846="","",YEAR($C6846)&amp;"-Q"&amp;ROUNDUP(MONTH($C6846)/3,0))</f>
        <v/>
      </c>
      <c r="L6846">
        <f>IF($G6846&lt;&gt;"ALCOHOL","",IF($K6846="","",$H6846*IFERROR(VLOOKUP($K6846,Drink_Templates!$A:$G,7,FALSE),0)))</f>
        <v/>
      </c>
    </row>
    <row r="6847" ht="15" customHeight="1">
      <c r="C6847">
        <f>IF($B6847="","",INT($B6847))</f>
        <v/>
      </c>
      <c r="D6847">
        <f>IF($C6847="","",$C6847-WEEKDAY($C6847,2)+1)</f>
        <v/>
      </c>
      <c r="E6847">
        <f>IF($C6847="","",DATE(YEAR($C6847),MONTH($C6847),1))</f>
        <v/>
      </c>
      <c r="F6847">
        <f>IF($C6847="","",YEAR($C6847)&amp;"-Q"&amp;ROUNDUP(MONTH($C6847)/3,0))</f>
        <v/>
      </c>
      <c r="L6847">
        <f>IF($G6847&lt;&gt;"ALCOHOL","",IF($K6847="","",$H6847*IFERROR(VLOOKUP($K6847,Drink_Templates!$A:$G,7,FALSE),0)))</f>
        <v/>
      </c>
    </row>
    <row r="6848" ht="15" customHeight="1">
      <c r="C6848">
        <f>IF($B6848="","",INT($B6848))</f>
        <v/>
      </c>
      <c r="D6848">
        <f>IF($C6848="","",$C6848-WEEKDAY($C6848,2)+1)</f>
        <v/>
      </c>
      <c r="E6848">
        <f>IF($C6848="","",DATE(YEAR($C6848),MONTH($C6848),1))</f>
        <v/>
      </c>
      <c r="F6848">
        <f>IF($C6848="","",YEAR($C6848)&amp;"-Q"&amp;ROUNDUP(MONTH($C6848)/3,0))</f>
        <v/>
      </c>
      <c r="L6848">
        <f>IF($G6848&lt;&gt;"ALCOHOL","",IF($K6848="","",$H6848*IFERROR(VLOOKUP($K6848,Drink_Templates!$A:$G,7,FALSE),0)))</f>
        <v/>
      </c>
    </row>
    <row r="6849" ht="15" customHeight="1">
      <c r="C6849">
        <f>IF($B6849="","",INT($B6849))</f>
        <v/>
      </c>
      <c r="D6849">
        <f>IF($C6849="","",$C6849-WEEKDAY($C6849,2)+1)</f>
        <v/>
      </c>
      <c r="E6849">
        <f>IF($C6849="","",DATE(YEAR($C6849),MONTH($C6849),1))</f>
        <v/>
      </c>
      <c r="F6849">
        <f>IF($C6849="","",YEAR($C6849)&amp;"-Q"&amp;ROUNDUP(MONTH($C6849)/3,0))</f>
        <v/>
      </c>
      <c r="L6849">
        <f>IF($G6849&lt;&gt;"ALCOHOL","",IF($K6849="","",$H6849*IFERROR(VLOOKUP($K6849,Drink_Templates!$A:$G,7,FALSE),0)))</f>
        <v/>
      </c>
    </row>
    <row r="6850" ht="15" customHeight="1">
      <c r="C6850">
        <f>IF($B6850="","",INT($B6850))</f>
        <v/>
      </c>
      <c r="D6850">
        <f>IF($C6850="","",$C6850-WEEKDAY($C6850,2)+1)</f>
        <v/>
      </c>
      <c r="E6850">
        <f>IF($C6850="","",DATE(YEAR($C6850),MONTH($C6850),1))</f>
        <v/>
      </c>
      <c r="F6850">
        <f>IF($C6850="","",YEAR($C6850)&amp;"-Q"&amp;ROUNDUP(MONTH($C6850)/3,0))</f>
        <v/>
      </c>
      <c r="L6850">
        <f>IF($G6850&lt;&gt;"ALCOHOL","",IF($K6850="","",$H6850*IFERROR(VLOOKUP($K6850,Drink_Templates!$A:$G,7,FALSE),0)))</f>
        <v/>
      </c>
    </row>
    <row r="6851" ht="15" customHeight="1">
      <c r="C6851">
        <f>IF($B6851="","",INT($B6851))</f>
        <v/>
      </c>
      <c r="D6851">
        <f>IF($C6851="","",$C6851-WEEKDAY($C6851,2)+1)</f>
        <v/>
      </c>
      <c r="E6851">
        <f>IF($C6851="","",DATE(YEAR($C6851),MONTH($C6851),1))</f>
        <v/>
      </c>
      <c r="F6851">
        <f>IF($C6851="","",YEAR($C6851)&amp;"-Q"&amp;ROUNDUP(MONTH($C6851)/3,0))</f>
        <v/>
      </c>
      <c r="L6851">
        <f>IF($G6851&lt;&gt;"ALCOHOL","",IF($K6851="","",$H6851*IFERROR(VLOOKUP($K6851,Drink_Templates!$A:$G,7,FALSE),0)))</f>
        <v/>
      </c>
    </row>
    <row r="6852" ht="15" customHeight="1">
      <c r="C6852">
        <f>IF($B6852="","",INT($B6852))</f>
        <v/>
      </c>
      <c r="D6852">
        <f>IF($C6852="","",$C6852-WEEKDAY($C6852,2)+1)</f>
        <v/>
      </c>
      <c r="E6852">
        <f>IF($C6852="","",DATE(YEAR($C6852),MONTH($C6852),1))</f>
        <v/>
      </c>
      <c r="F6852">
        <f>IF($C6852="","",YEAR($C6852)&amp;"-Q"&amp;ROUNDUP(MONTH($C6852)/3,0))</f>
        <v/>
      </c>
      <c r="L6852">
        <f>IF($G6852&lt;&gt;"ALCOHOL","",IF($K6852="","",$H6852*IFERROR(VLOOKUP($K6852,Drink_Templates!$A:$G,7,FALSE),0)))</f>
        <v/>
      </c>
    </row>
    <row r="6853" ht="15" customHeight="1">
      <c r="C6853">
        <f>IF($B6853="","",INT($B6853))</f>
        <v/>
      </c>
      <c r="D6853">
        <f>IF($C6853="","",$C6853-WEEKDAY($C6853,2)+1)</f>
        <v/>
      </c>
      <c r="E6853">
        <f>IF($C6853="","",DATE(YEAR($C6853),MONTH($C6853),1))</f>
        <v/>
      </c>
      <c r="F6853">
        <f>IF($C6853="","",YEAR($C6853)&amp;"-Q"&amp;ROUNDUP(MONTH($C6853)/3,0))</f>
        <v/>
      </c>
      <c r="L6853">
        <f>IF($G6853&lt;&gt;"ALCOHOL","",IF($K6853="","",$H6853*IFERROR(VLOOKUP($K6853,Drink_Templates!$A:$G,7,FALSE),0)))</f>
        <v/>
      </c>
    </row>
    <row r="6854" ht="15" customHeight="1">
      <c r="C6854">
        <f>IF($B6854="","",INT($B6854))</f>
        <v/>
      </c>
      <c r="D6854">
        <f>IF($C6854="","",$C6854-WEEKDAY($C6854,2)+1)</f>
        <v/>
      </c>
      <c r="E6854">
        <f>IF($C6854="","",DATE(YEAR($C6854),MONTH($C6854),1))</f>
        <v/>
      </c>
      <c r="F6854">
        <f>IF($C6854="","",YEAR($C6854)&amp;"-Q"&amp;ROUNDUP(MONTH($C6854)/3,0))</f>
        <v/>
      </c>
      <c r="L6854">
        <f>IF($G6854&lt;&gt;"ALCOHOL","",IF($K6854="","",$H6854*IFERROR(VLOOKUP($K6854,Drink_Templates!$A:$G,7,FALSE),0)))</f>
        <v/>
      </c>
    </row>
    <row r="6855" ht="15" customHeight="1">
      <c r="C6855">
        <f>IF($B6855="","",INT($B6855))</f>
        <v/>
      </c>
      <c r="D6855">
        <f>IF($C6855="","",$C6855-WEEKDAY($C6855,2)+1)</f>
        <v/>
      </c>
      <c r="E6855">
        <f>IF($C6855="","",DATE(YEAR($C6855),MONTH($C6855),1))</f>
        <v/>
      </c>
      <c r="F6855">
        <f>IF($C6855="","",YEAR($C6855)&amp;"-Q"&amp;ROUNDUP(MONTH($C6855)/3,0))</f>
        <v/>
      </c>
      <c r="L6855">
        <f>IF($G6855&lt;&gt;"ALCOHOL","",IF($K6855="","",$H6855*IFERROR(VLOOKUP($K6855,Drink_Templates!$A:$G,7,FALSE),0)))</f>
        <v/>
      </c>
    </row>
    <row r="6856" ht="15" customHeight="1">
      <c r="C6856">
        <f>IF($B6856="","",INT($B6856))</f>
        <v/>
      </c>
      <c r="D6856">
        <f>IF($C6856="","",$C6856-WEEKDAY($C6856,2)+1)</f>
        <v/>
      </c>
      <c r="E6856">
        <f>IF($C6856="","",DATE(YEAR($C6856),MONTH($C6856),1))</f>
        <v/>
      </c>
      <c r="F6856">
        <f>IF($C6856="","",YEAR($C6856)&amp;"-Q"&amp;ROUNDUP(MONTH($C6856)/3,0))</f>
        <v/>
      </c>
      <c r="L6856">
        <f>IF($G6856&lt;&gt;"ALCOHOL","",IF($K6856="","",$H6856*IFERROR(VLOOKUP($K6856,Drink_Templates!$A:$G,7,FALSE),0)))</f>
        <v/>
      </c>
    </row>
    <row r="6857" ht="15" customHeight="1">
      <c r="C6857">
        <f>IF($B6857="","",INT($B6857))</f>
        <v/>
      </c>
      <c r="D6857">
        <f>IF($C6857="","",$C6857-WEEKDAY($C6857,2)+1)</f>
        <v/>
      </c>
      <c r="E6857">
        <f>IF($C6857="","",DATE(YEAR($C6857),MONTH($C6857),1))</f>
        <v/>
      </c>
      <c r="F6857">
        <f>IF($C6857="","",YEAR($C6857)&amp;"-Q"&amp;ROUNDUP(MONTH($C6857)/3,0))</f>
        <v/>
      </c>
      <c r="L6857">
        <f>IF($G6857&lt;&gt;"ALCOHOL","",IF($K6857="","",$H6857*IFERROR(VLOOKUP($K6857,Drink_Templates!$A:$G,7,FALSE),0)))</f>
        <v/>
      </c>
    </row>
    <row r="6858" ht="15" customHeight="1">
      <c r="C6858">
        <f>IF($B6858="","",INT($B6858))</f>
        <v/>
      </c>
      <c r="D6858">
        <f>IF($C6858="","",$C6858-WEEKDAY($C6858,2)+1)</f>
        <v/>
      </c>
      <c r="E6858">
        <f>IF($C6858="","",DATE(YEAR($C6858),MONTH($C6858),1))</f>
        <v/>
      </c>
      <c r="F6858">
        <f>IF($C6858="","",YEAR($C6858)&amp;"-Q"&amp;ROUNDUP(MONTH($C6858)/3,0))</f>
        <v/>
      </c>
      <c r="L6858">
        <f>IF($G6858&lt;&gt;"ALCOHOL","",IF($K6858="","",$H6858*IFERROR(VLOOKUP($K6858,Drink_Templates!$A:$G,7,FALSE),0)))</f>
        <v/>
      </c>
    </row>
    <row r="6859" ht="15" customHeight="1">
      <c r="C6859">
        <f>IF($B6859="","",INT($B6859))</f>
        <v/>
      </c>
      <c r="D6859">
        <f>IF($C6859="","",$C6859-WEEKDAY($C6859,2)+1)</f>
        <v/>
      </c>
      <c r="E6859">
        <f>IF($C6859="","",DATE(YEAR($C6859),MONTH($C6859),1))</f>
        <v/>
      </c>
      <c r="F6859">
        <f>IF($C6859="","",YEAR($C6859)&amp;"-Q"&amp;ROUNDUP(MONTH($C6859)/3,0))</f>
        <v/>
      </c>
      <c r="L6859">
        <f>IF($G6859&lt;&gt;"ALCOHOL","",IF($K6859="","",$H6859*IFERROR(VLOOKUP($K6859,Drink_Templates!$A:$G,7,FALSE),0)))</f>
        <v/>
      </c>
    </row>
    <row r="6860" ht="15" customHeight="1">
      <c r="C6860">
        <f>IF($B6860="","",INT($B6860))</f>
        <v/>
      </c>
      <c r="D6860">
        <f>IF($C6860="","",$C6860-WEEKDAY($C6860,2)+1)</f>
        <v/>
      </c>
      <c r="E6860">
        <f>IF($C6860="","",DATE(YEAR($C6860),MONTH($C6860),1))</f>
        <v/>
      </c>
      <c r="F6860">
        <f>IF($C6860="","",YEAR($C6860)&amp;"-Q"&amp;ROUNDUP(MONTH($C6860)/3,0))</f>
        <v/>
      </c>
      <c r="L6860">
        <f>IF($G6860&lt;&gt;"ALCOHOL","",IF($K6860="","",$H6860*IFERROR(VLOOKUP($K6860,Drink_Templates!$A:$G,7,FALSE),0)))</f>
        <v/>
      </c>
    </row>
    <row r="6861" ht="15" customHeight="1">
      <c r="C6861">
        <f>IF($B6861="","",INT($B6861))</f>
        <v/>
      </c>
      <c r="D6861">
        <f>IF($C6861="","",$C6861-WEEKDAY($C6861,2)+1)</f>
        <v/>
      </c>
      <c r="E6861">
        <f>IF($C6861="","",DATE(YEAR($C6861),MONTH($C6861),1))</f>
        <v/>
      </c>
      <c r="F6861">
        <f>IF($C6861="","",YEAR($C6861)&amp;"-Q"&amp;ROUNDUP(MONTH($C6861)/3,0))</f>
        <v/>
      </c>
      <c r="L6861">
        <f>IF($G6861&lt;&gt;"ALCOHOL","",IF($K6861="","",$H6861*IFERROR(VLOOKUP($K6861,Drink_Templates!$A:$G,7,FALSE),0)))</f>
        <v/>
      </c>
    </row>
    <row r="6862" ht="15" customHeight="1">
      <c r="C6862">
        <f>IF($B6862="","",INT($B6862))</f>
        <v/>
      </c>
      <c r="D6862">
        <f>IF($C6862="","",$C6862-WEEKDAY($C6862,2)+1)</f>
        <v/>
      </c>
      <c r="E6862">
        <f>IF($C6862="","",DATE(YEAR($C6862),MONTH($C6862),1))</f>
        <v/>
      </c>
      <c r="F6862">
        <f>IF($C6862="","",YEAR($C6862)&amp;"-Q"&amp;ROUNDUP(MONTH($C6862)/3,0))</f>
        <v/>
      </c>
      <c r="L6862">
        <f>IF($G6862&lt;&gt;"ALCOHOL","",IF($K6862="","",$H6862*IFERROR(VLOOKUP($K6862,Drink_Templates!$A:$G,7,FALSE),0)))</f>
        <v/>
      </c>
    </row>
    <row r="6863" ht="15" customHeight="1">
      <c r="C6863">
        <f>IF($B6863="","",INT($B6863))</f>
        <v/>
      </c>
      <c r="D6863">
        <f>IF($C6863="","",$C6863-WEEKDAY($C6863,2)+1)</f>
        <v/>
      </c>
      <c r="E6863">
        <f>IF($C6863="","",DATE(YEAR($C6863),MONTH($C6863),1))</f>
        <v/>
      </c>
      <c r="F6863">
        <f>IF($C6863="","",YEAR($C6863)&amp;"-Q"&amp;ROUNDUP(MONTH($C6863)/3,0))</f>
        <v/>
      </c>
      <c r="L6863">
        <f>IF($G6863&lt;&gt;"ALCOHOL","",IF($K6863="","",$H6863*IFERROR(VLOOKUP($K6863,Drink_Templates!$A:$G,7,FALSE),0)))</f>
        <v/>
      </c>
    </row>
    <row r="6864" ht="15" customHeight="1">
      <c r="C6864">
        <f>IF($B6864="","",INT($B6864))</f>
        <v/>
      </c>
      <c r="D6864">
        <f>IF($C6864="","",$C6864-WEEKDAY($C6864,2)+1)</f>
        <v/>
      </c>
      <c r="E6864">
        <f>IF($C6864="","",DATE(YEAR($C6864),MONTH($C6864),1))</f>
        <v/>
      </c>
      <c r="F6864">
        <f>IF($C6864="","",YEAR($C6864)&amp;"-Q"&amp;ROUNDUP(MONTH($C6864)/3,0))</f>
        <v/>
      </c>
      <c r="L6864">
        <f>IF($G6864&lt;&gt;"ALCOHOL","",IF($K6864="","",$H6864*IFERROR(VLOOKUP($K6864,Drink_Templates!$A:$G,7,FALSE),0)))</f>
        <v/>
      </c>
    </row>
    <row r="6865" ht="15" customHeight="1">
      <c r="C6865">
        <f>IF($B6865="","",INT($B6865))</f>
        <v/>
      </c>
      <c r="D6865">
        <f>IF($C6865="","",$C6865-WEEKDAY($C6865,2)+1)</f>
        <v/>
      </c>
      <c r="E6865">
        <f>IF($C6865="","",DATE(YEAR($C6865),MONTH($C6865),1))</f>
        <v/>
      </c>
      <c r="F6865">
        <f>IF($C6865="","",YEAR($C6865)&amp;"-Q"&amp;ROUNDUP(MONTH($C6865)/3,0))</f>
        <v/>
      </c>
      <c r="L6865">
        <f>IF($G6865&lt;&gt;"ALCOHOL","",IF($K6865="","",$H6865*IFERROR(VLOOKUP($K6865,Drink_Templates!$A:$G,7,FALSE),0)))</f>
        <v/>
      </c>
    </row>
    <row r="6866" ht="15" customHeight="1">
      <c r="C6866">
        <f>IF($B6866="","",INT($B6866))</f>
        <v/>
      </c>
      <c r="D6866">
        <f>IF($C6866="","",$C6866-WEEKDAY($C6866,2)+1)</f>
        <v/>
      </c>
      <c r="E6866">
        <f>IF($C6866="","",DATE(YEAR($C6866),MONTH($C6866),1))</f>
        <v/>
      </c>
      <c r="F6866">
        <f>IF($C6866="","",YEAR($C6866)&amp;"-Q"&amp;ROUNDUP(MONTH($C6866)/3,0))</f>
        <v/>
      </c>
      <c r="L6866">
        <f>IF($G6866&lt;&gt;"ALCOHOL","",IF($K6866="","",$H6866*IFERROR(VLOOKUP($K6866,Drink_Templates!$A:$G,7,FALSE),0)))</f>
        <v/>
      </c>
    </row>
    <row r="6867" ht="15" customHeight="1">
      <c r="C6867">
        <f>IF($B6867="","",INT($B6867))</f>
        <v/>
      </c>
      <c r="D6867">
        <f>IF($C6867="","",$C6867-WEEKDAY($C6867,2)+1)</f>
        <v/>
      </c>
      <c r="E6867">
        <f>IF($C6867="","",DATE(YEAR($C6867),MONTH($C6867),1))</f>
        <v/>
      </c>
      <c r="F6867">
        <f>IF($C6867="","",YEAR($C6867)&amp;"-Q"&amp;ROUNDUP(MONTH($C6867)/3,0))</f>
        <v/>
      </c>
      <c r="L6867">
        <f>IF($G6867&lt;&gt;"ALCOHOL","",IF($K6867="","",$H6867*IFERROR(VLOOKUP($K6867,Drink_Templates!$A:$G,7,FALSE),0)))</f>
        <v/>
      </c>
    </row>
    <row r="6868" ht="15" customHeight="1">
      <c r="C6868">
        <f>IF($B6868="","",INT($B6868))</f>
        <v/>
      </c>
      <c r="D6868">
        <f>IF($C6868="","",$C6868-WEEKDAY($C6868,2)+1)</f>
        <v/>
      </c>
      <c r="E6868">
        <f>IF($C6868="","",DATE(YEAR($C6868),MONTH($C6868),1))</f>
        <v/>
      </c>
      <c r="F6868">
        <f>IF($C6868="","",YEAR($C6868)&amp;"-Q"&amp;ROUNDUP(MONTH($C6868)/3,0))</f>
        <v/>
      </c>
      <c r="L6868">
        <f>IF($G6868&lt;&gt;"ALCOHOL","",IF($K6868="","",$H6868*IFERROR(VLOOKUP($K6868,Drink_Templates!$A:$G,7,FALSE),0)))</f>
        <v/>
      </c>
    </row>
    <row r="6869" ht="15" customHeight="1">
      <c r="C6869">
        <f>IF($B6869="","",INT($B6869))</f>
        <v/>
      </c>
      <c r="D6869">
        <f>IF($C6869="","",$C6869-WEEKDAY($C6869,2)+1)</f>
        <v/>
      </c>
      <c r="E6869">
        <f>IF($C6869="","",DATE(YEAR($C6869),MONTH($C6869),1))</f>
        <v/>
      </c>
      <c r="F6869">
        <f>IF($C6869="","",YEAR($C6869)&amp;"-Q"&amp;ROUNDUP(MONTH($C6869)/3,0))</f>
        <v/>
      </c>
      <c r="L6869">
        <f>IF($G6869&lt;&gt;"ALCOHOL","",IF($K6869="","",$H6869*IFERROR(VLOOKUP($K6869,Drink_Templates!$A:$G,7,FALSE),0)))</f>
        <v/>
      </c>
    </row>
    <row r="6870" ht="15" customHeight="1">
      <c r="C6870">
        <f>IF($B6870="","",INT($B6870))</f>
        <v/>
      </c>
      <c r="D6870">
        <f>IF($C6870="","",$C6870-WEEKDAY($C6870,2)+1)</f>
        <v/>
      </c>
      <c r="E6870">
        <f>IF($C6870="","",DATE(YEAR($C6870),MONTH($C6870),1))</f>
        <v/>
      </c>
      <c r="F6870">
        <f>IF($C6870="","",YEAR($C6870)&amp;"-Q"&amp;ROUNDUP(MONTH($C6870)/3,0))</f>
        <v/>
      </c>
      <c r="L6870">
        <f>IF($G6870&lt;&gt;"ALCOHOL","",IF($K6870="","",$H6870*IFERROR(VLOOKUP($K6870,Drink_Templates!$A:$G,7,FALSE),0)))</f>
        <v/>
      </c>
    </row>
    <row r="6871" ht="15" customHeight="1">
      <c r="C6871">
        <f>IF($B6871="","",INT($B6871))</f>
        <v/>
      </c>
      <c r="D6871">
        <f>IF($C6871="","",$C6871-WEEKDAY($C6871,2)+1)</f>
        <v/>
      </c>
      <c r="E6871">
        <f>IF($C6871="","",DATE(YEAR($C6871),MONTH($C6871),1))</f>
        <v/>
      </c>
      <c r="F6871">
        <f>IF($C6871="","",YEAR($C6871)&amp;"-Q"&amp;ROUNDUP(MONTH($C6871)/3,0))</f>
        <v/>
      </c>
      <c r="L6871">
        <f>IF($G6871&lt;&gt;"ALCOHOL","",IF($K6871="","",$H6871*IFERROR(VLOOKUP($K6871,Drink_Templates!$A:$G,7,FALSE),0)))</f>
        <v/>
      </c>
    </row>
    <row r="6872" ht="15" customHeight="1">
      <c r="C6872">
        <f>IF($B6872="","",INT($B6872))</f>
        <v/>
      </c>
      <c r="D6872">
        <f>IF($C6872="","",$C6872-WEEKDAY($C6872,2)+1)</f>
        <v/>
      </c>
      <c r="E6872">
        <f>IF($C6872="","",DATE(YEAR($C6872),MONTH($C6872),1))</f>
        <v/>
      </c>
      <c r="F6872">
        <f>IF($C6872="","",YEAR($C6872)&amp;"-Q"&amp;ROUNDUP(MONTH($C6872)/3,0))</f>
        <v/>
      </c>
      <c r="L6872">
        <f>IF($G6872&lt;&gt;"ALCOHOL","",IF($K6872="","",$H6872*IFERROR(VLOOKUP($K6872,Drink_Templates!$A:$G,7,FALSE),0)))</f>
        <v/>
      </c>
    </row>
    <row r="6873" ht="15" customHeight="1">
      <c r="C6873">
        <f>IF($B6873="","",INT($B6873))</f>
        <v/>
      </c>
      <c r="D6873">
        <f>IF($C6873="","",$C6873-WEEKDAY($C6873,2)+1)</f>
        <v/>
      </c>
      <c r="E6873">
        <f>IF($C6873="","",DATE(YEAR($C6873),MONTH($C6873),1))</f>
        <v/>
      </c>
      <c r="F6873">
        <f>IF($C6873="","",YEAR($C6873)&amp;"-Q"&amp;ROUNDUP(MONTH($C6873)/3,0))</f>
        <v/>
      </c>
      <c r="L6873">
        <f>IF($G6873&lt;&gt;"ALCOHOL","",IF($K6873="","",$H6873*IFERROR(VLOOKUP($K6873,Drink_Templates!$A:$G,7,FALSE),0)))</f>
        <v/>
      </c>
    </row>
    <row r="6874" ht="15" customHeight="1">
      <c r="C6874">
        <f>IF($B6874="","",INT($B6874))</f>
        <v/>
      </c>
      <c r="D6874">
        <f>IF($C6874="","",$C6874-WEEKDAY($C6874,2)+1)</f>
        <v/>
      </c>
      <c r="E6874">
        <f>IF($C6874="","",DATE(YEAR($C6874),MONTH($C6874),1))</f>
        <v/>
      </c>
      <c r="F6874">
        <f>IF($C6874="","",YEAR($C6874)&amp;"-Q"&amp;ROUNDUP(MONTH($C6874)/3,0))</f>
        <v/>
      </c>
      <c r="L6874">
        <f>IF($G6874&lt;&gt;"ALCOHOL","",IF($K6874="","",$H6874*IFERROR(VLOOKUP($K6874,Drink_Templates!$A:$G,7,FALSE),0)))</f>
        <v/>
      </c>
    </row>
    <row r="6875" ht="15" customHeight="1">
      <c r="C6875">
        <f>IF($B6875="","",INT($B6875))</f>
        <v/>
      </c>
      <c r="D6875">
        <f>IF($C6875="","",$C6875-WEEKDAY($C6875,2)+1)</f>
        <v/>
      </c>
      <c r="E6875">
        <f>IF($C6875="","",DATE(YEAR($C6875),MONTH($C6875),1))</f>
        <v/>
      </c>
      <c r="F6875">
        <f>IF($C6875="","",YEAR($C6875)&amp;"-Q"&amp;ROUNDUP(MONTH($C6875)/3,0))</f>
        <v/>
      </c>
      <c r="L6875">
        <f>IF($G6875&lt;&gt;"ALCOHOL","",IF($K6875="","",$H6875*IFERROR(VLOOKUP($K6875,Drink_Templates!$A:$G,7,FALSE),0)))</f>
        <v/>
      </c>
    </row>
    <row r="6876" ht="15" customHeight="1">
      <c r="C6876">
        <f>IF($B6876="","",INT($B6876))</f>
        <v/>
      </c>
      <c r="D6876">
        <f>IF($C6876="","",$C6876-WEEKDAY($C6876,2)+1)</f>
        <v/>
      </c>
      <c r="E6876">
        <f>IF($C6876="","",DATE(YEAR($C6876),MONTH($C6876),1))</f>
        <v/>
      </c>
      <c r="F6876">
        <f>IF($C6876="","",YEAR($C6876)&amp;"-Q"&amp;ROUNDUP(MONTH($C6876)/3,0))</f>
        <v/>
      </c>
      <c r="L6876">
        <f>IF($G6876&lt;&gt;"ALCOHOL","",IF($K6876="","",$H6876*IFERROR(VLOOKUP($K6876,Drink_Templates!$A:$G,7,FALSE),0)))</f>
        <v/>
      </c>
    </row>
    <row r="6877" ht="15" customHeight="1">
      <c r="C6877">
        <f>IF($B6877="","",INT($B6877))</f>
        <v/>
      </c>
      <c r="D6877">
        <f>IF($C6877="","",$C6877-WEEKDAY($C6877,2)+1)</f>
        <v/>
      </c>
      <c r="E6877">
        <f>IF($C6877="","",DATE(YEAR($C6877),MONTH($C6877),1))</f>
        <v/>
      </c>
      <c r="F6877">
        <f>IF($C6877="","",YEAR($C6877)&amp;"-Q"&amp;ROUNDUP(MONTH($C6877)/3,0))</f>
        <v/>
      </c>
      <c r="L6877">
        <f>IF($G6877&lt;&gt;"ALCOHOL","",IF($K6877="","",$H6877*IFERROR(VLOOKUP($K6877,Drink_Templates!$A:$G,7,FALSE),0)))</f>
        <v/>
      </c>
    </row>
    <row r="6878" ht="15" customHeight="1">
      <c r="C6878">
        <f>IF($B6878="","",INT($B6878))</f>
        <v/>
      </c>
      <c r="D6878">
        <f>IF($C6878="","",$C6878-WEEKDAY($C6878,2)+1)</f>
        <v/>
      </c>
      <c r="E6878">
        <f>IF($C6878="","",DATE(YEAR($C6878),MONTH($C6878),1))</f>
        <v/>
      </c>
      <c r="F6878">
        <f>IF($C6878="","",YEAR($C6878)&amp;"-Q"&amp;ROUNDUP(MONTH($C6878)/3,0))</f>
        <v/>
      </c>
      <c r="L6878">
        <f>IF($G6878&lt;&gt;"ALCOHOL","",IF($K6878="","",$H6878*IFERROR(VLOOKUP($K6878,Drink_Templates!$A:$G,7,FALSE),0)))</f>
        <v/>
      </c>
    </row>
    <row r="6879" ht="15" customHeight="1">
      <c r="C6879">
        <f>IF($B6879="","",INT($B6879))</f>
        <v/>
      </c>
      <c r="D6879">
        <f>IF($C6879="","",$C6879-WEEKDAY($C6879,2)+1)</f>
        <v/>
      </c>
      <c r="E6879">
        <f>IF($C6879="","",DATE(YEAR($C6879),MONTH($C6879),1))</f>
        <v/>
      </c>
      <c r="F6879">
        <f>IF($C6879="","",YEAR($C6879)&amp;"-Q"&amp;ROUNDUP(MONTH($C6879)/3,0))</f>
        <v/>
      </c>
      <c r="L6879">
        <f>IF($G6879&lt;&gt;"ALCOHOL","",IF($K6879="","",$H6879*IFERROR(VLOOKUP($K6879,Drink_Templates!$A:$G,7,FALSE),0)))</f>
        <v/>
      </c>
    </row>
    <row r="6880" ht="15" customHeight="1">
      <c r="C6880">
        <f>IF($B6880="","",INT($B6880))</f>
        <v/>
      </c>
      <c r="D6880">
        <f>IF($C6880="","",$C6880-WEEKDAY($C6880,2)+1)</f>
        <v/>
      </c>
      <c r="E6880">
        <f>IF($C6880="","",DATE(YEAR($C6880),MONTH($C6880),1))</f>
        <v/>
      </c>
      <c r="F6880">
        <f>IF($C6880="","",YEAR($C6880)&amp;"-Q"&amp;ROUNDUP(MONTH($C6880)/3,0))</f>
        <v/>
      </c>
      <c r="L6880">
        <f>IF($G6880&lt;&gt;"ALCOHOL","",IF($K6880="","",$H6880*IFERROR(VLOOKUP($K6880,Drink_Templates!$A:$G,7,FALSE),0)))</f>
        <v/>
      </c>
    </row>
    <row r="6881" ht="15" customHeight="1">
      <c r="C6881">
        <f>IF($B6881="","",INT($B6881))</f>
        <v/>
      </c>
      <c r="D6881">
        <f>IF($C6881="","",$C6881-WEEKDAY($C6881,2)+1)</f>
        <v/>
      </c>
      <c r="E6881">
        <f>IF($C6881="","",DATE(YEAR($C6881),MONTH($C6881),1))</f>
        <v/>
      </c>
      <c r="F6881">
        <f>IF($C6881="","",YEAR($C6881)&amp;"-Q"&amp;ROUNDUP(MONTH($C6881)/3,0))</f>
        <v/>
      </c>
      <c r="L6881">
        <f>IF($G6881&lt;&gt;"ALCOHOL","",IF($K6881="","",$H6881*IFERROR(VLOOKUP($K6881,Drink_Templates!$A:$G,7,FALSE),0)))</f>
        <v/>
      </c>
    </row>
    <row r="6882" ht="15" customHeight="1">
      <c r="C6882">
        <f>IF($B6882="","",INT($B6882))</f>
        <v/>
      </c>
      <c r="D6882">
        <f>IF($C6882="","",$C6882-WEEKDAY($C6882,2)+1)</f>
        <v/>
      </c>
      <c r="E6882">
        <f>IF($C6882="","",DATE(YEAR($C6882),MONTH($C6882),1))</f>
        <v/>
      </c>
      <c r="F6882">
        <f>IF($C6882="","",YEAR($C6882)&amp;"-Q"&amp;ROUNDUP(MONTH($C6882)/3,0))</f>
        <v/>
      </c>
      <c r="L6882">
        <f>IF($G6882&lt;&gt;"ALCOHOL","",IF($K6882="","",$H6882*IFERROR(VLOOKUP($K6882,Drink_Templates!$A:$G,7,FALSE),0)))</f>
        <v/>
      </c>
    </row>
    <row r="6883" ht="15" customHeight="1">
      <c r="C6883">
        <f>IF($B6883="","",INT($B6883))</f>
        <v/>
      </c>
      <c r="D6883">
        <f>IF($C6883="","",$C6883-WEEKDAY($C6883,2)+1)</f>
        <v/>
      </c>
      <c r="E6883">
        <f>IF($C6883="","",DATE(YEAR($C6883),MONTH($C6883),1))</f>
        <v/>
      </c>
      <c r="F6883">
        <f>IF($C6883="","",YEAR($C6883)&amp;"-Q"&amp;ROUNDUP(MONTH($C6883)/3,0))</f>
        <v/>
      </c>
      <c r="L6883">
        <f>IF($G6883&lt;&gt;"ALCOHOL","",IF($K6883="","",$H6883*IFERROR(VLOOKUP($K6883,Drink_Templates!$A:$G,7,FALSE),0)))</f>
        <v/>
      </c>
    </row>
    <row r="6884" ht="15" customHeight="1">
      <c r="C6884">
        <f>IF($B6884="","",INT($B6884))</f>
        <v/>
      </c>
      <c r="D6884">
        <f>IF($C6884="","",$C6884-WEEKDAY($C6884,2)+1)</f>
        <v/>
      </c>
      <c r="E6884">
        <f>IF($C6884="","",DATE(YEAR($C6884),MONTH($C6884),1))</f>
        <v/>
      </c>
      <c r="F6884">
        <f>IF($C6884="","",YEAR($C6884)&amp;"-Q"&amp;ROUNDUP(MONTH($C6884)/3,0))</f>
        <v/>
      </c>
      <c r="L6884">
        <f>IF($G6884&lt;&gt;"ALCOHOL","",IF($K6884="","",$H6884*IFERROR(VLOOKUP($K6884,Drink_Templates!$A:$G,7,FALSE),0)))</f>
        <v/>
      </c>
    </row>
    <row r="6885" ht="15" customHeight="1">
      <c r="C6885">
        <f>IF($B6885="","",INT($B6885))</f>
        <v/>
      </c>
      <c r="D6885">
        <f>IF($C6885="","",$C6885-WEEKDAY($C6885,2)+1)</f>
        <v/>
      </c>
      <c r="E6885">
        <f>IF($C6885="","",DATE(YEAR($C6885),MONTH($C6885),1))</f>
        <v/>
      </c>
      <c r="F6885">
        <f>IF($C6885="","",YEAR($C6885)&amp;"-Q"&amp;ROUNDUP(MONTH($C6885)/3,0))</f>
        <v/>
      </c>
      <c r="L6885">
        <f>IF($G6885&lt;&gt;"ALCOHOL","",IF($K6885="","",$H6885*IFERROR(VLOOKUP($K6885,Drink_Templates!$A:$G,7,FALSE),0)))</f>
        <v/>
      </c>
    </row>
    <row r="6886" ht="15" customHeight="1">
      <c r="C6886">
        <f>IF($B6886="","",INT($B6886))</f>
        <v/>
      </c>
      <c r="D6886">
        <f>IF($C6886="","",$C6886-WEEKDAY($C6886,2)+1)</f>
        <v/>
      </c>
      <c r="E6886">
        <f>IF($C6886="","",DATE(YEAR($C6886),MONTH($C6886),1))</f>
        <v/>
      </c>
      <c r="F6886">
        <f>IF($C6886="","",YEAR($C6886)&amp;"-Q"&amp;ROUNDUP(MONTH($C6886)/3,0))</f>
        <v/>
      </c>
      <c r="L6886">
        <f>IF($G6886&lt;&gt;"ALCOHOL","",IF($K6886="","",$H6886*IFERROR(VLOOKUP($K6886,Drink_Templates!$A:$G,7,FALSE),0)))</f>
        <v/>
      </c>
    </row>
    <row r="6887" ht="15" customHeight="1">
      <c r="C6887">
        <f>IF($B6887="","",INT($B6887))</f>
        <v/>
      </c>
      <c r="D6887">
        <f>IF($C6887="","",$C6887-WEEKDAY($C6887,2)+1)</f>
        <v/>
      </c>
      <c r="E6887">
        <f>IF($C6887="","",DATE(YEAR($C6887),MONTH($C6887),1))</f>
        <v/>
      </c>
      <c r="F6887">
        <f>IF($C6887="","",YEAR($C6887)&amp;"-Q"&amp;ROUNDUP(MONTH($C6887)/3,0))</f>
        <v/>
      </c>
      <c r="L6887">
        <f>IF($G6887&lt;&gt;"ALCOHOL","",IF($K6887="","",$H6887*IFERROR(VLOOKUP($K6887,Drink_Templates!$A:$G,7,FALSE),0)))</f>
        <v/>
      </c>
    </row>
    <row r="6888" ht="15" customHeight="1">
      <c r="C6888">
        <f>IF($B6888="","",INT($B6888))</f>
        <v/>
      </c>
      <c r="D6888">
        <f>IF($C6888="","",$C6888-WEEKDAY($C6888,2)+1)</f>
        <v/>
      </c>
      <c r="E6888">
        <f>IF($C6888="","",DATE(YEAR($C6888),MONTH($C6888),1))</f>
        <v/>
      </c>
      <c r="F6888">
        <f>IF($C6888="","",YEAR($C6888)&amp;"-Q"&amp;ROUNDUP(MONTH($C6888)/3,0))</f>
        <v/>
      </c>
      <c r="L6888">
        <f>IF($G6888&lt;&gt;"ALCOHOL","",IF($K6888="","",$H6888*IFERROR(VLOOKUP($K6888,Drink_Templates!$A:$G,7,FALSE),0)))</f>
        <v/>
      </c>
    </row>
    <row r="6889" ht="15" customHeight="1">
      <c r="C6889">
        <f>IF($B6889="","",INT($B6889))</f>
        <v/>
      </c>
      <c r="D6889">
        <f>IF($C6889="","",$C6889-WEEKDAY($C6889,2)+1)</f>
        <v/>
      </c>
      <c r="E6889">
        <f>IF($C6889="","",DATE(YEAR($C6889),MONTH($C6889),1))</f>
        <v/>
      </c>
      <c r="F6889">
        <f>IF($C6889="","",YEAR($C6889)&amp;"-Q"&amp;ROUNDUP(MONTH($C6889)/3,0))</f>
        <v/>
      </c>
      <c r="L6889">
        <f>IF($G6889&lt;&gt;"ALCOHOL","",IF($K6889="","",$H6889*IFERROR(VLOOKUP($K6889,Drink_Templates!$A:$G,7,FALSE),0)))</f>
        <v/>
      </c>
    </row>
    <row r="6890" ht="15" customHeight="1">
      <c r="C6890">
        <f>IF($B6890="","",INT($B6890))</f>
        <v/>
      </c>
      <c r="D6890">
        <f>IF($C6890="","",$C6890-WEEKDAY($C6890,2)+1)</f>
        <v/>
      </c>
      <c r="E6890">
        <f>IF($C6890="","",DATE(YEAR($C6890),MONTH($C6890),1))</f>
        <v/>
      </c>
      <c r="F6890">
        <f>IF($C6890="","",YEAR($C6890)&amp;"-Q"&amp;ROUNDUP(MONTH($C6890)/3,0))</f>
        <v/>
      </c>
      <c r="L6890">
        <f>IF($G6890&lt;&gt;"ALCOHOL","",IF($K6890="","",$H6890*IFERROR(VLOOKUP($K6890,Drink_Templates!$A:$G,7,FALSE),0)))</f>
        <v/>
      </c>
    </row>
    <row r="6891" ht="15" customHeight="1">
      <c r="C6891">
        <f>IF($B6891="","",INT($B6891))</f>
        <v/>
      </c>
      <c r="D6891">
        <f>IF($C6891="","",$C6891-WEEKDAY($C6891,2)+1)</f>
        <v/>
      </c>
      <c r="E6891">
        <f>IF($C6891="","",DATE(YEAR($C6891),MONTH($C6891),1))</f>
        <v/>
      </c>
      <c r="F6891">
        <f>IF($C6891="","",YEAR($C6891)&amp;"-Q"&amp;ROUNDUP(MONTH($C6891)/3,0))</f>
        <v/>
      </c>
      <c r="L6891">
        <f>IF($G6891&lt;&gt;"ALCOHOL","",IF($K6891="","",$H6891*IFERROR(VLOOKUP($K6891,Drink_Templates!$A:$G,7,FALSE),0)))</f>
        <v/>
      </c>
    </row>
    <row r="6892" ht="15" customHeight="1">
      <c r="C6892">
        <f>IF($B6892="","",INT($B6892))</f>
        <v/>
      </c>
      <c r="D6892">
        <f>IF($C6892="","",$C6892-WEEKDAY($C6892,2)+1)</f>
        <v/>
      </c>
      <c r="E6892">
        <f>IF($C6892="","",DATE(YEAR($C6892),MONTH($C6892),1))</f>
        <v/>
      </c>
      <c r="F6892">
        <f>IF($C6892="","",YEAR($C6892)&amp;"-Q"&amp;ROUNDUP(MONTH($C6892)/3,0))</f>
        <v/>
      </c>
      <c r="L6892">
        <f>IF($G6892&lt;&gt;"ALCOHOL","",IF($K6892="","",$H6892*IFERROR(VLOOKUP($K6892,Drink_Templates!$A:$G,7,FALSE),0)))</f>
        <v/>
      </c>
    </row>
    <row r="6893" ht="15" customHeight="1">
      <c r="C6893">
        <f>IF($B6893="","",INT($B6893))</f>
        <v/>
      </c>
      <c r="D6893">
        <f>IF($C6893="","",$C6893-WEEKDAY($C6893,2)+1)</f>
        <v/>
      </c>
      <c r="E6893">
        <f>IF($C6893="","",DATE(YEAR($C6893),MONTH($C6893),1))</f>
        <v/>
      </c>
      <c r="F6893">
        <f>IF($C6893="","",YEAR($C6893)&amp;"-Q"&amp;ROUNDUP(MONTH($C6893)/3,0))</f>
        <v/>
      </c>
      <c r="L6893">
        <f>IF($G6893&lt;&gt;"ALCOHOL","",IF($K6893="","",$H6893*IFERROR(VLOOKUP($K6893,Drink_Templates!$A:$G,7,FALSE),0)))</f>
        <v/>
      </c>
    </row>
    <row r="6894" ht="15" customHeight="1">
      <c r="C6894">
        <f>IF($B6894="","",INT($B6894))</f>
        <v/>
      </c>
      <c r="D6894">
        <f>IF($C6894="","",$C6894-WEEKDAY($C6894,2)+1)</f>
        <v/>
      </c>
      <c r="E6894">
        <f>IF($C6894="","",DATE(YEAR($C6894),MONTH($C6894),1))</f>
        <v/>
      </c>
      <c r="F6894">
        <f>IF($C6894="","",YEAR($C6894)&amp;"-Q"&amp;ROUNDUP(MONTH($C6894)/3,0))</f>
        <v/>
      </c>
      <c r="L6894">
        <f>IF($G6894&lt;&gt;"ALCOHOL","",IF($K6894="","",$H6894*IFERROR(VLOOKUP($K6894,Drink_Templates!$A:$G,7,FALSE),0)))</f>
        <v/>
      </c>
    </row>
    <row r="6895" ht="15" customHeight="1">
      <c r="C6895">
        <f>IF($B6895="","",INT($B6895))</f>
        <v/>
      </c>
      <c r="D6895">
        <f>IF($C6895="","",$C6895-WEEKDAY($C6895,2)+1)</f>
        <v/>
      </c>
      <c r="E6895">
        <f>IF($C6895="","",DATE(YEAR($C6895),MONTH($C6895),1))</f>
        <v/>
      </c>
      <c r="F6895">
        <f>IF($C6895="","",YEAR($C6895)&amp;"-Q"&amp;ROUNDUP(MONTH($C6895)/3,0))</f>
        <v/>
      </c>
      <c r="L6895">
        <f>IF($G6895&lt;&gt;"ALCOHOL","",IF($K6895="","",$H6895*IFERROR(VLOOKUP($K6895,Drink_Templates!$A:$G,7,FALSE),0)))</f>
        <v/>
      </c>
    </row>
    <row r="6896" ht="15" customHeight="1">
      <c r="C6896">
        <f>IF($B6896="","",INT($B6896))</f>
        <v/>
      </c>
      <c r="D6896">
        <f>IF($C6896="","",$C6896-WEEKDAY($C6896,2)+1)</f>
        <v/>
      </c>
      <c r="E6896">
        <f>IF($C6896="","",DATE(YEAR($C6896),MONTH($C6896),1))</f>
        <v/>
      </c>
      <c r="F6896">
        <f>IF($C6896="","",YEAR($C6896)&amp;"-Q"&amp;ROUNDUP(MONTH($C6896)/3,0))</f>
        <v/>
      </c>
      <c r="L6896">
        <f>IF($G6896&lt;&gt;"ALCOHOL","",IF($K6896="","",$H6896*IFERROR(VLOOKUP($K6896,Drink_Templates!$A:$G,7,FALSE),0)))</f>
        <v/>
      </c>
    </row>
    <row r="6897" ht="15" customHeight="1">
      <c r="C6897">
        <f>IF($B6897="","",INT($B6897))</f>
        <v/>
      </c>
      <c r="D6897">
        <f>IF($C6897="","",$C6897-WEEKDAY($C6897,2)+1)</f>
        <v/>
      </c>
      <c r="E6897">
        <f>IF($C6897="","",DATE(YEAR($C6897),MONTH($C6897),1))</f>
        <v/>
      </c>
      <c r="F6897">
        <f>IF($C6897="","",YEAR($C6897)&amp;"-Q"&amp;ROUNDUP(MONTH($C6897)/3,0))</f>
        <v/>
      </c>
      <c r="L6897">
        <f>IF($G6897&lt;&gt;"ALCOHOL","",IF($K6897="","",$H6897*IFERROR(VLOOKUP($K6897,Drink_Templates!$A:$G,7,FALSE),0)))</f>
        <v/>
      </c>
    </row>
    <row r="6898" ht="15" customHeight="1">
      <c r="C6898">
        <f>IF($B6898="","",INT($B6898))</f>
        <v/>
      </c>
      <c r="D6898">
        <f>IF($C6898="","",$C6898-WEEKDAY($C6898,2)+1)</f>
        <v/>
      </c>
      <c r="E6898">
        <f>IF($C6898="","",DATE(YEAR($C6898),MONTH($C6898),1))</f>
        <v/>
      </c>
      <c r="F6898">
        <f>IF($C6898="","",YEAR($C6898)&amp;"-Q"&amp;ROUNDUP(MONTH($C6898)/3,0))</f>
        <v/>
      </c>
      <c r="L6898">
        <f>IF($G6898&lt;&gt;"ALCOHOL","",IF($K6898="","",$H6898*IFERROR(VLOOKUP($K6898,Drink_Templates!$A:$G,7,FALSE),0)))</f>
        <v/>
      </c>
    </row>
    <row r="6899" ht="15" customHeight="1">
      <c r="C6899">
        <f>IF($B6899="","",INT($B6899))</f>
        <v/>
      </c>
      <c r="D6899">
        <f>IF($C6899="","",$C6899-WEEKDAY($C6899,2)+1)</f>
        <v/>
      </c>
      <c r="E6899">
        <f>IF($C6899="","",DATE(YEAR($C6899),MONTH($C6899),1))</f>
        <v/>
      </c>
      <c r="F6899">
        <f>IF($C6899="","",YEAR($C6899)&amp;"-Q"&amp;ROUNDUP(MONTH($C6899)/3,0))</f>
        <v/>
      </c>
      <c r="L6899">
        <f>IF($G6899&lt;&gt;"ALCOHOL","",IF($K6899="","",$H6899*IFERROR(VLOOKUP($K6899,Drink_Templates!$A:$G,7,FALSE),0)))</f>
        <v/>
      </c>
    </row>
    <row r="6900" ht="15" customHeight="1">
      <c r="C6900">
        <f>IF($B6900="","",INT($B6900))</f>
        <v/>
      </c>
      <c r="D6900">
        <f>IF($C6900="","",$C6900-WEEKDAY($C6900,2)+1)</f>
        <v/>
      </c>
      <c r="E6900">
        <f>IF($C6900="","",DATE(YEAR($C6900),MONTH($C6900),1))</f>
        <v/>
      </c>
      <c r="F6900">
        <f>IF($C6900="","",YEAR($C6900)&amp;"-Q"&amp;ROUNDUP(MONTH($C6900)/3,0))</f>
        <v/>
      </c>
      <c r="L6900">
        <f>IF($G6900&lt;&gt;"ALCOHOL","",IF($K6900="","",$H6900*IFERROR(VLOOKUP($K6900,Drink_Templates!$A:$G,7,FALSE),0)))</f>
        <v/>
      </c>
    </row>
    <row r="6901" ht="15" customHeight="1">
      <c r="C6901">
        <f>IF($B6901="","",INT($B6901))</f>
        <v/>
      </c>
      <c r="D6901">
        <f>IF($C6901="","",$C6901-WEEKDAY($C6901,2)+1)</f>
        <v/>
      </c>
      <c r="E6901">
        <f>IF($C6901="","",DATE(YEAR($C6901),MONTH($C6901),1))</f>
        <v/>
      </c>
      <c r="F6901">
        <f>IF($C6901="","",YEAR($C6901)&amp;"-Q"&amp;ROUNDUP(MONTH($C6901)/3,0))</f>
        <v/>
      </c>
      <c r="L6901">
        <f>IF($G6901&lt;&gt;"ALCOHOL","",IF($K6901="","",$H6901*IFERROR(VLOOKUP($K6901,Drink_Templates!$A:$G,7,FALSE),0)))</f>
        <v/>
      </c>
    </row>
    <row r="6902" ht="15" customHeight="1">
      <c r="C6902">
        <f>IF($B6902="","",INT($B6902))</f>
        <v/>
      </c>
      <c r="D6902">
        <f>IF($C6902="","",$C6902-WEEKDAY($C6902,2)+1)</f>
        <v/>
      </c>
      <c r="E6902">
        <f>IF($C6902="","",DATE(YEAR($C6902),MONTH($C6902),1))</f>
        <v/>
      </c>
      <c r="F6902">
        <f>IF($C6902="","",YEAR($C6902)&amp;"-Q"&amp;ROUNDUP(MONTH($C6902)/3,0))</f>
        <v/>
      </c>
      <c r="L6902">
        <f>IF($G6902&lt;&gt;"ALCOHOL","",IF($K6902="","",$H6902*IFERROR(VLOOKUP($K6902,Drink_Templates!$A:$G,7,FALSE),0)))</f>
        <v/>
      </c>
    </row>
    <row r="6903" ht="15" customHeight="1">
      <c r="C6903">
        <f>IF($B6903="","",INT($B6903))</f>
        <v/>
      </c>
      <c r="D6903">
        <f>IF($C6903="","",$C6903-WEEKDAY($C6903,2)+1)</f>
        <v/>
      </c>
      <c r="E6903">
        <f>IF($C6903="","",DATE(YEAR($C6903),MONTH($C6903),1))</f>
        <v/>
      </c>
      <c r="F6903">
        <f>IF($C6903="","",YEAR($C6903)&amp;"-Q"&amp;ROUNDUP(MONTH($C6903)/3,0))</f>
        <v/>
      </c>
      <c r="L6903">
        <f>IF($G6903&lt;&gt;"ALCOHOL","",IF($K6903="","",$H6903*IFERROR(VLOOKUP($K6903,Drink_Templates!$A:$G,7,FALSE),0)))</f>
        <v/>
      </c>
    </row>
    <row r="6904" ht="15" customHeight="1">
      <c r="C6904">
        <f>IF($B6904="","",INT($B6904))</f>
        <v/>
      </c>
      <c r="D6904">
        <f>IF($C6904="","",$C6904-WEEKDAY($C6904,2)+1)</f>
        <v/>
      </c>
      <c r="E6904">
        <f>IF($C6904="","",DATE(YEAR($C6904),MONTH($C6904),1))</f>
        <v/>
      </c>
      <c r="F6904">
        <f>IF($C6904="","",YEAR($C6904)&amp;"-Q"&amp;ROUNDUP(MONTH($C6904)/3,0))</f>
        <v/>
      </c>
      <c r="L6904">
        <f>IF($G6904&lt;&gt;"ALCOHOL","",IF($K6904="","",$H6904*IFERROR(VLOOKUP($K6904,Drink_Templates!$A:$G,7,FALSE),0)))</f>
        <v/>
      </c>
    </row>
    <row r="6905" ht="15" customHeight="1">
      <c r="C6905">
        <f>IF($B6905="","",INT($B6905))</f>
        <v/>
      </c>
      <c r="D6905">
        <f>IF($C6905="","",$C6905-WEEKDAY($C6905,2)+1)</f>
        <v/>
      </c>
      <c r="E6905">
        <f>IF($C6905="","",DATE(YEAR($C6905),MONTH($C6905),1))</f>
        <v/>
      </c>
      <c r="F6905">
        <f>IF($C6905="","",YEAR($C6905)&amp;"-Q"&amp;ROUNDUP(MONTH($C6905)/3,0))</f>
        <v/>
      </c>
      <c r="L6905">
        <f>IF($G6905&lt;&gt;"ALCOHOL","",IF($K6905="","",$H6905*IFERROR(VLOOKUP($K6905,Drink_Templates!$A:$G,7,FALSE),0)))</f>
        <v/>
      </c>
    </row>
    <row r="6906" ht="15" customHeight="1">
      <c r="C6906">
        <f>IF($B6906="","",INT($B6906))</f>
        <v/>
      </c>
      <c r="D6906">
        <f>IF($C6906="","",$C6906-WEEKDAY($C6906,2)+1)</f>
        <v/>
      </c>
      <c r="E6906">
        <f>IF($C6906="","",DATE(YEAR($C6906),MONTH($C6906),1))</f>
        <v/>
      </c>
      <c r="F6906">
        <f>IF($C6906="","",YEAR($C6906)&amp;"-Q"&amp;ROUNDUP(MONTH($C6906)/3,0))</f>
        <v/>
      </c>
      <c r="L6906">
        <f>IF($G6906&lt;&gt;"ALCOHOL","",IF($K6906="","",$H6906*IFERROR(VLOOKUP($K6906,Drink_Templates!$A:$G,7,FALSE),0)))</f>
        <v/>
      </c>
    </row>
    <row r="6907" ht="15" customHeight="1">
      <c r="C6907">
        <f>IF($B6907="","",INT($B6907))</f>
        <v/>
      </c>
      <c r="D6907">
        <f>IF($C6907="","",$C6907-WEEKDAY($C6907,2)+1)</f>
        <v/>
      </c>
      <c r="E6907">
        <f>IF($C6907="","",DATE(YEAR($C6907),MONTH($C6907),1))</f>
        <v/>
      </c>
      <c r="F6907">
        <f>IF($C6907="","",YEAR($C6907)&amp;"-Q"&amp;ROUNDUP(MONTH($C6907)/3,0))</f>
        <v/>
      </c>
      <c r="L6907">
        <f>IF($G6907&lt;&gt;"ALCOHOL","",IF($K6907="","",$H6907*IFERROR(VLOOKUP($K6907,Drink_Templates!$A:$G,7,FALSE),0)))</f>
        <v/>
      </c>
    </row>
    <row r="6908" ht="15" customHeight="1">
      <c r="C6908">
        <f>IF($B6908="","",INT($B6908))</f>
        <v/>
      </c>
      <c r="D6908">
        <f>IF($C6908="","",$C6908-WEEKDAY($C6908,2)+1)</f>
        <v/>
      </c>
      <c r="E6908">
        <f>IF($C6908="","",DATE(YEAR($C6908),MONTH($C6908),1))</f>
        <v/>
      </c>
      <c r="F6908">
        <f>IF($C6908="","",YEAR($C6908)&amp;"-Q"&amp;ROUNDUP(MONTH($C6908)/3,0))</f>
        <v/>
      </c>
      <c r="L6908">
        <f>IF($G6908&lt;&gt;"ALCOHOL","",IF($K6908="","",$H6908*IFERROR(VLOOKUP($K6908,Drink_Templates!$A:$G,7,FALSE),0)))</f>
        <v/>
      </c>
    </row>
    <row r="6909" ht="15" customHeight="1">
      <c r="C6909">
        <f>IF($B6909="","",INT($B6909))</f>
        <v/>
      </c>
      <c r="D6909">
        <f>IF($C6909="","",$C6909-WEEKDAY($C6909,2)+1)</f>
        <v/>
      </c>
      <c r="E6909">
        <f>IF($C6909="","",DATE(YEAR($C6909),MONTH($C6909),1))</f>
        <v/>
      </c>
      <c r="F6909">
        <f>IF($C6909="","",YEAR($C6909)&amp;"-Q"&amp;ROUNDUP(MONTH($C6909)/3,0))</f>
        <v/>
      </c>
      <c r="L6909">
        <f>IF($G6909&lt;&gt;"ALCOHOL","",IF($K6909="","",$H6909*IFERROR(VLOOKUP($K6909,Drink_Templates!$A:$G,7,FALSE),0)))</f>
        <v/>
      </c>
    </row>
    <row r="6910" ht="15" customHeight="1">
      <c r="C6910">
        <f>IF($B6910="","",INT($B6910))</f>
        <v/>
      </c>
      <c r="D6910">
        <f>IF($C6910="","",$C6910-WEEKDAY($C6910,2)+1)</f>
        <v/>
      </c>
      <c r="E6910">
        <f>IF($C6910="","",DATE(YEAR($C6910),MONTH($C6910),1))</f>
        <v/>
      </c>
      <c r="F6910">
        <f>IF($C6910="","",YEAR($C6910)&amp;"-Q"&amp;ROUNDUP(MONTH($C6910)/3,0))</f>
        <v/>
      </c>
      <c r="L6910">
        <f>IF($G6910&lt;&gt;"ALCOHOL","",IF($K6910="","",$H6910*IFERROR(VLOOKUP($K6910,Drink_Templates!$A:$G,7,FALSE),0)))</f>
        <v/>
      </c>
    </row>
    <row r="6911" ht="15" customHeight="1">
      <c r="C6911">
        <f>IF($B6911="","",INT($B6911))</f>
        <v/>
      </c>
      <c r="D6911">
        <f>IF($C6911="","",$C6911-WEEKDAY($C6911,2)+1)</f>
        <v/>
      </c>
      <c r="E6911">
        <f>IF($C6911="","",DATE(YEAR($C6911),MONTH($C6911),1))</f>
        <v/>
      </c>
      <c r="F6911">
        <f>IF($C6911="","",YEAR($C6911)&amp;"-Q"&amp;ROUNDUP(MONTH($C6911)/3,0))</f>
        <v/>
      </c>
      <c r="L6911">
        <f>IF($G6911&lt;&gt;"ALCOHOL","",IF($K6911="","",$H6911*IFERROR(VLOOKUP($K6911,Drink_Templates!$A:$G,7,FALSE),0)))</f>
        <v/>
      </c>
    </row>
    <row r="6912" ht="15" customHeight="1">
      <c r="C6912">
        <f>IF($B6912="","",INT($B6912))</f>
        <v/>
      </c>
      <c r="D6912">
        <f>IF($C6912="","",$C6912-WEEKDAY($C6912,2)+1)</f>
        <v/>
      </c>
      <c r="E6912">
        <f>IF($C6912="","",DATE(YEAR($C6912),MONTH($C6912),1))</f>
        <v/>
      </c>
      <c r="F6912">
        <f>IF($C6912="","",YEAR($C6912)&amp;"-Q"&amp;ROUNDUP(MONTH($C6912)/3,0))</f>
        <v/>
      </c>
      <c r="L6912">
        <f>IF($G6912&lt;&gt;"ALCOHOL","",IF($K6912="","",$H6912*IFERROR(VLOOKUP($K6912,Drink_Templates!$A:$G,7,FALSE),0)))</f>
        <v/>
      </c>
    </row>
    <row r="6913" ht="15" customHeight="1">
      <c r="C6913">
        <f>IF($B6913="","",INT($B6913))</f>
        <v/>
      </c>
      <c r="D6913">
        <f>IF($C6913="","",$C6913-WEEKDAY($C6913,2)+1)</f>
        <v/>
      </c>
      <c r="E6913">
        <f>IF($C6913="","",DATE(YEAR($C6913),MONTH($C6913),1))</f>
        <v/>
      </c>
      <c r="F6913">
        <f>IF($C6913="","",YEAR($C6913)&amp;"-Q"&amp;ROUNDUP(MONTH($C6913)/3,0))</f>
        <v/>
      </c>
      <c r="L6913">
        <f>IF($G6913&lt;&gt;"ALCOHOL","",IF($K6913="","",$H6913*IFERROR(VLOOKUP($K6913,Drink_Templates!$A:$G,7,FALSE),0)))</f>
        <v/>
      </c>
    </row>
    <row r="6914" ht="15" customHeight="1">
      <c r="C6914">
        <f>IF($B6914="","",INT($B6914))</f>
        <v/>
      </c>
      <c r="D6914">
        <f>IF($C6914="","",$C6914-WEEKDAY($C6914,2)+1)</f>
        <v/>
      </c>
      <c r="E6914">
        <f>IF($C6914="","",DATE(YEAR($C6914),MONTH($C6914),1))</f>
        <v/>
      </c>
      <c r="F6914">
        <f>IF($C6914="","",YEAR($C6914)&amp;"-Q"&amp;ROUNDUP(MONTH($C6914)/3,0))</f>
        <v/>
      </c>
      <c r="L6914">
        <f>IF($G6914&lt;&gt;"ALCOHOL","",IF($K6914="","",$H6914*IFERROR(VLOOKUP($K6914,Drink_Templates!$A:$G,7,FALSE),0)))</f>
        <v/>
      </c>
    </row>
    <row r="6915" ht="15" customHeight="1">
      <c r="C6915">
        <f>IF($B6915="","",INT($B6915))</f>
        <v/>
      </c>
      <c r="D6915">
        <f>IF($C6915="","",$C6915-WEEKDAY($C6915,2)+1)</f>
        <v/>
      </c>
      <c r="E6915">
        <f>IF($C6915="","",DATE(YEAR($C6915),MONTH($C6915),1))</f>
        <v/>
      </c>
      <c r="F6915">
        <f>IF($C6915="","",YEAR($C6915)&amp;"-Q"&amp;ROUNDUP(MONTH($C6915)/3,0))</f>
        <v/>
      </c>
      <c r="L6915">
        <f>IF($G6915&lt;&gt;"ALCOHOL","",IF($K6915="","",$H6915*IFERROR(VLOOKUP($K6915,Drink_Templates!$A:$G,7,FALSE),0)))</f>
        <v/>
      </c>
    </row>
    <row r="6916" ht="15" customHeight="1">
      <c r="C6916">
        <f>IF($B6916="","",INT($B6916))</f>
        <v/>
      </c>
      <c r="D6916">
        <f>IF($C6916="","",$C6916-WEEKDAY($C6916,2)+1)</f>
        <v/>
      </c>
      <c r="E6916">
        <f>IF($C6916="","",DATE(YEAR($C6916),MONTH($C6916),1))</f>
        <v/>
      </c>
      <c r="F6916">
        <f>IF($C6916="","",YEAR($C6916)&amp;"-Q"&amp;ROUNDUP(MONTH($C6916)/3,0))</f>
        <v/>
      </c>
      <c r="L6916">
        <f>IF($G6916&lt;&gt;"ALCOHOL","",IF($K6916="","",$H6916*IFERROR(VLOOKUP($K6916,Drink_Templates!$A:$G,7,FALSE),0)))</f>
        <v/>
      </c>
    </row>
    <row r="6917" ht="15" customHeight="1">
      <c r="C6917">
        <f>IF($B6917="","",INT($B6917))</f>
        <v/>
      </c>
      <c r="D6917">
        <f>IF($C6917="","",$C6917-WEEKDAY($C6917,2)+1)</f>
        <v/>
      </c>
      <c r="E6917">
        <f>IF($C6917="","",DATE(YEAR($C6917),MONTH($C6917),1))</f>
        <v/>
      </c>
      <c r="F6917">
        <f>IF($C6917="","",YEAR($C6917)&amp;"-Q"&amp;ROUNDUP(MONTH($C6917)/3,0))</f>
        <v/>
      </c>
      <c r="L6917">
        <f>IF($G6917&lt;&gt;"ALCOHOL","",IF($K6917="","",$H6917*IFERROR(VLOOKUP($K6917,Drink_Templates!$A:$G,7,FALSE),0)))</f>
        <v/>
      </c>
    </row>
    <row r="6918" ht="15" customHeight="1">
      <c r="C6918">
        <f>IF($B6918="","",INT($B6918))</f>
        <v/>
      </c>
      <c r="D6918">
        <f>IF($C6918="","",$C6918-WEEKDAY($C6918,2)+1)</f>
        <v/>
      </c>
      <c r="E6918">
        <f>IF($C6918="","",DATE(YEAR($C6918),MONTH($C6918),1))</f>
        <v/>
      </c>
      <c r="F6918">
        <f>IF($C6918="","",YEAR($C6918)&amp;"-Q"&amp;ROUNDUP(MONTH($C6918)/3,0))</f>
        <v/>
      </c>
      <c r="L6918">
        <f>IF($G6918&lt;&gt;"ALCOHOL","",IF($K6918="","",$H6918*IFERROR(VLOOKUP($K6918,Drink_Templates!$A:$G,7,FALSE),0)))</f>
        <v/>
      </c>
    </row>
    <row r="6919" ht="15" customHeight="1">
      <c r="C6919">
        <f>IF($B6919="","",INT($B6919))</f>
        <v/>
      </c>
      <c r="D6919">
        <f>IF($C6919="","",$C6919-WEEKDAY($C6919,2)+1)</f>
        <v/>
      </c>
      <c r="E6919">
        <f>IF($C6919="","",DATE(YEAR($C6919),MONTH($C6919),1))</f>
        <v/>
      </c>
      <c r="F6919">
        <f>IF($C6919="","",YEAR($C6919)&amp;"-Q"&amp;ROUNDUP(MONTH($C6919)/3,0))</f>
        <v/>
      </c>
      <c r="L6919">
        <f>IF($G6919&lt;&gt;"ALCOHOL","",IF($K6919="","",$H6919*IFERROR(VLOOKUP($K6919,Drink_Templates!$A:$G,7,FALSE),0)))</f>
        <v/>
      </c>
    </row>
    <row r="6920" ht="15" customHeight="1">
      <c r="C6920">
        <f>IF($B6920="","",INT($B6920))</f>
        <v/>
      </c>
      <c r="D6920">
        <f>IF($C6920="","",$C6920-WEEKDAY($C6920,2)+1)</f>
        <v/>
      </c>
      <c r="E6920">
        <f>IF($C6920="","",DATE(YEAR($C6920),MONTH($C6920),1))</f>
        <v/>
      </c>
      <c r="F6920">
        <f>IF($C6920="","",YEAR($C6920)&amp;"-Q"&amp;ROUNDUP(MONTH($C6920)/3,0))</f>
        <v/>
      </c>
      <c r="L6920">
        <f>IF($G6920&lt;&gt;"ALCOHOL","",IF($K6920="","",$H6920*IFERROR(VLOOKUP($K6920,Drink_Templates!$A:$G,7,FALSE),0)))</f>
        <v/>
      </c>
    </row>
    <row r="6921" ht="15" customHeight="1">
      <c r="C6921">
        <f>IF($B6921="","",INT($B6921))</f>
        <v/>
      </c>
      <c r="D6921">
        <f>IF($C6921="","",$C6921-WEEKDAY($C6921,2)+1)</f>
        <v/>
      </c>
      <c r="E6921">
        <f>IF($C6921="","",DATE(YEAR($C6921),MONTH($C6921),1))</f>
        <v/>
      </c>
      <c r="F6921">
        <f>IF($C6921="","",YEAR($C6921)&amp;"-Q"&amp;ROUNDUP(MONTH($C6921)/3,0))</f>
        <v/>
      </c>
      <c r="L6921">
        <f>IF($G6921&lt;&gt;"ALCOHOL","",IF($K6921="","",$H6921*IFERROR(VLOOKUP($K6921,Drink_Templates!$A:$G,7,FALSE),0)))</f>
        <v/>
      </c>
    </row>
    <row r="6922" ht="15" customHeight="1">
      <c r="C6922">
        <f>IF($B6922="","",INT($B6922))</f>
        <v/>
      </c>
      <c r="D6922">
        <f>IF($C6922="","",$C6922-WEEKDAY($C6922,2)+1)</f>
        <v/>
      </c>
      <c r="E6922">
        <f>IF($C6922="","",DATE(YEAR($C6922),MONTH($C6922),1))</f>
        <v/>
      </c>
      <c r="F6922">
        <f>IF($C6922="","",YEAR($C6922)&amp;"-Q"&amp;ROUNDUP(MONTH($C6922)/3,0))</f>
        <v/>
      </c>
      <c r="L6922">
        <f>IF($G6922&lt;&gt;"ALCOHOL","",IF($K6922="","",$H6922*IFERROR(VLOOKUP($K6922,Drink_Templates!$A:$G,7,FALSE),0)))</f>
        <v/>
      </c>
    </row>
    <row r="6923" ht="15" customHeight="1">
      <c r="C6923">
        <f>IF($B6923="","",INT($B6923))</f>
        <v/>
      </c>
      <c r="D6923">
        <f>IF($C6923="","",$C6923-WEEKDAY($C6923,2)+1)</f>
        <v/>
      </c>
      <c r="E6923">
        <f>IF($C6923="","",DATE(YEAR($C6923),MONTH($C6923),1))</f>
        <v/>
      </c>
      <c r="F6923">
        <f>IF($C6923="","",YEAR($C6923)&amp;"-Q"&amp;ROUNDUP(MONTH($C6923)/3,0))</f>
        <v/>
      </c>
      <c r="L6923">
        <f>IF($G6923&lt;&gt;"ALCOHOL","",IF($K6923="","",$H6923*IFERROR(VLOOKUP($K6923,Drink_Templates!$A:$G,7,FALSE),0)))</f>
        <v/>
      </c>
    </row>
    <row r="6924" ht="15" customHeight="1">
      <c r="C6924">
        <f>IF($B6924="","",INT($B6924))</f>
        <v/>
      </c>
      <c r="D6924">
        <f>IF($C6924="","",$C6924-WEEKDAY($C6924,2)+1)</f>
        <v/>
      </c>
      <c r="E6924">
        <f>IF($C6924="","",DATE(YEAR($C6924),MONTH($C6924),1))</f>
        <v/>
      </c>
      <c r="F6924">
        <f>IF($C6924="","",YEAR($C6924)&amp;"-Q"&amp;ROUNDUP(MONTH($C6924)/3,0))</f>
        <v/>
      </c>
      <c r="L6924">
        <f>IF($G6924&lt;&gt;"ALCOHOL","",IF($K6924="","",$H6924*IFERROR(VLOOKUP($K6924,Drink_Templates!$A:$G,7,FALSE),0)))</f>
        <v/>
      </c>
    </row>
    <row r="6925" ht="15" customHeight="1">
      <c r="C6925">
        <f>IF($B6925="","",INT($B6925))</f>
        <v/>
      </c>
      <c r="D6925">
        <f>IF($C6925="","",$C6925-WEEKDAY($C6925,2)+1)</f>
        <v/>
      </c>
      <c r="E6925">
        <f>IF($C6925="","",DATE(YEAR($C6925),MONTH($C6925),1))</f>
        <v/>
      </c>
      <c r="F6925">
        <f>IF($C6925="","",YEAR($C6925)&amp;"-Q"&amp;ROUNDUP(MONTH($C6925)/3,0))</f>
        <v/>
      </c>
      <c r="L6925">
        <f>IF($G6925&lt;&gt;"ALCOHOL","",IF($K6925="","",$H6925*IFERROR(VLOOKUP($K6925,Drink_Templates!$A:$G,7,FALSE),0)))</f>
        <v/>
      </c>
    </row>
    <row r="6926" ht="15" customHeight="1">
      <c r="C6926">
        <f>IF($B6926="","",INT($B6926))</f>
        <v/>
      </c>
      <c r="D6926">
        <f>IF($C6926="","",$C6926-WEEKDAY($C6926,2)+1)</f>
        <v/>
      </c>
      <c r="E6926">
        <f>IF($C6926="","",DATE(YEAR($C6926),MONTH($C6926),1))</f>
        <v/>
      </c>
      <c r="F6926">
        <f>IF($C6926="","",YEAR($C6926)&amp;"-Q"&amp;ROUNDUP(MONTH($C6926)/3,0))</f>
        <v/>
      </c>
      <c r="L6926">
        <f>IF($G6926&lt;&gt;"ALCOHOL","",IF($K6926="","",$H6926*IFERROR(VLOOKUP($K6926,Drink_Templates!$A:$G,7,FALSE),0)))</f>
        <v/>
      </c>
    </row>
    <row r="6927" ht="15" customHeight="1">
      <c r="C6927">
        <f>IF($B6927="","",INT($B6927))</f>
        <v/>
      </c>
      <c r="D6927">
        <f>IF($C6927="","",$C6927-WEEKDAY($C6927,2)+1)</f>
        <v/>
      </c>
      <c r="E6927">
        <f>IF($C6927="","",DATE(YEAR($C6927),MONTH($C6927),1))</f>
        <v/>
      </c>
      <c r="F6927">
        <f>IF($C6927="","",YEAR($C6927)&amp;"-Q"&amp;ROUNDUP(MONTH($C6927)/3,0))</f>
        <v/>
      </c>
      <c r="L6927">
        <f>IF($G6927&lt;&gt;"ALCOHOL","",IF($K6927="","",$H6927*IFERROR(VLOOKUP($K6927,Drink_Templates!$A:$G,7,FALSE),0)))</f>
        <v/>
      </c>
    </row>
    <row r="6928" ht="15" customHeight="1">
      <c r="C6928">
        <f>IF($B6928="","",INT($B6928))</f>
        <v/>
      </c>
      <c r="D6928">
        <f>IF($C6928="","",$C6928-WEEKDAY($C6928,2)+1)</f>
        <v/>
      </c>
      <c r="E6928">
        <f>IF($C6928="","",DATE(YEAR($C6928),MONTH($C6928),1))</f>
        <v/>
      </c>
      <c r="F6928">
        <f>IF($C6928="","",YEAR($C6928)&amp;"-Q"&amp;ROUNDUP(MONTH($C6928)/3,0))</f>
        <v/>
      </c>
      <c r="L6928">
        <f>IF($G6928&lt;&gt;"ALCOHOL","",IF($K6928="","",$H6928*IFERROR(VLOOKUP($K6928,Drink_Templates!$A:$G,7,FALSE),0)))</f>
        <v/>
      </c>
    </row>
    <row r="6929" ht="15" customHeight="1">
      <c r="C6929">
        <f>IF($B6929="","",INT($B6929))</f>
        <v/>
      </c>
      <c r="D6929">
        <f>IF($C6929="","",$C6929-WEEKDAY($C6929,2)+1)</f>
        <v/>
      </c>
      <c r="E6929">
        <f>IF($C6929="","",DATE(YEAR($C6929),MONTH($C6929),1))</f>
        <v/>
      </c>
      <c r="F6929">
        <f>IF($C6929="","",YEAR($C6929)&amp;"-Q"&amp;ROUNDUP(MONTH($C6929)/3,0))</f>
        <v/>
      </c>
      <c r="L6929">
        <f>IF($G6929&lt;&gt;"ALCOHOL","",IF($K6929="","",$H6929*IFERROR(VLOOKUP($K6929,Drink_Templates!$A:$G,7,FALSE),0)))</f>
        <v/>
      </c>
    </row>
    <row r="6930" ht="15" customHeight="1">
      <c r="C6930">
        <f>IF($B6930="","",INT($B6930))</f>
        <v/>
      </c>
      <c r="D6930">
        <f>IF($C6930="","",$C6930-WEEKDAY($C6930,2)+1)</f>
        <v/>
      </c>
      <c r="E6930">
        <f>IF($C6930="","",DATE(YEAR($C6930),MONTH($C6930),1))</f>
        <v/>
      </c>
      <c r="F6930">
        <f>IF($C6930="","",YEAR($C6930)&amp;"-Q"&amp;ROUNDUP(MONTH($C6930)/3,0))</f>
        <v/>
      </c>
      <c r="L6930">
        <f>IF($G6930&lt;&gt;"ALCOHOL","",IF($K6930="","",$H6930*IFERROR(VLOOKUP($K6930,Drink_Templates!$A:$G,7,FALSE),0)))</f>
        <v/>
      </c>
    </row>
    <row r="6931" ht="15" customHeight="1">
      <c r="C6931">
        <f>IF($B6931="","",INT($B6931))</f>
        <v/>
      </c>
      <c r="D6931">
        <f>IF($C6931="","",$C6931-WEEKDAY($C6931,2)+1)</f>
        <v/>
      </c>
      <c r="E6931">
        <f>IF($C6931="","",DATE(YEAR($C6931),MONTH($C6931),1))</f>
        <v/>
      </c>
      <c r="F6931">
        <f>IF($C6931="","",YEAR($C6931)&amp;"-Q"&amp;ROUNDUP(MONTH($C6931)/3,0))</f>
        <v/>
      </c>
      <c r="L6931">
        <f>IF($G6931&lt;&gt;"ALCOHOL","",IF($K6931="","",$H6931*IFERROR(VLOOKUP($K6931,Drink_Templates!$A:$G,7,FALSE),0)))</f>
        <v/>
      </c>
    </row>
    <row r="6932" ht="15" customHeight="1">
      <c r="C6932">
        <f>IF($B6932="","",INT($B6932))</f>
        <v/>
      </c>
      <c r="D6932">
        <f>IF($C6932="","",$C6932-WEEKDAY($C6932,2)+1)</f>
        <v/>
      </c>
      <c r="E6932">
        <f>IF($C6932="","",DATE(YEAR($C6932),MONTH($C6932),1))</f>
        <v/>
      </c>
      <c r="F6932">
        <f>IF($C6932="","",YEAR($C6932)&amp;"-Q"&amp;ROUNDUP(MONTH($C6932)/3,0))</f>
        <v/>
      </c>
      <c r="L6932">
        <f>IF($G6932&lt;&gt;"ALCOHOL","",IF($K6932="","",$H6932*IFERROR(VLOOKUP($K6932,Drink_Templates!$A:$G,7,FALSE),0)))</f>
        <v/>
      </c>
    </row>
    <row r="6933" ht="15" customHeight="1">
      <c r="C6933">
        <f>IF($B6933="","",INT($B6933))</f>
        <v/>
      </c>
      <c r="D6933">
        <f>IF($C6933="","",$C6933-WEEKDAY($C6933,2)+1)</f>
        <v/>
      </c>
      <c r="E6933">
        <f>IF($C6933="","",DATE(YEAR($C6933),MONTH($C6933),1))</f>
        <v/>
      </c>
      <c r="F6933">
        <f>IF($C6933="","",YEAR($C6933)&amp;"-Q"&amp;ROUNDUP(MONTH($C6933)/3,0))</f>
        <v/>
      </c>
      <c r="L6933">
        <f>IF($G6933&lt;&gt;"ALCOHOL","",IF($K6933="","",$H6933*IFERROR(VLOOKUP($K6933,Drink_Templates!$A:$G,7,FALSE),0)))</f>
        <v/>
      </c>
    </row>
    <row r="6934" ht="15" customHeight="1">
      <c r="C6934">
        <f>IF($B6934="","",INT($B6934))</f>
        <v/>
      </c>
      <c r="D6934">
        <f>IF($C6934="","",$C6934-WEEKDAY($C6934,2)+1)</f>
        <v/>
      </c>
      <c r="E6934">
        <f>IF($C6934="","",DATE(YEAR($C6934),MONTH($C6934),1))</f>
        <v/>
      </c>
      <c r="F6934">
        <f>IF($C6934="","",YEAR($C6934)&amp;"-Q"&amp;ROUNDUP(MONTH($C6934)/3,0))</f>
        <v/>
      </c>
      <c r="L6934">
        <f>IF($G6934&lt;&gt;"ALCOHOL","",IF($K6934="","",$H6934*IFERROR(VLOOKUP($K6934,Drink_Templates!$A:$G,7,FALSE),0)))</f>
        <v/>
      </c>
    </row>
    <row r="6935" ht="15" customHeight="1">
      <c r="C6935">
        <f>IF($B6935="","",INT($B6935))</f>
        <v/>
      </c>
      <c r="D6935">
        <f>IF($C6935="","",$C6935-WEEKDAY($C6935,2)+1)</f>
        <v/>
      </c>
      <c r="E6935">
        <f>IF($C6935="","",DATE(YEAR($C6935),MONTH($C6935),1))</f>
        <v/>
      </c>
      <c r="F6935">
        <f>IF($C6935="","",YEAR($C6935)&amp;"-Q"&amp;ROUNDUP(MONTH($C6935)/3,0))</f>
        <v/>
      </c>
      <c r="L6935">
        <f>IF($G6935&lt;&gt;"ALCOHOL","",IF($K6935="","",$H6935*IFERROR(VLOOKUP($K6935,Drink_Templates!$A:$G,7,FALSE),0)))</f>
        <v/>
      </c>
    </row>
    <row r="6936" ht="15" customHeight="1">
      <c r="C6936">
        <f>IF($B6936="","",INT($B6936))</f>
        <v/>
      </c>
      <c r="D6936">
        <f>IF($C6936="","",$C6936-WEEKDAY($C6936,2)+1)</f>
        <v/>
      </c>
      <c r="E6936">
        <f>IF($C6936="","",DATE(YEAR($C6936),MONTH($C6936),1))</f>
        <v/>
      </c>
      <c r="F6936">
        <f>IF($C6936="","",YEAR($C6936)&amp;"-Q"&amp;ROUNDUP(MONTH($C6936)/3,0))</f>
        <v/>
      </c>
      <c r="L6936">
        <f>IF($G6936&lt;&gt;"ALCOHOL","",IF($K6936="","",$H6936*IFERROR(VLOOKUP($K6936,Drink_Templates!$A:$G,7,FALSE),0)))</f>
        <v/>
      </c>
    </row>
    <row r="6937" ht="15" customHeight="1">
      <c r="C6937">
        <f>IF($B6937="","",INT($B6937))</f>
        <v/>
      </c>
      <c r="D6937">
        <f>IF($C6937="","",$C6937-WEEKDAY($C6937,2)+1)</f>
        <v/>
      </c>
      <c r="E6937">
        <f>IF($C6937="","",DATE(YEAR($C6937),MONTH($C6937),1))</f>
        <v/>
      </c>
      <c r="F6937">
        <f>IF($C6937="","",YEAR($C6937)&amp;"-Q"&amp;ROUNDUP(MONTH($C6937)/3,0))</f>
        <v/>
      </c>
      <c r="L6937">
        <f>IF($G6937&lt;&gt;"ALCOHOL","",IF($K6937="","",$H6937*IFERROR(VLOOKUP($K6937,Drink_Templates!$A:$G,7,FALSE),0)))</f>
        <v/>
      </c>
    </row>
    <row r="6938" ht="15" customHeight="1">
      <c r="C6938">
        <f>IF($B6938="","",INT($B6938))</f>
        <v/>
      </c>
      <c r="D6938">
        <f>IF($C6938="","",$C6938-WEEKDAY($C6938,2)+1)</f>
        <v/>
      </c>
      <c r="E6938">
        <f>IF($C6938="","",DATE(YEAR($C6938),MONTH($C6938),1))</f>
        <v/>
      </c>
      <c r="F6938">
        <f>IF($C6938="","",YEAR($C6938)&amp;"-Q"&amp;ROUNDUP(MONTH($C6938)/3,0))</f>
        <v/>
      </c>
      <c r="L6938">
        <f>IF($G6938&lt;&gt;"ALCOHOL","",IF($K6938="","",$H6938*IFERROR(VLOOKUP($K6938,Drink_Templates!$A:$G,7,FALSE),0)))</f>
        <v/>
      </c>
    </row>
    <row r="6939" ht="15" customHeight="1">
      <c r="C6939">
        <f>IF($B6939="","",INT($B6939))</f>
        <v/>
      </c>
      <c r="D6939">
        <f>IF($C6939="","",$C6939-WEEKDAY($C6939,2)+1)</f>
        <v/>
      </c>
      <c r="E6939">
        <f>IF($C6939="","",DATE(YEAR($C6939),MONTH($C6939),1))</f>
        <v/>
      </c>
      <c r="F6939">
        <f>IF($C6939="","",YEAR($C6939)&amp;"-Q"&amp;ROUNDUP(MONTH($C6939)/3,0))</f>
        <v/>
      </c>
      <c r="L6939">
        <f>IF($G6939&lt;&gt;"ALCOHOL","",IF($K6939="","",$H6939*IFERROR(VLOOKUP($K6939,Drink_Templates!$A:$G,7,FALSE),0)))</f>
        <v/>
      </c>
    </row>
    <row r="6940" ht="15" customHeight="1">
      <c r="C6940">
        <f>IF($B6940="","",INT($B6940))</f>
        <v/>
      </c>
      <c r="D6940">
        <f>IF($C6940="","",$C6940-WEEKDAY($C6940,2)+1)</f>
        <v/>
      </c>
      <c r="E6940">
        <f>IF($C6940="","",DATE(YEAR($C6940),MONTH($C6940),1))</f>
        <v/>
      </c>
      <c r="F6940">
        <f>IF($C6940="","",YEAR($C6940)&amp;"-Q"&amp;ROUNDUP(MONTH($C6940)/3,0))</f>
        <v/>
      </c>
      <c r="L6940">
        <f>IF($G6940&lt;&gt;"ALCOHOL","",IF($K6940="","",$H6940*IFERROR(VLOOKUP($K6940,Drink_Templates!$A:$G,7,FALSE),0)))</f>
        <v/>
      </c>
    </row>
    <row r="6941" ht="15" customHeight="1">
      <c r="C6941">
        <f>IF($B6941="","",INT($B6941))</f>
        <v/>
      </c>
      <c r="D6941">
        <f>IF($C6941="","",$C6941-WEEKDAY($C6941,2)+1)</f>
        <v/>
      </c>
      <c r="E6941">
        <f>IF($C6941="","",DATE(YEAR($C6941),MONTH($C6941),1))</f>
        <v/>
      </c>
      <c r="F6941">
        <f>IF($C6941="","",YEAR($C6941)&amp;"-Q"&amp;ROUNDUP(MONTH($C6941)/3,0))</f>
        <v/>
      </c>
      <c r="L6941">
        <f>IF($G6941&lt;&gt;"ALCOHOL","",IF($K6941="","",$H6941*IFERROR(VLOOKUP($K6941,Drink_Templates!$A:$G,7,FALSE),0)))</f>
        <v/>
      </c>
    </row>
    <row r="6942" ht="15" customHeight="1">
      <c r="C6942">
        <f>IF($B6942="","",INT($B6942))</f>
        <v/>
      </c>
      <c r="D6942">
        <f>IF($C6942="","",$C6942-WEEKDAY($C6942,2)+1)</f>
        <v/>
      </c>
      <c r="E6942">
        <f>IF($C6942="","",DATE(YEAR($C6942),MONTH($C6942),1))</f>
        <v/>
      </c>
      <c r="F6942">
        <f>IF($C6942="","",YEAR($C6942)&amp;"-Q"&amp;ROUNDUP(MONTH($C6942)/3,0))</f>
        <v/>
      </c>
      <c r="L6942">
        <f>IF($G6942&lt;&gt;"ALCOHOL","",IF($K6942="","",$H6942*IFERROR(VLOOKUP($K6942,Drink_Templates!$A:$G,7,FALSE),0)))</f>
        <v/>
      </c>
    </row>
    <row r="6943" ht="15" customHeight="1">
      <c r="C6943">
        <f>IF($B6943="","",INT($B6943))</f>
        <v/>
      </c>
      <c r="D6943">
        <f>IF($C6943="","",$C6943-WEEKDAY($C6943,2)+1)</f>
        <v/>
      </c>
      <c r="E6943">
        <f>IF($C6943="","",DATE(YEAR($C6943),MONTH($C6943),1))</f>
        <v/>
      </c>
      <c r="F6943">
        <f>IF($C6943="","",YEAR($C6943)&amp;"-Q"&amp;ROUNDUP(MONTH($C6943)/3,0))</f>
        <v/>
      </c>
      <c r="L6943">
        <f>IF($G6943&lt;&gt;"ALCOHOL","",IF($K6943="","",$H6943*IFERROR(VLOOKUP($K6943,Drink_Templates!$A:$G,7,FALSE),0)))</f>
        <v/>
      </c>
    </row>
    <row r="6944" ht="15" customHeight="1">
      <c r="C6944">
        <f>IF($B6944="","",INT($B6944))</f>
        <v/>
      </c>
      <c r="D6944">
        <f>IF($C6944="","",$C6944-WEEKDAY($C6944,2)+1)</f>
        <v/>
      </c>
      <c r="E6944">
        <f>IF($C6944="","",DATE(YEAR($C6944),MONTH($C6944),1))</f>
        <v/>
      </c>
      <c r="F6944">
        <f>IF($C6944="","",YEAR($C6944)&amp;"-Q"&amp;ROUNDUP(MONTH($C6944)/3,0))</f>
        <v/>
      </c>
      <c r="L6944">
        <f>IF($G6944&lt;&gt;"ALCOHOL","",IF($K6944="","",$H6944*IFERROR(VLOOKUP($K6944,Drink_Templates!$A:$G,7,FALSE),0)))</f>
        <v/>
      </c>
    </row>
    <row r="6945" ht="15" customHeight="1">
      <c r="C6945">
        <f>IF($B6945="","",INT($B6945))</f>
        <v/>
      </c>
      <c r="D6945">
        <f>IF($C6945="","",$C6945-WEEKDAY($C6945,2)+1)</f>
        <v/>
      </c>
      <c r="E6945">
        <f>IF($C6945="","",DATE(YEAR($C6945),MONTH($C6945),1))</f>
        <v/>
      </c>
      <c r="F6945">
        <f>IF($C6945="","",YEAR($C6945)&amp;"-Q"&amp;ROUNDUP(MONTH($C6945)/3,0))</f>
        <v/>
      </c>
      <c r="L6945">
        <f>IF($G6945&lt;&gt;"ALCOHOL","",IF($K6945="","",$H6945*IFERROR(VLOOKUP($K6945,Drink_Templates!$A:$G,7,FALSE),0)))</f>
        <v/>
      </c>
    </row>
    <row r="6946" ht="15" customHeight="1">
      <c r="C6946">
        <f>IF($B6946="","",INT($B6946))</f>
        <v/>
      </c>
      <c r="D6946">
        <f>IF($C6946="","",$C6946-WEEKDAY($C6946,2)+1)</f>
        <v/>
      </c>
      <c r="E6946">
        <f>IF($C6946="","",DATE(YEAR($C6946),MONTH($C6946),1))</f>
        <v/>
      </c>
      <c r="F6946">
        <f>IF($C6946="","",YEAR($C6946)&amp;"-Q"&amp;ROUNDUP(MONTH($C6946)/3,0))</f>
        <v/>
      </c>
      <c r="L6946">
        <f>IF($G6946&lt;&gt;"ALCOHOL","",IF($K6946="","",$H6946*IFERROR(VLOOKUP($K6946,Drink_Templates!$A:$G,7,FALSE),0)))</f>
        <v/>
      </c>
    </row>
    <row r="6947" ht="15" customHeight="1">
      <c r="C6947">
        <f>IF($B6947="","",INT($B6947))</f>
        <v/>
      </c>
      <c r="D6947">
        <f>IF($C6947="","",$C6947-WEEKDAY($C6947,2)+1)</f>
        <v/>
      </c>
      <c r="E6947">
        <f>IF($C6947="","",DATE(YEAR($C6947),MONTH($C6947),1))</f>
        <v/>
      </c>
      <c r="F6947">
        <f>IF($C6947="","",YEAR($C6947)&amp;"-Q"&amp;ROUNDUP(MONTH($C6947)/3,0))</f>
        <v/>
      </c>
      <c r="L6947">
        <f>IF($G6947&lt;&gt;"ALCOHOL","",IF($K6947="","",$H6947*IFERROR(VLOOKUP($K6947,Drink_Templates!$A:$G,7,FALSE),0)))</f>
        <v/>
      </c>
    </row>
    <row r="6948" ht="15" customHeight="1">
      <c r="C6948">
        <f>IF($B6948="","",INT($B6948))</f>
        <v/>
      </c>
      <c r="D6948">
        <f>IF($C6948="","",$C6948-WEEKDAY($C6948,2)+1)</f>
        <v/>
      </c>
      <c r="E6948">
        <f>IF($C6948="","",DATE(YEAR($C6948),MONTH($C6948),1))</f>
        <v/>
      </c>
      <c r="F6948">
        <f>IF($C6948="","",YEAR($C6948)&amp;"-Q"&amp;ROUNDUP(MONTH($C6948)/3,0))</f>
        <v/>
      </c>
      <c r="L6948">
        <f>IF($G6948&lt;&gt;"ALCOHOL","",IF($K6948="","",$H6948*IFERROR(VLOOKUP($K6948,Drink_Templates!$A:$G,7,FALSE),0)))</f>
        <v/>
      </c>
    </row>
    <row r="6949" ht="15" customHeight="1">
      <c r="C6949">
        <f>IF($B6949="","",INT($B6949))</f>
        <v/>
      </c>
      <c r="D6949">
        <f>IF($C6949="","",$C6949-WEEKDAY($C6949,2)+1)</f>
        <v/>
      </c>
      <c r="E6949">
        <f>IF($C6949="","",DATE(YEAR($C6949),MONTH($C6949),1))</f>
        <v/>
      </c>
      <c r="F6949">
        <f>IF($C6949="","",YEAR($C6949)&amp;"-Q"&amp;ROUNDUP(MONTH($C6949)/3,0))</f>
        <v/>
      </c>
      <c r="L6949">
        <f>IF($G6949&lt;&gt;"ALCOHOL","",IF($K6949="","",$H6949*IFERROR(VLOOKUP($K6949,Drink_Templates!$A:$G,7,FALSE),0)))</f>
        <v/>
      </c>
    </row>
    <row r="6950" ht="15" customHeight="1">
      <c r="C6950">
        <f>IF($B6950="","",INT($B6950))</f>
        <v/>
      </c>
      <c r="D6950">
        <f>IF($C6950="","",$C6950-WEEKDAY($C6950,2)+1)</f>
        <v/>
      </c>
      <c r="E6950">
        <f>IF($C6950="","",DATE(YEAR($C6950),MONTH($C6950),1))</f>
        <v/>
      </c>
      <c r="F6950">
        <f>IF($C6950="","",YEAR($C6950)&amp;"-Q"&amp;ROUNDUP(MONTH($C6950)/3,0))</f>
        <v/>
      </c>
      <c r="L6950">
        <f>IF($G6950&lt;&gt;"ALCOHOL","",IF($K6950="","",$H6950*IFERROR(VLOOKUP($K6950,Drink_Templates!$A:$G,7,FALSE),0)))</f>
        <v/>
      </c>
    </row>
    <row r="6951" ht="15" customHeight="1">
      <c r="C6951">
        <f>IF($B6951="","",INT($B6951))</f>
        <v/>
      </c>
      <c r="D6951">
        <f>IF($C6951="","",$C6951-WEEKDAY($C6951,2)+1)</f>
        <v/>
      </c>
      <c r="E6951">
        <f>IF($C6951="","",DATE(YEAR($C6951),MONTH($C6951),1))</f>
        <v/>
      </c>
      <c r="F6951">
        <f>IF($C6951="","",YEAR($C6951)&amp;"-Q"&amp;ROUNDUP(MONTH($C6951)/3,0))</f>
        <v/>
      </c>
      <c r="L6951">
        <f>IF($G6951&lt;&gt;"ALCOHOL","",IF($K6951="","",$H6951*IFERROR(VLOOKUP($K6951,Drink_Templates!$A:$G,7,FALSE),0)))</f>
        <v/>
      </c>
    </row>
    <row r="6952" ht="15" customHeight="1">
      <c r="C6952">
        <f>IF($B6952="","",INT($B6952))</f>
        <v/>
      </c>
      <c r="D6952">
        <f>IF($C6952="","",$C6952-WEEKDAY($C6952,2)+1)</f>
        <v/>
      </c>
      <c r="E6952">
        <f>IF($C6952="","",DATE(YEAR($C6952),MONTH($C6952),1))</f>
        <v/>
      </c>
      <c r="F6952">
        <f>IF($C6952="","",YEAR($C6952)&amp;"-Q"&amp;ROUNDUP(MONTH($C6952)/3,0))</f>
        <v/>
      </c>
      <c r="L6952">
        <f>IF($G6952&lt;&gt;"ALCOHOL","",IF($K6952="","",$H6952*IFERROR(VLOOKUP($K6952,Drink_Templates!$A:$G,7,FALSE),0)))</f>
        <v/>
      </c>
    </row>
    <row r="6953" ht="15" customHeight="1">
      <c r="C6953">
        <f>IF($B6953="","",INT($B6953))</f>
        <v/>
      </c>
      <c r="D6953">
        <f>IF($C6953="","",$C6953-WEEKDAY($C6953,2)+1)</f>
        <v/>
      </c>
      <c r="E6953">
        <f>IF($C6953="","",DATE(YEAR($C6953),MONTH($C6953),1))</f>
        <v/>
      </c>
      <c r="F6953">
        <f>IF($C6953="","",YEAR($C6953)&amp;"-Q"&amp;ROUNDUP(MONTH($C6953)/3,0))</f>
        <v/>
      </c>
      <c r="L6953">
        <f>IF($G6953&lt;&gt;"ALCOHOL","",IF($K6953="","",$H6953*IFERROR(VLOOKUP($K6953,Drink_Templates!$A:$G,7,FALSE),0)))</f>
        <v/>
      </c>
    </row>
    <row r="6954" ht="15" customHeight="1">
      <c r="C6954">
        <f>IF($B6954="","",INT($B6954))</f>
        <v/>
      </c>
      <c r="D6954">
        <f>IF($C6954="","",$C6954-WEEKDAY($C6954,2)+1)</f>
        <v/>
      </c>
      <c r="E6954">
        <f>IF($C6954="","",DATE(YEAR($C6954),MONTH($C6954),1))</f>
        <v/>
      </c>
      <c r="F6954">
        <f>IF($C6954="","",YEAR($C6954)&amp;"-Q"&amp;ROUNDUP(MONTH($C6954)/3,0))</f>
        <v/>
      </c>
      <c r="L6954">
        <f>IF($G6954&lt;&gt;"ALCOHOL","",IF($K6954="","",$H6954*IFERROR(VLOOKUP($K6954,Drink_Templates!$A:$G,7,FALSE),0)))</f>
        <v/>
      </c>
    </row>
    <row r="6955" ht="15" customHeight="1">
      <c r="C6955">
        <f>IF($B6955="","",INT($B6955))</f>
        <v/>
      </c>
      <c r="D6955">
        <f>IF($C6955="","",$C6955-WEEKDAY($C6955,2)+1)</f>
        <v/>
      </c>
      <c r="E6955">
        <f>IF($C6955="","",DATE(YEAR($C6955),MONTH($C6955),1))</f>
        <v/>
      </c>
      <c r="F6955">
        <f>IF($C6955="","",YEAR($C6955)&amp;"-Q"&amp;ROUNDUP(MONTH($C6955)/3,0))</f>
        <v/>
      </c>
      <c r="L6955">
        <f>IF($G6955&lt;&gt;"ALCOHOL","",IF($K6955="","",$H6955*IFERROR(VLOOKUP($K6955,Drink_Templates!$A:$G,7,FALSE),0)))</f>
        <v/>
      </c>
    </row>
    <row r="6956" ht="15" customHeight="1">
      <c r="C6956">
        <f>IF($B6956="","",INT($B6956))</f>
        <v/>
      </c>
      <c r="D6956">
        <f>IF($C6956="","",$C6956-WEEKDAY($C6956,2)+1)</f>
        <v/>
      </c>
      <c r="E6956">
        <f>IF($C6956="","",DATE(YEAR($C6956),MONTH($C6956),1))</f>
        <v/>
      </c>
      <c r="F6956">
        <f>IF($C6956="","",YEAR($C6956)&amp;"-Q"&amp;ROUNDUP(MONTH($C6956)/3,0))</f>
        <v/>
      </c>
      <c r="L6956">
        <f>IF($G6956&lt;&gt;"ALCOHOL","",IF($K6956="","",$H6956*IFERROR(VLOOKUP($K6956,Drink_Templates!$A:$G,7,FALSE),0)))</f>
        <v/>
      </c>
    </row>
    <row r="6957" ht="15" customHeight="1">
      <c r="C6957">
        <f>IF($B6957="","",INT($B6957))</f>
        <v/>
      </c>
      <c r="D6957">
        <f>IF($C6957="","",$C6957-WEEKDAY($C6957,2)+1)</f>
        <v/>
      </c>
      <c r="E6957">
        <f>IF($C6957="","",DATE(YEAR($C6957),MONTH($C6957),1))</f>
        <v/>
      </c>
      <c r="F6957">
        <f>IF($C6957="","",YEAR($C6957)&amp;"-Q"&amp;ROUNDUP(MONTH($C6957)/3,0))</f>
        <v/>
      </c>
      <c r="L6957">
        <f>IF($G6957&lt;&gt;"ALCOHOL","",IF($K6957="","",$H6957*IFERROR(VLOOKUP($K6957,Drink_Templates!$A:$G,7,FALSE),0)))</f>
        <v/>
      </c>
    </row>
    <row r="6958" ht="15" customHeight="1">
      <c r="C6958">
        <f>IF($B6958="","",INT($B6958))</f>
        <v/>
      </c>
      <c r="D6958">
        <f>IF($C6958="","",$C6958-WEEKDAY($C6958,2)+1)</f>
        <v/>
      </c>
      <c r="E6958">
        <f>IF($C6958="","",DATE(YEAR($C6958),MONTH($C6958),1))</f>
        <v/>
      </c>
      <c r="F6958">
        <f>IF($C6958="","",YEAR($C6958)&amp;"-Q"&amp;ROUNDUP(MONTH($C6958)/3,0))</f>
        <v/>
      </c>
      <c r="L6958">
        <f>IF($G6958&lt;&gt;"ALCOHOL","",IF($K6958="","",$H6958*IFERROR(VLOOKUP($K6958,Drink_Templates!$A:$G,7,FALSE),0)))</f>
        <v/>
      </c>
    </row>
    <row r="6959" ht="15" customHeight="1">
      <c r="C6959">
        <f>IF($B6959="","",INT($B6959))</f>
        <v/>
      </c>
      <c r="D6959">
        <f>IF($C6959="","",$C6959-WEEKDAY($C6959,2)+1)</f>
        <v/>
      </c>
      <c r="E6959">
        <f>IF($C6959="","",DATE(YEAR($C6959),MONTH($C6959),1))</f>
        <v/>
      </c>
      <c r="F6959">
        <f>IF($C6959="","",YEAR($C6959)&amp;"-Q"&amp;ROUNDUP(MONTH($C6959)/3,0))</f>
        <v/>
      </c>
      <c r="L6959">
        <f>IF($G6959&lt;&gt;"ALCOHOL","",IF($K6959="","",$H6959*IFERROR(VLOOKUP($K6959,Drink_Templates!$A:$G,7,FALSE),0)))</f>
        <v/>
      </c>
    </row>
    <row r="6960" ht="15" customHeight="1">
      <c r="C6960">
        <f>IF($B6960="","",INT($B6960))</f>
        <v/>
      </c>
      <c r="D6960">
        <f>IF($C6960="","",$C6960-WEEKDAY($C6960,2)+1)</f>
        <v/>
      </c>
      <c r="E6960">
        <f>IF($C6960="","",DATE(YEAR($C6960),MONTH($C6960),1))</f>
        <v/>
      </c>
      <c r="F6960">
        <f>IF($C6960="","",YEAR($C6960)&amp;"-Q"&amp;ROUNDUP(MONTH($C6960)/3,0))</f>
        <v/>
      </c>
      <c r="L6960">
        <f>IF($G6960&lt;&gt;"ALCOHOL","",IF($K6960="","",$H6960*IFERROR(VLOOKUP($K6960,Drink_Templates!$A:$G,7,FALSE),0)))</f>
        <v/>
      </c>
    </row>
    <row r="6961" ht="15" customHeight="1">
      <c r="C6961">
        <f>IF($B6961="","",INT($B6961))</f>
        <v/>
      </c>
      <c r="D6961">
        <f>IF($C6961="","",$C6961-WEEKDAY($C6961,2)+1)</f>
        <v/>
      </c>
      <c r="E6961">
        <f>IF($C6961="","",DATE(YEAR($C6961),MONTH($C6961),1))</f>
        <v/>
      </c>
      <c r="F6961">
        <f>IF($C6961="","",YEAR($C6961)&amp;"-Q"&amp;ROUNDUP(MONTH($C6961)/3,0))</f>
        <v/>
      </c>
      <c r="L6961">
        <f>IF($G6961&lt;&gt;"ALCOHOL","",IF($K6961="","",$H6961*IFERROR(VLOOKUP($K6961,Drink_Templates!$A:$G,7,FALSE),0)))</f>
        <v/>
      </c>
    </row>
    <row r="6962" ht="15" customHeight="1">
      <c r="C6962">
        <f>IF($B6962="","",INT($B6962))</f>
        <v/>
      </c>
      <c r="D6962">
        <f>IF($C6962="","",$C6962-WEEKDAY($C6962,2)+1)</f>
        <v/>
      </c>
      <c r="E6962">
        <f>IF($C6962="","",DATE(YEAR($C6962),MONTH($C6962),1))</f>
        <v/>
      </c>
      <c r="F6962">
        <f>IF($C6962="","",YEAR($C6962)&amp;"-Q"&amp;ROUNDUP(MONTH($C6962)/3,0))</f>
        <v/>
      </c>
      <c r="L6962">
        <f>IF($G6962&lt;&gt;"ALCOHOL","",IF($K6962="","",$H6962*IFERROR(VLOOKUP($K6962,Drink_Templates!$A:$G,7,FALSE),0)))</f>
        <v/>
      </c>
    </row>
    <row r="6963" ht="15" customHeight="1">
      <c r="C6963">
        <f>IF($B6963="","",INT($B6963))</f>
        <v/>
      </c>
      <c r="D6963">
        <f>IF($C6963="","",$C6963-WEEKDAY($C6963,2)+1)</f>
        <v/>
      </c>
      <c r="E6963">
        <f>IF($C6963="","",DATE(YEAR($C6963),MONTH($C6963),1))</f>
        <v/>
      </c>
      <c r="F6963">
        <f>IF($C6963="","",YEAR($C6963)&amp;"-Q"&amp;ROUNDUP(MONTH($C6963)/3,0))</f>
        <v/>
      </c>
      <c r="L6963">
        <f>IF($G6963&lt;&gt;"ALCOHOL","",IF($K6963="","",$H6963*IFERROR(VLOOKUP($K6963,Drink_Templates!$A:$G,7,FALSE),0)))</f>
        <v/>
      </c>
    </row>
    <row r="6964" ht="15" customHeight="1">
      <c r="C6964">
        <f>IF($B6964="","",INT($B6964))</f>
        <v/>
      </c>
      <c r="D6964">
        <f>IF($C6964="","",$C6964-WEEKDAY($C6964,2)+1)</f>
        <v/>
      </c>
      <c r="E6964">
        <f>IF($C6964="","",DATE(YEAR($C6964),MONTH($C6964),1))</f>
        <v/>
      </c>
      <c r="F6964">
        <f>IF($C6964="","",YEAR($C6964)&amp;"-Q"&amp;ROUNDUP(MONTH($C6964)/3,0))</f>
        <v/>
      </c>
      <c r="L6964">
        <f>IF($G6964&lt;&gt;"ALCOHOL","",IF($K6964="","",$H6964*IFERROR(VLOOKUP($K6964,Drink_Templates!$A:$G,7,FALSE),0)))</f>
        <v/>
      </c>
    </row>
    <row r="6965" ht="15" customHeight="1">
      <c r="C6965">
        <f>IF($B6965="","",INT($B6965))</f>
        <v/>
      </c>
      <c r="D6965">
        <f>IF($C6965="","",$C6965-WEEKDAY($C6965,2)+1)</f>
        <v/>
      </c>
      <c r="E6965">
        <f>IF($C6965="","",DATE(YEAR($C6965),MONTH($C6965),1))</f>
        <v/>
      </c>
      <c r="F6965">
        <f>IF($C6965="","",YEAR($C6965)&amp;"-Q"&amp;ROUNDUP(MONTH($C6965)/3,0))</f>
        <v/>
      </c>
      <c r="L6965">
        <f>IF($G6965&lt;&gt;"ALCOHOL","",IF($K6965="","",$H6965*IFERROR(VLOOKUP($K6965,Drink_Templates!$A:$G,7,FALSE),0)))</f>
        <v/>
      </c>
    </row>
    <row r="6966" ht="15" customHeight="1">
      <c r="C6966">
        <f>IF($B6966="","",INT($B6966))</f>
        <v/>
      </c>
      <c r="D6966">
        <f>IF($C6966="","",$C6966-WEEKDAY($C6966,2)+1)</f>
        <v/>
      </c>
      <c r="E6966">
        <f>IF($C6966="","",DATE(YEAR($C6966),MONTH($C6966),1))</f>
        <v/>
      </c>
      <c r="F6966">
        <f>IF($C6966="","",YEAR($C6966)&amp;"-Q"&amp;ROUNDUP(MONTH($C6966)/3,0))</f>
        <v/>
      </c>
      <c r="L6966">
        <f>IF($G6966&lt;&gt;"ALCOHOL","",IF($K6966="","",$H6966*IFERROR(VLOOKUP($K6966,Drink_Templates!$A:$G,7,FALSE),0)))</f>
        <v/>
      </c>
    </row>
    <row r="6967" ht="15" customHeight="1">
      <c r="C6967">
        <f>IF($B6967="","",INT($B6967))</f>
        <v/>
      </c>
      <c r="D6967">
        <f>IF($C6967="","",$C6967-WEEKDAY($C6967,2)+1)</f>
        <v/>
      </c>
      <c r="E6967">
        <f>IF($C6967="","",DATE(YEAR($C6967),MONTH($C6967),1))</f>
        <v/>
      </c>
      <c r="F6967">
        <f>IF($C6967="","",YEAR($C6967)&amp;"-Q"&amp;ROUNDUP(MONTH($C6967)/3,0))</f>
        <v/>
      </c>
      <c r="L6967">
        <f>IF($G6967&lt;&gt;"ALCOHOL","",IF($K6967="","",$H6967*IFERROR(VLOOKUP($K6967,Drink_Templates!$A:$G,7,FALSE),0)))</f>
        <v/>
      </c>
    </row>
    <row r="6968" ht="15" customHeight="1">
      <c r="C6968">
        <f>IF($B6968="","",INT($B6968))</f>
        <v/>
      </c>
      <c r="D6968">
        <f>IF($C6968="","",$C6968-WEEKDAY($C6968,2)+1)</f>
        <v/>
      </c>
      <c r="E6968">
        <f>IF($C6968="","",DATE(YEAR($C6968),MONTH($C6968),1))</f>
        <v/>
      </c>
      <c r="F6968">
        <f>IF($C6968="","",YEAR($C6968)&amp;"-Q"&amp;ROUNDUP(MONTH($C6968)/3,0))</f>
        <v/>
      </c>
      <c r="L6968">
        <f>IF($G6968&lt;&gt;"ALCOHOL","",IF($K6968="","",$H6968*IFERROR(VLOOKUP($K6968,Drink_Templates!$A:$G,7,FALSE),0)))</f>
        <v/>
      </c>
    </row>
    <row r="6969" ht="15" customHeight="1">
      <c r="C6969">
        <f>IF($B6969="","",INT($B6969))</f>
        <v/>
      </c>
      <c r="D6969">
        <f>IF($C6969="","",$C6969-WEEKDAY($C6969,2)+1)</f>
        <v/>
      </c>
      <c r="E6969">
        <f>IF($C6969="","",DATE(YEAR($C6969),MONTH($C6969),1))</f>
        <v/>
      </c>
      <c r="F6969">
        <f>IF($C6969="","",YEAR($C6969)&amp;"-Q"&amp;ROUNDUP(MONTH($C6969)/3,0))</f>
        <v/>
      </c>
      <c r="L6969">
        <f>IF($G6969&lt;&gt;"ALCOHOL","",IF($K6969="","",$H6969*IFERROR(VLOOKUP($K6969,Drink_Templates!$A:$G,7,FALSE),0)))</f>
        <v/>
      </c>
    </row>
    <row r="6970" ht="15" customHeight="1">
      <c r="C6970">
        <f>IF($B6970="","",INT($B6970))</f>
        <v/>
      </c>
      <c r="D6970">
        <f>IF($C6970="","",$C6970-WEEKDAY($C6970,2)+1)</f>
        <v/>
      </c>
      <c r="E6970">
        <f>IF($C6970="","",DATE(YEAR($C6970),MONTH($C6970),1))</f>
        <v/>
      </c>
      <c r="F6970">
        <f>IF($C6970="","",YEAR($C6970)&amp;"-Q"&amp;ROUNDUP(MONTH($C6970)/3,0))</f>
        <v/>
      </c>
      <c r="L6970">
        <f>IF($G6970&lt;&gt;"ALCOHOL","",IF($K6970="","",$H6970*IFERROR(VLOOKUP($K6970,Drink_Templates!$A:$G,7,FALSE),0)))</f>
        <v/>
      </c>
    </row>
    <row r="6971" ht="15" customHeight="1">
      <c r="C6971">
        <f>IF($B6971="","",INT($B6971))</f>
        <v/>
      </c>
      <c r="D6971">
        <f>IF($C6971="","",$C6971-WEEKDAY($C6971,2)+1)</f>
        <v/>
      </c>
      <c r="E6971">
        <f>IF($C6971="","",DATE(YEAR($C6971),MONTH($C6971),1))</f>
        <v/>
      </c>
      <c r="F6971">
        <f>IF($C6971="","",YEAR($C6971)&amp;"-Q"&amp;ROUNDUP(MONTH($C6971)/3,0))</f>
        <v/>
      </c>
      <c r="L6971">
        <f>IF($G6971&lt;&gt;"ALCOHOL","",IF($K6971="","",$H6971*IFERROR(VLOOKUP($K6971,Drink_Templates!$A:$G,7,FALSE),0)))</f>
        <v/>
      </c>
    </row>
    <row r="6972" ht="15" customHeight="1">
      <c r="C6972">
        <f>IF($B6972="","",INT($B6972))</f>
        <v/>
      </c>
      <c r="D6972">
        <f>IF($C6972="","",$C6972-WEEKDAY($C6972,2)+1)</f>
        <v/>
      </c>
      <c r="E6972">
        <f>IF($C6972="","",DATE(YEAR($C6972),MONTH($C6972),1))</f>
        <v/>
      </c>
      <c r="F6972">
        <f>IF($C6972="","",YEAR($C6972)&amp;"-Q"&amp;ROUNDUP(MONTH($C6972)/3,0))</f>
        <v/>
      </c>
      <c r="L6972">
        <f>IF($G6972&lt;&gt;"ALCOHOL","",IF($K6972="","",$H6972*IFERROR(VLOOKUP($K6972,Drink_Templates!$A:$G,7,FALSE),0)))</f>
        <v/>
      </c>
    </row>
    <row r="6973" ht="15" customHeight="1">
      <c r="C6973">
        <f>IF($B6973="","",INT($B6973))</f>
        <v/>
      </c>
      <c r="D6973">
        <f>IF($C6973="","",$C6973-WEEKDAY($C6973,2)+1)</f>
        <v/>
      </c>
      <c r="E6973">
        <f>IF($C6973="","",DATE(YEAR($C6973),MONTH($C6973),1))</f>
        <v/>
      </c>
      <c r="F6973">
        <f>IF($C6973="","",YEAR($C6973)&amp;"-Q"&amp;ROUNDUP(MONTH($C6973)/3,0))</f>
        <v/>
      </c>
      <c r="L6973">
        <f>IF($G6973&lt;&gt;"ALCOHOL","",IF($K6973="","",$H6973*IFERROR(VLOOKUP($K6973,Drink_Templates!$A:$G,7,FALSE),0)))</f>
        <v/>
      </c>
    </row>
    <row r="6974" ht="15" customHeight="1">
      <c r="C6974">
        <f>IF($B6974="","",INT($B6974))</f>
        <v/>
      </c>
      <c r="D6974">
        <f>IF($C6974="","",$C6974-WEEKDAY($C6974,2)+1)</f>
        <v/>
      </c>
      <c r="E6974">
        <f>IF($C6974="","",DATE(YEAR($C6974),MONTH($C6974),1))</f>
        <v/>
      </c>
      <c r="F6974">
        <f>IF($C6974="","",YEAR($C6974)&amp;"-Q"&amp;ROUNDUP(MONTH($C6974)/3,0))</f>
        <v/>
      </c>
      <c r="L6974">
        <f>IF($G6974&lt;&gt;"ALCOHOL","",IF($K6974="","",$H6974*IFERROR(VLOOKUP($K6974,Drink_Templates!$A:$G,7,FALSE),0)))</f>
        <v/>
      </c>
    </row>
    <row r="6975" ht="15" customHeight="1">
      <c r="C6975">
        <f>IF($B6975="","",INT($B6975))</f>
        <v/>
      </c>
      <c r="D6975">
        <f>IF($C6975="","",$C6975-WEEKDAY($C6975,2)+1)</f>
        <v/>
      </c>
      <c r="E6975">
        <f>IF($C6975="","",DATE(YEAR($C6975),MONTH($C6975),1))</f>
        <v/>
      </c>
      <c r="F6975">
        <f>IF($C6975="","",YEAR($C6975)&amp;"-Q"&amp;ROUNDUP(MONTH($C6975)/3,0))</f>
        <v/>
      </c>
      <c r="L6975">
        <f>IF($G6975&lt;&gt;"ALCOHOL","",IF($K6975="","",$H6975*IFERROR(VLOOKUP($K6975,Drink_Templates!$A:$G,7,FALSE),0)))</f>
        <v/>
      </c>
    </row>
    <row r="6976" ht="15" customHeight="1">
      <c r="C6976">
        <f>IF($B6976="","",INT($B6976))</f>
        <v/>
      </c>
      <c r="D6976">
        <f>IF($C6976="","",$C6976-WEEKDAY($C6976,2)+1)</f>
        <v/>
      </c>
      <c r="E6976">
        <f>IF($C6976="","",DATE(YEAR($C6976),MONTH($C6976),1))</f>
        <v/>
      </c>
      <c r="F6976">
        <f>IF($C6976="","",YEAR($C6976)&amp;"-Q"&amp;ROUNDUP(MONTH($C6976)/3,0))</f>
        <v/>
      </c>
      <c r="L6976">
        <f>IF($G6976&lt;&gt;"ALCOHOL","",IF($K6976="","",$H6976*IFERROR(VLOOKUP($K6976,Drink_Templates!$A:$G,7,FALSE),0)))</f>
        <v/>
      </c>
    </row>
    <row r="6977" ht="15" customHeight="1">
      <c r="C6977">
        <f>IF($B6977="","",INT($B6977))</f>
        <v/>
      </c>
      <c r="D6977">
        <f>IF($C6977="","",$C6977-WEEKDAY($C6977,2)+1)</f>
        <v/>
      </c>
      <c r="E6977">
        <f>IF($C6977="","",DATE(YEAR($C6977),MONTH($C6977),1))</f>
        <v/>
      </c>
      <c r="F6977">
        <f>IF($C6977="","",YEAR($C6977)&amp;"-Q"&amp;ROUNDUP(MONTH($C6977)/3,0))</f>
        <v/>
      </c>
      <c r="L6977">
        <f>IF($G6977&lt;&gt;"ALCOHOL","",IF($K6977="","",$H6977*IFERROR(VLOOKUP($K6977,Drink_Templates!$A:$G,7,FALSE),0)))</f>
        <v/>
      </c>
    </row>
    <row r="6978" ht="15" customHeight="1">
      <c r="C6978">
        <f>IF($B6978="","",INT($B6978))</f>
        <v/>
      </c>
      <c r="D6978">
        <f>IF($C6978="","",$C6978-WEEKDAY($C6978,2)+1)</f>
        <v/>
      </c>
      <c r="E6978">
        <f>IF($C6978="","",DATE(YEAR($C6978),MONTH($C6978),1))</f>
        <v/>
      </c>
      <c r="F6978">
        <f>IF($C6978="","",YEAR($C6978)&amp;"-Q"&amp;ROUNDUP(MONTH($C6978)/3,0))</f>
        <v/>
      </c>
      <c r="L6978">
        <f>IF($G6978&lt;&gt;"ALCOHOL","",IF($K6978="","",$H6978*IFERROR(VLOOKUP($K6978,Drink_Templates!$A:$G,7,FALSE),0)))</f>
        <v/>
      </c>
    </row>
    <row r="6979" ht="15" customHeight="1">
      <c r="C6979">
        <f>IF($B6979="","",INT($B6979))</f>
        <v/>
      </c>
      <c r="D6979">
        <f>IF($C6979="","",$C6979-WEEKDAY($C6979,2)+1)</f>
        <v/>
      </c>
      <c r="E6979">
        <f>IF($C6979="","",DATE(YEAR($C6979),MONTH($C6979),1))</f>
        <v/>
      </c>
      <c r="F6979">
        <f>IF($C6979="","",YEAR($C6979)&amp;"-Q"&amp;ROUNDUP(MONTH($C6979)/3,0))</f>
        <v/>
      </c>
      <c r="L6979">
        <f>IF($G6979&lt;&gt;"ALCOHOL","",IF($K6979="","",$H6979*IFERROR(VLOOKUP($K6979,Drink_Templates!$A:$G,7,FALSE),0)))</f>
        <v/>
      </c>
    </row>
    <row r="6980" ht="15" customHeight="1">
      <c r="C6980">
        <f>IF($B6980="","",INT($B6980))</f>
        <v/>
      </c>
      <c r="D6980">
        <f>IF($C6980="","",$C6980-WEEKDAY($C6980,2)+1)</f>
        <v/>
      </c>
      <c r="E6980">
        <f>IF($C6980="","",DATE(YEAR($C6980),MONTH($C6980),1))</f>
        <v/>
      </c>
      <c r="F6980">
        <f>IF($C6980="","",YEAR($C6980)&amp;"-Q"&amp;ROUNDUP(MONTH($C6980)/3,0))</f>
        <v/>
      </c>
      <c r="L6980">
        <f>IF($G6980&lt;&gt;"ALCOHOL","",IF($K6980="","",$H6980*IFERROR(VLOOKUP($K6980,Drink_Templates!$A:$G,7,FALSE),0)))</f>
        <v/>
      </c>
    </row>
    <row r="6981" ht="15" customHeight="1">
      <c r="C6981">
        <f>IF($B6981="","",INT($B6981))</f>
        <v/>
      </c>
      <c r="D6981">
        <f>IF($C6981="","",$C6981-WEEKDAY($C6981,2)+1)</f>
        <v/>
      </c>
      <c r="E6981">
        <f>IF($C6981="","",DATE(YEAR($C6981),MONTH($C6981),1))</f>
        <v/>
      </c>
      <c r="F6981">
        <f>IF($C6981="","",YEAR($C6981)&amp;"-Q"&amp;ROUNDUP(MONTH($C6981)/3,0))</f>
        <v/>
      </c>
      <c r="L6981">
        <f>IF($G6981&lt;&gt;"ALCOHOL","",IF($K6981="","",$H6981*IFERROR(VLOOKUP($K6981,Drink_Templates!$A:$G,7,FALSE),0)))</f>
        <v/>
      </c>
    </row>
    <row r="6982" ht="15" customHeight="1">
      <c r="C6982">
        <f>IF($B6982="","",INT($B6982))</f>
        <v/>
      </c>
      <c r="D6982">
        <f>IF($C6982="","",$C6982-WEEKDAY($C6982,2)+1)</f>
        <v/>
      </c>
      <c r="E6982">
        <f>IF($C6982="","",DATE(YEAR($C6982),MONTH($C6982),1))</f>
        <v/>
      </c>
      <c r="F6982">
        <f>IF($C6982="","",YEAR($C6982)&amp;"-Q"&amp;ROUNDUP(MONTH($C6982)/3,0))</f>
        <v/>
      </c>
      <c r="L6982">
        <f>IF($G6982&lt;&gt;"ALCOHOL","",IF($K6982="","",$H6982*IFERROR(VLOOKUP($K6982,Drink_Templates!$A:$G,7,FALSE),0)))</f>
        <v/>
      </c>
    </row>
    <row r="6983" ht="15" customHeight="1">
      <c r="C6983">
        <f>IF($B6983="","",INT($B6983))</f>
        <v/>
      </c>
      <c r="D6983">
        <f>IF($C6983="","",$C6983-WEEKDAY($C6983,2)+1)</f>
        <v/>
      </c>
      <c r="E6983">
        <f>IF($C6983="","",DATE(YEAR($C6983),MONTH($C6983),1))</f>
        <v/>
      </c>
      <c r="F6983">
        <f>IF($C6983="","",YEAR($C6983)&amp;"-Q"&amp;ROUNDUP(MONTH($C6983)/3,0))</f>
        <v/>
      </c>
      <c r="L6983">
        <f>IF($G6983&lt;&gt;"ALCOHOL","",IF($K6983="","",$H6983*IFERROR(VLOOKUP($K6983,Drink_Templates!$A:$G,7,FALSE),0)))</f>
        <v/>
      </c>
    </row>
    <row r="6984" ht="15" customHeight="1">
      <c r="C6984">
        <f>IF($B6984="","",INT($B6984))</f>
        <v/>
      </c>
      <c r="D6984">
        <f>IF($C6984="","",$C6984-WEEKDAY($C6984,2)+1)</f>
        <v/>
      </c>
      <c r="E6984">
        <f>IF($C6984="","",DATE(YEAR($C6984),MONTH($C6984),1))</f>
        <v/>
      </c>
      <c r="F6984">
        <f>IF($C6984="","",YEAR($C6984)&amp;"-Q"&amp;ROUNDUP(MONTH($C6984)/3,0))</f>
        <v/>
      </c>
      <c r="L6984">
        <f>IF($G6984&lt;&gt;"ALCOHOL","",IF($K6984="","",$H6984*IFERROR(VLOOKUP($K6984,Drink_Templates!$A:$G,7,FALSE),0)))</f>
        <v/>
      </c>
    </row>
    <row r="6985" ht="15" customHeight="1">
      <c r="C6985">
        <f>IF($B6985="","",INT($B6985))</f>
        <v/>
      </c>
      <c r="D6985">
        <f>IF($C6985="","",$C6985-WEEKDAY($C6985,2)+1)</f>
        <v/>
      </c>
      <c r="E6985">
        <f>IF($C6985="","",DATE(YEAR($C6985),MONTH($C6985),1))</f>
        <v/>
      </c>
      <c r="F6985">
        <f>IF($C6985="","",YEAR($C6985)&amp;"-Q"&amp;ROUNDUP(MONTH($C6985)/3,0))</f>
        <v/>
      </c>
      <c r="L6985">
        <f>IF($G6985&lt;&gt;"ALCOHOL","",IF($K6985="","",$H6985*IFERROR(VLOOKUP($K6985,Drink_Templates!$A:$G,7,FALSE),0)))</f>
        <v/>
      </c>
    </row>
    <row r="6986" ht="15" customHeight="1">
      <c r="C6986">
        <f>IF($B6986="","",INT($B6986))</f>
        <v/>
      </c>
      <c r="D6986">
        <f>IF($C6986="","",$C6986-WEEKDAY($C6986,2)+1)</f>
        <v/>
      </c>
      <c r="E6986">
        <f>IF($C6986="","",DATE(YEAR($C6986),MONTH($C6986),1))</f>
        <v/>
      </c>
      <c r="F6986">
        <f>IF($C6986="","",YEAR($C6986)&amp;"-Q"&amp;ROUNDUP(MONTH($C6986)/3,0))</f>
        <v/>
      </c>
      <c r="L6986">
        <f>IF($G6986&lt;&gt;"ALCOHOL","",IF($K6986="","",$H6986*IFERROR(VLOOKUP($K6986,Drink_Templates!$A:$G,7,FALSE),0)))</f>
        <v/>
      </c>
    </row>
    <row r="6987" ht="15" customHeight="1">
      <c r="C6987">
        <f>IF($B6987="","",INT($B6987))</f>
        <v/>
      </c>
      <c r="D6987">
        <f>IF($C6987="","",$C6987-WEEKDAY($C6987,2)+1)</f>
        <v/>
      </c>
      <c r="E6987">
        <f>IF($C6987="","",DATE(YEAR($C6987),MONTH($C6987),1))</f>
        <v/>
      </c>
      <c r="F6987">
        <f>IF($C6987="","",YEAR($C6987)&amp;"-Q"&amp;ROUNDUP(MONTH($C6987)/3,0))</f>
        <v/>
      </c>
      <c r="L6987">
        <f>IF($G6987&lt;&gt;"ALCOHOL","",IF($K6987="","",$H6987*IFERROR(VLOOKUP($K6987,Drink_Templates!$A:$G,7,FALSE),0)))</f>
        <v/>
      </c>
    </row>
    <row r="6988" ht="15" customHeight="1">
      <c r="C6988">
        <f>IF($B6988="","",INT($B6988))</f>
        <v/>
      </c>
      <c r="D6988">
        <f>IF($C6988="","",$C6988-WEEKDAY($C6988,2)+1)</f>
        <v/>
      </c>
      <c r="E6988">
        <f>IF($C6988="","",DATE(YEAR($C6988),MONTH($C6988),1))</f>
        <v/>
      </c>
      <c r="F6988">
        <f>IF($C6988="","",YEAR($C6988)&amp;"-Q"&amp;ROUNDUP(MONTH($C6988)/3,0))</f>
        <v/>
      </c>
      <c r="L6988">
        <f>IF($G6988&lt;&gt;"ALCOHOL","",IF($K6988="","",$H6988*IFERROR(VLOOKUP($K6988,Drink_Templates!$A:$G,7,FALSE),0)))</f>
        <v/>
      </c>
    </row>
    <row r="6989" ht="15" customHeight="1">
      <c r="C6989">
        <f>IF($B6989="","",INT($B6989))</f>
        <v/>
      </c>
      <c r="D6989">
        <f>IF($C6989="","",$C6989-WEEKDAY($C6989,2)+1)</f>
        <v/>
      </c>
      <c r="E6989">
        <f>IF($C6989="","",DATE(YEAR($C6989),MONTH($C6989),1))</f>
        <v/>
      </c>
      <c r="F6989">
        <f>IF($C6989="","",YEAR($C6989)&amp;"-Q"&amp;ROUNDUP(MONTH($C6989)/3,0))</f>
        <v/>
      </c>
      <c r="L6989">
        <f>IF($G6989&lt;&gt;"ALCOHOL","",IF($K6989="","",$H6989*IFERROR(VLOOKUP($K6989,Drink_Templates!$A:$G,7,FALSE),0)))</f>
        <v/>
      </c>
    </row>
    <row r="6990" ht="15" customHeight="1">
      <c r="C6990">
        <f>IF($B6990="","",INT($B6990))</f>
        <v/>
      </c>
      <c r="D6990">
        <f>IF($C6990="","",$C6990-WEEKDAY($C6990,2)+1)</f>
        <v/>
      </c>
      <c r="E6990">
        <f>IF($C6990="","",DATE(YEAR($C6990),MONTH($C6990),1))</f>
        <v/>
      </c>
      <c r="F6990">
        <f>IF($C6990="","",YEAR($C6990)&amp;"-Q"&amp;ROUNDUP(MONTH($C6990)/3,0))</f>
        <v/>
      </c>
      <c r="L6990">
        <f>IF($G6990&lt;&gt;"ALCOHOL","",IF($K6990="","",$H6990*IFERROR(VLOOKUP($K6990,Drink_Templates!$A:$G,7,FALSE),0)))</f>
        <v/>
      </c>
    </row>
    <row r="6991" ht="15" customHeight="1">
      <c r="C6991">
        <f>IF($B6991="","",INT($B6991))</f>
        <v/>
      </c>
      <c r="D6991">
        <f>IF($C6991="","",$C6991-WEEKDAY($C6991,2)+1)</f>
        <v/>
      </c>
      <c r="E6991">
        <f>IF($C6991="","",DATE(YEAR($C6991),MONTH($C6991),1))</f>
        <v/>
      </c>
      <c r="F6991">
        <f>IF($C6991="","",YEAR($C6991)&amp;"-Q"&amp;ROUNDUP(MONTH($C6991)/3,0))</f>
        <v/>
      </c>
      <c r="L6991">
        <f>IF($G6991&lt;&gt;"ALCOHOL","",IF($K6991="","",$H6991*IFERROR(VLOOKUP($K6991,Drink_Templates!$A:$G,7,FALSE),0)))</f>
        <v/>
      </c>
    </row>
    <row r="6992" ht="15" customHeight="1">
      <c r="C6992">
        <f>IF($B6992="","",INT($B6992))</f>
        <v/>
      </c>
      <c r="D6992">
        <f>IF($C6992="","",$C6992-WEEKDAY($C6992,2)+1)</f>
        <v/>
      </c>
      <c r="E6992">
        <f>IF($C6992="","",DATE(YEAR($C6992),MONTH($C6992),1))</f>
        <v/>
      </c>
      <c r="F6992">
        <f>IF($C6992="","",YEAR($C6992)&amp;"-Q"&amp;ROUNDUP(MONTH($C6992)/3,0))</f>
        <v/>
      </c>
      <c r="L6992">
        <f>IF($G6992&lt;&gt;"ALCOHOL","",IF($K6992="","",$H6992*IFERROR(VLOOKUP($K6992,Drink_Templates!$A:$G,7,FALSE),0)))</f>
        <v/>
      </c>
    </row>
    <row r="6993" ht="15" customHeight="1">
      <c r="C6993">
        <f>IF($B6993="","",INT($B6993))</f>
        <v/>
      </c>
      <c r="D6993">
        <f>IF($C6993="","",$C6993-WEEKDAY($C6993,2)+1)</f>
        <v/>
      </c>
      <c r="E6993">
        <f>IF($C6993="","",DATE(YEAR($C6993),MONTH($C6993),1))</f>
        <v/>
      </c>
      <c r="F6993">
        <f>IF($C6993="","",YEAR($C6993)&amp;"-Q"&amp;ROUNDUP(MONTH($C6993)/3,0))</f>
        <v/>
      </c>
      <c r="L6993">
        <f>IF($G6993&lt;&gt;"ALCOHOL","",IF($K6993="","",$H6993*IFERROR(VLOOKUP($K6993,Drink_Templates!$A:$G,7,FALSE),0)))</f>
        <v/>
      </c>
    </row>
    <row r="6994" ht="15" customHeight="1">
      <c r="C6994">
        <f>IF($B6994="","",INT($B6994))</f>
        <v/>
      </c>
      <c r="D6994">
        <f>IF($C6994="","",$C6994-WEEKDAY($C6994,2)+1)</f>
        <v/>
      </c>
      <c r="E6994">
        <f>IF($C6994="","",DATE(YEAR($C6994),MONTH($C6994),1))</f>
        <v/>
      </c>
      <c r="F6994">
        <f>IF($C6994="","",YEAR($C6994)&amp;"-Q"&amp;ROUNDUP(MONTH($C6994)/3,0))</f>
        <v/>
      </c>
      <c r="L6994">
        <f>IF($G6994&lt;&gt;"ALCOHOL","",IF($K6994="","",$H6994*IFERROR(VLOOKUP($K6994,Drink_Templates!$A:$G,7,FALSE),0)))</f>
        <v/>
      </c>
    </row>
    <row r="6995" ht="15" customHeight="1">
      <c r="C6995">
        <f>IF($B6995="","",INT($B6995))</f>
        <v/>
      </c>
      <c r="D6995">
        <f>IF($C6995="","",$C6995-WEEKDAY($C6995,2)+1)</f>
        <v/>
      </c>
      <c r="E6995">
        <f>IF($C6995="","",DATE(YEAR($C6995),MONTH($C6995),1))</f>
        <v/>
      </c>
      <c r="F6995">
        <f>IF($C6995="","",YEAR($C6995)&amp;"-Q"&amp;ROUNDUP(MONTH($C6995)/3,0))</f>
        <v/>
      </c>
      <c r="L6995">
        <f>IF($G6995&lt;&gt;"ALCOHOL","",IF($K6995="","",$H6995*IFERROR(VLOOKUP($K6995,Drink_Templates!$A:$G,7,FALSE),0)))</f>
        <v/>
      </c>
    </row>
    <row r="6996" ht="15" customHeight="1">
      <c r="C6996">
        <f>IF($B6996="","",INT($B6996))</f>
        <v/>
      </c>
      <c r="D6996">
        <f>IF($C6996="","",$C6996-WEEKDAY($C6996,2)+1)</f>
        <v/>
      </c>
      <c r="E6996">
        <f>IF($C6996="","",DATE(YEAR($C6996),MONTH($C6996),1))</f>
        <v/>
      </c>
      <c r="F6996">
        <f>IF($C6996="","",YEAR($C6996)&amp;"-Q"&amp;ROUNDUP(MONTH($C6996)/3,0))</f>
        <v/>
      </c>
      <c r="L6996">
        <f>IF($G6996&lt;&gt;"ALCOHOL","",IF($K6996="","",$H6996*IFERROR(VLOOKUP($K6996,Drink_Templates!$A:$G,7,FALSE),0)))</f>
        <v/>
      </c>
    </row>
    <row r="6997" ht="15" customHeight="1">
      <c r="C6997">
        <f>IF($B6997="","",INT($B6997))</f>
        <v/>
      </c>
      <c r="D6997">
        <f>IF($C6997="","",$C6997-WEEKDAY($C6997,2)+1)</f>
        <v/>
      </c>
      <c r="E6997">
        <f>IF($C6997="","",DATE(YEAR($C6997),MONTH($C6997),1))</f>
        <v/>
      </c>
      <c r="F6997">
        <f>IF($C6997="","",YEAR($C6997)&amp;"-Q"&amp;ROUNDUP(MONTH($C6997)/3,0))</f>
        <v/>
      </c>
      <c r="L6997">
        <f>IF($G6997&lt;&gt;"ALCOHOL","",IF($K6997="","",$H6997*IFERROR(VLOOKUP($K6997,Drink_Templates!$A:$G,7,FALSE),0)))</f>
        <v/>
      </c>
    </row>
    <row r="6998" ht="15" customHeight="1">
      <c r="C6998">
        <f>IF($B6998="","",INT($B6998))</f>
        <v/>
      </c>
      <c r="D6998">
        <f>IF($C6998="","",$C6998-WEEKDAY($C6998,2)+1)</f>
        <v/>
      </c>
      <c r="E6998">
        <f>IF($C6998="","",DATE(YEAR($C6998),MONTH($C6998),1))</f>
        <v/>
      </c>
      <c r="F6998">
        <f>IF($C6998="","",YEAR($C6998)&amp;"-Q"&amp;ROUNDUP(MONTH($C6998)/3,0))</f>
        <v/>
      </c>
      <c r="L6998">
        <f>IF($G6998&lt;&gt;"ALCOHOL","",IF($K6998="","",$H6998*IFERROR(VLOOKUP($K6998,Drink_Templates!$A:$G,7,FALSE),0)))</f>
        <v/>
      </c>
    </row>
    <row r="6999" ht="15" customHeight="1">
      <c r="C6999">
        <f>IF($B6999="","",INT($B6999))</f>
        <v/>
      </c>
      <c r="D6999">
        <f>IF($C6999="","",$C6999-WEEKDAY($C6999,2)+1)</f>
        <v/>
      </c>
      <c r="E6999">
        <f>IF($C6999="","",DATE(YEAR($C6999),MONTH($C6999),1))</f>
        <v/>
      </c>
      <c r="F6999">
        <f>IF($C6999="","",YEAR($C6999)&amp;"-Q"&amp;ROUNDUP(MONTH($C6999)/3,0))</f>
        <v/>
      </c>
      <c r="L6999">
        <f>IF($G6999&lt;&gt;"ALCOHOL","",IF($K6999="","",$H6999*IFERROR(VLOOKUP($K6999,Drink_Templates!$A:$G,7,FALSE),0)))</f>
        <v/>
      </c>
    </row>
    <row r="7000" ht="15" customHeight="1">
      <c r="C7000">
        <f>IF($B7000="","",INT($B7000))</f>
        <v/>
      </c>
      <c r="D7000">
        <f>IF($C7000="","",$C7000-WEEKDAY($C7000,2)+1)</f>
        <v/>
      </c>
      <c r="E7000">
        <f>IF($C7000="","",DATE(YEAR($C7000),MONTH($C7000),1))</f>
        <v/>
      </c>
      <c r="F7000">
        <f>IF($C7000="","",YEAR($C7000)&amp;"-Q"&amp;ROUNDUP(MONTH($C7000)/3,0))</f>
        <v/>
      </c>
      <c r="L7000">
        <f>IF($G7000&lt;&gt;"ALCOHOL","",IF($K7000="","",$H7000*IFERROR(VLOOKUP($K7000,Drink_Templates!$A:$G,7,FALSE),0)))</f>
        <v/>
      </c>
    </row>
    <row r="7001" ht="15" customHeight="1">
      <c r="C7001">
        <f>IF($B7001="","",INT($B7001))</f>
        <v/>
      </c>
      <c r="D7001">
        <f>IF($C7001="","",$C7001-WEEKDAY($C7001,2)+1)</f>
        <v/>
      </c>
      <c r="E7001">
        <f>IF($C7001="","",DATE(YEAR($C7001),MONTH($C7001),1))</f>
        <v/>
      </c>
      <c r="F7001">
        <f>IF($C7001="","",YEAR($C7001)&amp;"-Q"&amp;ROUNDUP(MONTH($C7001)/3,0))</f>
        <v/>
      </c>
      <c r="L7001">
        <f>IF($G7001&lt;&gt;"ALCOHOL","",IF($K7001="","",$H7001*IFERROR(VLOOKUP($K7001,Drink_Templates!$A:$G,7,FALSE),0)))</f>
        <v/>
      </c>
    </row>
    <row r="7002" ht="15" customHeight="1">
      <c r="C7002">
        <f>IF($B7002="","",INT($B7002))</f>
        <v/>
      </c>
      <c r="D7002">
        <f>IF($C7002="","",$C7002-WEEKDAY($C7002,2)+1)</f>
        <v/>
      </c>
      <c r="E7002">
        <f>IF($C7002="","",DATE(YEAR($C7002),MONTH($C7002),1))</f>
        <v/>
      </c>
      <c r="F7002">
        <f>IF($C7002="","",YEAR($C7002)&amp;"-Q"&amp;ROUNDUP(MONTH($C7002)/3,0))</f>
        <v/>
      </c>
      <c r="L7002">
        <f>IF($G7002&lt;&gt;"ALCOHOL","",IF($K7002="","",$H7002*IFERROR(VLOOKUP($K7002,Drink_Templates!$A:$G,7,FALSE),0)))</f>
        <v/>
      </c>
    </row>
    <row r="7003" ht="15" customHeight="1">
      <c r="C7003">
        <f>IF($B7003="","",INT($B7003))</f>
        <v/>
      </c>
      <c r="D7003">
        <f>IF($C7003="","",$C7003-WEEKDAY($C7003,2)+1)</f>
        <v/>
      </c>
      <c r="E7003">
        <f>IF($C7003="","",DATE(YEAR($C7003),MONTH($C7003),1))</f>
        <v/>
      </c>
      <c r="F7003">
        <f>IF($C7003="","",YEAR($C7003)&amp;"-Q"&amp;ROUNDUP(MONTH($C7003)/3,0))</f>
        <v/>
      </c>
      <c r="L7003">
        <f>IF($G7003&lt;&gt;"ALCOHOL","",IF($K7003="","",$H7003*IFERROR(VLOOKUP($K7003,Drink_Templates!$A:$G,7,FALSE),0)))</f>
        <v/>
      </c>
    </row>
    <row r="7004" ht="15" customHeight="1">
      <c r="C7004">
        <f>IF($B7004="","",INT($B7004))</f>
        <v/>
      </c>
      <c r="D7004">
        <f>IF($C7004="","",$C7004-WEEKDAY($C7004,2)+1)</f>
        <v/>
      </c>
      <c r="E7004">
        <f>IF($C7004="","",DATE(YEAR($C7004),MONTH($C7004),1))</f>
        <v/>
      </c>
      <c r="F7004">
        <f>IF($C7004="","",YEAR($C7004)&amp;"-Q"&amp;ROUNDUP(MONTH($C7004)/3,0))</f>
        <v/>
      </c>
      <c r="L7004">
        <f>IF($G7004&lt;&gt;"ALCOHOL","",IF($K7004="","",$H7004*IFERROR(VLOOKUP($K7004,Drink_Templates!$A:$G,7,FALSE),0)))</f>
        <v/>
      </c>
    </row>
    <row r="7005" ht="15" customHeight="1">
      <c r="C7005">
        <f>IF($B7005="","",INT($B7005))</f>
        <v/>
      </c>
      <c r="D7005">
        <f>IF($C7005="","",$C7005-WEEKDAY($C7005,2)+1)</f>
        <v/>
      </c>
      <c r="E7005">
        <f>IF($C7005="","",DATE(YEAR($C7005),MONTH($C7005),1))</f>
        <v/>
      </c>
      <c r="F7005">
        <f>IF($C7005="","",YEAR($C7005)&amp;"-Q"&amp;ROUNDUP(MONTH($C7005)/3,0))</f>
        <v/>
      </c>
      <c r="L7005">
        <f>IF($G7005&lt;&gt;"ALCOHOL","",IF($K7005="","",$H7005*IFERROR(VLOOKUP($K7005,Drink_Templates!$A:$G,7,FALSE),0)))</f>
        <v/>
      </c>
    </row>
    <row r="7006" ht="15" customHeight="1">
      <c r="C7006">
        <f>IF($B7006="","",INT($B7006))</f>
        <v/>
      </c>
      <c r="D7006">
        <f>IF($C7006="","",$C7006-WEEKDAY($C7006,2)+1)</f>
        <v/>
      </c>
      <c r="E7006">
        <f>IF($C7006="","",DATE(YEAR($C7006),MONTH($C7006),1))</f>
        <v/>
      </c>
      <c r="F7006">
        <f>IF($C7006="","",YEAR($C7006)&amp;"-Q"&amp;ROUNDUP(MONTH($C7006)/3,0))</f>
        <v/>
      </c>
      <c r="L7006">
        <f>IF($G7006&lt;&gt;"ALCOHOL","",IF($K7006="","",$H7006*IFERROR(VLOOKUP($K7006,Drink_Templates!$A:$G,7,FALSE),0)))</f>
        <v/>
      </c>
    </row>
    <row r="7007" ht="15" customHeight="1">
      <c r="C7007">
        <f>IF($B7007="","",INT($B7007))</f>
        <v/>
      </c>
      <c r="D7007">
        <f>IF($C7007="","",$C7007-WEEKDAY($C7007,2)+1)</f>
        <v/>
      </c>
      <c r="E7007">
        <f>IF($C7007="","",DATE(YEAR($C7007),MONTH($C7007),1))</f>
        <v/>
      </c>
      <c r="F7007">
        <f>IF($C7007="","",YEAR($C7007)&amp;"-Q"&amp;ROUNDUP(MONTH($C7007)/3,0))</f>
        <v/>
      </c>
      <c r="L7007">
        <f>IF($G7007&lt;&gt;"ALCOHOL","",IF($K7007="","",$H7007*IFERROR(VLOOKUP($K7007,Drink_Templates!$A:$G,7,FALSE),0)))</f>
        <v/>
      </c>
    </row>
    <row r="7008" ht="15" customHeight="1">
      <c r="C7008">
        <f>IF($B7008="","",INT($B7008))</f>
        <v/>
      </c>
      <c r="D7008">
        <f>IF($C7008="","",$C7008-WEEKDAY($C7008,2)+1)</f>
        <v/>
      </c>
      <c r="E7008">
        <f>IF($C7008="","",DATE(YEAR($C7008),MONTH($C7008),1))</f>
        <v/>
      </c>
      <c r="F7008">
        <f>IF($C7008="","",YEAR($C7008)&amp;"-Q"&amp;ROUNDUP(MONTH($C7008)/3,0))</f>
        <v/>
      </c>
      <c r="L7008">
        <f>IF($G7008&lt;&gt;"ALCOHOL","",IF($K7008="","",$H7008*IFERROR(VLOOKUP($K7008,Drink_Templates!$A:$G,7,FALSE),0)))</f>
        <v/>
      </c>
    </row>
    <row r="7009" ht="15" customHeight="1">
      <c r="C7009">
        <f>IF($B7009="","",INT($B7009))</f>
        <v/>
      </c>
      <c r="D7009">
        <f>IF($C7009="","",$C7009-WEEKDAY($C7009,2)+1)</f>
        <v/>
      </c>
      <c r="E7009">
        <f>IF($C7009="","",DATE(YEAR($C7009),MONTH($C7009),1))</f>
        <v/>
      </c>
      <c r="F7009">
        <f>IF($C7009="","",YEAR($C7009)&amp;"-Q"&amp;ROUNDUP(MONTH($C7009)/3,0))</f>
        <v/>
      </c>
      <c r="L7009">
        <f>IF($G7009&lt;&gt;"ALCOHOL","",IF($K7009="","",$H7009*IFERROR(VLOOKUP($K7009,Drink_Templates!$A:$G,7,FALSE),0)))</f>
        <v/>
      </c>
    </row>
    <row r="7010" ht="15" customHeight="1">
      <c r="C7010">
        <f>IF($B7010="","",INT($B7010))</f>
        <v/>
      </c>
      <c r="D7010">
        <f>IF($C7010="","",$C7010-WEEKDAY($C7010,2)+1)</f>
        <v/>
      </c>
      <c r="E7010">
        <f>IF($C7010="","",DATE(YEAR($C7010),MONTH($C7010),1))</f>
        <v/>
      </c>
      <c r="F7010">
        <f>IF($C7010="","",YEAR($C7010)&amp;"-Q"&amp;ROUNDUP(MONTH($C7010)/3,0))</f>
        <v/>
      </c>
      <c r="L7010">
        <f>IF($G7010&lt;&gt;"ALCOHOL","",IF($K7010="","",$H7010*IFERROR(VLOOKUP($K7010,Drink_Templates!$A:$G,7,FALSE),0)))</f>
        <v/>
      </c>
    </row>
    <row r="7011" ht="15" customHeight="1">
      <c r="C7011">
        <f>IF($B7011="","",INT($B7011))</f>
        <v/>
      </c>
      <c r="D7011">
        <f>IF($C7011="","",$C7011-WEEKDAY($C7011,2)+1)</f>
        <v/>
      </c>
      <c r="E7011">
        <f>IF($C7011="","",DATE(YEAR($C7011),MONTH($C7011),1))</f>
        <v/>
      </c>
      <c r="F7011">
        <f>IF($C7011="","",YEAR($C7011)&amp;"-Q"&amp;ROUNDUP(MONTH($C7011)/3,0))</f>
        <v/>
      </c>
      <c r="L7011">
        <f>IF($G7011&lt;&gt;"ALCOHOL","",IF($K7011="","",$H7011*IFERROR(VLOOKUP($K7011,Drink_Templates!$A:$G,7,FALSE),0)))</f>
        <v/>
      </c>
    </row>
    <row r="7012" ht="15" customHeight="1">
      <c r="C7012">
        <f>IF($B7012="","",INT($B7012))</f>
        <v/>
      </c>
      <c r="D7012">
        <f>IF($C7012="","",$C7012-WEEKDAY($C7012,2)+1)</f>
        <v/>
      </c>
      <c r="E7012">
        <f>IF($C7012="","",DATE(YEAR($C7012),MONTH($C7012),1))</f>
        <v/>
      </c>
      <c r="F7012">
        <f>IF($C7012="","",YEAR($C7012)&amp;"-Q"&amp;ROUNDUP(MONTH($C7012)/3,0))</f>
        <v/>
      </c>
      <c r="L7012">
        <f>IF($G7012&lt;&gt;"ALCOHOL","",IF($K7012="","",$H7012*IFERROR(VLOOKUP($K7012,Drink_Templates!$A:$G,7,FALSE),0)))</f>
        <v/>
      </c>
    </row>
    <row r="7013" ht="15" customHeight="1">
      <c r="C7013">
        <f>IF($B7013="","",INT($B7013))</f>
        <v/>
      </c>
      <c r="D7013">
        <f>IF($C7013="","",$C7013-WEEKDAY($C7013,2)+1)</f>
        <v/>
      </c>
      <c r="E7013">
        <f>IF($C7013="","",DATE(YEAR($C7013),MONTH($C7013),1))</f>
        <v/>
      </c>
      <c r="F7013">
        <f>IF($C7013="","",YEAR($C7013)&amp;"-Q"&amp;ROUNDUP(MONTH($C7013)/3,0))</f>
        <v/>
      </c>
      <c r="L7013">
        <f>IF($G7013&lt;&gt;"ALCOHOL","",IF($K7013="","",$H7013*IFERROR(VLOOKUP($K7013,Drink_Templates!$A:$G,7,FALSE),0)))</f>
        <v/>
      </c>
    </row>
    <row r="7014" ht="15" customHeight="1">
      <c r="C7014">
        <f>IF($B7014="","",INT($B7014))</f>
        <v/>
      </c>
      <c r="D7014">
        <f>IF($C7014="","",$C7014-WEEKDAY($C7014,2)+1)</f>
        <v/>
      </c>
      <c r="E7014">
        <f>IF($C7014="","",DATE(YEAR($C7014),MONTH($C7014),1))</f>
        <v/>
      </c>
      <c r="F7014">
        <f>IF($C7014="","",YEAR($C7014)&amp;"-Q"&amp;ROUNDUP(MONTH($C7014)/3,0))</f>
        <v/>
      </c>
      <c r="L7014">
        <f>IF($G7014&lt;&gt;"ALCOHOL","",IF($K7014="","",$H7014*IFERROR(VLOOKUP($K7014,Drink_Templates!$A:$G,7,FALSE),0)))</f>
        <v/>
      </c>
    </row>
    <row r="7015" ht="15" customHeight="1">
      <c r="C7015">
        <f>IF($B7015="","",INT($B7015))</f>
        <v/>
      </c>
      <c r="D7015">
        <f>IF($C7015="","",$C7015-WEEKDAY($C7015,2)+1)</f>
        <v/>
      </c>
      <c r="E7015">
        <f>IF($C7015="","",DATE(YEAR($C7015),MONTH($C7015),1))</f>
        <v/>
      </c>
      <c r="F7015">
        <f>IF($C7015="","",YEAR($C7015)&amp;"-Q"&amp;ROUNDUP(MONTH($C7015)/3,0))</f>
        <v/>
      </c>
      <c r="L7015">
        <f>IF($G7015&lt;&gt;"ALCOHOL","",IF($K7015="","",$H7015*IFERROR(VLOOKUP($K7015,Drink_Templates!$A:$G,7,FALSE),0)))</f>
        <v/>
      </c>
    </row>
    <row r="7016" ht="15" customHeight="1">
      <c r="C7016">
        <f>IF($B7016="","",INT($B7016))</f>
        <v/>
      </c>
      <c r="D7016">
        <f>IF($C7016="","",$C7016-WEEKDAY($C7016,2)+1)</f>
        <v/>
      </c>
      <c r="E7016">
        <f>IF($C7016="","",DATE(YEAR($C7016),MONTH($C7016),1))</f>
        <v/>
      </c>
      <c r="F7016">
        <f>IF($C7016="","",YEAR($C7016)&amp;"-Q"&amp;ROUNDUP(MONTH($C7016)/3,0))</f>
        <v/>
      </c>
      <c r="L7016">
        <f>IF($G7016&lt;&gt;"ALCOHOL","",IF($K7016="","",$H7016*IFERROR(VLOOKUP($K7016,Drink_Templates!$A:$G,7,FALSE),0)))</f>
        <v/>
      </c>
    </row>
    <row r="7017" ht="15" customHeight="1">
      <c r="C7017">
        <f>IF($B7017="","",INT($B7017))</f>
        <v/>
      </c>
      <c r="D7017">
        <f>IF($C7017="","",$C7017-WEEKDAY($C7017,2)+1)</f>
        <v/>
      </c>
      <c r="E7017">
        <f>IF($C7017="","",DATE(YEAR($C7017),MONTH($C7017),1))</f>
        <v/>
      </c>
      <c r="F7017">
        <f>IF($C7017="","",YEAR($C7017)&amp;"-Q"&amp;ROUNDUP(MONTH($C7017)/3,0))</f>
        <v/>
      </c>
      <c r="L7017">
        <f>IF($G7017&lt;&gt;"ALCOHOL","",IF($K7017="","",$H7017*IFERROR(VLOOKUP($K7017,Drink_Templates!$A:$G,7,FALSE),0)))</f>
        <v/>
      </c>
    </row>
    <row r="7018" ht="15" customHeight="1">
      <c r="C7018">
        <f>IF($B7018="","",INT($B7018))</f>
        <v/>
      </c>
      <c r="D7018">
        <f>IF($C7018="","",$C7018-WEEKDAY($C7018,2)+1)</f>
        <v/>
      </c>
      <c r="E7018">
        <f>IF($C7018="","",DATE(YEAR($C7018),MONTH($C7018),1))</f>
        <v/>
      </c>
      <c r="F7018">
        <f>IF($C7018="","",YEAR($C7018)&amp;"-Q"&amp;ROUNDUP(MONTH($C7018)/3,0))</f>
        <v/>
      </c>
      <c r="L7018">
        <f>IF($G7018&lt;&gt;"ALCOHOL","",IF($K7018="","",$H7018*IFERROR(VLOOKUP($K7018,Drink_Templates!$A:$G,7,FALSE),0)))</f>
        <v/>
      </c>
    </row>
    <row r="7019" ht="15" customHeight="1">
      <c r="C7019">
        <f>IF($B7019="","",INT($B7019))</f>
        <v/>
      </c>
      <c r="D7019">
        <f>IF($C7019="","",$C7019-WEEKDAY($C7019,2)+1)</f>
        <v/>
      </c>
      <c r="E7019">
        <f>IF($C7019="","",DATE(YEAR($C7019),MONTH($C7019),1))</f>
        <v/>
      </c>
      <c r="F7019">
        <f>IF($C7019="","",YEAR($C7019)&amp;"-Q"&amp;ROUNDUP(MONTH($C7019)/3,0))</f>
        <v/>
      </c>
      <c r="L7019">
        <f>IF($G7019&lt;&gt;"ALCOHOL","",IF($K7019="","",$H7019*IFERROR(VLOOKUP($K7019,Drink_Templates!$A:$G,7,FALSE),0)))</f>
        <v/>
      </c>
    </row>
    <row r="7020" ht="15" customHeight="1">
      <c r="C7020">
        <f>IF($B7020="","",INT($B7020))</f>
        <v/>
      </c>
      <c r="D7020">
        <f>IF($C7020="","",$C7020-WEEKDAY($C7020,2)+1)</f>
        <v/>
      </c>
      <c r="E7020">
        <f>IF($C7020="","",DATE(YEAR($C7020),MONTH($C7020),1))</f>
        <v/>
      </c>
      <c r="F7020">
        <f>IF($C7020="","",YEAR($C7020)&amp;"-Q"&amp;ROUNDUP(MONTH($C7020)/3,0))</f>
        <v/>
      </c>
      <c r="L7020">
        <f>IF($G7020&lt;&gt;"ALCOHOL","",IF($K7020="","",$H7020*IFERROR(VLOOKUP($K7020,Drink_Templates!$A:$G,7,FALSE),0)))</f>
        <v/>
      </c>
    </row>
    <row r="7021" ht="15" customHeight="1">
      <c r="C7021">
        <f>IF($B7021="","",INT($B7021))</f>
        <v/>
      </c>
      <c r="D7021">
        <f>IF($C7021="","",$C7021-WEEKDAY($C7021,2)+1)</f>
        <v/>
      </c>
      <c r="E7021">
        <f>IF($C7021="","",DATE(YEAR($C7021),MONTH($C7021),1))</f>
        <v/>
      </c>
      <c r="F7021">
        <f>IF($C7021="","",YEAR($C7021)&amp;"-Q"&amp;ROUNDUP(MONTH($C7021)/3,0))</f>
        <v/>
      </c>
      <c r="L7021">
        <f>IF($G7021&lt;&gt;"ALCOHOL","",IF($K7021="","",$H7021*IFERROR(VLOOKUP($K7021,Drink_Templates!$A:$G,7,FALSE),0)))</f>
        <v/>
      </c>
    </row>
    <row r="7022" ht="15" customHeight="1">
      <c r="C7022">
        <f>IF($B7022="","",INT($B7022))</f>
        <v/>
      </c>
      <c r="D7022">
        <f>IF($C7022="","",$C7022-WEEKDAY($C7022,2)+1)</f>
        <v/>
      </c>
      <c r="E7022">
        <f>IF($C7022="","",DATE(YEAR($C7022),MONTH($C7022),1))</f>
        <v/>
      </c>
      <c r="F7022">
        <f>IF($C7022="","",YEAR($C7022)&amp;"-Q"&amp;ROUNDUP(MONTH($C7022)/3,0))</f>
        <v/>
      </c>
      <c r="L7022">
        <f>IF($G7022&lt;&gt;"ALCOHOL","",IF($K7022="","",$H7022*IFERROR(VLOOKUP($K7022,Drink_Templates!$A:$G,7,FALSE),0)))</f>
        <v/>
      </c>
    </row>
    <row r="7023" ht="15" customHeight="1">
      <c r="C7023">
        <f>IF($B7023="","",INT($B7023))</f>
        <v/>
      </c>
      <c r="D7023">
        <f>IF($C7023="","",$C7023-WEEKDAY($C7023,2)+1)</f>
        <v/>
      </c>
      <c r="E7023">
        <f>IF($C7023="","",DATE(YEAR($C7023),MONTH($C7023),1))</f>
        <v/>
      </c>
      <c r="F7023">
        <f>IF($C7023="","",YEAR($C7023)&amp;"-Q"&amp;ROUNDUP(MONTH($C7023)/3,0))</f>
        <v/>
      </c>
      <c r="L7023">
        <f>IF($G7023&lt;&gt;"ALCOHOL","",IF($K7023="","",$H7023*IFERROR(VLOOKUP($K7023,Drink_Templates!$A:$G,7,FALSE),0)))</f>
        <v/>
      </c>
    </row>
    <row r="7024" ht="15" customHeight="1">
      <c r="C7024">
        <f>IF($B7024="","",INT($B7024))</f>
        <v/>
      </c>
      <c r="D7024">
        <f>IF($C7024="","",$C7024-WEEKDAY($C7024,2)+1)</f>
        <v/>
      </c>
      <c r="E7024">
        <f>IF($C7024="","",DATE(YEAR($C7024),MONTH($C7024),1))</f>
        <v/>
      </c>
      <c r="F7024">
        <f>IF($C7024="","",YEAR($C7024)&amp;"-Q"&amp;ROUNDUP(MONTH($C7024)/3,0))</f>
        <v/>
      </c>
      <c r="L7024">
        <f>IF($G7024&lt;&gt;"ALCOHOL","",IF($K7024="","",$H7024*IFERROR(VLOOKUP($K7024,Drink_Templates!$A:$G,7,FALSE),0)))</f>
        <v/>
      </c>
    </row>
    <row r="7025" ht="15" customHeight="1">
      <c r="C7025">
        <f>IF($B7025="","",INT($B7025))</f>
        <v/>
      </c>
      <c r="D7025">
        <f>IF($C7025="","",$C7025-WEEKDAY($C7025,2)+1)</f>
        <v/>
      </c>
      <c r="E7025">
        <f>IF($C7025="","",DATE(YEAR($C7025),MONTH($C7025),1))</f>
        <v/>
      </c>
      <c r="F7025">
        <f>IF($C7025="","",YEAR($C7025)&amp;"-Q"&amp;ROUNDUP(MONTH($C7025)/3,0))</f>
        <v/>
      </c>
      <c r="L7025">
        <f>IF($G7025&lt;&gt;"ALCOHOL","",IF($K7025="","",$H7025*IFERROR(VLOOKUP($K7025,Drink_Templates!$A:$G,7,FALSE),0)))</f>
        <v/>
      </c>
    </row>
    <row r="7026" ht="15" customHeight="1">
      <c r="C7026">
        <f>IF($B7026="","",INT($B7026))</f>
        <v/>
      </c>
      <c r="D7026">
        <f>IF($C7026="","",$C7026-WEEKDAY($C7026,2)+1)</f>
        <v/>
      </c>
      <c r="E7026">
        <f>IF($C7026="","",DATE(YEAR($C7026),MONTH($C7026),1))</f>
        <v/>
      </c>
      <c r="F7026">
        <f>IF($C7026="","",YEAR($C7026)&amp;"-Q"&amp;ROUNDUP(MONTH($C7026)/3,0))</f>
        <v/>
      </c>
      <c r="L7026">
        <f>IF($G7026&lt;&gt;"ALCOHOL","",IF($K7026="","",$H7026*IFERROR(VLOOKUP($K7026,Drink_Templates!$A:$G,7,FALSE),0)))</f>
        <v/>
      </c>
    </row>
    <row r="7027" ht="15" customHeight="1">
      <c r="C7027">
        <f>IF($B7027="","",INT($B7027))</f>
        <v/>
      </c>
      <c r="D7027">
        <f>IF($C7027="","",$C7027-WEEKDAY($C7027,2)+1)</f>
        <v/>
      </c>
      <c r="E7027">
        <f>IF($C7027="","",DATE(YEAR($C7027),MONTH($C7027),1))</f>
        <v/>
      </c>
      <c r="F7027">
        <f>IF($C7027="","",YEAR($C7027)&amp;"-Q"&amp;ROUNDUP(MONTH($C7027)/3,0))</f>
        <v/>
      </c>
      <c r="L7027">
        <f>IF($G7027&lt;&gt;"ALCOHOL","",IF($K7027="","",$H7027*IFERROR(VLOOKUP($K7027,Drink_Templates!$A:$G,7,FALSE),0)))</f>
        <v/>
      </c>
    </row>
    <row r="7028" ht="15" customHeight="1">
      <c r="C7028">
        <f>IF($B7028="","",INT($B7028))</f>
        <v/>
      </c>
      <c r="D7028">
        <f>IF($C7028="","",$C7028-WEEKDAY($C7028,2)+1)</f>
        <v/>
      </c>
      <c r="E7028">
        <f>IF($C7028="","",DATE(YEAR($C7028),MONTH($C7028),1))</f>
        <v/>
      </c>
      <c r="F7028">
        <f>IF($C7028="","",YEAR($C7028)&amp;"-Q"&amp;ROUNDUP(MONTH($C7028)/3,0))</f>
        <v/>
      </c>
      <c r="L7028">
        <f>IF($G7028&lt;&gt;"ALCOHOL","",IF($K7028="","",$H7028*IFERROR(VLOOKUP($K7028,Drink_Templates!$A:$G,7,FALSE),0)))</f>
        <v/>
      </c>
    </row>
    <row r="7029" ht="15" customHeight="1">
      <c r="C7029">
        <f>IF($B7029="","",INT($B7029))</f>
        <v/>
      </c>
      <c r="D7029">
        <f>IF($C7029="","",$C7029-WEEKDAY($C7029,2)+1)</f>
        <v/>
      </c>
      <c r="E7029">
        <f>IF($C7029="","",DATE(YEAR($C7029),MONTH($C7029),1))</f>
        <v/>
      </c>
      <c r="F7029">
        <f>IF($C7029="","",YEAR($C7029)&amp;"-Q"&amp;ROUNDUP(MONTH($C7029)/3,0))</f>
        <v/>
      </c>
      <c r="L7029">
        <f>IF($G7029&lt;&gt;"ALCOHOL","",IF($K7029="","",$H7029*IFERROR(VLOOKUP($K7029,Drink_Templates!$A:$G,7,FALSE),0)))</f>
        <v/>
      </c>
    </row>
    <row r="7030" ht="15" customHeight="1">
      <c r="C7030">
        <f>IF($B7030="","",INT($B7030))</f>
        <v/>
      </c>
      <c r="D7030">
        <f>IF($C7030="","",$C7030-WEEKDAY($C7030,2)+1)</f>
        <v/>
      </c>
      <c r="E7030">
        <f>IF($C7030="","",DATE(YEAR($C7030),MONTH($C7030),1))</f>
        <v/>
      </c>
      <c r="F7030">
        <f>IF($C7030="","",YEAR($C7030)&amp;"-Q"&amp;ROUNDUP(MONTH($C7030)/3,0))</f>
        <v/>
      </c>
      <c r="L7030">
        <f>IF($G7030&lt;&gt;"ALCOHOL","",IF($K7030="","",$H7030*IFERROR(VLOOKUP($K7030,Drink_Templates!$A:$G,7,FALSE),0)))</f>
        <v/>
      </c>
    </row>
    <row r="7031" ht="15" customHeight="1">
      <c r="C7031">
        <f>IF($B7031="","",INT($B7031))</f>
        <v/>
      </c>
      <c r="D7031">
        <f>IF($C7031="","",$C7031-WEEKDAY($C7031,2)+1)</f>
        <v/>
      </c>
      <c r="E7031">
        <f>IF($C7031="","",DATE(YEAR($C7031),MONTH($C7031),1))</f>
        <v/>
      </c>
      <c r="F7031">
        <f>IF($C7031="","",YEAR($C7031)&amp;"-Q"&amp;ROUNDUP(MONTH($C7031)/3,0))</f>
        <v/>
      </c>
      <c r="L7031">
        <f>IF($G7031&lt;&gt;"ALCOHOL","",IF($K7031="","",$H7031*IFERROR(VLOOKUP($K7031,Drink_Templates!$A:$G,7,FALSE),0)))</f>
        <v/>
      </c>
    </row>
    <row r="7032" ht="15" customHeight="1">
      <c r="C7032">
        <f>IF($B7032="","",INT($B7032))</f>
        <v/>
      </c>
      <c r="D7032">
        <f>IF($C7032="","",$C7032-WEEKDAY($C7032,2)+1)</f>
        <v/>
      </c>
      <c r="E7032">
        <f>IF($C7032="","",DATE(YEAR($C7032),MONTH($C7032),1))</f>
        <v/>
      </c>
      <c r="F7032">
        <f>IF($C7032="","",YEAR($C7032)&amp;"-Q"&amp;ROUNDUP(MONTH($C7032)/3,0))</f>
        <v/>
      </c>
      <c r="L7032">
        <f>IF($G7032&lt;&gt;"ALCOHOL","",IF($K7032="","",$H7032*IFERROR(VLOOKUP($K7032,Drink_Templates!$A:$G,7,FALSE),0)))</f>
        <v/>
      </c>
    </row>
    <row r="7033" ht="15" customHeight="1">
      <c r="C7033">
        <f>IF($B7033="","",INT($B7033))</f>
        <v/>
      </c>
      <c r="D7033">
        <f>IF($C7033="","",$C7033-WEEKDAY($C7033,2)+1)</f>
        <v/>
      </c>
      <c r="E7033">
        <f>IF($C7033="","",DATE(YEAR($C7033),MONTH($C7033),1))</f>
        <v/>
      </c>
      <c r="F7033">
        <f>IF($C7033="","",YEAR($C7033)&amp;"-Q"&amp;ROUNDUP(MONTH($C7033)/3,0))</f>
        <v/>
      </c>
      <c r="L7033">
        <f>IF($G7033&lt;&gt;"ALCOHOL","",IF($K7033="","",$H7033*IFERROR(VLOOKUP($K7033,Drink_Templates!$A:$G,7,FALSE),0)))</f>
        <v/>
      </c>
    </row>
    <row r="7034" ht="15" customHeight="1">
      <c r="C7034">
        <f>IF($B7034="","",INT($B7034))</f>
        <v/>
      </c>
      <c r="D7034">
        <f>IF($C7034="","",$C7034-WEEKDAY($C7034,2)+1)</f>
        <v/>
      </c>
      <c r="E7034">
        <f>IF($C7034="","",DATE(YEAR($C7034),MONTH($C7034),1))</f>
        <v/>
      </c>
      <c r="F7034">
        <f>IF($C7034="","",YEAR($C7034)&amp;"-Q"&amp;ROUNDUP(MONTH($C7034)/3,0))</f>
        <v/>
      </c>
      <c r="L7034">
        <f>IF($G7034&lt;&gt;"ALCOHOL","",IF($K7034="","",$H7034*IFERROR(VLOOKUP($K7034,Drink_Templates!$A:$G,7,FALSE),0)))</f>
        <v/>
      </c>
    </row>
    <row r="7035" ht="15" customHeight="1">
      <c r="C7035">
        <f>IF($B7035="","",INT($B7035))</f>
        <v/>
      </c>
      <c r="D7035">
        <f>IF($C7035="","",$C7035-WEEKDAY($C7035,2)+1)</f>
        <v/>
      </c>
      <c r="E7035">
        <f>IF($C7035="","",DATE(YEAR($C7035),MONTH($C7035),1))</f>
        <v/>
      </c>
      <c r="F7035">
        <f>IF($C7035="","",YEAR($C7035)&amp;"-Q"&amp;ROUNDUP(MONTH($C7035)/3,0))</f>
        <v/>
      </c>
      <c r="L7035">
        <f>IF($G7035&lt;&gt;"ALCOHOL","",IF($K7035="","",$H7035*IFERROR(VLOOKUP($K7035,Drink_Templates!$A:$G,7,FALSE),0)))</f>
        <v/>
      </c>
    </row>
    <row r="7036" ht="15" customHeight="1">
      <c r="C7036">
        <f>IF($B7036="","",INT($B7036))</f>
        <v/>
      </c>
      <c r="D7036">
        <f>IF($C7036="","",$C7036-WEEKDAY($C7036,2)+1)</f>
        <v/>
      </c>
      <c r="E7036">
        <f>IF($C7036="","",DATE(YEAR($C7036),MONTH($C7036),1))</f>
        <v/>
      </c>
      <c r="F7036">
        <f>IF($C7036="","",YEAR($C7036)&amp;"-Q"&amp;ROUNDUP(MONTH($C7036)/3,0))</f>
        <v/>
      </c>
      <c r="L7036">
        <f>IF($G7036&lt;&gt;"ALCOHOL","",IF($K7036="","",$H7036*IFERROR(VLOOKUP($K7036,Drink_Templates!$A:$G,7,FALSE),0)))</f>
        <v/>
      </c>
    </row>
    <row r="7037" ht="15" customHeight="1">
      <c r="C7037">
        <f>IF($B7037="","",INT($B7037))</f>
        <v/>
      </c>
      <c r="D7037">
        <f>IF($C7037="","",$C7037-WEEKDAY($C7037,2)+1)</f>
        <v/>
      </c>
      <c r="E7037">
        <f>IF($C7037="","",DATE(YEAR($C7037),MONTH($C7037),1))</f>
        <v/>
      </c>
      <c r="F7037">
        <f>IF($C7037="","",YEAR($C7037)&amp;"-Q"&amp;ROUNDUP(MONTH($C7037)/3,0))</f>
        <v/>
      </c>
      <c r="L7037">
        <f>IF($G7037&lt;&gt;"ALCOHOL","",IF($K7037="","",$H7037*IFERROR(VLOOKUP($K7037,Drink_Templates!$A:$G,7,FALSE),0)))</f>
        <v/>
      </c>
    </row>
    <row r="7038" ht="15" customHeight="1">
      <c r="C7038">
        <f>IF($B7038="","",INT($B7038))</f>
        <v/>
      </c>
      <c r="D7038">
        <f>IF($C7038="","",$C7038-WEEKDAY($C7038,2)+1)</f>
        <v/>
      </c>
      <c r="E7038">
        <f>IF($C7038="","",DATE(YEAR($C7038),MONTH($C7038),1))</f>
        <v/>
      </c>
      <c r="F7038">
        <f>IF($C7038="","",YEAR($C7038)&amp;"-Q"&amp;ROUNDUP(MONTH($C7038)/3,0))</f>
        <v/>
      </c>
      <c r="L7038">
        <f>IF($G7038&lt;&gt;"ALCOHOL","",IF($K7038="","",$H7038*IFERROR(VLOOKUP($K7038,Drink_Templates!$A:$G,7,FALSE),0)))</f>
        <v/>
      </c>
    </row>
    <row r="7039" ht="15" customHeight="1">
      <c r="C7039">
        <f>IF($B7039="","",INT($B7039))</f>
        <v/>
      </c>
      <c r="D7039">
        <f>IF($C7039="","",$C7039-WEEKDAY($C7039,2)+1)</f>
        <v/>
      </c>
      <c r="E7039">
        <f>IF($C7039="","",DATE(YEAR($C7039),MONTH($C7039),1))</f>
        <v/>
      </c>
      <c r="F7039">
        <f>IF($C7039="","",YEAR($C7039)&amp;"-Q"&amp;ROUNDUP(MONTH($C7039)/3,0))</f>
        <v/>
      </c>
      <c r="L7039">
        <f>IF($G7039&lt;&gt;"ALCOHOL","",IF($K7039="","",$H7039*IFERROR(VLOOKUP($K7039,Drink_Templates!$A:$G,7,FALSE),0)))</f>
        <v/>
      </c>
    </row>
    <row r="7040" ht="15" customHeight="1">
      <c r="C7040">
        <f>IF($B7040="","",INT($B7040))</f>
        <v/>
      </c>
      <c r="D7040">
        <f>IF($C7040="","",$C7040-WEEKDAY($C7040,2)+1)</f>
        <v/>
      </c>
      <c r="E7040">
        <f>IF($C7040="","",DATE(YEAR($C7040),MONTH($C7040),1))</f>
        <v/>
      </c>
      <c r="F7040">
        <f>IF($C7040="","",YEAR($C7040)&amp;"-Q"&amp;ROUNDUP(MONTH($C7040)/3,0))</f>
        <v/>
      </c>
      <c r="L7040">
        <f>IF($G7040&lt;&gt;"ALCOHOL","",IF($K7040="","",$H7040*IFERROR(VLOOKUP($K7040,Drink_Templates!$A:$G,7,FALSE),0)))</f>
        <v/>
      </c>
    </row>
    <row r="7041" ht="15" customHeight="1">
      <c r="C7041">
        <f>IF($B7041="","",INT($B7041))</f>
        <v/>
      </c>
      <c r="D7041">
        <f>IF($C7041="","",$C7041-WEEKDAY($C7041,2)+1)</f>
        <v/>
      </c>
      <c r="E7041">
        <f>IF($C7041="","",DATE(YEAR($C7041),MONTH($C7041),1))</f>
        <v/>
      </c>
      <c r="F7041">
        <f>IF($C7041="","",YEAR($C7041)&amp;"-Q"&amp;ROUNDUP(MONTH($C7041)/3,0))</f>
        <v/>
      </c>
      <c r="L7041">
        <f>IF($G7041&lt;&gt;"ALCOHOL","",IF($K7041="","",$H7041*IFERROR(VLOOKUP($K7041,Drink_Templates!$A:$G,7,FALSE),0)))</f>
        <v/>
      </c>
    </row>
    <row r="7042" ht="15" customHeight="1">
      <c r="C7042">
        <f>IF($B7042="","",INT($B7042))</f>
        <v/>
      </c>
      <c r="D7042">
        <f>IF($C7042="","",$C7042-WEEKDAY($C7042,2)+1)</f>
        <v/>
      </c>
      <c r="E7042">
        <f>IF($C7042="","",DATE(YEAR($C7042),MONTH($C7042),1))</f>
        <v/>
      </c>
      <c r="F7042">
        <f>IF($C7042="","",YEAR($C7042)&amp;"-Q"&amp;ROUNDUP(MONTH($C7042)/3,0))</f>
        <v/>
      </c>
      <c r="L7042">
        <f>IF($G7042&lt;&gt;"ALCOHOL","",IF($K7042="","",$H7042*IFERROR(VLOOKUP($K7042,Drink_Templates!$A:$G,7,FALSE),0)))</f>
        <v/>
      </c>
    </row>
    <row r="7043" ht="15" customHeight="1">
      <c r="C7043">
        <f>IF($B7043="","",INT($B7043))</f>
        <v/>
      </c>
      <c r="D7043">
        <f>IF($C7043="","",$C7043-WEEKDAY($C7043,2)+1)</f>
        <v/>
      </c>
      <c r="E7043">
        <f>IF($C7043="","",DATE(YEAR($C7043),MONTH($C7043),1))</f>
        <v/>
      </c>
      <c r="F7043">
        <f>IF($C7043="","",YEAR($C7043)&amp;"-Q"&amp;ROUNDUP(MONTH($C7043)/3,0))</f>
        <v/>
      </c>
      <c r="L7043">
        <f>IF($G7043&lt;&gt;"ALCOHOL","",IF($K7043="","",$H7043*IFERROR(VLOOKUP($K7043,Drink_Templates!$A:$G,7,FALSE),0)))</f>
        <v/>
      </c>
    </row>
    <row r="7044" ht="15" customHeight="1">
      <c r="C7044">
        <f>IF($B7044="","",INT($B7044))</f>
        <v/>
      </c>
      <c r="D7044">
        <f>IF($C7044="","",$C7044-WEEKDAY($C7044,2)+1)</f>
        <v/>
      </c>
      <c r="E7044">
        <f>IF($C7044="","",DATE(YEAR($C7044),MONTH($C7044),1))</f>
        <v/>
      </c>
      <c r="F7044">
        <f>IF($C7044="","",YEAR($C7044)&amp;"-Q"&amp;ROUNDUP(MONTH($C7044)/3,0))</f>
        <v/>
      </c>
      <c r="L7044">
        <f>IF($G7044&lt;&gt;"ALCOHOL","",IF($K7044="","",$H7044*IFERROR(VLOOKUP($K7044,Drink_Templates!$A:$G,7,FALSE),0)))</f>
        <v/>
      </c>
    </row>
    <row r="7045" ht="15" customHeight="1">
      <c r="C7045">
        <f>IF($B7045="","",INT($B7045))</f>
        <v/>
      </c>
      <c r="D7045">
        <f>IF($C7045="","",$C7045-WEEKDAY($C7045,2)+1)</f>
        <v/>
      </c>
      <c r="E7045">
        <f>IF($C7045="","",DATE(YEAR($C7045),MONTH($C7045),1))</f>
        <v/>
      </c>
      <c r="F7045">
        <f>IF($C7045="","",YEAR($C7045)&amp;"-Q"&amp;ROUNDUP(MONTH($C7045)/3,0))</f>
        <v/>
      </c>
      <c r="L7045">
        <f>IF($G7045&lt;&gt;"ALCOHOL","",IF($K7045="","",$H7045*IFERROR(VLOOKUP($K7045,Drink_Templates!$A:$G,7,FALSE),0)))</f>
        <v/>
      </c>
    </row>
    <row r="7046" ht="15" customHeight="1">
      <c r="C7046">
        <f>IF($B7046="","",INT($B7046))</f>
        <v/>
      </c>
      <c r="D7046">
        <f>IF($C7046="","",$C7046-WEEKDAY($C7046,2)+1)</f>
        <v/>
      </c>
      <c r="E7046">
        <f>IF($C7046="","",DATE(YEAR($C7046),MONTH($C7046),1))</f>
        <v/>
      </c>
      <c r="F7046">
        <f>IF($C7046="","",YEAR($C7046)&amp;"-Q"&amp;ROUNDUP(MONTH($C7046)/3,0))</f>
        <v/>
      </c>
      <c r="L7046">
        <f>IF($G7046&lt;&gt;"ALCOHOL","",IF($K7046="","",$H7046*IFERROR(VLOOKUP($K7046,Drink_Templates!$A:$G,7,FALSE),0)))</f>
        <v/>
      </c>
    </row>
    <row r="7047" ht="15" customHeight="1">
      <c r="C7047">
        <f>IF($B7047="","",INT($B7047))</f>
        <v/>
      </c>
      <c r="D7047">
        <f>IF($C7047="","",$C7047-WEEKDAY($C7047,2)+1)</f>
        <v/>
      </c>
      <c r="E7047">
        <f>IF($C7047="","",DATE(YEAR($C7047),MONTH($C7047),1))</f>
        <v/>
      </c>
      <c r="F7047">
        <f>IF($C7047="","",YEAR($C7047)&amp;"-Q"&amp;ROUNDUP(MONTH($C7047)/3,0))</f>
        <v/>
      </c>
      <c r="L7047">
        <f>IF($G7047&lt;&gt;"ALCOHOL","",IF($K7047="","",$H7047*IFERROR(VLOOKUP($K7047,Drink_Templates!$A:$G,7,FALSE),0)))</f>
        <v/>
      </c>
    </row>
    <row r="7048" ht="15" customHeight="1">
      <c r="C7048">
        <f>IF($B7048="","",INT($B7048))</f>
        <v/>
      </c>
      <c r="D7048">
        <f>IF($C7048="","",$C7048-WEEKDAY($C7048,2)+1)</f>
        <v/>
      </c>
      <c r="E7048">
        <f>IF($C7048="","",DATE(YEAR($C7048),MONTH($C7048),1))</f>
        <v/>
      </c>
      <c r="F7048">
        <f>IF($C7048="","",YEAR($C7048)&amp;"-Q"&amp;ROUNDUP(MONTH($C7048)/3,0))</f>
        <v/>
      </c>
      <c r="L7048">
        <f>IF($G7048&lt;&gt;"ALCOHOL","",IF($K7048="","",$H7048*IFERROR(VLOOKUP($K7048,Drink_Templates!$A:$G,7,FALSE),0)))</f>
        <v/>
      </c>
    </row>
    <row r="7049" ht="15" customHeight="1">
      <c r="C7049">
        <f>IF($B7049="","",INT($B7049))</f>
        <v/>
      </c>
      <c r="D7049">
        <f>IF($C7049="","",$C7049-WEEKDAY($C7049,2)+1)</f>
        <v/>
      </c>
      <c r="E7049">
        <f>IF($C7049="","",DATE(YEAR($C7049),MONTH($C7049),1))</f>
        <v/>
      </c>
      <c r="F7049">
        <f>IF($C7049="","",YEAR($C7049)&amp;"-Q"&amp;ROUNDUP(MONTH($C7049)/3,0))</f>
        <v/>
      </c>
      <c r="L7049">
        <f>IF($G7049&lt;&gt;"ALCOHOL","",IF($K7049="","",$H7049*IFERROR(VLOOKUP($K7049,Drink_Templates!$A:$G,7,FALSE),0)))</f>
        <v/>
      </c>
    </row>
    <row r="7050" ht="15" customHeight="1">
      <c r="C7050">
        <f>IF($B7050="","",INT($B7050))</f>
        <v/>
      </c>
      <c r="D7050">
        <f>IF($C7050="","",$C7050-WEEKDAY($C7050,2)+1)</f>
        <v/>
      </c>
      <c r="E7050">
        <f>IF($C7050="","",DATE(YEAR($C7050),MONTH($C7050),1))</f>
        <v/>
      </c>
      <c r="F7050">
        <f>IF($C7050="","",YEAR($C7050)&amp;"-Q"&amp;ROUNDUP(MONTH($C7050)/3,0))</f>
        <v/>
      </c>
      <c r="L7050">
        <f>IF($G7050&lt;&gt;"ALCOHOL","",IF($K7050="","",$H7050*IFERROR(VLOOKUP($K7050,Drink_Templates!$A:$G,7,FALSE),0)))</f>
        <v/>
      </c>
    </row>
    <row r="7051" ht="15" customHeight="1">
      <c r="C7051">
        <f>IF($B7051="","",INT($B7051))</f>
        <v/>
      </c>
      <c r="D7051">
        <f>IF($C7051="","",$C7051-WEEKDAY($C7051,2)+1)</f>
        <v/>
      </c>
      <c r="E7051">
        <f>IF($C7051="","",DATE(YEAR($C7051),MONTH($C7051),1))</f>
        <v/>
      </c>
      <c r="F7051">
        <f>IF($C7051="","",YEAR($C7051)&amp;"-Q"&amp;ROUNDUP(MONTH($C7051)/3,0))</f>
        <v/>
      </c>
      <c r="L7051">
        <f>IF($G7051&lt;&gt;"ALCOHOL","",IF($K7051="","",$H7051*IFERROR(VLOOKUP($K7051,Drink_Templates!$A:$G,7,FALSE),0)))</f>
        <v/>
      </c>
    </row>
    <row r="7052" ht="15" customHeight="1">
      <c r="C7052">
        <f>IF($B7052="","",INT($B7052))</f>
        <v/>
      </c>
      <c r="D7052">
        <f>IF($C7052="","",$C7052-WEEKDAY($C7052,2)+1)</f>
        <v/>
      </c>
      <c r="E7052">
        <f>IF($C7052="","",DATE(YEAR($C7052),MONTH($C7052),1))</f>
        <v/>
      </c>
      <c r="F7052">
        <f>IF($C7052="","",YEAR($C7052)&amp;"-Q"&amp;ROUNDUP(MONTH($C7052)/3,0))</f>
        <v/>
      </c>
      <c r="L7052">
        <f>IF($G7052&lt;&gt;"ALCOHOL","",IF($K7052="","",$H7052*IFERROR(VLOOKUP($K7052,Drink_Templates!$A:$G,7,FALSE),0)))</f>
        <v/>
      </c>
    </row>
    <row r="7053" ht="15" customHeight="1">
      <c r="C7053">
        <f>IF($B7053="","",INT($B7053))</f>
        <v/>
      </c>
      <c r="D7053">
        <f>IF($C7053="","",$C7053-WEEKDAY($C7053,2)+1)</f>
        <v/>
      </c>
      <c r="E7053">
        <f>IF($C7053="","",DATE(YEAR($C7053),MONTH($C7053),1))</f>
        <v/>
      </c>
      <c r="F7053">
        <f>IF($C7053="","",YEAR($C7053)&amp;"-Q"&amp;ROUNDUP(MONTH($C7053)/3,0))</f>
        <v/>
      </c>
      <c r="L7053">
        <f>IF($G7053&lt;&gt;"ALCOHOL","",IF($K7053="","",$H7053*IFERROR(VLOOKUP($K7053,Drink_Templates!$A:$G,7,FALSE),0)))</f>
        <v/>
      </c>
    </row>
    <row r="7054" ht="15" customHeight="1">
      <c r="C7054">
        <f>IF($B7054="","",INT($B7054))</f>
        <v/>
      </c>
      <c r="D7054">
        <f>IF($C7054="","",$C7054-WEEKDAY($C7054,2)+1)</f>
        <v/>
      </c>
      <c r="E7054">
        <f>IF($C7054="","",DATE(YEAR($C7054),MONTH($C7054),1))</f>
        <v/>
      </c>
      <c r="F7054">
        <f>IF($C7054="","",YEAR($C7054)&amp;"-Q"&amp;ROUNDUP(MONTH($C7054)/3,0))</f>
        <v/>
      </c>
      <c r="L7054">
        <f>IF($G7054&lt;&gt;"ALCOHOL","",IF($K7054="","",$H7054*IFERROR(VLOOKUP($K7054,Drink_Templates!$A:$G,7,FALSE),0)))</f>
        <v/>
      </c>
    </row>
    <row r="7055" ht="15" customHeight="1">
      <c r="C7055">
        <f>IF($B7055="","",INT($B7055))</f>
        <v/>
      </c>
      <c r="D7055">
        <f>IF($C7055="","",$C7055-WEEKDAY($C7055,2)+1)</f>
        <v/>
      </c>
      <c r="E7055">
        <f>IF($C7055="","",DATE(YEAR($C7055),MONTH($C7055),1))</f>
        <v/>
      </c>
      <c r="F7055">
        <f>IF($C7055="","",YEAR($C7055)&amp;"-Q"&amp;ROUNDUP(MONTH($C7055)/3,0))</f>
        <v/>
      </c>
      <c r="L7055">
        <f>IF($G7055&lt;&gt;"ALCOHOL","",IF($K7055="","",$H7055*IFERROR(VLOOKUP($K7055,Drink_Templates!$A:$G,7,FALSE),0)))</f>
        <v/>
      </c>
    </row>
    <row r="7056" ht="15" customHeight="1">
      <c r="C7056">
        <f>IF($B7056="","",INT($B7056))</f>
        <v/>
      </c>
      <c r="D7056">
        <f>IF($C7056="","",$C7056-WEEKDAY($C7056,2)+1)</f>
        <v/>
      </c>
      <c r="E7056">
        <f>IF($C7056="","",DATE(YEAR($C7056),MONTH($C7056),1))</f>
        <v/>
      </c>
      <c r="F7056">
        <f>IF($C7056="","",YEAR($C7056)&amp;"-Q"&amp;ROUNDUP(MONTH($C7056)/3,0))</f>
        <v/>
      </c>
      <c r="L7056">
        <f>IF($G7056&lt;&gt;"ALCOHOL","",IF($K7056="","",$H7056*IFERROR(VLOOKUP($K7056,Drink_Templates!$A:$G,7,FALSE),0)))</f>
        <v/>
      </c>
    </row>
    <row r="7057" ht="15" customHeight="1">
      <c r="C7057">
        <f>IF($B7057="","",INT($B7057))</f>
        <v/>
      </c>
      <c r="D7057">
        <f>IF($C7057="","",$C7057-WEEKDAY($C7057,2)+1)</f>
        <v/>
      </c>
      <c r="E7057">
        <f>IF($C7057="","",DATE(YEAR($C7057),MONTH($C7057),1))</f>
        <v/>
      </c>
      <c r="F7057">
        <f>IF($C7057="","",YEAR($C7057)&amp;"-Q"&amp;ROUNDUP(MONTH($C7057)/3,0))</f>
        <v/>
      </c>
      <c r="L7057">
        <f>IF($G7057&lt;&gt;"ALCOHOL","",IF($K7057="","",$H7057*IFERROR(VLOOKUP($K7057,Drink_Templates!$A:$G,7,FALSE),0)))</f>
        <v/>
      </c>
    </row>
    <row r="7058" ht="15" customHeight="1">
      <c r="C7058">
        <f>IF($B7058="","",INT($B7058))</f>
        <v/>
      </c>
      <c r="D7058">
        <f>IF($C7058="","",$C7058-WEEKDAY($C7058,2)+1)</f>
        <v/>
      </c>
      <c r="E7058">
        <f>IF($C7058="","",DATE(YEAR($C7058),MONTH($C7058),1))</f>
        <v/>
      </c>
      <c r="F7058">
        <f>IF($C7058="","",YEAR($C7058)&amp;"-Q"&amp;ROUNDUP(MONTH($C7058)/3,0))</f>
        <v/>
      </c>
      <c r="L7058">
        <f>IF($G7058&lt;&gt;"ALCOHOL","",IF($K7058="","",$H7058*IFERROR(VLOOKUP($K7058,Drink_Templates!$A:$G,7,FALSE),0)))</f>
        <v/>
      </c>
    </row>
    <row r="7059" ht="15" customHeight="1">
      <c r="C7059">
        <f>IF($B7059="","",INT($B7059))</f>
        <v/>
      </c>
      <c r="D7059">
        <f>IF($C7059="","",$C7059-WEEKDAY($C7059,2)+1)</f>
        <v/>
      </c>
      <c r="E7059">
        <f>IF($C7059="","",DATE(YEAR($C7059),MONTH($C7059),1))</f>
        <v/>
      </c>
      <c r="F7059">
        <f>IF($C7059="","",YEAR($C7059)&amp;"-Q"&amp;ROUNDUP(MONTH($C7059)/3,0))</f>
        <v/>
      </c>
      <c r="L7059">
        <f>IF($G7059&lt;&gt;"ALCOHOL","",IF($K7059="","",$H7059*IFERROR(VLOOKUP($K7059,Drink_Templates!$A:$G,7,FALSE),0)))</f>
        <v/>
      </c>
    </row>
    <row r="7060" ht="15" customHeight="1">
      <c r="C7060">
        <f>IF($B7060="","",INT($B7060))</f>
        <v/>
      </c>
      <c r="D7060">
        <f>IF($C7060="","",$C7060-WEEKDAY($C7060,2)+1)</f>
        <v/>
      </c>
      <c r="E7060">
        <f>IF($C7060="","",DATE(YEAR($C7060),MONTH($C7060),1))</f>
        <v/>
      </c>
      <c r="F7060">
        <f>IF($C7060="","",YEAR($C7060)&amp;"-Q"&amp;ROUNDUP(MONTH($C7060)/3,0))</f>
        <v/>
      </c>
      <c r="L7060">
        <f>IF($G7060&lt;&gt;"ALCOHOL","",IF($K7060="","",$H7060*IFERROR(VLOOKUP($K7060,Drink_Templates!$A:$G,7,FALSE),0)))</f>
        <v/>
      </c>
    </row>
    <row r="7061" ht="15" customHeight="1">
      <c r="C7061">
        <f>IF($B7061="","",INT($B7061))</f>
        <v/>
      </c>
      <c r="D7061">
        <f>IF($C7061="","",$C7061-WEEKDAY($C7061,2)+1)</f>
        <v/>
      </c>
      <c r="E7061">
        <f>IF($C7061="","",DATE(YEAR($C7061),MONTH($C7061),1))</f>
        <v/>
      </c>
      <c r="F7061">
        <f>IF($C7061="","",YEAR($C7061)&amp;"-Q"&amp;ROUNDUP(MONTH($C7061)/3,0))</f>
        <v/>
      </c>
      <c r="L7061">
        <f>IF($G7061&lt;&gt;"ALCOHOL","",IF($K7061="","",$H7061*IFERROR(VLOOKUP($K7061,Drink_Templates!$A:$G,7,FALSE),0)))</f>
        <v/>
      </c>
    </row>
    <row r="7062" ht="15" customHeight="1">
      <c r="C7062">
        <f>IF($B7062="","",INT($B7062))</f>
        <v/>
      </c>
      <c r="D7062">
        <f>IF($C7062="","",$C7062-WEEKDAY($C7062,2)+1)</f>
        <v/>
      </c>
      <c r="E7062">
        <f>IF($C7062="","",DATE(YEAR($C7062),MONTH($C7062),1))</f>
        <v/>
      </c>
      <c r="F7062">
        <f>IF($C7062="","",YEAR($C7062)&amp;"-Q"&amp;ROUNDUP(MONTH($C7062)/3,0))</f>
        <v/>
      </c>
      <c r="L7062">
        <f>IF($G7062&lt;&gt;"ALCOHOL","",IF($K7062="","",$H7062*IFERROR(VLOOKUP($K7062,Drink_Templates!$A:$G,7,FALSE),0)))</f>
        <v/>
      </c>
    </row>
    <row r="7063" ht="15" customHeight="1">
      <c r="C7063">
        <f>IF($B7063="","",INT($B7063))</f>
        <v/>
      </c>
      <c r="D7063">
        <f>IF($C7063="","",$C7063-WEEKDAY($C7063,2)+1)</f>
        <v/>
      </c>
      <c r="E7063">
        <f>IF($C7063="","",DATE(YEAR($C7063),MONTH($C7063),1))</f>
        <v/>
      </c>
      <c r="F7063">
        <f>IF($C7063="","",YEAR($C7063)&amp;"-Q"&amp;ROUNDUP(MONTH($C7063)/3,0))</f>
        <v/>
      </c>
      <c r="L7063">
        <f>IF($G7063&lt;&gt;"ALCOHOL","",IF($K7063="","",$H7063*IFERROR(VLOOKUP($K7063,Drink_Templates!$A:$G,7,FALSE),0)))</f>
        <v/>
      </c>
    </row>
    <row r="7064" ht="15" customHeight="1">
      <c r="C7064">
        <f>IF($B7064="","",INT($B7064))</f>
        <v/>
      </c>
      <c r="D7064">
        <f>IF($C7064="","",$C7064-WEEKDAY($C7064,2)+1)</f>
        <v/>
      </c>
      <c r="E7064">
        <f>IF($C7064="","",DATE(YEAR($C7064),MONTH($C7064),1))</f>
        <v/>
      </c>
      <c r="F7064">
        <f>IF($C7064="","",YEAR($C7064)&amp;"-Q"&amp;ROUNDUP(MONTH($C7064)/3,0))</f>
        <v/>
      </c>
      <c r="L7064">
        <f>IF($G7064&lt;&gt;"ALCOHOL","",IF($K7064="","",$H7064*IFERROR(VLOOKUP($K7064,Drink_Templates!$A:$G,7,FALSE),0)))</f>
        <v/>
      </c>
    </row>
    <row r="7065" ht="15" customHeight="1">
      <c r="C7065">
        <f>IF($B7065="","",INT($B7065))</f>
        <v/>
      </c>
      <c r="D7065">
        <f>IF($C7065="","",$C7065-WEEKDAY($C7065,2)+1)</f>
        <v/>
      </c>
      <c r="E7065">
        <f>IF($C7065="","",DATE(YEAR($C7065),MONTH($C7065),1))</f>
        <v/>
      </c>
      <c r="F7065">
        <f>IF($C7065="","",YEAR($C7065)&amp;"-Q"&amp;ROUNDUP(MONTH($C7065)/3,0))</f>
        <v/>
      </c>
      <c r="L7065">
        <f>IF($G7065&lt;&gt;"ALCOHOL","",IF($K7065="","",$H7065*IFERROR(VLOOKUP($K7065,Drink_Templates!$A:$G,7,FALSE),0)))</f>
        <v/>
      </c>
    </row>
    <row r="7066" ht="15" customHeight="1">
      <c r="C7066">
        <f>IF($B7066="","",INT($B7066))</f>
        <v/>
      </c>
      <c r="D7066">
        <f>IF($C7066="","",$C7066-WEEKDAY($C7066,2)+1)</f>
        <v/>
      </c>
      <c r="E7066">
        <f>IF($C7066="","",DATE(YEAR($C7066),MONTH($C7066),1))</f>
        <v/>
      </c>
      <c r="F7066">
        <f>IF($C7066="","",YEAR($C7066)&amp;"-Q"&amp;ROUNDUP(MONTH($C7066)/3,0))</f>
        <v/>
      </c>
      <c r="L7066">
        <f>IF($G7066&lt;&gt;"ALCOHOL","",IF($K7066="","",$H7066*IFERROR(VLOOKUP($K7066,Drink_Templates!$A:$G,7,FALSE),0)))</f>
        <v/>
      </c>
    </row>
    <row r="7067" ht="15" customHeight="1">
      <c r="C7067">
        <f>IF($B7067="","",INT($B7067))</f>
        <v/>
      </c>
      <c r="D7067">
        <f>IF($C7067="","",$C7067-WEEKDAY($C7067,2)+1)</f>
        <v/>
      </c>
      <c r="E7067">
        <f>IF($C7067="","",DATE(YEAR($C7067),MONTH($C7067),1))</f>
        <v/>
      </c>
      <c r="F7067">
        <f>IF($C7067="","",YEAR($C7067)&amp;"-Q"&amp;ROUNDUP(MONTH($C7067)/3,0))</f>
        <v/>
      </c>
      <c r="L7067">
        <f>IF($G7067&lt;&gt;"ALCOHOL","",IF($K7067="","",$H7067*IFERROR(VLOOKUP($K7067,Drink_Templates!$A:$G,7,FALSE),0)))</f>
        <v/>
      </c>
    </row>
    <row r="7068" ht="15" customHeight="1">
      <c r="C7068">
        <f>IF($B7068="","",INT($B7068))</f>
        <v/>
      </c>
      <c r="D7068">
        <f>IF($C7068="","",$C7068-WEEKDAY($C7068,2)+1)</f>
        <v/>
      </c>
      <c r="E7068">
        <f>IF($C7068="","",DATE(YEAR($C7068),MONTH($C7068),1))</f>
        <v/>
      </c>
      <c r="F7068">
        <f>IF($C7068="","",YEAR($C7068)&amp;"-Q"&amp;ROUNDUP(MONTH($C7068)/3,0))</f>
        <v/>
      </c>
      <c r="L7068">
        <f>IF($G7068&lt;&gt;"ALCOHOL","",IF($K7068="","",$H7068*IFERROR(VLOOKUP($K7068,Drink_Templates!$A:$G,7,FALSE),0)))</f>
        <v/>
      </c>
    </row>
    <row r="7069" ht="15" customHeight="1">
      <c r="C7069">
        <f>IF($B7069="","",INT($B7069))</f>
        <v/>
      </c>
      <c r="D7069">
        <f>IF($C7069="","",$C7069-WEEKDAY($C7069,2)+1)</f>
        <v/>
      </c>
      <c r="E7069">
        <f>IF($C7069="","",DATE(YEAR($C7069),MONTH($C7069),1))</f>
        <v/>
      </c>
      <c r="F7069">
        <f>IF($C7069="","",YEAR($C7069)&amp;"-Q"&amp;ROUNDUP(MONTH($C7069)/3,0))</f>
        <v/>
      </c>
      <c r="L7069">
        <f>IF($G7069&lt;&gt;"ALCOHOL","",IF($K7069="","",$H7069*IFERROR(VLOOKUP($K7069,Drink_Templates!$A:$G,7,FALSE),0)))</f>
        <v/>
      </c>
    </row>
    <row r="7070" ht="15" customHeight="1">
      <c r="C7070">
        <f>IF($B7070="","",INT($B7070))</f>
        <v/>
      </c>
      <c r="D7070">
        <f>IF($C7070="","",$C7070-WEEKDAY($C7070,2)+1)</f>
        <v/>
      </c>
      <c r="E7070">
        <f>IF($C7070="","",DATE(YEAR($C7070),MONTH($C7070),1))</f>
        <v/>
      </c>
      <c r="F7070">
        <f>IF($C7070="","",YEAR($C7070)&amp;"-Q"&amp;ROUNDUP(MONTH($C7070)/3,0))</f>
        <v/>
      </c>
      <c r="L7070">
        <f>IF($G7070&lt;&gt;"ALCOHOL","",IF($K7070="","",$H7070*IFERROR(VLOOKUP($K7070,Drink_Templates!$A:$G,7,FALSE),0)))</f>
        <v/>
      </c>
    </row>
    <row r="7071" ht="15" customHeight="1">
      <c r="C7071">
        <f>IF($B7071="","",INT($B7071))</f>
        <v/>
      </c>
      <c r="D7071">
        <f>IF($C7071="","",$C7071-WEEKDAY($C7071,2)+1)</f>
        <v/>
      </c>
      <c r="E7071">
        <f>IF($C7071="","",DATE(YEAR($C7071),MONTH($C7071),1))</f>
        <v/>
      </c>
      <c r="F7071">
        <f>IF($C7071="","",YEAR($C7071)&amp;"-Q"&amp;ROUNDUP(MONTH($C7071)/3,0))</f>
        <v/>
      </c>
      <c r="L7071">
        <f>IF($G7071&lt;&gt;"ALCOHOL","",IF($K7071="","",$H7071*IFERROR(VLOOKUP($K7071,Drink_Templates!$A:$G,7,FALSE),0)))</f>
        <v/>
      </c>
    </row>
    <row r="7072" ht="15" customHeight="1">
      <c r="C7072">
        <f>IF($B7072="","",INT($B7072))</f>
        <v/>
      </c>
      <c r="D7072">
        <f>IF($C7072="","",$C7072-WEEKDAY($C7072,2)+1)</f>
        <v/>
      </c>
      <c r="E7072">
        <f>IF($C7072="","",DATE(YEAR($C7072),MONTH($C7072),1))</f>
        <v/>
      </c>
      <c r="F7072">
        <f>IF($C7072="","",YEAR($C7072)&amp;"-Q"&amp;ROUNDUP(MONTH($C7072)/3,0))</f>
        <v/>
      </c>
      <c r="L7072">
        <f>IF($G7072&lt;&gt;"ALCOHOL","",IF($K7072="","",$H7072*IFERROR(VLOOKUP($K7072,Drink_Templates!$A:$G,7,FALSE),0)))</f>
        <v/>
      </c>
    </row>
    <row r="7073" ht="15" customHeight="1">
      <c r="C7073">
        <f>IF($B7073="","",INT($B7073))</f>
        <v/>
      </c>
      <c r="D7073">
        <f>IF($C7073="","",$C7073-WEEKDAY($C7073,2)+1)</f>
        <v/>
      </c>
      <c r="E7073">
        <f>IF($C7073="","",DATE(YEAR($C7073),MONTH($C7073),1))</f>
        <v/>
      </c>
      <c r="F7073">
        <f>IF($C7073="","",YEAR($C7073)&amp;"-Q"&amp;ROUNDUP(MONTH($C7073)/3,0))</f>
        <v/>
      </c>
      <c r="L7073">
        <f>IF($G7073&lt;&gt;"ALCOHOL","",IF($K7073="","",$H7073*IFERROR(VLOOKUP($K7073,Drink_Templates!$A:$G,7,FALSE),0)))</f>
        <v/>
      </c>
    </row>
    <row r="7074" ht="15" customHeight="1">
      <c r="C7074">
        <f>IF($B7074="","",INT($B7074))</f>
        <v/>
      </c>
      <c r="D7074">
        <f>IF($C7074="","",$C7074-WEEKDAY($C7074,2)+1)</f>
        <v/>
      </c>
      <c r="E7074">
        <f>IF($C7074="","",DATE(YEAR($C7074),MONTH($C7074),1))</f>
        <v/>
      </c>
      <c r="F7074">
        <f>IF($C7074="","",YEAR($C7074)&amp;"-Q"&amp;ROUNDUP(MONTH($C7074)/3,0))</f>
        <v/>
      </c>
      <c r="L7074">
        <f>IF($G7074&lt;&gt;"ALCOHOL","",IF($K7074="","",$H7074*IFERROR(VLOOKUP($K7074,Drink_Templates!$A:$G,7,FALSE),0)))</f>
        <v/>
      </c>
    </row>
    <row r="7075" ht="15" customHeight="1">
      <c r="C7075">
        <f>IF($B7075="","",INT($B7075))</f>
        <v/>
      </c>
      <c r="D7075">
        <f>IF($C7075="","",$C7075-WEEKDAY($C7075,2)+1)</f>
        <v/>
      </c>
      <c r="E7075">
        <f>IF($C7075="","",DATE(YEAR($C7075),MONTH($C7075),1))</f>
        <v/>
      </c>
      <c r="F7075">
        <f>IF($C7075="","",YEAR($C7075)&amp;"-Q"&amp;ROUNDUP(MONTH($C7075)/3,0))</f>
        <v/>
      </c>
      <c r="L7075">
        <f>IF($G7075&lt;&gt;"ALCOHOL","",IF($K7075="","",$H7075*IFERROR(VLOOKUP($K7075,Drink_Templates!$A:$G,7,FALSE),0)))</f>
        <v/>
      </c>
    </row>
    <row r="7076" ht="15" customHeight="1">
      <c r="C7076">
        <f>IF($B7076="","",INT($B7076))</f>
        <v/>
      </c>
      <c r="D7076">
        <f>IF($C7076="","",$C7076-WEEKDAY($C7076,2)+1)</f>
        <v/>
      </c>
      <c r="E7076">
        <f>IF($C7076="","",DATE(YEAR($C7076),MONTH($C7076),1))</f>
        <v/>
      </c>
      <c r="F7076">
        <f>IF($C7076="","",YEAR($C7076)&amp;"-Q"&amp;ROUNDUP(MONTH($C7076)/3,0))</f>
        <v/>
      </c>
      <c r="L7076">
        <f>IF($G7076&lt;&gt;"ALCOHOL","",IF($K7076="","",$H7076*IFERROR(VLOOKUP($K7076,Drink_Templates!$A:$G,7,FALSE),0)))</f>
        <v/>
      </c>
    </row>
    <row r="7077" ht="15" customHeight="1">
      <c r="C7077">
        <f>IF($B7077="","",INT($B7077))</f>
        <v/>
      </c>
      <c r="D7077">
        <f>IF($C7077="","",$C7077-WEEKDAY($C7077,2)+1)</f>
        <v/>
      </c>
      <c r="E7077">
        <f>IF($C7077="","",DATE(YEAR($C7077),MONTH($C7077),1))</f>
        <v/>
      </c>
      <c r="F7077">
        <f>IF($C7077="","",YEAR($C7077)&amp;"-Q"&amp;ROUNDUP(MONTH($C7077)/3,0))</f>
        <v/>
      </c>
      <c r="L7077">
        <f>IF($G7077&lt;&gt;"ALCOHOL","",IF($K7077="","",$H7077*IFERROR(VLOOKUP($K7077,Drink_Templates!$A:$G,7,FALSE),0)))</f>
        <v/>
      </c>
    </row>
    <row r="7078" ht="15" customHeight="1">
      <c r="C7078">
        <f>IF($B7078="","",INT($B7078))</f>
        <v/>
      </c>
      <c r="D7078">
        <f>IF($C7078="","",$C7078-WEEKDAY($C7078,2)+1)</f>
        <v/>
      </c>
      <c r="E7078">
        <f>IF($C7078="","",DATE(YEAR($C7078),MONTH($C7078),1))</f>
        <v/>
      </c>
      <c r="F7078">
        <f>IF($C7078="","",YEAR($C7078)&amp;"-Q"&amp;ROUNDUP(MONTH($C7078)/3,0))</f>
        <v/>
      </c>
      <c r="L7078">
        <f>IF($G7078&lt;&gt;"ALCOHOL","",IF($K7078="","",$H7078*IFERROR(VLOOKUP($K7078,Drink_Templates!$A:$G,7,FALSE),0)))</f>
        <v/>
      </c>
    </row>
    <row r="7079" ht="15" customHeight="1">
      <c r="C7079">
        <f>IF($B7079="","",INT($B7079))</f>
        <v/>
      </c>
      <c r="D7079">
        <f>IF($C7079="","",$C7079-WEEKDAY($C7079,2)+1)</f>
        <v/>
      </c>
      <c r="E7079">
        <f>IF($C7079="","",DATE(YEAR($C7079),MONTH($C7079),1))</f>
        <v/>
      </c>
      <c r="F7079">
        <f>IF($C7079="","",YEAR($C7079)&amp;"-Q"&amp;ROUNDUP(MONTH($C7079)/3,0))</f>
        <v/>
      </c>
      <c r="L7079">
        <f>IF($G7079&lt;&gt;"ALCOHOL","",IF($K7079="","",$H7079*IFERROR(VLOOKUP($K7079,Drink_Templates!$A:$G,7,FALSE),0)))</f>
        <v/>
      </c>
    </row>
    <row r="7080" ht="15" customHeight="1">
      <c r="C7080">
        <f>IF($B7080="","",INT($B7080))</f>
        <v/>
      </c>
      <c r="D7080">
        <f>IF($C7080="","",$C7080-WEEKDAY($C7080,2)+1)</f>
        <v/>
      </c>
      <c r="E7080">
        <f>IF($C7080="","",DATE(YEAR($C7080),MONTH($C7080),1))</f>
        <v/>
      </c>
      <c r="F7080">
        <f>IF($C7080="","",YEAR($C7080)&amp;"-Q"&amp;ROUNDUP(MONTH($C7080)/3,0))</f>
        <v/>
      </c>
      <c r="L7080">
        <f>IF($G7080&lt;&gt;"ALCOHOL","",IF($K7080="","",$H7080*IFERROR(VLOOKUP($K7080,Drink_Templates!$A:$G,7,FALSE),0)))</f>
        <v/>
      </c>
    </row>
    <row r="7081" ht="15" customHeight="1">
      <c r="C7081">
        <f>IF($B7081="","",INT($B7081))</f>
        <v/>
      </c>
      <c r="D7081">
        <f>IF($C7081="","",$C7081-WEEKDAY($C7081,2)+1)</f>
        <v/>
      </c>
      <c r="E7081">
        <f>IF($C7081="","",DATE(YEAR($C7081),MONTH($C7081),1))</f>
        <v/>
      </c>
      <c r="F7081">
        <f>IF($C7081="","",YEAR($C7081)&amp;"-Q"&amp;ROUNDUP(MONTH($C7081)/3,0))</f>
        <v/>
      </c>
      <c r="L7081">
        <f>IF($G7081&lt;&gt;"ALCOHOL","",IF($K7081="","",$H7081*IFERROR(VLOOKUP($K7081,Drink_Templates!$A:$G,7,FALSE),0)))</f>
        <v/>
      </c>
    </row>
    <row r="7082" ht="15" customHeight="1">
      <c r="C7082">
        <f>IF($B7082="","",INT($B7082))</f>
        <v/>
      </c>
      <c r="D7082">
        <f>IF($C7082="","",$C7082-WEEKDAY($C7082,2)+1)</f>
        <v/>
      </c>
      <c r="E7082">
        <f>IF($C7082="","",DATE(YEAR($C7082),MONTH($C7082),1))</f>
        <v/>
      </c>
      <c r="F7082">
        <f>IF($C7082="","",YEAR($C7082)&amp;"-Q"&amp;ROUNDUP(MONTH($C7082)/3,0))</f>
        <v/>
      </c>
      <c r="L7082">
        <f>IF($G7082&lt;&gt;"ALCOHOL","",IF($K7082="","",$H7082*IFERROR(VLOOKUP($K7082,Drink_Templates!$A:$G,7,FALSE),0)))</f>
        <v/>
      </c>
    </row>
    <row r="7083" ht="15" customHeight="1">
      <c r="C7083">
        <f>IF($B7083="","",INT($B7083))</f>
        <v/>
      </c>
      <c r="D7083">
        <f>IF($C7083="","",$C7083-WEEKDAY($C7083,2)+1)</f>
        <v/>
      </c>
      <c r="E7083">
        <f>IF($C7083="","",DATE(YEAR($C7083),MONTH($C7083),1))</f>
        <v/>
      </c>
      <c r="F7083">
        <f>IF($C7083="","",YEAR($C7083)&amp;"-Q"&amp;ROUNDUP(MONTH($C7083)/3,0))</f>
        <v/>
      </c>
      <c r="L7083">
        <f>IF($G7083&lt;&gt;"ALCOHOL","",IF($K7083="","",$H7083*IFERROR(VLOOKUP($K7083,Drink_Templates!$A:$G,7,FALSE),0)))</f>
        <v/>
      </c>
    </row>
    <row r="7084" ht="15" customHeight="1">
      <c r="C7084">
        <f>IF($B7084="","",INT($B7084))</f>
        <v/>
      </c>
      <c r="D7084">
        <f>IF($C7084="","",$C7084-WEEKDAY($C7084,2)+1)</f>
        <v/>
      </c>
      <c r="E7084">
        <f>IF($C7084="","",DATE(YEAR($C7084),MONTH($C7084),1))</f>
        <v/>
      </c>
      <c r="F7084">
        <f>IF($C7084="","",YEAR($C7084)&amp;"-Q"&amp;ROUNDUP(MONTH($C7084)/3,0))</f>
        <v/>
      </c>
      <c r="L7084">
        <f>IF($G7084&lt;&gt;"ALCOHOL","",IF($K7084="","",$H7084*IFERROR(VLOOKUP($K7084,Drink_Templates!$A:$G,7,FALSE),0)))</f>
        <v/>
      </c>
    </row>
    <row r="7085" ht="15" customHeight="1">
      <c r="C7085">
        <f>IF($B7085="","",INT($B7085))</f>
        <v/>
      </c>
      <c r="D7085">
        <f>IF($C7085="","",$C7085-WEEKDAY($C7085,2)+1)</f>
        <v/>
      </c>
      <c r="E7085">
        <f>IF($C7085="","",DATE(YEAR($C7085),MONTH($C7085),1))</f>
        <v/>
      </c>
      <c r="F7085">
        <f>IF($C7085="","",YEAR($C7085)&amp;"-Q"&amp;ROUNDUP(MONTH($C7085)/3,0))</f>
        <v/>
      </c>
      <c r="L7085">
        <f>IF($G7085&lt;&gt;"ALCOHOL","",IF($K7085="","",$H7085*IFERROR(VLOOKUP($K7085,Drink_Templates!$A:$G,7,FALSE),0)))</f>
        <v/>
      </c>
    </row>
    <row r="7086" ht="15" customHeight="1">
      <c r="C7086">
        <f>IF($B7086="","",INT($B7086))</f>
        <v/>
      </c>
      <c r="D7086">
        <f>IF($C7086="","",$C7086-WEEKDAY($C7086,2)+1)</f>
        <v/>
      </c>
      <c r="E7086">
        <f>IF($C7086="","",DATE(YEAR($C7086),MONTH($C7086),1))</f>
        <v/>
      </c>
      <c r="F7086">
        <f>IF($C7086="","",YEAR($C7086)&amp;"-Q"&amp;ROUNDUP(MONTH($C7086)/3,0))</f>
        <v/>
      </c>
      <c r="L7086">
        <f>IF($G7086&lt;&gt;"ALCOHOL","",IF($K7086="","",$H7086*IFERROR(VLOOKUP($K7086,Drink_Templates!$A:$G,7,FALSE),0)))</f>
        <v/>
      </c>
    </row>
    <row r="7087" ht="15" customHeight="1">
      <c r="C7087">
        <f>IF($B7087="","",INT($B7087))</f>
        <v/>
      </c>
      <c r="D7087">
        <f>IF($C7087="","",$C7087-WEEKDAY($C7087,2)+1)</f>
        <v/>
      </c>
      <c r="E7087">
        <f>IF($C7087="","",DATE(YEAR($C7087),MONTH($C7087),1))</f>
        <v/>
      </c>
      <c r="F7087">
        <f>IF($C7087="","",YEAR($C7087)&amp;"-Q"&amp;ROUNDUP(MONTH($C7087)/3,0))</f>
        <v/>
      </c>
      <c r="L7087">
        <f>IF($G7087&lt;&gt;"ALCOHOL","",IF($K7087="","",$H7087*IFERROR(VLOOKUP($K7087,Drink_Templates!$A:$G,7,FALSE),0)))</f>
        <v/>
      </c>
    </row>
    <row r="7088" ht="15" customHeight="1">
      <c r="C7088">
        <f>IF($B7088="","",INT($B7088))</f>
        <v/>
      </c>
      <c r="D7088">
        <f>IF($C7088="","",$C7088-WEEKDAY($C7088,2)+1)</f>
        <v/>
      </c>
      <c r="E7088">
        <f>IF($C7088="","",DATE(YEAR($C7088),MONTH($C7088),1))</f>
        <v/>
      </c>
      <c r="F7088">
        <f>IF($C7088="","",YEAR($C7088)&amp;"-Q"&amp;ROUNDUP(MONTH($C7088)/3,0))</f>
        <v/>
      </c>
      <c r="L7088">
        <f>IF($G7088&lt;&gt;"ALCOHOL","",IF($K7088="","",$H7088*IFERROR(VLOOKUP($K7088,Drink_Templates!$A:$G,7,FALSE),0)))</f>
        <v/>
      </c>
    </row>
    <row r="7089" ht="15" customHeight="1">
      <c r="C7089">
        <f>IF($B7089="","",INT($B7089))</f>
        <v/>
      </c>
      <c r="D7089">
        <f>IF($C7089="","",$C7089-WEEKDAY($C7089,2)+1)</f>
        <v/>
      </c>
      <c r="E7089">
        <f>IF($C7089="","",DATE(YEAR($C7089),MONTH($C7089),1))</f>
        <v/>
      </c>
      <c r="F7089">
        <f>IF($C7089="","",YEAR($C7089)&amp;"-Q"&amp;ROUNDUP(MONTH($C7089)/3,0))</f>
        <v/>
      </c>
      <c r="L7089">
        <f>IF($G7089&lt;&gt;"ALCOHOL","",IF($K7089="","",$H7089*IFERROR(VLOOKUP($K7089,Drink_Templates!$A:$G,7,FALSE),0)))</f>
        <v/>
      </c>
    </row>
    <row r="7090" ht="15" customHeight="1">
      <c r="C7090">
        <f>IF($B7090="","",INT($B7090))</f>
        <v/>
      </c>
      <c r="D7090">
        <f>IF($C7090="","",$C7090-WEEKDAY($C7090,2)+1)</f>
        <v/>
      </c>
      <c r="E7090">
        <f>IF($C7090="","",DATE(YEAR($C7090),MONTH($C7090),1))</f>
        <v/>
      </c>
      <c r="F7090">
        <f>IF($C7090="","",YEAR($C7090)&amp;"-Q"&amp;ROUNDUP(MONTH($C7090)/3,0))</f>
        <v/>
      </c>
      <c r="L7090">
        <f>IF($G7090&lt;&gt;"ALCOHOL","",IF($K7090="","",$H7090*IFERROR(VLOOKUP($K7090,Drink_Templates!$A:$G,7,FALSE),0)))</f>
        <v/>
      </c>
    </row>
    <row r="7091" ht="15" customHeight="1">
      <c r="C7091">
        <f>IF($B7091="","",INT($B7091))</f>
        <v/>
      </c>
      <c r="D7091">
        <f>IF($C7091="","",$C7091-WEEKDAY($C7091,2)+1)</f>
        <v/>
      </c>
      <c r="E7091">
        <f>IF($C7091="","",DATE(YEAR($C7091),MONTH($C7091),1))</f>
        <v/>
      </c>
      <c r="F7091">
        <f>IF($C7091="","",YEAR($C7091)&amp;"-Q"&amp;ROUNDUP(MONTH($C7091)/3,0))</f>
        <v/>
      </c>
      <c r="L7091">
        <f>IF($G7091&lt;&gt;"ALCOHOL","",IF($K7091="","",$H7091*IFERROR(VLOOKUP($K7091,Drink_Templates!$A:$G,7,FALSE),0)))</f>
        <v/>
      </c>
    </row>
    <row r="7092" ht="15" customHeight="1">
      <c r="C7092">
        <f>IF($B7092="","",INT($B7092))</f>
        <v/>
      </c>
      <c r="D7092">
        <f>IF($C7092="","",$C7092-WEEKDAY($C7092,2)+1)</f>
        <v/>
      </c>
      <c r="E7092">
        <f>IF($C7092="","",DATE(YEAR($C7092),MONTH($C7092),1))</f>
        <v/>
      </c>
      <c r="F7092">
        <f>IF($C7092="","",YEAR($C7092)&amp;"-Q"&amp;ROUNDUP(MONTH($C7092)/3,0))</f>
        <v/>
      </c>
      <c r="L7092">
        <f>IF($G7092&lt;&gt;"ALCOHOL","",IF($K7092="","",$H7092*IFERROR(VLOOKUP($K7092,Drink_Templates!$A:$G,7,FALSE),0)))</f>
        <v/>
      </c>
    </row>
    <row r="7093" ht="15" customHeight="1">
      <c r="C7093">
        <f>IF($B7093="","",INT($B7093))</f>
        <v/>
      </c>
      <c r="D7093">
        <f>IF($C7093="","",$C7093-WEEKDAY($C7093,2)+1)</f>
        <v/>
      </c>
      <c r="E7093">
        <f>IF($C7093="","",DATE(YEAR($C7093),MONTH($C7093),1))</f>
        <v/>
      </c>
      <c r="F7093">
        <f>IF($C7093="","",YEAR($C7093)&amp;"-Q"&amp;ROUNDUP(MONTH($C7093)/3,0))</f>
        <v/>
      </c>
      <c r="L7093">
        <f>IF($G7093&lt;&gt;"ALCOHOL","",IF($K7093="","",$H7093*IFERROR(VLOOKUP($K7093,Drink_Templates!$A:$G,7,FALSE),0)))</f>
        <v/>
      </c>
    </row>
    <row r="7094" ht="15" customHeight="1">
      <c r="C7094">
        <f>IF($B7094="","",INT($B7094))</f>
        <v/>
      </c>
      <c r="D7094">
        <f>IF($C7094="","",$C7094-WEEKDAY($C7094,2)+1)</f>
        <v/>
      </c>
      <c r="E7094">
        <f>IF($C7094="","",DATE(YEAR($C7094),MONTH($C7094),1))</f>
        <v/>
      </c>
      <c r="F7094">
        <f>IF($C7094="","",YEAR($C7094)&amp;"-Q"&amp;ROUNDUP(MONTH($C7094)/3,0))</f>
        <v/>
      </c>
      <c r="L7094">
        <f>IF($G7094&lt;&gt;"ALCOHOL","",IF($K7094="","",$H7094*IFERROR(VLOOKUP($K7094,Drink_Templates!$A:$G,7,FALSE),0)))</f>
        <v/>
      </c>
    </row>
    <row r="7095" ht="15" customHeight="1">
      <c r="C7095">
        <f>IF($B7095="","",INT($B7095))</f>
        <v/>
      </c>
      <c r="D7095">
        <f>IF($C7095="","",$C7095-WEEKDAY($C7095,2)+1)</f>
        <v/>
      </c>
      <c r="E7095">
        <f>IF($C7095="","",DATE(YEAR($C7095),MONTH($C7095),1))</f>
        <v/>
      </c>
      <c r="F7095">
        <f>IF($C7095="","",YEAR($C7095)&amp;"-Q"&amp;ROUNDUP(MONTH($C7095)/3,0))</f>
        <v/>
      </c>
      <c r="L7095">
        <f>IF($G7095&lt;&gt;"ALCOHOL","",IF($K7095="","",$H7095*IFERROR(VLOOKUP($K7095,Drink_Templates!$A:$G,7,FALSE),0)))</f>
        <v/>
      </c>
    </row>
    <row r="7096" ht="15" customHeight="1">
      <c r="C7096">
        <f>IF($B7096="","",INT($B7096))</f>
        <v/>
      </c>
      <c r="D7096">
        <f>IF($C7096="","",$C7096-WEEKDAY($C7096,2)+1)</f>
        <v/>
      </c>
      <c r="E7096">
        <f>IF($C7096="","",DATE(YEAR($C7096),MONTH($C7096),1))</f>
        <v/>
      </c>
      <c r="F7096">
        <f>IF($C7096="","",YEAR($C7096)&amp;"-Q"&amp;ROUNDUP(MONTH($C7096)/3,0))</f>
        <v/>
      </c>
      <c r="L7096">
        <f>IF($G7096&lt;&gt;"ALCOHOL","",IF($K7096="","",$H7096*IFERROR(VLOOKUP($K7096,Drink_Templates!$A:$G,7,FALSE),0)))</f>
        <v/>
      </c>
    </row>
    <row r="7097" ht="15" customHeight="1">
      <c r="C7097">
        <f>IF($B7097="","",INT($B7097))</f>
        <v/>
      </c>
      <c r="D7097">
        <f>IF($C7097="","",$C7097-WEEKDAY($C7097,2)+1)</f>
        <v/>
      </c>
      <c r="E7097">
        <f>IF($C7097="","",DATE(YEAR($C7097),MONTH($C7097),1))</f>
        <v/>
      </c>
      <c r="F7097">
        <f>IF($C7097="","",YEAR($C7097)&amp;"-Q"&amp;ROUNDUP(MONTH($C7097)/3,0))</f>
        <v/>
      </c>
      <c r="L7097">
        <f>IF($G7097&lt;&gt;"ALCOHOL","",IF($K7097="","",$H7097*IFERROR(VLOOKUP($K7097,Drink_Templates!$A:$G,7,FALSE),0)))</f>
        <v/>
      </c>
    </row>
    <row r="7098" ht="15" customHeight="1">
      <c r="C7098">
        <f>IF($B7098="","",INT($B7098))</f>
        <v/>
      </c>
      <c r="D7098">
        <f>IF($C7098="","",$C7098-WEEKDAY($C7098,2)+1)</f>
        <v/>
      </c>
      <c r="E7098">
        <f>IF($C7098="","",DATE(YEAR($C7098),MONTH($C7098),1))</f>
        <v/>
      </c>
      <c r="F7098">
        <f>IF($C7098="","",YEAR($C7098)&amp;"-Q"&amp;ROUNDUP(MONTH($C7098)/3,0))</f>
        <v/>
      </c>
      <c r="L7098">
        <f>IF($G7098&lt;&gt;"ALCOHOL","",IF($K7098="","",$H7098*IFERROR(VLOOKUP($K7098,Drink_Templates!$A:$G,7,FALSE),0)))</f>
        <v/>
      </c>
    </row>
    <row r="7099" ht="15" customHeight="1">
      <c r="C7099">
        <f>IF($B7099="","",INT($B7099))</f>
        <v/>
      </c>
      <c r="D7099">
        <f>IF($C7099="","",$C7099-WEEKDAY($C7099,2)+1)</f>
        <v/>
      </c>
      <c r="E7099">
        <f>IF($C7099="","",DATE(YEAR($C7099),MONTH($C7099),1))</f>
        <v/>
      </c>
      <c r="F7099">
        <f>IF($C7099="","",YEAR($C7099)&amp;"-Q"&amp;ROUNDUP(MONTH($C7099)/3,0))</f>
        <v/>
      </c>
      <c r="L7099">
        <f>IF($G7099&lt;&gt;"ALCOHOL","",IF($K7099="","",$H7099*IFERROR(VLOOKUP($K7099,Drink_Templates!$A:$G,7,FALSE),0)))</f>
        <v/>
      </c>
    </row>
    <row r="7100" ht="15" customHeight="1">
      <c r="C7100">
        <f>IF($B7100="","",INT($B7100))</f>
        <v/>
      </c>
      <c r="D7100">
        <f>IF($C7100="","",$C7100-WEEKDAY($C7100,2)+1)</f>
        <v/>
      </c>
      <c r="E7100">
        <f>IF($C7100="","",DATE(YEAR($C7100),MONTH($C7100),1))</f>
        <v/>
      </c>
      <c r="F7100">
        <f>IF($C7100="","",YEAR($C7100)&amp;"-Q"&amp;ROUNDUP(MONTH($C7100)/3,0))</f>
        <v/>
      </c>
      <c r="L7100">
        <f>IF($G7100&lt;&gt;"ALCOHOL","",IF($K7100="","",$H7100*IFERROR(VLOOKUP($K7100,Drink_Templates!$A:$G,7,FALSE),0)))</f>
        <v/>
      </c>
    </row>
    <row r="7101" ht="15" customHeight="1">
      <c r="C7101">
        <f>IF($B7101="","",INT($B7101))</f>
        <v/>
      </c>
      <c r="D7101">
        <f>IF($C7101="","",$C7101-WEEKDAY($C7101,2)+1)</f>
        <v/>
      </c>
      <c r="E7101">
        <f>IF($C7101="","",DATE(YEAR($C7101),MONTH($C7101),1))</f>
        <v/>
      </c>
      <c r="F7101">
        <f>IF($C7101="","",YEAR($C7101)&amp;"-Q"&amp;ROUNDUP(MONTH($C7101)/3,0))</f>
        <v/>
      </c>
      <c r="L7101">
        <f>IF($G7101&lt;&gt;"ALCOHOL","",IF($K7101="","",$H7101*IFERROR(VLOOKUP($K7101,Drink_Templates!$A:$G,7,FALSE),0)))</f>
        <v/>
      </c>
    </row>
    <row r="7102" ht="15" customHeight="1">
      <c r="C7102">
        <f>IF($B7102="","",INT($B7102))</f>
        <v/>
      </c>
      <c r="D7102">
        <f>IF($C7102="","",$C7102-WEEKDAY($C7102,2)+1)</f>
        <v/>
      </c>
      <c r="E7102">
        <f>IF($C7102="","",DATE(YEAR($C7102),MONTH($C7102),1))</f>
        <v/>
      </c>
      <c r="F7102">
        <f>IF($C7102="","",YEAR($C7102)&amp;"-Q"&amp;ROUNDUP(MONTH($C7102)/3,0))</f>
        <v/>
      </c>
      <c r="L7102">
        <f>IF($G7102&lt;&gt;"ALCOHOL","",IF($K7102="","",$H7102*IFERROR(VLOOKUP($K7102,Drink_Templates!$A:$G,7,FALSE),0)))</f>
        <v/>
      </c>
    </row>
    <row r="7103" ht="15" customHeight="1">
      <c r="C7103">
        <f>IF($B7103="","",INT($B7103))</f>
        <v/>
      </c>
      <c r="D7103">
        <f>IF($C7103="","",$C7103-WEEKDAY($C7103,2)+1)</f>
        <v/>
      </c>
      <c r="E7103">
        <f>IF($C7103="","",DATE(YEAR($C7103),MONTH($C7103),1))</f>
        <v/>
      </c>
      <c r="F7103">
        <f>IF($C7103="","",YEAR($C7103)&amp;"-Q"&amp;ROUNDUP(MONTH($C7103)/3,0))</f>
        <v/>
      </c>
      <c r="L7103">
        <f>IF($G7103&lt;&gt;"ALCOHOL","",IF($K7103="","",$H7103*IFERROR(VLOOKUP($K7103,Drink_Templates!$A:$G,7,FALSE),0)))</f>
        <v/>
      </c>
    </row>
    <row r="7104" ht="15" customHeight="1">
      <c r="C7104">
        <f>IF($B7104="","",INT($B7104))</f>
        <v/>
      </c>
      <c r="D7104">
        <f>IF($C7104="","",$C7104-WEEKDAY($C7104,2)+1)</f>
        <v/>
      </c>
      <c r="E7104">
        <f>IF($C7104="","",DATE(YEAR($C7104),MONTH($C7104),1))</f>
        <v/>
      </c>
      <c r="F7104">
        <f>IF($C7104="","",YEAR($C7104)&amp;"-Q"&amp;ROUNDUP(MONTH($C7104)/3,0))</f>
        <v/>
      </c>
      <c r="L7104">
        <f>IF($G7104&lt;&gt;"ALCOHOL","",IF($K7104="","",$H7104*IFERROR(VLOOKUP($K7104,Drink_Templates!$A:$G,7,FALSE),0)))</f>
        <v/>
      </c>
    </row>
    <row r="7105" ht="15" customHeight="1">
      <c r="C7105">
        <f>IF($B7105="","",INT($B7105))</f>
        <v/>
      </c>
      <c r="D7105">
        <f>IF($C7105="","",$C7105-WEEKDAY($C7105,2)+1)</f>
        <v/>
      </c>
      <c r="E7105">
        <f>IF($C7105="","",DATE(YEAR($C7105),MONTH($C7105),1))</f>
        <v/>
      </c>
      <c r="F7105">
        <f>IF($C7105="","",YEAR($C7105)&amp;"-Q"&amp;ROUNDUP(MONTH($C7105)/3,0))</f>
        <v/>
      </c>
      <c r="L7105">
        <f>IF($G7105&lt;&gt;"ALCOHOL","",IF($K7105="","",$H7105*IFERROR(VLOOKUP($K7105,Drink_Templates!$A:$G,7,FALSE),0)))</f>
        <v/>
      </c>
    </row>
    <row r="7106" ht="15" customHeight="1">
      <c r="C7106">
        <f>IF($B7106="","",INT($B7106))</f>
        <v/>
      </c>
      <c r="D7106">
        <f>IF($C7106="","",$C7106-WEEKDAY($C7106,2)+1)</f>
        <v/>
      </c>
      <c r="E7106">
        <f>IF($C7106="","",DATE(YEAR($C7106),MONTH($C7106),1))</f>
        <v/>
      </c>
      <c r="F7106">
        <f>IF($C7106="","",YEAR($C7106)&amp;"-Q"&amp;ROUNDUP(MONTH($C7106)/3,0))</f>
        <v/>
      </c>
      <c r="L7106">
        <f>IF($G7106&lt;&gt;"ALCOHOL","",IF($K7106="","",$H7106*IFERROR(VLOOKUP($K7106,Drink_Templates!$A:$G,7,FALSE),0)))</f>
        <v/>
      </c>
    </row>
    <row r="7107" ht="15" customHeight="1">
      <c r="C7107">
        <f>IF($B7107="","",INT($B7107))</f>
        <v/>
      </c>
      <c r="D7107">
        <f>IF($C7107="","",$C7107-WEEKDAY($C7107,2)+1)</f>
        <v/>
      </c>
      <c r="E7107">
        <f>IF($C7107="","",DATE(YEAR($C7107),MONTH($C7107),1))</f>
        <v/>
      </c>
      <c r="F7107">
        <f>IF($C7107="","",YEAR($C7107)&amp;"-Q"&amp;ROUNDUP(MONTH($C7107)/3,0))</f>
        <v/>
      </c>
      <c r="L7107">
        <f>IF($G7107&lt;&gt;"ALCOHOL","",IF($K7107="","",$H7107*IFERROR(VLOOKUP($K7107,Drink_Templates!$A:$G,7,FALSE),0)))</f>
        <v/>
      </c>
    </row>
    <row r="7108" ht="15" customHeight="1">
      <c r="C7108">
        <f>IF($B7108="","",INT($B7108))</f>
        <v/>
      </c>
      <c r="D7108">
        <f>IF($C7108="","",$C7108-WEEKDAY($C7108,2)+1)</f>
        <v/>
      </c>
      <c r="E7108">
        <f>IF($C7108="","",DATE(YEAR($C7108),MONTH($C7108),1))</f>
        <v/>
      </c>
      <c r="F7108">
        <f>IF($C7108="","",YEAR($C7108)&amp;"-Q"&amp;ROUNDUP(MONTH($C7108)/3,0))</f>
        <v/>
      </c>
      <c r="L7108">
        <f>IF($G7108&lt;&gt;"ALCOHOL","",IF($K7108="","",$H7108*IFERROR(VLOOKUP($K7108,Drink_Templates!$A:$G,7,FALSE),0)))</f>
        <v/>
      </c>
    </row>
    <row r="7109" ht="15" customHeight="1">
      <c r="C7109">
        <f>IF($B7109="","",INT($B7109))</f>
        <v/>
      </c>
      <c r="D7109">
        <f>IF($C7109="","",$C7109-WEEKDAY($C7109,2)+1)</f>
        <v/>
      </c>
      <c r="E7109">
        <f>IF($C7109="","",DATE(YEAR($C7109),MONTH($C7109),1))</f>
        <v/>
      </c>
      <c r="F7109">
        <f>IF($C7109="","",YEAR($C7109)&amp;"-Q"&amp;ROUNDUP(MONTH($C7109)/3,0))</f>
        <v/>
      </c>
      <c r="L7109">
        <f>IF($G7109&lt;&gt;"ALCOHOL","",IF($K7109="","",$H7109*IFERROR(VLOOKUP($K7109,Drink_Templates!$A:$G,7,FALSE),0)))</f>
        <v/>
      </c>
    </row>
    <row r="7110" ht="15" customHeight="1">
      <c r="C7110">
        <f>IF($B7110="","",INT($B7110))</f>
        <v/>
      </c>
      <c r="D7110">
        <f>IF($C7110="","",$C7110-WEEKDAY($C7110,2)+1)</f>
        <v/>
      </c>
      <c r="E7110">
        <f>IF($C7110="","",DATE(YEAR($C7110),MONTH($C7110),1))</f>
        <v/>
      </c>
      <c r="F7110">
        <f>IF($C7110="","",YEAR($C7110)&amp;"-Q"&amp;ROUNDUP(MONTH($C7110)/3,0))</f>
        <v/>
      </c>
      <c r="L7110">
        <f>IF($G7110&lt;&gt;"ALCOHOL","",IF($K7110="","",$H7110*IFERROR(VLOOKUP($K7110,Drink_Templates!$A:$G,7,FALSE),0)))</f>
        <v/>
      </c>
    </row>
    <row r="7111" ht="15" customHeight="1">
      <c r="C7111">
        <f>IF($B7111="","",INT($B7111))</f>
        <v/>
      </c>
      <c r="D7111">
        <f>IF($C7111="","",$C7111-WEEKDAY($C7111,2)+1)</f>
        <v/>
      </c>
      <c r="E7111">
        <f>IF($C7111="","",DATE(YEAR($C7111),MONTH($C7111),1))</f>
        <v/>
      </c>
      <c r="F7111">
        <f>IF($C7111="","",YEAR($C7111)&amp;"-Q"&amp;ROUNDUP(MONTH($C7111)/3,0))</f>
        <v/>
      </c>
      <c r="L7111">
        <f>IF($G7111&lt;&gt;"ALCOHOL","",IF($K7111="","",$H7111*IFERROR(VLOOKUP($K7111,Drink_Templates!$A:$G,7,FALSE),0)))</f>
        <v/>
      </c>
    </row>
    <row r="7112" ht="15" customHeight="1">
      <c r="C7112">
        <f>IF($B7112="","",INT($B7112))</f>
        <v/>
      </c>
      <c r="D7112">
        <f>IF($C7112="","",$C7112-WEEKDAY($C7112,2)+1)</f>
        <v/>
      </c>
      <c r="E7112">
        <f>IF($C7112="","",DATE(YEAR($C7112),MONTH($C7112),1))</f>
        <v/>
      </c>
      <c r="F7112">
        <f>IF($C7112="","",YEAR($C7112)&amp;"-Q"&amp;ROUNDUP(MONTH($C7112)/3,0))</f>
        <v/>
      </c>
      <c r="L7112">
        <f>IF($G7112&lt;&gt;"ALCOHOL","",IF($K7112="","",$H7112*IFERROR(VLOOKUP($K7112,Drink_Templates!$A:$G,7,FALSE),0)))</f>
        <v/>
      </c>
    </row>
    <row r="7113" ht="15" customHeight="1">
      <c r="C7113">
        <f>IF($B7113="","",INT($B7113))</f>
        <v/>
      </c>
      <c r="D7113">
        <f>IF($C7113="","",$C7113-WEEKDAY($C7113,2)+1)</f>
        <v/>
      </c>
      <c r="E7113">
        <f>IF($C7113="","",DATE(YEAR($C7113),MONTH($C7113),1))</f>
        <v/>
      </c>
      <c r="F7113">
        <f>IF($C7113="","",YEAR($C7113)&amp;"-Q"&amp;ROUNDUP(MONTH($C7113)/3,0))</f>
        <v/>
      </c>
      <c r="L7113">
        <f>IF($G7113&lt;&gt;"ALCOHOL","",IF($K7113="","",$H7113*IFERROR(VLOOKUP($K7113,Drink_Templates!$A:$G,7,FALSE),0)))</f>
        <v/>
      </c>
    </row>
    <row r="7114" ht="15" customHeight="1">
      <c r="C7114">
        <f>IF($B7114="","",INT($B7114))</f>
        <v/>
      </c>
      <c r="D7114">
        <f>IF($C7114="","",$C7114-WEEKDAY($C7114,2)+1)</f>
        <v/>
      </c>
      <c r="E7114">
        <f>IF($C7114="","",DATE(YEAR($C7114),MONTH($C7114),1))</f>
        <v/>
      </c>
      <c r="F7114">
        <f>IF($C7114="","",YEAR($C7114)&amp;"-Q"&amp;ROUNDUP(MONTH($C7114)/3,0))</f>
        <v/>
      </c>
      <c r="L7114">
        <f>IF($G7114&lt;&gt;"ALCOHOL","",IF($K7114="","",$H7114*IFERROR(VLOOKUP($K7114,Drink_Templates!$A:$G,7,FALSE),0)))</f>
        <v/>
      </c>
    </row>
    <row r="7115" ht="15" customHeight="1">
      <c r="C7115">
        <f>IF($B7115="","",INT($B7115))</f>
        <v/>
      </c>
      <c r="D7115">
        <f>IF($C7115="","",$C7115-WEEKDAY($C7115,2)+1)</f>
        <v/>
      </c>
      <c r="E7115">
        <f>IF($C7115="","",DATE(YEAR($C7115),MONTH($C7115),1))</f>
        <v/>
      </c>
      <c r="F7115">
        <f>IF($C7115="","",YEAR($C7115)&amp;"-Q"&amp;ROUNDUP(MONTH($C7115)/3,0))</f>
        <v/>
      </c>
      <c r="L7115">
        <f>IF($G7115&lt;&gt;"ALCOHOL","",IF($K7115="","",$H7115*IFERROR(VLOOKUP($K7115,Drink_Templates!$A:$G,7,FALSE),0)))</f>
        <v/>
      </c>
    </row>
    <row r="7116" ht="15" customHeight="1">
      <c r="C7116">
        <f>IF($B7116="","",INT($B7116))</f>
        <v/>
      </c>
      <c r="D7116">
        <f>IF($C7116="","",$C7116-WEEKDAY($C7116,2)+1)</f>
        <v/>
      </c>
      <c r="E7116">
        <f>IF($C7116="","",DATE(YEAR($C7116),MONTH($C7116),1))</f>
        <v/>
      </c>
      <c r="F7116">
        <f>IF($C7116="","",YEAR($C7116)&amp;"-Q"&amp;ROUNDUP(MONTH($C7116)/3,0))</f>
        <v/>
      </c>
      <c r="L7116">
        <f>IF($G7116&lt;&gt;"ALCOHOL","",IF($K7116="","",$H7116*IFERROR(VLOOKUP($K7116,Drink_Templates!$A:$G,7,FALSE),0)))</f>
        <v/>
      </c>
    </row>
    <row r="7117" ht="15" customHeight="1">
      <c r="C7117">
        <f>IF($B7117="","",INT($B7117))</f>
        <v/>
      </c>
      <c r="D7117">
        <f>IF($C7117="","",$C7117-WEEKDAY($C7117,2)+1)</f>
        <v/>
      </c>
      <c r="E7117">
        <f>IF($C7117="","",DATE(YEAR($C7117),MONTH($C7117),1))</f>
        <v/>
      </c>
      <c r="F7117">
        <f>IF($C7117="","",YEAR($C7117)&amp;"-Q"&amp;ROUNDUP(MONTH($C7117)/3,0))</f>
        <v/>
      </c>
      <c r="L7117">
        <f>IF($G7117&lt;&gt;"ALCOHOL","",IF($K7117="","",$H7117*IFERROR(VLOOKUP($K7117,Drink_Templates!$A:$G,7,FALSE),0)))</f>
        <v/>
      </c>
    </row>
    <row r="7118" ht="15" customHeight="1">
      <c r="C7118">
        <f>IF($B7118="","",INT($B7118))</f>
        <v/>
      </c>
      <c r="D7118">
        <f>IF($C7118="","",$C7118-WEEKDAY($C7118,2)+1)</f>
        <v/>
      </c>
      <c r="E7118">
        <f>IF($C7118="","",DATE(YEAR($C7118),MONTH($C7118),1))</f>
        <v/>
      </c>
      <c r="F7118">
        <f>IF($C7118="","",YEAR($C7118)&amp;"-Q"&amp;ROUNDUP(MONTH($C7118)/3,0))</f>
        <v/>
      </c>
      <c r="L7118">
        <f>IF($G7118&lt;&gt;"ALCOHOL","",IF($K7118="","",$H7118*IFERROR(VLOOKUP($K7118,Drink_Templates!$A:$G,7,FALSE),0)))</f>
        <v/>
      </c>
    </row>
    <row r="7119" ht="15" customHeight="1">
      <c r="C7119">
        <f>IF($B7119="","",INT($B7119))</f>
        <v/>
      </c>
      <c r="D7119">
        <f>IF($C7119="","",$C7119-WEEKDAY($C7119,2)+1)</f>
        <v/>
      </c>
      <c r="E7119">
        <f>IF($C7119="","",DATE(YEAR($C7119),MONTH($C7119),1))</f>
        <v/>
      </c>
      <c r="F7119">
        <f>IF($C7119="","",YEAR($C7119)&amp;"-Q"&amp;ROUNDUP(MONTH($C7119)/3,0))</f>
        <v/>
      </c>
      <c r="L7119">
        <f>IF($G7119&lt;&gt;"ALCOHOL","",IF($K7119="","",$H7119*IFERROR(VLOOKUP($K7119,Drink_Templates!$A:$G,7,FALSE),0)))</f>
        <v/>
      </c>
    </row>
    <row r="7120" ht="15" customHeight="1">
      <c r="C7120">
        <f>IF($B7120="","",INT($B7120))</f>
        <v/>
      </c>
      <c r="D7120">
        <f>IF($C7120="","",$C7120-WEEKDAY($C7120,2)+1)</f>
        <v/>
      </c>
      <c r="E7120">
        <f>IF($C7120="","",DATE(YEAR($C7120),MONTH($C7120),1))</f>
        <v/>
      </c>
      <c r="F7120">
        <f>IF($C7120="","",YEAR($C7120)&amp;"-Q"&amp;ROUNDUP(MONTH($C7120)/3,0))</f>
        <v/>
      </c>
      <c r="L7120">
        <f>IF($G7120&lt;&gt;"ALCOHOL","",IF($K7120="","",$H7120*IFERROR(VLOOKUP($K7120,Drink_Templates!$A:$G,7,FALSE),0)))</f>
        <v/>
      </c>
    </row>
    <row r="7121" ht="15" customHeight="1">
      <c r="C7121">
        <f>IF($B7121="","",INT($B7121))</f>
        <v/>
      </c>
      <c r="D7121">
        <f>IF($C7121="","",$C7121-WEEKDAY($C7121,2)+1)</f>
        <v/>
      </c>
      <c r="E7121">
        <f>IF($C7121="","",DATE(YEAR($C7121),MONTH($C7121),1))</f>
        <v/>
      </c>
      <c r="F7121">
        <f>IF($C7121="","",YEAR($C7121)&amp;"-Q"&amp;ROUNDUP(MONTH($C7121)/3,0))</f>
        <v/>
      </c>
      <c r="L7121">
        <f>IF($G7121&lt;&gt;"ALCOHOL","",IF($K7121="","",$H7121*IFERROR(VLOOKUP($K7121,Drink_Templates!$A:$G,7,FALSE),0)))</f>
        <v/>
      </c>
    </row>
    <row r="7122" ht="15" customHeight="1">
      <c r="C7122">
        <f>IF($B7122="","",INT($B7122))</f>
        <v/>
      </c>
      <c r="D7122">
        <f>IF($C7122="","",$C7122-WEEKDAY($C7122,2)+1)</f>
        <v/>
      </c>
      <c r="E7122">
        <f>IF($C7122="","",DATE(YEAR($C7122),MONTH($C7122),1))</f>
        <v/>
      </c>
      <c r="F7122">
        <f>IF($C7122="","",YEAR($C7122)&amp;"-Q"&amp;ROUNDUP(MONTH($C7122)/3,0))</f>
        <v/>
      </c>
      <c r="L7122">
        <f>IF($G7122&lt;&gt;"ALCOHOL","",IF($K7122="","",$H7122*IFERROR(VLOOKUP($K7122,Drink_Templates!$A:$G,7,FALSE),0)))</f>
        <v/>
      </c>
    </row>
    <row r="7123" ht="15" customHeight="1">
      <c r="C7123">
        <f>IF($B7123="","",INT($B7123))</f>
        <v/>
      </c>
      <c r="D7123">
        <f>IF($C7123="","",$C7123-WEEKDAY($C7123,2)+1)</f>
        <v/>
      </c>
      <c r="E7123">
        <f>IF($C7123="","",DATE(YEAR($C7123),MONTH($C7123),1))</f>
        <v/>
      </c>
      <c r="F7123">
        <f>IF($C7123="","",YEAR($C7123)&amp;"-Q"&amp;ROUNDUP(MONTH($C7123)/3,0))</f>
        <v/>
      </c>
      <c r="L7123">
        <f>IF($G7123&lt;&gt;"ALCOHOL","",IF($K7123="","",$H7123*IFERROR(VLOOKUP($K7123,Drink_Templates!$A:$G,7,FALSE),0)))</f>
        <v/>
      </c>
    </row>
    <row r="7124" ht="15" customHeight="1">
      <c r="C7124">
        <f>IF($B7124="","",INT($B7124))</f>
        <v/>
      </c>
      <c r="D7124">
        <f>IF($C7124="","",$C7124-WEEKDAY($C7124,2)+1)</f>
        <v/>
      </c>
      <c r="E7124">
        <f>IF($C7124="","",DATE(YEAR($C7124),MONTH($C7124),1))</f>
        <v/>
      </c>
      <c r="F7124">
        <f>IF($C7124="","",YEAR($C7124)&amp;"-Q"&amp;ROUNDUP(MONTH($C7124)/3,0))</f>
        <v/>
      </c>
      <c r="L7124">
        <f>IF($G7124&lt;&gt;"ALCOHOL","",IF($K7124="","",$H7124*IFERROR(VLOOKUP($K7124,Drink_Templates!$A:$G,7,FALSE),0)))</f>
        <v/>
      </c>
    </row>
    <row r="7125" ht="15" customHeight="1">
      <c r="C7125">
        <f>IF($B7125="","",INT($B7125))</f>
        <v/>
      </c>
      <c r="D7125">
        <f>IF($C7125="","",$C7125-WEEKDAY($C7125,2)+1)</f>
        <v/>
      </c>
      <c r="E7125">
        <f>IF($C7125="","",DATE(YEAR($C7125),MONTH($C7125),1))</f>
        <v/>
      </c>
      <c r="F7125">
        <f>IF($C7125="","",YEAR($C7125)&amp;"-Q"&amp;ROUNDUP(MONTH($C7125)/3,0))</f>
        <v/>
      </c>
      <c r="L7125">
        <f>IF($G7125&lt;&gt;"ALCOHOL","",IF($K7125="","",$H7125*IFERROR(VLOOKUP($K7125,Drink_Templates!$A:$G,7,FALSE),0)))</f>
        <v/>
      </c>
    </row>
    <row r="7126" ht="15" customHeight="1">
      <c r="C7126">
        <f>IF($B7126="","",INT($B7126))</f>
        <v/>
      </c>
      <c r="D7126">
        <f>IF($C7126="","",$C7126-WEEKDAY($C7126,2)+1)</f>
        <v/>
      </c>
      <c r="E7126">
        <f>IF($C7126="","",DATE(YEAR($C7126),MONTH($C7126),1))</f>
        <v/>
      </c>
      <c r="F7126">
        <f>IF($C7126="","",YEAR($C7126)&amp;"-Q"&amp;ROUNDUP(MONTH($C7126)/3,0))</f>
        <v/>
      </c>
      <c r="L7126">
        <f>IF($G7126&lt;&gt;"ALCOHOL","",IF($K7126="","",$H7126*IFERROR(VLOOKUP($K7126,Drink_Templates!$A:$G,7,FALSE),0)))</f>
        <v/>
      </c>
    </row>
    <row r="7127" ht="15" customHeight="1">
      <c r="C7127">
        <f>IF($B7127="","",INT($B7127))</f>
        <v/>
      </c>
      <c r="D7127">
        <f>IF($C7127="","",$C7127-WEEKDAY($C7127,2)+1)</f>
        <v/>
      </c>
      <c r="E7127">
        <f>IF($C7127="","",DATE(YEAR($C7127),MONTH($C7127),1))</f>
        <v/>
      </c>
      <c r="F7127">
        <f>IF($C7127="","",YEAR($C7127)&amp;"-Q"&amp;ROUNDUP(MONTH($C7127)/3,0))</f>
        <v/>
      </c>
      <c r="L7127">
        <f>IF($G7127&lt;&gt;"ALCOHOL","",IF($K7127="","",$H7127*IFERROR(VLOOKUP($K7127,Drink_Templates!$A:$G,7,FALSE),0)))</f>
        <v/>
      </c>
    </row>
    <row r="7128" ht="15" customHeight="1">
      <c r="C7128">
        <f>IF($B7128="","",INT($B7128))</f>
        <v/>
      </c>
      <c r="D7128">
        <f>IF($C7128="","",$C7128-WEEKDAY($C7128,2)+1)</f>
        <v/>
      </c>
      <c r="E7128">
        <f>IF($C7128="","",DATE(YEAR($C7128),MONTH($C7128),1))</f>
        <v/>
      </c>
      <c r="F7128">
        <f>IF($C7128="","",YEAR($C7128)&amp;"-Q"&amp;ROUNDUP(MONTH($C7128)/3,0))</f>
        <v/>
      </c>
      <c r="L7128">
        <f>IF($G7128&lt;&gt;"ALCOHOL","",IF($K7128="","",$H7128*IFERROR(VLOOKUP($K7128,Drink_Templates!$A:$G,7,FALSE),0)))</f>
        <v/>
      </c>
    </row>
    <row r="7129" ht="15" customHeight="1">
      <c r="C7129">
        <f>IF($B7129="","",INT($B7129))</f>
        <v/>
      </c>
      <c r="D7129">
        <f>IF($C7129="","",$C7129-WEEKDAY($C7129,2)+1)</f>
        <v/>
      </c>
      <c r="E7129">
        <f>IF($C7129="","",DATE(YEAR($C7129),MONTH($C7129),1))</f>
        <v/>
      </c>
      <c r="F7129">
        <f>IF($C7129="","",YEAR($C7129)&amp;"-Q"&amp;ROUNDUP(MONTH($C7129)/3,0))</f>
        <v/>
      </c>
      <c r="L7129">
        <f>IF($G7129&lt;&gt;"ALCOHOL","",IF($K7129="","",$H7129*IFERROR(VLOOKUP($K7129,Drink_Templates!$A:$G,7,FALSE),0)))</f>
        <v/>
      </c>
    </row>
    <row r="7130" ht="15" customHeight="1">
      <c r="C7130">
        <f>IF($B7130="","",INT($B7130))</f>
        <v/>
      </c>
      <c r="D7130">
        <f>IF($C7130="","",$C7130-WEEKDAY($C7130,2)+1)</f>
        <v/>
      </c>
      <c r="E7130">
        <f>IF($C7130="","",DATE(YEAR($C7130),MONTH($C7130),1))</f>
        <v/>
      </c>
      <c r="F7130">
        <f>IF($C7130="","",YEAR($C7130)&amp;"-Q"&amp;ROUNDUP(MONTH($C7130)/3,0))</f>
        <v/>
      </c>
      <c r="L7130">
        <f>IF($G7130&lt;&gt;"ALCOHOL","",IF($K7130="","",$H7130*IFERROR(VLOOKUP($K7130,Drink_Templates!$A:$G,7,FALSE),0)))</f>
        <v/>
      </c>
    </row>
    <row r="7131" ht="15" customHeight="1">
      <c r="C7131">
        <f>IF($B7131="","",INT($B7131))</f>
        <v/>
      </c>
      <c r="D7131">
        <f>IF($C7131="","",$C7131-WEEKDAY($C7131,2)+1)</f>
        <v/>
      </c>
      <c r="E7131">
        <f>IF($C7131="","",DATE(YEAR($C7131),MONTH($C7131),1))</f>
        <v/>
      </c>
      <c r="F7131">
        <f>IF($C7131="","",YEAR($C7131)&amp;"-Q"&amp;ROUNDUP(MONTH($C7131)/3,0))</f>
        <v/>
      </c>
      <c r="L7131">
        <f>IF($G7131&lt;&gt;"ALCOHOL","",IF($K7131="","",$H7131*IFERROR(VLOOKUP($K7131,Drink_Templates!$A:$G,7,FALSE),0)))</f>
        <v/>
      </c>
    </row>
    <row r="7132" ht="15" customHeight="1">
      <c r="C7132">
        <f>IF($B7132="","",INT($B7132))</f>
        <v/>
      </c>
      <c r="D7132">
        <f>IF($C7132="","",$C7132-WEEKDAY($C7132,2)+1)</f>
        <v/>
      </c>
      <c r="E7132">
        <f>IF($C7132="","",DATE(YEAR($C7132),MONTH($C7132),1))</f>
        <v/>
      </c>
      <c r="F7132">
        <f>IF($C7132="","",YEAR($C7132)&amp;"-Q"&amp;ROUNDUP(MONTH($C7132)/3,0))</f>
        <v/>
      </c>
      <c r="L7132">
        <f>IF($G7132&lt;&gt;"ALCOHOL","",IF($K7132="","",$H7132*IFERROR(VLOOKUP($K7132,Drink_Templates!$A:$G,7,FALSE),0)))</f>
        <v/>
      </c>
    </row>
    <row r="7133" ht="15" customHeight="1">
      <c r="C7133">
        <f>IF($B7133="","",INT($B7133))</f>
        <v/>
      </c>
      <c r="D7133">
        <f>IF($C7133="","",$C7133-WEEKDAY($C7133,2)+1)</f>
        <v/>
      </c>
      <c r="E7133">
        <f>IF($C7133="","",DATE(YEAR($C7133),MONTH($C7133),1))</f>
        <v/>
      </c>
      <c r="F7133">
        <f>IF($C7133="","",YEAR($C7133)&amp;"-Q"&amp;ROUNDUP(MONTH($C7133)/3,0))</f>
        <v/>
      </c>
      <c r="L7133">
        <f>IF($G7133&lt;&gt;"ALCOHOL","",IF($K7133="","",$H7133*IFERROR(VLOOKUP($K7133,Drink_Templates!$A:$G,7,FALSE),0)))</f>
        <v/>
      </c>
    </row>
    <row r="7134" ht="15" customHeight="1">
      <c r="C7134">
        <f>IF($B7134="","",INT($B7134))</f>
        <v/>
      </c>
      <c r="D7134">
        <f>IF($C7134="","",$C7134-WEEKDAY($C7134,2)+1)</f>
        <v/>
      </c>
      <c r="E7134">
        <f>IF($C7134="","",DATE(YEAR($C7134),MONTH($C7134),1))</f>
        <v/>
      </c>
      <c r="F7134">
        <f>IF($C7134="","",YEAR($C7134)&amp;"-Q"&amp;ROUNDUP(MONTH($C7134)/3,0))</f>
        <v/>
      </c>
      <c r="L7134">
        <f>IF($G7134&lt;&gt;"ALCOHOL","",IF($K7134="","",$H7134*IFERROR(VLOOKUP($K7134,Drink_Templates!$A:$G,7,FALSE),0)))</f>
        <v/>
      </c>
    </row>
    <row r="7135" ht="15" customHeight="1">
      <c r="C7135">
        <f>IF($B7135="","",INT($B7135))</f>
        <v/>
      </c>
      <c r="D7135">
        <f>IF($C7135="","",$C7135-WEEKDAY($C7135,2)+1)</f>
        <v/>
      </c>
      <c r="E7135">
        <f>IF($C7135="","",DATE(YEAR($C7135),MONTH($C7135),1))</f>
        <v/>
      </c>
      <c r="F7135">
        <f>IF($C7135="","",YEAR($C7135)&amp;"-Q"&amp;ROUNDUP(MONTH($C7135)/3,0))</f>
        <v/>
      </c>
      <c r="L7135">
        <f>IF($G7135&lt;&gt;"ALCOHOL","",IF($K7135="","",$H7135*IFERROR(VLOOKUP($K7135,Drink_Templates!$A:$G,7,FALSE),0)))</f>
        <v/>
      </c>
    </row>
    <row r="7136" ht="15" customHeight="1">
      <c r="C7136">
        <f>IF($B7136="","",INT($B7136))</f>
        <v/>
      </c>
      <c r="D7136">
        <f>IF($C7136="","",$C7136-WEEKDAY($C7136,2)+1)</f>
        <v/>
      </c>
      <c r="E7136">
        <f>IF($C7136="","",DATE(YEAR($C7136),MONTH($C7136),1))</f>
        <v/>
      </c>
      <c r="F7136">
        <f>IF($C7136="","",YEAR($C7136)&amp;"-Q"&amp;ROUNDUP(MONTH($C7136)/3,0))</f>
        <v/>
      </c>
      <c r="L7136">
        <f>IF($G7136&lt;&gt;"ALCOHOL","",IF($K7136="","",$H7136*IFERROR(VLOOKUP($K7136,Drink_Templates!$A:$G,7,FALSE),0)))</f>
        <v/>
      </c>
    </row>
    <row r="7137" ht="15" customHeight="1">
      <c r="C7137">
        <f>IF($B7137="","",INT($B7137))</f>
        <v/>
      </c>
      <c r="D7137">
        <f>IF($C7137="","",$C7137-WEEKDAY($C7137,2)+1)</f>
        <v/>
      </c>
      <c r="E7137">
        <f>IF($C7137="","",DATE(YEAR($C7137),MONTH($C7137),1))</f>
        <v/>
      </c>
      <c r="F7137">
        <f>IF($C7137="","",YEAR($C7137)&amp;"-Q"&amp;ROUNDUP(MONTH($C7137)/3,0))</f>
        <v/>
      </c>
      <c r="L7137">
        <f>IF($G7137&lt;&gt;"ALCOHOL","",IF($K7137="","",$H7137*IFERROR(VLOOKUP($K7137,Drink_Templates!$A:$G,7,FALSE),0)))</f>
        <v/>
      </c>
    </row>
    <row r="7138" ht="15" customHeight="1">
      <c r="C7138">
        <f>IF($B7138="","",INT($B7138))</f>
        <v/>
      </c>
      <c r="D7138">
        <f>IF($C7138="","",$C7138-WEEKDAY($C7138,2)+1)</f>
        <v/>
      </c>
      <c r="E7138">
        <f>IF($C7138="","",DATE(YEAR($C7138),MONTH($C7138),1))</f>
        <v/>
      </c>
      <c r="F7138">
        <f>IF($C7138="","",YEAR($C7138)&amp;"-Q"&amp;ROUNDUP(MONTH($C7138)/3,0))</f>
        <v/>
      </c>
      <c r="L7138">
        <f>IF($G7138&lt;&gt;"ALCOHOL","",IF($K7138="","",$H7138*IFERROR(VLOOKUP($K7138,Drink_Templates!$A:$G,7,FALSE),0)))</f>
        <v/>
      </c>
    </row>
    <row r="7139" ht="15" customHeight="1">
      <c r="C7139">
        <f>IF($B7139="","",INT($B7139))</f>
        <v/>
      </c>
      <c r="D7139">
        <f>IF($C7139="","",$C7139-WEEKDAY($C7139,2)+1)</f>
        <v/>
      </c>
      <c r="E7139">
        <f>IF($C7139="","",DATE(YEAR($C7139),MONTH($C7139),1))</f>
        <v/>
      </c>
      <c r="F7139">
        <f>IF($C7139="","",YEAR($C7139)&amp;"-Q"&amp;ROUNDUP(MONTH($C7139)/3,0))</f>
        <v/>
      </c>
      <c r="L7139">
        <f>IF($G7139&lt;&gt;"ALCOHOL","",IF($K7139="","",$H7139*IFERROR(VLOOKUP($K7139,Drink_Templates!$A:$G,7,FALSE),0)))</f>
        <v/>
      </c>
    </row>
    <row r="7140" ht="15" customHeight="1">
      <c r="C7140">
        <f>IF($B7140="","",INT($B7140))</f>
        <v/>
      </c>
      <c r="D7140">
        <f>IF($C7140="","",$C7140-WEEKDAY($C7140,2)+1)</f>
        <v/>
      </c>
      <c r="E7140">
        <f>IF($C7140="","",DATE(YEAR($C7140),MONTH($C7140),1))</f>
        <v/>
      </c>
      <c r="F7140">
        <f>IF($C7140="","",YEAR($C7140)&amp;"-Q"&amp;ROUNDUP(MONTH($C7140)/3,0))</f>
        <v/>
      </c>
      <c r="L7140">
        <f>IF($G7140&lt;&gt;"ALCOHOL","",IF($K7140="","",$H7140*IFERROR(VLOOKUP($K7140,Drink_Templates!$A:$G,7,FALSE),0)))</f>
        <v/>
      </c>
    </row>
    <row r="7141" ht="15" customHeight="1">
      <c r="C7141">
        <f>IF($B7141="","",INT($B7141))</f>
        <v/>
      </c>
      <c r="D7141">
        <f>IF($C7141="","",$C7141-WEEKDAY($C7141,2)+1)</f>
        <v/>
      </c>
      <c r="E7141">
        <f>IF($C7141="","",DATE(YEAR($C7141),MONTH($C7141),1))</f>
        <v/>
      </c>
      <c r="F7141">
        <f>IF($C7141="","",YEAR($C7141)&amp;"-Q"&amp;ROUNDUP(MONTH($C7141)/3,0))</f>
        <v/>
      </c>
      <c r="L7141">
        <f>IF($G7141&lt;&gt;"ALCOHOL","",IF($K7141="","",$H7141*IFERROR(VLOOKUP($K7141,Drink_Templates!$A:$G,7,FALSE),0)))</f>
        <v/>
      </c>
    </row>
    <row r="7142" ht="15" customHeight="1">
      <c r="C7142">
        <f>IF($B7142="","",INT($B7142))</f>
        <v/>
      </c>
      <c r="D7142">
        <f>IF($C7142="","",$C7142-WEEKDAY($C7142,2)+1)</f>
        <v/>
      </c>
      <c r="E7142">
        <f>IF($C7142="","",DATE(YEAR($C7142),MONTH($C7142),1))</f>
        <v/>
      </c>
      <c r="F7142">
        <f>IF($C7142="","",YEAR($C7142)&amp;"-Q"&amp;ROUNDUP(MONTH($C7142)/3,0))</f>
        <v/>
      </c>
      <c r="L7142">
        <f>IF($G7142&lt;&gt;"ALCOHOL","",IF($K7142="","",$H7142*IFERROR(VLOOKUP($K7142,Drink_Templates!$A:$G,7,FALSE),0)))</f>
        <v/>
      </c>
    </row>
    <row r="7143" ht="15" customHeight="1">
      <c r="C7143">
        <f>IF($B7143="","",INT($B7143))</f>
        <v/>
      </c>
      <c r="D7143">
        <f>IF($C7143="","",$C7143-WEEKDAY($C7143,2)+1)</f>
        <v/>
      </c>
      <c r="E7143">
        <f>IF($C7143="","",DATE(YEAR($C7143),MONTH($C7143),1))</f>
        <v/>
      </c>
      <c r="F7143">
        <f>IF($C7143="","",YEAR($C7143)&amp;"-Q"&amp;ROUNDUP(MONTH($C7143)/3,0))</f>
        <v/>
      </c>
      <c r="L7143">
        <f>IF($G7143&lt;&gt;"ALCOHOL","",IF($K7143="","",$H7143*IFERROR(VLOOKUP($K7143,Drink_Templates!$A:$G,7,FALSE),0)))</f>
        <v/>
      </c>
    </row>
    <row r="7144" ht="15" customHeight="1">
      <c r="C7144">
        <f>IF($B7144="","",INT($B7144))</f>
        <v/>
      </c>
      <c r="D7144">
        <f>IF($C7144="","",$C7144-WEEKDAY($C7144,2)+1)</f>
        <v/>
      </c>
      <c r="E7144">
        <f>IF($C7144="","",DATE(YEAR($C7144),MONTH($C7144),1))</f>
        <v/>
      </c>
      <c r="F7144">
        <f>IF($C7144="","",YEAR($C7144)&amp;"-Q"&amp;ROUNDUP(MONTH($C7144)/3,0))</f>
        <v/>
      </c>
      <c r="L7144">
        <f>IF($G7144&lt;&gt;"ALCOHOL","",IF($K7144="","",$H7144*IFERROR(VLOOKUP($K7144,Drink_Templates!$A:$G,7,FALSE),0)))</f>
        <v/>
      </c>
    </row>
    <row r="7145" ht="15" customHeight="1">
      <c r="C7145">
        <f>IF($B7145="","",INT($B7145))</f>
        <v/>
      </c>
      <c r="D7145">
        <f>IF($C7145="","",$C7145-WEEKDAY($C7145,2)+1)</f>
        <v/>
      </c>
      <c r="E7145">
        <f>IF($C7145="","",DATE(YEAR($C7145),MONTH($C7145),1))</f>
        <v/>
      </c>
      <c r="F7145">
        <f>IF($C7145="","",YEAR($C7145)&amp;"-Q"&amp;ROUNDUP(MONTH($C7145)/3,0))</f>
        <v/>
      </c>
      <c r="L7145">
        <f>IF($G7145&lt;&gt;"ALCOHOL","",IF($K7145="","",$H7145*IFERROR(VLOOKUP($K7145,Drink_Templates!$A:$G,7,FALSE),0)))</f>
        <v/>
      </c>
    </row>
    <row r="7146" ht="15" customHeight="1">
      <c r="C7146">
        <f>IF($B7146="","",INT($B7146))</f>
        <v/>
      </c>
      <c r="D7146">
        <f>IF($C7146="","",$C7146-WEEKDAY($C7146,2)+1)</f>
        <v/>
      </c>
      <c r="E7146">
        <f>IF($C7146="","",DATE(YEAR($C7146),MONTH($C7146),1))</f>
        <v/>
      </c>
      <c r="F7146">
        <f>IF($C7146="","",YEAR($C7146)&amp;"-Q"&amp;ROUNDUP(MONTH($C7146)/3,0))</f>
        <v/>
      </c>
      <c r="L7146">
        <f>IF($G7146&lt;&gt;"ALCOHOL","",IF($K7146="","",$H7146*IFERROR(VLOOKUP($K7146,Drink_Templates!$A:$G,7,FALSE),0)))</f>
        <v/>
      </c>
    </row>
    <row r="7147" ht="15" customHeight="1">
      <c r="C7147">
        <f>IF($B7147="","",INT($B7147))</f>
        <v/>
      </c>
      <c r="D7147">
        <f>IF($C7147="","",$C7147-WEEKDAY($C7147,2)+1)</f>
        <v/>
      </c>
      <c r="E7147">
        <f>IF($C7147="","",DATE(YEAR($C7147),MONTH($C7147),1))</f>
        <v/>
      </c>
      <c r="F7147">
        <f>IF($C7147="","",YEAR($C7147)&amp;"-Q"&amp;ROUNDUP(MONTH($C7147)/3,0))</f>
        <v/>
      </c>
      <c r="L7147">
        <f>IF($G7147&lt;&gt;"ALCOHOL","",IF($K7147="","",$H7147*IFERROR(VLOOKUP($K7147,Drink_Templates!$A:$G,7,FALSE),0)))</f>
        <v/>
      </c>
    </row>
    <row r="7148" ht="15" customHeight="1">
      <c r="C7148">
        <f>IF($B7148="","",INT($B7148))</f>
        <v/>
      </c>
      <c r="D7148">
        <f>IF($C7148="","",$C7148-WEEKDAY($C7148,2)+1)</f>
        <v/>
      </c>
      <c r="E7148">
        <f>IF($C7148="","",DATE(YEAR($C7148),MONTH($C7148),1))</f>
        <v/>
      </c>
      <c r="F7148">
        <f>IF($C7148="","",YEAR($C7148)&amp;"-Q"&amp;ROUNDUP(MONTH($C7148)/3,0))</f>
        <v/>
      </c>
      <c r="L7148">
        <f>IF($G7148&lt;&gt;"ALCOHOL","",IF($K7148="","",$H7148*IFERROR(VLOOKUP($K7148,Drink_Templates!$A:$G,7,FALSE),0)))</f>
        <v/>
      </c>
    </row>
    <row r="7149" ht="15" customHeight="1">
      <c r="C7149">
        <f>IF($B7149="","",INT($B7149))</f>
        <v/>
      </c>
      <c r="D7149">
        <f>IF($C7149="","",$C7149-WEEKDAY($C7149,2)+1)</f>
        <v/>
      </c>
      <c r="E7149">
        <f>IF($C7149="","",DATE(YEAR($C7149),MONTH($C7149),1))</f>
        <v/>
      </c>
      <c r="F7149">
        <f>IF($C7149="","",YEAR($C7149)&amp;"-Q"&amp;ROUNDUP(MONTH($C7149)/3,0))</f>
        <v/>
      </c>
      <c r="L7149">
        <f>IF($G7149&lt;&gt;"ALCOHOL","",IF($K7149="","",$H7149*IFERROR(VLOOKUP($K7149,Drink_Templates!$A:$G,7,FALSE),0)))</f>
        <v/>
      </c>
    </row>
    <row r="7150" ht="15" customHeight="1">
      <c r="C7150">
        <f>IF($B7150="","",INT($B7150))</f>
        <v/>
      </c>
      <c r="D7150">
        <f>IF($C7150="","",$C7150-WEEKDAY($C7150,2)+1)</f>
        <v/>
      </c>
      <c r="E7150">
        <f>IF($C7150="","",DATE(YEAR($C7150),MONTH($C7150),1))</f>
        <v/>
      </c>
      <c r="F7150">
        <f>IF($C7150="","",YEAR($C7150)&amp;"-Q"&amp;ROUNDUP(MONTH($C7150)/3,0))</f>
        <v/>
      </c>
      <c r="L7150">
        <f>IF($G7150&lt;&gt;"ALCOHOL","",IF($K7150="","",$H7150*IFERROR(VLOOKUP($K7150,Drink_Templates!$A:$G,7,FALSE),0)))</f>
        <v/>
      </c>
    </row>
    <row r="7151" ht="15" customHeight="1">
      <c r="C7151">
        <f>IF($B7151="","",INT($B7151))</f>
        <v/>
      </c>
      <c r="D7151">
        <f>IF($C7151="","",$C7151-WEEKDAY($C7151,2)+1)</f>
        <v/>
      </c>
      <c r="E7151">
        <f>IF($C7151="","",DATE(YEAR($C7151),MONTH($C7151),1))</f>
        <v/>
      </c>
      <c r="F7151">
        <f>IF($C7151="","",YEAR($C7151)&amp;"-Q"&amp;ROUNDUP(MONTH($C7151)/3,0))</f>
        <v/>
      </c>
      <c r="L7151">
        <f>IF($G7151&lt;&gt;"ALCOHOL","",IF($K7151="","",$H7151*IFERROR(VLOOKUP($K7151,Drink_Templates!$A:$G,7,FALSE),0)))</f>
        <v/>
      </c>
    </row>
    <row r="7152" ht="15" customHeight="1">
      <c r="C7152">
        <f>IF($B7152="","",INT($B7152))</f>
        <v/>
      </c>
      <c r="D7152">
        <f>IF($C7152="","",$C7152-WEEKDAY($C7152,2)+1)</f>
        <v/>
      </c>
      <c r="E7152">
        <f>IF($C7152="","",DATE(YEAR($C7152),MONTH($C7152),1))</f>
        <v/>
      </c>
      <c r="F7152">
        <f>IF($C7152="","",YEAR($C7152)&amp;"-Q"&amp;ROUNDUP(MONTH($C7152)/3,0))</f>
        <v/>
      </c>
      <c r="L7152">
        <f>IF($G7152&lt;&gt;"ALCOHOL","",IF($K7152="","",$H7152*IFERROR(VLOOKUP($K7152,Drink_Templates!$A:$G,7,FALSE),0)))</f>
        <v/>
      </c>
    </row>
    <row r="7153" ht="15" customHeight="1">
      <c r="C7153">
        <f>IF($B7153="","",INT($B7153))</f>
        <v/>
      </c>
      <c r="D7153">
        <f>IF($C7153="","",$C7153-WEEKDAY($C7153,2)+1)</f>
        <v/>
      </c>
      <c r="E7153">
        <f>IF($C7153="","",DATE(YEAR($C7153),MONTH($C7153),1))</f>
        <v/>
      </c>
      <c r="F7153">
        <f>IF($C7153="","",YEAR($C7153)&amp;"-Q"&amp;ROUNDUP(MONTH($C7153)/3,0))</f>
        <v/>
      </c>
      <c r="L7153">
        <f>IF($G7153&lt;&gt;"ALCOHOL","",IF($K7153="","",$H7153*IFERROR(VLOOKUP($K7153,Drink_Templates!$A:$G,7,FALSE),0)))</f>
        <v/>
      </c>
    </row>
    <row r="7154" ht="15" customHeight="1">
      <c r="C7154">
        <f>IF($B7154="","",INT($B7154))</f>
        <v/>
      </c>
      <c r="D7154">
        <f>IF($C7154="","",$C7154-WEEKDAY($C7154,2)+1)</f>
        <v/>
      </c>
      <c r="E7154">
        <f>IF($C7154="","",DATE(YEAR($C7154),MONTH($C7154),1))</f>
        <v/>
      </c>
      <c r="F7154">
        <f>IF($C7154="","",YEAR($C7154)&amp;"-Q"&amp;ROUNDUP(MONTH($C7154)/3,0))</f>
        <v/>
      </c>
      <c r="L7154">
        <f>IF($G7154&lt;&gt;"ALCOHOL","",IF($K7154="","",$H7154*IFERROR(VLOOKUP($K7154,Drink_Templates!$A:$G,7,FALSE),0)))</f>
        <v/>
      </c>
    </row>
    <row r="7155" ht="15" customHeight="1">
      <c r="C7155">
        <f>IF($B7155="","",INT($B7155))</f>
        <v/>
      </c>
      <c r="D7155">
        <f>IF($C7155="","",$C7155-WEEKDAY($C7155,2)+1)</f>
        <v/>
      </c>
      <c r="E7155">
        <f>IF($C7155="","",DATE(YEAR($C7155),MONTH($C7155),1))</f>
        <v/>
      </c>
      <c r="F7155">
        <f>IF($C7155="","",YEAR($C7155)&amp;"-Q"&amp;ROUNDUP(MONTH($C7155)/3,0))</f>
        <v/>
      </c>
      <c r="L7155">
        <f>IF($G7155&lt;&gt;"ALCOHOL","",IF($K7155="","",$H7155*IFERROR(VLOOKUP($K7155,Drink_Templates!$A:$G,7,FALSE),0)))</f>
        <v/>
      </c>
    </row>
    <row r="7156" ht="15" customHeight="1">
      <c r="C7156">
        <f>IF($B7156="","",INT($B7156))</f>
        <v/>
      </c>
      <c r="D7156">
        <f>IF($C7156="","",$C7156-WEEKDAY($C7156,2)+1)</f>
        <v/>
      </c>
      <c r="E7156">
        <f>IF($C7156="","",DATE(YEAR($C7156),MONTH($C7156),1))</f>
        <v/>
      </c>
      <c r="F7156">
        <f>IF($C7156="","",YEAR($C7156)&amp;"-Q"&amp;ROUNDUP(MONTH($C7156)/3,0))</f>
        <v/>
      </c>
      <c r="L7156">
        <f>IF($G7156&lt;&gt;"ALCOHOL","",IF($K7156="","",$H7156*IFERROR(VLOOKUP($K7156,Drink_Templates!$A:$G,7,FALSE),0)))</f>
        <v/>
      </c>
    </row>
    <row r="7157" ht="15" customHeight="1">
      <c r="C7157">
        <f>IF($B7157="","",INT($B7157))</f>
        <v/>
      </c>
      <c r="D7157">
        <f>IF($C7157="","",$C7157-WEEKDAY($C7157,2)+1)</f>
        <v/>
      </c>
      <c r="E7157">
        <f>IF($C7157="","",DATE(YEAR($C7157),MONTH($C7157),1))</f>
        <v/>
      </c>
      <c r="F7157">
        <f>IF($C7157="","",YEAR($C7157)&amp;"-Q"&amp;ROUNDUP(MONTH($C7157)/3,0))</f>
        <v/>
      </c>
      <c r="L7157">
        <f>IF($G7157&lt;&gt;"ALCOHOL","",IF($K7157="","",$H7157*IFERROR(VLOOKUP($K7157,Drink_Templates!$A:$G,7,FALSE),0)))</f>
        <v/>
      </c>
    </row>
    <row r="7158" ht="15" customHeight="1">
      <c r="C7158">
        <f>IF($B7158="","",INT($B7158))</f>
        <v/>
      </c>
      <c r="D7158">
        <f>IF($C7158="","",$C7158-WEEKDAY($C7158,2)+1)</f>
        <v/>
      </c>
      <c r="E7158">
        <f>IF($C7158="","",DATE(YEAR($C7158),MONTH($C7158),1))</f>
        <v/>
      </c>
      <c r="F7158">
        <f>IF($C7158="","",YEAR($C7158)&amp;"-Q"&amp;ROUNDUP(MONTH($C7158)/3,0))</f>
        <v/>
      </c>
      <c r="L7158">
        <f>IF($G7158&lt;&gt;"ALCOHOL","",IF($K7158="","",$H7158*IFERROR(VLOOKUP($K7158,Drink_Templates!$A:$G,7,FALSE),0)))</f>
        <v/>
      </c>
    </row>
    <row r="7159" ht="15" customHeight="1">
      <c r="C7159">
        <f>IF($B7159="","",INT($B7159))</f>
        <v/>
      </c>
      <c r="D7159">
        <f>IF($C7159="","",$C7159-WEEKDAY($C7159,2)+1)</f>
        <v/>
      </c>
      <c r="E7159">
        <f>IF($C7159="","",DATE(YEAR($C7159),MONTH($C7159),1))</f>
        <v/>
      </c>
      <c r="F7159">
        <f>IF($C7159="","",YEAR($C7159)&amp;"-Q"&amp;ROUNDUP(MONTH($C7159)/3,0))</f>
        <v/>
      </c>
      <c r="L7159">
        <f>IF($G7159&lt;&gt;"ALCOHOL","",IF($K7159="","",$H7159*IFERROR(VLOOKUP($K7159,Drink_Templates!$A:$G,7,FALSE),0)))</f>
        <v/>
      </c>
    </row>
    <row r="7160" ht="15" customHeight="1">
      <c r="C7160">
        <f>IF($B7160="","",INT($B7160))</f>
        <v/>
      </c>
      <c r="D7160">
        <f>IF($C7160="","",$C7160-WEEKDAY($C7160,2)+1)</f>
        <v/>
      </c>
      <c r="E7160">
        <f>IF($C7160="","",DATE(YEAR($C7160),MONTH($C7160),1))</f>
        <v/>
      </c>
      <c r="F7160">
        <f>IF($C7160="","",YEAR($C7160)&amp;"-Q"&amp;ROUNDUP(MONTH($C7160)/3,0))</f>
        <v/>
      </c>
      <c r="L7160">
        <f>IF($G7160&lt;&gt;"ALCOHOL","",IF($K7160="","",$H7160*IFERROR(VLOOKUP($K7160,Drink_Templates!$A:$G,7,FALSE),0)))</f>
        <v/>
      </c>
    </row>
    <row r="7161" ht="15" customHeight="1">
      <c r="C7161">
        <f>IF($B7161="","",INT($B7161))</f>
        <v/>
      </c>
      <c r="D7161">
        <f>IF($C7161="","",$C7161-WEEKDAY($C7161,2)+1)</f>
        <v/>
      </c>
      <c r="E7161">
        <f>IF($C7161="","",DATE(YEAR($C7161),MONTH($C7161),1))</f>
        <v/>
      </c>
      <c r="F7161">
        <f>IF($C7161="","",YEAR($C7161)&amp;"-Q"&amp;ROUNDUP(MONTH($C7161)/3,0))</f>
        <v/>
      </c>
      <c r="L7161">
        <f>IF($G7161&lt;&gt;"ALCOHOL","",IF($K7161="","",$H7161*IFERROR(VLOOKUP($K7161,Drink_Templates!$A:$G,7,FALSE),0)))</f>
        <v/>
      </c>
    </row>
    <row r="7162" ht="15" customHeight="1">
      <c r="C7162">
        <f>IF($B7162="","",INT($B7162))</f>
        <v/>
      </c>
      <c r="D7162">
        <f>IF($C7162="","",$C7162-WEEKDAY($C7162,2)+1)</f>
        <v/>
      </c>
      <c r="E7162">
        <f>IF($C7162="","",DATE(YEAR($C7162),MONTH($C7162),1))</f>
        <v/>
      </c>
      <c r="F7162">
        <f>IF($C7162="","",YEAR($C7162)&amp;"-Q"&amp;ROUNDUP(MONTH($C7162)/3,0))</f>
        <v/>
      </c>
      <c r="L7162">
        <f>IF($G7162&lt;&gt;"ALCOHOL","",IF($K7162="","",$H7162*IFERROR(VLOOKUP($K7162,Drink_Templates!$A:$G,7,FALSE),0)))</f>
        <v/>
      </c>
    </row>
    <row r="7163" ht="15" customHeight="1">
      <c r="C7163">
        <f>IF($B7163="","",INT($B7163))</f>
        <v/>
      </c>
      <c r="D7163">
        <f>IF($C7163="","",$C7163-WEEKDAY($C7163,2)+1)</f>
        <v/>
      </c>
      <c r="E7163">
        <f>IF($C7163="","",DATE(YEAR($C7163),MONTH($C7163),1))</f>
        <v/>
      </c>
      <c r="F7163">
        <f>IF($C7163="","",YEAR($C7163)&amp;"-Q"&amp;ROUNDUP(MONTH($C7163)/3,0))</f>
        <v/>
      </c>
      <c r="L7163">
        <f>IF($G7163&lt;&gt;"ALCOHOL","",IF($K7163="","",$H7163*IFERROR(VLOOKUP($K7163,Drink_Templates!$A:$G,7,FALSE),0)))</f>
        <v/>
      </c>
    </row>
    <row r="7164" ht="15" customHeight="1">
      <c r="C7164">
        <f>IF($B7164="","",INT($B7164))</f>
        <v/>
      </c>
      <c r="D7164">
        <f>IF($C7164="","",$C7164-WEEKDAY($C7164,2)+1)</f>
        <v/>
      </c>
      <c r="E7164">
        <f>IF($C7164="","",DATE(YEAR($C7164),MONTH($C7164),1))</f>
        <v/>
      </c>
      <c r="F7164">
        <f>IF($C7164="","",YEAR($C7164)&amp;"-Q"&amp;ROUNDUP(MONTH($C7164)/3,0))</f>
        <v/>
      </c>
      <c r="L7164">
        <f>IF($G7164&lt;&gt;"ALCOHOL","",IF($K7164="","",$H7164*IFERROR(VLOOKUP($K7164,Drink_Templates!$A:$G,7,FALSE),0)))</f>
        <v/>
      </c>
    </row>
    <row r="7165" ht="15" customHeight="1">
      <c r="C7165">
        <f>IF($B7165="","",INT($B7165))</f>
        <v/>
      </c>
      <c r="D7165">
        <f>IF($C7165="","",$C7165-WEEKDAY($C7165,2)+1)</f>
        <v/>
      </c>
      <c r="E7165">
        <f>IF($C7165="","",DATE(YEAR($C7165),MONTH($C7165),1))</f>
        <v/>
      </c>
      <c r="F7165">
        <f>IF($C7165="","",YEAR($C7165)&amp;"-Q"&amp;ROUNDUP(MONTH($C7165)/3,0))</f>
        <v/>
      </c>
      <c r="L7165">
        <f>IF($G7165&lt;&gt;"ALCOHOL","",IF($K7165="","",$H7165*IFERROR(VLOOKUP($K7165,Drink_Templates!$A:$G,7,FALSE),0)))</f>
        <v/>
      </c>
    </row>
    <row r="7166" ht="15" customHeight="1">
      <c r="C7166">
        <f>IF($B7166="","",INT($B7166))</f>
        <v/>
      </c>
      <c r="D7166">
        <f>IF($C7166="","",$C7166-WEEKDAY($C7166,2)+1)</f>
        <v/>
      </c>
      <c r="E7166">
        <f>IF($C7166="","",DATE(YEAR($C7166),MONTH($C7166),1))</f>
        <v/>
      </c>
      <c r="F7166">
        <f>IF($C7166="","",YEAR($C7166)&amp;"-Q"&amp;ROUNDUP(MONTH($C7166)/3,0))</f>
        <v/>
      </c>
      <c r="L7166">
        <f>IF($G7166&lt;&gt;"ALCOHOL","",IF($K7166="","",$H7166*IFERROR(VLOOKUP($K7166,Drink_Templates!$A:$G,7,FALSE),0)))</f>
        <v/>
      </c>
    </row>
    <row r="7167" ht="15" customHeight="1">
      <c r="C7167">
        <f>IF($B7167="","",INT($B7167))</f>
        <v/>
      </c>
      <c r="D7167">
        <f>IF($C7167="","",$C7167-WEEKDAY($C7167,2)+1)</f>
        <v/>
      </c>
      <c r="E7167">
        <f>IF($C7167="","",DATE(YEAR($C7167),MONTH($C7167),1))</f>
        <v/>
      </c>
      <c r="F7167">
        <f>IF($C7167="","",YEAR($C7167)&amp;"-Q"&amp;ROUNDUP(MONTH($C7167)/3,0))</f>
        <v/>
      </c>
      <c r="L7167">
        <f>IF($G7167&lt;&gt;"ALCOHOL","",IF($K7167="","",$H7167*IFERROR(VLOOKUP($K7167,Drink_Templates!$A:$G,7,FALSE),0)))</f>
        <v/>
      </c>
    </row>
    <row r="7168" ht="15" customHeight="1">
      <c r="C7168">
        <f>IF($B7168="","",INT($B7168))</f>
        <v/>
      </c>
      <c r="D7168">
        <f>IF($C7168="","",$C7168-WEEKDAY($C7168,2)+1)</f>
        <v/>
      </c>
      <c r="E7168">
        <f>IF($C7168="","",DATE(YEAR($C7168),MONTH($C7168),1))</f>
        <v/>
      </c>
      <c r="F7168">
        <f>IF($C7168="","",YEAR($C7168)&amp;"-Q"&amp;ROUNDUP(MONTH($C7168)/3,0))</f>
        <v/>
      </c>
      <c r="L7168">
        <f>IF($G7168&lt;&gt;"ALCOHOL","",IF($K7168="","",$H7168*IFERROR(VLOOKUP($K7168,Drink_Templates!$A:$G,7,FALSE),0)))</f>
        <v/>
      </c>
    </row>
    <row r="7169" ht="15" customHeight="1">
      <c r="C7169">
        <f>IF($B7169="","",INT($B7169))</f>
        <v/>
      </c>
      <c r="D7169">
        <f>IF($C7169="","",$C7169-WEEKDAY($C7169,2)+1)</f>
        <v/>
      </c>
      <c r="E7169">
        <f>IF($C7169="","",DATE(YEAR($C7169),MONTH($C7169),1))</f>
        <v/>
      </c>
      <c r="F7169">
        <f>IF($C7169="","",YEAR($C7169)&amp;"-Q"&amp;ROUNDUP(MONTH($C7169)/3,0))</f>
        <v/>
      </c>
      <c r="L7169">
        <f>IF($G7169&lt;&gt;"ALCOHOL","",IF($K7169="","",$H7169*IFERROR(VLOOKUP($K7169,Drink_Templates!$A:$G,7,FALSE),0)))</f>
        <v/>
      </c>
    </row>
    <row r="7170" ht="15" customHeight="1">
      <c r="C7170">
        <f>IF($B7170="","",INT($B7170))</f>
        <v/>
      </c>
      <c r="D7170">
        <f>IF($C7170="","",$C7170-WEEKDAY($C7170,2)+1)</f>
        <v/>
      </c>
      <c r="E7170">
        <f>IF($C7170="","",DATE(YEAR($C7170),MONTH($C7170),1))</f>
        <v/>
      </c>
      <c r="F7170">
        <f>IF($C7170="","",YEAR($C7170)&amp;"-Q"&amp;ROUNDUP(MONTH($C7170)/3,0))</f>
        <v/>
      </c>
      <c r="L7170">
        <f>IF($G7170&lt;&gt;"ALCOHOL","",IF($K7170="","",$H7170*IFERROR(VLOOKUP($K7170,Drink_Templates!$A:$G,7,FALSE),0)))</f>
        <v/>
      </c>
    </row>
    <row r="7171" ht="15" customHeight="1">
      <c r="C7171">
        <f>IF($B7171="","",INT($B7171))</f>
        <v/>
      </c>
      <c r="D7171">
        <f>IF($C7171="","",$C7171-WEEKDAY($C7171,2)+1)</f>
        <v/>
      </c>
      <c r="E7171">
        <f>IF($C7171="","",DATE(YEAR($C7171),MONTH($C7171),1))</f>
        <v/>
      </c>
      <c r="F7171">
        <f>IF($C7171="","",YEAR($C7171)&amp;"-Q"&amp;ROUNDUP(MONTH($C7171)/3,0))</f>
        <v/>
      </c>
      <c r="L7171">
        <f>IF($G7171&lt;&gt;"ALCOHOL","",IF($K7171="","",$H7171*IFERROR(VLOOKUP($K7171,Drink_Templates!$A:$G,7,FALSE),0)))</f>
        <v/>
      </c>
    </row>
    <row r="7172" ht="15" customHeight="1">
      <c r="C7172">
        <f>IF($B7172="","",INT($B7172))</f>
        <v/>
      </c>
      <c r="D7172">
        <f>IF($C7172="","",$C7172-WEEKDAY($C7172,2)+1)</f>
        <v/>
      </c>
      <c r="E7172">
        <f>IF($C7172="","",DATE(YEAR($C7172),MONTH($C7172),1))</f>
        <v/>
      </c>
      <c r="F7172">
        <f>IF($C7172="","",YEAR($C7172)&amp;"-Q"&amp;ROUNDUP(MONTH($C7172)/3,0))</f>
        <v/>
      </c>
      <c r="L7172">
        <f>IF($G7172&lt;&gt;"ALCOHOL","",IF($K7172="","",$H7172*IFERROR(VLOOKUP($K7172,Drink_Templates!$A:$G,7,FALSE),0)))</f>
        <v/>
      </c>
    </row>
    <row r="7173" ht="15" customHeight="1">
      <c r="C7173">
        <f>IF($B7173="","",INT($B7173))</f>
        <v/>
      </c>
      <c r="D7173">
        <f>IF($C7173="","",$C7173-WEEKDAY($C7173,2)+1)</f>
        <v/>
      </c>
      <c r="E7173">
        <f>IF($C7173="","",DATE(YEAR($C7173),MONTH($C7173),1))</f>
        <v/>
      </c>
      <c r="F7173">
        <f>IF($C7173="","",YEAR($C7173)&amp;"-Q"&amp;ROUNDUP(MONTH($C7173)/3,0))</f>
        <v/>
      </c>
      <c r="L7173">
        <f>IF($G7173&lt;&gt;"ALCOHOL","",IF($K7173="","",$H7173*IFERROR(VLOOKUP($K7173,Drink_Templates!$A:$G,7,FALSE),0)))</f>
        <v/>
      </c>
    </row>
    <row r="7174" ht="15" customHeight="1">
      <c r="C7174">
        <f>IF($B7174="","",INT($B7174))</f>
        <v/>
      </c>
      <c r="D7174">
        <f>IF($C7174="","",$C7174-WEEKDAY($C7174,2)+1)</f>
        <v/>
      </c>
      <c r="E7174">
        <f>IF($C7174="","",DATE(YEAR($C7174),MONTH($C7174),1))</f>
        <v/>
      </c>
      <c r="F7174">
        <f>IF($C7174="","",YEAR($C7174)&amp;"-Q"&amp;ROUNDUP(MONTH($C7174)/3,0))</f>
        <v/>
      </c>
      <c r="L7174">
        <f>IF($G7174&lt;&gt;"ALCOHOL","",IF($K7174="","",$H7174*IFERROR(VLOOKUP($K7174,Drink_Templates!$A:$G,7,FALSE),0)))</f>
        <v/>
      </c>
    </row>
    <row r="7175" ht="15" customHeight="1">
      <c r="C7175">
        <f>IF($B7175="","",INT($B7175))</f>
        <v/>
      </c>
      <c r="D7175">
        <f>IF($C7175="","",$C7175-WEEKDAY($C7175,2)+1)</f>
        <v/>
      </c>
      <c r="E7175">
        <f>IF($C7175="","",DATE(YEAR($C7175),MONTH($C7175),1))</f>
        <v/>
      </c>
      <c r="F7175">
        <f>IF($C7175="","",YEAR($C7175)&amp;"-Q"&amp;ROUNDUP(MONTH($C7175)/3,0))</f>
        <v/>
      </c>
      <c r="L7175">
        <f>IF($G7175&lt;&gt;"ALCOHOL","",IF($K7175="","",$H7175*IFERROR(VLOOKUP($K7175,Drink_Templates!$A:$G,7,FALSE),0)))</f>
        <v/>
      </c>
    </row>
    <row r="7176" ht="15" customHeight="1">
      <c r="C7176">
        <f>IF($B7176="","",INT($B7176))</f>
        <v/>
      </c>
      <c r="D7176">
        <f>IF($C7176="","",$C7176-WEEKDAY($C7176,2)+1)</f>
        <v/>
      </c>
      <c r="E7176">
        <f>IF($C7176="","",DATE(YEAR($C7176),MONTH($C7176),1))</f>
        <v/>
      </c>
      <c r="F7176">
        <f>IF($C7176="","",YEAR($C7176)&amp;"-Q"&amp;ROUNDUP(MONTH($C7176)/3,0))</f>
        <v/>
      </c>
      <c r="L7176">
        <f>IF($G7176&lt;&gt;"ALCOHOL","",IF($K7176="","",$H7176*IFERROR(VLOOKUP($K7176,Drink_Templates!$A:$G,7,FALSE),0)))</f>
        <v/>
      </c>
    </row>
    <row r="7177" ht="15" customHeight="1">
      <c r="C7177">
        <f>IF($B7177="","",INT($B7177))</f>
        <v/>
      </c>
      <c r="D7177">
        <f>IF($C7177="","",$C7177-WEEKDAY($C7177,2)+1)</f>
        <v/>
      </c>
      <c r="E7177">
        <f>IF($C7177="","",DATE(YEAR($C7177),MONTH($C7177),1))</f>
        <v/>
      </c>
      <c r="F7177">
        <f>IF($C7177="","",YEAR($C7177)&amp;"-Q"&amp;ROUNDUP(MONTH($C7177)/3,0))</f>
        <v/>
      </c>
      <c r="L7177">
        <f>IF($G7177&lt;&gt;"ALCOHOL","",IF($K7177="","",$H7177*IFERROR(VLOOKUP($K7177,Drink_Templates!$A:$G,7,FALSE),0)))</f>
        <v/>
      </c>
    </row>
    <row r="7178" ht="15" customHeight="1">
      <c r="C7178">
        <f>IF($B7178="","",INT($B7178))</f>
        <v/>
      </c>
      <c r="D7178">
        <f>IF($C7178="","",$C7178-WEEKDAY($C7178,2)+1)</f>
        <v/>
      </c>
      <c r="E7178">
        <f>IF($C7178="","",DATE(YEAR($C7178),MONTH($C7178),1))</f>
        <v/>
      </c>
      <c r="F7178">
        <f>IF($C7178="","",YEAR($C7178)&amp;"-Q"&amp;ROUNDUP(MONTH($C7178)/3,0))</f>
        <v/>
      </c>
      <c r="L7178">
        <f>IF($G7178&lt;&gt;"ALCOHOL","",IF($K7178="","",$H7178*IFERROR(VLOOKUP($K7178,Drink_Templates!$A:$G,7,FALSE),0)))</f>
        <v/>
      </c>
    </row>
    <row r="7179" ht="15" customHeight="1">
      <c r="C7179">
        <f>IF($B7179="","",INT($B7179))</f>
        <v/>
      </c>
      <c r="D7179">
        <f>IF($C7179="","",$C7179-WEEKDAY($C7179,2)+1)</f>
        <v/>
      </c>
      <c r="E7179">
        <f>IF($C7179="","",DATE(YEAR($C7179),MONTH($C7179),1))</f>
        <v/>
      </c>
      <c r="F7179">
        <f>IF($C7179="","",YEAR($C7179)&amp;"-Q"&amp;ROUNDUP(MONTH($C7179)/3,0))</f>
        <v/>
      </c>
      <c r="L7179">
        <f>IF($G7179&lt;&gt;"ALCOHOL","",IF($K7179="","",$H7179*IFERROR(VLOOKUP($K7179,Drink_Templates!$A:$G,7,FALSE),0)))</f>
        <v/>
      </c>
    </row>
    <row r="7180" ht="15" customHeight="1">
      <c r="C7180">
        <f>IF($B7180="","",INT($B7180))</f>
        <v/>
      </c>
      <c r="D7180">
        <f>IF($C7180="","",$C7180-WEEKDAY($C7180,2)+1)</f>
        <v/>
      </c>
      <c r="E7180">
        <f>IF($C7180="","",DATE(YEAR($C7180),MONTH($C7180),1))</f>
        <v/>
      </c>
      <c r="F7180">
        <f>IF($C7180="","",YEAR($C7180)&amp;"-Q"&amp;ROUNDUP(MONTH($C7180)/3,0))</f>
        <v/>
      </c>
      <c r="L7180">
        <f>IF($G7180&lt;&gt;"ALCOHOL","",IF($K7180="","",$H7180*IFERROR(VLOOKUP($K7180,Drink_Templates!$A:$G,7,FALSE),0)))</f>
        <v/>
      </c>
    </row>
    <row r="7181" ht="15" customHeight="1">
      <c r="C7181">
        <f>IF($B7181="","",INT($B7181))</f>
        <v/>
      </c>
      <c r="D7181">
        <f>IF($C7181="","",$C7181-WEEKDAY($C7181,2)+1)</f>
        <v/>
      </c>
      <c r="E7181">
        <f>IF($C7181="","",DATE(YEAR($C7181),MONTH($C7181),1))</f>
        <v/>
      </c>
      <c r="F7181">
        <f>IF($C7181="","",YEAR($C7181)&amp;"-Q"&amp;ROUNDUP(MONTH($C7181)/3,0))</f>
        <v/>
      </c>
      <c r="L7181">
        <f>IF($G7181&lt;&gt;"ALCOHOL","",IF($K7181="","",$H7181*IFERROR(VLOOKUP($K7181,Drink_Templates!$A:$G,7,FALSE),0)))</f>
        <v/>
      </c>
    </row>
    <row r="7182" ht="15" customHeight="1">
      <c r="C7182">
        <f>IF($B7182="","",INT($B7182))</f>
        <v/>
      </c>
      <c r="D7182">
        <f>IF($C7182="","",$C7182-WEEKDAY($C7182,2)+1)</f>
        <v/>
      </c>
      <c r="E7182">
        <f>IF($C7182="","",DATE(YEAR($C7182),MONTH($C7182),1))</f>
        <v/>
      </c>
      <c r="F7182">
        <f>IF($C7182="","",YEAR($C7182)&amp;"-Q"&amp;ROUNDUP(MONTH($C7182)/3,0))</f>
        <v/>
      </c>
      <c r="L7182">
        <f>IF($G7182&lt;&gt;"ALCOHOL","",IF($K7182="","",$H7182*IFERROR(VLOOKUP($K7182,Drink_Templates!$A:$G,7,FALSE),0)))</f>
        <v/>
      </c>
    </row>
    <row r="7183" ht="15" customHeight="1">
      <c r="C7183">
        <f>IF($B7183="","",INT($B7183))</f>
        <v/>
      </c>
      <c r="D7183">
        <f>IF($C7183="","",$C7183-WEEKDAY($C7183,2)+1)</f>
        <v/>
      </c>
      <c r="E7183">
        <f>IF($C7183="","",DATE(YEAR($C7183),MONTH($C7183),1))</f>
        <v/>
      </c>
      <c r="F7183">
        <f>IF($C7183="","",YEAR($C7183)&amp;"-Q"&amp;ROUNDUP(MONTH($C7183)/3,0))</f>
        <v/>
      </c>
      <c r="L7183">
        <f>IF($G7183&lt;&gt;"ALCOHOL","",IF($K7183="","",$H7183*IFERROR(VLOOKUP($K7183,Drink_Templates!$A:$G,7,FALSE),0)))</f>
        <v/>
      </c>
    </row>
    <row r="7184" ht="15" customHeight="1">
      <c r="C7184">
        <f>IF($B7184="","",INT($B7184))</f>
        <v/>
      </c>
      <c r="D7184">
        <f>IF($C7184="","",$C7184-WEEKDAY($C7184,2)+1)</f>
        <v/>
      </c>
      <c r="E7184">
        <f>IF($C7184="","",DATE(YEAR($C7184),MONTH($C7184),1))</f>
        <v/>
      </c>
      <c r="F7184">
        <f>IF($C7184="","",YEAR($C7184)&amp;"-Q"&amp;ROUNDUP(MONTH($C7184)/3,0))</f>
        <v/>
      </c>
      <c r="L7184">
        <f>IF($G7184&lt;&gt;"ALCOHOL","",IF($K7184="","",$H7184*IFERROR(VLOOKUP($K7184,Drink_Templates!$A:$G,7,FALSE),0)))</f>
        <v/>
      </c>
    </row>
    <row r="7185" ht="15" customHeight="1">
      <c r="C7185">
        <f>IF($B7185="","",INT($B7185))</f>
        <v/>
      </c>
      <c r="D7185">
        <f>IF($C7185="","",$C7185-WEEKDAY($C7185,2)+1)</f>
        <v/>
      </c>
      <c r="E7185">
        <f>IF($C7185="","",DATE(YEAR($C7185),MONTH($C7185),1))</f>
        <v/>
      </c>
      <c r="F7185">
        <f>IF($C7185="","",YEAR($C7185)&amp;"-Q"&amp;ROUNDUP(MONTH($C7185)/3,0))</f>
        <v/>
      </c>
      <c r="L7185">
        <f>IF($G7185&lt;&gt;"ALCOHOL","",IF($K7185="","",$H7185*IFERROR(VLOOKUP($K7185,Drink_Templates!$A:$G,7,FALSE),0)))</f>
        <v/>
      </c>
    </row>
    <row r="7186" ht="15" customHeight="1">
      <c r="C7186">
        <f>IF($B7186="","",INT($B7186))</f>
        <v/>
      </c>
      <c r="D7186">
        <f>IF($C7186="","",$C7186-WEEKDAY($C7186,2)+1)</f>
        <v/>
      </c>
      <c r="E7186">
        <f>IF($C7186="","",DATE(YEAR($C7186),MONTH($C7186),1))</f>
        <v/>
      </c>
      <c r="F7186">
        <f>IF($C7186="","",YEAR($C7186)&amp;"-Q"&amp;ROUNDUP(MONTH($C7186)/3,0))</f>
        <v/>
      </c>
      <c r="L7186">
        <f>IF($G7186&lt;&gt;"ALCOHOL","",IF($K7186="","",$H7186*IFERROR(VLOOKUP($K7186,Drink_Templates!$A:$G,7,FALSE),0)))</f>
        <v/>
      </c>
    </row>
    <row r="7187" ht="15" customHeight="1">
      <c r="C7187">
        <f>IF($B7187="","",INT($B7187))</f>
        <v/>
      </c>
      <c r="D7187">
        <f>IF($C7187="","",$C7187-WEEKDAY($C7187,2)+1)</f>
        <v/>
      </c>
      <c r="E7187">
        <f>IF($C7187="","",DATE(YEAR($C7187),MONTH($C7187),1))</f>
        <v/>
      </c>
      <c r="F7187">
        <f>IF($C7187="","",YEAR($C7187)&amp;"-Q"&amp;ROUNDUP(MONTH($C7187)/3,0))</f>
        <v/>
      </c>
      <c r="L7187">
        <f>IF($G7187&lt;&gt;"ALCOHOL","",IF($K7187="","",$H7187*IFERROR(VLOOKUP($K7187,Drink_Templates!$A:$G,7,FALSE),0)))</f>
        <v/>
      </c>
    </row>
    <row r="7188" ht="15" customHeight="1">
      <c r="C7188">
        <f>IF($B7188="","",INT($B7188))</f>
        <v/>
      </c>
      <c r="D7188">
        <f>IF($C7188="","",$C7188-WEEKDAY($C7188,2)+1)</f>
        <v/>
      </c>
      <c r="E7188">
        <f>IF($C7188="","",DATE(YEAR($C7188),MONTH($C7188),1))</f>
        <v/>
      </c>
      <c r="F7188">
        <f>IF($C7188="","",YEAR($C7188)&amp;"-Q"&amp;ROUNDUP(MONTH($C7188)/3,0))</f>
        <v/>
      </c>
      <c r="L7188">
        <f>IF($G7188&lt;&gt;"ALCOHOL","",IF($K7188="","",$H7188*IFERROR(VLOOKUP($K7188,Drink_Templates!$A:$G,7,FALSE),0)))</f>
        <v/>
      </c>
    </row>
    <row r="7189" ht="15" customHeight="1">
      <c r="C7189">
        <f>IF($B7189="","",INT($B7189))</f>
        <v/>
      </c>
      <c r="D7189">
        <f>IF($C7189="","",$C7189-WEEKDAY($C7189,2)+1)</f>
        <v/>
      </c>
      <c r="E7189">
        <f>IF($C7189="","",DATE(YEAR($C7189),MONTH($C7189),1))</f>
        <v/>
      </c>
      <c r="F7189">
        <f>IF($C7189="","",YEAR($C7189)&amp;"-Q"&amp;ROUNDUP(MONTH($C7189)/3,0))</f>
        <v/>
      </c>
      <c r="L7189">
        <f>IF($G7189&lt;&gt;"ALCOHOL","",IF($K7189="","",$H7189*IFERROR(VLOOKUP($K7189,Drink_Templates!$A:$G,7,FALSE),0)))</f>
        <v/>
      </c>
    </row>
    <row r="7190" ht="15" customHeight="1">
      <c r="C7190">
        <f>IF($B7190="","",INT($B7190))</f>
        <v/>
      </c>
      <c r="D7190">
        <f>IF($C7190="","",$C7190-WEEKDAY($C7190,2)+1)</f>
        <v/>
      </c>
      <c r="E7190">
        <f>IF($C7190="","",DATE(YEAR($C7190),MONTH($C7190),1))</f>
        <v/>
      </c>
      <c r="F7190">
        <f>IF($C7190="","",YEAR($C7190)&amp;"-Q"&amp;ROUNDUP(MONTH($C7190)/3,0))</f>
        <v/>
      </c>
      <c r="L7190">
        <f>IF($G7190&lt;&gt;"ALCOHOL","",IF($K7190="","",$H7190*IFERROR(VLOOKUP($K7190,Drink_Templates!$A:$G,7,FALSE),0)))</f>
        <v/>
      </c>
    </row>
    <row r="7191" ht="15" customHeight="1">
      <c r="C7191">
        <f>IF($B7191="","",INT($B7191))</f>
        <v/>
      </c>
      <c r="D7191">
        <f>IF($C7191="","",$C7191-WEEKDAY($C7191,2)+1)</f>
        <v/>
      </c>
      <c r="E7191">
        <f>IF($C7191="","",DATE(YEAR($C7191),MONTH($C7191),1))</f>
        <v/>
      </c>
      <c r="F7191">
        <f>IF($C7191="","",YEAR($C7191)&amp;"-Q"&amp;ROUNDUP(MONTH($C7191)/3,0))</f>
        <v/>
      </c>
      <c r="L7191">
        <f>IF($G7191&lt;&gt;"ALCOHOL","",IF($K7191="","",$H7191*IFERROR(VLOOKUP($K7191,Drink_Templates!$A:$G,7,FALSE),0)))</f>
        <v/>
      </c>
    </row>
    <row r="7192" ht="15" customHeight="1">
      <c r="C7192">
        <f>IF($B7192="","",INT($B7192))</f>
        <v/>
      </c>
      <c r="D7192">
        <f>IF($C7192="","",$C7192-WEEKDAY($C7192,2)+1)</f>
        <v/>
      </c>
      <c r="E7192">
        <f>IF($C7192="","",DATE(YEAR($C7192),MONTH($C7192),1))</f>
        <v/>
      </c>
      <c r="F7192">
        <f>IF($C7192="","",YEAR($C7192)&amp;"-Q"&amp;ROUNDUP(MONTH($C7192)/3,0))</f>
        <v/>
      </c>
      <c r="L7192">
        <f>IF($G7192&lt;&gt;"ALCOHOL","",IF($K7192="","",$H7192*IFERROR(VLOOKUP($K7192,Drink_Templates!$A:$G,7,FALSE),0)))</f>
        <v/>
      </c>
    </row>
    <row r="7193" ht="15" customHeight="1">
      <c r="C7193">
        <f>IF($B7193="","",INT($B7193))</f>
        <v/>
      </c>
      <c r="D7193">
        <f>IF($C7193="","",$C7193-WEEKDAY($C7193,2)+1)</f>
        <v/>
      </c>
      <c r="E7193">
        <f>IF($C7193="","",DATE(YEAR($C7193),MONTH($C7193),1))</f>
        <v/>
      </c>
      <c r="F7193">
        <f>IF($C7193="","",YEAR($C7193)&amp;"-Q"&amp;ROUNDUP(MONTH($C7193)/3,0))</f>
        <v/>
      </c>
      <c r="L7193">
        <f>IF($G7193&lt;&gt;"ALCOHOL","",IF($K7193="","",$H7193*IFERROR(VLOOKUP($K7193,Drink_Templates!$A:$G,7,FALSE),0)))</f>
        <v/>
      </c>
    </row>
    <row r="7194" ht="15" customHeight="1">
      <c r="C7194">
        <f>IF($B7194="","",INT($B7194))</f>
        <v/>
      </c>
      <c r="D7194">
        <f>IF($C7194="","",$C7194-WEEKDAY($C7194,2)+1)</f>
        <v/>
      </c>
      <c r="E7194">
        <f>IF($C7194="","",DATE(YEAR($C7194),MONTH($C7194),1))</f>
        <v/>
      </c>
      <c r="F7194">
        <f>IF($C7194="","",YEAR($C7194)&amp;"-Q"&amp;ROUNDUP(MONTH($C7194)/3,0))</f>
        <v/>
      </c>
      <c r="L7194">
        <f>IF($G7194&lt;&gt;"ALCOHOL","",IF($K7194="","",$H7194*IFERROR(VLOOKUP($K7194,Drink_Templates!$A:$G,7,FALSE),0)))</f>
        <v/>
      </c>
    </row>
    <row r="7195" ht="15" customHeight="1">
      <c r="C7195">
        <f>IF($B7195="","",INT($B7195))</f>
        <v/>
      </c>
      <c r="D7195">
        <f>IF($C7195="","",$C7195-WEEKDAY($C7195,2)+1)</f>
        <v/>
      </c>
      <c r="E7195">
        <f>IF($C7195="","",DATE(YEAR($C7195),MONTH($C7195),1))</f>
        <v/>
      </c>
      <c r="F7195">
        <f>IF($C7195="","",YEAR($C7195)&amp;"-Q"&amp;ROUNDUP(MONTH($C7195)/3,0))</f>
        <v/>
      </c>
      <c r="L7195">
        <f>IF($G7195&lt;&gt;"ALCOHOL","",IF($K7195="","",$H7195*IFERROR(VLOOKUP($K7195,Drink_Templates!$A:$G,7,FALSE),0)))</f>
        <v/>
      </c>
    </row>
    <row r="7196" ht="15" customHeight="1">
      <c r="C7196">
        <f>IF($B7196="","",INT($B7196))</f>
        <v/>
      </c>
      <c r="D7196">
        <f>IF($C7196="","",$C7196-WEEKDAY($C7196,2)+1)</f>
        <v/>
      </c>
      <c r="E7196">
        <f>IF($C7196="","",DATE(YEAR($C7196),MONTH($C7196),1))</f>
        <v/>
      </c>
      <c r="F7196">
        <f>IF($C7196="","",YEAR($C7196)&amp;"-Q"&amp;ROUNDUP(MONTH($C7196)/3,0))</f>
        <v/>
      </c>
      <c r="L7196">
        <f>IF($G7196&lt;&gt;"ALCOHOL","",IF($K7196="","",$H7196*IFERROR(VLOOKUP($K7196,Drink_Templates!$A:$G,7,FALSE),0)))</f>
        <v/>
      </c>
    </row>
    <row r="7197" ht="15" customHeight="1">
      <c r="C7197">
        <f>IF($B7197="","",INT($B7197))</f>
        <v/>
      </c>
      <c r="D7197">
        <f>IF($C7197="","",$C7197-WEEKDAY($C7197,2)+1)</f>
        <v/>
      </c>
      <c r="E7197">
        <f>IF($C7197="","",DATE(YEAR($C7197),MONTH($C7197),1))</f>
        <v/>
      </c>
      <c r="F7197">
        <f>IF($C7197="","",YEAR($C7197)&amp;"-Q"&amp;ROUNDUP(MONTH($C7197)/3,0))</f>
        <v/>
      </c>
      <c r="L7197">
        <f>IF($G7197&lt;&gt;"ALCOHOL","",IF($K7197="","",$H7197*IFERROR(VLOOKUP($K7197,Drink_Templates!$A:$G,7,FALSE),0)))</f>
        <v/>
      </c>
    </row>
    <row r="7198" ht="15" customHeight="1">
      <c r="C7198">
        <f>IF($B7198="","",INT($B7198))</f>
        <v/>
      </c>
      <c r="D7198">
        <f>IF($C7198="","",$C7198-WEEKDAY($C7198,2)+1)</f>
        <v/>
      </c>
      <c r="E7198">
        <f>IF($C7198="","",DATE(YEAR($C7198),MONTH($C7198),1))</f>
        <v/>
      </c>
      <c r="F7198">
        <f>IF($C7198="","",YEAR($C7198)&amp;"-Q"&amp;ROUNDUP(MONTH($C7198)/3,0))</f>
        <v/>
      </c>
      <c r="L7198">
        <f>IF($G7198&lt;&gt;"ALCOHOL","",IF($K7198="","",$H7198*IFERROR(VLOOKUP($K7198,Drink_Templates!$A:$G,7,FALSE),0)))</f>
        <v/>
      </c>
    </row>
    <row r="7199" ht="15" customHeight="1">
      <c r="C7199">
        <f>IF($B7199="","",INT($B7199))</f>
        <v/>
      </c>
      <c r="D7199">
        <f>IF($C7199="","",$C7199-WEEKDAY($C7199,2)+1)</f>
        <v/>
      </c>
      <c r="E7199">
        <f>IF($C7199="","",DATE(YEAR($C7199),MONTH($C7199),1))</f>
        <v/>
      </c>
      <c r="F7199">
        <f>IF($C7199="","",YEAR($C7199)&amp;"-Q"&amp;ROUNDUP(MONTH($C7199)/3,0))</f>
        <v/>
      </c>
      <c r="L7199">
        <f>IF($G7199&lt;&gt;"ALCOHOL","",IF($K7199="","",$H7199*IFERROR(VLOOKUP($K7199,Drink_Templates!$A:$G,7,FALSE),0)))</f>
        <v/>
      </c>
    </row>
    <row r="7200" ht="15" customHeight="1">
      <c r="C7200">
        <f>IF($B7200="","",INT($B7200))</f>
        <v/>
      </c>
      <c r="D7200">
        <f>IF($C7200="","",$C7200-WEEKDAY($C7200,2)+1)</f>
        <v/>
      </c>
      <c r="E7200">
        <f>IF($C7200="","",DATE(YEAR($C7200),MONTH($C7200),1))</f>
        <v/>
      </c>
      <c r="F7200">
        <f>IF($C7200="","",YEAR($C7200)&amp;"-Q"&amp;ROUNDUP(MONTH($C7200)/3,0))</f>
        <v/>
      </c>
      <c r="L7200">
        <f>IF($G7200&lt;&gt;"ALCOHOL","",IF($K7200="","",$H7200*IFERROR(VLOOKUP($K7200,Drink_Templates!$A:$G,7,FALSE),0)))</f>
        <v/>
      </c>
    </row>
    <row r="7201" ht="15" customHeight="1">
      <c r="C7201">
        <f>IF($B7201="","",INT($B7201))</f>
        <v/>
      </c>
      <c r="D7201">
        <f>IF($C7201="","",$C7201-WEEKDAY($C7201,2)+1)</f>
        <v/>
      </c>
      <c r="E7201">
        <f>IF($C7201="","",DATE(YEAR($C7201),MONTH($C7201),1))</f>
        <v/>
      </c>
      <c r="F7201">
        <f>IF($C7201="","",YEAR($C7201)&amp;"-Q"&amp;ROUNDUP(MONTH($C7201)/3,0))</f>
        <v/>
      </c>
      <c r="L7201">
        <f>IF($G7201&lt;&gt;"ALCOHOL","",IF($K7201="","",$H7201*IFERROR(VLOOKUP($K7201,Drink_Templates!$A:$G,7,FALSE),0)))</f>
        <v/>
      </c>
    </row>
    <row r="7202" ht="15" customHeight="1">
      <c r="C7202">
        <f>IF($B7202="","",INT($B7202))</f>
        <v/>
      </c>
      <c r="D7202">
        <f>IF($C7202="","",$C7202-WEEKDAY($C7202,2)+1)</f>
        <v/>
      </c>
      <c r="E7202">
        <f>IF($C7202="","",DATE(YEAR($C7202),MONTH($C7202),1))</f>
        <v/>
      </c>
      <c r="F7202">
        <f>IF($C7202="","",YEAR($C7202)&amp;"-Q"&amp;ROUNDUP(MONTH($C7202)/3,0))</f>
        <v/>
      </c>
      <c r="L7202">
        <f>IF($G7202&lt;&gt;"ALCOHOL","",IF($K7202="","",$H7202*IFERROR(VLOOKUP($K7202,Drink_Templates!$A:$G,7,FALSE),0)))</f>
        <v/>
      </c>
    </row>
    <row r="7203" ht="15" customHeight="1">
      <c r="C7203">
        <f>IF($B7203="","",INT($B7203))</f>
        <v/>
      </c>
      <c r="D7203">
        <f>IF($C7203="","",$C7203-WEEKDAY($C7203,2)+1)</f>
        <v/>
      </c>
      <c r="E7203">
        <f>IF($C7203="","",DATE(YEAR($C7203),MONTH($C7203),1))</f>
        <v/>
      </c>
      <c r="F7203">
        <f>IF($C7203="","",YEAR($C7203)&amp;"-Q"&amp;ROUNDUP(MONTH($C7203)/3,0))</f>
        <v/>
      </c>
      <c r="L7203">
        <f>IF($G7203&lt;&gt;"ALCOHOL","",IF($K7203="","",$H7203*IFERROR(VLOOKUP($K7203,Drink_Templates!$A:$G,7,FALSE),0)))</f>
        <v/>
      </c>
    </row>
    <row r="7204" ht="15" customHeight="1">
      <c r="C7204">
        <f>IF($B7204="","",INT($B7204))</f>
        <v/>
      </c>
      <c r="D7204">
        <f>IF($C7204="","",$C7204-WEEKDAY($C7204,2)+1)</f>
        <v/>
      </c>
      <c r="E7204">
        <f>IF($C7204="","",DATE(YEAR($C7204),MONTH($C7204),1))</f>
        <v/>
      </c>
      <c r="F7204">
        <f>IF($C7204="","",YEAR($C7204)&amp;"-Q"&amp;ROUNDUP(MONTH($C7204)/3,0))</f>
        <v/>
      </c>
      <c r="L7204">
        <f>IF($G7204&lt;&gt;"ALCOHOL","",IF($K7204="","",$H7204*IFERROR(VLOOKUP($K7204,Drink_Templates!$A:$G,7,FALSE),0)))</f>
        <v/>
      </c>
    </row>
    <row r="7205" ht="15" customHeight="1">
      <c r="C7205">
        <f>IF($B7205="","",INT($B7205))</f>
        <v/>
      </c>
      <c r="D7205">
        <f>IF($C7205="","",$C7205-WEEKDAY($C7205,2)+1)</f>
        <v/>
      </c>
      <c r="E7205">
        <f>IF($C7205="","",DATE(YEAR($C7205),MONTH($C7205),1))</f>
        <v/>
      </c>
      <c r="F7205">
        <f>IF($C7205="","",YEAR($C7205)&amp;"-Q"&amp;ROUNDUP(MONTH($C7205)/3,0))</f>
        <v/>
      </c>
      <c r="L7205">
        <f>IF($G7205&lt;&gt;"ALCOHOL","",IF($K7205="","",$H7205*IFERROR(VLOOKUP($K7205,Drink_Templates!$A:$G,7,FALSE),0)))</f>
        <v/>
      </c>
    </row>
    <row r="7206" ht="15" customHeight="1">
      <c r="C7206">
        <f>IF($B7206="","",INT($B7206))</f>
        <v/>
      </c>
      <c r="D7206">
        <f>IF($C7206="","",$C7206-WEEKDAY($C7206,2)+1)</f>
        <v/>
      </c>
      <c r="E7206">
        <f>IF($C7206="","",DATE(YEAR($C7206),MONTH($C7206),1))</f>
        <v/>
      </c>
      <c r="F7206">
        <f>IF($C7206="","",YEAR($C7206)&amp;"-Q"&amp;ROUNDUP(MONTH($C7206)/3,0))</f>
        <v/>
      </c>
      <c r="L7206">
        <f>IF($G7206&lt;&gt;"ALCOHOL","",IF($K7206="","",$H7206*IFERROR(VLOOKUP($K7206,Drink_Templates!$A:$G,7,FALSE),0)))</f>
        <v/>
      </c>
    </row>
    <row r="7207" ht="15" customHeight="1">
      <c r="C7207">
        <f>IF($B7207="","",INT($B7207))</f>
        <v/>
      </c>
      <c r="D7207">
        <f>IF($C7207="","",$C7207-WEEKDAY($C7207,2)+1)</f>
        <v/>
      </c>
      <c r="E7207">
        <f>IF($C7207="","",DATE(YEAR($C7207),MONTH($C7207),1))</f>
        <v/>
      </c>
      <c r="F7207">
        <f>IF($C7207="","",YEAR($C7207)&amp;"-Q"&amp;ROUNDUP(MONTH($C7207)/3,0))</f>
        <v/>
      </c>
      <c r="L7207">
        <f>IF($G7207&lt;&gt;"ALCOHOL","",IF($K7207="","",$H7207*IFERROR(VLOOKUP($K7207,Drink_Templates!$A:$G,7,FALSE),0)))</f>
        <v/>
      </c>
    </row>
    <row r="7208" ht="15" customHeight="1">
      <c r="C7208">
        <f>IF($B7208="","",INT($B7208))</f>
        <v/>
      </c>
      <c r="D7208">
        <f>IF($C7208="","",$C7208-WEEKDAY($C7208,2)+1)</f>
        <v/>
      </c>
      <c r="E7208">
        <f>IF($C7208="","",DATE(YEAR($C7208),MONTH($C7208),1))</f>
        <v/>
      </c>
      <c r="F7208">
        <f>IF($C7208="","",YEAR($C7208)&amp;"-Q"&amp;ROUNDUP(MONTH($C7208)/3,0))</f>
        <v/>
      </c>
      <c r="L7208">
        <f>IF($G7208&lt;&gt;"ALCOHOL","",IF($K7208="","",$H7208*IFERROR(VLOOKUP($K7208,Drink_Templates!$A:$G,7,FALSE),0)))</f>
        <v/>
      </c>
    </row>
    <row r="7209" ht="15" customHeight="1">
      <c r="C7209">
        <f>IF($B7209="","",INT($B7209))</f>
        <v/>
      </c>
      <c r="D7209">
        <f>IF($C7209="","",$C7209-WEEKDAY($C7209,2)+1)</f>
        <v/>
      </c>
      <c r="E7209">
        <f>IF($C7209="","",DATE(YEAR($C7209),MONTH($C7209),1))</f>
        <v/>
      </c>
      <c r="F7209">
        <f>IF($C7209="","",YEAR($C7209)&amp;"-Q"&amp;ROUNDUP(MONTH($C7209)/3,0))</f>
        <v/>
      </c>
      <c r="L7209">
        <f>IF($G7209&lt;&gt;"ALCOHOL","",IF($K7209="","",$H7209*IFERROR(VLOOKUP($K7209,Drink_Templates!$A:$G,7,FALSE),0)))</f>
        <v/>
      </c>
    </row>
    <row r="7210" ht="15" customHeight="1">
      <c r="C7210">
        <f>IF($B7210="","",INT($B7210))</f>
        <v/>
      </c>
      <c r="D7210">
        <f>IF($C7210="","",$C7210-WEEKDAY($C7210,2)+1)</f>
        <v/>
      </c>
      <c r="E7210">
        <f>IF($C7210="","",DATE(YEAR($C7210),MONTH($C7210),1))</f>
        <v/>
      </c>
      <c r="F7210">
        <f>IF($C7210="","",YEAR($C7210)&amp;"-Q"&amp;ROUNDUP(MONTH($C7210)/3,0))</f>
        <v/>
      </c>
      <c r="L7210">
        <f>IF($G7210&lt;&gt;"ALCOHOL","",IF($K7210="","",$H7210*IFERROR(VLOOKUP($K7210,Drink_Templates!$A:$G,7,FALSE),0)))</f>
        <v/>
      </c>
    </row>
    <row r="7211" ht="15" customHeight="1">
      <c r="C7211">
        <f>IF($B7211="","",INT($B7211))</f>
        <v/>
      </c>
      <c r="D7211">
        <f>IF($C7211="","",$C7211-WEEKDAY($C7211,2)+1)</f>
        <v/>
      </c>
      <c r="E7211">
        <f>IF($C7211="","",DATE(YEAR($C7211),MONTH($C7211),1))</f>
        <v/>
      </c>
      <c r="F7211">
        <f>IF($C7211="","",YEAR($C7211)&amp;"-Q"&amp;ROUNDUP(MONTH($C7211)/3,0))</f>
        <v/>
      </c>
      <c r="L7211">
        <f>IF($G7211&lt;&gt;"ALCOHOL","",IF($K7211="","",$H7211*IFERROR(VLOOKUP($K7211,Drink_Templates!$A:$G,7,FALSE),0)))</f>
        <v/>
      </c>
    </row>
    <row r="7212" ht="15" customHeight="1">
      <c r="C7212">
        <f>IF($B7212="","",INT($B7212))</f>
        <v/>
      </c>
      <c r="D7212">
        <f>IF($C7212="","",$C7212-WEEKDAY($C7212,2)+1)</f>
        <v/>
      </c>
      <c r="E7212">
        <f>IF($C7212="","",DATE(YEAR($C7212),MONTH($C7212),1))</f>
        <v/>
      </c>
      <c r="F7212">
        <f>IF($C7212="","",YEAR($C7212)&amp;"-Q"&amp;ROUNDUP(MONTH($C7212)/3,0))</f>
        <v/>
      </c>
      <c r="L7212">
        <f>IF($G7212&lt;&gt;"ALCOHOL","",IF($K7212="","",$H7212*IFERROR(VLOOKUP($K7212,Drink_Templates!$A:$G,7,FALSE),0)))</f>
        <v/>
      </c>
    </row>
    <row r="7213" ht="15" customHeight="1">
      <c r="C7213">
        <f>IF($B7213="","",INT($B7213))</f>
        <v/>
      </c>
      <c r="D7213">
        <f>IF($C7213="","",$C7213-WEEKDAY($C7213,2)+1)</f>
        <v/>
      </c>
      <c r="E7213">
        <f>IF($C7213="","",DATE(YEAR($C7213),MONTH($C7213),1))</f>
        <v/>
      </c>
      <c r="F7213">
        <f>IF($C7213="","",YEAR($C7213)&amp;"-Q"&amp;ROUNDUP(MONTH($C7213)/3,0))</f>
        <v/>
      </c>
      <c r="L7213">
        <f>IF($G7213&lt;&gt;"ALCOHOL","",IF($K7213="","",$H7213*IFERROR(VLOOKUP($K7213,Drink_Templates!$A:$G,7,FALSE),0)))</f>
        <v/>
      </c>
    </row>
    <row r="7214" ht="15" customHeight="1">
      <c r="C7214">
        <f>IF($B7214="","",INT($B7214))</f>
        <v/>
      </c>
      <c r="D7214">
        <f>IF($C7214="","",$C7214-WEEKDAY($C7214,2)+1)</f>
        <v/>
      </c>
      <c r="E7214">
        <f>IF($C7214="","",DATE(YEAR($C7214),MONTH($C7214),1))</f>
        <v/>
      </c>
      <c r="F7214">
        <f>IF($C7214="","",YEAR($C7214)&amp;"-Q"&amp;ROUNDUP(MONTH($C7214)/3,0))</f>
        <v/>
      </c>
      <c r="L7214">
        <f>IF($G7214&lt;&gt;"ALCOHOL","",IF($K7214="","",$H7214*IFERROR(VLOOKUP($K7214,Drink_Templates!$A:$G,7,FALSE),0)))</f>
        <v/>
      </c>
    </row>
    <row r="7215" ht="15" customHeight="1">
      <c r="C7215">
        <f>IF($B7215="","",INT($B7215))</f>
        <v/>
      </c>
      <c r="D7215">
        <f>IF($C7215="","",$C7215-WEEKDAY($C7215,2)+1)</f>
        <v/>
      </c>
      <c r="E7215">
        <f>IF($C7215="","",DATE(YEAR($C7215),MONTH($C7215),1))</f>
        <v/>
      </c>
      <c r="F7215">
        <f>IF($C7215="","",YEAR($C7215)&amp;"-Q"&amp;ROUNDUP(MONTH($C7215)/3,0))</f>
        <v/>
      </c>
      <c r="L7215">
        <f>IF($G7215&lt;&gt;"ALCOHOL","",IF($K7215="","",$H7215*IFERROR(VLOOKUP($K7215,Drink_Templates!$A:$G,7,FALSE),0)))</f>
        <v/>
      </c>
    </row>
    <row r="7216" ht="15" customHeight="1">
      <c r="C7216">
        <f>IF($B7216="","",INT($B7216))</f>
        <v/>
      </c>
      <c r="D7216">
        <f>IF($C7216="","",$C7216-WEEKDAY($C7216,2)+1)</f>
        <v/>
      </c>
      <c r="E7216">
        <f>IF($C7216="","",DATE(YEAR($C7216),MONTH($C7216),1))</f>
        <v/>
      </c>
      <c r="F7216">
        <f>IF($C7216="","",YEAR($C7216)&amp;"-Q"&amp;ROUNDUP(MONTH($C7216)/3,0))</f>
        <v/>
      </c>
      <c r="L7216">
        <f>IF($G7216&lt;&gt;"ALCOHOL","",IF($K7216="","",$H7216*IFERROR(VLOOKUP($K7216,Drink_Templates!$A:$G,7,FALSE),0)))</f>
        <v/>
      </c>
    </row>
    <row r="7217" ht="15" customHeight="1">
      <c r="C7217">
        <f>IF($B7217="","",INT($B7217))</f>
        <v/>
      </c>
      <c r="D7217">
        <f>IF($C7217="","",$C7217-WEEKDAY($C7217,2)+1)</f>
        <v/>
      </c>
      <c r="E7217">
        <f>IF($C7217="","",DATE(YEAR($C7217),MONTH($C7217),1))</f>
        <v/>
      </c>
      <c r="F7217">
        <f>IF($C7217="","",YEAR($C7217)&amp;"-Q"&amp;ROUNDUP(MONTH($C7217)/3,0))</f>
        <v/>
      </c>
      <c r="L7217">
        <f>IF($G7217&lt;&gt;"ALCOHOL","",IF($K7217="","",$H7217*IFERROR(VLOOKUP($K7217,Drink_Templates!$A:$G,7,FALSE),0)))</f>
        <v/>
      </c>
    </row>
    <row r="7218" ht="15" customHeight="1">
      <c r="C7218">
        <f>IF($B7218="","",INT($B7218))</f>
        <v/>
      </c>
      <c r="D7218">
        <f>IF($C7218="","",$C7218-WEEKDAY($C7218,2)+1)</f>
        <v/>
      </c>
      <c r="E7218">
        <f>IF($C7218="","",DATE(YEAR($C7218),MONTH($C7218),1))</f>
        <v/>
      </c>
      <c r="F7218">
        <f>IF($C7218="","",YEAR($C7218)&amp;"-Q"&amp;ROUNDUP(MONTH($C7218)/3,0))</f>
        <v/>
      </c>
      <c r="L7218">
        <f>IF($G7218&lt;&gt;"ALCOHOL","",IF($K7218="","",$H7218*IFERROR(VLOOKUP($K7218,Drink_Templates!$A:$G,7,FALSE),0)))</f>
        <v/>
      </c>
    </row>
    <row r="7219" ht="15" customHeight="1">
      <c r="C7219">
        <f>IF($B7219="","",INT($B7219))</f>
        <v/>
      </c>
      <c r="D7219">
        <f>IF($C7219="","",$C7219-WEEKDAY($C7219,2)+1)</f>
        <v/>
      </c>
      <c r="E7219">
        <f>IF($C7219="","",DATE(YEAR($C7219),MONTH($C7219),1))</f>
        <v/>
      </c>
      <c r="F7219">
        <f>IF($C7219="","",YEAR($C7219)&amp;"-Q"&amp;ROUNDUP(MONTH($C7219)/3,0))</f>
        <v/>
      </c>
      <c r="L7219">
        <f>IF($G7219&lt;&gt;"ALCOHOL","",IF($K7219="","",$H7219*IFERROR(VLOOKUP($K7219,Drink_Templates!$A:$G,7,FALSE),0)))</f>
        <v/>
      </c>
    </row>
    <row r="7220" ht="15" customHeight="1">
      <c r="C7220">
        <f>IF($B7220="","",INT($B7220))</f>
        <v/>
      </c>
      <c r="D7220">
        <f>IF($C7220="","",$C7220-WEEKDAY($C7220,2)+1)</f>
        <v/>
      </c>
      <c r="E7220">
        <f>IF($C7220="","",DATE(YEAR($C7220),MONTH($C7220),1))</f>
        <v/>
      </c>
      <c r="F7220">
        <f>IF($C7220="","",YEAR($C7220)&amp;"-Q"&amp;ROUNDUP(MONTH($C7220)/3,0))</f>
        <v/>
      </c>
      <c r="L7220">
        <f>IF($G7220&lt;&gt;"ALCOHOL","",IF($K7220="","",$H7220*IFERROR(VLOOKUP($K7220,Drink_Templates!$A:$G,7,FALSE),0)))</f>
        <v/>
      </c>
    </row>
    <row r="7221" ht="15" customHeight="1">
      <c r="C7221">
        <f>IF($B7221="","",INT($B7221))</f>
        <v/>
      </c>
      <c r="D7221">
        <f>IF($C7221="","",$C7221-WEEKDAY($C7221,2)+1)</f>
        <v/>
      </c>
      <c r="E7221">
        <f>IF($C7221="","",DATE(YEAR($C7221),MONTH($C7221),1))</f>
        <v/>
      </c>
      <c r="F7221">
        <f>IF($C7221="","",YEAR($C7221)&amp;"-Q"&amp;ROUNDUP(MONTH($C7221)/3,0))</f>
        <v/>
      </c>
      <c r="L7221">
        <f>IF($G7221&lt;&gt;"ALCOHOL","",IF($K7221="","",$H7221*IFERROR(VLOOKUP($K7221,Drink_Templates!$A:$G,7,FALSE),0)))</f>
        <v/>
      </c>
    </row>
    <row r="7222" ht="15" customHeight="1">
      <c r="C7222">
        <f>IF($B7222="","",INT($B7222))</f>
        <v/>
      </c>
      <c r="D7222">
        <f>IF($C7222="","",$C7222-WEEKDAY($C7222,2)+1)</f>
        <v/>
      </c>
      <c r="E7222">
        <f>IF($C7222="","",DATE(YEAR($C7222),MONTH($C7222),1))</f>
        <v/>
      </c>
      <c r="F7222">
        <f>IF($C7222="","",YEAR($C7222)&amp;"-Q"&amp;ROUNDUP(MONTH($C7222)/3,0))</f>
        <v/>
      </c>
      <c r="L7222">
        <f>IF($G7222&lt;&gt;"ALCOHOL","",IF($K7222="","",$H7222*IFERROR(VLOOKUP($K7222,Drink_Templates!$A:$G,7,FALSE),0)))</f>
        <v/>
      </c>
    </row>
    <row r="7223" ht="15" customHeight="1">
      <c r="C7223">
        <f>IF($B7223="","",INT($B7223))</f>
        <v/>
      </c>
      <c r="D7223">
        <f>IF($C7223="","",$C7223-WEEKDAY($C7223,2)+1)</f>
        <v/>
      </c>
      <c r="E7223">
        <f>IF($C7223="","",DATE(YEAR($C7223),MONTH($C7223),1))</f>
        <v/>
      </c>
      <c r="F7223">
        <f>IF($C7223="","",YEAR($C7223)&amp;"-Q"&amp;ROUNDUP(MONTH($C7223)/3,0))</f>
        <v/>
      </c>
      <c r="L7223">
        <f>IF($G7223&lt;&gt;"ALCOHOL","",IF($K7223="","",$H7223*IFERROR(VLOOKUP($K7223,Drink_Templates!$A:$G,7,FALSE),0)))</f>
        <v/>
      </c>
    </row>
    <row r="7224" ht="15" customHeight="1">
      <c r="C7224">
        <f>IF($B7224="","",INT($B7224))</f>
        <v/>
      </c>
      <c r="D7224">
        <f>IF($C7224="","",$C7224-WEEKDAY($C7224,2)+1)</f>
        <v/>
      </c>
      <c r="E7224">
        <f>IF($C7224="","",DATE(YEAR($C7224),MONTH($C7224),1))</f>
        <v/>
      </c>
      <c r="F7224">
        <f>IF($C7224="","",YEAR($C7224)&amp;"-Q"&amp;ROUNDUP(MONTH($C7224)/3,0))</f>
        <v/>
      </c>
      <c r="L7224">
        <f>IF($G7224&lt;&gt;"ALCOHOL","",IF($K7224="","",$H7224*IFERROR(VLOOKUP($K7224,Drink_Templates!$A:$G,7,FALSE),0)))</f>
        <v/>
      </c>
    </row>
    <row r="7225" ht="15" customHeight="1">
      <c r="C7225">
        <f>IF($B7225="","",INT($B7225))</f>
        <v/>
      </c>
      <c r="D7225">
        <f>IF($C7225="","",$C7225-WEEKDAY($C7225,2)+1)</f>
        <v/>
      </c>
      <c r="E7225">
        <f>IF($C7225="","",DATE(YEAR($C7225),MONTH($C7225),1))</f>
        <v/>
      </c>
      <c r="F7225">
        <f>IF($C7225="","",YEAR($C7225)&amp;"-Q"&amp;ROUNDUP(MONTH($C7225)/3,0))</f>
        <v/>
      </c>
      <c r="L7225">
        <f>IF($G7225&lt;&gt;"ALCOHOL","",IF($K7225="","",$H7225*IFERROR(VLOOKUP($K7225,Drink_Templates!$A:$G,7,FALSE),0)))</f>
        <v/>
      </c>
    </row>
    <row r="7226" ht="15" customHeight="1">
      <c r="C7226">
        <f>IF($B7226="","",INT($B7226))</f>
        <v/>
      </c>
      <c r="D7226">
        <f>IF($C7226="","",$C7226-WEEKDAY($C7226,2)+1)</f>
        <v/>
      </c>
      <c r="E7226">
        <f>IF($C7226="","",DATE(YEAR($C7226),MONTH($C7226),1))</f>
        <v/>
      </c>
      <c r="F7226">
        <f>IF($C7226="","",YEAR($C7226)&amp;"-Q"&amp;ROUNDUP(MONTH($C7226)/3,0))</f>
        <v/>
      </c>
      <c r="L7226">
        <f>IF($G7226&lt;&gt;"ALCOHOL","",IF($K7226="","",$H7226*IFERROR(VLOOKUP($K7226,Drink_Templates!$A:$G,7,FALSE),0)))</f>
        <v/>
      </c>
    </row>
    <row r="7227" ht="15" customHeight="1">
      <c r="C7227">
        <f>IF($B7227="","",INT($B7227))</f>
        <v/>
      </c>
      <c r="D7227">
        <f>IF($C7227="","",$C7227-WEEKDAY($C7227,2)+1)</f>
        <v/>
      </c>
      <c r="E7227">
        <f>IF($C7227="","",DATE(YEAR($C7227),MONTH($C7227),1))</f>
        <v/>
      </c>
      <c r="F7227">
        <f>IF($C7227="","",YEAR($C7227)&amp;"-Q"&amp;ROUNDUP(MONTH($C7227)/3,0))</f>
        <v/>
      </c>
      <c r="L7227">
        <f>IF($G7227&lt;&gt;"ALCOHOL","",IF($K7227="","",$H7227*IFERROR(VLOOKUP($K7227,Drink_Templates!$A:$G,7,FALSE),0)))</f>
        <v/>
      </c>
    </row>
    <row r="7228" ht="15" customHeight="1">
      <c r="C7228">
        <f>IF($B7228="","",INT($B7228))</f>
        <v/>
      </c>
      <c r="D7228">
        <f>IF($C7228="","",$C7228-WEEKDAY($C7228,2)+1)</f>
        <v/>
      </c>
      <c r="E7228">
        <f>IF($C7228="","",DATE(YEAR($C7228),MONTH($C7228),1))</f>
        <v/>
      </c>
      <c r="F7228">
        <f>IF($C7228="","",YEAR($C7228)&amp;"-Q"&amp;ROUNDUP(MONTH($C7228)/3,0))</f>
        <v/>
      </c>
      <c r="L7228">
        <f>IF($G7228&lt;&gt;"ALCOHOL","",IF($K7228="","",$H7228*IFERROR(VLOOKUP($K7228,Drink_Templates!$A:$G,7,FALSE),0)))</f>
        <v/>
      </c>
    </row>
    <row r="7229" ht="15" customHeight="1">
      <c r="C7229">
        <f>IF($B7229="","",INT($B7229))</f>
        <v/>
      </c>
      <c r="D7229">
        <f>IF($C7229="","",$C7229-WEEKDAY($C7229,2)+1)</f>
        <v/>
      </c>
      <c r="E7229">
        <f>IF($C7229="","",DATE(YEAR($C7229),MONTH($C7229),1))</f>
        <v/>
      </c>
      <c r="F7229">
        <f>IF($C7229="","",YEAR($C7229)&amp;"-Q"&amp;ROUNDUP(MONTH($C7229)/3,0))</f>
        <v/>
      </c>
      <c r="L7229">
        <f>IF($G7229&lt;&gt;"ALCOHOL","",IF($K7229="","",$H7229*IFERROR(VLOOKUP($K7229,Drink_Templates!$A:$G,7,FALSE),0)))</f>
        <v/>
      </c>
    </row>
    <row r="7230" ht="15" customHeight="1">
      <c r="C7230">
        <f>IF($B7230="","",INT($B7230))</f>
        <v/>
      </c>
      <c r="D7230">
        <f>IF($C7230="","",$C7230-WEEKDAY($C7230,2)+1)</f>
        <v/>
      </c>
      <c r="E7230">
        <f>IF($C7230="","",DATE(YEAR($C7230),MONTH($C7230),1))</f>
        <v/>
      </c>
      <c r="F7230">
        <f>IF($C7230="","",YEAR($C7230)&amp;"-Q"&amp;ROUNDUP(MONTH($C7230)/3,0))</f>
        <v/>
      </c>
      <c r="L7230">
        <f>IF($G7230&lt;&gt;"ALCOHOL","",IF($K7230="","",$H7230*IFERROR(VLOOKUP($K7230,Drink_Templates!$A:$G,7,FALSE),0)))</f>
        <v/>
      </c>
    </row>
    <row r="7231" ht="15" customHeight="1">
      <c r="C7231">
        <f>IF($B7231="","",INT($B7231))</f>
        <v/>
      </c>
      <c r="D7231">
        <f>IF($C7231="","",$C7231-WEEKDAY($C7231,2)+1)</f>
        <v/>
      </c>
      <c r="E7231">
        <f>IF($C7231="","",DATE(YEAR($C7231),MONTH($C7231),1))</f>
        <v/>
      </c>
      <c r="F7231">
        <f>IF($C7231="","",YEAR($C7231)&amp;"-Q"&amp;ROUNDUP(MONTH($C7231)/3,0))</f>
        <v/>
      </c>
      <c r="L7231">
        <f>IF($G7231&lt;&gt;"ALCOHOL","",IF($K7231="","",$H7231*IFERROR(VLOOKUP($K7231,Drink_Templates!$A:$G,7,FALSE),0)))</f>
        <v/>
      </c>
    </row>
    <row r="7232" ht="15" customHeight="1">
      <c r="C7232">
        <f>IF($B7232="","",INT($B7232))</f>
        <v/>
      </c>
      <c r="D7232">
        <f>IF($C7232="","",$C7232-WEEKDAY($C7232,2)+1)</f>
        <v/>
      </c>
      <c r="E7232">
        <f>IF($C7232="","",DATE(YEAR($C7232),MONTH($C7232),1))</f>
        <v/>
      </c>
      <c r="F7232">
        <f>IF($C7232="","",YEAR($C7232)&amp;"-Q"&amp;ROUNDUP(MONTH($C7232)/3,0))</f>
        <v/>
      </c>
      <c r="L7232">
        <f>IF($G7232&lt;&gt;"ALCOHOL","",IF($K7232="","",$H7232*IFERROR(VLOOKUP($K7232,Drink_Templates!$A:$G,7,FALSE),0)))</f>
        <v/>
      </c>
    </row>
    <row r="7233" ht="15" customHeight="1">
      <c r="C7233">
        <f>IF($B7233="","",INT($B7233))</f>
        <v/>
      </c>
      <c r="D7233">
        <f>IF($C7233="","",$C7233-WEEKDAY($C7233,2)+1)</f>
        <v/>
      </c>
      <c r="E7233">
        <f>IF($C7233="","",DATE(YEAR($C7233),MONTH($C7233),1))</f>
        <v/>
      </c>
      <c r="F7233">
        <f>IF($C7233="","",YEAR($C7233)&amp;"-Q"&amp;ROUNDUP(MONTH($C7233)/3,0))</f>
        <v/>
      </c>
      <c r="L7233">
        <f>IF($G7233&lt;&gt;"ALCOHOL","",IF($K7233="","",$H7233*IFERROR(VLOOKUP($K7233,Drink_Templates!$A:$G,7,FALSE),0)))</f>
        <v/>
      </c>
    </row>
    <row r="7234" ht="15" customHeight="1">
      <c r="C7234">
        <f>IF($B7234="","",INT($B7234))</f>
        <v/>
      </c>
      <c r="D7234">
        <f>IF($C7234="","",$C7234-WEEKDAY($C7234,2)+1)</f>
        <v/>
      </c>
      <c r="E7234">
        <f>IF($C7234="","",DATE(YEAR($C7234),MONTH($C7234),1))</f>
        <v/>
      </c>
      <c r="F7234">
        <f>IF($C7234="","",YEAR($C7234)&amp;"-Q"&amp;ROUNDUP(MONTH($C7234)/3,0))</f>
        <v/>
      </c>
      <c r="L7234">
        <f>IF($G7234&lt;&gt;"ALCOHOL","",IF($K7234="","",$H7234*IFERROR(VLOOKUP($K7234,Drink_Templates!$A:$G,7,FALSE),0)))</f>
        <v/>
      </c>
    </row>
    <row r="7235" ht="15" customHeight="1">
      <c r="C7235">
        <f>IF($B7235="","",INT($B7235))</f>
        <v/>
      </c>
      <c r="D7235">
        <f>IF($C7235="","",$C7235-WEEKDAY($C7235,2)+1)</f>
        <v/>
      </c>
      <c r="E7235">
        <f>IF($C7235="","",DATE(YEAR($C7235),MONTH($C7235),1))</f>
        <v/>
      </c>
      <c r="F7235">
        <f>IF($C7235="","",YEAR($C7235)&amp;"-Q"&amp;ROUNDUP(MONTH($C7235)/3,0))</f>
        <v/>
      </c>
      <c r="L7235">
        <f>IF($G7235&lt;&gt;"ALCOHOL","",IF($K7235="","",$H7235*IFERROR(VLOOKUP($K7235,Drink_Templates!$A:$G,7,FALSE),0)))</f>
        <v/>
      </c>
    </row>
    <row r="7236" ht="15" customHeight="1">
      <c r="C7236">
        <f>IF($B7236="","",INT($B7236))</f>
        <v/>
      </c>
      <c r="D7236">
        <f>IF($C7236="","",$C7236-WEEKDAY($C7236,2)+1)</f>
        <v/>
      </c>
      <c r="E7236">
        <f>IF($C7236="","",DATE(YEAR($C7236),MONTH($C7236),1))</f>
        <v/>
      </c>
      <c r="F7236">
        <f>IF($C7236="","",YEAR($C7236)&amp;"-Q"&amp;ROUNDUP(MONTH($C7236)/3,0))</f>
        <v/>
      </c>
      <c r="L7236">
        <f>IF($G7236&lt;&gt;"ALCOHOL","",IF($K7236="","",$H7236*IFERROR(VLOOKUP($K7236,Drink_Templates!$A:$G,7,FALSE),0)))</f>
        <v/>
      </c>
    </row>
    <row r="7237" ht="15" customHeight="1">
      <c r="C7237">
        <f>IF($B7237="","",INT($B7237))</f>
        <v/>
      </c>
      <c r="D7237">
        <f>IF($C7237="","",$C7237-WEEKDAY($C7237,2)+1)</f>
        <v/>
      </c>
      <c r="E7237">
        <f>IF($C7237="","",DATE(YEAR($C7237),MONTH($C7237),1))</f>
        <v/>
      </c>
      <c r="F7237">
        <f>IF($C7237="","",YEAR($C7237)&amp;"-Q"&amp;ROUNDUP(MONTH($C7237)/3,0))</f>
        <v/>
      </c>
      <c r="L7237">
        <f>IF($G7237&lt;&gt;"ALCOHOL","",IF($K7237="","",$H7237*IFERROR(VLOOKUP($K7237,Drink_Templates!$A:$G,7,FALSE),0)))</f>
        <v/>
      </c>
    </row>
    <row r="7238" ht="15" customHeight="1">
      <c r="C7238">
        <f>IF($B7238="","",INT($B7238))</f>
        <v/>
      </c>
      <c r="D7238">
        <f>IF($C7238="","",$C7238-WEEKDAY($C7238,2)+1)</f>
        <v/>
      </c>
      <c r="E7238">
        <f>IF($C7238="","",DATE(YEAR($C7238),MONTH($C7238),1))</f>
        <v/>
      </c>
      <c r="F7238">
        <f>IF($C7238="","",YEAR($C7238)&amp;"-Q"&amp;ROUNDUP(MONTH($C7238)/3,0))</f>
        <v/>
      </c>
      <c r="L7238">
        <f>IF($G7238&lt;&gt;"ALCOHOL","",IF($K7238="","",$H7238*IFERROR(VLOOKUP($K7238,Drink_Templates!$A:$G,7,FALSE),0)))</f>
        <v/>
      </c>
    </row>
    <row r="7239" ht="15" customHeight="1">
      <c r="C7239">
        <f>IF($B7239="","",INT($B7239))</f>
        <v/>
      </c>
      <c r="D7239">
        <f>IF($C7239="","",$C7239-WEEKDAY($C7239,2)+1)</f>
        <v/>
      </c>
      <c r="E7239">
        <f>IF($C7239="","",DATE(YEAR($C7239),MONTH($C7239),1))</f>
        <v/>
      </c>
      <c r="F7239">
        <f>IF($C7239="","",YEAR($C7239)&amp;"-Q"&amp;ROUNDUP(MONTH($C7239)/3,0))</f>
        <v/>
      </c>
      <c r="L7239">
        <f>IF($G7239&lt;&gt;"ALCOHOL","",IF($K7239="","",$H7239*IFERROR(VLOOKUP($K7239,Drink_Templates!$A:$G,7,FALSE),0)))</f>
        <v/>
      </c>
    </row>
    <row r="7240" ht="15" customHeight="1">
      <c r="C7240">
        <f>IF($B7240="","",INT($B7240))</f>
        <v/>
      </c>
      <c r="D7240">
        <f>IF($C7240="","",$C7240-WEEKDAY($C7240,2)+1)</f>
        <v/>
      </c>
      <c r="E7240">
        <f>IF($C7240="","",DATE(YEAR($C7240),MONTH($C7240),1))</f>
        <v/>
      </c>
      <c r="F7240">
        <f>IF($C7240="","",YEAR($C7240)&amp;"-Q"&amp;ROUNDUP(MONTH($C7240)/3,0))</f>
        <v/>
      </c>
      <c r="L7240">
        <f>IF($G7240&lt;&gt;"ALCOHOL","",IF($K7240="","",$H7240*IFERROR(VLOOKUP($K7240,Drink_Templates!$A:$G,7,FALSE),0)))</f>
        <v/>
      </c>
    </row>
    <row r="7241" ht="15" customHeight="1">
      <c r="C7241">
        <f>IF($B7241="","",INT($B7241))</f>
        <v/>
      </c>
      <c r="D7241">
        <f>IF($C7241="","",$C7241-WEEKDAY($C7241,2)+1)</f>
        <v/>
      </c>
      <c r="E7241">
        <f>IF($C7241="","",DATE(YEAR($C7241),MONTH($C7241),1))</f>
        <v/>
      </c>
      <c r="F7241">
        <f>IF($C7241="","",YEAR($C7241)&amp;"-Q"&amp;ROUNDUP(MONTH($C7241)/3,0))</f>
        <v/>
      </c>
      <c r="L7241">
        <f>IF($G7241&lt;&gt;"ALCOHOL","",IF($K7241="","",$H7241*IFERROR(VLOOKUP($K7241,Drink_Templates!$A:$G,7,FALSE),0)))</f>
        <v/>
      </c>
    </row>
    <row r="7242" ht="15" customHeight="1">
      <c r="C7242">
        <f>IF($B7242="","",INT($B7242))</f>
        <v/>
      </c>
      <c r="D7242">
        <f>IF($C7242="","",$C7242-WEEKDAY($C7242,2)+1)</f>
        <v/>
      </c>
      <c r="E7242">
        <f>IF($C7242="","",DATE(YEAR($C7242),MONTH($C7242),1))</f>
        <v/>
      </c>
      <c r="F7242">
        <f>IF($C7242="","",YEAR($C7242)&amp;"-Q"&amp;ROUNDUP(MONTH($C7242)/3,0))</f>
        <v/>
      </c>
      <c r="L7242">
        <f>IF($G7242&lt;&gt;"ALCOHOL","",IF($K7242="","",$H7242*IFERROR(VLOOKUP($K7242,Drink_Templates!$A:$G,7,FALSE),0)))</f>
        <v/>
      </c>
    </row>
    <row r="7243" ht="15" customHeight="1">
      <c r="C7243">
        <f>IF($B7243="","",INT($B7243))</f>
        <v/>
      </c>
      <c r="D7243">
        <f>IF($C7243="","",$C7243-WEEKDAY($C7243,2)+1)</f>
        <v/>
      </c>
      <c r="E7243">
        <f>IF($C7243="","",DATE(YEAR($C7243),MONTH($C7243),1))</f>
        <v/>
      </c>
      <c r="F7243">
        <f>IF($C7243="","",YEAR($C7243)&amp;"-Q"&amp;ROUNDUP(MONTH($C7243)/3,0))</f>
        <v/>
      </c>
      <c r="L7243">
        <f>IF($G7243&lt;&gt;"ALCOHOL","",IF($K7243="","",$H7243*IFERROR(VLOOKUP($K7243,Drink_Templates!$A:$G,7,FALSE),0)))</f>
        <v/>
      </c>
    </row>
    <row r="7244" ht="15" customHeight="1">
      <c r="C7244">
        <f>IF($B7244="","",INT($B7244))</f>
        <v/>
      </c>
      <c r="D7244">
        <f>IF($C7244="","",$C7244-WEEKDAY($C7244,2)+1)</f>
        <v/>
      </c>
      <c r="E7244">
        <f>IF($C7244="","",DATE(YEAR($C7244),MONTH($C7244),1))</f>
        <v/>
      </c>
      <c r="F7244">
        <f>IF($C7244="","",YEAR($C7244)&amp;"-Q"&amp;ROUNDUP(MONTH($C7244)/3,0))</f>
        <v/>
      </c>
      <c r="L7244">
        <f>IF($G7244&lt;&gt;"ALCOHOL","",IF($K7244="","",$H7244*IFERROR(VLOOKUP($K7244,Drink_Templates!$A:$G,7,FALSE),0)))</f>
        <v/>
      </c>
    </row>
    <row r="7245" ht="15" customHeight="1">
      <c r="C7245">
        <f>IF($B7245="","",INT($B7245))</f>
        <v/>
      </c>
      <c r="D7245">
        <f>IF($C7245="","",$C7245-WEEKDAY($C7245,2)+1)</f>
        <v/>
      </c>
      <c r="E7245">
        <f>IF($C7245="","",DATE(YEAR($C7245),MONTH($C7245),1))</f>
        <v/>
      </c>
      <c r="F7245">
        <f>IF($C7245="","",YEAR($C7245)&amp;"-Q"&amp;ROUNDUP(MONTH($C7245)/3,0))</f>
        <v/>
      </c>
      <c r="L7245">
        <f>IF($G7245&lt;&gt;"ALCOHOL","",IF($K7245="","",$H7245*IFERROR(VLOOKUP($K7245,Drink_Templates!$A:$G,7,FALSE),0)))</f>
        <v/>
      </c>
    </row>
    <row r="7246" ht="15" customHeight="1">
      <c r="C7246">
        <f>IF($B7246="","",INT($B7246))</f>
        <v/>
      </c>
      <c r="D7246">
        <f>IF($C7246="","",$C7246-WEEKDAY($C7246,2)+1)</f>
        <v/>
      </c>
      <c r="E7246">
        <f>IF($C7246="","",DATE(YEAR($C7246),MONTH($C7246),1))</f>
        <v/>
      </c>
      <c r="F7246">
        <f>IF($C7246="","",YEAR($C7246)&amp;"-Q"&amp;ROUNDUP(MONTH($C7246)/3,0))</f>
        <v/>
      </c>
      <c r="L7246">
        <f>IF($G7246&lt;&gt;"ALCOHOL","",IF($K7246="","",$H7246*IFERROR(VLOOKUP($K7246,Drink_Templates!$A:$G,7,FALSE),0)))</f>
        <v/>
      </c>
    </row>
    <row r="7247" ht="15" customHeight="1">
      <c r="C7247">
        <f>IF($B7247="","",INT($B7247))</f>
        <v/>
      </c>
      <c r="D7247">
        <f>IF($C7247="","",$C7247-WEEKDAY($C7247,2)+1)</f>
        <v/>
      </c>
      <c r="E7247">
        <f>IF($C7247="","",DATE(YEAR($C7247),MONTH($C7247),1))</f>
        <v/>
      </c>
      <c r="F7247">
        <f>IF($C7247="","",YEAR($C7247)&amp;"-Q"&amp;ROUNDUP(MONTH($C7247)/3,0))</f>
        <v/>
      </c>
      <c r="L7247">
        <f>IF($G7247&lt;&gt;"ALCOHOL","",IF($K7247="","",$H7247*IFERROR(VLOOKUP($K7247,Drink_Templates!$A:$G,7,FALSE),0)))</f>
        <v/>
      </c>
    </row>
    <row r="7248" ht="15" customHeight="1">
      <c r="C7248">
        <f>IF($B7248="","",INT($B7248))</f>
        <v/>
      </c>
      <c r="D7248">
        <f>IF($C7248="","",$C7248-WEEKDAY($C7248,2)+1)</f>
        <v/>
      </c>
      <c r="E7248">
        <f>IF($C7248="","",DATE(YEAR($C7248),MONTH($C7248),1))</f>
        <v/>
      </c>
      <c r="F7248">
        <f>IF($C7248="","",YEAR($C7248)&amp;"-Q"&amp;ROUNDUP(MONTH($C7248)/3,0))</f>
        <v/>
      </c>
      <c r="L7248">
        <f>IF($G7248&lt;&gt;"ALCOHOL","",IF($K7248="","",$H7248*IFERROR(VLOOKUP($K7248,Drink_Templates!$A:$G,7,FALSE),0)))</f>
        <v/>
      </c>
    </row>
    <row r="7249" ht="15" customHeight="1">
      <c r="C7249">
        <f>IF($B7249="","",INT($B7249))</f>
        <v/>
      </c>
      <c r="D7249">
        <f>IF($C7249="","",$C7249-WEEKDAY($C7249,2)+1)</f>
        <v/>
      </c>
      <c r="E7249">
        <f>IF($C7249="","",DATE(YEAR($C7249),MONTH($C7249),1))</f>
        <v/>
      </c>
      <c r="F7249">
        <f>IF($C7249="","",YEAR($C7249)&amp;"-Q"&amp;ROUNDUP(MONTH($C7249)/3,0))</f>
        <v/>
      </c>
      <c r="L7249">
        <f>IF($G7249&lt;&gt;"ALCOHOL","",IF($K7249="","",$H7249*IFERROR(VLOOKUP($K7249,Drink_Templates!$A:$G,7,FALSE),0)))</f>
        <v/>
      </c>
    </row>
    <row r="7250" ht="15" customHeight="1">
      <c r="C7250">
        <f>IF($B7250="","",INT($B7250))</f>
        <v/>
      </c>
      <c r="D7250">
        <f>IF($C7250="","",$C7250-WEEKDAY($C7250,2)+1)</f>
        <v/>
      </c>
      <c r="E7250">
        <f>IF($C7250="","",DATE(YEAR($C7250),MONTH($C7250),1))</f>
        <v/>
      </c>
      <c r="F7250">
        <f>IF($C7250="","",YEAR($C7250)&amp;"-Q"&amp;ROUNDUP(MONTH($C7250)/3,0))</f>
        <v/>
      </c>
      <c r="L7250">
        <f>IF($G7250&lt;&gt;"ALCOHOL","",IF($K7250="","",$H7250*IFERROR(VLOOKUP($K7250,Drink_Templates!$A:$G,7,FALSE),0)))</f>
        <v/>
      </c>
    </row>
    <row r="7251" ht="15" customHeight="1">
      <c r="C7251">
        <f>IF($B7251="","",INT($B7251))</f>
        <v/>
      </c>
      <c r="D7251">
        <f>IF($C7251="","",$C7251-WEEKDAY($C7251,2)+1)</f>
        <v/>
      </c>
      <c r="E7251">
        <f>IF($C7251="","",DATE(YEAR($C7251),MONTH($C7251),1))</f>
        <v/>
      </c>
      <c r="F7251">
        <f>IF($C7251="","",YEAR($C7251)&amp;"-Q"&amp;ROUNDUP(MONTH($C7251)/3,0))</f>
        <v/>
      </c>
      <c r="L7251">
        <f>IF($G7251&lt;&gt;"ALCOHOL","",IF($K7251="","",$H7251*IFERROR(VLOOKUP($K7251,Drink_Templates!$A:$G,7,FALSE),0)))</f>
        <v/>
      </c>
    </row>
    <row r="7252" ht="15" customHeight="1">
      <c r="C7252">
        <f>IF($B7252="","",INT($B7252))</f>
        <v/>
      </c>
      <c r="D7252">
        <f>IF($C7252="","",$C7252-WEEKDAY($C7252,2)+1)</f>
        <v/>
      </c>
      <c r="E7252">
        <f>IF($C7252="","",DATE(YEAR($C7252),MONTH($C7252),1))</f>
        <v/>
      </c>
      <c r="F7252">
        <f>IF($C7252="","",YEAR($C7252)&amp;"-Q"&amp;ROUNDUP(MONTH($C7252)/3,0))</f>
        <v/>
      </c>
      <c r="L7252">
        <f>IF($G7252&lt;&gt;"ALCOHOL","",IF($K7252="","",$H7252*IFERROR(VLOOKUP($K7252,Drink_Templates!$A:$G,7,FALSE),0)))</f>
        <v/>
      </c>
    </row>
    <row r="7253" ht="15" customHeight="1">
      <c r="C7253">
        <f>IF($B7253="","",INT($B7253))</f>
        <v/>
      </c>
      <c r="D7253">
        <f>IF($C7253="","",$C7253-WEEKDAY($C7253,2)+1)</f>
        <v/>
      </c>
      <c r="E7253">
        <f>IF($C7253="","",DATE(YEAR($C7253),MONTH($C7253),1))</f>
        <v/>
      </c>
      <c r="F7253">
        <f>IF($C7253="","",YEAR($C7253)&amp;"-Q"&amp;ROUNDUP(MONTH($C7253)/3,0))</f>
        <v/>
      </c>
      <c r="L7253">
        <f>IF($G7253&lt;&gt;"ALCOHOL","",IF($K7253="","",$H7253*IFERROR(VLOOKUP($K7253,Drink_Templates!$A:$G,7,FALSE),0)))</f>
        <v/>
      </c>
    </row>
    <row r="7254" ht="15" customHeight="1">
      <c r="C7254">
        <f>IF($B7254="","",INT($B7254))</f>
        <v/>
      </c>
      <c r="D7254">
        <f>IF($C7254="","",$C7254-WEEKDAY($C7254,2)+1)</f>
        <v/>
      </c>
      <c r="E7254">
        <f>IF($C7254="","",DATE(YEAR($C7254),MONTH($C7254),1))</f>
        <v/>
      </c>
      <c r="F7254">
        <f>IF($C7254="","",YEAR($C7254)&amp;"-Q"&amp;ROUNDUP(MONTH($C7254)/3,0))</f>
        <v/>
      </c>
      <c r="L7254">
        <f>IF($G7254&lt;&gt;"ALCOHOL","",IF($K7254="","",$H7254*IFERROR(VLOOKUP($K7254,Drink_Templates!$A:$G,7,FALSE),0)))</f>
        <v/>
      </c>
    </row>
    <row r="7255" ht="15" customHeight="1">
      <c r="C7255">
        <f>IF($B7255="","",INT($B7255))</f>
        <v/>
      </c>
      <c r="D7255">
        <f>IF($C7255="","",$C7255-WEEKDAY($C7255,2)+1)</f>
        <v/>
      </c>
      <c r="E7255">
        <f>IF($C7255="","",DATE(YEAR($C7255),MONTH($C7255),1))</f>
        <v/>
      </c>
      <c r="F7255">
        <f>IF($C7255="","",YEAR($C7255)&amp;"-Q"&amp;ROUNDUP(MONTH($C7255)/3,0))</f>
        <v/>
      </c>
      <c r="L7255">
        <f>IF($G7255&lt;&gt;"ALCOHOL","",IF($K7255="","",$H7255*IFERROR(VLOOKUP($K7255,Drink_Templates!$A:$G,7,FALSE),0)))</f>
        <v/>
      </c>
    </row>
    <row r="7256" ht="15" customHeight="1">
      <c r="C7256">
        <f>IF($B7256="","",INT($B7256))</f>
        <v/>
      </c>
      <c r="D7256">
        <f>IF($C7256="","",$C7256-WEEKDAY($C7256,2)+1)</f>
        <v/>
      </c>
      <c r="E7256">
        <f>IF($C7256="","",DATE(YEAR($C7256),MONTH($C7256),1))</f>
        <v/>
      </c>
      <c r="F7256">
        <f>IF($C7256="","",YEAR($C7256)&amp;"-Q"&amp;ROUNDUP(MONTH($C7256)/3,0))</f>
        <v/>
      </c>
      <c r="L7256">
        <f>IF($G7256&lt;&gt;"ALCOHOL","",IF($K7256="","",$H7256*IFERROR(VLOOKUP($K7256,Drink_Templates!$A:$G,7,FALSE),0)))</f>
        <v/>
      </c>
    </row>
    <row r="7257" ht="15" customHeight="1">
      <c r="C7257">
        <f>IF($B7257="","",INT($B7257))</f>
        <v/>
      </c>
      <c r="D7257">
        <f>IF($C7257="","",$C7257-WEEKDAY($C7257,2)+1)</f>
        <v/>
      </c>
      <c r="E7257">
        <f>IF($C7257="","",DATE(YEAR($C7257),MONTH($C7257),1))</f>
        <v/>
      </c>
      <c r="F7257">
        <f>IF($C7257="","",YEAR($C7257)&amp;"-Q"&amp;ROUNDUP(MONTH($C7257)/3,0))</f>
        <v/>
      </c>
      <c r="L7257">
        <f>IF($G7257&lt;&gt;"ALCOHOL","",IF($K7257="","",$H7257*IFERROR(VLOOKUP($K7257,Drink_Templates!$A:$G,7,FALSE),0)))</f>
        <v/>
      </c>
    </row>
    <row r="7258" ht="15" customHeight="1">
      <c r="C7258">
        <f>IF($B7258="","",INT($B7258))</f>
        <v/>
      </c>
      <c r="D7258">
        <f>IF($C7258="","",$C7258-WEEKDAY($C7258,2)+1)</f>
        <v/>
      </c>
      <c r="E7258">
        <f>IF($C7258="","",DATE(YEAR($C7258),MONTH($C7258),1))</f>
        <v/>
      </c>
      <c r="F7258">
        <f>IF($C7258="","",YEAR($C7258)&amp;"-Q"&amp;ROUNDUP(MONTH($C7258)/3,0))</f>
        <v/>
      </c>
      <c r="L7258">
        <f>IF($G7258&lt;&gt;"ALCOHOL","",IF($K7258="","",$H7258*IFERROR(VLOOKUP($K7258,Drink_Templates!$A:$G,7,FALSE),0)))</f>
        <v/>
      </c>
    </row>
    <row r="7259" ht="15" customHeight="1">
      <c r="C7259">
        <f>IF($B7259="","",INT($B7259))</f>
        <v/>
      </c>
      <c r="D7259">
        <f>IF($C7259="","",$C7259-WEEKDAY($C7259,2)+1)</f>
        <v/>
      </c>
      <c r="E7259">
        <f>IF($C7259="","",DATE(YEAR($C7259),MONTH($C7259),1))</f>
        <v/>
      </c>
      <c r="F7259">
        <f>IF($C7259="","",YEAR($C7259)&amp;"-Q"&amp;ROUNDUP(MONTH($C7259)/3,0))</f>
        <v/>
      </c>
      <c r="L7259">
        <f>IF($G7259&lt;&gt;"ALCOHOL","",IF($K7259="","",$H7259*IFERROR(VLOOKUP($K7259,Drink_Templates!$A:$G,7,FALSE),0)))</f>
        <v/>
      </c>
    </row>
    <row r="7260" ht="15" customHeight="1">
      <c r="C7260">
        <f>IF($B7260="","",INT($B7260))</f>
        <v/>
      </c>
      <c r="D7260">
        <f>IF($C7260="","",$C7260-WEEKDAY($C7260,2)+1)</f>
        <v/>
      </c>
      <c r="E7260">
        <f>IF($C7260="","",DATE(YEAR($C7260),MONTH($C7260),1))</f>
        <v/>
      </c>
      <c r="F7260">
        <f>IF($C7260="","",YEAR($C7260)&amp;"-Q"&amp;ROUNDUP(MONTH($C7260)/3,0))</f>
        <v/>
      </c>
      <c r="L7260">
        <f>IF($G7260&lt;&gt;"ALCOHOL","",IF($K7260="","",$H7260*IFERROR(VLOOKUP($K7260,Drink_Templates!$A:$G,7,FALSE),0)))</f>
        <v/>
      </c>
    </row>
    <row r="7261" ht="15" customHeight="1">
      <c r="C7261">
        <f>IF($B7261="","",INT($B7261))</f>
        <v/>
      </c>
      <c r="D7261">
        <f>IF($C7261="","",$C7261-WEEKDAY($C7261,2)+1)</f>
        <v/>
      </c>
      <c r="E7261">
        <f>IF($C7261="","",DATE(YEAR($C7261),MONTH($C7261),1))</f>
        <v/>
      </c>
      <c r="F7261">
        <f>IF($C7261="","",YEAR($C7261)&amp;"-Q"&amp;ROUNDUP(MONTH($C7261)/3,0))</f>
        <v/>
      </c>
      <c r="L7261">
        <f>IF($G7261&lt;&gt;"ALCOHOL","",IF($K7261="","",$H7261*IFERROR(VLOOKUP($K7261,Drink_Templates!$A:$G,7,FALSE),0)))</f>
        <v/>
      </c>
    </row>
    <row r="7262" ht="15" customHeight="1">
      <c r="C7262">
        <f>IF($B7262="","",INT($B7262))</f>
        <v/>
      </c>
      <c r="D7262">
        <f>IF($C7262="","",$C7262-WEEKDAY($C7262,2)+1)</f>
        <v/>
      </c>
      <c r="E7262">
        <f>IF($C7262="","",DATE(YEAR($C7262),MONTH($C7262),1))</f>
        <v/>
      </c>
      <c r="F7262">
        <f>IF($C7262="","",YEAR($C7262)&amp;"-Q"&amp;ROUNDUP(MONTH($C7262)/3,0))</f>
        <v/>
      </c>
      <c r="L7262">
        <f>IF($G7262&lt;&gt;"ALCOHOL","",IF($K7262="","",$H7262*IFERROR(VLOOKUP($K7262,Drink_Templates!$A:$G,7,FALSE),0)))</f>
        <v/>
      </c>
    </row>
    <row r="7263" ht="15" customHeight="1">
      <c r="C7263">
        <f>IF($B7263="","",INT($B7263))</f>
        <v/>
      </c>
      <c r="D7263">
        <f>IF($C7263="","",$C7263-WEEKDAY($C7263,2)+1)</f>
        <v/>
      </c>
      <c r="E7263">
        <f>IF($C7263="","",DATE(YEAR($C7263),MONTH($C7263),1))</f>
        <v/>
      </c>
      <c r="F7263">
        <f>IF($C7263="","",YEAR($C7263)&amp;"-Q"&amp;ROUNDUP(MONTH($C7263)/3,0))</f>
        <v/>
      </c>
      <c r="L7263">
        <f>IF($G7263&lt;&gt;"ALCOHOL","",IF($K7263="","",$H7263*IFERROR(VLOOKUP($K7263,Drink_Templates!$A:$G,7,FALSE),0)))</f>
        <v/>
      </c>
    </row>
    <row r="7264" ht="15" customHeight="1">
      <c r="C7264">
        <f>IF($B7264="","",INT($B7264))</f>
        <v/>
      </c>
      <c r="D7264">
        <f>IF($C7264="","",$C7264-WEEKDAY($C7264,2)+1)</f>
        <v/>
      </c>
      <c r="E7264">
        <f>IF($C7264="","",DATE(YEAR($C7264),MONTH($C7264),1))</f>
        <v/>
      </c>
      <c r="F7264">
        <f>IF($C7264="","",YEAR($C7264)&amp;"-Q"&amp;ROUNDUP(MONTH($C7264)/3,0))</f>
        <v/>
      </c>
      <c r="L7264">
        <f>IF($G7264&lt;&gt;"ALCOHOL","",IF($K7264="","",$H7264*IFERROR(VLOOKUP($K7264,Drink_Templates!$A:$G,7,FALSE),0)))</f>
        <v/>
      </c>
    </row>
    <row r="7265" ht="15" customHeight="1">
      <c r="C7265">
        <f>IF($B7265="","",INT($B7265))</f>
        <v/>
      </c>
      <c r="D7265">
        <f>IF($C7265="","",$C7265-WEEKDAY($C7265,2)+1)</f>
        <v/>
      </c>
      <c r="E7265">
        <f>IF($C7265="","",DATE(YEAR($C7265),MONTH($C7265),1))</f>
        <v/>
      </c>
      <c r="F7265">
        <f>IF($C7265="","",YEAR($C7265)&amp;"-Q"&amp;ROUNDUP(MONTH($C7265)/3,0))</f>
        <v/>
      </c>
      <c r="L7265">
        <f>IF($G7265&lt;&gt;"ALCOHOL","",IF($K7265="","",$H7265*IFERROR(VLOOKUP($K7265,Drink_Templates!$A:$G,7,FALSE),0)))</f>
        <v/>
      </c>
    </row>
    <row r="7266" ht="15" customHeight="1">
      <c r="C7266">
        <f>IF($B7266="","",INT($B7266))</f>
        <v/>
      </c>
      <c r="D7266">
        <f>IF($C7266="","",$C7266-WEEKDAY($C7266,2)+1)</f>
        <v/>
      </c>
      <c r="E7266">
        <f>IF($C7266="","",DATE(YEAR($C7266),MONTH($C7266),1))</f>
        <v/>
      </c>
      <c r="F7266">
        <f>IF($C7266="","",YEAR($C7266)&amp;"-Q"&amp;ROUNDUP(MONTH($C7266)/3,0))</f>
        <v/>
      </c>
      <c r="L7266">
        <f>IF($G7266&lt;&gt;"ALCOHOL","",IF($K7266="","",$H7266*IFERROR(VLOOKUP($K7266,Drink_Templates!$A:$G,7,FALSE),0)))</f>
        <v/>
      </c>
    </row>
    <row r="7267" ht="15" customHeight="1">
      <c r="C7267">
        <f>IF($B7267="","",INT($B7267))</f>
        <v/>
      </c>
      <c r="D7267">
        <f>IF($C7267="","",$C7267-WEEKDAY($C7267,2)+1)</f>
        <v/>
      </c>
      <c r="E7267">
        <f>IF($C7267="","",DATE(YEAR($C7267),MONTH($C7267),1))</f>
        <v/>
      </c>
      <c r="F7267">
        <f>IF($C7267="","",YEAR($C7267)&amp;"-Q"&amp;ROUNDUP(MONTH($C7267)/3,0))</f>
        <v/>
      </c>
      <c r="L7267">
        <f>IF($G7267&lt;&gt;"ALCOHOL","",IF($K7267="","",$H7267*IFERROR(VLOOKUP($K7267,Drink_Templates!$A:$G,7,FALSE),0)))</f>
        <v/>
      </c>
    </row>
    <row r="7268" ht="15" customHeight="1">
      <c r="C7268">
        <f>IF($B7268="","",INT($B7268))</f>
        <v/>
      </c>
      <c r="D7268">
        <f>IF($C7268="","",$C7268-WEEKDAY($C7268,2)+1)</f>
        <v/>
      </c>
      <c r="E7268">
        <f>IF($C7268="","",DATE(YEAR($C7268),MONTH($C7268),1))</f>
        <v/>
      </c>
      <c r="F7268">
        <f>IF($C7268="","",YEAR($C7268)&amp;"-Q"&amp;ROUNDUP(MONTH($C7268)/3,0))</f>
        <v/>
      </c>
      <c r="L7268">
        <f>IF($G7268&lt;&gt;"ALCOHOL","",IF($K7268="","",$H7268*IFERROR(VLOOKUP($K7268,Drink_Templates!$A:$G,7,FALSE),0)))</f>
        <v/>
      </c>
    </row>
    <row r="7269" ht="15" customHeight="1">
      <c r="C7269">
        <f>IF($B7269="","",INT($B7269))</f>
        <v/>
      </c>
      <c r="D7269">
        <f>IF($C7269="","",$C7269-WEEKDAY($C7269,2)+1)</f>
        <v/>
      </c>
      <c r="E7269">
        <f>IF($C7269="","",DATE(YEAR($C7269),MONTH($C7269),1))</f>
        <v/>
      </c>
      <c r="F7269">
        <f>IF($C7269="","",YEAR($C7269)&amp;"-Q"&amp;ROUNDUP(MONTH($C7269)/3,0))</f>
        <v/>
      </c>
      <c r="L7269">
        <f>IF($G7269&lt;&gt;"ALCOHOL","",IF($K7269="","",$H7269*IFERROR(VLOOKUP($K7269,Drink_Templates!$A:$G,7,FALSE),0)))</f>
        <v/>
      </c>
    </row>
    <row r="7270" ht="15" customHeight="1">
      <c r="C7270">
        <f>IF($B7270="","",INT($B7270))</f>
        <v/>
      </c>
      <c r="D7270">
        <f>IF($C7270="","",$C7270-WEEKDAY($C7270,2)+1)</f>
        <v/>
      </c>
      <c r="E7270">
        <f>IF($C7270="","",DATE(YEAR($C7270),MONTH($C7270),1))</f>
        <v/>
      </c>
      <c r="F7270">
        <f>IF($C7270="","",YEAR($C7270)&amp;"-Q"&amp;ROUNDUP(MONTH($C7270)/3,0))</f>
        <v/>
      </c>
      <c r="L7270">
        <f>IF($G7270&lt;&gt;"ALCOHOL","",IF($K7270="","",$H7270*IFERROR(VLOOKUP($K7270,Drink_Templates!$A:$G,7,FALSE),0)))</f>
        <v/>
      </c>
    </row>
    <row r="7271" ht="15" customHeight="1">
      <c r="C7271">
        <f>IF($B7271="","",INT($B7271))</f>
        <v/>
      </c>
      <c r="D7271">
        <f>IF($C7271="","",$C7271-WEEKDAY($C7271,2)+1)</f>
        <v/>
      </c>
      <c r="E7271">
        <f>IF($C7271="","",DATE(YEAR($C7271),MONTH($C7271),1))</f>
        <v/>
      </c>
      <c r="F7271">
        <f>IF($C7271="","",YEAR($C7271)&amp;"-Q"&amp;ROUNDUP(MONTH($C7271)/3,0))</f>
        <v/>
      </c>
      <c r="L7271">
        <f>IF($G7271&lt;&gt;"ALCOHOL","",IF($K7271="","",$H7271*IFERROR(VLOOKUP($K7271,Drink_Templates!$A:$G,7,FALSE),0)))</f>
        <v/>
      </c>
    </row>
    <row r="7272" ht="15" customHeight="1">
      <c r="C7272">
        <f>IF($B7272="","",INT($B7272))</f>
        <v/>
      </c>
      <c r="D7272">
        <f>IF($C7272="","",$C7272-WEEKDAY($C7272,2)+1)</f>
        <v/>
      </c>
      <c r="E7272">
        <f>IF($C7272="","",DATE(YEAR($C7272),MONTH($C7272),1))</f>
        <v/>
      </c>
      <c r="F7272">
        <f>IF($C7272="","",YEAR($C7272)&amp;"-Q"&amp;ROUNDUP(MONTH($C7272)/3,0))</f>
        <v/>
      </c>
      <c r="L7272">
        <f>IF($G7272&lt;&gt;"ALCOHOL","",IF($K7272="","",$H7272*IFERROR(VLOOKUP($K7272,Drink_Templates!$A:$G,7,FALSE),0)))</f>
        <v/>
      </c>
    </row>
    <row r="7273" ht="15" customHeight="1">
      <c r="C7273">
        <f>IF($B7273="","",INT($B7273))</f>
        <v/>
      </c>
      <c r="D7273">
        <f>IF($C7273="","",$C7273-WEEKDAY($C7273,2)+1)</f>
        <v/>
      </c>
      <c r="E7273">
        <f>IF($C7273="","",DATE(YEAR($C7273),MONTH($C7273),1))</f>
        <v/>
      </c>
      <c r="F7273">
        <f>IF($C7273="","",YEAR($C7273)&amp;"-Q"&amp;ROUNDUP(MONTH($C7273)/3,0))</f>
        <v/>
      </c>
      <c r="L7273">
        <f>IF($G7273&lt;&gt;"ALCOHOL","",IF($K7273="","",$H7273*IFERROR(VLOOKUP($K7273,Drink_Templates!$A:$G,7,FALSE),0)))</f>
        <v/>
      </c>
    </row>
    <row r="7274" ht="15" customHeight="1">
      <c r="C7274">
        <f>IF($B7274="","",INT($B7274))</f>
        <v/>
      </c>
      <c r="D7274">
        <f>IF($C7274="","",$C7274-WEEKDAY($C7274,2)+1)</f>
        <v/>
      </c>
      <c r="E7274">
        <f>IF($C7274="","",DATE(YEAR($C7274),MONTH($C7274),1))</f>
        <v/>
      </c>
      <c r="F7274">
        <f>IF($C7274="","",YEAR($C7274)&amp;"-Q"&amp;ROUNDUP(MONTH($C7274)/3,0))</f>
        <v/>
      </c>
      <c r="L7274">
        <f>IF($G7274&lt;&gt;"ALCOHOL","",IF($K7274="","",$H7274*IFERROR(VLOOKUP($K7274,Drink_Templates!$A:$G,7,FALSE),0)))</f>
        <v/>
      </c>
    </row>
    <row r="7275" ht="15" customHeight="1">
      <c r="C7275">
        <f>IF($B7275="","",INT($B7275))</f>
        <v/>
      </c>
      <c r="D7275">
        <f>IF($C7275="","",$C7275-WEEKDAY($C7275,2)+1)</f>
        <v/>
      </c>
      <c r="E7275">
        <f>IF($C7275="","",DATE(YEAR($C7275),MONTH($C7275),1))</f>
        <v/>
      </c>
      <c r="F7275">
        <f>IF($C7275="","",YEAR($C7275)&amp;"-Q"&amp;ROUNDUP(MONTH($C7275)/3,0))</f>
        <v/>
      </c>
      <c r="L7275">
        <f>IF($G7275&lt;&gt;"ALCOHOL","",IF($K7275="","",$H7275*IFERROR(VLOOKUP($K7275,Drink_Templates!$A:$G,7,FALSE),0)))</f>
        <v/>
      </c>
    </row>
    <row r="7276" ht="15" customHeight="1">
      <c r="C7276">
        <f>IF($B7276="","",INT($B7276))</f>
        <v/>
      </c>
      <c r="D7276">
        <f>IF($C7276="","",$C7276-WEEKDAY($C7276,2)+1)</f>
        <v/>
      </c>
      <c r="E7276">
        <f>IF($C7276="","",DATE(YEAR($C7276),MONTH($C7276),1))</f>
        <v/>
      </c>
      <c r="F7276">
        <f>IF($C7276="","",YEAR($C7276)&amp;"-Q"&amp;ROUNDUP(MONTH($C7276)/3,0))</f>
        <v/>
      </c>
      <c r="L7276">
        <f>IF($G7276&lt;&gt;"ALCOHOL","",IF($K7276="","",$H7276*IFERROR(VLOOKUP($K7276,Drink_Templates!$A:$G,7,FALSE),0)))</f>
        <v/>
      </c>
    </row>
    <row r="7277" ht="15" customHeight="1">
      <c r="C7277">
        <f>IF($B7277="","",INT($B7277))</f>
        <v/>
      </c>
      <c r="D7277">
        <f>IF($C7277="","",$C7277-WEEKDAY($C7277,2)+1)</f>
        <v/>
      </c>
      <c r="E7277">
        <f>IF($C7277="","",DATE(YEAR($C7277),MONTH($C7277),1))</f>
        <v/>
      </c>
      <c r="F7277">
        <f>IF($C7277="","",YEAR($C7277)&amp;"-Q"&amp;ROUNDUP(MONTH($C7277)/3,0))</f>
        <v/>
      </c>
      <c r="L7277">
        <f>IF($G7277&lt;&gt;"ALCOHOL","",IF($K7277="","",$H7277*IFERROR(VLOOKUP($K7277,Drink_Templates!$A:$G,7,FALSE),0)))</f>
        <v/>
      </c>
    </row>
    <row r="7278" ht="15" customHeight="1">
      <c r="C7278">
        <f>IF($B7278="","",INT($B7278))</f>
        <v/>
      </c>
      <c r="D7278">
        <f>IF($C7278="","",$C7278-WEEKDAY($C7278,2)+1)</f>
        <v/>
      </c>
      <c r="E7278">
        <f>IF($C7278="","",DATE(YEAR($C7278),MONTH($C7278),1))</f>
        <v/>
      </c>
      <c r="F7278">
        <f>IF($C7278="","",YEAR($C7278)&amp;"-Q"&amp;ROUNDUP(MONTH($C7278)/3,0))</f>
        <v/>
      </c>
      <c r="L7278">
        <f>IF($G7278&lt;&gt;"ALCOHOL","",IF($K7278="","",$H7278*IFERROR(VLOOKUP($K7278,Drink_Templates!$A:$G,7,FALSE),0)))</f>
        <v/>
      </c>
    </row>
    <row r="7279" ht="15" customHeight="1">
      <c r="C7279">
        <f>IF($B7279="","",INT($B7279))</f>
        <v/>
      </c>
      <c r="D7279">
        <f>IF($C7279="","",$C7279-WEEKDAY($C7279,2)+1)</f>
        <v/>
      </c>
      <c r="E7279">
        <f>IF($C7279="","",DATE(YEAR($C7279),MONTH($C7279),1))</f>
        <v/>
      </c>
      <c r="F7279">
        <f>IF($C7279="","",YEAR($C7279)&amp;"-Q"&amp;ROUNDUP(MONTH($C7279)/3,0))</f>
        <v/>
      </c>
      <c r="L7279">
        <f>IF($G7279&lt;&gt;"ALCOHOL","",IF($K7279="","",$H7279*IFERROR(VLOOKUP($K7279,Drink_Templates!$A:$G,7,FALSE),0)))</f>
        <v/>
      </c>
    </row>
    <row r="7280" ht="15" customHeight="1">
      <c r="C7280">
        <f>IF($B7280="","",INT($B7280))</f>
        <v/>
      </c>
      <c r="D7280">
        <f>IF($C7280="","",$C7280-WEEKDAY($C7280,2)+1)</f>
        <v/>
      </c>
      <c r="E7280">
        <f>IF($C7280="","",DATE(YEAR($C7280),MONTH($C7280),1))</f>
        <v/>
      </c>
      <c r="F7280">
        <f>IF($C7280="","",YEAR($C7280)&amp;"-Q"&amp;ROUNDUP(MONTH($C7280)/3,0))</f>
        <v/>
      </c>
      <c r="L7280">
        <f>IF($G7280&lt;&gt;"ALCOHOL","",IF($K7280="","",$H7280*IFERROR(VLOOKUP($K7280,Drink_Templates!$A:$G,7,FALSE),0)))</f>
        <v/>
      </c>
    </row>
    <row r="7281" ht="15" customHeight="1">
      <c r="C7281">
        <f>IF($B7281="","",INT($B7281))</f>
        <v/>
      </c>
      <c r="D7281">
        <f>IF($C7281="","",$C7281-WEEKDAY($C7281,2)+1)</f>
        <v/>
      </c>
      <c r="E7281">
        <f>IF($C7281="","",DATE(YEAR($C7281),MONTH($C7281),1))</f>
        <v/>
      </c>
      <c r="F7281">
        <f>IF($C7281="","",YEAR($C7281)&amp;"-Q"&amp;ROUNDUP(MONTH($C7281)/3,0))</f>
        <v/>
      </c>
      <c r="L7281">
        <f>IF($G7281&lt;&gt;"ALCOHOL","",IF($K7281="","",$H7281*IFERROR(VLOOKUP($K7281,Drink_Templates!$A:$G,7,FALSE),0)))</f>
        <v/>
      </c>
    </row>
    <row r="7282" ht="15" customHeight="1">
      <c r="C7282">
        <f>IF($B7282="","",INT($B7282))</f>
        <v/>
      </c>
      <c r="D7282">
        <f>IF($C7282="","",$C7282-WEEKDAY($C7282,2)+1)</f>
        <v/>
      </c>
      <c r="E7282">
        <f>IF($C7282="","",DATE(YEAR($C7282),MONTH($C7282),1))</f>
        <v/>
      </c>
      <c r="F7282">
        <f>IF($C7282="","",YEAR($C7282)&amp;"-Q"&amp;ROUNDUP(MONTH($C7282)/3,0))</f>
        <v/>
      </c>
      <c r="L7282">
        <f>IF($G7282&lt;&gt;"ALCOHOL","",IF($K7282="","",$H7282*IFERROR(VLOOKUP($K7282,Drink_Templates!$A:$G,7,FALSE),0)))</f>
        <v/>
      </c>
    </row>
    <row r="7283" ht="15" customHeight="1">
      <c r="C7283">
        <f>IF($B7283="","",INT($B7283))</f>
        <v/>
      </c>
      <c r="D7283">
        <f>IF($C7283="","",$C7283-WEEKDAY($C7283,2)+1)</f>
        <v/>
      </c>
      <c r="E7283">
        <f>IF($C7283="","",DATE(YEAR($C7283),MONTH($C7283),1))</f>
        <v/>
      </c>
      <c r="F7283">
        <f>IF($C7283="","",YEAR($C7283)&amp;"-Q"&amp;ROUNDUP(MONTH($C7283)/3,0))</f>
        <v/>
      </c>
      <c r="L7283">
        <f>IF($G7283&lt;&gt;"ALCOHOL","",IF($K7283="","",$H7283*IFERROR(VLOOKUP($K7283,Drink_Templates!$A:$G,7,FALSE),0)))</f>
        <v/>
      </c>
    </row>
    <row r="7284" ht="15" customHeight="1">
      <c r="C7284">
        <f>IF($B7284="","",INT($B7284))</f>
        <v/>
      </c>
      <c r="D7284">
        <f>IF($C7284="","",$C7284-WEEKDAY($C7284,2)+1)</f>
        <v/>
      </c>
      <c r="E7284">
        <f>IF($C7284="","",DATE(YEAR($C7284),MONTH($C7284),1))</f>
        <v/>
      </c>
      <c r="F7284">
        <f>IF($C7284="","",YEAR($C7284)&amp;"-Q"&amp;ROUNDUP(MONTH($C7284)/3,0))</f>
        <v/>
      </c>
      <c r="L7284">
        <f>IF($G7284&lt;&gt;"ALCOHOL","",IF($K7284="","",$H7284*IFERROR(VLOOKUP($K7284,Drink_Templates!$A:$G,7,FALSE),0)))</f>
        <v/>
      </c>
    </row>
    <row r="7285" ht="15" customHeight="1">
      <c r="C7285">
        <f>IF($B7285="","",INT($B7285))</f>
        <v/>
      </c>
      <c r="D7285">
        <f>IF($C7285="","",$C7285-WEEKDAY($C7285,2)+1)</f>
        <v/>
      </c>
      <c r="E7285">
        <f>IF($C7285="","",DATE(YEAR($C7285),MONTH($C7285),1))</f>
        <v/>
      </c>
      <c r="F7285">
        <f>IF($C7285="","",YEAR($C7285)&amp;"-Q"&amp;ROUNDUP(MONTH($C7285)/3,0))</f>
        <v/>
      </c>
      <c r="L7285">
        <f>IF($G7285&lt;&gt;"ALCOHOL","",IF($K7285="","",$H7285*IFERROR(VLOOKUP($K7285,Drink_Templates!$A:$G,7,FALSE),0)))</f>
        <v/>
      </c>
    </row>
    <row r="7286" ht="15" customHeight="1">
      <c r="C7286">
        <f>IF($B7286="","",INT($B7286))</f>
        <v/>
      </c>
      <c r="D7286">
        <f>IF($C7286="","",$C7286-WEEKDAY($C7286,2)+1)</f>
        <v/>
      </c>
      <c r="E7286">
        <f>IF($C7286="","",DATE(YEAR($C7286),MONTH($C7286),1))</f>
        <v/>
      </c>
      <c r="F7286">
        <f>IF($C7286="","",YEAR($C7286)&amp;"-Q"&amp;ROUNDUP(MONTH($C7286)/3,0))</f>
        <v/>
      </c>
      <c r="L7286">
        <f>IF($G7286&lt;&gt;"ALCOHOL","",IF($K7286="","",$H7286*IFERROR(VLOOKUP($K7286,Drink_Templates!$A:$G,7,FALSE),0)))</f>
        <v/>
      </c>
    </row>
    <row r="7287" ht="15" customHeight="1">
      <c r="C7287">
        <f>IF($B7287="","",INT($B7287))</f>
        <v/>
      </c>
      <c r="D7287">
        <f>IF($C7287="","",$C7287-WEEKDAY($C7287,2)+1)</f>
        <v/>
      </c>
      <c r="E7287">
        <f>IF($C7287="","",DATE(YEAR($C7287),MONTH($C7287),1))</f>
        <v/>
      </c>
      <c r="F7287">
        <f>IF($C7287="","",YEAR($C7287)&amp;"-Q"&amp;ROUNDUP(MONTH($C7287)/3,0))</f>
        <v/>
      </c>
      <c r="L7287">
        <f>IF($G7287&lt;&gt;"ALCOHOL","",IF($K7287="","",$H7287*IFERROR(VLOOKUP($K7287,Drink_Templates!$A:$G,7,FALSE),0)))</f>
        <v/>
      </c>
    </row>
    <row r="7288" ht="15" customHeight="1">
      <c r="C7288">
        <f>IF($B7288="","",INT($B7288))</f>
        <v/>
      </c>
      <c r="D7288">
        <f>IF($C7288="","",$C7288-WEEKDAY($C7288,2)+1)</f>
        <v/>
      </c>
      <c r="E7288">
        <f>IF($C7288="","",DATE(YEAR($C7288),MONTH($C7288),1))</f>
        <v/>
      </c>
      <c r="F7288">
        <f>IF($C7288="","",YEAR($C7288)&amp;"-Q"&amp;ROUNDUP(MONTH($C7288)/3,0))</f>
        <v/>
      </c>
      <c r="L7288">
        <f>IF($G7288&lt;&gt;"ALCOHOL","",IF($K7288="","",$H7288*IFERROR(VLOOKUP($K7288,Drink_Templates!$A:$G,7,FALSE),0)))</f>
        <v/>
      </c>
    </row>
    <row r="7289" ht="15" customHeight="1">
      <c r="C7289">
        <f>IF($B7289="","",INT($B7289))</f>
        <v/>
      </c>
      <c r="D7289">
        <f>IF($C7289="","",$C7289-WEEKDAY($C7289,2)+1)</f>
        <v/>
      </c>
      <c r="E7289">
        <f>IF($C7289="","",DATE(YEAR($C7289),MONTH($C7289),1))</f>
        <v/>
      </c>
      <c r="F7289">
        <f>IF($C7289="","",YEAR($C7289)&amp;"-Q"&amp;ROUNDUP(MONTH($C7289)/3,0))</f>
        <v/>
      </c>
      <c r="L7289">
        <f>IF($G7289&lt;&gt;"ALCOHOL","",IF($K7289="","",$H7289*IFERROR(VLOOKUP($K7289,Drink_Templates!$A:$G,7,FALSE),0)))</f>
        <v/>
      </c>
    </row>
    <row r="7290" ht="15" customHeight="1">
      <c r="C7290">
        <f>IF($B7290="","",INT($B7290))</f>
        <v/>
      </c>
      <c r="D7290">
        <f>IF($C7290="","",$C7290-WEEKDAY($C7290,2)+1)</f>
        <v/>
      </c>
      <c r="E7290">
        <f>IF($C7290="","",DATE(YEAR($C7290),MONTH($C7290),1))</f>
        <v/>
      </c>
      <c r="F7290">
        <f>IF($C7290="","",YEAR($C7290)&amp;"-Q"&amp;ROUNDUP(MONTH($C7290)/3,0))</f>
        <v/>
      </c>
      <c r="L7290">
        <f>IF($G7290&lt;&gt;"ALCOHOL","",IF($K7290="","",$H7290*IFERROR(VLOOKUP($K7290,Drink_Templates!$A:$G,7,FALSE),0)))</f>
        <v/>
      </c>
    </row>
    <row r="7291" ht="15" customHeight="1">
      <c r="C7291">
        <f>IF($B7291="","",INT($B7291))</f>
        <v/>
      </c>
      <c r="D7291">
        <f>IF($C7291="","",$C7291-WEEKDAY($C7291,2)+1)</f>
        <v/>
      </c>
      <c r="E7291">
        <f>IF($C7291="","",DATE(YEAR($C7291),MONTH($C7291),1))</f>
        <v/>
      </c>
      <c r="F7291">
        <f>IF($C7291="","",YEAR($C7291)&amp;"-Q"&amp;ROUNDUP(MONTH($C7291)/3,0))</f>
        <v/>
      </c>
      <c r="L7291">
        <f>IF($G7291&lt;&gt;"ALCOHOL","",IF($K7291="","",$H7291*IFERROR(VLOOKUP($K7291,Drink_Templates!$A:$G,7,FALSE),0)))</f>
        <v/>
      </c>
    </row>
    <row r="7292" ht="15" customHeight="1">
      <c r="C7292">
        <f>IF($B7292="","",INT($B7292))</f>
        <v/>
      </c>
      <c r="D7292">
        <f>IF($C7292="","",$C7292-WEEKDAY($C7292,2)+1)</f>
        <v/>
      </c>
      <c r="E7292">
        <f>IF($C7292="","",DATE(YEAR($C7292),MONTH($C7292),1))</f>
        <v/>
      </c>
      <c r="F7292">
        <f>IF($C7292="","",YEAR($C7292)&amp;"-Q"&amp;ROUNDUP(MONTH($C7292)/3,0))</f>
        <v/>
      </c>
      <c r="L7292">
        <f>IF($G7292&lt;&gt;"ALCOHOL","",IF($K7292="","",$H7292*IFERROR(VLOOKUP($K7292,Drink_Templates!$A:$G,7,FALSE),0)))</f>
        <v/>
      </c>
    </row>
    <row r="7293" ht="15" customHeight="1">
      <c r="C7293">
        <f>IF($B7293="","",INT($B7293))</f>
        <v/>
      </c>
      <c r="D7293">
        <f>IF($C7293="","",$C7293-WEEKDAY($C7293,2)+1)</f>
        <v/>
      </c>
      <c r="E7293">
        <f>IF($C7293="","",DATE(YEAR($C7293),MONTH($C7293),1))</f>
        <v/>
      </c>
      <c r="F7293">
        <f>IF($C7293="","",YEAR($C7293)&amp;"-Q"&amp;ROUNDUP(MONTH($C7293)/3,0))</f>
        <v/>
      </c>
      <c r="L7293">
        <f>IF($G7293&lt;&gt;"ALCOHOL","",IF($K7293="","",$H7293*IFERROR(VLOOKUP($K7293,Drink_Templates!$A:$G,7,FALSE),0)))</f>
        <v/>
      </c>
    </row>
    <row r="7294" ht="15" customHeight="1">
      <c r="C7294">
        <f>IF($B7294="","",INT($B7294))</f>
        <v/>
      </c>
      <c r="D7294">
        <f>IF($C7294="","",$C7294-WEEKDAY($C7294,2)+1)</f>
        <v/>
      </c>
      <c r="E7294">
        <f>IF($C7294="","",DATE(YEAR($C7294),MONTH($C7294),1))</f>
        <v/>
      </c>
      <c r="F7294">
        <f>IF($C7294="","",YEAR($C7294)&amp;"-Q"&amp;ROUNDUP(MONTH($C7294)/3,0))</f>
        <v/>
      </c>
      <c r="L7294">
        <f>IF($G7294&lt;&gt;"ALCOHOL","",IF($K7294="","",$H7294*IFERROR(VLOOKUP($K7294,Drink_Templates!$A:$G,7,FALSE),0)))</f>
        <v/>
      </c>
    </row>
    <row r="7295" ht="15" customHeight="1">
      <c r="C7295">
        <f>IF($B7295="","",INT($B7295))</f>
        <v/>
      </c>
      <c r="D7295">
        <f>IF($C7295="","",$C7295-WEEKDAY($C7295,2)+1)</f>
        <v/>
      </c>
      <c r="E7295">
        <f>IF($C7295="","",DATE(YEAR($C7295),MONTH($C7295),1))</f>
        <v/>
      </c>
      <c r="F7295">
        <f>IF($C7295="","",YEAR($C7295)&amp;"-Q"&amp;ROUNDUP(MONTH($C7295)/3,0))</f>
        <v/>
      </c>
      <c r="L7295">
        <f>IF($G7295&lt;&gt;"ALCOHOL","",IF($K7295="","",$H7295*IFERROR(VLOOKUP($K7295,Drink_Templates!$A:$G,7,FALSE),0)))</f>
        <v/>
      </c>
    </row>
    <row r="7296" ht="15" customHeight="1">
      <c r="C7296">
        <f>IF($B7296="","",INT($B7296))</f>
        <v/>
      </c>
      <c r="D7296">
        <f>IF($C7296="","",$C7296-WEEKDAY($C7296,2)+1)</f>
        <v/>
      </c>
      <c r="E7296">
        <f>IF($C7296="","",DATE(YEAR($C7296),MONTH($C7296),1))</f>
        <v/>
      </c>
      <c r="F7296">
        <f>IF($C7296="","",YEAR($C7296)&amp;"-Q"&amp;ROUNDUP(MONTH($C7296)/3,0))</f>
        <v/>
      </c>
      <c r="L7296">
        <f>IF($G7296&lt;&gt;"ALCOHOL","",IF($K7296="","",$H7296*IFERROR(VLOOKUP($K7296,Drink_Templates!$A:$G,7,FALSE),0)))</f>
        <v/>
      </c>
    </row>
    <row r="7297" ht="15" customHeight="1">
      <c r="C7297">
        <f>IF($B7297="","",INT($B7297))</f>
        <v/>
      </c>
      <c r="D7297">
        <f>IF($C7297="","",$C7297-WEEKDAY($C7297,2)+1)</f>
        <v/>
      </c>
      <c r="E7297">
        <f>IF($C7297="","",DATE(YEAR($C7297),MONTH($C7297),1))</f>
        <v/>
      </c>
      <c r="F7297">
        <f>IF($C7297="","",YEAR($C7297)&amp;"-Q"&amp;ROUNDUP(MONTH($C7297)/3,0))</f>
        <v/>
      </c>
      <c r="L7297">
        <f>IF($G7297&lt;&gt;"ALCOHOL","",IF($K7297="","",$H7297*IFERROR(VLOOKUP($K7297,Drink_Templates!$A:$G,7,FALSE),0)))</f>
        <v/>
      </c>
    </row>
    <row r="7298" ht="15" customHeight="1">
      <c r="C7298">
        <f>IF($B7298="","",INT($B7298))</f>
        <v/>
      </c>
      <c r="D7298">
        <f>IF($C7298="","",$C7298-WEEKDAY($C7298,2)+1)</f>
        <v/>
      </c>
      <c r="E7298">
        <f>IF($C7298="","",DATE(YEAR($C7298),MONTH($C7298),1))</f>
        <v/>
      </c>
      <c r="F7298">
        <f>IF($C7298="","",YEAR($C7298)&amp;"-Q"&amp;ROUNDUP(MONTH($C7298)/3,0))</f>
        <v/>
      </c>
      <c r="L7298">
        <f>IF($G7298&lt;&gt;"ALCOHOL","",IF($K7298="","",$H7298*IFERROR(VLOOKUP($K7298,Drink_Templates!$A:$G,7,FALSE),0)))</f>
        <v/>
      </c>
    </row>
    <row r="7299" ht="15" customHeight="1">
      <c r="C7299">
        <f>IF($B7299="","",INT($B7299))</f>
        <v/>
      </c>
      <c r="D7299">
        <f>IF($C7299="","",$C7299-WEEKDAY($C7299,2)+1)</f>
        <v/>
      </c>
      <c r="E7299">
        <f>IF($C7299="","",DATE(YEAR($C7299),MONTH($C7299),1))</f>
        <v/>
      </c>
      <c r="F7299">
        <f>IF($C7299="","",YEAR($C7299)&amp;"-Q"&amp;ROUNDUP(MONTH($C7299)/3,0))</f>
        <v/>
      </c>
      <c r="L7299">
        <f>IF($G7299&lt;&gt;"ALCOHOL","",IF($K7299="","",$H7299*IFERROR(VLOOKUP($K7299,Drink_Templates!$A:$G,7,FALSE),0)))</f>
        <v/>
      </c>
    </row>
    <row r="7300" ht="15" customHeight="1">
      <c r="C7300">
        <f>IF($B7300="","",INT($B7300))</f>
        <v/>
      </c>
      <c r="D7300">
        <f>IF($C7300="","",$C7300-WEEKDAY($C7300,2)+1)</f>
        <v/>
      </c>
      <c r="E7300">
        <f>IF($C7300="","",DATE(YEAR($C7300),MONTH($C7300),1))</f>
        <v/>
      </c>
      <c r="F7300">
        <f>IF($C7300="","",YEAR($C7300)&amp;"-Q"&amp;ROUNDUP(MONTH($C7300)/3,0))</f>
        <v/>
      </c>
      <c r="L7300">
        <f>IF($G7300&lt;&gt;"ALCOHOL","",IF($K7300="","",$H7300*IFERROR(VLOOKUP($K7300,Drink_Templates!$A:$G,7,FALSE),0)))</f>
        <v/>
      </c>
    </row>
    <row r="7301" ht="15" customHeight="1">
      <c r="C7301">
        <f>IF($B7301="","",INT($B7301))</f>
        <v/>
      </c>
      <c r="D7301">
        <f>IF($C7301="","",$C7301-WEEKDAY($C7301,2)+1)</f>
        <v/>
      </c>
      <c r="E7301">
        <f>IF($C7301="","",DATE(YEAR($C7301),MONTH($C7301),1))</f>
        <v/>
      </c>
      <c r="F7301">
        <f>IF($C7301="","",YEAR($C7301)&amp;"-Q"&amp;ROUNDUP(MONTH($C7301)/3,0))</f>
        <v/>
      </c>
      <c r="L7301">
        <f>IF($G7301&lt;&gt;"ALCOHOL","",IF($K7301="","",$H7301*IFERROR(VLOOKUP($K7301,Drink_Templates!$A:$G,7,FALSE),0)))</f>
        <v/>
      </c>
    </row>
    <row r="7302" ht="15" customHeight="1">
      <c r="C7302">
        <f>IF($B7302="","",INT($B7302))</f>
        <v/>
      </c>
      <c r="D7302">
        <f>IF($C7302="","",$C7302-WEEKDAY($C7302,2)+1)</f>
        <v/>
      </c>
      <c r="E7302">
        <f>IF($C7302="","",DATE(YEAR($C7302),MONTH($C7302),1))</f>
        <v/>
      </c>
      <c r="F7302">
        <f>IF($C7302="","",YEAR($C7302)&amp;"-Q"&amp;ROUNDUP(MONTH($C7302)/3,0))</f>
        <v/>
      </c>
      <c r="L7302">
        <f>IF($G7302&lt;&gt;"ALCOHOL","",IF($K7302="","",$H7302*IFERROR(VLOOKUP($K7302,Drink_Templates!$A:$G,7,FALSE),0)))</f>
        <v/>
      </c>
    </row>
    <row r="7303" ht="15" customHeight="1">
      <c r="C7303">
        <f>IF($B7303="","",INT($B7303))</f>
        <v/>
      </c>
      <c r="D7303">
        <f>IF($C7303="","",$C7303-WEEKDAY($C7303,2)+1)</f>
        <v/>
      </c>
      <c r="E7303">
        <f>IF($C7303="","",DATE(YEAR($C7303),MONTH($C7303),1))</f>
        <v/>
      </c>
      <c r="F7303">
        <f>IF($C7303="","",YEAR($C7303)&amp;"-Q"&amp;ROUNDUP(MONTH($C7303)/3,0))</f>
        <v/>
      </c>
      <c r="L7303">
        <f>IF($G7303&lt;&gt;"ALCOHOL","",IF($K7303="","",$H7303*IFERROR(VLOOKUP($K7303,Drink_Templates!$A:$G,7,FALSE),0)))</f>
        <v/>
      </c>
    </row>
    <row r="7304" ht="15" customHeight="1">
      <c r="C7304">
        <f>IF($B7304="","",INT($B7304))</f>
        <v/>
      </c>
      <c r="D7304">
        <f>IF($C7304="","",$C7304-WEEKDAY($C7304,2)+1)</f>
        <v/>
      </c>
      <c r="E7304">
        <f>IF($C7304="","",DATE(YEAR($C7304),MONTH($C7304),1))</f>
        <v/>
      </c>
      <c r="F7304">
        <f>IF($C7304="","",YEAR($C7304)&amp;"-Q"&amp;ROUNDUP(MONTH($C7304)/3,0))</f>
        <v/>
      </c>
      <c r="L7304">
        <f>IF($G7304&lt;&gt;"ALCOHOL","",IF($K7304="","",$H7304*IFERROR(VLOOKUP($K7304,Drink_Templates!$A:$G,7,FALSE),0)))</f>
        <v/>
      </c>
    </row>
    <row r="7305" ht="15" customHeight="1">
      <c r="C7305">
        <f>IF($B7305="","",INT($B7305))</f>
        <v/>
      </c>
      <c r="D7305">
        <f>IF($C7305="","",$C7305-WEEKDAY($C7305,2)+1)</f>
        <v/>
      </c>
      <c r="E7305">
        <f>IF($C7305="","",DATE(YEAR($C7305),MONTH($C7305),1))</f>
        <v/>
      </c>
      <c r="F7305">
        <f>IF($C7305="","",YEAR($C7305)&amp;"-Q"&amp;ROUNDUP(MONTH($C7305)/3,0))</f>
        <v/>
      </c>
      <c r="L7305">
        <f>IF($G7305&lt;&gt;"ALCOHOL","",IF($K7305="","",$H7305*IFERROR(VLOOKUP($K7305,Drink_Templates!$A:$G,7,FALSE),0)))</f>
        <v/>
      </c>
    </row>
    <row r="7306" ht="15" customHeight="1">
      <c r="C7306">
        <f>IF($B7306="","",INT($B7306))</f>
        <v/>
      </c>
      <c r="D7306">
        <f>IF($C7306="","",$C7306-WEEKDAY($C7306,2)+1)</f>
        <v/>
      </c>
      <c r="E7306">
        <f>IF($C7306="","",DATE(YEAR($C7306),MONTH($C7306),1))</f>
        <v/>
      </c>
      <c r="F7306">
        <f>IF($C7306="","",YEAR($C7306)&amp;"-Q"&amp;ROUNDUP(MONTH($C7306)/3,0))</f>
        <v/>
      </c>
      <c r="L7306">
        <f>IF($G7306&lt;&gt;"ALCOHOL","",IF($K7306="","",$H7306*IFERROR(VLOOKUP($K7306,Drink_Templates!$A:$G,7,FALSE),0)))</f>
        <v/>
      </c>
    </row>
    <row r="7307" ht="15" customHeight="1">
      <c r="C7307">
        <f>IF($B7307="","",INT($B7307))</f>
        <v/>
      </c>
      <c r="D7307">
        <f>IF($C7307="","",$C7307-WEEKDAY($C7307,2)+1)</f>
        <v/>
      </c>
      <c r="E7307">
        <f>IF($C7307="","",DATE(YEAR($C7307),MONTH($C7307),1))</f>
        <v/>
      </c>
      <c r="F7307">
        <f>IF($C7307="","",YEAR($C7307)&amp;"-Q"&amp;ROUNDUP(MONTH($C7307)/3,0))</f>
        <v/>
      </c>
      <c r="L7307">
        <f>IF($G7307&lt;&gt;"ALCOHOL","",IF($K7307="","",$H7307*IFERROR(VLOOKUP($K7307,Drink_Templates!$A:$G,7,FALSE),0)))</f>
        <v/>
      </c>
    </row>
    <row r="7308" ht="15" customHeight="1">
      <c r="C7308">
        <f>IF($B7308="","",INT($B7308))</f>
        <v/>
      </c>
      <c r="D7308">
        <f>IF($C7308="","",$C7308-WEEKDAY($C7308,2)+1)</f>
        <v/>
      </c>
      <c r="E7308">
        <f>IF($C7308="","",DATE(YEAR($C7308),MONTH($C7308),1))</f>
        <v/>
      </c>
      <c r="F7308">
        <f>IF($C7308="","",YEAR($C7308)&amp;"-Q"&amp;ROUNDUP(MONTH($C7308)/3,0))</f>
        <v/>
      </c>
      <c r="L7308">
        <f>IF($G7308&lt;&gt;"ALCOHOL","",IF($K7308="","",$H7308*IFERROR(VLOOKUP($K7308,Drink_Templates!$A:$G,7,FALSE),0)))</f>
        <v/>
      </c>
    </row>
    <row r="7309" ht="15" customHeight="1">
      <c r="C7309">
        <f>IF($B7309="","",INT($B7309))</f>
        <v/>
      </c>
      <c r="D7309">
        <f>IF($C7309="","",$C7309-WEEKDAY($C7309,2)+1)</f>
        <v/>
      </c>
      <c r="E7309">
        <f>IF($C7309="","",DATE(YEAR($C7309),MONTH($C7309),1))</f>
        <v/>
      </c>
      <c r="F7309">
        <f>IF($C7309="","",YEAR($C7309)&amp;"-Q"&amp;ROUNDUP(MONTH($C7309)/3,0))</f>
        <v/>
      </c>
      <c r="L7309">
        <f>IF($G7309&lt;&gt;"ALCOHOL","",IF($K7309="","",$H7309*IFERROR(VLOOKUP($K7309,Drink_Templates!$A:$G,7,FALSE),0)))</f>
        <v/>
      </c>
    </row>
    <row r="7310" ht="15" customHeight="1">
      <c r="C7310">
        <f>IF($B7310="","",INT($B7310))</f>
        <v/>
      </c>
      <c r="D7310">
        <f>IF($C7310="","",$C7310-WEEKDAY($C7310,2)+1)</f>
        <v/>
      </c>
      <c r="E7310">
        <f>IF($C7310="","",DATE(YEAR($C7310),MONTH($C7310),1))</f>
        <v/>
      </c>
      <c r="F7310">
        <f>IF($C7310="","",YEAR($C7310)&amp;"-Q"&amp;ROUNDUP(MONTH($C7310)/3,0))</f>
        <v/>
      </c>
      <c r="L7310">
        <f>IF($G7310&lt;&gt;"ALCOHOL","",IF($K7310="","",$H7310*IFERROR(VLOOKUP($K7310,Drink_Templates!$A:$G,7,FALSE),0)))</f>
        <v/>
      </c>
    </row>
    <row r="7311" ht="15" customHeight="1">
      <c r="C7311">
        <f>IF($B7311="","",INT($B7311))</f>
        <v/>
      </c>
      <c r="D7311">
        <f>IF($C7311="","",$C7311-WEEKDAY($C7311,2)+1)</f>
        <v/>
      </c>
      <c r="E7311">
        <f>IF($C7311="","",DATE(YEAR($C7311),MONTH($C7311),1))</f>
        <v/>
      </c>
      <c r="F7311">
        <f>IF($C7311="","",YEAR($C7311)&amp;"-Q"&amp;ROUNDUP(MONTH($C7311)/3,0))</f>
        <v/>
      </c>
      <c r="L7311">
        <f>IF($G7311&lt;&gt;"ALCOHOL","",IF($K7311="","",$H7311*IFERROR(VLOOKUP($K7311,Drink_Templates!$A:$G,7,FALSE),0)))</f>
        <v/>
      </c>
    </row>
    <row r="7312" ht="15" customHeight="1">
      <c r="C7312">
        <f>IF($B7312="","",INT($B7312))</f>
        <v/>
      </c>
      <c r="D7312">
        <f>IF($C7312="","",$C7312-WEEKDAY($C7312,2)+1)</f>
        <v/>
      </c>
      <c r="E7312">
        <f>IF($C7312="","",DATE(YEAR($C7312),MONTH($C7312),1))</f>
        <v/>
      </c>
      <c r="F7312">
        <f>IF($C7312="","",YEAR($C7312)&amp;"-Q"&amp;ROUNDUP(MONTH($C7312)/3,0))</f>
        <v/>
      </c>
      <c r="L7312">
        <f>IF($G7312&lt;&gt;"ALCOHOL","",IF($K7312="","",$H7312*IFERROR(VLOOKUP($K7312,Drink_Templates!$A:$G,7,FALSE),0)))</f>
        <v/>
      </c>
    </row>
    <row r="7313" ht="15" customHeight="1">
      <c r="C7313">
        <f>IF($B7313="","",INT($B7313))</f>
        <v/>
      </c>
      <c r="D7313">
        <f>IF($C7313="","",$C7313-WEEKDAY($C7313,2)+1)</f>
        <v/>
      </c>
      <c r="E7313">
        <f>IF($C7313="","",DATE(YEAR($C7313),MONTH($C7313),1))</f>
        <v/>
      </c>
      <c r="F7313">
        <f>IF($C7313="","",YEAR($C7313)&amp;"-Q"&amp;ROUNDUP(MONTH($C7313)/3,0))</f>
        <v/>
      </c>
      <c r="L7313">
        <f>IF($G7313&lt;&gt;"ALCOHOL","",IF($K7313="","",$H7313*IFERROR(VLOOKUP($K7313,Drink_Templates!$A:$G,7,FALSE),0)))</f>
        <v/>
      </c>
    </row>
    <row r="7314" ht="15" customHeight="1">
      <c r="C7314">
        <f>IF($B7314="","",INT($B7314))</f>
        <v/>
      </c>
      <c r="D7314">
        <f>IF($C7314="","",$C7314-WEEKDAY($C7314,2)+1)</f>
        <v/>
      </c>
      <c r="E7314">
        <f>IF($C7314="","",DATE(YEAR($C7314),MONTH($C7314),1))</f>
        <v/>
      </c>
      <c r="F7314">
        <f>IF($C7314="","",YEAR($C7314)&amp;"-Q"&amp;ROUNDUP(MONTH($C7314)/3,0))</f>
        <v/>
      </c>
      <c r="L7314">
        <f>IF($G7314&lt;&gt;"ALCOHOL","",IF($K7314="","",$H7314*IFERROR(VLOOKUP($K7314,Drink_Templates!$A:$G,7,FALSE),0)))</f>
        <v/>
      </c>
    </row>
    <row r="7315" ht="15" customHeight="1">
      <c r="C7315">
        <f>IF($B7315="","",INT($B7315))</f>
        <v/>
      </c>
      <c r="D7315">
        <f>IF($C7315="","",$C7315-WEEKDAY($C7315,2)+1)</f>
        <v/>
      </c>
      <c r="E7315">
        <f>IF($C7315="","",DATE(YEAR($C7315),MONTH($C7315),1))</f>
        <v/>
      </c>
      <c r="F7315">
        <f>IF($C7315="","",YEAR($C7315)&amp;"-Q"&amp;ROUNDUP(MONTH($C7315)/3,0))</f>
        <v/>
      </c>
      <c r="L7315">
        <f>IF($G7315&lt;&gt;"ALCOHOL","",IF($K7315="","",$H7315*IFERROR(VLOOKUP($K7315,Drink_Templates!$A:$G,7,FALSE),0)))</f>
        <v/>
      </c>
    </row>
    <row r="7316" ht="15" customHeight="1">
      <c r="C7316">
        <f>IF($B7316="","",INT($B7316))</f>
        <v/>
      </c>
      <c r="D7316">
        <f>IF($C7316="","",$C7316-WEEKDAY($C7316,2)+1)</f>
        <v/>
      </c>
      <c r="E7316">
        <f>IF($C7316="","",DATE(YEAR($C7316),MONTH($C7316),1))</f>
        <v/>
      </c>
      <c r="F7316">
        <f>IF($C7316="","",YEAR($C7316)&amp;"-Q"&amp;ROUNDUP(MONTH($C7316)/3,0))</f>
        <v/>
      </c>
      <c r="L7316">
        <f>IF($G7316&lt;&gt;"ALCOHOL","",IF($K7316="","",$H7316*IFERROR(VLOOKUP($K7316,Drink_Templates!$A:$G,7,FALSE),0)))</f>
        <v/>
      </c>
    </row>
    <row r="7317" ht="15" customHeight="1">
      <c r="C7317">
        <f>IF($B7317="","",INT($B7317))</f>
        <v/>
      </c>
      <c r="D7317">
        <f>IF($C7317="","",$C7317-WEEKDAY($C7317,2)+1)</f>
        <v/>
      </c>
      <c r="E7317">
        <f>IF($C7317="","",DATE(YEAR($C7317),MONTH($C7317),1))</f>
        <v/>
      </c>
      <c r="F7317">
        <f>IF($C7317="","",YEAR($C7317)&amp;"-Q"&amp;ROUNDUP(MONTH($C7317)/3,0))</f>
        <v/>
      </c>
      <c r="L7317">
        <f>IF($G7317&lt;&gt;"ALCOHOL","",IF($K7317="","",$H7317*IFERROR(VLOOKUP($K7317,Drink_Templates!$A:$G,7,FALSE),0)))</f>
        <v/>
      </c>
    </row>
    <row r="7318" ht="15" customHeight="1">
      <c r="C7318">
        <f>IF($B7318="","",INT($B7318))</f>
        <v/>
      </c>
      <c r="D7318">
        <f>IF($C7318="","",$C7318-WEEKDAY($C7318,2)+1)</f>
        <v/>
      </c>
      <c r="E7318">
        <f>IF($C7318="","",DATE(YEAR($C7318),MONTH($C7318),1))</f>
        <v/>
      </c>
      <c r="F7318">
        <f>IF($C7318="","",YEAR($C7318)&amp;"-Q"&amp;ROUNDUP(MONTH($C7318)/3,0))</f>
        <v/>
      </c>
      <c r="L7318">
        <f>IF($G7318&lt;&gt;"ALCOHOL","",IF($K7318="","",$H7318*IFERROR(VLOOKUP($K7318,Drink_Templates!$A:$G,7,FALSE),0)))</f>
        <v/>
      </c>
    </row>
    <row r="7319" ht="15" customHeight="1">
      <c r="C7319">
        <f>IF($B7319="","",INT($B7319))</f>
        <v/>
      </c>
      <c r="D7319">
        <f>IF($C7319="","",$C7319-WEEKDAY($C7319,2)+1)</f>
        <v/>
      </c>
      <c r="E7319">
        <f>IF($C7319="","",DATE(YEAR($C7319),MONTH($C7319),1))</f>
        <v/>
      </c>
      <c r="F7319">
        <f>IF($C7319="","",YEAR($C7319)&amp;"-Q"&amp;ROUNDUP(MONTH($C7319)/3,0))</f>
        <v/>
      </c>
      <c r="L7319">
        <f>IF($G7319&lt;&gt;"ALCOHOL","",IF($K7319="","",$H7319*IFERROR(VLOOKUP($K7319,Drink_Templates!$A:$G,7,FALSE),0)))</f>
        <v/>
      </c>
    </row>
    <row r="7320" ht="15" customHeight="1">
      <c r="C7320">
        <f>IF($B7320="","",INT($B7320))</f>
        <v/>
      </c>
      <c r="D7320">
        <f>IF($C7320="","",$C7320-WEEKDAY($C7320,2)+1)</f>
        <v/>
      </c>
      <c r="E7320">
        <f>IF($C7320="","",DATE(YEAR($C7320),MONTH($C7320),1))</f>
        <v/>
      </c>
      <c r="F7320">
        <f>IF($C7320="","",YEAR($C7320)&amp;"-Q"&amp;ROUNDUP(MONTH($C7320)/3,0))</f>
        <v/>
      </c>
      <c r="L7320">
        <f>IF($G7320&lt;&gt;"ALCOHOL","",IF($K7320="","",$H7320*IFERROR(VLOOKUP($K7320,Drink_Templates!$A:$G,7,FALSE),0)))</f>
        <v/>
      </c>
    </row>
    <row r="7321" ht="15" customHeight="1">
      <c r="C7321">
        <f>IF($B7321="","",INT($B7321))</f>
        <v/>
      </c>
      <c r="D7321">
        <f>IF($C7321="","",$C7321-WEEKDAY($C7321,2)+1)</f>
        <v/>
      </c>
      <c r="E7321">
        <f>IF($C7321="","",DATE(YEAR($C7321),MONTH($C7321),1))</f>
        <v/>
      </c>
      <c r="F7321">
        <f>IF($C7321="","",YEAR($C7321)&amp;"-Q"&amp;ROUNDUP(MONTH($C7321)/3,0))</f>
        <v/>
      </c>
      <c r="L7321">
        <f>IF($G7321&lt;&gt;"ALCOHOL","",IF($K7321="","",$H7321*IFERROR(VLOOKUP($K7321,Drink_Templates!$A:$G,7,FALSE),0)))</f>
        <v/>
      </c>
    </row>
    <row r="7322" ht="15" customHeight="1">
      <c r="C7322">
        <f>IF($B7322="","",INT($B7322))</f>
        <v/>
      </c>
      <c r="D7322">
        <f>IF($C7322="","",$C7322-WEEKDAY($C7322,2)+1)</f>
        <v/>
      </c>
      <c r="E7322">
        <f>IF($C7322="","",DATE(YEAR($C7322),MONTH($C7322),1))</f>
        <v/>
      </c>
      <c r="F7322">
        <f>IF($C7322="","",YEAR($C7322)&amp;"-Q"&amp;ROUNDUP(MONTH($C7322)/3,0))</f>
        <v/>
      </c>
      <c r="L7322">
        <f>IF($G7322&lt;&gt;"ALCOHOL","",IF($K7322="","",$H7322*IFERROR(VLOOKUP($K7322,Drink_Templates!$A:$G,7,FALSE),0)))</f>
        <v/>
      </c>
    </row>
    <row r="7323" ht="15" customHeight="1">
      <c r="C7323">
        <f>IF($B7323="","",INT($B7323))</f>
        <v/>
      </c>
      <c r="D7323">
        <f>IF($C7323="","",$C7323-WEEKDAY($C7323,2)+1)</f>
        <v/>
      </c>
      <c r="E7323">
        <f>IF($C7323="","",DATE(YEAR($C7323),MONTH($C7323),1))</f>
        <v/>
      </c>
      <c r="F7323">
        <f>IF($C7323="","",YEAR($C7323)&amp;"-Q"&amp;ROUNDUP(MONTH($C7323)/3,0))</f>
        <v/>
      </c>
      <c r="L7323">
        <f>IF($G7323&lt;&gt;"ALCOHOL","",IF($K7323="","",$H7323*IFERROR(VLOOKUP($K7323,Drink_Templates!$A:$G,7,FALSE),0)))</f>
        <v/>
      </c>
    </row>
    <row r="7324" ht="15" customHeight="1">
      <c r="C7324">
        <f>IF($B7324="","",INT($B7324))</f>
        <v/>
      </c>
      <c r="D7324">
        <f>IF($C7324="","",$C7324-WEEKDAY($C7324,2)+1)</f>
        <v/>
      </c>
      <c r="E7324">
        <f>IF($C7324="","",DATE(YEAR($C7324),MONTH($C7324),1))</f>
        <v/>
      </c>
      <c r="F7324">
        <f>IF($C7324="","",YEAR($C7324)&amp;"-Q"&amp;ROUNDUP(MONTH($C7324)/3,0))</f>
        <v/>
      </c>
      <c r="L7324">
        <f>IF($G7324&lt;&gt;"ALCOHOL","",IF($K7324="","",$H7324*IFERROR(VLOOKUP($K7324,Drink_Templates!$A:$G,7,FALSE),0)))</f>
        <v/>
      </c>
    </row>
    <row r="7325" ht="15" customHeight="1">
      <c r="C7325">
        <f>IF($B7325="","",INT($B7325))</f>
        <v/>
      </c>
      <c r="D7325">
        <f>IF($C7325="","",$C7325-WEEKDAY($C7325,2)+1)</f>
        <v/>
      </c>
      <c r="E7325">
        <f>IF($C7325="","",DATE(YEAR($C7325),MONTH($C7325),1))</f>
        <v/>
      </c>
      <c r="F7325">
        <f>IF($C7325="","",YEAR($C7325)&amp;"-Q"&amp;ROUNDUP(MONTH($C7325)/3,0))</f>
        <v/>
      </c>
      <c r="L7325">
        <f>IF($G7325&lt;&gt;"ALCOHOL","",IF($K7325="","",$H7325*IFERROR(VLOOKUP($K7325,Drink_Templates!$A:$G,7,FALSE),0)))</f>
        <v/>
      </c>
    </row>
    <row r="7326" ht="15" customHeight="1">
      <c r="C7326">
        <f>IF($B7326="","",INT($B7326))</f>
        <v/>
      </c>
      <c r="D7326">
        <f>IF($C7326="","",$C7326-WEEKDAY($C7326,2)+1)</f>
        <v/>
      </c>
      <c r="E7326">
        <f>IF($C7326="","",DATE(YEAR($C7326),MONTH($C7326),1))</f>
        <v/>
      </c>
      <c r="F7326">
        <f>IF($C7326="","",YEAR($C7326)&amp;"-Q"&amp;ROUNDUP(MONTH($C7326)/3,0))</f>
        <v/>
      </c>
      <c r="L7326">
        <f>IF($G7326&lt;&gt;"ALCOHOL","",IF($K7326="","",$H7326*IFERROR(VLOOKUP($K7326,Drink_Templates!$A:$G,7,FALSE),0)))</f>
        <v/>
      </c>
    </row>
    <row r="7327" ht="15" customHeight="1">
      <c r="C7327">
        <f>IF($B7327="","",INT($B7327))</f>
        <v/>
      </c>
      <c r="D7327">
        <f>IF($C7327="","",$C7327-WEEKDAY($C7327,2)+1)</f>
        <v/>
      </c>
      <c r="E7327">
        <f>IF($C7327="","",DATE(YEAR($C7327),MONTH($C7327),1))</f>
        <v/>
      </c>
      <c r="F7327">
        <f>IF($C7327="","",YEAR($C7327)&amp;"-Q"&amp;ROUNDUP(MONTH($C7327)/3,0))</f>
        <v/>
      </c>
      <c r="L7327">
        <f>IF($G7327&lt;&gt;"ALCOHOL","",IF($K7327="","",$H7327*IFERROR(VLOOKUP($K7327,Drink_Templates!$A:$G,7,FALSE),0)))</f>
        <v/>
      </c>
    </row>
    <row r="7328" ht="15" customHeight="1">
      <c r="C7328">
        <f>IF($B7328="","",INT($B7328))</f>
        <v/>
      </c>
      <c r="D7328">
        <f>IF($C7328="","",$C7328-WEEKDAY($C7328,2)+1)</f>
        <v/>
      </c>
      <c r="E7328">
        <f>IF($C7328="","",DATE(YEAR($C7328),MONTH($C7328),1))</f>
        <v/>
      </c>
      <c r="F7328">
        <f>IF($C7328="","",YEAR($C7328)&amp;"-Q"&amp;ROUNDUP(MONTH($C7328)/3,0))</f>
        <v/>
      </c>
      <c r="L7328">
        <f>IF($G7328&lt;&gt;"ALCOHOL","",IF($K7328="","",$H7328*IFERROR(VLOOKUP($K7328,Drink_Templates!$A:$G,7,FALSE),0)))</f>
        <v/>
      </c>
    </row>
    <row r="7329" ht="15" customHeight="1">
      <c r="C7329">
        <f>IF($B7329="","",INT($B7329))</f>
        <v/>
      </c>
      <c r="D7329">
        <f>IF($C7329="","",$C7329-WEEKDAY($C7329,2)+1)</f>
        <v/>
      </c>
      <c r="E7329">
        <f>IF($C7329="","",DATE(YEAR($C7329),MONTH($C7329),1))</f>
        <v/>
      </c>
      <c r="F7329">
        <f>IF($C7329="","",YEAR($C7329)&amp;"-Q"&amp;ROUNDUP(MONTH($C7329)/3,0))</f>
        <v/>
      </c>
      <c r="L7329">
        <f>IF($G7329&lt;&gt;"ALCOHOL","",IF($K7329="","",$H7329*IFERROR(VLOOKUP($K7329,Drink_Templates!$A:$G,7,FALSE),0)))</f>
        <v/>
      </c>
    </row>
    <row r="7330" ht="15" customHeight="1">
      <c r="C7330">
        <f>IF($B7330="","",INT($B7330))</f>
        <v/>
      </c>
      <c r="D7330">
        <f>IF($C7330="","",$C7330-WEEKDAY($C7330,2)+1)</f>
        <v/>
      </c>
      <c r="E7330">
        <f>IF($C7330="","",DATE(YEAR($C7330),MONTH($C7330),1))</f>
        <v/>
      </c>
      <c r="F7330">
        <f>IF($C7330="","",YEAR($C7330)&amp;"-Q"&amp;ROUNDUP(MONTH($C7330)/3,0))</f>
        <v/>
      </c>
      <c r="L7330">
        <f>IF($G7330&lt;&gt;"ALCOHOL","",IF($K7330="","",$H7330*IFERROR(VLOOKUP($K7330,Drink_Templates!$A:$G,7,FALSE),0)))</f>
        <v/>
      </c>
    </row>
    <row r="7331" ht="15" customHeight="1">
      <c r="C7331">
        <f>IF($B7331="","",INT($B7331))</f>
        <v/>
      </c>
      <c r="D7331">
        <f>IF($C7331="","",$C7331-WEEKDAY($C7331,2)+1)</f>
        <v/>
      </c>
      <c r="E7331">
        <f>IF($C7331="","",DATE(YEAR($C7331),MONTH($C7331),1))</f>
        <v/>
      </c>
      <c r="F7331">
        <f>IF($C7331="","",YEAR($C7331)&amp;"-Q"&amp;ROUNDUP(MONTH($C7331)/3,0))</f>
        <v/>
      </c>
      <c r="L7331">
        <f>IF($G7331&lt;&gt;"ALCOHOL","",IF($K7331="","",$H7331*IFERROR(VLOOKUP($K7331,Drink_Templates!$A:$G,7,FALSE),0)))</f>
        <v/>
      </c>
    </row>
    <row r="7332" ht="15" customHeight="1">
      <c r="C7332">
        <f>IF($B7332="","",INT($B7332))</f>
        <v/>
      </c>
      <c r="D7332">
        <f>IF($C7332="","",$C7332-WEEKDAY($C7332,2)+1)</f>
        <v/>
      </c>
      <c r="E7332">
        <f>IF($C7332="","",DATE(YEAR($C7332),MONTH($C7332),1))</f>
        <v/>
      </c>
      <c r="F7332">
        <f>IF($C7332="","",YEAR($C7332)&amp;"-Q"&amp;ROUNDUP(MONTH($C7332)/3,0))</f>
        <v/>
      </c>
      <c r="L7332">
        <f>IF($G7332&lt;&gt;"ALCOHOL","",IF($K7332="","",$H7332*IFERROR(VLOOKUP($K7332,Drink_Templates!$A:$G,7,FALSE),0)))</f>
        <v/>
      </c>
    </row>
    <row r="7333" ht="15" customHeight="1">
      <c r="C7333">
        <f>IF($B7333="","",INT($B7333))</f>
        <v/>
      </c>
      <c r="D7333">
        <f>IF($C7333="","",$C7333-WEEKDAY($C7333,2)+1)</f>
        <v/>
      </c>
      <c r="E7333">
        <f>IF($C7333="","",DATE(YEAR($C7333),MONTH($C7333),1))</f>
        <v/>
      </c>
      <c r="F7333">
        <f>IF($C7333="","",YEAR($C7333)&amp;"-Q"&amp;ROUNDUP(MONTH($C7333)/3,0))</f>
        <v/>
      </c>
      <c r="L7333">
        <f>IF($G7333&lt;&gt;"ALCOHOL","",IF($K7333="","",$H7333*IFERROR(VLOOKUP($K7333,Drink_Templates!$A:$G,7,FALSE),0)))</f>
        <v/>
      </c>
    </row>
    <row r="7334" ht="15" customHeight="1">
      <c r="C7334">
        <f>IF($B7334="","",INT($B7334))</f>
        <v/>
      </c>
      <c r="D7334">
        <f>IF($C7334="","",$C7334-WEEKDAY($C7334,2)+1)</f>
        <v/>
      </c>
      <c r="E7334">
        <f>IF($C7334="","",DATE(YEAR($C7334),MONTH($C7334),1))</f>
        <v/>
      </c>
      <c r="F7334">
        <f>IF($C7334="","",YEAR($C7334)&amp;"-Q"&amp;ROUNDUP(MONTH($C7334)/3,0))</f>
        <v/>
      </c>
      <c r="L7334">
        <f>IF($G7334&lt;&gt;"ALCOHOL","",IF($K7334="","",$H7334*IFERROR(VLOOKUP($K7334,Drink_Templates!$A:$G,7,FALSE),0)))</f>
        <v/>
      </c>
    </row>
    <row r="7335" ht="15" customHeight="1">
      <c r="C7335">
        <f>IF($B7335="","",INT($B7335))</f>
        <v/>
      </c>
      <c r="D7335">
        <f>IF($C7335="","",$C7335-WEEKDAY($C7335,2)+1)</f>
        <v/>
      </c>
      <c r="E7335">
        <f>IF($C7335="","",DATE(YEAR($C7335),MONTH($C7335),1))</f>
        <v/>
      </c>
      <c r="F7335">
        <f>IF($C7335="","",YEAR($C7335)&amp;"-Q"&amp;ROUNDUP(MONTH($C7335)/3,0))</f>
        <v/>
      </c>
      <c r="L7335">
        <f>IF($G7335&lt;&gt;"ALCOHOL","",IF($K7335="","",$H7335*IFERROR(VLOOKUP($K7335,Drink_Templates!$A:$G,7,FALSE),0)))</f>
        <v/>
      </c>
    </row>
    <row r="7336" ht="15" customHeight="1">
      <c r="C7336">
        <f>IF($B7336="","",INT($B7336))</f>
        <v/>
      </c>
      <c r="D7336">
        <f>IF($C7336="","",$C7336-WEEKDAY($C7336,2)+1)</f>
        <v/>
      </c>
      <c r="E7336">
        <f>IF($C7336="","",DATE(YEAR($C7336),MONTH($C7336),1))</f>
        <v/>
      </c>
      <c r="F7336">
        <f>IF($C7336="","",YEAR($C7336)&amp;"-Q"&amp;ROUNDUP(MONTH($C7336)/3,0))</f>
        <v/>
      </c>
      <c r="L7336">
        <f>IF($G7336&lt;&gt;"ALCOHOL","",IF($K7336="","",$H7336*IFERROR(VLOOKUP($K7336,Drink_Templates!$A:$G,7,FALSE),0)))</f>
        <v/>
      </c>
    </row>
    <row r="7337" ht="15" customHeight="1">
      <c r="C7337">
        <f>IF($B7337="","",INT($B7337))</f>
        <v/>
      </c>
      <c r="D7337">
        <f>IF($C7337="","",$C7337-WEEKDAY($C7337,2)+1)</f>
        <v/>
      </c>
      <c r="E7337">
        <f>IF($C7337="","",DATE(YEAR($C7337),MONTH($C7337),1))</f>
        <v/>
      </c>
      <c r="F7337">
        <f>IF($C7337="","",YEAR($C7337)&amp;"-Q"&amp;ROUNDUP(MONTH($C7337)/3,0))</f>
        <v/>
      </c>
      <c r="L7337">
        <f>IF($G7337&lt;&gt;"ALCOHOL","",IF($K7337="","",$H7337*IFERROR(VLOOKUP($K7337,Drink_Templates!$A:$G,7,FALSE),0)))</f>
        <v/>
      </c>
    </row>
    <row r="7338" ht="15" customHeight="1">
      <c r="C7338">
        <f>IF($B7338="","",INT($B7338))</f>
        <v/>
      </c>
      <c r="D7338">
        <f>IF($C7338="","",$C7338-WEEKDAY($C7338,2)+1)</f>
        <v/>
      </c>
      <c r="E7338">
        <f>IF($C7338="","",DATE(YEAR($C7338),MONTH($C7338),1))</f>
        <v/>
      </c>
      <c r="F7338">
        <f>IF($C7338="","",YEAR($C7338)&amp;"-Q"&amp;ROUNDUP(MONTH($C7338)/3,0))</f>
        <v/>
      </c>
      <c r="L7338">
        <f>IF($G7338&lt;&gt;"ALCOHOL","",IF($K7338="","",$H7338*IFERROR(VLOOKUP($K7338,Drink_Templates!$A:$G,7,FALSE),0)))</f>
        <v/>
      </c>
    </row>
    <row r="7339" ht="15" customHeight="1">
      <c r="C7339">
        <f>IF($B7339="","",INT($B7339))</f>
        <v/>
      </c>
      <c r="D7339">
        <f>IF($C7339="","",$C7339-WEEKDAY($C7339,2)+1)</f>
        <v/>
      </c>
      <c r="E7339">
        <f>IF($C7339="","",DATE(YEAR($C7339),MONTH($C7339),1))</f>
        <v/>
      </c>
      <c r="F7339">
        <f>IF($C7339="","",YEAR($C7339)&amp;"-Q"&amp;ROUNDUP(MONTH($C7339)/3,0))</f>
        <v/>
      </c>
      <c r="L7339">
        <f>IF($G7339&lt;&gt;"ALCOHOL","",IF($K7339="","",$H7339*IFERROR(VLOOKUP($K7339,Drink_Templates!$A:$G,7,FALSE),0)))</f>
        <v/>
      </c>
    </row>
    <row r="7340" ht="15" customHeight="1">
      <c r="C7340">
        <f>IF($B7340="","",INT($B7340))</f>
        <v/>
      </c>
      <c r="D7340">
        <f>IF($C7340="","",$C7340-WEEKDAY($C7340,2)+1)</f>
        <v/>
      </c>
      <c r="E7340">
        <f>IF($C7340="","",DATE(YEAR($C7340),MONTH($C7340),1))</f>
        <v/>
      </c>
      <c r="F7340">
        <f>IF($C7340="","",YEAR($C7340)&amp;"-Q"&amp;ROUNDUP(MONTH($C7340)/3,0))</f>
        <v/>
      </c>
      <c r="L7340">
        <f>IF($G7340&lt;&gt;"ALCOHOL","",IF($K7340="","",$H7340*IFERROR(VLOOKUP($K7340,Drink_Templates!$A:$G,7,FALSE),0)))</f>
        <v/>
      </c>
    </row>
    <row r="7341" ht="15" customHeight="1">
      <c r="C7341">
        <f>IF($B7341="","",INT($B7341))</f>
        <v/>
      </c>
      <c r="D7341">
        <f>IF($C7341="","",$C7341-WEEKDAY($C7341,2)+1)</f>
        <v/>
      </c>
      <c r="E7341">
        <f>IF($C7341="","",DATE(YEAR($C7341),MONTH($C7341),1))</f>
        <v/>
      </c>
      <c r="F7341">
        <f>IF($C7341="","",YEAR($C7341)&amp;"-Q"&amp;ROUNDUP(MONTH($C7341)/3,0))</f>
        <v/>
      </c>
      <c r="L7341">
        <f>IF($G7341&lt;&gt;"ALCOHOL","",IF($K7341="","",$H7341*IFERROR(VLOOKUP($K7341,Drink_Templates!$A:$G,7,FALSE),0)))</f>
        <v/>
      </c>
    </row>
    <row r="7342" ht="15" customHeight="1">
      <c r="C7342">
        <f>IF($B7342="","",INT($B7342))</f>
        <v/>
      </c>
      <c r="D7342">
        <f>IF($C7342="","",$C7342-WEEKDAY($C7342,2)+1)</f>
        <v/>
      </c>
      <c r="E7342">
        <f>IF($C7342="","",DATE(YEAR($C7342),MONTH($C7342),1))</f>
        <v/>
      </c>
      <c r="F7342">
        <f>IF($C7342="","",YEAR($C7342)&amp;"-Q"&amp;ROUNDUP(MONTH($C7342)/3,0))</f>
        <v/>
      </c>
      <c r="L7342">
        <f>IF($G7342&lt;&gt;"ALCOHOL","",IF($K7342="","",$H7342*IFERROR(VLOOKUP($K7342,Drink_Templates!$A:$G,7,FALSE),0)))</f>
        <v/>
      </c>
    </row>
    <row r="7343" ht="15" customHeight="1">
      <c r="C7343">
        <f>IF($B7343="","",INT($B7343))</f>
        <v/>
      </c>
      <c r="D7343">
        <f>IF($C7343="","",$C7343-WEEKDAY($C7343,2)+1)</f>
        <v/>
      </c>
      <c r="E7343">
        <f>IF($C7343="","",DATE(YEAR($C7343),MONTH($C7343),1))</f>
        <v/>
      </c>
      <c r="F7343">
        <f>IF($C7343="","",YEAR($C7343)&amp;"-Q"&amp;ROUNDUP(MONTH($C7343)/3,0))</f>
        <v/>
      </c>
      <c r="L7343">
        <f>IF($G7343&lt;&gt;"ALCOHOL","",IF($K7343="","",$H7343*IFERROR(VLOOKUP($K7343,Drink_Templates!$A:$G,7,FALSE),0)))</f>
        <v/>
      </c>
    </row>
    <row r="7344" ht="15" customHeight="1">
      <c r="C7344">
        <f>IF($B7344="","",INT($B7344))</f>
        <v/>
      </c>
      <c r="D7344">
        <f>IF($C7344="","",$C7344-WEEKDAY($C7344,2)+1)</f>
        <v/>
      </c>
      <c r="E7344">
        <f>IF($C7344="","",DATE(YEAR($C7344),MONTH($C7344),1))</f>
        <v/>
      </c>
      <c r="F7344">
        <f>IF($C7344="","",YEAR($C7344)&amp;"-Q"&amp;ROUNDUP(MONTH($C7344)/3,0))</f>
        <v/>
      </c>
      <c r="L7344">
        <f>IF($G7344&lt;&gt;"ALCOHOL","",IF($K7344="","",$H7344*IFERROR(VLOOKUP($K7344,Drink_Templates!$A:$G,7,FALSE),0)))</f>
        <v/>
      </c>
    </row>
    <row r="7345" ht="15" customHeight="1">
      <c r="C7345">
        <f>IF($B7345="","",INT($B7345))</f>
        <v/>
      </c>
      <c r="D7345">
        <f>IF($C7345="","",$C7345-WEEKDAY($C7345,2)+1)</f>
        <v/>
      </c>
      <c r="E7345">
        <f>IF($C7345="","",DATE(YEAR($C7345),MONTH($C7345),1))</f>
        <v/>
      </c>
      <c r="F7345">
        <f>IF($C7345="","",YEAR($C7345)&amp;"-Q"&amp;ROUNDUP(MONTH($C7345)/3,0))</f>
        <v/>
      </c>
      <c r="L7345">
        <f>IF($G7345&lt;&gt;"ALCOHOL","",IF($K7345="","",$H7345*IFERROR(VLOOKUP($K7345,Drink_Templates!$A:$G,7,FALSE),0)))</f>
        <v/>
      </c>
    </row>
    <row r="7346" ht="15" customHeight="1">
      <c r="C7346">
        <f>IF($B7346="","",INT($B7346))</f>
        <v/>
      </c>
      <c r="D7346">
        <f>IF($C7346="","",$C7346-WEEKDAY($C7346,2)+1)</f>
        <v/>
      </c>
      <c r="E7346">
        <f>IF($C7346="","",DATE(YEAR($C7346),MONTH($C7346),1))</f>
        <v/>
      </c>
      <c r="F7346">
        <f>IF($C7346="","",YEAR($C7346)&amp;"-Q"&amp;ROUNDUP(MONTH($C7346)/3,0))</f>
        <v/>
      </c>
      <c r="L7346">
        <f>IF($G7346&lt;&gt;"ALCOHOL","",IF($K7346="","",$H7346*IFERROR(VLOOKUP($K7346,Drink_Templates!$A:$G,7,FALSE),0)))</f>
        <v/>
      </c>
    </row>
    <row r="7347" ht="15" customHeight="1">
      <c r="C7347">
        <f>IF($B7347="","",INT($B7347))</f>
        <v/>
      </c>
      <c r="D7347">
        <f>IF($C7347="","",$C7347-WEEKDAY($C7347,2)+1)</f>
        <v/>
      </c>
      <c r="E7347">
        <f>IF($C7347="","",DATE(YEAR($C7347),MONTH($C7347),1))</f>
        <v/>
      </c>
      <c r="F7347">
        <f>IF($C7347="","",YEAR($C7347)&amp;"-Q"&amp;ROUNDUP(MONTH($C7347)/3,0))</f>
        <v/>
      </c>
      <c r="L7347">
        <f>IF($G7347&lt;&gt;"ALCOHOL","",IF($K7347="","",$H7347*IFERROR(VLOOKUP($K7347,Drink_Templates!$A:$G,7,FALSE),0)))</f>
        <v/>
      </c>
    </row>
    <row r="7348" ht="15" customHeight="1">
      <c r="C7348">
        <f>IF($B7348="","",INT($B7348))</f>
        <v/>
      </c>
      <c r="D7348">
        <f>IF($C7348="","",$C7348-WEEKDAY($C7348,2)+1)</f>
        <v/>
      </c>
      <c r="E7348">
        <f>IF($C7348="","",DATE(YEAR($C7348),MONTH($C7348),1))</f>
        <v/>
      </c>
      <c r="F7348">
        <f>IF($C7348="","",YEAR($C7348)&amp;"-Q"&amp;ROUNDUP(MONTH($C7348)/3,0))</f>
        <v/>
      </c>
      <c r="L7348">
        <f>IF($G7348&lt;&gt;"ALCOHOL","",IF($K7348="","",$H7348*IFERROR(VLOOKUP($K7348,Drink_Templates!$A:$G,7,FALSE),0)))</f>
        <v/>
      </c>
    </row>
    <row r="7349" ht="15" customHeight="1">
      <c r="C7349">
        <f>IF($B7349="","",INT($B7349))</f>
        <v/>
      </c>
      <c r="D7349">
        <f>IF($C7349="","",$C7349-WEEKDAY($C7349,2)+1)</f>
        <v/>
      </c>
      <c r="E7349">
        <f>IF($C7349="","",DATE(YEAR($C7349),MONTH($C7349),1))</f>
        <v/>
      </c>
      <c r="F7349">
        <f>IF($C7349="","",YEAR($C7349)&amp;"-Q"&amp;ROUNDUP(MONTH($C7349)/3,0))</f>
        <v/>
      </c>
      <c r="L7349">
        <f>IF($G7349&lt;&gt;"ALCOHOL","",IF($K7349="","",$H7349*IFERROR(VLOOKUP($K7349,Drink_Templates!$A:$G,7,FALSE),0)))</f>
        <v/>
      </c>
    </row>
    <row r="7350" ht="15" customHeight="1">
      <c r="C7350">
        <f>IF($B7350="","",INT($B7350))</f>
        <v/>
      </c>
      <c r="D7350">
        <f>IF($C7350="","",$C7350-WEEKDAY($C7350,2)+1)</f>
        <v/>
      </c>
      <c r="E7350">
        <f>IF($C7350="","",DATE(YEAR($C7350),MONTH($C7350),1))</f>
        <v/>
      </c>
      <c r="F7350">
        <f>IF($C7350="","",YEAR($C7350)&amp;"-Q"&amp;ROUNDUP(MONTH($C7350)/3,0))</f>
        <v/>
      </c>
      <c r="L7350">
        <f>IF($G7350&lt;&gt;"ALCOHOL","",IF($K7350="","",$H7350*IFERROR(VLOOKUP($K7350,Drink_Templates!$A:$G,7,FALSE),0)))</f>
        <v/>
      </c>
    </row>
    <row r="7351" ht="15" customHeight="1">
      <c r="C7351">
        <f>IF($B7351="","",INT($B7351))</f>
        <v/>
      </c>
      <c r="D7351">
        <f>IF($C7351="","",$C7351-WEEKDAY($C7351,2)+1)</f>
        <v/>
      </c>
      <c r="E7351">
        <f>IF($C7351="","",DATE(YEAR($C7351),MONTH($C7351),1))</f>
        <v/>
      </c>
      <c r="F7351">
        <f>IF($C7351="","",YEAR($C7351)&amp;"-Q"&amp;ROUNDUP(MONTH($C7351)/3,0))</f>
        <v/>
      </c>
      <c r="L7351">
        <f>IF($G7351&lt;&gt;"ALCOHOL","",IF($K7351="","",$H7351*IFERROR(VLOOKUP($K7351,Drink_Templates!$A:$G,7,FALSE),0)))</f>
        <v/>
      </c>
    </row>
    <row r="7352" ht="15" customHeight="1">
      <c r="C7352">
        <f>IF($B7352="","",INT($B7352))</f>
        <v/>
      </c>
      <c r="D7352">
        <f>IF($C7352="","",$C7352-WEEKDAY($C7352,2)+1)</f>
        <v/>
      </c>
      <c r="E7352">
        <f>IF($C7352="","",DATE(YEAR($C7352),MONTH($C7352),1))</f>
        <v/>
      </c>
      <c r="F7352">
        <f>IF($C7352="","",YEAR($C7352)&amp;"-Q"&amp;ROUNDUP(MONTH($C7352)/3,0))</f>
        <v/>
      </c>
      <c r="L7352">
        <f>IF($G7352&lt;&gt;"ALCOHOL","",IF($K7352="","",$H7352*IFERROR(VLOOKUP($K7352,Drink_Templates!$A:$G,7,FALSE),0)))</f>
        <v/>
      </c>
    </row>
    <row r="7353" ht="15" customHeight="1">
      <c r="C7353">
        <f>IF($B7353="","",INT($B7353))</f>
        <v/>
      </c>
      <c r="D7353">
        <f>IF($C7353="","",$C7353-WEEKDAY($C7353,2)+1)</f>
        <v/>
      </c>
      <c r="E7353">
        <f>IF($C7353="","",DATE(YEAR($C7353),MONTH($C7353),1))</f>
        <v/>
      </c>
      <c r="F7353">
        <f>IF($C7353="","",YEAR($C7353)&amp;"-Q"&amp;ROUNDUP(MONTH($C7353)/3,0))</f>
        <v/>
      </c>
      <c r="L7353">
        <f>IF($G7353&lt;&gt;"ALCOHOL","",IF($K7353="","",$H7353*IFERROR(VLOOKUP($K7353,Drink_Templates!$A:$G,7,FALSE),0)))</f>
        <v/>
      </c>
    </row>
    <row r="7354" ht="15" customHeight="1">
      <c r="C7354">
        <f>IF($B7354="","",INT($B7354))</f>
        <v/>
      </c>
      <c r="D7354">
        <f>IF($C7354="","",$C7354-WEEKDAY($C7354,2)+1)</f>
        <v/>
      </c>
      <c r="E7354">
        <f>IF($C7354="","",DATE(YEAR($C7354),MONTH($C7354),1))</f>
        <v/>
      </c>
      <c r="F7354">
        <f>IF($C7354="","",YEAR($C7354)&amp;"-Q"&amp;ROUNDUP(MONTH($C7354)/3,0))</f>
        <v/>
      </c>
      <c r="L7354">
        <f>IF($G7354&lt;&gt;"ALCOHOL","",IF($K7354="","",$H7354*IFERROR(VLOOKUP($K7354,Drink_Templates!$A:$G,7,FALSE),0)))</f>
        <v/>
      </c>
    </row>
    <row r="7355" ht="15" customHeight="1">
      <c r="C7355">
        <f>IF($B7355="","",INT($B7355))</f>
        <v/>
      </c>
      <c r="D7355">
        <f>IF($C7355="","",$C7355-WEEKDAY($C7355,2)+1)</f>
        <v/>
      </c>
      <c r="E7355">
        <f>IF($C7355="","",DATE(YEAR($C7355),MONTH($C7355),1))</f>
        <v/>
      </c>
      <c r="F7355">
        <f>IF($C7355="","",YEAR($C7355)&amp;"-Q"&amp;ROUNDUP(MONTH($C7355)/3,0))</f>
        <v/>
      </c>
      <c r="L7355">
        <f>IF($G7355&lt;&gt;"ALCOHOL","",IF($K7355="","",$H7355*IFERROR(VLOOKUP($K7355,Drink_Templates!$A:$G,7,FALSE),0)))</f>
        <v/>
      </c>
    </row>
    <row r="7356" ht="15" customHeight="1">
      <c r="C7356">
        <f>IF($B7356="","",INT($B7356))</f>
        <v/>
      </c>
      <c r="D7356">
        <f>IF($C7356="","",$C7356-WEEKDAY($C7356,2)+1)</f>
        <v/>
      </c>
      <c r="E7356">
        <f>IF($C7356="","",DATE(YEAR($C7356),MONTH($C7356),1))</f>
        <v/>
      </c>
      <c r="F7356">
        <f>IF($C7356="","",YEAR($C7356)&amp;"-Q"&amp;ROUNDUP(MONTH($C7356)/3,0))</f>
        <v/>
      </c>
      <c r="L7356">
        <f>IF($G7356&lt;&gt;"ALCOHOL","",IF($K7356="","",$H7356*IFERROR(VLOOKUP($K7356,Drink_Templates!$A:$G,7,FALSE),0)))</f>
        <v/>
      </c>
    </row>
    <row r="7357" ht="15" customHeight="1">
      <c r="C7357">
        <f>IF($B7357="","",INT($B7357))</f>
        <v/>
      </c>
      <c r="D7357">
        <f>IF($C7357="","",$C7357-WEEKDAY($C7357,2)+1)</f>
        <v/>
      </c>
      <c r="E7357">
        <f>IF($C7357="","",DATE(YEAR($C7357),MONTH($C7357),1))</f>
        <v/>
      </c>
      <c r="F7357">
        <f>IF($C7357="","",YEAR($C7357)&amp;"-Q"&amp;ROUNDUP(MONTH($C7357)/3,0))</f>
        <v/>
      </c>
      <c r="L7357">
        <f>IF($G7357&lt;&gt;"ALCOHOL","",IF($K7357="","",$H7357*IFERROR(VLOOKUP($K7357,Drink_Templates!$A:$G,7,FALSE),0)))</f>
        <v/>
      </c>
    </row>
    <row r="7358" ht="15" customHeight="1">
      <c r="C7358">
        <f>IF($B7358="","",INT($B7358))</f>
        <v/>
      </c>
      <c r="D7358">
        <f>IF($C7358="","",$C7358-WEEKDAY($C7358,2)+1)</f>
        <v/>
      </c>
      <c r="E7358">
        <f>IF($C7358="","",DATE(YEAR($C7358),MONTH($C7358),1))</f>
        <v/>
      </c>
      <c r="F7358">
        <f>IF($C7358="","",YEAR($C7358)&amp;"-Q"&amp;ROUNDUP(MONTH($C7358)/3,0))</f>
        <v/>
      </c>
      <c r="L7358">
        <f>IF($G7358&lt;&gt;"ALCOHOL","",IF($K7358="","",$H7358*IFERROR(VLOOKUP($K7358,Drink_Templates!$A:$G,7,FALSE),0)))</f>
        <v/>
      </c>
    </row>
    <row r="7359" ht="15" customHeight="1">
      <c r="C7359">
        <f>IF($B7359="","",INT($B7359))</f>
        <v/>
      </c>
      <c r="D7359">
        <f>IF($C7359="","",$C7359-WEEKDAY($C7359,2)+1)</f>
        <v/>
      </c>
      <c r="E7359">
        <f>IF($C7359="","",DATE(YEAR($C7359),MONTH($C7359),1))</f>
        <v/>
      </c>
      <c r="F7359">
        <f>IF($C7359="","",YEAR($C7359)&amp;"-Q"&amp;ROUNDUP(MONTH($C7359)/3,0))</f>
        <v/>
      </c>
      <c r="L7359">
        <f>IF($G7359&lt;&gt;"ALCOHOL","",IF($K7359="","",$H7359*IFERROR(VLOOKUP($K7359,Drink_Templates!$A:$G,7,FALSE),0)))</f>
        <v/>
      </c>
    </row>
    <row r="7360" ht="15" customHeight="1">
      <c r="C7360">
        <f>IF($B7360="","",INT($B7360))</f>
        <v/>
      </c>
      <c r="D7360">
        <f>IF($C7360="","",$C7360-WEEKDAY($C7360,2)+1)</f>
        <v/>
      </c>
      <c r="E7360">
        <f>IF($C7360="","",DATE(YEAR($C7360),MONTH($C7360),1))</f>
        <v/>
      </c>
      <c r="F7360">
        <f>IF($C7360="","",YEAR($C7360)&amp;"-Q"&amp;ROUNDUP(MONTH($C7360)/3,0))</f>
        <v/>
      </c>
      <c r="L7360">
        <f>IF($G7360&lt;&gt;"ALCOHOL","",IF($K7360="","",$H7360*IFERROR(VLOOKUP($K7360,Drink_Templates!$A:$G,7,FALSE),0)))</f>
        <v/>
      </c>
    </row>
    <row r="7361" ht="15" customHeight="1">
      <c r="C7361">
        <f>IF($B7361="","",INT($B7361))</f>
        <v/>
      </c>
      <c r="D7361">
        <f>IF($C7361="","",$C7361-WEEKDAY($C7361,2)+1)</f>
        <v/>
      </c>
      <c r="E7361">
        <f>IF($C7361="","",DATE(YEAR($C7361),MONTH($C7361),1))</f>
        <v/>
      </c>
      <c r="F7361">
        <f>IF($C7361="","",YEAR($C7361)&amp;"-Q"&amp;ROUNDUP(MONTH($C7361)/3,0))</f>
        <v/>
      </c>
      <c r="L7361">
        <f>IF($G7361&lt;&gt;"ALCOHOL","",IF($K7361="","",$H7361*IFERROR(VLOOKUP($K7361,Drink_Templates!$A:$G,7,FALSE),0)))</f>
        <v/>
      </c>
    </row>
    <row r="7362" ht="15" customHeight="1">
      <c r="C7362">
        <f>IF($B7362="","",INT($B7362))</f>
        <v/>
      </c>
      <c r="D7362">
        <f>IF($C7362="","",$C7362-WEEKDAY($C7362,2)+1)</f>
        <v/>
      </c>
      <c r="E7362">
        <f>IF($C7362="","",DATE(YEAR($C7362),MONTH($C7362),1))</f>
        <v/>
      </c>
      <c r="F7362">
        <f>IF($C7362="","",YEAR($C7362)&amp;"-Q"&amp;ROUNDUP(MONTH($C7362)/3,0))</f>
        <v/>
      </c>
      <c r="L7362">
        <f>IF($G7362&lt;&gt;"ALCOHOL","",IF($K7362="","",$H7362*IFERROR(VLOOKUP($K7362,Drink_Templates!$A:$G,7,FALSE),0)))</f>
        <v/>
      </c>
    </row>
    <row r="7363" ht="15" customHeight="1">
      <c r="C7363">
        <f>IF($B7363="","",INT($B7363))</f>
        <v/>
      </c>
      <c r="D7363">
        <f>IF($C7363="","",$C7363-WEEKDAY($C7363,2)+1)</f>
        <v/>
      </c>
      <c r="E7363">
        <f>IF($C7363="","",DATE(YEAR($C7363),MONTH($C7363),1))</f>
        <v/>
      </c>
      <c r="F7363">
        <f>IF($C7363="","",YEAR($C7363)&amp;"-Q"&amp;ROUNDUP(MONTH($C7363)/3,0))</f>
        <v/>
      </c>
      <c r="L7363">
        <f>IF($G7363&lt;&gt;"ALCOHOL","",IF($K7363="","",$H7363*IFERROR(VLOOKUP($K7363,Drink_Templates!$A:$G,7,FALSE),0)))</f>
        <v/>
      </c>
    </row>
    <row r="7364" ht="15" customHeight="1">
      <c r="C7364">
        <f>IF($B7364="","",INT($B7364))</f>
        <v/>
      </c>
      <c r="D7364">
        <f>IF($C7364="","",$C7364-WEEKDAY($C7364,2)+1)</f>
        <v/>
      </c>
      <c r="E7364">
        <f>IF($C7364="","",DATE(YEAR($C7364),MONTH($C7364),1))</f>
        <v/>
      </c>
      <c r="F7364">
        <f>IF($C7364="","",YEAR($C7364)&amp;"-Q"&amp;ROUNDUP(MONTH($C7364)/3,0))</f>
        <v/>
      </c>
      <c r="L7364">
        <f>IF($G7364&lt;&gt;"ALCOHOL","",IF($K7364="","",$H7364*IFERROR(VLOOKUP($K7364,Drink_Templates!$A:$G,7,FALSE),0)))</f>
        <v/>
      </c>
    </row>
    <row r="7365" ht="15" customHeight="1">
      <c r="C7365">
        <f>IF($B7365="","",INT($B7365))</f>
        <v/>
      </c>
      <c r="D7365">
        <f>IF($C7365="","",$C7365-WEEKDAY($C7365,2)+1)</f>
        <v/>
      </c>
      <c r="E7365">
        <f>IF($C7365="","",DATE(YEAR($C7365),MONTH($C7365),1))</f>
        <v/>
      </c>
      <c r="F7365">
        <f>IF($C7365="","",YEAR($C7365)&amp;"-Q"&amp;ROUNDUP(MONTH($C7365)/3,0))</f>
        <v/>
      </c>
      <c r="L7365">
        <f>IF($G7365&lt;&gt;"ALCOHOL","",IF($K7365="","",$H7365*IFERROR(VLOOKUP($K7365,Drink_Templates!$A:$G,7,FALSE),0)))</f>
        <v/>
      </c>
    </row>
    <row r="7366" ht="15" customHeight="1">
      <c r="C7366">
        <f>IF($B7366="","",INT($B7366))</f>
        <v/>
      </c>
      <c r="D7366">
        <f>IF($C7366="","",$C7366-WEEKDAY($C7366,2)+1)</f>
        <v/>
      </c>
      <c r="E7366">
        <f>IF($C7366="","",DATE(YEAR($C7366),MONTH($C7366),1))</f>
        <v/>
      </c>
      <c r="F7366">
        <f>IF($C7366="","",YEAR($C7366)&amp;"-Q"&amp;ROUNDUP(MONTH($C7366)/3,0))</f>
        <v/>
      </c>
      <c r="L7366">
        <f>IF($G7366&lt;&gt;"ALCOHOL","",IF($K7366="","",$H7366*IFERROR(VLOOKUP($K7366,Drink_Templates!$A:$G,7,FALSE),0)))</f>
        <v/>
      </c>
    </row>
    <row r="7367" ht="15" customHeight="1">
      <c r="C7367">
        <f>IF($B7367="","",INT($B7367))</f>
        <v/>
      </c>
      <c r="D7367">
        <f>IF($C7367="","",$C7367-WEEKDAY($C7367,2)+1)</f>
        <v/>
      </c>
      <c r="E7367">
        <f>IF($C7367="","",DATE(YEAR($C7367),MONTH($C7367),1))</f>
        <v/>
      </c>
      <c r="F7367">
        <f>IF($C7367="","",YEAR($C7367)&amp;"-Q"&amp;ROUNDUP(MONTH($C7367)/3,0))</f>
        <v/>
      </c>
      <c r="L7367">
        <f>IF($G7367&lt;&gt;"ALCOHOL","",IF($K7367="","",$H7367*IFERROR(VLOOKUP($K7367,Drink_Templates!$A:$G,7,FALSE),0)))</f>
        <v/>
      </c>
    </row>
    <row r="7368" ht="15" customHeight="1">
      <c r="C7368">
        <f>IF($B7368="","",INT($B7368))</f>
        <v/>
      </c>
      <c r="D7368">
        <f>IF($C7368="","",$C7368-WEEKDAY($C7368,2)+1)</f>
        <v/>
      </c>
      <c r="E7368">
        <f>IF($C7368="","",DATE(YEAR($C7368),MONTH($C7368),1))</f>
        <v/>
      </c>
      <c r="F7368">
        <f>IF($C7368="","",YEAR($C7368)&amp;"-Q"&amp;ROUNDUP(MONTH($C7368)/3,0))</f>
        <v/>
      </c>
      <c r="L7368">
        <f>IF($G7368&lt;&gt;"ALCOHOL","",IF($K7368="","",$H7368*IFERROR(VLOOKUP($K7368,Drink_Templates!$A:$G,7,FALSE),0)))</f>
        <v/>
      </c>
    </row>
    <row r="7369" ht="15" customHeight="1">
      <c r="C7369">
        <f>IF($B7369="","",INT($B7369))</f>
        <v/>
      </c>
      <c r="D7369">
        <f>IF($C7369="","",$C7369-WEEKDAY($C7369,2)+1)</f>
        <v/>
      </c>
      <c r="E7369">
        <f>IF($C7369="","",DATE(YEAR($C7369),MONTH($C7369),1))</f>
        <v/>
      </c>
      <c r="F7369">
        <f>IF($C7369="","",YEAR($C7369)&amp;"-Q"&amp;ROUNDUP(MONTH($C7369)/3,0))</f>
        <v/>
      </c>
      <c r="L7369">
        <f>IF($G7369&lt;&gt;"ALCOHOL","",IF($K7369="","",$H7369*IFERROR(VLOOKUP($K7369,Drink_Templates!$A:$G,7,FALSE),0)))</f>
        <v/>
      </c>
    </row>
    <row r="7370" ht="15" customHeight="1">
      <c r="C7370">
        <f>IF($B7370="","",INT($B7370))</f>
        <v/>
      </c>
      <c r="D7370">
        <f>IF($C7370="","",$C7370-WEEKDAY($C7370,2)+1)</f>
        <v/>
      </c>
      <c r="E7370">
        <f>IF($C7370="","",DATE(YEAR($C7370),MONTH($C7370),1))</f>
        <v/>
      </c>
      <c r="F7370">
        <f>IF($C7370="","",YEAR($C7370)&amp;"-Q"&amp;ROUNDUP(MONTH($C7370)/3,0))</f>
        <v/>
      </c>
      <c r="L7370">
        <f>IF($G7370&lt;&gt;"ALCOHOL","",IF($K7370="","",$H7370*IFERROR(VLOOKUP($K7370,Drink_Templates!$A:$G,7,FALSE),0)))</f>
        <v/>
      </c>
    </row>
    <row r="7371" ht="15" customHeight="1">
      <c r="C7371">
        <f>IF($B7371="","",INT($B7371))</f>
        <v/>
      </c>
      <c r="D7371">
        <f>IF($C7371="","",$C7371-WEEKDAY($C7371,2)+1)</f>
        <v/>
      </c>
      <c r="E7371">
        <f>IF($C7371="","",DATE(YEAR($C7371),MONTH($C7371),1))</f>
        <v/>
      </c>
      <c r="F7371">
        <f>IF($C7371="","",YEAR($C7371)&amp;"-Q"&amp;ROUNDUP(MONTH($C7371)/3,0))</f>
        <v/>
      </c>
      <c r="L7371">
        <f>IF($G7371&lt;&gt;"ALCOHOL","",IF($K7371="","",$H7371*IFERROR(VLOOKUP($K7371,Drink_Templates!$A:$G,7,FALSE),0)))</f>
        <v/>
      </c>
    </row>
    <row r="7372" ht="15" customHeight="1">
      <c r="C7372">
        <f>IF($B7372="","",INT($B7372))</f>
        <v/>
      </c>
      <c r="D7372">
        <f>IF($C7372="","",$C7372-WEEKDAY($C7372,2)+1)</f>
        <v/>
      </c>
      <c r="E7372">
        <f>IF($C7372="","",DATE(YEAR($C7372),MONTH($C7372),1))</f>
        <v/>
      </c>
      <c r="F7372">
        <f>IF($C7372="","",YEAR($C7372)&amp;"-Q"&amp;ROUNDUP(MONTH($C7372)/3,0))</f>
        <v/>
      </c>
      <c r="L7372">
        <f>IF($G7372&lt;&gt;"ALCOHOL","",IF($K7372="","",$H7372*IFERROR(VLOOKUP($K7372,Drink_Templates!$A:$G,7,FALSE),0)))</f>
        <v/>
      </c>
    </row>
    <row r="7373" ht="15" customHeight="1">
      <c r="C7373">
        <f>IF($B7373="","",INT($B7373))</f>
        <v/>
      </c>
      <c r="D7373">
        <f>IF($C7373="","",$C7373-WEEKDAY($C7373,2)+1)</f>
        <v/>
      </c>
      <c r="E7373">
        <f>IF($C7373="","",DATE(YEAR($C7373),MONTH($C7373),1))</f>
        <v/>
      </c>
      <c r="F7373">
        <f>IF($C7373="","",YEAR($C7373)&amp;"-Q"&amp;ROUNDUP(MONTH($C7373)/3,0))</f>
        <v/>
      </c>
      <c r="L7373">
        <f>IF($G7373&lt;&gt;"ALCOHOL","",IF($K7373="","",$H7373*IFERROR(VLOOKUP($K7373,Drink_Templates!$A:$G,7,FALSE),0)))</f>
        <v/>
      </c>
    </row>
    <row r="7374" ht="15" customHeight="1">
      <c r="C7374">
        <f>IF($B7374="","",INT($B7374))</f>
        <v/>
      </c>
      <c r="D7374">
        <f>IF($C7374="","",$C7374-WEEKDAY($C7374,2)+1)</f>
        <v/>
      </c>
      <c r="E7374">
        <f>IF($C7374="","",DATE(YEAR($C7374),MONTH($C7374),1))</f>
        <v/>
      </c>
      <c r="F7374">
        <f>IF($C7374="","",YEAR($C7374)&amp;"-Q"&amp;ROUNDUP(MONTH($C7374)/3,0))</f>
        <v/>
      </c>
      <c r="L7374">
        <f>IF($G7374&lt;&gt;"ALCOHOL","",IF($K7374="","",$H7374*IFERROR(VLOOKUP($K7374,Drink_Templates!$A:$G,7,FALSE),0)))</f>
        <v/>
      </c>
    </row>
    <row r="7375" ht="15" customHeight="1">
      <c r="C7375">
        <f>IF($B7375="","",INT($B7375))</f>
        <v/>
      </c>
      <c r="D7375">
        <f>IF($C7375="","",$C7375-WEEKDAY($C7375,2)+1)</f>
        <v/>
      </c>
      <c r="E7375">
        <f>IF($C7375="","",DATE(YEAR($C7375),MONTH($C7375),1))</f>
        <v/>
      </c>
      <c r="F7375">
        <f>IF($C7375="","",YEAR($C7375)&amp;"-Q"&amp;ROUNDUP(MONTH($C7375)/3,0))</f>
        <v/>
      </c>
      <c r="L7375">
        <f>IF($G7375&lt;&gt;"ALCOHOL","",IF($K7375="","",$H7375*IFERROR(VLOOKUP($K7375,Drink_Templates!$A:$G,7,FALSE),0)))</f>
        <v/>
      </c>
    </row>
    <row r="7376" ht="15" customHeight="1">
      <c r="C7376">
        <f>IF($B7376="","",INT($B7376))</f>
        <v/>
      </c>
      <c r="D7376">
        <f>IF($C7376="","",$C7376-WEEKDAY($C7376,2)+1)</f>
        <v/>
      </c>
      <c r="E7376">
        <f>IF($C7376="","",DATE(YEAR($C7376),MONTH($C7376),1))</f>
        <v/>
      </c>
      <c r="F7376">
        <f>IF($C7376="","",YEAR($C7376)&amp;"-Q"&amp;ROUNDUP(MONTH($C7376)/3,0))</f>
        <v/>
      </c>
      <c r="L7376">
        <f>IF($G7376&lt;&gt;"ALCOHOL","",IF($K7376="","",$H7376*IFERROR(VLOOKUP($K7376,Drink_Templates!$A:$G,7,FALSE),0)))</f>
        <v/>
      </c>
    </row>
    <row r="7377" ht="15" customHeight="1">
      <c r="C7377">
        <f>IF($B7377="","",INT($B7377))</f>
        <v/>
      </c>
      <c r="D7377">
        <f>IF($C7377="","",$C7377-WEEKDAY($C7377,2)+1)</f>
        <v/>
      </c>
      <c r="E7377">
        <f>IF($C7377="","",DATE(YEAR($C7377),MONTH($C7377),1))</f>
        <v/>
      </c>
      <c r="F7377">
        <f>IF($C7377="","",YEAR($C7377)&amp;"-Q"&amp;ROUNDUP(MONTH($C7377)/3,0))</f>
        <v/>
      </c>
      <c r="L7377">
        <f>IF($G7377&lt;&gt;"ALCOHOL","",IF($K7377="","",$H7377*IFERROR(VLOOKUP($K7377,Drink_Templates!$A:$G,7,FALSE),0)))</f>
        <v/>
      </c>
    </row>
    <row r="7378" ht="15" customHeight="1">
      <c r="C7378">
        <f>IF($B7378="","",INT($B7378))</f>
        <v/>
      </c>
      <c r="D7378">
        <f>IF($C7378="","",$C7378-WEEKDAY($C7378,2)+1)</f>
        <v/>
      </c>
      <c r="E7378">
        <f>IF($C7378="","",DATE(YEAR($C7378),MONTH($C7378),1))</f>
        <v/>
      </c>
      <c r="F7378">
        <f>IF($C7378="","",YEAR($C7378)&amp;"-Q"&amp;ROUNDUP(MONTH($C7378)/3,0))</f>
        <v/>
      </c>
      <c r="L7378">
        <f>IF($G7378&lt;&gt;"ALCOHOL","",IF($K7378="","",$H7378*IFERROR(VLOOKUP($K7378,Drink_Templates!$A:$G,7,FALSE),0)))</f>
        <v/>
      </c>
    </row>
    <row r="7379" ht="15" customHeight="1">
      <c r="C7379">
        <f>IF($B7379="","",INT($B7379))</f>
        <v/>
      </c>
      <c r="D7379">
        <f>IF($C7379="","",$C7379-WEEKDAY($C7379,2)+1)</f>
        <v/>
      </c>
      <c r="E7379">
        <f>IF($C7379="","",DATE(YEAR($C7379),MONTH($C7379),1))</f>
        <v/>
      </c>
      <c r="F7379">
        <f>IF($C7379="","",YEAR($C7379)&amp;"-Q"&amp;ROUNDUP(MONTH($C7379)/3,0))</f>
        <v/>
      </c>
      <c r="L7379">
        <f>IF($G7379&lt;&gt;"ALCOHOL","",IF($K7379="","",$H7379*IFERROR(VLOOKUP($K7379,Drink_Templates!$A:$G,7,FALSE),0)))</f>
        <v/>
      </c>
    </row>
    <row r="7380" ht="15" customHeight="1">
      <c r="C7380">
        <f>IF($B7380="","",INT($B7380))</f>
        <v/>
      </c>
      <c r="D7380">
        <f>IF($C7380="","",$C7380-WEEKDAY($C7380,2)+1)</f>
        <v/>
      </c>
      <c r="E7380">
        <f>IF($C7380="","",DATE(YEAR($C7380),MONTH($C7380),1))</f>
        <v/>
      </c>
      <c r="F7380">
        <f>IF($C7380="","",YEAR($C7380)&amp;"-Q"&amp;ROUNDUP(MONTH($C7380)/3,0))</f>
        <v/>
      </c>
      <c r="L7380">
        <f>IF($G7380&lt;&gt;"ALCOHOL","",IF($K7380="","",$H7380*IFERROR(VLOOKUP($K7380,Drink_Templates!$A:$G,7,FALSE),0)))</f>
        <v/>
      </c>
    </row>
    <row r="7381" ht="15" customHeight="1">
      <c r="C7381">
        <f>IF($B7381="","",INT($B7381))</f>
        <v/>
      </c>
      <c r="D7381">
        <f>IF($C7381="","",$C7381-WEEKDAY($C7381,2)+1)</f>
        <v/>
      </c>
      <c r="E7381">
        <f>IF($C7381="","",DATE(YEAR($C7381),MONTH($C7381),1))</f>
        <v/>
      </c>
      <c r="F7381">
        <f>IF($C7381="","",YEAR($C7381)&amp;"-Q"&amp;ROUNDUP(MONTH($C7381)/3,0))</f>
        <v/>
      </c>
      <c r="L7381">
        <f>IF($G7381&lt;&gt;"ALCOHOL","",IF($K7381="","",$H7381*IFERROR(VLOOKUP($K7381,Drink_Templates!$A:$G,7,FALSE),0)))</f>
        <v/>
      </c>
    </row>
    <row r="7382" ht="15" customHeight="1">
      <c r="C7382">
        <f>IF($B7382="","",INT($B7382))</f>
        <v/>
      </c>
      <c r="D7382">
        <f>IF($C7382="","",$C7382-WEEKDAY($C7382,2)+1)</f>
        <v/>
      </c>
      <c r="E7382">
        <f>IF($C7382="","",DATE(YEAR($C7382),MONTH($C7382),1))</f>
        <v/>
      </c>
      <c r="F7382">
        <f>IF($C7382="","",YEAR($C7382)&amp;"-Q"&amp;ROUNDUP(MONTH($C7382)/3,0))</f>
        <v/>
      </c>
      <c r="L7382">
        <f>IF($G7382&lt;&gt;"ALCOHOL","",IF($K7382="","",$H7382*IFERROR(VLOOKUP($K7382,Drink_Templates!$A:$G,7,FALSE),0)))</f>
        <v/>
      </c>
    </row>
    <row r="7383" ht="15" customHeight="1">
      <c r="C7383">
        <f>IF($B7383="","",INT($B7383))</f>
        <v/>
      </c>
      <c r="D7383">
        <f>IF($C7383="","",$C7383-WEEKDAY($C7383,2)+1)</f>
        <v/>
      </c>
      <c r="E7383">
        <f>IF($C7383="","",DATE(YEAR($C7383),MONTH($C7383),1))</f>
        <v/>
      </c>
      <c r="F7383">
        <f>IF($C7383="","",YEAR($C7383)&amp;"-Q"&amp;ROUNDUP(MONTH($C7383)/3,0))</f>
        <v/>
      </c>
      <c r="L7383">
        <f>IF($G7383&lt;&gt;"ALCOHOL","",IF($K7383="","",$H7383*IFERROR(VLOOKUP($K7383,Drink_Templates!$A:$G,7,FALSE),0)))</f>
        <v/>
      </c>
    </row>
    <row r="7384" ht="15" customHeight="1">
      <c r="C7384">
        <f>IF($B7384="","",INT($B7384))</f>
        <v/>
      </c>
      <c r="D7384">
        <f>IF($C7384="","",$C7384-WEEKDAY($C7384,2)+1)</f>
        <v/>
      </c>
      <c r="E7384">
        <f>IF($C7384="","",DATE(YEAR($C7384),MONTH($C7384),1))</f>
        <v/>
      </c>
      <c r="F7384">
        <f>IF($C7384="","",YEAR($C7384)&amp;"-Q"&amp;ROUNDUP(MONTH($C7384)/3,0))</f>
        <v/>
      </c>
      <c r="L7384">
        <f>IF($G7384&lt;&gt;"ALCOHOL","",IF($K7384="","",$H7384*IFERROR(VLOOKUP($K7384,Drink_Templates!$A:$G,7,FALSE),0)))</f>
        <v/>
      </c>
    </row>
    <row r="7385" ht="15" customHeight="1">
      <c r="C7385">
        <f>IF($B7385="","",INT($B7385))</f>
        <v/>
      </c>
      <c r="D7385">
        <f>IF($C7385="","",$C7385-WEEKDAY($C7385,2)+1)</f>
        <v/>
      </c>
      <c r="E7385">
        <f>IF($C7385="","",DATE(YEAR($C7385),MONTH($C7385),1))</f>
        <v/>
      </c>
      <c r="F7385">
        <f>IF($C7385="","",YEAR($C7385)&amp;"-Q"&amp;ROUNDUP(MONTH($C7385)/3,0))</f>
        <v/>
      </c>
      <c r="L7385">
        <f>IF($G7385&lt;&gt;"ALCOHOL","",IF($K7385="","",$H7385*IFERROR(VLOOKUP($K7385,Drink_Templates!$A:$G,7,FALSE),0)))</f>
        <v/>
      </c>
    </row>
    <row r="7386" ht="15" customHeight="1">
      <c r="C7386">
        <f>IF($B7386="","",INT($B7386))</f>
        <v/>
      </c>
      <c r="D7386">
        <f>IF($C7386="","",$C7386-WEEKDAY($C7386,2)+1)</f>
        <v/>
      </c>
      <c r="E7386">
        <f>IF($C7386="","",DATE(YEAR($C7386),MONTH($C7386),1))</f>
        <v/>
      </c>
      <c r="F7386">
        <f>IF($C7386="","",YEAR($C7386)&amp;"-Q"&amp;ROUNDUP(MONTH($C7386)/3,0))</f>
        <v/>
      </c>
      <c r="L7386">
        <f>IF($G7386&lt;&gt;"ALCOHOL","",IF($K7386="","",$H7386*IFERROR(VLOOKUP($K7386,Drink_Templates!$A:$G,7,FALSE),0)))</f>
        <v/>
      </c>
    </row>
    <row r="7387" ht="15" customHeight="1">
      <c r="C7387">
        <f>IF($B7387="","",INT($B7387))</f>
        <v/>
      </c>
      <c r="D7387">
        <f>IF($C7387="","",$C7387-WEEKDAY($C7387,2)+1)</f>
        <v/>
      </c>
      <c r="E7387">
        <f>IF($C7387="","",DATE(YEAR($C7387),MONTH($C7387),1))</f>
        <v/>
      </c>
      <c r="F7387">
        <f>IF($C7387="","",YEAR($C7387)&amp;"-Q"&amp;ROUNDUP(MONTH($C7387)/3,0))</f>
        <v/>
      </c>
      <c r="L7387">
        <f>IF($G7387&lt;&gt;"ALCOHOL","",IF($K7387="","",$H7387*IFERROR(VLOOKUP($K7387,Drink_Templates!$A:$G,7,FALSE),0)))</f>
        <v/>
      </c>
    </row>
    <row r="7388" ht="15" customHeight="1">
      <c r="C7388">
        <f>IF($B7388="","",INT($B7388))</f>
        <v/>
      </c>
      <c r="D7388">
        <f>IF($C7388="","",$C7388-WEEKDAY($C7388,2)+1)</f>
        <v/>
      </c>
      <c r="E7388">
        <f>IF($C7388="","",DATE(YEAR($C7388),MONTH($C7388),1))</f>
        <v/>
      </c>
      <c r="F7388">
        <f>IF($C7388="","",YEAR($C7388)&amp;"-Q"&amp;ROUNDUP(MONTH($C7388)/3,0))</f>
        <v/>
      </c>
      <c r="L7388">
        <f>IF($G7388&lt;&gt;"ALCOHOL","",IF($K7388="","",$H7388*IFERROR(VLOOKUP($K7388,Drink_Templates!$A:$G,7,FALSE),0)))</f>
        <v/>
      </c>
    </row>
    <row r="7389" ht="15" customHeight="1">
      <c r="C7389">
        <f>IF($B7389="","",INT($B7389))</f>
        <v/>
      </c>
      <c r="D7389">
        <f>IF($C7389="","",$C7389-WEEKDAY($C7389,2)+1)</f>
        <v/>
      </c>
      <c r="E7389">
        <f>IF($C7389="","",DATE(YEAR($C7389),MONTH($C7389),1))</f>
        <v/>
      </c>
      <c r="F7389">
        <f>IF($C7389="","",YEAR($C7389)&amp;"-Q"&amp;ROUNDUP(MONTH($C7389)/3,0))</f>
        <v/>
      </c>
      <c r="L7389">
        <f>IF($G7389&lt;&gt;"ALCOHOL","",IF($K7389="","",$H7389*IFERROR(VLOOKUP($K7389,Drink_Templates!$A:$G,7,FALSE),0)))</f>
        <v/>
      </c>
    </row>
    <row r="7390" ht="15" customHeight="1">
      <c r="C7390">
        <f>IF($B7390="","",INT($B7390))</f>
        <v/>
      </c>
      <c r="D7390">
        <f>IF($C7390="","",$C7390-WEEKDAY($C7390,2)+1)</f>
        <v/>
      </c>
      <c r="E7390">
        <f>IF($C7390="","",DATE(YEAR($C7390),MONTH($C7390),1))</f>
        <v/>
      </c>
      <c r="F7390">
        <f>IF($C7390="","",YEAR($C7390)&amp;"-Q"&amp;ROUNDUP(MONTH($C7390)/3,0))</f>
        <v/>
      </c>
      <c r="L7390">
        <f>IF($G7390&lt;&gt;"ALCOHOL","",IF($K7390="","",$H7390*IFERROR(VLOOKUP($K7390,Drink_Templates!$A:$G,7,FALSE),0)))</f>
        <v/>
      </c>
    </row>
    <row r="7391" ht="15" customHeight="1">
      <c r="C7391">
        <f>IF($B7391="","",INT($B7391))</f>
        <v/>
      </c>
      <c r="D7391">
        <f>IF($C7391="","",$C7391-WEEKDAY($C7391,2)+1)</f>
        <v/>
      </c>
      <c r="E7391">
        <f>IF($C7391="","",DATE(YEAR($C7391),MONTH($C7391),1))</f>
        <v/>
      </c>
      <c r="F7391">
        <f>IF($C7391="","",YEAR($C7391)&amp;"-Q"&amp;ROUNDUP(MONTH($C7391)/3,0))</f>
        <v/>
      </c>
      <c r="L7391">
        <f>IF($G7391&lt;&gt;"ALCOHOL","",IF($K7391="","",$H7391*IFERROR(VLOOKUP($K7391,Drink_Templates!$A:$G,7,FALSE),0)))</f>
        <v/>
      </c>
    </row>
    <row r="7392" ht="15" customHeight="1">
      <c r="C7392">
        <f>IF($B7392="","",INT($B7392))</f>
        <v/>
      </c>
      <c r="D7392">
        <f>IF($C7392="","",$C7392-WEEKDAY($C7392,2)+1)</f>
        <v/>
      </c>
      <c r="E7392">
        <f>IF($C7392="","",DATE(YEAR($C7392),MONTH($C7392),1))</f>
        <v/>
      </c>
      <c r="F7392">
        <f>IF($C7392="","",YEAR($C7392)&amp;"-Q"&amp;ROUNDUP(MONTH($C7392)/3,0))</f>
        <v/>
      </c>
      <c r="L7392">
        <f>IF($G7392&lt;&gt;"ALCOHOL","",IF($K7392="","",$H7392*IFERROR(VLOOKUP($K7392,Drink_Templates!$A:$G,7,FALSE),0)))</f>
        <v/>
      </c>
    </row>
    <row r="7393" ht="15" customHeight="1">
      <c r="C7393">
        <f>IF($B7393="","",INT($B7393))</f>
        <v/>
      </c>
      <c r="D7393">
        <f>IF($C7393="","",$C7393-WEEKDAY($C7393,2)+1)</f>
        <v/>
      </c>
      <c r="E7393">
        <f>IF($C7393="","",DATE(YEAR($C7393),MONTH($C7393),1))</f>
        <v/>
      </c>
      <c r="F7393">
        <f>IF($C7393="","",YEAR($C7393)&amp;"-Q"&amp;ROUNDUP(MONTH($C7393)/3,0))</f>
        <v/>
      </c>
      <c r="L7393">
        <f>IF($G7393&lt;&gt;"ALCOHOL","",IF($K7393="","",$H7393*IFERROR(VLOOKUP($K7393,Drink_Templates!$A:$G,7,FALSE),0)))</f>
        <v/>
      </c>
    </row>
    <row r="7394" ht="15" customHeight="1">
      <c r="C7394">
        <f>IF($B7394="","",INT($B7394))</f>
        <v/>
      </c>
      <c r="D7394">
        <f>IF($C7394="","",$C7394-WEEKDAY($C7394,2)+1)</f>
        <v/>
      </c>
      <c r="E7394">
        <f>IF($C7394="","",DATE(YEAR($C7394),MONTH($C7394),1))</f>
        <v/>
      </c>
      <c r="F7394">
        <f>IF($C7394="","",YEAR($C7394)&amp;"-Q"&amp;ROUNDUP(MONTH($C7394)/3,0))</f>
        <v/>
      </c>
      <c r="L7394">
        <f>IF($G7394&lt;&gt;"ALCOHOL","",IF($K7394="","",$H7394*IFERROR(VLOOKUP($K7394,Drink_Templates!$A:$G,7,FALSE),0)))</f>
        <v/>
      </c>
    </row>
    <row r="7395" ht="15" customHeight="1">
      <c r="C7395">
        <f>IF($B7395="","",INT($B7395))</f>
        <v/>
      </c>
      <c r="D7395">
        <f>IF($C7395="","",$C7395-WEEKDAY($C7395,2)+1)</f>
        <v/>
      </c>
      <c r="E7395">
        <f>IF($C7395="","",DATE(YEAR($C7395),MONTH($C7395),1))</f>
        <v/>
      </c>
      <c r="F7395">
        <f>IF($C7395="","",YEAR($C7395)&amp;"-Q"&amp;ROUNDUP(MONTH($C7395)/3,0))</f>
        <v/>
      </c>
      <c r="L7395">
        <f>IF($G7395&lt;&gt;"ALCOHOL","",IF($K7395="","",$H7395*IFERROR(VLOOKUP($K7395,Drink_Templates!$A:$G,7,FALSE),0)))</f>
        <v/>
      </c>
    </row>
    <row r="7396" ht="15" customHeight="1">
      <c r="C7396">
        <f>IF($B7396="","",INT($B7396))</f>
        <v/>
      </c>
      <c r="D7396">
        <f>IF($C7396="","",$C7396-WEEKDAY($C7396,2)+1)</f>
        <v/>
      </c>
      <c r="E7396">
        <f>IF($C7396="","",DATE(YEAR($C7396),MONTH($C7396),1))</f>
        <v/>
      </c>
      <c r="F7396">
        <f>IF($C7396="","",YEAR($C7396)&amp;"-Q"&amp;ROUNDUP(MONTH($C7396)/3,0))</f>
        <v/>
      </c>
      <c r="L7396">
        <f>IF($G7396&lt;&gt;"ALCOHOL","",IF($K7396="","",$H7396*IFERROR(VLOOKUP($K7396,Drink_Templates!$A:$G,7,FALSE),0)))</f>
        <v/>
      </c>
    </row>
    <row r="7397" ht="15" customHeight="1">
      <c r="C7397">
        <f>IF($B7397="","",INT($B7397))</f>
        <v/>
      </c>
      <c r="D7397">
        <f>IF($C7397="","",$C7397-WEEKDAY($C7397,2)+1)</f>
        <v/>
      </c>
      <c r="E7397">
        <f>IF($C7397="","",DATE(YEAR($C7397),MONTH($C7397),1))</f>
        <v/>
      </c>
      <c r="F7397">
        <f>IF($C7397="","",YEAR($C7397)&amp;"-Q"&amp;ROUNDUP(MONTH($C7397)/3,0))</f>
        <v/>
      </c>
      <c r="L7397">
        <f>IF($G7397&lt;&gt;"ALCOHOL","",IF($K7397="","",$H7397*IFERROR(VLOOKUP($K7397,Drink_Templates!$A:$G,7,FALSE),0)))</f>
        <v/>
      </c>
    </row>
    <row r="7398" ht="15" customHeight="1">
      <c r="C7398">
        <f>IF($B7398="","",INT($B7398))</f>
        <v/>
      </c>
      <c r="D7398">
        <f>IF($C7398="","",$C7398-WEEKDAY($C7398,2)+1)</f>
        <v/>
      </c>
      <c r="E7398">
        <f>IF($C7398="","",DATE(YEAR($C7398),MONTH($C7398),1))</f>
        <v/>
      </c>
      <c r="F7398">
        <f>IF($C7398="","",YEAR($C7398)&amp;"-Q"&amp;ROUNDUP(MONTH($C7398)/3,0))</f>
        <v/>
      </c>
      <c r="L7398">
        <f>IF($G7398&lt;&gt;"ALCOHOL","",IF($K7398="","",$H7398*IFERROR(VLOOKUP($K7398,Drink_Templates!$A:$G,7,FALSE),0)))</f>
        <v/>
      </c>
    </row>
    <row r="7399" ht="15" customHeight="1">
      <c r="C7399">
        <f>IF($B7399="","",INT($B7399))</f>
        <v/>
      </c>
      <c r="D7399">
        <f>IF($C7399="","",$C7399-WEEKDAY($C7399,2)+1)</f>
        <v/>
      </c>
      <c r="E7399">
        <f>IF($C7399="","",DATE(YEAR($C7399),MONTH($C7399),1))</f>
        <v/>
      </c>
      <c r="F7399">
        <f>IF($C7399="","",YEAR($C7399)&amp;"-Q"&amp;ROUNDUP(MONTH($C7399)/3,0))</f>
        <v/>
      </c>
      <c r="L7399">
        <f>IF($G7399&lt;&gt;"ALCOHOL","",IF($K7399="","",$H7399*IFERROR(VLOOKUP($K7399,Drink_Templates!$A:$G,7,FALSE),0)))</f>
        <v/>
      </c>
    </row>
    <row r="7400" ht="15" customHeight="1">
      <c r="C7400">
        <f>IF($B7400="","",INT($B7400))</f>
        <v/>
      </c>
      <c r="D7400">
        <f>IF($C7400="","",$C7400-WEEKDAY($C7400,2)+1)</f>
        <v/>
      </c>
      <c r="E7400">
        <f>IF($C7400="","",DATE(YEAR($C7400),MONTH($C7400),1))</f>
        <v/>
      </c>
      <c r="F7400">
        <f>IF($C7400="","",YEAR($C7400)&amp;"-Q"&amp;ROUNDUP(MONTH($C7400)/3,0))</f>
        <v/>
      </c>
      <c r="L7400">
        <f>IF($G7400&lt;&gt;"ALCOHOL","",IF($K7400="","",$H7400*IFERROR(VLOOKUP($K7400,Drink_Templates!$A:$G,7,FALSE),0)))</f>
        <v/>
      </c>
    </row>
    <row r="7401" ht="15" customHeight="1">
      <c r="C7401">
        <f>IF($B7401="","",INT($B7401))</f>
        <v/>
      </c>
      <c r="D7401">
        <f>IF($C7401="","",$C7401-WEEKDAY($C7401,2)+1)</f>
        <v/>
      </c>
      <c r="E7401">
        <f>IF($C7401="","",DATE(YEAR($C7401),MONTH($C7401),1))</f>
        <v/>
      </c>
      <c r="F7401">
        <f>IF($C7401="","",YEAR($C7401)&amp;"-Q"&amp;ROUNDUP(MONTH($C7401)/3,0))</f>
        <v/>
      </c>
      <c r="L7401">
        <f>IF($G7401&lt;&gt;"ALCOHOL","",IF($K7401="","",$H7401*IFERROR(VLOOKUP($K7401,Drink_Templates!$A:$G,7,FALSE),0)))</f>
        <v/>
      </c>
    </row>
    <row r="7402" ht="15" customHeight="1">
      <c r="C7402">
        <f>IF($B7402="","",INT($B7402))</f>
        <v/>
      </c>
      <c r="D7402">
        <f>IF($C7402="","",$C7402-WEEKDAY($C7402,2)+1)</f>
        <v/>
      </c>
      <c r="E7402">
        <f>IF($C7402="","",DATE(YEAR($C7402),MONTH($C7402),1))</f>
        <v/>
      </c>
      <c r="F7402">
        <f>IF($C7402="","",YEAR($C7402)&amp;"-Q"&amp;ROUNDUP(MONTH($C7402)/3,0))</f>
        <v/>
      </c>
      <c r="L7402">
        <f>IF($G7402&lt;&gt;"ALCOHOL","",IF($K7402="","",$H7402*IFERROR(VLOOKUP($K7402,Drink_Templates!$A:$G,7,FALSE),0)))</f>
        <v/>
      </c>
    </row>
    <row r="7403" ht="15" customHeight="1">
      <c r="C7403">
        <f>IF($B7403="","",INT($B7403))</f>
        <v/>
      </c>
      <c r="D7403">
        <f>IF($C7403="","",$C7403-WEEKDAY($C7403,2)+1)</f>
        <v/>
      </c>
      <c r="E7403">
        <f>IF($C7403="","",DATE(YEAR($C7403),MONTH($C7403),1))</f>
        <v/>
      </c>
      <c r="F7403">
        <f>IF($C7403="","",YEAR($C7403)&amp;"-Q"&amp;ROUNDUP(MONTH($C7403)/3,0))</f>
        <v/>
      </c>
      <c r="L7403">
        <f>IF($G7403&lt;&gt;"ALCOHOL","",IF($K7403="","",$H7403*IFERROR(VLOOKUP($K7403,Drink_Templates!$A:$G,7,FALSE),0)))</f>
        <v/>
      </c>
    </row>
    <row r="7404" ht="15" customHeight="1">
      <c r="C7404">
        <f>IF($B7404="","",INT($B7404))</f>
        <v/>
      </c>
      <c r="D7404">
        <f>IF($C7404="","",$C7404-WEEKDAY($C7404,2)+1)</f>
        <v/>
      </c>
      <c r="E7404">
        <f>IF($C7404="","",DATE(YEAR($C7404),MONTH($C7404),1))</f>
        <v/>
      </c>
      <c r="F7404">
        <f>IF($C7404="","",YEAR($C7404)&amp;"-Q"&amp;ROUNDUP(MONTH($C7404)/3,0))</f>
        <v/>
      </c>
      <c r="L7404">
        <f>IF($G7404&lt;&gt;"ALCOHOL","",IF($K7404="","",$H7404*IFERROR(VLOOKUP($K7404,Drink_Templates!$A:$G,7,FALSE),0)))</f>
        <v/>
      </c>
    </row>
    <row r="7405" ht="15" customHeight="1">
      <c r="C7405">
        <f>IF($B7405="","",INT($B7405))</f>
        <v/>
      </c>
      <c r="D7405">
        <f>IF($C7405="","",$C7405-WEEKDAY($C7405,2)+1)</f>
        <v/>
      </c>
      <c r="E7405">
        <f>IF($C7405="","",DATE(YEAR($C7405),MONTH($C7405),1))</f>
        <v/>
      </c>
      <c r="F7405">
        <f>IF($C7405="","",YEAR($C7405)&amp;"-Q"&amp;ROUNDUP(MONTH($C7405)/3,0))</f>
        <v/>
      </c>
      <c r="L7405">
        <f>IF($G7405&lt;&gt;"ALCOHOL","",IF($K7405="","",$H7405*IFERROR(VLOOKUP($K7405,Drink_Templates!$A:$G,7,FALSE),0)))</f>
        <v/>
      </c>
    </row>
    <row r="7406" ht="15" customHeight="1">
      <c r="C7406">
        <f>IF($B7406="","",INT($B7406))</f>
        <v/>
      </c>
      <c r="D7406">
        <f>IF($C7406="","",$C7406-WEEKDAY($C7406,2)+1)</f>
        <v/>
      </c>
      <c r="E7406">
        <f>IF($C7406="","",DATE(YEAR($C7406),MONTH($C7406),1))</f>
        <v/>
      </c>
      <c r="F7406">
        <f>IF($C7406="","",YEAR($C7406)&amp;"-Q"&amp;ROUNDUP(MONTH($C7406)/3,0))</f>
        <v/>
      </c>
      <c r="L7406">
        <f>IF($G7406&lt;&gt;"ALCOHOL","",IF($K7406="","",$H7406*IFERROR(VLOOKUP($K7406,Drink_Templates!$A:$G,7,FALSE),0)))</f>
        <v/>
      </c>
    </row>
    <row r="7407" ht="15" customHeight="1">
      <c r="C7407">
        <f>IF($B7407="","",INT($B7407))</f>
        <v/>
      </c>
      <c r="D7407">
        <f>IF($C7407="","",$C7407-WEEKDAY($C7407,2)+1)</f>
        <v/>
      </c>
      <c r="E7407">
        <f>IF($C7407="","",DATE(YEAR($C7407),MONTH($C7407),1))</f>
        <v/>
      </c>
      <c r="F7407">
        <f>IF($C7407="","",YEAR($C7407)&amp;"-Q"&amp;ROUNDUP(MONTH($C7407)/3,0))</f>
        <v/>
      </c>
      <c r="L7407">
        <f>IF($G7407&lt;&gt;"ALCOHOL","",IF($K7407="","",$H7407*IFERROR(VLOOKUP($K7407,Drink_Templates!$A:$G,7,FALSE),0)))</f>
        <v/>
      </c>
    </row>
    <row r="7408" ht="15" customHeight="1">
      <c r="C7408">
        <f>IF($B7408="","",INT($B7408))</f>
        <v/>
      </c>
      <c r="D7408">
        <f>IF($C7408="","",$C7408-WEEKDAY($C7408,2)+1)</f>
        <v/>
      </c>
      <c r="E7408">
        <f>IF($C7408="","",DATE(YEAR($C7408),MONTH($C7408),1))</f>
        <v/>
      </c>
      <c r="F7408">
        <f>IF($C7408="","",YEAR($C7408)&amp;"-Q"&amp;ROUNDUP(MONTH($C7408)/3,0))</f>
        <v/>
      </c>
      <c r="L7408">
        <f>IF($G7408&lt;&gt;"ALCOHOL","",IF($K7408="","",$H7408*IFERROR(VLOOKUP($K7408,Drink_Templates!$A:$G,7,FALSE),0)))</f>
        <v/>
      </c>
    </row>
    <row r="7409" ht="15" customHeight="1">
      <c r="C7409">
        <f>IF($B7409="","",INT($B7409))</f>
        <v/>
      </c>
      <c r="D7409">
        <f>IF($C7409="","",$C7409-WEEKDAY($C7409,2)+1)</f>
        <v/>
      </c>
      <c r="E7409">
        <f>IF($C7409="","",DATE(YEAR($C7409),MONTH($C7409),1))</f>
        <v/>
      </c>
      <c r="F7409">
        <f>IF($C7409="","",YEAR($C7409)&amp;"-Q"&amp;ROUNDUP(MONTH($C7409)/3,0))</f>
        <v/>
      </c>
      <c r="L7409">
        <f>IF($G7409&lt;&gt;"ALCOHOL","",IF($K7409="","",$H7409*IFERROR(VLOOKUP($K7409,Drink_Templates!$A:$G,7,FALSE),0)))</f>
        <v/>
      </c>
    </row>
    <row r="7410" ht="15" customHeight="1">
      <c r="C7410">
        <f>IF($B7410="","",INT($B7410))</f>
        <v/>
      </c>
      <c r="D7410">
        <f>IF($C7410="","",$C7410-WEEKDAY($C7410,2)+1)</f>
        <v/>
      </c>
      <c r="E7410">
        <f>IF($C7410="","",DATE(YEAR($C7410),MONTH($C7410),1))</f>
        <v/>
      </c>
      <c r="F7410">
        <f>IF($C7410="","",YEAR($C7410)&amp;"-Q"&amp;ROUNDUP(MONTH($C7410)/3,0))</f>
        <v/>
      </c>
      <c r="L7410">
        <f>IF($G7410&lt;&gt;"ALCOHOL","",IF($K7410="","",$H7410*IFERROR(VLOOKUP($K7410,Drink_Templates!$A:$G,7,FALSE),0)))</f>
        <v/>
      </c>
    </row>
    <row r="7411" ht="15" customHeight="1">
      <c r="C7411">
        <f>IF($B7411="","",INT($B7411))</f>
        <v/>
      </c>
      <c r="D7411">
        <f>IF($C7411="","",$C7411-WEEKDAY($C7411,2)+1)</f>
        <v/>
      </c>
      <c r="E7411">
        <f>IF($C7411="","",DATE(YEAR($C7411),MONTH($C7411),1))</f>
        <v/>
      </c>
      <c r="F7411">
        <f>IF($C7411="","",YEAR($C7411)&amp;"-Q"&amp;ROUNDUP(MONTH($C7411)/3,0))</f>
        <v/>
      </c>
      <c r="L7411">
        <f>IF($G7411&lt;&gt;"ALCOHOL","",IF($K7411="","",$H7411*IFERROR(VLOOKUP($K7411,Drink_Templates!$A:$G,7,FALSE),0)))</f>
        <v/>
      </c>
    </row>
    <row r="7412" ht="15" customHeight="1">
      <c r="C7412">
        <f>IF($B7412="","",INT($B7412))</f>
        <v/>
      </c>
      <c r="D7412">
        <f>IF($C7412="","",$C7412-WEEKDAY($C7412,2)+1)</f>
        <v/>
      </c>
      <c r="E7412">
        <f>IF($C7412="","",DATE(YEAR($C7412),MONTH($C7412),1))</f>
        <v/>
      </c>
      <c r="F7412">
        <f>IF($C7412="","",YEAR($C7412)&amp;"-Q"&amp;ROUNDUP(MONTH($C7412)/3,0))</f>
        <v/>
      </c>
      <c r="L7412">
        <f>IF($G7412&lt;&gt;"ALCOHOL","",IF($K7412="","",$H7412*IFERROR(VLOOKUP($K7412,Drink_Templates!$A:$G,7,FALSE),0)))</f>
        <v/>
      </c>
    </row>
    <row r="7413" ht="15" customHeight="1">
      <c r="C7413">
        <f>IF($B7413="","",INT($B7413))</f>
        <v/>
      </c>
      <c r="D7413">
        <f>IF($C7413="","",$C7413-WEEKDAY($C7413,2)+1)</f>
        <v/>
      </c>
      <c r="E7413">
        <f>IF($C7413="","",DATE(YEAR($C7413),MONTH($C7413),1))</f>
        <v/>
      </c>
      <c r="F7413">
        <f>IF($C7413="","",YEAR($C7413)&amp;"-Q"&amp;ROUNDUP(MONTH($C7413)/3,0))</f>
        <v/>
      </c>
      <c r="L7413">
        <f>IF($G7413&lt;&gt;"ALCOHOL","",IF($K7413="","",$H7413*IFERROR(VLOOKUP($K7413,Drink_Templates!$A:$G,7,FALSE),0)))</f>
        <v/>
      </c>
    </row>
    <row r="7414" ht="15" customHeight="1">
      <c r="C7414">
        <f>IF($B7414="","",INT($B7414))</f>
        <v/>
      </c>
      <c r="D7414">
        <f>IF($C7414="","",$C7414-WEEKDAY($C7414,2)+1)</f>
        <v/>
      </c>
      <c r="E7414">
        <f>IF($C7414="","",DATE(YEAR($C7414),MONTH($C7414),1))</f>
        <v/>
      </c>
      <c r="F7414">
        <f>IF($C7414="","",YEAR($C7414)&amp;"-Q"&amp;ROUNDUP(MONTH($C7414)/3,0))</f>
        <v/>
      </c>
      <c r="L7414">
        <f>IF($G7414&lt;&gt;"ALCOHOL","",IF($K7414="","",$H7414*IFERROR(VLOOKUP($K7414,Drink_Templates!$A:$G,7,FALSE),0)))</f>
        <v/>
      </c>
    </row>
    <row r="7415" ht="15" customHeight="1">
      <c r="C7415">
        <f>IF($B7415="","",INT($B7415))</f>
        <v/>
      </c>
      <c r="D7415">
        <f>IF($C7415="","",$C7415-WEEKDAY($C7415,2)+1)</f>
        <v/>
      </c>
      <c r="E7415">
        <f>IF($C7415="","",DATE(YEAR($C7415),MONTH($C7415),1))</f>
        <v/>
      </c>
      <c r="F7415">
        <f>IF($C7415="","",YEAR($C7415)&amp;"-Q"&amp;ROUNDUP(MONTH($C7415)/3,0))</f>
        <v/>
      </c>
      <c r="L7415">
        <f>IF($G7415&lt;&gt;"ALCOHOL","",IF($K7415="","",$H7415*IFERROR(VLOOKUP($K7415,Drink_Templates!$A:$G,7,FALSE),0)))</f>
        <v/>
      </c>
    </row>
    <row r="7416" ht="15" customHeight="1">
      <c r="C7416">
        <f>IF($B7416="","",INT($B7416))</f>
        <v/>
      </c>
      <c r="D7416">
        <f>IF($C7416="","",$C7416-WEEKDAY($C7416,2)+1)</f>
        <v/>
      </c>
      <c r="E7416">
        <f>IF($C7416="","",DATE(YEAR($C7416),MONTH($C7416),1))</f>
        <v/>
      </c>
      <c r="F7416">
        <f>IF($C7416="","",YEAR($C7416)&amp;"-Q"&amp;ROUNDUP(MONTH($C7416)/3,0))</f>
        <v/>
      </c>
      <c r="L7416">
        <f>IF($G7416&lt;&gt;"ALCOHOL","",IF($K7416="","",$H7416*IFERROR(VLOOKUP($K7416,Drink_Templates!$A:$G,7,FALSE),0)))</f>
        <v/>
      </c>
    </row>
    <row r="7417" ht="15" customHeight="1">
      <c r="C7417">
        <f>IF($B7417="","",INT($B7417))</f>
        <v/>
      </c>
      <c r="D7417">
        <f>IF($C7417="","",$C7417-WEEKDAY($C7417,2)+1)</f>
        <v/>
      </c>
      <c r="E7417">
        <f>IF($C7417="","",DATE(YEAR($C7417),MONTH($C7417),1))</f>
        <v/>
      </c>
      <c r="F7417">
        <f>IF($C7417="","",YEAR($C7417)&amp;"-Q"&amp;ROUNDUP(MONTH($C7417)/3,0))</f>
        <v/>
      </c>
      <c r="L7417">
        <f>IF($G7417&lt;&gt;"ALCOHOL","",IF($K7417="","",$H7417*IFERROR(VLOOKUP($K7417,Drink_Templates!$A:$G,7,FALSE),0)))</f>
        <v/>
      </c>
    </row>
    <row r="7418" ht="15" customHeight="1">
      <c r="C7418">
        <f>IF($B7418="","",INT($B7418))</f>
        <v/>
      </c>
      <c r="D7418">
        <f>IF($C7418="","",$C7418-WEEKDAY($C7418,2)+1)</f>
        <v/>
      </c>
      <c r="E7418">
        <f>IF($C7418="","",DATE(YEAR($C7418),MONTH($C7418),1))</f>
        <v/>
      </c>
      <c r="F7418">
        <f>IF($C7418="","",YEAR($C7418)&amp;"-Q"&amp;ROUNDUP(MONTH($C7418)/3,0))</f>
        <v/>
      </c>
      <c r="L7418">
        <f>IF($G7418&lt;&gt;"ALCOHOL","",IF($K7418="","",$H7418*IFERROR(VLOOKUP($K7418,Drink_Templates!$A:$G,7,FALSE),0)))</f>
        <v/>
      </c>
    </row>
    <row r="7419" ht="15" customHeight="1">
      <c r="C7419">
        <f>IF($B7419="","",INT($B7419))</f>
        <v/>
      </c>
      <c r="D7419">
        <f>IF($C7419="","",$C7419-WEEKDAY($C7419,2)+1)</f>
        <v/>
      </c>
      <c r="E7419">
        <f>IF($C7419="","",DATE(YEAR($C7419),MONTH($C7419),1))</f>
        <v/>
      </c>
      <c r="F7419">
        <f>IF($C7419="","",YEAR($C7419)&amp;"-Q"&amp;ROUNDUP(MONTH($C7419)/3,0))</f>
        <v/>
      </c>
      <c r="L7419">
        <f>IF($G7419&lt;&gt;"ALCOHOL","",IF($K7419="","",$H7419*IFERROR(VLOOKUP($K7419,Drink_Templates!$A:$G,7,FALSE),0)))</f>
        <v/>
      </c>
    </row>
    <row r="7420" ht="15" customHeight="1">
      <c r="C7420">
        <f>IF($B7420="","",INT($B7420))</f>
        <v/>
      </c>
      <c r="D7420">
        <f>IF($C7420="","",$C7420-WEEKDAY($C7420,2)+1)</f>
        <v/>
      </c>
      <c r="E7420">
        <f>IF($C7420="","",DATE(YEAR($C7420),MONTH($C7420),1))</f>
        <v/>
      </c>
      <c r="F7420">
        <f>IF($C7420="","",YEAR($C7420)&amp;"-Q"&amp;ROUNDUP(MONTH($C7420)/3,0))</f>
        <v/>
      </c>
      <c r="L7420">
        <f>IF($G7420&lt;&gt;"ALCOHOL","",IF($K7420="","",$H7420*IFERROR(VLOOKUP($K7420,Drink_Templates!$A:$G,7,FALSE),0)))</f>
        <v/>
      </c>
    </row>
    <row r="7421" ht="15" customHeight="1">
      <c r="C7421">
        <f>IF($B7421="","",INT($B7421))</f>
        <v/>
      </c>
      <c r="D7421">
        <f>IF($C7421="","",$C7421-WEEKDAY($C7421,2)+1)</f>
        <v/>
      </c>
      <c r="E7421">
        <f>IF($C7421="","",DATE(YEAR($C7421),MONTH($C7421),1))</f>
        <v/>
      </c>
      <c r="F7421">
        <f>IF($C7421="","",YEAR($C7421)&amp;"-Q"&amp;ROUNDUP(MONTH($C7421)/3,0))</f>
        <v/>
      </c>
      <c r="L7421">
        <f>IF($G7421&lt;&gt;"ALCOHOL","",IF($K7421="","",$H7421*IFERROR(VLOOKUP($K7421,Drink_Templates!$A:$G,7,FALSE),0)))</f>
        <v/>
      </c>
    </row>
    <row r="7422" ht="15" customHeight="1">
      <c r="C7422">
        <f>IF($B7422="","",INT($B7422))</f>
        <v/>
      </c>
      <c r="D7422">
        <f>IF($C7422="","",$C7422-WEEKDAY($C7422,2)+1)</f>
        <v/>
      </c>
      <c r="E7422">
        <f>IF($C7422="","",DATE(YEAR($C7422),MONTH($C7422),1))</f>
        <v/>
      </c>
      <c r="F7422">
        <f>IF($C7422="","",YEAR($C7422)&amp;"-Q"&amp;ROUNDUP(MONTH($C7422)/3,0))</f>
        <v/>
      </c>
      <c r="L7422">
        <f>IF($G7422&lt;&gt;"ALCOHOL","",IF($K7422="","",$H7422*IFERROR(VLOOKUP($K7422,Drink_Templates!$A:$G,7,FALSE),0)))</f>
        <v/>
      </c>
    </row>
    <row r="7423" ht="15" customHeight="1">
      <c r="C7423">
        <f>IF($B7423="","",INT($B7423))</f>
        <v/>
      </c>
      <c r="D7423">
        <f>IF($C7423="","",$C7423-WEEKDAY($C7423,2)+1)</f>
        <v/>
      </c>
      <c r="E7423">
        <f>IF($C7423="","",DATE(YEAR($C7423),MONTH($C7423),1))</f>
        <v/>
      </c>
      <c r="F7423">
        <f>IF($C7423="","",YEAR($C7423)&amp;"-Q"&amp;ROUNDUP(MONTH($C7423)/3,0))</f>
        <v/>
      </c>
      <c r="L7423">
        <f>IF($G7423&lt;&gt;"ALCOHOL","",IF($K7423="","",$H7423*IFERROR(VLOOKUP($K7423,Drink_Templates!$A:$G,7,FALSE),0)))</f>
        <v/>
      </c>
    </row>
    <row r="7424" ht="15" customHeight="1">
      <c r="C7424">
        <f>IF($B7424="","",INT($B7424))</f>
        <v/>
      </c>
      <c r="D7424">
        <f>IF($C7424="","",$C7424-WEEKDAY($C7424,2)+1)</f>
        <v/>
      </c>
      <c r="E7424">
        <f>IF($C7424="","",DATE(YEAR($C7424),MONTH($C7424),1))</f>
        <v/>
      </c>
      <c r="F7424">
        <f>IF($C7424="","",YEAR($C7424)&amp;"-Q"&amp;ROUNDUP(MONTH($C7424)/3,0))</f>
        <v/>
      </c>
      <c r="L7424">
        <f>IF($G7424&lt;&gt;"ALCOHOL","",IF($K7424="","",$H7424*IFERROR(VLOOKUP($K7424,Drink_Templates!$A:$G,7,FALSE),0)))</f>
        <v/>
      </c>
    </row>
    <row r="7425" ht="15" customHeight="1">
      <c r="C7425">
        <f>IF($B7425="","",INT($B7425))</f>
        <v/>
      </c>
      <c r="D7425">
        <f>IF($C7425="","",$C7425-WEEKDAY($C7425,2)+1)</f>
        <v/>
      </c>
      <c r="E7425">
        <f>IF($C7425="","",DATE(YEAR($C7425),MONTH($C7425),1))</f>
        <v/>
      </c>
      <c r="F7425">
        <f>IF($C7425="","",YEAR($C7425)&amp;"-Q"&amp;ROUNDUP(MONTH($C7425)/3,0))</f>
        <v/>
      </c>
      <c r="L7425">
        <f>IF($G7425&lt;&gt;"ALCOHOL","",IF($K7425="","",$H7425*IFERROR(VLOOKUP($K7425,Drink_Templates!$A:$G,7,FALSE),0)))</f>
        <v/>
      </c>
    </row>
    <row r="7426" ht="15" customHeight="1">
      <c r="C7426">
        <f>IF($B7426="","",INT($B7426))</f>
        <v/>
      </c>
      <c r="D7426">
        <f>IF($C7426="","",$C7426-WEEKDAY($C7426,2)+1)</f>
        <v/>
      </c>
      <c r="E7426">
        <f>IF($C7426="","",DATE(YEAR($C7426),MONTH($C7426),1))</f>
        <v/>
      </c>
      <c r="F7426">
        <f>IF($C7426="","",YEAR($C7426)&amp;"-Q"&amp;ROUNDUP(MONTH($C7426)/3,0))</f>
        <v/>
      </c>
      <c r="L7426">
        <f>IF($G7426&lt;&gt;"ALCOHOL","",IF($K7426="","",$H7426*IFERROR(VLOOKUP($K7426,Drink_Templates!$A:$G,7,FALSE),0)))</f>
        <v/>
      </c>
    </row>
    <row r="7427" ht="15" customHeight="1">
      <c r="C7427">
        <f>IF($B7427="","",INT($B7427))</f>
        <v/>
      </c>
      <c r="D7427">
        <f>IF($C7427="","",$C7427-WEEKDAY($C7427,2)+1)</f>
        <v/>
      </c>
      <c r="E7427">
        <f>IF($C7427="","",DATE(YEAR($C7427),MONTH($C7427),1))</f>
        <v/>
      </c>
      <c r="F7427">
        <f>IF($C7427="","",YEAR($C7427)&amp;"-Q"&amp;ROUNDUP(MONTH($C7427)/3,0))</f>
        <v/>
      </c>
      <c r="L7427">
        <f>IF($G7427&lt;&gt;"ALCOHOL","",IF($K7427="","",$H7427*IFERROR(VLOOKUP($K7427,Drink_Templates!$A:$G,7,FALSE),0)))</f>
        <v/>
      </c>
    </row>
    <row r="7428" ht="15" customHeight="1">
      <c r="C7428">
        <f>IF($B7428="","",INT($B7428))</f>
        <v/>
      </c>
      <c r="D7428">
        <f>IF($C7428="","",$C7428-WEEKDAY($C7428,2)+1)</f>
        <v/>
      </c>
      <c r="E7428">
        <f>IF($C7428="","",DATE(YEAR($C7428),MONTH($C7428),1))</f>
        <v/>
      </c>
      <c r="F7428">
        <f>IF($C7428="","",YEAR($C7428)&amp;"-Q"&amp;ROUNDUP(MONTH($C7428)/3,0))</f>
        <v/>
      </c>
      <c r="L7428">
        <f>IF($G7428&lt;&gt;"ALCOHOL","",IF($K7428="","",$H7428*IFERROR(VLOOKUP($K7428,Drink_Templates!$A:$G,7,FALSE),0)))</f>
        <v/>
      </c>
    </row>
    <row r="7429" ht="15" customHeight="1">
      <c r="C7429">
        <f>IF($B7429="","",INT($B7429))</f>
        <v/>
      </c>
      <c r="D7429">
        <f>IF($C7429="","",$C7429-WEEKDAY($C7429,2)+1)</f>
        <v/>
      </c>
      <c r="E7429">
        <f>IF($C7429="","",DATE(YEAR($C7429),MONTH($C7429),1))</f>
        <v/>
      </c>
      <c r="F7429">
        <f>IF($C7429="","",YEAR($C7429)&amp;"-Q"&amp;ROUNDUP(MONTH($C7429)/3,0))</f>
        <v/>
      </c>
      <c r="L7429">
        <f>IF($G7429&lt;&gt;"ALCOHOL","",IF($K7429="","",$H7429*IFERROR(VLOOKUP($K7429,Drink_Templates!$A:$G,7,FALSE),0)))</f>
        <v/>
      </c>
    </row>
    <row r="7430" ht="15" customHeight="1">
      <c r="C7430">
        <f>IF($B7430="","",INT($B7430))</f>
        <v/>
      </c>
      <c r="D7430">
        <f>IF($C7430="","",$C7430-WEEKDAY($C7430,2)+1)</f>
        <v/>
      </c>
      <c r="E7430">
        <f>IF($C7430="","",DATE(YEAR($C7430),MONTH($C7430),1))</f>
        <v/>
      </c>
      <c r="F7430">
        <f>IF($C7430="","",YEAR($C7430)&amp;"-Q"&amp;ROUNDUP(MONTH($C7430)/3,0))</f>
        <v/>
      </c>
      <c r="L7430">
        <f>IF($G7430&lt;&gt;"ALCOHOL","",IF($K7430="","",$H7430*IFERROR(VLOOKUP($K7430,Drink_Templates!$A:$G,7,FALSE),0)))</f>
        <v/>
      </c>
    </row>
    <row r="7431" ht="15" customHeight="1">
      <c r="C7431">
        <f>IF($B7431="","",INT($B7431))</f>
        <v/>
      </c>
      <c r="D7431">
        <f>IF($C7431="","",$C7431-WEEKDAY($C7431,2)+1)</f>
        <v/>
      </c>
      <c r="E7431">
        <f>IF($C7431="","",DATE(YEAR($C7431),MONTH($C7431),1))</f>
        <v/>
      </c>
      <c r="F7431">
        <f>IF($C7431="","",YEAR($C7431)&amp;"-Q"&amp;ROUNDUP(MONTH($C7431)/3,0))</f>
        <v/>
      </c>
      <c r="L7431">
        <f>IF($G7431&lt;&gt;"ALCOHOL","",IF($K7431="","",$H7431*IFERROR(VLOOKUP($K7431,Drink_Templates!$A:$G,7,FALSE),0)))</f>
        <v/>
      </c>
    </row>
    <row r="7432" ht="15" customHeight="1">
      <c r="C7432">
        <f>IF($B7432="","",INT($B7432))</f>
        <v/>
      </c>
      <c r="D7432">
        <f>IF($C7432="","",$C7432-WEEKDAY($C7432,2)+1)</f>
        <v/>
      </c>
      <c r="E7432">
        <f>IF($C7432="","",DATE(YEAR($C7432),MONTH($C7432),1))</f>
        <v/>
      </c>
      <c r="F7432">
        <f>IF($C7432="","",YEAR($C7432)&amp;"-Q"&amp;ROUNDUP(MONTH($C7432)/3,0))</f>
        <v/>
      </c>
      <c r="L7432">
        <f>IF($G7432&lt;&gt;"ALCOHOL","",IF($K7432="","",$H7432*IFERROR(VLOOKUP($K7432,Drink_Templates!$A:$G,7,FALSE),0)))</f>
        <v/>
      </c>
    </row>
    <row r="7433" ht="15" customHeight="1">
      <c r="C7433">
        <f>IF($B7433="","",INT($B7433))</f>
        <v/>
      </c>
      <c r="D7433">
        <f>IF($C7433="","",$C7433-WEEKDAY($C7433,2)+1)</f>
        <v/>
      </c>
      <c r="E7433">
        <f>IF($C7433="","",DATE(YEAR($C7433),MONTH($C7433),1))</f>
        <v/>
      </c>
      <c r="F7433">
        <f>IF($C7433="","",YEAR($C7433)&amp;"-Q"&amp;ROUNDUP(MONTH($C7433)/3,0))</f>
        <v/>
      </c>
      <c r="L7433">
        <f>IF($G7433&lt;&gt;"ALCOHOL","",IF($K7433="","",$H7433*IFERROR(VLOOKUP($K7433,Drink_Templates!$A:$G,7,FALSE),0)))</f>
        <v/>
      </c>
    </row>
    <row r="7434" ht="15" customHeight="1">
      <c r="C7434">
        <f>IF($B7434="","",INT($B7434))</f>
        <v/>
      </c>
      <c r="D7434">
        <f>IF($C7434="","",$C7434-WEEKDAY($C7434,2)+1)</f>
        <v/>
      </c>
      <c r="E7434">
        <f>IF($C7434="","",DATE(YEAR($C7434),MONTH($C7434),1))</f>
        <v/>
      </c>
      <c r="F7434">
        <f>IF($C7434="","",YEAR($C7434)&amp;"-Q"&amp;ROUNDUP(MONTH($C7434)/3,0))</f>
        <v/>
      </c>
      <c r="L7434">
        <f>IF($G7434&lt;&gt;"ALCOHOL","",IF($K7434="","",$H7434*IFERROR(VLOOKUP($K7434,Drink_Templates!$A:$G,7,FALSE),0)))</f>
        <v/>
      </c>
    </row>
    <row r="7435" ht="15" customHeight="1">
      <c r="C7435">
        <f>IF($B7435="","",INT($B7435))</f>
        <v/>
      </c>
      <c r="D7435">
        <f>IF($C7435="","",$C7435-WEEKDAY($C7435,2)+1)</f>
        <v/>
      </c>
      <c r="E7435">
        <f>IF($C7435="","",DATE(YEAR($C7435),MONTH($C7435),1))</f>
        <v/>
      </c>
      <c r="F7435">
        <f>IF($C7435="","",YEAR($C7435)&amp;"-Q"&amp;ROUNDUP(MONTH($C7435)/3,0))</f>
        <v/>
      </c>
      <c r="L7435">
        <f>IF($G7435&lt;&gt;"ALCOHOL","",IF($K7435="","",$H7435*IFERROR(VLOOKUP($K7435,Drink_Templates!$A:$G,7,FALSE),0)))</f>
        <v/>
      </c>
    </row>
    <row r="7436" ht="15" customHeight="1">
      <c r="C7436">
        <f>IF($B7436="","",INT($B7436))</f>
        <v/>
      </c>
      <c r="D7436">
        <f>IF($C7436="","",$C7436-WEEKDAY($C7436,2)+1)</f>
        <v/>
      </c>
      <c r="E7436">
        <f>IF($C7436="","",DATE(YEAR($C7436),MONTH($C7436),1))</f>
        <v/>
      </c>
      <c r="F7436">
        <f>IF($C7436="","",YEAR($C7436)&amp;"-Q"&amp;ROUNDUP(MONTH($C7436)/3,0))</f>
        <v/>
      </c>
      <c r="L7436">
        <f>IF($G7436&lt;&gt;"ALCOHOL","",IF($K7436="","",$H7436*IFERROR(VLOOKUP($K7436,Drink_Templates!$A:$G,7,FALSE),0)))</f>
        <v/>
      </c>
    </row>
    <row r="7437" ht="15" customHeight="1">
      <c r="C7437">
        <f>IF($B7437="","",INT($B7437))</f>
        <v/>
      </c>
      <c r="D7437">
        <f>IF($C7437="","",$C7437-WEEKDAY($C7437,2)+1)</f>
        <v/>
      </c>
      <c r="E7437">
        <f>IF($C7437="","",DATE(YEAR($C7437),MONTH($C7437),1))</f>
        <v/>
      </c>
      <c r="F7437">
        <f>IF($C7437="","",YEAR($C7437)&amp;"-Q"&amp;ROUNDUP(MONTH($C7437)/3,0))</f>
        <v/>
      </c>
      <c r="L7437">
        <f>IF($G7437&lt;&gt;"ALCOHOL","",IF($K7437="","",$H7437*IFERROR(VLOOKUP($K7437,Drink_Templates!$A:$G,7,FALSE),0)))</f>
        <v/>
      </c>
    </row>
    <row r="7438" ht="15" customHeight="1">
      <c r="C7438">
        <f>IF($B7438="","",INT($B7438))</f>
        <v/>
      </c>
      <c r="D7438">
        <f>IF($C7438="","",$C7438-WEEKDAY($C7438,2)+1)</f>
        <v/>
      </c>
      <c r="E7438">
        <f>IF($C7438="","",DATE(YEAR($C7438),MONTH($C7438),1))</f>
        <v/>
      </c>
      <c r="F7438">
        <f>IF($C7438="","",YEAR($C7438)&amp;"-Q"&amp;ROUNDUP(MONTH($C7438)/3,0))</f>
        <v/>
      </c>
      <c r="L7438">
        <f>IF($G7438&lt;&gt;"ALCOHOL","",IF($K7438="","",$H7438*IFERROR(VLOOKUP($K7438,Drink_Templates!$A:$G,7,FALSE),0)))</f>
        <v/>
      </c>
    </row>
    <row r="7439" ht="15" customHeight="1">
      <c r="C7439">
        <f>IF($B7439="","",INT($B7439))</f>
        <v/>
      </c>
      <c r="D7439">
        <f>IF($C7439="","",$C7439-WEEKDAY($C7439,2)+1)</f>
        <v/>
      </c>
      <c r="E7439">
        <f>IF($C7439="","",DATE(YEAR($C7439),MONTH($C7439),1))</f>
        <v/>
      </c>
      <c r="F7439">
        <f>IF($C7439="","",YEAR($C7439)&amp;"-Q"&amp;ROUNDUP(MONTH($C7439)/3,0))</f>
        <v/>
      </c>
      <c r="L7439">
        <f>IF($G7439&lt;&gt;"ALCOHOL","",IF($K7439="","",$H7439*IFERROR(VLOOKUP($K7439,Drink_Templates!$A:$G,7,FALSE),0)))</f>
        <v/>
      </c>
    </row>
    <row r="7440" ht="15" customHeight="1">
      <c r="C7440">
        <f>IF($B7440="","",INT($B7440))</f>
        <v/>
      </c>
      <c r="D7440">
        <f>IF($C7440="","",$C7440-WEEKDAY($C7440,2)+1)</f>
        <v/>
      </c>
      <c r="E7440">
        <f>IF($C7440="","",DATE(YEAR($C7440),MONTH($C7440),1))</f>
        <v/>
      </c>
      <c r="F7440">
        <f>IF($C7440="","",YEAR($C7440)&amp;"-Q"&amp;ROUNDUP(MONTH($C7440)/3,0))</f>
        <v/>
      </c>
      <c r="L7440">
        <f>IF($G7440&lt;&gt;"ALCOHOL","",IF($K7440="","",$H7440*IFERROR(VLOOKUP($K7440,Drink_Templates!$A:$G,7,FALSE),0)))</f>
        <v/>
      </c>
    </row>
    <row r="7441" ht="15" customHeight="1">
      <c r="C7441">
        <f>IF($B7441="","",INT($B7441))</f>
        <v/>
      </c>
      <c r="D7441">
        <f>IF($C7441="","",$C7441-WEEKDAY($C7441,2)+1)</f>
        <v/>
      </c>
      <c r="E7441">
        <f>IF($C7441="","",DATE(YEAR($C7441),MONTH($C7441),1))</f>
        <v/>
      </c>
      <c r="F7441">
        <f>IF($C7441="","",YEAR($C7441)&amp;"-Q"&amp;ROUNDUP(MONTH($C7441)/3,0))</f>
        <v/>
      </c>
      <c r="L7441">
        <f>IF($G7441&lt;&gt;"ALCOHOL","",IF($K7441="","",$H7441*IFERROR(VLOOKUP($K7441,Drink_Templates!$A:$G,7,FALSE),0)))</f>
        <v/>
      </c>
    </row>
    <row r="7442" ht="15" customHeight="1">
      <c r="C7442">
        <f>IF($B7442="","",INT($B7442))</f>
        <v/>
      </c>
      <c r="D7442">
        <f>IF($C7442="","",$C7442-WEEKDAY($C7442,2)+1)</f>
        <v/>
      </c>
      <c r="E7442">
        <f>IF($C7442="","",DATE(YEAR($C7442),MONTH($C7442),1))</f>
        <v/>
      </c>
      <c r="F7442">
        <f>IF($C7442="","",YEAR($C7442)&amp;"-Q"&amp;ROUNDUP(MONTH($C7442)/3,0))</f>
        <v/>
      </c>
      <c r="L7442">
        <f>IF($G7442&lt;&gt;"ALCOHOL","",IF($K7442="","",$H7442*IFERROR(VLOOKUP($K7442,Drink_Templates!$A:$G,7,FALSE),0)))</f>
        <v/>
      </c>
    </row>
    <row r="7443" ht="15" customHeight="1">
      <c r="C7443">
        <f>IF($B7443="","",INT($B7443))</f>
        <v/>
      </c>
      <c r="D7443">
        <f>IF($C7443="","",$C7443-WEEKDAY($C7443,2)+1)</f>
        <v/>
      </c>
      <c r="E7443">
        <f>IF($C7443="","",DATE(YEAR($C7443),MONTH($C7443),1))</f>
        <v/>
      </c>
      <c r="F7443">
        <f>IF($C7443="","",YEAR($C7443)&amp;"-Q"&amp;ROUNDUP(MONTH($C7443)/3,0))</f>
        <v/>
      </c>
      <c r="L7443">
        <f>IF($G7443&lt;&gt;"ALCOHOL","",IF($K7443="","",$H7443*IFERROR(VLOOKUP($K7443,Drink_Templates!$A:$G,7,FALSE),0)))</f>
        <v/>
      </c>
    </row>
    <row r="7444" ht="15" customHeight="1">
      <c r="C7444">
        <f>IF($B7444="","",INT($B7444))</f>
        <v/>
      </c>
      <c r="D7444">
        <f>IF($C7444="","",$C7444-WEEKDAY($C7444,2)+1)</f>
        <v/>
      </c>
      <c r="E7444">
        <f>IF($C7444="","",DATE(YEAR($C7444),MONTH($C7444),1))</f>
        <v/>
      </c>
      <c r="F7444">
        <f>IF($C7444="","",YEAR($C7444)&amp;"-Q"&amp;ROUNDUP(MONTH($C7444)/3,0))</f>
        <v/>
      </c>
      <c r="L7444">
        <f>IF($G7444&lt;&gt;"ALCOHOL","",IF($K7444="","",$H7444*IFERROR(VLOOKUP($K7444,Drink_Templates!$A:$G,7,FALSE),0)))</f>
        <v/>
      </c>
    </row>
    <row r="7445" ht="15" customHeight="1">
      <c r="C7445">
        <f>IF($B7445="","",INT($B7445))</f>
        <v/>
      </c>
      <c r="D7445">
        <f>IF($C7445="","",$C7445-WEEKDAY($C7445,2)+1)</f>
        <v/>
      </c>
      <c r="E7445">
        <f>IF($C7445="","",DATE(YEAR($C7445),MONTH($C7445),1))</f>
        <v/>
      </c>
      <c r="F7445">
        <f>IF($C7445="","",YEAR($C7445)&amp;"-Q"&amp;ROUNDUP(MONTH($C7445)/3,0))</f>
        <v/>
      </c>
      <c r="L7445">
        <f>IF($G7445&lt;&gt;"ALCOHOL","",IF($K7445="","",$H7445*IFERROR(VLOOKUP($K7445,Drink_Templates!$A:$G,7,FALSE),0)))</f>
        <v/>
      </c>
    </row>
    <row r="7446" ht="15" customHeight="1">
      <c r="C7446">
        <f>IF($B7446="","",INT($B7446))</f>
        <v/>
      </c>
      <c r="D7446">
        <f>IF($C7446="","",$C7446-WEEKDAY($C7446,2)+1)</f>
        <v/>
      </c>
      <c r="E7446">
        <f>IF($C7446="","",DATE(YEAR($C7446),MONTH($C7446),1))</f>
        <v/>
      </c>
      <c r="F7446">
        <f>IF($C7446="","",YEAR($C7446)&amp;"-Q"&amp;ROUNDUP(MONTH($C7446)/3,0))</f>
        <v/>
      </c>
      <c r="L7446">
        <f>IF($G7446&lt;&gt;"ALCOHOL","",IF($K7446="","",$H7446*IFERROR(VLOOKUP($K7446,Drink_Templates!$A:$G,7,FALSE),0)))</f>
        <v/>
      </c>
    </row>
    <row r="7447" ht="15" customHeight="1">
      <c r="C7447">
        <f>IF($B7447="","",INT($B7447))</f>
        <v/>
      </c>
      <c r="D7447">
        <f>IF($C7447="","",$C7447-WEEKDAY($C7447,2)+1)</f>
        <v/>
      </c>
      <c r="E7447">
        <f>IF($C7447="","",DATE(YEAR($C7447),MONTH($C7447),1))</f>
        <v/>
      </c>
      <c r="F7447">
        <f>IF($C7447="","",YEAR($C7447)&amp;"-Q"&amp;ROUNDUP(MONTH($C7447)/3,0))</f>
        <v/>
      </c>
      <c r="L7447">
        <f>IF($G7447&lt;&gt;"ALCOHOL","",IF($K7447="","",$H7447*IFERROR(VLOOKUP($K7447,Drink_Templates!$A:$G,7,FALSE),0)))</f>
        <v/>
      </c>
    </row>
    <row r="7448" ht="15" customHeight="1">
      <c r="C7448">
        <f>IF($B7448="","",INT($B7448))</f>
        <v/>
      </c>
      <c r="D7448">
        <f>IF($C7448="","",$C7448-WEEKDAY($C7448,2)+1)</f>
        <v/>
      </c>
      <c r="E7448">
        <f>IF($C7448="","",DATE(YEAR($C7448),MONTH($C7448),1))</f>
        <v/>
      </c>
      <c r="F7448">
        <f>IF($C7448="","",YEAR($C7448)&amp;"-Q"&amp;ROUNDUP(MONTH($C7448)/3,0))</f>
        <v/>
      </c>
      <c r="L7448">
        <f>IF($G7448&lt;&gt;"ALCOHOL","",IF($K7448="","",$H7448*IFERROR(VLOOKUP($K7448,Drink_Templates!$A:$G,7,FALSE),0)))</f>
        <v/>
      </c>
    </row>
    <row r="7449" ht="15" customHeight="1">
      <c r="C7449">
        <f>IF($B7449="","",INT($B7449))</f>
        <v/>
      </c>
      <c r="D7449">
        <f>IF($C7449="","",$C7449-WEEKDAY($C7449,2)+1)</f>
        <v/>
      </c>
      <c r="E7449">
        <f>IF($C7449="","",DATE(YEAR($C7449),MONTH($C7449),1))</f>
        <v/>
      </c>
      <c r="F7449">
        <f>IF($C7449="","",YEAR($C7449)&amp;"-Q"&amp;ROUNDUP(MONTH($C7449)/3,0))</f>
        <v/>
      </c>
      <c r="L7449">
        <f>IF($G7449&lt;&gt;"ALCOHOL","",IF($K7449="","",$H7449*IFERROR(VLOOKUP($K7449,Drink_Templates!$A:$G,7,FALSE),0)))</f>
        <v/>
      </c>
    </row>
    <row r="7450" ht="15" customHeight="1">
      <c r="C7450">
        <f>IF($B7450="","",INT($B7450))</f>
        <v/>
      </c>
      <c r="D7450">
        <f>IF($C7450="","",$C7450-WEEKDAY($C7450,2)+1)</f>
        <v/>
      </c>
      <c r="E7450">
        <f>IF($C7450="","",DATE(YEAR($C7450),MONTH($C7450),1))</f>
        <v/>
      </c>
      <c r="F7450">
        <f>IF($C7450="","",YEAR($C7450)&amp;"-Q"&amp;ROUNDUP(MONTH($C7450)/3,0))</f>
        <v/>
      </c>
      <c r="L7450">
        <f>IF($G7450&lt;&gt;"ALCOHOL","",IF($K7450="","",$H7450*IFERROR(VLOOKUP($K7450,Drink_Templates!$A:$G,7,FALSE),0)))</f>
        <v/>
      </c>
    </row>
    <row r="7451" ht="15" customHeight="1">
      <c r="C7451">
        <f>IF($B7451="","",INT($B7451))</f>
        <v/>
      </c>
      <c r="D7451">
        <f>IF($C7451="","",$C7451-WEEKDAY($C7451,2)+1)</f>
        <v/>
      </c>
      <c r="E7451">
        <f>IF($C7451="","",DATE(YEAR($C7451),MONTH($C7451),1))</f>
        <v/>
      </c>
      <c r="F7451">
        <f>IF($C7451="","",YEAR($C7451)&amp;"-Q"&amp;ROUNDUP(MONTH($C7451)/3,0))</f>
        <v/>
      </c>
      <c r="L7451">
        <f>IF($G7451&lt;&gt;"ALCOHOL","",IF($K7451="","",$H7451*IFERROR(VLOOKUP($K7451,Drink_Templates!$A:$G,7,FALSE),0)))</f>
        <v/>
      </c>
    </row>
    <row r="7452" ht="15" customHeight="1">
      <c r="C7452">
        <f>IF($B7452="","",INT($B7452))</f>
        <v/>
      </c>
      <c r="D7452">
        <f>IF($C7452="","",$C7452-WEEKDAY($C7452,2)+1)</f>
        <v/>
      </c>
      <c r="E7452">
        <f>IF($C7452="","",DATE(YEAR($C7452),MONTH($C7452),1))</f>
        <v/>
      </c>
      <c r="F7452">
        <f>IF($C7452="","",YEAR($C7452)&amp;"-Q"&amp;ROUNDUP(MONTH($C7452)/3,0))</f>
        <v/>
      </c>
      <c r="L7452">
        <f>IF($G7452&lt;&gt;"ALCOHOL","",IF($K7452="","",$H7452*IFERROR(VLOOKUP($K7452,Drink_Templates!$A:$G,7,FALSE),0)))</f>
        <v/>
      </c>
    </row>
    <row r="7453" ht="15" customHeight="1">
      <c r="C7453">
        <f>IF($B7453="","",INT($B7453))</f>
        <v/>
      </c>
      <c r="D7453">
        <f>IF($C7453="","",$C7453-WEEKDAY($C7453,2)+1)</f>
        <v/>
      </c>
      <c r="E7453">
        <f>IF($C7453="","",DATE(YEAR($C7453),MONTH($C7453),1))</f>
        <v/>
      </c>
      <c r="F7453">
        <f>IF($C7453="","",YEAR($C7453)&amp;"-Q"&amp;ROUNDUP(MONTH($C7453)/3,0))</f>
        <v/>
      </c>
      <c r="L7453">
        <f>IF($G7453&lt;&gt;"ALCOHOL","",IF($K7453="","",$H7453*IFERROR(VLOOKUP($K7453,Drink_Templates!$A:$G,7,FALSE),0)))</f>
        <v/>
      </c>
    </row>
    <row r="7454" ht="15" customHeight="1">
      <c r="C7454">
        <f>IF($B7454="","",INT($B7454))</f>
        <v/>
      </c>
      <c r="D7454">
        <f>IF($C7454="","",$C7454-WEEKDAY($C7454,2)+1)</f>
        <v/>
      </c>
      <c r="E7454">
        <f>IF($C7454="","",DATE(YEAR($C7454),MONTH($C7454),1))</f>
        <v/>
      </c>
      <c r="F7454">
        <f>IF($C7454="","",YEAR($C7454)&amp;"-Q"&amp;ROUNDUP(MONTH($C7454)/3,0))</f>
        <v/>
      </c>
      <c r="L7454">
        <f>IF($G7454&lt;&gt;"ALCOHOL","",IF($K7454="","",$H7454*IFERROR(VLOOKUP($K7454,Drink_Templates!$A:$G,7,FALSE),0)))</f>
        <v/>
      </c>
    </row>
    <row r="7455" ht="15" customHeight="1">
      <c r="C7455">
        <f>IF($B7455="","",INT($B7455))</f>
        <v/>
      </c>
      <c r="D7455">
        <f>IF($C7455="","",$C7455-WEEKDAY($C7455,2)+1)</f>
        <v/>
      </c>
      <c r="E7455">
        <f>IF($C7455="","",DATE(YEAR($C7455),MONTH($C7455),1))</f>
        <v/>
      </c>
      <c r="F7455">
        <f>IF($C7455="","",YEAR($C7455)&amp;"-Q"&amp;ROUNDUP(MONTH($C7455)/3,0))</f>
        <v/>
      </c>
      <c r="L7455">
        <f>IF($G7455&lt;&gt;"ALCOHOL","",IF($K7455="","",$H7455*IFERROR(VLOOKUP($K7455,Drink_Templates!$A:$G,7,FALSE),0)))</f>
        <v/>
      </c>
    </row>
    <row r="7456" ht="15" customHeight="1">
      <c r="C7456">
        <f>IF($B7456="","",INT($B7456))</f>
        <v/>
      </c>
      <c r="D7456">
        <f>IF($C7456="","",$C7456-WEEKDAY($C7456,2)+1)</f>
        <v/>
      </c>
      <c r="E7456">
        <f>IF($C7456="","",DATE(YEAR($C7456),MONTH($C7456),1))</f>
        <v/>
      </c>
      <c r="F7456">
        <f>IF($C7456="","",YEAR($C7456)&amp;"-Q"&amp;ROUNDUP(MONTH($C7456)/3,0))</f>
        <v/>
      </c>
      <c r="L7456">
        <f>IF($G7456&lt;&gt;"ALCOHOL","",IF($K7456="","",$H7456*IFERROR(VLOOKUP($K7456,Drink_Templates!$A:$G,7,FALSE),0)))</f>
        <v/>
      </c>
    </row>
    <row r="7457" ht="15" customHeight="1">
      <c r="C7457">
        <f>IF($B7457="","",INT($B7457))</f>
        <v/>
      </c>
      <c r="D7457">
        <f>IF($C7457="","",$C7457-WEEKDAY($C7457,2)+1)</f>
        <v/>
      </c>
      <c r="E7457">
        <f>IF($C7457="","",DATE(YEAR($C7457),MONTH($C7457),1))</f>
        <v/>
      </c>
      <c r="F7457">
        <f>IF($C7457="","",YEAR($C7457)&amp;"-Q"&amp;ROUNDUP(MONTH($C7457)/3,0))</f>
        <v/>
      </c>
      <c r="L7457">
        <f>IF($G7457&lt;&gt;"ALCOHOL","",IF($K7457="","",$H7457*IFERROR(VLOOKUP($K7457,Drink_Templates!$A:$G,7,FALSE),0)))</f>
        <v/>
      </c>
    </row>
    <row r="7458" ht="15" customHeight="1">
      <c r="C7458">
        <f>IF($B7458="","",INT($B7458))</f>
        <v/>
      </c>
      <c r="D7458">
        <f>IF($C7458="","",$C7458-WEEKDAY($C7458,2)+1)</f>
        <v/>
      </c>
      <c r="E7458">
        <f>IF($C7458="","",DATE(YEAR($C7458),MONTH($C7458),1))</f>
        <v/>
      </c>
      <c r="F7458">
        <f>IF($C7458="","",YEAR($C7458)&amp;"-Q"&amp;ROUNDUP(MONTH($C7458)/3,0))</f>
        <v/>
      </c>
      <c r="L7458">
        <f>IF($G7458&lt;&gt;"ALCOHOL","",IF($K7458="","",$H7458*IFERROR(VLOOKUP($K7458,Drink_Templates!$A:$G,7,FALSE),0)))</f>
        <v/>
      </c>
    </row>
    <row r="7459" ht="15" customHeight="1">
      <c r="C7459">
        <f>IF($B7459="","",INT($B7459))</f>
        <v/>
      </c>
      <c r="D7459">
        <f>IF($C7459="","",$C7459-WEEKDAY($C7459,2)+1)</f>
        <v/>
      </c>
      <c r="E7459">
        <f>IF($C7459="","",DATE(YEAR($C7459),MONTH($C7459),1))</f>
        <v/>
      </c>
      <c r="F7459">
        <f>IF($C7459="","",YEAR($C7459)&amp;"-Q"&amp;ROUNDUP(MONTH($C7459)/3,0))</f>
        <v/>
      </c>
      <c r="L7459">
        <f>IF($G7459&lt;&gt;"ALCOHOL","",IF($K7459="","",$H7459*IFERROR(VLOOKUP($K7459,Drink_Templates!$A:$G,7,FALSE),0)))</f>
        <v/>
      </c>
    </row>
    <row r="7460" ht="15" customHeight="1">
      <c r="C7460">
        <f>IF($B7460="","",INT($B7460))</f>
        <v/>
      </c>
      <c r="D7460">
        <f>IF($C7460="","",$C7460-WEEKDAY($C7460,2)+1)</f>
        <v/>
      </c>
      <c r="E7460">
        <f>IF($C7460="","",DATE(YEAR($C7460),MONTH($C7460),1))</f>
        <v/>
      </c>
      <c r="F7460">
        <f>IF($C7460="","",YEAR($C7460)&amp;"-Q"&amp;ROUNDUP(MONTH($C7460)/3,0))</f>
        <v/>
      </c>
      <c r="L7460">
        <f>IF($G7460&lt;&gt;"ALCOHOL","",IF($K7460="","",$H7460*IFERROR(VLOOKUP($K7460,Drink_Templates!$A:$G,7,FALSE),0)))</f>
        <v/>
      </c>
    </row>
    <row r="7461" ht="15" customHeight="1">
      <c r="C7461">
        <f>IF($B7461="","",INT($B7461))</f>
        <v/>
      </c>
      <c r="D7461">
        <f>IF($C7461="","",$C7461-WEEKDAY($C7461,2)+1)</f>
        <v/>
      </c>
      <c r="E7461">
        <f>IF($C7461="","",DATE(YEAR($C7461),MONTH($C7461),1))</f>
        <v/>
      </c>
      <c r="F7461">
        <f>IF($C7461="","",YEAR($C7461)&amp;"-Q"&amp;ROUNDUP(MONTH($C7461)/3,0))</f>
        <v/>
      </c>
      <c r="L7461">
        <f>IF($G7461&lt;&gt;"ALCOHOL","",IF($K7461="","",$H7461*IFERROR(VLOOKUP($K7461,Drink_Templates!$A:$G,7,FALSE),0)))</f>
        <v/>
      </c>
    </row>
    <row r="7462" ht="15" customHeight="1">
      <c r="C7462">
        <f>IF($B7462="","",INT($B7462))</f>
        <v/>
      </c>
      <c r="D7462">
        <f>IF($C7462="","",$C7462-WEEKDAY($C7462,2)+1)</f>
        <v/>
      </c>
      <c r="E7462">
        <f>IF($C7462="","",DATE(YEAR($C7462),MONTH($C7462),1))</f>
        <v/>
      </c>
      <c r="F7462">
        <f>IF($C7462="","",YEAR($C7462)&amp;"-Q"&amp;ROUNDUP(MONTH($C7462)/3,0))</f>
        <v/>
      </c>
      <c r="L7462">
        <f>IF($G7462&lt;&gt;"ALCOHOL","",IF($K7462="","",$H7462*IFERROR(VLOOKUP($K7462,Drink_Templates!$A:$G,7,FALSE),0)))</f>
        <v/>
      </c>
    </row>
    <row r="7463" ht="15" customHeight="1">
      <c r="C7463">
        <f>IF($B7463="","",INT($B7463))</f>
        <v/>
      </c>
      <c r="D7463">
        <f>IF($C7463="","",$C7463-WEEKDAY($C7463,2)+1)</f>
        <v/>
      </c>
      <c r="E7463">
        <f>IF($C7463="","",DATE(YEAR($C7463),MONTH($C7463),1))</f>
        <v/>
      </c>
      <c r="F7463">
        <f>IF($C7463="","",YEAR($C7463)&amp;"-Q"&amp;ROUNDUP(MONTH($C7463)/3,0))</f>
        <v/>
      </c>
      <c r="L7463">
        <f>IF($G7463&lt;&gt;"ALCOHOL","",IF($K7463="","",$H7463*IFERROR(VLOOKUP($K7463,Drink_Templates!$A:$G,7,FALSE),0)))</f>
        <v/>
      </c>
    </row>
    <row r="7464" ht="15" customHeight="1">
      <c r="C7464">
        <f>IF($B7464="","",INT($B7464))</f>
        <v/>
      </c>
      <c r="D7464">
        <f>IF($C7464="","",$C7464-WEEKDAY($C7464,2)+1)</f>
        <v/>
      </c>
      <c r="E7464">
        <f>IF($C7464="","",DATE(YEAR($C7464),MONTH($C7464),1))</f>
        <v/>
      </c>
      <c r="F7464">
        <f>IF($C7464="","",YEAR($C7464)&amp;"-Q"&amp;ROUNDUP(MONTH($C7464)/3,0))</f>
        <v/>
      </c>
      <c r="L7464">
        <f>IF($G7464&lt;&gt;"ALCOHOL","",IF($K7464="","",$H7464*IFERROR(VLOOKUP($K7464,Drink_Templates!$A:$G,7,FALSE),0)))</f>
        <v/>
      </c>
    </row>
    <row r="7465" ht="15" customHeight="1">
      <c r="C7465">
        <f>IF($B7465="","",INT($B7465))</f>
        <v/>
      </c>
      <c r="D7465">
        <f>IF($C7465="","",$C7465-WEEKDAY($C7465,2)+1)</f>
        <v/>
      </c>
      <c r="E7465">
        <f>IF($C7465="","",DATE(YEAR($C7465),MONTH($C7465),1))</f>
        <v/>
      </c>
      <c r="F7465">
        <f>IF($C7465="","",YEAR($C7465)&amp;"-Q"&amp;ROUNDUP(MONTH($C7465)/3,0))</f>
        <v/>
      </c>
      <c r="L7465">
        <f>IF($G7465&lt;&gt;"ALCOHOL","",IF($K7465="","",$H7465*IFERROR(VLOOKUP($K7465,Drink_Templates!$A:$G,7,FALSE),0)))</f>
        <v/>
      </c>
    </row>
    <row r="7466" ht="15" customHeight="1">
      <c r="C7466">
        <f>IF($B7466="","",INT($B7466))</f>
        <v/>
      </c>
      <c r="D7466">
        <f>IF($C7466="","",$C7466-WEEKDAY($C7466,2)+1)</f>
        <v/>
      </c>
      <c r="E7466">
        <f>IF($C7466="","",DATE(YEAR($C7466),MONTH($C7466),1))</f>
        <v/>
      </c>
      <c r="F7466">
        <f>IF($C7466="","",YEAR($C7466)&amp;"-Q"&amp;ROUNDUP(MONTH($C7466)/3,0))</f>
        <v/>
      </c>
      <c r="L7466">
        <f>IF($G7466&lt;&gt;"ALCOHOL","",IF($K7466="","",$H7466*IFERROR(VLOOKUP($K7466,Drink_Templates!$A:$G,7,FALSE),0)))</f>
        <v/>
      </c>
    </row>
    <row r="7467" ht="15" customHeight="1">
      <c r="C7467">
        <f>IF($B7467="","",INT($B7467))</f>
        <v/>
      </c>
      <c r="D7467">
        <f>IF($C7467="","",$C7467-WEEKDAY($C7467,2)+1)</f>
        <v/>
      </c>
      <c r="E7467">
        <f>IF($C7467="","",DATE(YEAR($C7467),MONTH($C7467),1))</f>
        <v/>
      </c>
      <c r="F7467">
        <f>IF($C7467="","",YEAR($C7467)&amp;"-Q"&amp;ROUNDUP(MONTH($C7467)/3,0))</f>
        <v/>
      </c>
      <c r="L7467">
        <f>IF($G7467&lt;&gt;"ALCOHOL","",IF($K7467="","",$H7467*IFERROR(VLOOKUP($K7467,Drink_Templates!$A:$G,7,FALSE),0)))</f>
        <v/>
      </c>
    </row>
    <row r="7468" ht="15" customHeight="1">
      <c r="C7468">
        <f>IF($B7468="","",INT($B7468))</f>
        <v/>
      </c>
      <c r="D7468">
        <f>IF($C7468="","",$C7468-WEEKDAY($C7468,2)+1)</f>
        <v/>
      </c>
      <c r="E7468">
        <f>IF($C7468="","",DATE(YEAR($C7468),MONTH($C7468),1))</f>
        <v/>
      </c>
      <c r="F7468">
        <f>IF($C7468="","",YEAR($C7468)&amp;"-Q"&amp;ROUNDUP(MONTH($C7468)/3,0))</f>
        <v/>
      </c>
      <c r="L7468">
        <f>IF($G7468&lt;&gt;"ALCOHOL","",IF($K7468="","",$H7468*IFERROR(VLOOKUP($K7468,Drink_Templates!$A:$G,7,FALSE),0)))</f>
        <v/>
      </c>
    </row>
    <row r="7469" ht="15" customHeight="1">
      <c r="C7469">
        <f>IF($B7469="","",INT($B7469))</f>
        <v/>
      </c>
      <c r="D7469">
        <f>IF($C7469="","",$C7469-WEEKDAY($C7469,2)+1)</f>
        <v/>
      </c>
      <c r="E7469">
        <f>IF($C7469="","",DATE(YEAR($C7469),MONTH($C7469),1))</f>
        <v/>
      </c>
      <c r="F7469">
        <f>IF($C7469="","",YEAR($C7469)&amp;"-Q"&amp;ROUNDUP(MONTH($C7469)/3,0))</f>
        <v/>
      </c>
      <c r="L7469">
        <f>IF($G7469&lt;&gt;"ALCOHOL","",IF($K7469="","",$H7469*IFERROR(VLOOKUP($K7469,Drink_Templates!$A:$G,7,FALSE),0)))</f>
        <v/>
      </c>
    </row>
    <row r="7470" ht="15" customHeight="1">
      <c r="C7470">
        <f>IF($B7470="","",INT($B7470))</f>
        <v/>
      </c>
      <c r="D7470">
        <f>IF($C7470="","",$C7470-WEEKDAY($C7470,2)+1)</f>
        <v/>
      </c>
      <c r="E7470">
        <f>IF($C7470="","",DATE(YEAR($C7470),MONTH($C7470),1))</f>
        <v/>
      </c>
      <c r="F7470">
        <f>IF($C7470="","",YEAR($C7470)&amp;"-Q"&amp;ROUNDUP(MONTH($C7470)/3,0))</f>
        <v/>
      </c>
      <c r="L7470">
        <f>IF($G7470&lt;&gt;"ALCOHOL","",IF($K7470="","",$H7470*IFERROR(VLOOKUP($K7470,Drink_Templates!$A:$G,7,FALSE),0)))</f>
        <v/>
      </c>
    </row>
    <row r="7471" ht="15" customHeight="1">
      <c r="C7471">
        <f>IF($B7471="","",INT($B7471))</f>
        <v/>
      </c>
      <c r="D7471">
        <f>IF($C7471="","",$C7471-WEEKDAY($C7471,2)+1)</f>
        <v/>
      </c>
      <c r="E7471">
        <f>IF($C7471="","",DATE(YEAR($C7471),MONTH($C7471),1))</f>
        <v/>
      </c>
      <c r="F7471">
        <f>IF($C7471="","",YEAR($C7471)&amp;"-Q"&amp;ROUNDUP(MONTH($C7471)/3,0))</f>
        <v/>
      </c>
      <c r="L7471">
        <f>IF($G7471&lt;&gt;"ALCOHOL","",IF($K7471="","",$H7471*IFERROR(VLOOKUP($K7471,Drink_Templates!$A:$G,7,FALSE),0)))</f>
        <v/>
      </c>
    </row>
    <row r="7472" ht="15" customHeight="1">
      <c r="C7472">
        <f>IF($B7472="","",INT($B7472))</f>
        <v/>
      </c>
      <c r="D7472">
        <f>IF($C7472="","",$C7472-WEEKDAY($C7472,2)+1)</f>
        <v/>
      </c>
      <c r="E7472">
        <f>IF($C7472="","",DATE(YEAR($C7472),MONTH($C7472),1))</f>
        <v/>
      </c>
      <c r="F7472">
        <f>IF($C7472="","",YEAR($C7472)&amp;"-Q"&amp;ROUNDUP(MONTH($C7472)/3,0))</f>
        <v/>
      </c>
      <c r="L7472">
        <f>IF($G7472&lt;&gt;"ALCOHOL","",IF($K7472="","",$H7472*IFERROR(VLOOKUP($K7472,Drink_Templates!$A:$G,7,FALSE),0)))</f>
        <v/>
      </c>
    </row>
    <row r="7473" ht="15" customHeight="1">
      <c r="C7473">
        <f>IF($B7473="","",INT($B7473))</f>
        <v/>
      </c>
      <c r="D7473">
        <f>IF($C7473="","",$C7473-WEEKDAY($C7473,2)+1)</f>
        <v/>
      </c>
      <c r="E7473">
        <f>IF($C7473="","",DATE(YEAR($C7473),MONTH($C7473),1))</f>
        <v/>
      </c>
      <c r="F7473">
        <f>IF($C7473="","",YEAR($C7473)&amp;"-Q"&amp;ROUNDUP(MONTH($C7473)/3,0))</f>
        <v/>
      </c>
      <c r="L7473">
        <f>IF($G7473&lt;&gt;"ALCOHOL","",IF($K7473="","",$H7473*IFERROR(VLOOKUP($K7473,Drink_Templates!$A:$G,7,FALSE),0)))</f>
        <v/>
      </c>
    </row>
    <row r="7474" ht="15" customHeight="1">
      <c r="C7474">
        <f>IF($B7474="","",INT($B7474))</f>
        <v/>
      </c>
      <c r="D7474">
        <f>IF($C7474="","",$C7474-WEEKDAY($C7474,2)+1)</f>
        <v/>
      </c>
      <c r="E7474">
        <f>IF($C7474="","",DATE(YEAR($C7474),MONTH($C7474),1))</f>
        <v/>
      </c>
      <c r="F7474">
        <f>IF($C7474="","",YEAR($C7474)&amp;"-Q"&amp;ROUNDUP(MONTH($C7474)/3,0))</f>
        <v/>
      </c>
      <c r="L7474">
        <f>IF($G7474&lt;&gt;"ALCOHOL","",IF($K7474="","",$H7474*IFERROR(VLOOKUP($K7474,Drink_Templates!$A:$G,7,FALSE),0)))</f>
        <v/>
      </c>
    </row>
    <row r="7475" ht="15" customHeight="1">
      <c r="C7475">
        <f>IF($B7475="","",INT($B7475))</f>
        <v/>
      </c>
      <c r="D7475">
        <f>IF($C7475="","",$C7475-WEEKDAY($C7475,2)+1)</f>
        <v/>
      </c>
      <c r="E7475">
        <f>IF($C7475="","",DATE(YEAR($C7475),MONTH($C7475),1))</f>
        <v/>
      </c>
      <c r="F7475">
        <f>IF($C7475="","",YEAR($C7475)&amp;"-Q"&amp;ROUNDUP(MONTH($C7475)/3,0))</f>
        <v/>
      </c>
      <c r="L7475">
        <f>IF($G7475&lt;&gt;"ALCOHOL","",IF($K7475="","",$H7475*IFERROR(VLOOKUP($K7475,Drink_Templates!$A:$G,7,FALSE),0)))</f>
        <v/>
      </c>
    </row>
    <row r="7476" ht="15" customHeight="1">
      <c r="C7476">
        <f>IF($B7476="","",INT($B7476))</f>
        <v/>
      </c>
      <c r="D7476">
        <f>IF($C7476="","",$C7476-WEEKDAY($C7476,2)+1)</f>
        <v/>
      </c>
      <c r="E7476">
        <f>IF($C7476="","",DATE(YEAR($C7476),MONTH($C7476),1))</f>
        <v/>
      </c>
      <c r="F7476">
        <f>IF($C7476="","",YEAR($C7476)&amp;"-Q"&amp;ROUNDUP(MONTH($C7476)/3,0))</f>
        <v/>
      </c>
      <c r="L7476">
        <f>IF($G7476&lt;&gt;"ALCOHOL","",IF($K7476="","",$H7476*IFERROR(VLOOKUP($K7476,Drink_Templates!$A:$G,7,FALSE),0)))</f>
        <v/>
      </c>
    </row>
    <row r="7477" ht="15" customHeight="1">
      <c r="C7477">
        <f>IF($B7477="","",INT($B7477))</f>
        <v/>
      </c>
      <c r="D7477">
        <f>IF($C7477="","",$C7477-WEEKDAY($C7477,2)+1)</f>
        <v/>
      </c>
      <c r="E7477">
        <f>IF($C7477="","",DATE(YEAR($C7477),MONTH($C7477),1))</f>
        <v/>
      </c>
      <c r="F7477">
        <f>IF($C7477="","",YEAR($C7477)&amp;"-Q"&amp;ROUNDUP(MONTH($C7477)/3,0))</f>
        <v/>
      </c>
      <c r="L7477">
        <f>IF($G7477&lt;&gt;"ALCOHOL","",IF($K7477="","",$H7477*IFERROR(VLOOKUP($K7477,Drink_Templates!$A:$G,7,FALSE),0)))</f>
        <v/>
      </c>
    </row>
    <row r="7478" ht="15" customHeight="1">
      <c r="C7478">
        <f>IF($B7478="","",INT($B7478))</f>
        <v/>
      </c>
      <c r="D7478">
        <f>IF($C7478="","",$C7478-WEEKDAY($C7478,2)+1)</f>
        <v/>
      </c>
      <c r="E7478">
        <f>IF($C7478="","",DATE(YEAR($C7478),MONTH($C7478),1))</f>
        <v/>
      </c>
      <c r="F7478">
        <f>IF($C7478="","",YEAR($C7478)&amp;"-Q"&amp;ROUNDUP(MONTH($C7478)/3,0))</f>
        <v/>
      </c>
      <c r="L7478">
        <f>IF($G7478&lt;&gt;"ALCOHOL","",IF($K7478="","",$H7478*IFERROR(VLOOKUP($K7478,Drink_Templates!$A:$G,7,FALSE),0)))</f>
        <v/>
      </c>
    </row>
    <row r="7479" ht="15" customHeight="1">
      <c r="C7479">
        <f>IF($B7479="","",INT($B7479))</f>
        <v/>
      </c>
      <c r="D7479">
        <f>IF($C7479="","",$C7479-WEEKDAY($C7479,2)+1)</f>
        <v/>
      </c>
      <c r="E7479">
        <f>IF($C7479="","",DATE(YEAR($C7479),MONTH($C7479),1))</f>
        <v/>
      </c>
      <c r="F7479">
        <f>IF($C7479="","",YEAR($C7479)&amp;"-Q"&amp;ROUNDUP(MONTH($C7479)/3,0))</f>
        <v/>
      </c>
      <c r="L7479">
        <f>IF($G7479&lt;&gt;"ALCOHOL","",IF($K7479="","",$H7479*IFERROR(VLOOKUP($K7479,Drink_Templates!$A:$G,7,FALSE),0)))</f>
        <v/>
      </c>
    </row>
    <row r="7480" ht="15" customHeight="1">
      <c r="C7480">
        <f>IF($B7480="","",INT($B7480))</f>
        <v/>
      </c>
      <c r="D7480">
        <f>IF($C7480="","",$C7480-WEEKDAY($C7480,2)+1)</f>
        <v/>
      </c>
      <c r="E7480">
        <f>IF($C7480="","",DATE(YEAR($C7480),MONTH($C7480),1))</f>
        <v/>
      </c>
      <c r="F7480">
        <f>IF($C7480="","",YEAR($C7480)&amp;"-Q"&amp;ROUNDUP(MONTH($C7480)/3,0))</f>
        <v/>
      </c>
      <c r="L7480">
        <f>IF($G7480&lt;&gt;"ALCOHOL","",IF($K7480="","",$H7480*IFERROR(VLOOKUP($K7480,Drink_Templates!$A:$G,7,FALSE),0)))</f>
        <v/>
      </c>
    </row>
    <row r="7481" ht="15" customHeight="1">
      <c r="C7481">
        <f>IF($B7481="","",INT($B7481))</f>
        <v/>
      </c>
      <c r="D7481">
        <f>IF($C7481="","",$C7481-WEEKDAY($C7481,2)+1)</f>
        <v/>
      </c>
      <c r="E7481">
        <f>IF($C7481="","",DATE(YEAR($C7481),MONTH($C7481),1))</f>
        <v/>
      </c>
      <c r="F7481">
        <f>IF($C7481="","",YEAR($C7481)&amp;"-Q"&amp;ROUNDUP(MONTH($C7481)/3,0))</f>
        <v/>
      </c>
      <c r="L7481">
        <f>IF($G7481&lt;&gt;"ALCOHOL","",IF($K7481="","",$H7481*IFERROR(VLOOKUP($K7481,Drink_Templates!$A:$G,7,FALSE),0)))</f>
        <v/>
      </c>
    </row>
    <row r="7482" ht="15" customHeight="1">
      <c r="C7482">
        <f>IF($B7482="","",INT($B7482))</f>
        <v/>
      </c>
      <c r="D7482">
        <f>IF($C7482="","",$C7482-WEEKDAY($C7482,2)+1)</f>
        <v/>
      </c>
      <c r="E7482">
        <f>IF($C7482="","",DATE(YEAR($C7482),MONTH($C7482),1))</f>
        <v/>
      </c>
      <c r="F7482">
        <f>IF($C7482="","",YEAR($C7482)&amp;"-Q"&amp;ROUNDUP(MONTH($C7482)/3,0))</f>
        <v/>
      </c>
      <c r="L7482">
        <f>IF($G7482&lt;&gt;"ALCOHOL","",IF($K7482="","",$H7482*IFERROR(VLOOKUP($K7482,Drink_Templates!$A:$G,7,FALSE),0)))</f>
        <v/>
      </c>
    </row>
    <row r="7483" ht="15" customHeight="1">
      <c r="C7483">
        <f>IF($B7483="","",INT($B7483))</f>
        <v/>
      </c>
      <c r="D7483">
        <f>IF($C7483="","",$C7483-WEEKDAY($C7483,2)+1)</f>
        <v/>
      </c>
      <c r="E7483">
        <f>IF($C7483="","",DATE(YEAR($C7483),MONTH($C7483),1))</f>
        <v/>
      </c>
      <c r="F7483">
        <f>IF($C7483="","",YEAR($C7483)&amp;"-Q"&amp;ROUNDUP(MONTH($C7483)/3,0))</f>
        <v/>
      </c>
      <c r="L7483">
        <f>IF($G7483&lt;&gt;"ALCOHOL","",IF($K7483="","",$H7483*IFERROR(VLOOKUP($K7483,Drink_Templates!$A:$G,7,FALSE),0)))</f>
        <v/>
      </c>
    </row>
    <row r="7484" ht="15" customHeight="1">
      <c r="C7484">
        <f>IF($B7484="","",INT($B7484))</f>
        <v/>
      </c>
      <c r="D7484">
        <f>IF($C7484="","",$C7484-WEEKDAY($C7484,2)+1)</f>
        <v/>
      </c>
      <c r="E7484">
        <f>IF($C7484="","",DATE(YEAR($C7484),MONTH($C7484),1))</f>
        <v/>
      </c>
      <c r="F7484">
        <f>IF($C7484="","",YEAR($C7484)&amp;"-Q"&amp;ROUNDUP(MONTH($C7484)/3,0))</f>
        <v/>
      </c>
      <c r="L7484">
        <f>IF($G7484&lt;&gt;"ALCOHOL","",IF($K7484="","",$H7484*IFERROR(VLOOKUP($K7484,Drink_Templates!$A:$G,7,FALSE),0)))</f>
        <v/>
      </c>
    </row>
    <row r="7485" ht="15" customHeight="1">
      <c r="C7485">
        <f>IF($B7485="","",INT($B7485))</f>
        <v/>
      </c>
      <c r="D7485">
        <f>IF($C7485="","",$C7485-WEEKDAY($C7485,2)+1)</f>
        <v/>
      </c>
      <c r="E7485">
        <f>IF($C7485="","",DATE(YEAR($C7485),MONTH($C7485),1))</f>
        <v/>
      </c>
      <c r="F7485">
        <f>IF($C7485="","",YEAR($C7485)&amp;"-Q"&amp;ROUNDUP(MONTH($C7485)/3,0))</f>
        <v/>
      </c>
      <c r="L7485">
        <f>IF($G7485&lt;&gt;"ALCOHOL","",IF($K7485="","",$H7485*IFERROR(VLOOKUP($K7485,Drink_Templates!$A:$G,7,FALSE),0)))</f>
        <v/>
      </c>
    </row>
    <row r="7486" ht="15" customHeight="1">
      <c r="C7486">
        <f>IF($B7486="","",INT($B7486))</f>
        <v/>
      </c>
      <c r="D7486">
        <f>IF($C7486="","",$C7486-WEEKDAY($C7486,2)+1)</f>
        <v/>
      </c>
      <c r="E7486">
        <f>IF($C7486="","",DATE(YEAR($C7486),MONTH($C7486),1))</f>
        <v/>
      </c>
      <c r="F7486">
        <f>IF($C7486="","",YEAR($C7486)&amp;"-Q"&amp;ROUNDUP(MONTH($C7486)/3,0))</f>
        <v/>
      </c>
      <c r="L7486">
        <f>IF($G7486&lt;&gt;"ALCOHOL","",IF($K7486="","",$H7486*IFERROR(VLOOKUP($K7486,Drink_Templates!$A:$G,7,FALSE),0)))</f>
        <v/>
      </c>
    </row>
    <row r="7487" ht="15" customHeight="1">
      <c r="C7487">
        <f>IF($B7487="","",INT($B7487))</f>
        <v/>
      </c>
      <c r="D7487">
        <f>IF($C7487="","",$C7487-WEEKDAY($C7487,2)+1)</f>
        <v/>
      </c>
      <c r="E7487">
        <f>IF($C7487="","",DATE(YEAR($C7487),MONTH($C7487),1))</f>
        <v/>
      </c>
      <c r="F7487">
        <f>IF($C7487="","",YEAR($C7487)&amp;"-Q"&amp;ROUNDUP(MONTH($C7487)/3,0))</f>
        <v/>
      </c>
      <c r="L7487">
        <f>IF($G7487&lt;&gt;"ALCOHOL","",IF($K7487="","",$H7487*IFERROR(VLOOKUP($K7487,Drink_Templates!$A:$G,7,FALSE),0)))</f>
        <v/>
      </c>
    </row>
    <row r="7488" ht="15" customHeight="1">
      <c r="C7488">
        <f>IF($B7488="","",INT($B7488))</f>
        <v/>
      </c>
      <c r="D7488">
        <f>IF($C7488="","",$C7488-WEEKDAY($C7488,2)+1)</f>
        <v/>
      </c>
      <c r="E7488">
        <f>IF($C7488="","",DATE(YEAR($C7488),MONTH($C7488),1))</f>
        <v/>
      </c>
      <c r="F7488">
        <f>IF($C7488="","",YEAR($C7488)&amp;"-Q"&amp;ROUNDUP(MONTH($C7488)/3,0))</f>
        <v/>
      </c>
      <c r="L7488">
        <f>IF($G7488&lt;&gt;"ALCOHOL","",IF($K7488="","",$H7488*IFERROR(VLOOKUP($K7488,Drink_Templates!$A:$G,7,FALSE),0)))</f>
        <v/>
      </c>
    </row>
    <row r="7489" ht="15" customHeight="1">
      <c r="C7489">
        <f>IF($B7489="","",INT($B7489))</f>
        <v/>
      </c>
      <c r="D7489">
        <f>IF($C7489="","",$C7489-WEEKDAY($C7489,2)+1)</f>
        <v/>
      </c>
      <c r="E7489">
        <f>IF($C7489="","",DATE(YEAR($C7489),MONTH($C7489),1))</f>
        <v/>
      </c>
      <c r="F7489">
        <f>IF($C7489="","",YEAR($C7489)&amp;"-Q"&amp;ROUNDUP(MONTH($C7489)/3,0))</f>
        <v/>
      </c>
      <c r="L7489">
        <f>IF($G7489&lt;&gt;"ALCOHOL","",IF($K7489="","",$H7489*IFERROR(VLOOKUP($K7489,Drink_Templates!$A:$G,7,FALSE),0)))</f>
        <v/>
      </c>
    </row>
    <row r="7490" ht="15" customHeight="1">
      <c r="C7490">
        <f>IF($B7490="","",INT($B7490))</f>
        <v/>
      </c>
      <c r="D7490">
        <f>IF($C7490="","",$C7490-WEEKDAY($C7490,2)+1)</f>
        <v/>
      </c>
      <c r="E7490">
        <f>IF($C7490="","",DATE(YEAR($C7490),MONTH($C7490),1))</f>
        <v/>
      </c>
      <c r="F7490">
        <f>IF($C7490="","",YEAR($C7490)&amp;"-Q"&amp;ROUNDUP(MONTH($C7490)/3,0))</f>
        <v/>
      </c>
      <c r="L7490">
        <f>IF($G7490&lt;&gt;"ALCOHOL","",IF($K7490="","",$H7490*IFERROR(VLOOKUP($K7490,Drink_Templates!$A:$G,7,FALSE),0)))</f>
        <v/>
      </c>
    </row>
    <row r="7491" ht="15" customHeight="1">
      <c r="C7491">
        <f>IF($B7491="","",INT($B7491))</f>
        <v/>
      </c>
      <c r="D7491">
        <f>IF($C7491="","",$C7491-WEEKDAY($C7491,2)+1)</f>
        <v/>
      </c>
      <c r="E7491">
        <f>IF($C7491="","",DATE(YEAR($C7491),MONTH($C7491),1))</f>
        <v/>
      </c>
      <c r="F7491">
        <f>IF($C7491="","",YEAR($C7491)&amp;"-Q"&amp;ROUNDUP(MONTH($C7491)/3,0))</f>
        <v/>
      </c>
      <c r="L7491">
        <f>IF($G7491&lt;&gt;"ALCOHOL","",IF($K7491="","",$H7491*IFERROR(VLOOKUP($K7491,Drink_Templates!$A:$G,7,FALSE),0)))</f>
        <v/>
      </c>
    </row>
    <row r="7492" ht="15" customHeight="1">
      <c r="C7492">
        <f>IF($B7492="","",INT($B7492))</f>
        <v/>
      </c>
      <c r="D7492">
        <f>IF($C7492="","",$C7492-WEEKDAY($C7492,2)+1)</f>
        <v/>
      </c>
      <c r="E7492">
        <f>IF($C7492="","",DATE(YEAR($C7492),MONTH($C7492),1))</f>
        <v/>
      </c>
      <c r="F7492">
        <f>IF($C7492="","",YEAR($C7492)&amp;"-Q"&amp;ROUNDUP(MONTH($C7492)/3,0))</f>
        <v/>
      </c>
      <c r="L7492">
        <f>IF($G7492&lt;&gt;"ALCOHOL","",IF($K7492="","",$H7492*IFERROR(VLOOKUP($K7492,Drink_Templates!$A:$G,7,FALSE),0)))</f>
        <v/>
      </c>
    </row>
    <row r="7493" ht="15" customHeight="1">
      <c r="C7493">
        <f>IF($B7493="","",INT($B7493))</f>
        <v/>
      </c>
      <c r="D7493">
        <f>IF($C7493="","",$C7493-WEEKDAY($C7493,2)+1)</f>
        <v/>
      </c>
      <c r="E7493">
        <f>IF($C7493="","",DATE(YEAR($C7493),MONTH($C7493),1))</f>
        <v/>
      </c>
      <c r="F7493">
        <f>IF($C7493="","",YEAR($C7493)&amp;"-Q"&amp;ROUNDUP(MONTH($C7493)/3,0))</f>
        <v/>
      </c>
      <c r="L7493">
        <f>IF($G7493&lt;&gt;"ALCOHOL","",IF($K7493="","",$H7493*IFERROR(VLOOKUP($K7493,Drink_Templates!$A:$G,7,FALSE),0)))</f>
        <v/>
      </c>
    </row>
    <row r="7494" ht="15" customHeight="1">
      <c r="C7494">
        <f>IF($B7494="","",INT($B7494))</f>
        <v/>
      </c>
      <c r="D7494">
        <f>IF($C7494="","",$C7494-WEEKDAY($C7494,2)+1)</f>
        <v/>
      </c>
      <c r="E7494">
        <f>IF($C7494="","",DATE(YEAR($C7494),MONTH($C7494),1))</f>
        <v/>
      </c>
      <c r="F7494">
        <f>IF($C7494="","",YEAR($C7494)&amp;"-Q"&amp;ROUNDUP(MONTH($C7494)/3,0))</f>
        <v/>
      </c>
      <c r="L7494">
        <f>IF($G7494&lt;&gt;"ALCOHOL","",IF($K7494="","",$H7494*IFERROR(VLOOKUP($K7494,Drink_Templates!$A:$G,7,FALSE),0)))</f>
        <v/>
      </c>
    </row>
    <row r="7495" ht="15" customHeight="1">
      <c r="C7495">
        <f>IF($B7495="","",INT($B7495))</f>
        <v/>
      </c>
      <c r="D7495">
        <f>IF($C7495="","",$C7495-WEEKDAY($C7495,2)+1)</f>
        <v/>
      </c>
      <c r="E7495">
        <f>IF($C7495="","",DATE(YEAR($C7495),MONTH($C7495),1))</f>
        <v/>
      </c>
      <c r="F7495">
        <f>IF($C7495="","",YEAR($C7495)&amp;"-Q"&amp;ROUNDUP(MONTH($C7495)/3,0))</f>
        <v/>
      </c>
      <c r="L7495">
        <f>IF($G7495&lt;&gt;"ALCOHOL","",IF($K7495="","",$H7495*IFERROR(VLOOKUP($K7495,Drink_Templates!$A:$G,7,FALSE),0)))</f>
        <v/>
      </c>
    </row>
    <row r="7496" ht="15" customHeight="1">
      <c r="C7496">
        <f>IF($B7496="","",INT($B7496))</f>
        <v/>
      </c>
      <c r="D7496">
        <f>IF($C7496="","",$C7496-WEEKDAY($C7496,2)+1)</f>
        <v/>
      </c>
      <c r="E7496">
        <f>IF($C7496="","",DATE(YEAR($C7496),MONTH($C7496),1))</f>
        <v/>
      </c>
      <c r="F7496">
        <f>IF($C7496="","",YEAR($C7496)&amp;"-Q"&amp;ROUNDUP(MONTH($C7496)/3,0))</f>
        <v/>
      </c>
      <c r="L7496">
        <f>IF($G7496&lt;&gt;"ALCOHOL","",IF($K7496="","",$H7496*IFERROR(VLOOKUP($K7496,Drink_Templates!$A:$G,7,FALSE),0)))</f>
        <v/>
      </c>
    </row>
    <row r="7497" ht="15" customHeight="1">
      <c r="C7497">
        <f>IF($B7497="","",INT($B7497))</f>
        <v/>
      </c>
      <c r="D7497">
        <f>IF($C7497="","",$C7497-WEEKDAY($C7497,2)+1)</f>
        <v/>
      </c>
      <c r="E7497">
        <f>IF($C7497="","",DATE(YEAR($C7497),MONTH($C7497),1))</f>
        <v/>
      </c>
      <c r="F7497">
        <f>IF($C7497="","",YEAR($C7497)&amp;"-Q"&amp;ROUNDUP(MONTH($C7497)/3,0))</f>
        <v/>
      </c>
      <c r="L7497">
        <f>IF($G7497&lt;&gt;"ALCOHOL","",IF($K7497="","",$H7497*IFERROR(VLOOKUP($K7497,Drink_Templates!$A:$G,7,FALSE),0)))</f>
        <v/>
      </c>
    </row>
    <row r="7498" ht="15" customHeight="1">
      <c r="C7498">
        <f>IF($B7498="","",INT($B7498))</f>
        <v/>
      </c>
      <c r="D7498">
        <f>IF($C7498="","",$C7498-WEEKDAY($C7498,2)+1)</f>
        <v/>
      </c>
      <c r="E7498">
        <f>IF($C7498="","",DATE(YEAR($C7498),MONTH($C7498),1))</f>
        <v/>
      </c>
      <c r="F7498">
        <f>IF($C7498="","",YEAR($C7498)&amp;"-Q"&amp;ROUNDUP(MONTH($C7498)/3,0))</f>
        <v/>
      </c>
      <c r="L7498">
        <f>IF($G7498&lt;&gt;"ALCOHOL","",IF($K7498="","",$H7498*IFERROR(VLOOKUP($K7498,Drink_Templates!$A:$G,7,FALSE),0)))</f>
        <v/>
      </c>
    </row>
    <row r="7499" ht="15" customHeight="1">
      <c r="C7499">
        <f>IF($B7499="","",INT($B7499))</f>
        <v/>
      </c>
      <c r="D7499">
        <f>IF($C7499="","",$C7499-WEEKDAY($C7499,2)+1)</f>
        <v/>
      </c>
      <c r="E7499">
        <f>IF($C7499="","",DATE(YEAR($C7499),MONTH($C7499),1))</f>
        <v/>
      </c>
      <c r="F7499">
        <f>IF($C7499="","",YEAR($C7499)&amp;"-Q"&amp;ROUNDUP(MONTH($C7499)/3,0))</f>
        <v/>
      </c>
      <c r="L7499">
        <f>IF($G7499&lt;&gt;"ALCOHOL","",IF($K7499="","",$H7499*IFERROR(VLOOKUP($K7499,Drink_Templates!$A:$G,7,FALSE),0)))</f>
        <v/>
      </c>
    </row>
    <row r="7500" ht="15" customHeight="1">
      <c r="C7500">
        <f>IF($B7500="","",INT($B7500))</f>
        <v/>
      </c>
      <c r="D7500">
        <f>IF($C7500="","",$C7500-WEEKDAY($C7500,2)+1)</f>
        <v/>
      </c>
      <c r="E7500">
        <f>IF($C7500="","",DATE(YEAR($C7500),MONTH($C7500),1))</f>
        <v/>
      </c>
      <c r="F7500">
        <f>IF($C7500="","",YEAR($C7500)&amp;"-Q"&amp;ROUNDUP(MONTH($C7500)/3,0))</f>
        <v/>
      </c>
      <c r="L7500">
        <f>IF($G7500&lt;&gt;"ALCOHOL","",IF($K7500="","",$H7500*IFERROR(VLOOKUP($K7500,Drink_Templates!$A:$G,7,FALSE),0)))</f>
        <v/>
      </c>
    </row>
    <row r="7501" ht="15" customHeight="1">
      <c r="C7501">
        <f>IF($B7501="","",INT($B7501))</f>
        <v/>
      </c>
      <c r="D7501">
        <f>IF($C7501="","",$C7501-WEEKDAY($C7501,2)+1)</f>
        <v/>
      </c>
      <c r="E7501">
        <f>IF($C7501="","",DATE(YEAR($C7501),MONTH($C7501),1))</f>
        <v/>
      </c>
      <c r="F7501">
        <f>IF($C7501="","",YEAR($C7501)&amp;"-Q"&amp;ROUNDUP(MONTH($C7501)/3,0))</f>
        <v/>
      </c>
      <c r="L7501">
        <f>IF($G7501&lt;&gt;"ALCOHOL","",IF($K7501="","",$H7501*IFERROR(VLOOKUP($K7501,Drink_Templates!$A:$G,7,FALSE),0)))</f>
        <v/>
      </c>
    </row>
    <row r="7502" ht="15" customHeight="1">
      <c r="C7502">
        <f>IF($B7502="","",INT($B7502))</f>
        <v/>
      </c>
      <c r="D7502">
        <f>IF($C7502="","",$C7502-WEEKDAY($C7502,2)+1)</f>
        <v/>
      </c>
      <c r="E7502">
        <f>IF($C7502="","",DATE(YEAR($C7502),MONTH($C7502),1))</f>
        <v/>
      </c>
      <c r="F7502">
        <f>IF($C7502="","",YEAR($C7502)&amp;"-Q"&amp;ROUNDUP(MONTH($C7502)/3,0))</f>
        <v/>
      </c>
      <c r="L7502">
        <f>IF($G7502&lt;&gt;"ALCOHOL","",IF($K7502="","",$H7502*IFERROR(VLOOKUP($K7502,Drink_Templates!$A:$G,7,FALSE),0)))</f>
        <v/>
      </c>
    </row>
    <row r="7503" ht="15" customHeight="1">
      <c r="C7503">
        <f>IF($B7503="","",INT($B7503))</f>
        <v/>
      </c>
      <c r="D7503">
        <f>IF($C7503="","",$C7503-WEEKDAY($C7503,2)+1)</f>
        <v/>
      </c>
      <c r="E7503">
        <f>IF($C7503="","",DATE(YEAR($C7503),MONTH($C7503),1))</f>
        <v/>
      </c>
      <c r="F7503">
        <f>IF($C7503="","",YEAR($C7503)&amp;"-Q"&amp;ROUNDUP(MONTH($C7503)/3,0))</f>
        <v/>
      </c>
      <c r="L7503">
        <f>IF($G7503&lt;&gt;"ALCOHOL","",IF($K7503="","",$H7503*IFERROR(VLOOKUP($K7503,Drink_Templates!$A:$G,7,FALSE),0)))</f>
        <v/>
      </c>
    </row>
    <row r="7504" ht="15" customHeight="1">
      <c r="C7504">
        <f>IF($B7504="","",INT($B7504))</f>
        <v/>
      </c>
      <c r="D7504">
        <f>IF($C7504="","",$C7504-WEEKDAY($C7504,2)+1)</f>
        <v/>
      </c>
      <c r="E7504">
        <f>IF($C7504="","",DATE(YEAR($C7504),MONTH($C7504),1))</f>
        <v/>
      </c>
      <c r="F7504">
        <f>IF($C7504="","",YEAR($C7504)&amp;"-Q"&amp;ROUNDUP(MONTH($C7504)/3,0))</f>
        <v/>
      </c>
      <c r="L7504">
        <f>IF($G7504&lt;&gt;"ALCOHOL","",IF($K7504="","",$H7504*IFERROR(VLOOKUP($K7504,Drink_Templates!$A:$G,7,FALSE),0)))</f>
        <v/>
      </c>
    </row>
    <row r="7505" ht="15" customHeight="1">
      <c r="C7505">
        <f>IF($B7505="","",INT($B7505))</f>
        <v/>
      </c>
      <c r="D7505">
        <f>IF($C7505="","",$C7505-WEEKDAY($C7505,2)+1)</f>
        <v/>
      </c>
      <c r="E7505">
        <f>IF($C7505="","",DATE(YEAR($C7505),MONTH($C7505),1))</f>
        <v/>
      </c>
      <c r="F7505">
        <f>IF($C7505="","",YEAR($C7505)&amp;"-Q"&amp;ROUNDUP(MONTH($C7505)/3,0))</f>
        <v/>
      </c>
      <c r="L7505">
        <f>IF($G7505&lt;&gt;"ALCOHOL","",IF($K7505="","",$H7505*IFERROR(VLOOKUP($K7505,Drink_Templates!$A:$G,7,FALSE),0)))</f>
        <v/>
      </c>
    </row>
    <row r="7506" ht="15" customHeight="1">
      <c r="C7506">
        <f>IF($B7506="","",INT($B7506))</f>
        <v/>
      </c>
      <c r="D7506">
        <f>IF($C7506="","",$C7506-WEEKDAY($C7506,2)+1)</f>
        <v/>
      </c>
      <c r="E7506">
        <f>IF($C7506="","",DATE(YEAR($C7506),MONTH($C7506),1))</f>
        <v/>
      </c>
      <c r="F7506">
        <f>IF($C7506="","",YEAR($C7506)&amp;"-Q"&amp;ROUNDUP(MONTH($C7506)/3,0))</f>
        <v/>
      </c>
      <c r="L7506">
        <f>IF($G7506&lt;&gt;"ALCOHOL","",IF($K7506="","",$H7506*IFERROR(VLOOKUP($K7506,Drink_Templates!$A:$G,7,FALSE),0)))</f>
        <v/>
      </c>
    </row>
    <row r="7507" ht="15" customHeight="1">
      <c r="C7507">
        <f>IF($B7507="","",INT($B7507))</f>
        <v/>
      </c>
      <c r="D7507">
        <f>IF($C7507="","",$C7507-WEEKDAY($C7507,2)+1)</f>
        <v/>
      </c>
      <c r="E7507">
        <f>IF($C7507="","",DATE(YEAR($C7507),MONTH($C7507),1))</f>
        <v/>
      </c>
      <c r="F7507">
        <f>IF($C7507="","",YEAR($C7507)&amp;"-Q"&amp;ROUNDUP(MONTH($C7507)/3,0))</f>
        <v/>
      </c>
      <c r="L7507">
        <f>IF($G7507&lt;&gt;"ALCOHOL","",IF($K7507="","",$H7507*IFERROR(VLOOKUP($K7507,Drink_Templates!$A:$G,7,FALSE),0)))</f>
        <v/>
      </c>
    </row>
    <row r="7508" ht="15" customHeight="1">
      <c r="C7508">
        <f>IF($B7508="","",INT($B7508))</f>
        <v/>
      </c>
      <c r="D7508">
        <f>IF($C7508="","",$C7508-WEEKDAY($C7508,2)+1)</f>
        <v/>
      </c>
      <c r="E7508">
        <f>IF($C7508="","",DATE(YEAR($C7508),MONTH($C7508),1))</f>
        <v/>
      </c>
      <c r="F7508">
        <f>IF($C7508="","",YEAR($C7508)&amp;"-Q"&amp;ROUNDUP(MONTH($C7508)/3,0))</f>
        <v/>
      </c>
      <c r="L7508">
        <f>IF($G7508&lt;&gt;"ALCOHOL","",IF($K7508="","",$H7508*IFERROR(VLOOKUP($K7508,Drink_Templates!$A:$G,7,FALSE),0)))</f>
        <v/>
      </c>
    </row>
    <row r="7509" ht="15" customHeight="1">
      <c r="C7509">
        <f>IF($B7509="","",INT($B7509))</f>
        <v/>
      </c>
      <c r="D7509">
        <f>IF($C7509="","",$C7509-WEEKDAY($C7509,2)+1)</f>
        <v/>
      </c>
      <c r="E7509">
        <f>IF($C7509="","",DATE(YEAR($C7509),MONTH($C7509),1))</f>
        <v/>
      </c>
      <c r="F7509">
        <f>IF($C7509="","",YEAR($C7509)&amp;"-Q"&amp;ROUNDUP(MONTH($C7509)/3,0))</f>
        <v/>
      </c>
      <c r="L7509">
        <f>IF($G7509&lt;&gt;"ALCOHOL","",IF($K7509="","",$H7509*IFERROR(VLOOKUP($K7509,Drink_Templates!$A:$G,7,FALSE),0)))</f>
        <v/>
      </c>
    </row>
    <row r="7510" ht="15" customHeight="1">
      <c r="C7510">
        <f>IF($B7510="","",INT($B7510))</f>
        <v/>
      </c>
      <c r="D7510">
        <f>IF($C7510="","",$C7510-WEEKDAY($C7510,2)+1)</f>
        <v/>
      </c>
      <c r="E7510">
        <f>IF($C7510="","",DATE(YEAR($C7510),MONTH($C7510),1))</f>
        <v/>
      </c>
      <c r="F7510">
        <f>IF($C7510="","",YEAR($C7510)&amp;"-Q"&amp;ROUNDUP(MONTH($C7510)/3,0))</f>
        <v/>
      </c>
      <c r="L7510">
        <f>IF($G7510&lt;&gt;"ALCOHOL","",IF($K7510="","",$H7510*IFERROR(VLOOKUP($K7510,Drink_Templates!$A:$G,7,FALSE),0)))</f>
        <v/>
      </c>
    </row>
    <row r="7511" ht="15" customHeight="1">
      <c r="C7511">
        <f>IF($B7511="","",INT($B7511))</f>
        <v/>
      </c>
      <c r="D7511">
        <f>IF($C7511="","",$C7511-WEEKDAY($C7511,2)+1)</f>
        <v/>
      </c>
      <c r="E7511">
        <f>IF($C7511="","",DATE(YEAR($C7511),MONTH($C7511),1))</f>
        <v/>
      </c>
      <c r="F7511">
        <f>IF($C7511="","",YEAR($C7511)&amp;"-Q"&amp;ROUNDUP(MONTH($C7511)/3,0))</f>
        <v/>
      </c>
      <c r="L7511">
        <f>IF($G7511&lt;&gt;"ALCOHOL","",IF($K7511="","",$H7511*IFERROR(VLOOKUP($K7511,Drink_Templates!$A:$G,7,FALSE),0)))</f>
        <v/>
      </c>
    </row>
    <row r="7512" ht="15" customHeight="1">
      <c r="C7512">
        <f>IF($B7512="","",INT($B7512))</f>
        <v/>
      </c>
      <c r="D7512">
        <f>IF($C7512="","",$C7512-WEEKDAY($C7512,2)+1)</f>
        <v/>
      </c>
      <c r="E7512">
        <f>IF($C7512="","",DATE(YEAR($C7512),MONTH($C7512),1))</f>
        <v/>
      </c>
      <c r="F7512">
        <f>IF($C7512="","",YEAR($C7512)&amp;"-Q"&amp;ROUNDUP(MONTH($C7512)/3,0))</f>
        <v/>
      </c>
      <c r="L7512">
        <f>IF($G7512&lt;&gt;"ALCOHOL","",IF($K7512="","",$H7512*IFERROR(VLOOKUP($K7512,Drink_Templates!$A:$G,7,FALSE),0)))</f>
        <v/>
      </c>
    </row>
    <row r="7513" ht="15" customHeight="1">
      <c r="C7513">
        <f>IF($B7513="","",INT($B7513))</f>
        <v/>
      </c>
      <c r="D7513">
        <f>IF($C7513="","",$C7513-WEEKDAY($C7513,2)+1)</f>
        <v/>
      </c>
      <c r="E7513">
        <f>IF($C7513="","",DATE(YEAR($C7513),MONTH($C7513),1))</f>
        <v/>
      </c>
      <c r="F7513">
        <f>IF($C7513="","",YEAR($C7513)&amp;"-Q"&amp;ROUNDUP(MONTH($C7513)/3,0))</f>
        <v/>
      </c>
      <c r="L7513">
        <f>IF($G7513&lt;&gt;"ALCOHOL","",IF($K7513="","",$H7513*IFERROR(VLOOKUP($K7513,Drink_Templates!$A:$G,7,FALSE),0)))</f>
        <v/>
      </c>
    </row>
    <row r="7514" ht="15" customHeight="1">
      <c r="C7514">
        <f>IF($B7514="","",INT($B7514))</f>
        <v/>
      </c>
      <c r="D7514">
        <f>IF($C7514="","",$C7514-WEEKDAY($C7514,2)+1)</f>
        <v/>
      </c>
      <c r="E7514">
        <f>IF($C7514="","",DATE(YEAR($C7514),MONTH($C7514),1))</f>
        <v/>
      </c>
      <c r="F7514">
        <f>IF($C7514="","",YEAR($C7514)&amp;"-Q"&amp;ROUNDUP(MONTH($C7514)/3,0))</f>
        <v/>
      </c>
      <c r="L7514">
        <f>IF($G7514&lt;&gt;"ALCOHOL","",IF($K7514="","",$H7514*IFERROR(VLOOKUP($K7514,Drink_Templates!$A:$G,7,FALSE),0)))</f>
        <v/>
      </c>
    </row>
    <row r="7515" ht="15" customHeight="1">
      <c r="C7515">
        <f>IF($B7515="","",INT($B7515))</f>
        <v/>
      </c>
      <c r="D7515">
        <f>IF($C7515="","",$C7515-WEEKDAY($C7515,2)+1)</f>
        <v/>
      </c>
      <c r="E7515">
        <f>IF($C7515="","",DATE(YEAR($C7515),MONTH($C7515),1))</f>
        <v/>
      </c>
      <c r="F7515">
        <f>IF($C7515="","",YEAR($C7515)&amp;"-Q"&amp;ROUNDUP(MONTH($C7515)/3,0))</f>
        <v/>
      </c>
      <c r="L7515">
        <f>IF($G7515&lt;&gt;"ALCOHOL","",IF($K7515="","",$H7515*IFERROR(VLOOKUP($K7515,Drink_Templates!$A:$G,7,FALSE),0)))</f>
        <v/>
      </c>
    </row>
    <row r="7516" ht="15" customHeight="1">
      <c r="C7516">
        <f>IF($B7516="","",INT($B7516))</f>
        <v/>
      </c>
      <c r="D7516">
        <f>IF($C7516="","",$C7516-WEEKDAY($C7516,2)+1)</f>
        <v/>
      </c>
      <c r="E7516">
        <f>IF($C7516="","",DATE(YEAR($C7516),MONTH($C7516),1))</f>
        <v/>
      </c>
      <c r="F7516">
        <f>IF($C7516="","",YEAR($C7516)&amp;"-Q"&amp;ROUNDUP(MONTH($C7516)/3,0))</f>
        <v/>
      </c>
      <c r="L7516">
        <f>IF($G7516&lt;&gt;"ALCOHOL","",IF($K7516="","",$H7516*IFERROR(VLOOKUP($K7516,Drink_Templates!$A:$G,7,FALSE),0)))</f>
        <v/>
      </c>
    </row>
    <row r="7517" ht="15" customHeight="1">
      <c r="C7517">
        <f>IF($B7517="","",INT($B7517))</f>
        <v/>
      </c>
      <c r="D7517">
        <f>IF($C7517="","",$C7517-WEEKDAY($C7517,2)+1)</f>
        <v/>
      </c>
      <c r="E7517">
        <f>IF($C7517="","",DATE(YEAR($C7517),MONTH($C7517),1))</f>
        <v/>
      </c>
      <c r="F7517">
        <f>IF($C7517="","",YEAR($C7517)&amp;"-Q"&amp;ROUNDUP(MONTH($C7517)/3,0))</f>
        <v/>
      </c>
      <c r="L7517">
        <f>IF($G7517&lt;&gt;"ALCOHOL","",IF($K7517="","",$H7517*IFERROR(VLOOKUP($K7517,Drink_Templates!$A:$G,7,FALSE),0)))</f>
        <v/>
      </c>
    </row>
    <row r="7518" ht="15" customHeight="1">
      <c r="C7518">
        <f>IF($B7518="","",INT($B7518))</f>
        <v/>
      </c>
      <c r="D7518">
        <f>IF($C7518="","",$C7518-WEEKDAY($C7518,2)+1)</f>
        <v/>
      </c>
      <c r="E7518">
        <f>IF($C7518="","",DATE(YEAR($C7518),MONTH($C7518),1))</f>
        <v/>
      </c>
      <c r="F7518">
        <f>IF($C7518="","",YEAR($C7518)&amp;"-Q"&amp;ROUNDUP(MONTH($C7518)/3,0))</f>
        <v/>
      </c>
      <c r="L7518">
        <f>IF($G7518&lt;&gt;"ALCOHOL","",IF($K7518="","",$H7518*IFERROR(VLOOKUP($K7518,Drink_Templates!$A:$G,7,FALSE),0)))</f>
        <v/>
      </c>
    </row>
    <row r="7519" ht="15" customHeight="1">
      <c r="C7519">
        <f>IF($B7519="","",INT($B7519))</f>
        <v/>
      </c>
      <c r="D7519">
        <f>IF($C7519="","",$C7519-WEEKDAY($C7519,2)+1)</f>
        <v/>
      </c>
      <c r="E7519">
        <f>IF($C7519="","",DATE(YEAR($C7519),MONTH($C7519),1))</f>
        <v/>
      </c>
      <c r="F7519">
        <f>IF($C7519="","",YEAR($C7519)&amp;"-Q"&amp;ROUNDUP(MONTH($C7519)/3,0))</f>
        <v/>
      </c>
      <c r="L7519">
        <f>IF($G7519&lt;&gt;"ALCOHOL","",IF($K7519="","",$H7519*IFERROR(VLOOKUP($K7519,Drink_Templates!$A:$G,7,FALSE),0)))</f>
        <v/>
      </c>
    </row>
    <row r="7520" ht="15" customHeight="1">
      <c r="C7520">
        <f>IF($B7520="","",INT($B7520))</f>
        <v/>
      </c>
      <c r="D7520">
        <f>IF($C7520="","",$C7520-WEEKDAY($C7520,2)+1)</f>
        <v/>
      </c>
      <c r="E7520">
        <f>IF($C7520="","",DATE(YEAR($C7520),MONTH($C7520),1))</f>
        <v/>
      </c>
      <c r="F7520">
        <f>IF($C7520="","",YEAR($C7520)&amp;"-Q"&amp;ROUNDUP(MONTH($C7520)/3,0))</f>
        <v/>
      </c>
      <c r="L7520">
        <f>IF($G7520&lt;&gt;"ALCOHOL","",IF($K7520="","",$H7520*IFERROR(VLOOKUP($K7520,Drink_Templates!$A:$G,7,FALSE),0)))</f>
        <v/>
      </c>
    </row>
    <row r="7521" ht="15" customHeight="1">
      <c r="C7521">
        <f>IF($B7521="","",INT($B7521))</f>
        <v/>
      </c>
      <c r="D7521">
        <f>IF($C7521="","",$C7521-WEEKDAY($C7521,2)+1)</f>
        <v/>
      </c>
      <c r="E7521">
        <f>IF($C7521="","",DATE(YEAR($C7521),MONTH($C7521),1))</f>
        <v/>
      </c>
      <c r="F7521">
        <f>IF($C7521="","",YEAR($C7521)&amp;"-Q"&amp;ROUNDUP(MONTH($C7521)/3,0))</f>
        <v/>
      </c>
      <c r="L7521">
        <f>IF($G7521&lt;&gt;"ALCOHOL","",IF($K7521="","",$H7521*IFERROR(VLOOKUP($K7521,Drink_Templates!$A:$G,7,FALSE),0)))</f>
        <v/>
      </c>
    </row>
    <row r="7522" ht="15" customHeight="1">
      <c r="C7522">
        <f>IF($B7522="","",INT($B7522))</f>
        <v/>
      </c>
      <c r="D7522">
        <f>IF($C7522="","",$C7522-WEEKDAY($C7522,2)+1)</f>
        <v/>
      </c>
      <c r="E7522">
        <f>IF($C7522="","",DATE(YEAR($C7522),MONTH($C7522),1))</f>
        <v/>
      </c>
      <c r="F7522">
        <f>IF($C7522="","",YEAR($C7522)&amp;"-Q"&amp;ROUNDUP(MONTH($C7522)/3,0))</f>
        <v/>
      </c>
      <c r="L7522">
        <f>IF($G7522&lt;&gt;"ALCOHOL","",IF($K7522="","",$H7522*IFERROR(VLOOKUP($K7522,Drink_Templates!$A:$G,7,FALSE),0)))</f>
        <v/>
      </c>
    </row>
    <row r="7523" ht="15" customHeight="1">
      <c r="C7523">
        <f>IF($B7523="","",INT($B7523))</f>
        <v/>
      </c>
      <c r="D7523">
        <f>IF($C7523="","",$C7523-WEEKDAY($C7523,2)+1)</f>
        <v/>
      </c>
      <c r="E7523">
        <f>IF($C7523="","",DATE(YEAR($C7523),MONTH($C7523),1))</f>
        <v/>
      </c>
      <c r="F7523">
        <f>IF($C7523="","",YEAR($C7523)&amp;"-Q"&amp;ROUNDUP(MONTH($C7523)/3,0))</f>
        <v/>
      </c>
      <c r="L7523">
        <f>IF($G7523&lt;&gt;"ALCOHOL","",IF($K7523="","",$H7523*IFERROR(VLOOKUP($K7523,Drink_Templates!$A:$G,7,FALSE),0)))</f>
        <v/>
      </c>
    </row>
    <row r="7524" ht="15" customHeight="1">
      <c r="C7524">
        <f>IF($B7524="","",INT($B7524))</f>
        <v/>
      </c>
      <c r="D7524">
        <f>IF($C7524="","",$C7524-WEEKDAY($C7524,2)+1)</f>
        <v/>
      </c>
      <c r="E7524">
        <f>IF($C7524="","",DATE(YEAR($C7524),MONTH($C7524),1))</f>
        <v/>
      </c>
      <c r="F7524">
        <f>IF($C7524="","",YEAR($C7524)&amp;"-Q"&amp;ROUNDUP(MONTH($C7524)/3,0))</f>
        <v/>
      </c>
      <c r="L7524">
        <f>IF($G7524&lt;&gt;"ALCOHOL","",IF($K7524="","",$H7524*IFERROR(VLOOKUP($K7524,Drink_Templates!$A:$G,7,FALSE),0)))</f>
        <v/>
      </c>
    </row>
    <row r="7525" ht="15" customHeight="1">
      <c r="C7525">
        <f>IF($B7525="","",INT($B7525))</f>
        <v/>
      </c>
      <c r="D7525">
        <f>IF($C7525="","",$C7525-WEEKDAY($C7525,2)+1)</f>
        <v/>
      </c>
      <c r="E7525">
        <f>IF($C7525="","",DATE(YEAR($C7525),MONTH($C7525),1))</f>
        <v/>
      </c>
      <c r="F7525">
        <f>IF($C7525="","",YEAR($C7525)&amp;"-Q"&amp;ROUNDUP(MONTH($C7525)/3,0))</f>
        <v/>
      </c>
      <c r="L7525">
        <f>IF($G7525&lt;&gt;"ALCOHOL","",IF($K7525="","",$H7525*IFERROR(VLOOKUP($K7525,Drink_Templates!$A:$G,7,FALSE),0)))</f>
        <v/>
      </c>
    </row>
    <row r="7526" ht="15" customHeight="1">
      <c r="C7526">
        <f>IF($B7526="","",INT($B7526))</f>
        <v/>
      </c>
      <c r="D7526">
        <f>IF($C7526="","",$C7526-WEEKDAY($C7526,2)+1)</f>
        <v/>
      </c>
      <c r="E7526">
        <f>IF($C7526="","",DATE(YEAR($C7526),MONTH($C7526),1))</f>
        <v/>
      </c>
      <c r="F7526">
        <f>IF($C7526="","",YEAR($C7526)&amp;"-Q"&amp;ROUNDUP(MONTH($C7526)/3,0))</f>
        <v/>
      </c>
      <c r="L7526">
        <f>IF($G7526&lt;&gt;"ALCOHOL","",IF($K7526="","",$H7526*IFERROR(VLOOKUP($K7526,Drink_Templates!$A:$G,7,FALSE),0)))</f>
        <v/>
      </c>
    </row>
    <row r="7527" ht="15" customHeight="1">
      <c r="C7527">
        <f>IF($B7527="","",INT($B7527))</f>
        <v/>
      </c>
      <c r="D7527">
        <f>IF($C7527="","",$C7527-WEEKDAY($C7527,2)+1)</f>
        <v/>
      </c>
      <c r="E7527">
        <f>IF($C7527="","",DATE(YEAR($C7527),MONTH($C7527),1))</f>
        <v/>
      </c>
      <c r="F7527">
        <f>IF($C7527="","",YEAR($C7527)&amp;"-Q"&amp;ROUNDUP(MONTH($C7527)/3,0))</f>
        <v/>
      </c>
      <c r="L7527">
        <f>IF($G7527&lt;&gt;"ALCOHOL","",IF($K7527="","",$H7527*IFERROR(VLOOKUP($K7527,Drink_Templates!$A:$G,7,FALSE),0)))</f>
        <v/>
      </c>
    </row>
    <row r="7528" ht="15" customHeight="1">
      <c r="C7528">
        <f>IF($B7528="","",INT($B7528))</f>
        <v/>
      </c>
      <c r="D7528">
        <f>IF($C7528="","",$C7528-WEEKDAY($C7528,2)+1)</f>
        <v/>
      </c>
      <c r="E7528">
        <f>IF($C7528="","",DATE(YEAR($C7528),MONTH($C7528),1))</f>
        <v/>
      </c>
      <c r="F7528">
        <f>IF($C7528="","",YEAR($C7528)&amp;"-Q"&amp;ROUNDUP(MONTH($C7528)/3,0))</f>
        <v/>
      </c>
      <c r="L7528">
        <f>IF($G7528&lt;&gt;"ALCOHOL","",IF($K7528="","",$H7528*IFERROR(VLOOKUP($K7528,Drink_Templates!$A:$G,7,FALSE),0)))</f>
        <v/>
      </c>
    </row>
    <row r="7529" ht="15" customHeight="1">
      <c r="C7529">
        <f>IF($B7529="","",INT($B7529))</f>
        <v/>
      </c>
      <c r="D7529">
        <f>IF($C7529="","",$C7529-WEEKDAY($C7529,2)+1)</f>
        <v/>
      </c>
      <c r="E7529">
        <f>IF($C7529="","",DATE(YEAR($C7529),MONTH($C7529),1))</f>
        <v/>
      </c>
      <c r="F7529">
        <f>IF($C7529="","",YEAR($C7529)&amp;"-Q"&amp;ROUNDUP(MONTH($C7529)/3,0))</f>
        <v/>
      </c>
      <c r="L7529">
        <f>IF($G7529&lt;&gt;"ALCOHOL","",IF($K7529="","",$H7529*IFERROR(VLOOKUP($K7529,Drink_Templates!$A:$G,7,FALSE),0)))</f>
        <v/>
      </c>
    </row>
    <row r="7530" ht="15" customHeight="1">
      <c r="C7530">
        <f>IF($B7530="","",INT($B7530))</f>
        <v/>
      </c>
      <c r="D7530">
        <f>IF($C7530="","",$C7530-WEEKDAY($C7530,2)+1)</f>
        <v/>
      </c>
      <c r="E7530">
        <f>IF($C7530="","",DATE(YEAR($C7530),MONTH($C7530),1))</f>
        <v/>
      </c>
      <c r="F7530">
        <f>IF($C7530="","",YEAR($C7530)&amp;"-Q"&amp;ROUNDUP(MONTH($C7530)/3,0))</f>
        <v/>
      </c>
      <c r="L7530">
        <f>IF($G7530&lt;&gt;"ALCOHOL","",IF($K7530="","",$H7530*IFERROR(VLOOKUP($K7530,Drink_Templates!$A:$G,7,FALSE),0)))</f>
        <v/>
      </c>
    </row>
    <row r="7531" ht="15" customHeight="1">
      <c r="C7531">
        <f>IF($B7531="","",INT($B7531))</f>
        <v/>
      </c>
      <c r="D7531">
        <f>IF($C7531="","",$C7531-WEEKDAY($C7531,2)+1)</f>
        <v/>
      </c>
      <c r="E7531">
        <f>IF($C7531="","",DATE(YEAR($C7531),MONTH($C7531),1))</f>
        <v/>
      </c>
      <c r="F7531">
        <f>IF($C7531="","",YEAR($C7531)&amp;"-Q"&amp;ROUNDUP(MONTH($C7531)/3,0))</f>
        <v/>
      </c>
      <c r="L7531">
        <f>IF($G7531&lt;&gt;"ALCOHOL","",IF($K7531="","",$H7531*IFERROR(VLOOKUP($K7531,Drink_Templates!$A:$G,7,FALSE),0)))</f>
        <v/>
      </c>
    </row>
    <row r="7532" ht="15" customHeight="1">
      <c r="C7532">
        <f>IF($B7532="","",INT($B7532))</f>
        <v/>
      </c>
      <c r="D7532">
        <f>IF($C7532="","",$C7532-WEEKDAY($C7532,2)+1)</f>
        <v/>
      </c>
      <c r="E7532">
        <f>IF($C7532="","",DATE(YEAR($C7532),MONTH($C7532),1))</f>
        <v/>
      </c>
      <c r="F7532">
        <f>IF($C7532="","",YEAR($C7532)&amp;"-Q"&amp;ROUNDUP(MONTH($C7532)/3,0))</f>
        <v/>
      </c>
      <c r="L7532">
        <f>IF($G7532&lt;&gt;"ALCOHOL","",IF($K7532="","",$H7532*IFERROR(VLOOKUP($K7532,Drink_Templates!$A:$G,7,FALSE),0)))</f>
        <v/>
      </c>
    </row>
    <row r="7533" ht="15" customHeight="1">
      <c r="C7533">
        <f>IF($B7533="","",INT($B7533))</f>
        <v/>
      </c>
      <c r="D7533">
        <f>IF($C7533="","",$C7533-WEEKDAY($C7533,2)+1)</f>
        <v/>
      </c>
      <c r="E7533">
        <f>IF($C7533="","",DATE(YEAR($C7533),MONTH($C7533),1))</f>
        <v/>
      </c>
      <c r="F7533">
        <f>IF($C7533="","",YEAR($C7533)&amp;"-Q"&amp;ROUNDUP(MONTH($C7533)/3,0))</f>
        <v/>
      </c>
      <c r="L7533">
        <f>IF($G7533&lt;&gt;"ALCOHOL","",IF($K7533="","",$H7533*IFERROR(VLOOKUP($K7533,Drink_Templates!$A:$G,7,FALSE),0)))</f>
        <v/>
      </c>
    </row>
    <row r="7534" ht="15" customHeight="1">
      <c r="C7534">
        <f>IF($B7534="","",INT($B7534))</f>
        <v/>
      </c>
      <c r="D7534">
        <f>IF($C7534="","",$C7534-WEEKDAY($C7534,2)+1)</f>
        <v/>
      </c>
      <c r="E7534">
        <f>IF($C7534="","",DATE(YEAR($C7534),MONTH($C7534),1))</f>
        <v/>
      </c>
      <c r="F7534">
        <f>IF($C7534="","",YEAR($C7534)&amp;"-Q"&amp;ROUNDUP(MONTH($C7534)/3,0))</f>
        <v/>
      </c>
      <c r="L7534">
        <f>IF($G7534&lt;&gt;"ALCOHOL","",IF($K7534="","",$H7534*IFERROR(VLOOKUP($K7534,Drink_Templates!$A:$G,7,FALSE),0)))</f>
        <v/>
      </c>
    </row>
    <row r="7535" ht="15" customHeight="1">
      <c r="C7535">
        <f>IF($B7535="","",INT($B7535))</f>
        <v/>
      </c>
      <c r="D7535">
        <f>IF($C7535="","",$C7535-WEEKDAY($C7535,2)+1)</f>
        <v/>
      </c>
      <c r="E7535">
        <f>IF($C7535="","",DATE(YEAR($C7535),MONTH($C7535),1))</f>
        <v/>
      </c>
      <c r="F7535">
        <f>IF($C7535="","",YEAR($C7535)&amp;"-Q"&amp;ROUNDUP(MONTH($C7535)/3,0))</f>
        <v/>
      </c>
      <c r="L7535">
        <f>IF($G7535&lt;&gt;"ALCOHOL","",IF($K7535="","",$H7535*IFERROR(VLOOKUP($K7535,Drink_Templates!$A:$G,7,FALSE),0)))</f>
        <v/>
      </c>
    </row>
    <row r="7536" ht="15" customHeight="1">
      <c r="C7536">
        <f>IF($B7536="","",INT($B7536))</f>
        <v/>
      </c>
      <c r="D7536">
        <f>IF($C7536="","",$C7536-WEEKDAY($C7536,2)+1)</f>
        <v/>
      </c>
      <c r="E7536">
        <f>IF($C7536="","",DATE(YEAR($C7536),MONTH($C7536),1))</f>
        <v/>
      </c>
      <c r="F7536">
        <f>IF($C7536="","",YEAR($C7536)&amp;"-Q"&amp;ROUNDUP(MONTH($C7536)/3,0))</f>
        <v/>
      </c>
      <c r="L7536">
        <f>IF($G7536&lt;&gt;"ALCOHOL","",IF($K7536="","",$H7536*IFERROR(VLOOKUP($K7536,Drink_Templates!$A:$G,7,FALSE),0)))</f>
        <v/>
      </c>
    </row>
    <row r="7537" ht="15" customHeight="1">
      <c r="C7537">
        <f>IF($B7537="","",INT($B7537))</f>
        <v/>
      </c>
      <c r="D7537">
        <f>IF($C7537="","",$C7537-WEEKDAY($C7537,2)+1)</f>
        <v/>
      </c>
      <c r="E7537">
        <f>IF($C7537="","",DATE(YEAR($C7537),MONTH($C7537),1))</f>
        <v/>
      </c>
      <c r="F7537">
        <f>IF($C7537="","",YEAR($C7537)&amp;"-Q"&amp;ROUNDUP(MONTH($C7537)/3,0))</f>
        <v/>
      </c>
      <c r="L7537">
        <f>IF($G7537&lt;&gt;"ALCOHOL","",IF($K7537="","",$H7537*IFERROR(VLOOKUP($K7537,Drink_Templates!$A:$G,7,FALSE),0)))</f>
        <v/>
      </c>
    </row>
    <row r="7538" ht="15" customHeight="1">
      <c r="C7538">
        <f>IF($B7538="","",INT($B7538))</f>
        <v/>
      </c>
      <c r="D7538">
        <f>IF($C7538="","",$C7538-WEEKDAY($C7538,2)+1)</f>
        <v/>
      </c>
      <c r="E7538">
        <f>IF($C7538="","",DATE(YEAR($C7538),MONTH($C7538),1))</f>
        <v/>
      </c>
      <c r="F7538">
        <f>IF($C7538="","",YEAR($C7538)&amp;"-Q"&amp;ROUNDUP(MONTH($C7538)/3,0))</f>
        <v/>
      </c>
      <c r="L7538">
        <f>IF($G7538&lt;&gt;"ALCOHOL","",IF($K7538="","",$H7538*IFERROR(VLOOKUP($K7538,Drink_Templates!$A:$G,7,FALSE),0)))</f>
        <v/>
      </c>
    </row>
    <row r="7539" ht="15" customHeight="1">
      <c r="C7539">
        <f>IF($B7539="","",INT($B7539))</f>
        <v/>
      </c>
      <c r="D7539">
        <f>IF($C7539="","",$C7539-WEEKDAY($C7539,2)+1)</f>
        <v/>
      </c>
      <c r="E7539">
        <f>IF($C7539="","",DATE(YEAR($C7539),MONTH($C7539),1))</f>
        <v/>
      </c>
      <c r="F7539">
        <f>IF($C7539="","",YEAR($C7539)&amp;"-Q"&amp;ROUNDUP(MONTH($C7539)/3,0))</f>
        <v/>
      </c>
      <c r="L7539">
        <f>IF($G7539&lt;&gt;"ALCOHOL","",IF($K7539="","",$H7539*IFERROR(VLOOKUP($K7539,Drink_Templates!$A:$G,7,FALSE),0)))</f>
        <v/>
      </c>
    </row>
    <row r="7540" ht="15" customHeight="1">
      <c r="C7540">
        <f>IF($B7540="","",INT($B7540))</f>
        <v/>
      </c>
      <c r="D7540">
        <f>IF($C7540="","",$C7540-WEEKDAY($C7540,2)+1)</f>
        <v/>
      </c>
      <c r="E7540">
        <f>IF($C7540="","",DATE(YEAR($C7540),MONTH($C7540),1))</f>
        <v/>
      </c>
      <c r="F7540">
        <f>IF($C7540="","",YEAR($C7540)&amp;"-Q"&amp;ROUNDUP(MONTH($C7540)/3,0))</f>
        <v/>
      </c>
      <c r="L7540">
        <f>IF($G7540&lt;&gt;"ALCOHOL","",IF($K7540="","",$H7540*IFERROR(VLOOKUP($K7540,Drink_Templates!$A:$G,7,FALSE),0)))</f>
        <v/>
      </c>
    </row>
    <row r="7541" ht="15" customHeight="1">
      <c r="C7541">
        <f>IF($B7541="","",INT($B7541))</f>
        <v/>
      </c>
      <c r="D7541">
        <f>IF($C7541="","",$C7541-WEEKDAY($C7541,2)+1)</f>
        <v/>
      </c>
      <c r="E7541">
        <f>IF($C7541="","",DATE(YEAR($C7541),MONTH($C7541),1))</f>
        <v/>
      </c>
      <c r="F7541">
        <f>IF($C7541="","",YEAR($C7541)&amp;"-Q"&amp;ROUNDUP(MONTH($C7541)/3,0))</f>
        <v/>
      </c>
      <c r="L7541">
        <f>IF($G7541&lt;&gt;"ALCOHOL","",IF($K7541="","",$H7541*IFERROR(VLOOKUP($K7541,Drink_Templates!$A:$G,7,FALSE),0)))</f>
        <v/>
      </c>
    </row>
    <row r="7542" ht="15" customHeight="1">
      <c r="C7542">
        <f>IF($B7542="","",INT($B7542))</f>
        <v/>
      </c>
      <c r="D7542">
        <f>IF($C7542="","",$C7542-WEEKDAY($C7542,2)+1)</f>
        <v/>
      </c>
      <c r="E7542">
        <f>IF($C7542="","",DATE(YEAR($C7542),MONTH($C7542),1))</f>
        <v/>
      </c>
      <c r="F7542">
        <f>IF($C7542="","",YEAR($C7542)&amp;"-Q"&amp;ROUNDUP(MONTH($C7542)/3,0))</f>
        <v/>
      </c>
      <c r="L7542">
        <f>IF($G7542&lt;&gt;"ALCOHOL","",IF($K7542="","",$H7542*IFERROR(VLOOKUP($K7542,Drink_Templates!$A:$G,7,FALSE),0)))</f>
        <v/>
      </c>
    </row>
    <row r="7543" ht="15" customHeight="1">
      <c r="C7543">
        <f>IF($B7543="","",INT($B7543))</f>
        <v/>
      </c>
      <c r="D7543">
        <f>IF($C7543="","",$C7543-WEEKDAY($C7543,2)+1)</f>
        <v/>
      </c>
      <c r="E7543">
        <f>IF($C7543="","",DATE(YEAR($C7543),MONTH($C7543),1))</f>
        <v/>
      </c>
      <c r="F7543">
        <f>IF($C7543="","",YEAR($C7543)&amp;"-Q"&amp;ROUNDUP(MONTH($C7543)/3,0))</f>
        <v/>
      </c>
      <c r="L7543">
        <f>IF($G7543&lt;&gt;"ALCOHOL","",IF($K7543="","",$H7543*IFERROR(VLOOKUP($K7543,Drink_Templates!$A:$G,7,FALSE),0)))</f>
        <v/>
      </c>
    </row>
    <row r="7544" ht="15" customHeight="1">
      <c r="C7544">
        <f>IF($B7544="","",INT($B7544))</f>
        <v/>
      </c>
      <c r="D7544">
        <f>IF($C7544="","",$C7544-WEEKDAY($C7544,2)+1)</f>
        <v/>
      </c>
      <c r="E7544">
        <f>IF($C7544="","",DATE(YEAR($C7544),MONTH($C7544),1))</f>
        <v/>
      </c>
      <c r="F7544">
        <f>IF($C7544="","",YEAR($C7544)&amp;"-Q"&amp;ROUNDUP(MONTH($C7544)/3,0))</f>
        <v/>
      </c>
      <c r="L7544">
        <f>IF($G7544&lt;&gt;"ALCOHOL","",IF($K7544="","",$H7544*IFERROR(VLOOKUP($K7544,Drink_Templates!$A:$G,7,FALSE),0)))</f>
        <v/>
      </c>
    </row>
    <row r="7545" ht="15" customHeight="1">
      <c r="C7545">
        <f>IF($B7545="","",INT($B7545))</f>
        <v/>
      </c>
      <c r="D7545">
        <f>IF($C7545="","",$C7545-WEEKDAY($C7545,2)+1)</f>
        <v/>
      </c>
      <c r="E7545">
        <f>IF($C7545="","",DATE(YEAR($C7545),MONTH($C7545),1))</f>
        <v/>
      </c>
      <c r="F7545">
        <f>IF($C7545="","",YEAR($C7545)&amp;"-Q"&amp;ROUNDUP(MONTH($C7545)/3,0))</f>
        <v/>
      </c>
      <c r="L7545">
        <f>IF($G7545&lt;&gt;"ALCOHOL","",IF($K7545="","",$H7545*IFERROR(VLOOKUP($K7545,Drink_Templates!$A:$G,7,FALSE),0)))</f>
        <v/>
      </c>
    </row>
    <row r="7546" ht="15" customHeight="1">
      <c r="C7546">
        <f>IF($B7546="","",INT($B7546))</f>
        <v/>
      </c>
      <c r="D7546">
        <f>IF($C7546="","",$C7546-WEEKDAY($C7546,2)+1)</f>
        <v/>
      </c>
      <c r="E7546">
        <f>IF($C7546="","",DATE(YEAR($C7546),MONTH($C7546),1))</f>
        <v/>
      </c>
      <c r="F7546">
        <f>IF($C7546="","",YEAR($C7546)&amp;"-Q"&amp;ROUNDUP(MONTH($C7546)/3,0))</f>
        <v/>
      </c>
      <c r="L7546">
        <f>IF($G7546&lt;&gt;"ALCOHOL","",IF($K7546="","",$H7546*IFERROR(VLOOKUP($K7546,Drink_Templates!$A:$G,7,FALSE),0)))</f>
        <v/>
      </c>
    </row>
    <row r="7547" ht="15" customHeight="1">
      <c r="C7547">
        <f>IF($B7547="","",INT($B7547))</f>
        <v/>
      </c>
      <c r="D7547">
        <f>IF($C7547="","",$C7547-WEEKDAY($C7547,2)+1)</f>
        <v/>
      </c>
      <c r="E7547">
        <f>IF($C7547="","",DATE(YEAR($C7547),MONTH($C7547),1))</f>
        <v/>
      </c>
      <c r="F7547">
        <f>IF($C7547="","",YEAR($C7547)&amp;"-Q"&amp;ROUNDUP(MONTH($C7547)/3,0))</f>
        <v/>
      </c>
      <c r="L7547">
        <f>IF($G7547&lt;&gt;"ALCOHOL","",IF($K7547="","",$H7547*IFERROR(VLOOKUP($K7547,Drink_Templates!$A:$G,7,FALSE),0)))</f>
        <v/>
      </c>
    </row>
    <row r="7548" ht="15" customHeight="1">
      <c r="C7548">
        <f>IF($B7548="","",INT($B7548))</f>
        <v/>
      </c>
      <c r="D7548">
        <f>IF($C7548="","",$C7548-WEEKDAY($C7548,2)+1)</f>
        <v/>
      </c>
      <c r="E7548">
        <f>IF($C7548="","",DATE(YEAR($C7548),MONTH($C7548),1))</f>
        <v/>
      </c>
      <c r="F7548">
        <f>IF($C7548="","",YEAR($C7548)&amp;"-Q"&amp;ROUNDUP(MONTH($C7548)/3,0))</f>
        <v/>
      </c>
      <c r="L7548">
        <f>IF($G7548&lt;&gt;"ALCOHOL","",IF($K7548="","",$H7548*IFERROR(VLOOKUP($K7548,Drink_Templates!$A:$G,7,FALSE),0)))</f>
        <v/>
      </c>
    </row>
    <row r="7549" ht="15" customHeight="1">
      <c r="C7549">
        <f>IF($B7549="","",INT($B7549))</f>
        <v/>
      </c>
      <c r="D7549">
        <f>IF($C7549="","",$C7549-WEEKDAY($C7549,2)+1)</f>
        <v/>
      </c>
      <c r="E7549">
        <f>IF($C7549="","",DATE(YEAR($C7549),MONTH($C7549),1))</f>
        <v/>
      </c>
      <c r="F7549">
        <f>IF($C7549="","",YEAR($C7549)&amp;"-Q"&amp;ROUNDUP(MONTH($C7549)/3,0))</f>
        <v/>
      </c>
      <c r="L7549">
        <f>IF($G7549&lt;&gt;"ALCOHOL","",IF($K7549="","",$H7549*IFERROR(VLOOKUP($K7549,Drink_Templates!$A:$G,7,FALSE),0)))</f>
        <v/>
      </c>
    </row>
    <row r="7550" ht="15" customHeight="1">
      <c r="C7550">
        <f>IF($B7550="","",INT($B7550))</f>
        <v/>
      </c>
      <c r="D7550">
        <f>IF($C7550="","",$C7550-WEEKDAY($C7550,2)+1)</f>
        <v/>
      </c>
      <c r="E7550">
        <f>IF($C7550="","",DATE(YEAR($C7550),MONTH($C7550),1))</f>
        <v/>
      </c>
      <c r="F7550">
        <f>IF($C7550="","",YEAR($C7550)&amp;"-Q"&amp;ROUNDUP(MONTH($C7550)/3,0))</f>
        <v/>
      </c>
      <c r="L7550">
        <f>IF($G7550&lt;&gt;"ALCOHOL","",IF($K7550="","",$H7550*IFERROR(VLOOKUP($K7550,Drink_Templates!$A:$G,7,FALSE),0)))</f>
        <v/>
      </c>
    </row>
    <row r="7551" ht="15" customHeight="1">
      <c r="C7551">
        <f>IF($B7551="","",INT($B7551))</f>
        <v/>
      </c>
      <c r="D7551">
        <f>IF($C7551="","",$C7551-WEEKDAY($C7551,2)+1)</f>
        <v/>
      </c>
      <c r="E7551">
        <f>IF($C7551="","",DATE(YEAR($C7551),MONTH($C7551),1))</f>
        <v/>
      </c>
      <c r="F7551">
        <f>IF($C7551="","",YEAR($C7551)&amp;"-Q"&amp;ROUNDUP(MONTH($C7551)/3,0))</f>
        <v/>
      </c>
      <c r="L7551">
        <f>IF($G7551&lt;&gt;"ALCOHOL","",IF($K7551="","",$H7551*IFERROR(VLOOKUP($K7551,Drink_Templates!$A:$G,7,FALSE),0)))</f>
        <v/>
      </c>
    </row>
    <row r="7552" ht="15" customHeight="1">
      <c r="C7552">
        <f>IF($B7552="","",INT($B7552))</f>
        <v/>
      </c>
      <c r="D7552">
        <f>IF($C7552="","",$C7552-WEEKDAY($C7552,2)+1)</f>
        <v/>
      </c>
      <c r="E7552">
        <f>IF($C7552="","",DATE(YEAR($C7552),MONTH($C7552),1))</f>
        <v/>
      </c>
      <c r="F7552">
        <f>IF($C7552="","",YEAR($C7552)&amp;"-Q"&amp;ROUNDUP(MONTH($C7552)/3,0))</f>
        <v/>
      </c>
      <c r="L7552">
        <f>IF($G7552&lt;&gt;"ALCOHOL","",IF($K7552="","",$H7552*IFERROR(VLOOKUP($K7552,Drink_Templates!$A:$G,7,FALSE),0)))</f>
        <v/>
      </c>
    </row>
    <row r="7553" ht="15" customHeight="1">
      <c r="C7553">
        <f>IF($B7553="","",INT($B7553))</f>
        <v/>
      </c>
      <c r="D7553">
        <f>IF($C7553="","",$C7553-WEEKDAY($C7553,2)+1)</f>
        <v/>
      </c>
      <c r="E7553">
        <f>IF($C7553="","",DATE(YEAR($C7553),MONTH($C7553),1))</f>
        <v/>
      </c>
      <c r="F7553">
        <f>IF($C7553="","",YEAR($C7553)&amp;"-Q"&amp;ROUNDUP(MONTH($C7553)/3,0))</f>
        <v/>
      </c>
      <c r="L7553">
        <f>IF($G7553&lt;&gt;"ALCOHOL","",IF($K7553="","",$H7553*IFERROR(VLOOKUP($K7553,Drink_Templates!$A:$G,7,FALSE),0)))</f>
        <v/>
      </c>
    </row>
    <row r="7554" ht="15" customHeight="1">
      <c r="C7554">
        <f>IF($B7554="","",INT($B7554))</f>
        <v/>
      </c>
      <c r="D7554">
        <f>IF($C7554="","",$C7554-WEEKDAY($C7554,2)+1)</f>
        <v/>
      </c>
      <c r="E7554">
        <f>IF($C7554="","",DATE(YEAR($C7554),MONTH($C7554),1))</f>
        <v/>
      </c>
      <c r="F7554">
        <f>IF($C7554="","",YEAR($C7554)&amp;"-Q"&amp;ROUNDUP(MONTH($C7554)/3,0))</f>
        <v/>
      </c>
      <c r="L7554">
        <f>IF($G7554&lt;&gt;"ALCOHOL","",IF($K7554="","",$H7554*IFERROR(VLOOKUP($K7554,Drink_Templates!$A:$G,7,FALSE),0)))</f>
        <v/>
      </c>
    </row>
    <row r="7555" ht="15" customHeight="1">
      <c r="C7555">
        <f>IF($B7555="","",INT($B7555))</f>
        <v/>
      </c>
      <c r="D7555">
        <f>IF($C7555="","",$C7555-WEEKDAY($C7555,2)+1)</f>
        <v/>
      </c>
      <c r="E7555">
        <f>IF($C7555="","",DATE(YEAR($C7555),MONTH($C7555),1))</f>
        <v/>
      </c>
      <c r="F7555">
        <f>IF($C7555="","",YEAR($C7555)&amp;"-Q"&amp;ROUNDUP(MONTH($C7555)/3,0))</f>
        <v/>
      </c>
      <c r="L7555">
        <f>IF($G7555&lt;&gt;"ALCOHOL","",IF($K7555="","",$H7555*IFERROR(VLOOKUP($K7555,Drink_Templates!$A:$G,7,FALSE),0)))</f>
        <v/>
      </c>
    </row>
    <row r="7556" ht="15" customHeight="1">
      <c r="C7556">
        <f>IF($B7556="","",INT($B7556))</f>
        <v/>
      </c>
      <c r="D7556">
        <f>IF($C7556="","",$C7556-WEEKDAY($C7556,2)+1)</f>
        <v/>
      </c>
      <c r="E7556">
        <f>IF($C7556="","",DATE(YEAR($C7556),MONTH($C7556),1))</f>
        <v/>
      </c>
      <c r="F7556">
        <f>IF($C7556="","",YEAR($C7556)&amp;"-Q"&amp;ROUNDUP(MONTH($C7556)/3,0))</f>
        <v/>
      </c>
      <c r="L7556">
        <f>IF($G7556&lt;&gt;"ALCOHOL","",IF($K7556="","",$H7556*IFERROR(VLOOKUP($K7556,Drink_Templates!$A:$G,7,FALSE),0)))</f>
        <v/>
      </c>
    </row>
    <row r="7557" ht="15" customHeight="1">
      <c r="C7557">
        <f>IF($B7557="","",INT($B7557))</f>
        <v/>
      </c>
      <c r="D7557">
        <f>IF($C7557="","",$C7557-WEEKDAY($C7557,2)+1)</f>
        <v/>
      </c>
      <c r="E7557">
        <f>IF($C7557="","",DATE(YEAR($C7557),MONTH($C7557),1))</f>
        <v/>
      </c>
      <c r="F7557">
        <f>IF($C7557="","",YEAR($C7557)&amp;"-Q"&amp;ROUNDUP(MONTH($C7557)/3,0))</f>
        <v/>
      </c>
      <c r="L7557">
        <f>IF($G7557&lt;&gt;"ALCOHOL","",IF($K7557="","",$H7557*IFERROR(VLOOKUP($K7557,Drink_Templates!$A:$G,7,FALSE),0)))</f>
        <v/>
      </c>
    </row>
    <row r="7558" ht="15" customHeight="1">
      <c r="C7558">
        <f>IF($B7558="","",INT($B7558))</f>
        <v/>
      </c>
      <c r="D7558">
        <f>IF($C7558="","",$C7558-WEEKDAY($C7558,2)+1)</f>
        <v/>
      </c>
      <c r="E7558">
        <f>IF($C7558="","",DATE(YEAR($C7558),MONTH($C7558),1))</f>
        <v/>
      </c>
      <c r="F7558">
        <f>IF($C7558="","",YEAR($C7558)&amp;"-Q"&amp;ROUNDUP(MONTH($C7558)/3,0))</f>
        <v/>
      </c>
      <c r="L7558">
        <f>IF($G7558&lt;&gt;"ALCOHOL","",IF($K7558="","",$H7558*IFERROR(VLOOKUP($K7558,Drink_Templates!$A:$G,7,FALSE),0)))</f>
        <v/>
      </c>
    </row>
    <row r="7559" ht="15" customHeight="1">
      <c r="C7559">
        <f>IF($B7559="","",INT($B7559))</f>
        <v/>
      </c>
      <c r="D7559">
        <f>IF($C7559="","",$C7559-WEEKDAY($C7559,2)+1)</f>
        <v/>
      </c>
      <c r="E7559">
        <f>IF($C7559="","",DATE(YEAR($C7559),MONTH($C7559),1))</f>
        <v/>
      </c>
      <c r="F7559">
        <f>IF($C7559="","",YEAR($C7559)&amp;"-Q"&amp;ROUNDUP(MONTH($C7559)/3,0))</f>
        <v/>
      </c>
      <c r="L7559">
        <f>IF($G7559&lt;&gt;"ALCOHOL","",IF($K7559="","",$H7559*IFERROR(VLOOKUP($K7559,Drink_Templates!$A:$G,7,FALSE),0)))</f>
        <v/>
      </c>
    </row>
    <row r="7560" ht="15" customHeight="1">
      <c r="C7560">
        <f>IF($B7560="","",INT($B7560))</f>
        <v/>
      </c>
      <c r="D7560">
        <f>IF($C7560="","",$C7560-WEEKDAY($C7560,2)+1)</f>
        <v/>
      </c>
      <c r="E7560">
        <f>IF($C7560="","",DATE(YEAR($C7560),MONTH($C7560),1))</f>
        <v/>
      </c>
      <c r="F7560">
        <f>IF($C7560="","",YEAR($C7560)&amp;"-Q"&amp;ROUNDUP(MONTH($C7560)/3,0))</f>
        <v/>
      </c>
      <c r="L7560">
        <f>IF($G7560&lt;&gt;"ALCOHOL","",IF($K7560="","",$H7560*IFERROR(VLOOKUP($K7560,Drink_Templates!$A:$G,7,FALSE),0)))</f>
        <v/>
      </c>
    </row>
    <row r="7561" ht="15" customHeight="1">
      <c r="C7561">
        <f>IF($B7561="","",INT($B7561))</f>
        <v/>
      </c>
      <c r="D7561">
        <f>IF($C7561="","",$C7561-WEEKDAY($C7561,2)+1)</f>
        <v/>
      </c>
      <c r="E7561">
        <f>IF($C7561="","",DATE(YEAR($C7561),MONTH($C7561),1))</f>
        <v/>
      </c>
      <c r="F7561">
        <f>IF($C7561="","",YEAR($C7561)&amp;"-Q"&amp;ROUNDUP(MONTH($C7561)/3,0))</f>
        <v/>
      </c>
      <c r="L7561">
        <f>IF($G7561&lt;&gt;"ALCOHOL","",IF($K7561="","",$H7561*IFERROR(VLOOKUP($K7561,Drink_Templates!$A:$G,7,FALSE),0)))</f>
        <v/>
      </c>
    </row>
    <row r="7562" ht="15" customHeight="1">
      <c r="C7562">
        <f>IF($B7562="","",INT($B7562))</f>
        <v/>
      </c>
      <c r="D7562">
        <f>IF($C7562="","",$C7562-WEEKDAY($C7562,2)+1)</f>
        <v/>
      </c>
      <c r="E7562">
        <f>IF($C7562="","",DATE(YEAR($C7562),MONTH($C7562),1))</f>
        <v/>
      </c>
      <c r="F7562">
        <f>IF($C7562="","",YEAR($C7562)&amp;"-Q"&amp;ROUNDUP(MONTH($C7562)/3,0))</f>
        <v/>
      </c>
      <c r="L7562">
        <f>IF($G7562&lt;&gt;"ALCOHOL","",IF($K7562="","",$H7562*IFERROR(VLOOKUP($K7562,Drink_Templates!$A:$G,7,FALSE),0)))</f>
        <v/>
      </c>
    </row>
    <row r="7563" ht="15" customHeight="1">
      <c r="C7563">
        <f>IF($B7563="","",INT($B7563))</f>
        <v/>
      </c>
      <c r="D7563">
        <f>IF($C7563="","",$C7563-WEEKDAY($C7563,2)+1)</f>
        <v/>
      </c>
      <c r="E7563">
        <f>IF($C7563="","",DATE(YEAR($C7563),MONTH($C7563),1))</f>
        <v/>
      </c>
      <c r="F7563">
        <f>IF($C7563="","",YEAR($C7563)&amp;"-Q"&amp;ROUNDUP(MONTH($C7563)/3,0))</f>
        <v/>
      </c>
      <c r="L7563">
        <f>IF($G7563&lt;&gt;"ALCOHOL","",IF($K7563="","",$H7563*IFERROR(VLOOKUP($K7563,Drink_Templates!$A:$G,7,FALSE),0)))</f>
        <v/>
      </c>
    </row>
    <row r="7564" ht="15" customHeight="1">
      <c r="C7564">
        <f>IF($B7564="","",INT($B7564))</f>
        <v/>
      </c>
      <c r="D7564">
        <f>IF($C7564="","",$C7564-WEEKDAY($C7564,2)+1)</f>
        <v/>
      </c>
      <c r="E7564">
        <f>IF($C7564="","",DATE(YEAR($C7564),MONTH($C7564),1))</f>
        <v/>
      </c>
      <c r="F7564">
        <f>IF($C7564="","",YEAR($C7564)&amp;"-Q"&amp;ROUNDUP(MONTH($C7564)/3,0))</f>
        <v/>
      </c>
      <c r="L7564">
        <f>IF($G7564&lt;&gt;"ALCOHOL","",IF($K7564="","",$H7564*IFERROR(VLOOKUP($K7564,Drink_Templates!$A:$G,7,FALSE),0)))</f>
        <v/>
      </c>
    </row>
    <row r="7565" ht="15" customHeight="1">
      <c r="C7565">
        <f>IF($B7565="","",INT($B7565))</f>
        <v/>
      </c>
      <c r="D7565">
        <f>IF($C7565="","",$C7565-WEEKDAY($C7565,2)+1)</f>
        <v/>
      </c>
      <c r="E7565">
        <f>IF($C7565="","",DATE(YEAR($C7565),MONTH($C7565),1))</f>
        <v/>
      </c>
      <c r="F7565">
        <f>IF($C7565="","",YEAR($C7565)&amp;"-Q"&amp;ROUNDUP(MONTH($C7565)/3,0))</f>
        <v/>
      </c>
      <c r="L7565">
        <f>IF($G7565&lt;&gt;"ALCOHOL","",IF($K7565="","",$H7565*IFERROR(VLOOKUP($K7565,Drink_Templates!$A:$G,7,FALSE),0)))</f>
        <v/>
      </c>
    </row>
    <row r="7566" ht="15" customHeight="1">
      <c r="C7566">
        <f>IF($B7566="","",INT($B7566))</f>
        <v/>
      </c>
      <c r="D7566">
        <f>IF($C7566="","",$C7566-WEEKDAY($C7566,2)+1)</f>
        <v/>
      </c>
      <c r="E7566">
        <f>IF($C7566="","",DATE(YEAR($C7566),MONTH($C7566),1))</f>
        <v/>
      </c>
      <c r="F7566">
        <f>IF($C7566="","",YEAR($C7566)&amp;"-Q"&amp;ROUNDUP(MONTH($C7566)/3,0))</f>
        <v/>
      </c>
      <c r="L7566">
        <f>IF($G7566&lt;&gt;"ALCOHOL","",IF($K7566="","",$H7566*IFERROR(VLOOKUP($K7566,Drink_Templates!$A:$G,7,FALSE),0)))</f>
        <v/>
      </c>
    </row>
    <row r="7567" ht="15" customHeight="1">
      <c r="C7567">
        <f>IF($B7567="","",INT($B7567))</f>
        <v/>
      </c>
      <c r="D7567">
        <f>IF($C7567="","",$C7567-WEEKDAY($C7567,2)+1)</f>
        <v/>
      </c>
      <c r="E7567">
        <f>IF($C7567="","",DATE(YEAR($C7567),MONTH($C7567),1))</f>
        <v/>
      </c>
      <c r="F7567">
        <f>IF($C7567="","",YEAR($C7567)&amp;"-Q"&amp;ROUNDUP(MONTH($C7567)/3,0))</f>
        <v/>
      </c>
      <c r="L7567">
        <f>IF($G7567&lt;&gt;"ALCOHOL","",IF($K7567="","",$H7567*IFERROR(VLOOKUP($K7567,Drink_Templates!$A:$G,7,FALSE),0)))</f>
        <v/>
      </c>
    </row>
    <row r="7568" ht="15" customHeight="1">
      <c r="C7568">
        <f>IF($B7568="","",INT($B7568))</f>
        <v/>
      </c>
      <c r="D7568">
        <f>IF($C7568="","",$C7568-WEEKDAY($C7568,2)+1)</f>
        <v/>
      </c>
      <c r="E7568">
        <f>IF($C7568="","",DATE(YEAR($C7568),MONTH($C7568),1))</f>
        <v/>
      </c>
      <c r="F7568">
        <f>IF($C7568="","",YEAR($C7568)&amp;"-Q"&amp;ROUNDUP(MONTH($C7568)/3,0))</f>
        <v/>
      </c>
      <c r="L7568">
        <f>IF($G7568&lt;&gt;"ALCOHOL","",IF($K7568="","",$H7568*IFERROR(VLOOKUP($K7568,Drink_Templates!$A:$G,7,FALSE),0)))</f>
        <v/>
      </c>
    </row>
    <row r="7569" ht="15" customHeight="1">
      <c r="C7569">
        <f>IF($B7569="","",INT($B7569))</f>
        <v/>
      </c>
      <c r="D7569">
        <f>IF($C7569="","",$C7569-WEEKDAY($C7569,2)+1)</f>
        <v/>
      </c>
      <c r="E7569">
        <f>IF($C7569="","",DATE(YEAR($C7569),MONTH($C7569),1))</f>
        <v/>
      </c>
      <c r="F7569">
        <f>IF($C7569="","",YEAR($C7569)&amp;"-Q"&amp;ROUNDUP(MONTH($C7569)/3,0))</f>
        <v/>
      </c>
      <c r="L7569">
        <f>IF($G7569&lt;&gt;"ALCOHOL","",IF($K7569="","",$H7569*IFERROR(VLOOKUP($K7569,Drink_Templates!$A:$G,7,FALSE),0)))</f>
        <v/>
      </c>
    </row>
    <row r="7570" ht="15" customHeight="1">
      <c r="C7570">
        <f>IF($B7570="","",INT($B7570))</f>
        <v/>
      </c>
      <c r="D7570">
        <f>IF($C7570="","",$C7570-WEEKDAY($C7570,2)+1)</f>
        <v/>
      </c>
      <c r="E7570">
        <f>IF($C7570="","",DATE(YEAR($C7570),MONTH($C7570),1))</f>
        <v/>
      </c>
      <c r="F7570">
        <f>IF($C7570="","",YEAR($C7570)&amp;"-Q"&amp;ROUNDUP(MONTH($C7570)/3,0))</f>
        <v/>
      </c>
      <c r="L7570">
        <f>IF($G7570&lt;&gt;"ALCOHOL","",IF($K7570="","",$H7570*IFERROR(VLOOKUP($K7570,Drink_Templates!$A:$G,7,FALSE),0)))</f>
        <v/>
      </c>
    </row>
    <row r="7571" ht="15" customHeight="1">
      <c r="C7571">
        <f>IF($B7571="","",INT($B7571))</f>
        <v/>
      </c>
      <c r="D7571">
        <f>IF($C7571="","",$C7571-WEEKDAY($C7571,2)+1)</f>
        <v/>
      </c>
      <c r="E7571">
        <f>IF($C7571="","",DATE(YEAR($C7571),MONTH($C7571),1))</f>
        <v/>
      </c>
      <c r="F7571">
        <f>IF($C7571="","",YEAR($C7571)&amp;"-Q"&amp;ROUNDUP(MONTH($C7571)/3,0))</f>
        <v/>
      </c>
      <c r="L7571">
        <f>IF($G7571&lt;&gt;"ALCOHOL","",IF($K7571="","",$H7571*IFERROR(VLOOKUP($K7571,Drink_Templates!$A:$G,7,FALSE),0)))</f>
        <v/>
      </c>
    </row>
    <row r="7572" ht="15" customHeight="1">
      <c r="C7572">
        <f>IF($B7572="","",INT($B7572))</f>
        <v/>
      </c>
      <c r="D7572">
        <f>IF($C7572="","",$C7572-WEEKDAY($C7572,2)+1)</f>
        <v/>
      </c>
      <c r="E7572">
        <f>IF($C7572="","",DATE(YEAR($C7572),MONTH($C7572),1))</f>
        <v/>
      </c>
      <c r="F7572">
        <f>IF($C7572="","",YEAR($C7572)&amp;"-Q"&amp;ROUNDUP(MONTH($C7572)/3,0))</f>
        <v/>
      </c>
      <c r="L7572">
        <f>IF($G7572&lt;&gt;"ALCOHOL","",IF($K7572="","",$H7572*IFERROR(VLOOKUP($K7572,Drink_Templates!$A:$G,7,FALSE),0)))</f>
        <v/>
      </c>
    </row>
    <row r="7573" ht="15" customHeight="1">
      <c r="C7573">
        <f>IF($B7573="","",INT($B7573))</f>
        <v/>
      </c>
      <c r="D7573">
        <f>IF($C7573="","",$C7573-WEEKDAY($C7573,2)+1)</f>
        <v/>
      </c>
      <c r="E7573">
        <f>IF($C7573="","",DATE(YEAR($C7573),MONTH($C7573),1))</f>
        <v/>
      </c>
      <c r="F7573">
        <f>IF($C7573="","",YEAR($C7573)&amp;"-Q"&amp;ROUNDUP(MONTH($C7573)/3,0))</f>
        <v/>
      </c>
      <c r="L7573">
        <f>IF($G7573&lt;&gt;"ALCOHOL","",IF($K7573="","",$H7573*IFERROR(VLOOKUP($K7573,Drink_Templates!$A:$G,7,FALSE),0)))</f>
        <v/>
      </c>
    </row>
    <row r="7574" ht="15" customHeight="1">
      <c r="C7574">
        <f>IF($B7574="","",INT($B7574))</f>
        <v/>
      </c>
      <c r="D7574">
        <f>IF($C7574="","",$C7574-WEEKDAY($C7574,2)+1)</f>
        <v/>
      </c>
      <c r="E7574">
        <f>IF($C7574="","",DATE(YEAR($C7574),MONTH($C7574),1))</f>
        <v/>
      </c>
      <c r="F7574">
        <f>IF($C7574="","",YEAR($C7574)&amp;"-Q"&amp;ROUNDUP(MONTH($C7574)/3,0))</f>
        <v/>
      </c>
      <c r="L7574">
        <f>IF($G7574&lt;&gt;"ALCOHOL","",IF($K7574="","",$H7574*IFERROR(VLOOKUP($K7574,Drink_Templates!$A:$G,7,FALSE),0)))</f>
        <v/>
      </c>
    </row>
    <row r="7575" ht="15" customHeight="1">
      <c r="C7575">
        <f>IF($B7575="","",INT($B7575))</f>
        <v/>
      </c>
      <c r="D7575">
        <f>IF($C7575="","",$C7575-WEEKDAY($C7575,2)+1)</f>
        <v/>
      </c>
      <c r="E7575">
        <f>IF($C7575="","",DATE(YEAR($C7575),MONTH($C7575),1))</f>
        <v/>
      </c>
      <c r="F7575">
        <f>IF($C7575="","",YEAR($C7575)&amp;"-Q"&amp;ROUNDUP(MONTH($C7575)/3,0))</f>
        <v/>
      </c>
      <c r="L7575">
        <f>IF($G7575&lt;&gt;"ALCOHOL","",IF($K7575="","",$H7575*IFERROR(VLOOKUP($K7575,Drink_Templates!$A:$G,7,FALSE),0)))</f>
        <v/>
      </c>
    </row>
    <row r="7576" ht="15" customHeight="1">
      <c r="C7576">
        <f>IF($B7576="","",INT($B7576))</f>
        <v/>
      </c>
      <c r="D7576">
        <f>IF($C7576="","",$C7576-WEEKDAY($C7576,2)+1)</f>
        <v/>
      </c>
      <c r="E7576">
        <f>IF($C7576="","",DATE(YEAR($C7576),MONTH($C7576),1))</f>
        <v/>
      </c>
      <c r="F7576">
        <f>IF($C7576="","",YEAR($C7576)&amp;"-Q"&amp;ROUNDUP(MONTH($C7576)/3,0))</f>
        <v/>
      </c>
      <c r="L7576">
        <f>IF($G7576&lt;&gt;"ALCOHOL","",IF($K7576="","",$H7576*IFERROR(VLOOKUP($K7576,Drink_Templates!$A:$G,7,FALSE),0)))</f>
        <v/>
      </c>
    </row>
    <row r="7577" ht="15" customHeight="1">
      <c r="C7577">
        <f>IF($B7577="","",INT($B7577))</f>
        <v/>
      </c>
      <c r="D7577">
        <f>IF($C7577="","",$C7577-WEEKDAY($C7577,2)+1)</f>
        <v/>
      </c>
      <c r="E7577">
        <f>IF($C7577="","",DATE(YEAR($C7577),MONTH($C7577),1))</f>
        <v/>
      </c>
      <c r="F7577">
        <f>IF($C7577="","",YEAR($C7577)&amp;"-Q"&amp;ROUNDUP(MONTH($C7577)/3,0))</f>
        <v/>
      </c>
      <c r="L7577">
        <f>IF($G7577&lt;&gt;"ALCOHOL","",IF($K7577="","",$H7577*IFERROR(VLOOKUP($K7577,Drink_Templates!$A:$G,7,FALSE),0)))</f>
        <v/>
      </c>
    </row>
    <row r="7578" ht="15" customHeight="1">
      <c r="C7578">
        <f>IF($B7578="","",INT($B7578))</f>
        <v/>
      </c>
      <c r="D7578">
        <f>IF($C7578="","",$C7578-WEEKDAY($C7578,2)+1)</f>
        <v/>
      </c>
      <c r="E7578">
        <f>IF($C7578="","",DATE(YEAR($C7578),MONTH($C7578),1))</f>
        <v/>
      </c>
      <c r="F7578">
        <f>IF($C7578="","",YEAR($C7578)&amp;"-Q"&amp;ROUNDUP(MONTH($C7578)/3,0))</f>
        <v/>
      </c>
      <c r="L7578">
        <f>IF($G7578&lt;&gt;"ALCOHOL","",IF($K7578="","",$H7578*IFERROR(VLOOKUP($K7578,Drink_Templates!$A:$G,7,FALSE),0)))</f>
        <v/>
      </c>
    </row>
    <row r="7579" ht="15" customHeight="1">
      <c r="C7579">
        <f>IF($B7579="","",INT($B7579))</f>
        <v/>
      </c>
      <c r="D7579">
        <f>IF($C7579="","",$C7579-WEEKDAY($C7579,2)+1)</f>
        <v/>
      </c>
      <c r="E7579">
        <f>IF($C7579="","",DATE(YEAR($C7579),MONTH($C7579),1))</f>
        <v/>
      </c>
      <c r="F7579">
        <f>IF($C7579="","",YEAR($C7579)&amp;"-Q"&amp;ROUNDUP(MONTH($C7579)/3,0))</f>
        <v/>
      </c>
      <c r="L7579">
        <f>IF($G7579&lt;&gt;"ALCOHOL","",IF($K7579="","",$H7579*IFERROR(VLOOKUP($K7579,Drink_Templates!$A:$G,7,FALSE),0)))</f>
        <v/>
      </c>
    </row>
    <row r="7580" ht="15" customHeight="1">
      <c r="C7580">
        <f>IF($B7580="","",INT($B7580))</f>
        <v/>
      </c>
      <c r="D7580">
        <f>IF($C7580="","",$C7580-WEEKDAY($C7580,2)+1)</f>
        <v/>
      </c>
      <c r="E7580">
        <f>IF($C7580="","",DATE(YEAR($C7580),MONTH($C7580),1))</f>
        <v/>
      </c>
      <c r="F7580">
        <f>IF($C7580="","",YEAR($C7580)&amp;"-Q"&amp;ROUNDUP(MONTH($C7580)/3,0))</f>
        <v/>
      </c>
      <c r="L7580">
        <f>IF($G7580&lt;&gt;"ALCOHOL","",IF($K7580="","",$H7580*IFERROR(VLOOKUP($K7580,Drink_Templates!$A:$G,7,FALSE),0)))</f>
        <v/>
      </c>
    </row>
    <row r="7581" ht="15" customHeight="1">
      <c r="C7581">
        <f>IF($B7581="","",INT($B7581))</f>
        <v/>
      </c>
      <c r="D7581">
        <f>IF($C7581="","",$C7581-WEEKDAY($C7581,2)+1)</f>
        <v/>
      </c>
      <c r="E7581">
        <f>IF($C7581="","",DATE(YEAR($C7581),MONTH($C7581),1))</f>
        <v/>
      </c>
      <c r="F7581">
        <f>IF($C7581="","",YEAR($C7581)&amp;"-Q"&amp;ROUNDUP(MONTH($C7581)/3,0))</f>
        <v/>
      </c>
      <c r="L7581">
        <f>IF($G7581&lt;&gt;"ALCOHOL","",IF($K7581="","",$H7581*IFERROR(VLOOKUP($K7581,Drink_Templates!$A:$G,7,FALSE),0)))</f>
        <v/>
      </c>
    </row>
    <row r="7582" ht="15" customHeight="1">
      <c r="C7582">
        <f>IF($B7582="","",INT($B7582))</f>
        <v/>
      </c>
      <c r="D7582">
        <f>IF($C7582="","",$C7582-WEEKDAY($C7582,2)+1)</f>
        <v/>
      </c>
      <c r="E7582">
        <f>IF($C7582="","",DATE(YEAR($C7582),MONTH($C7582),1))</f>
        <v/>
      </c>
      <c r="F7582">
        <f>IF($C7582="","",YEAR($C7582)&amp;"-Q"&amp;ROUNDUP(MONTH($C7582)/3,0))</f>
        <v/>
      </c>
      <c r="L7582">
        <f>IF($G7582&lt;&gt;"ALCOHOL","",IF($K7582="","",$H7582*IFERROR(VLOOKUP($K7582,Drink_Templates!$A:$G,7,FALSE),0)))</f>
        <v/>
      </c>
    </row>
    <row r="7583" ht="15" customHeight="1">
      <c r="C7583">
        <f>IF($B7583="","",INT($B7583))</f>
        <v/>
      </c>
      <c r="D7583">
        <f>IF($C7583="","",$C7583-WEEKDAY($C7583,2)+1)</f>
        <v/>
      </c>
      <c r="E7583">
        <f>IF($C7583="","",DATE(YEAR($C7583),MONTH($C7583),1))</f>
        <v/>
      </c>
      <c r="F7583">
        <f>IF($C7583="","",YEAR($C7583)&amp;"-Q"&amp;ROUNDUP(MONTH($C7583)/3,0))</f>
        <v/>
      </c>
      <c r="L7583">
        <f>IF($G7583&lt;&gt;"ALCOHOL","",IF($K7583="","",$H7583*IFERROR(VLOOKUP($K7583,Drink_Templates!$A:$G,7,FALSE),0)))</f>
        <v/>
      </c>
    </row>
    <row r="7584" ht="15" customHeight="1">
      <c r="C7584">
        <f>IF($B7584="","",INT($B7584))</f>
        <v/>
      </c>
      <c r="D7584">
        <f>IF($C7584="","",$C7584-WEEKDAY($C7584,2)+1)</f>
        <v/>
      </c>
      <c r="E7584">
        <f>IF($C7584="","",DATE(YEAR($C7584),MONTH($C7584),1))</f>
        <v/>
      </c>
      <c r="F7584">
        <f>IF($C7584="","",YEAR($C7584)&amp;"-Q"&amp;ROUNDUP(MONTH($C7584)/3,0))</f>
        <v/>
      </c>
      <c r="L7584">
        <f>IF($G7584&lt;&gt;"ALCOHOL","",IF($K7584="","",$H7584*IFERROR(VLOOKUP($K7584,Drink_Templates!$A:$G,7,FALSE),0)))</f>
        <v/>
      </c>
    </row>
    <row r="7585" ht="15" customHeight="1">
      <c r="C7585">
        <f>IF($B7585="","",INT($B7585))</f>
        <v/>
      </c>
      <c r="D7585">
        <f>IF($C7585="","",$C7585-WEEKDAY($C7585,2)+1)</f>
        <v/>
      </c>
      <c r="E7585">
        <f>IF($C7585="","",DATE(YEAR($C7585),MONTH($C7585),1))</f>
        <v/>
      </c>
      <c r="F7585">
        <f>IF($C7585="","",YEAR($C7585)&amp;"-Q"&amp;ROUNDUP(MONTH($C7585)/3,0))</f>
        <v/>
      </c>
      <c r="L7585">
        <f>IF($G7585&lt;&gt;"ALCOHOL","",IF($K7585="","",$H7585*IFERROR(VLOOKUP($K7585,Drink_Templates!$A:$G,7,FALSE),0)))</f>
        <v/>
      </c>
    </row>
    <row r="7586" ht="15" customHeight="1">
      <c r="C7586">
        <f>IF($B7586="","",INT($B7586))</f>
        <v/>
      </c>
      <c r="D7586">
        <f>IF($C7586="","",$C7586-WEEKDAY($C7586,2)+1)</f>
        <v/>
      </c>
      <c r="E7586">
        <f>IF($C7586="","",DATE(YEAR($C7586),MONTH($C7586),1))</f>
        <v/>
      </c>
      <c r="F7586">
        <f>IF($C7586="","",YEAR($C7586)&amp;"-Q"&amp;ROUNDUP(MONTH($C7586)/3,0))</f>
        <v/>
      </c>
      <c r="L7586">
        <f>IF($G7586&lt;&gt;"ALCOHOL","",IF($K7586="","",$H7586*IFERROR(VLOOKUP($K7586,Drink_Templates!$A:$G,7,FALSE),0)))</f>
        <v/>
      </c>
    </row>
    <row r="7587" ht="15" customHeight="1">
      <c r="C7587">
        <f>IF($B7587="","",INT($B7587))</f>
        <v/>
      </c>
      <c r="D7587">
        <f>IF($C7587="","",$C7587-WEEKDAY($C7587,2)+1)</f>
        <v/>
      </c>
      <c r="E7587">
        <f>IF($C7587="","",DATE(YEAR($C7587),MONTH($C7587),1))</f>
        <v/>
      </c>
      <c r="F7587">
        <f>IF($C7587="","",YEAR($C7587)&amp;"-Q"&amp;ROUNDUP(MONTH($C7587)/3,0))</f>
        <v/>
      </c>
      <c r="L7587">
        <f>IF($G7587&lt;&gt;"ALCOHOL","",IF($K7587="","",$H7587*IFERROR(VLOOKUP($K7587,Drink_Templates!$A:$G,7,FALSE),0)))</f>
        <v/>
      </c>
    </row>
    <row r="7588" ht="15" customHeight="1">
      <c r="C7588">
        <f>IF($B7588="","",INT($B7588))</f>
        <v/>
      </c>
      <c r="D7588">
        <f>IF($C7588="","",$C7588-WEEKDAY($C7588,2)+1)</f>
        <v/>
      </c>
      <c r="E7588">
        <f>IF($C7588="","",DATE(YEAR($C7588),MONTH($C7588),1))</f>
        <v/>
      </c>
      <c r="F7588">
        <f>IF($C7588="","",YEAR($C7588)&amp;"-Q"&amp;ROUNDUP(MONTH($C7588)/3,0))</f>
        <v/>
      </c>
      <c r="L7588">
        <f>IF($G7588&lt;&gt;"ALCOHOL","",IF($K7588="","",$H7588*IFERROR(VLOOKUP($K7588,Drink_Templates!$A:$G,7,FALSE),0)))</f>
        <v/>
      </c>
    </row>
    <row r="7589" ht="15" customHeight="1">
      <c r="C7589">
        <f>IF($B7589="","",INT($B7589))</f>
        <v/>
      </c>
      <c r="D7589">
        <f>IF($C7589="","",$C7589-WEEKDAY($C7589,2)+1)</f>
        <v/>
      </c>
      <c r="E7589">
        <f>IF($C7589="","",DATE(YEAR($C7589),MONTH($C7589),1))</f>
        <v/>
      </c>
      <c r="F7589">
        <f>IF($C7589="","",YEAR($C7589)&amp;"-Q"&amp;ROUNDUP(MONTH($C7589)/3,0))</f>
        <v/>
      </c>
      <c r="L7589">
        <f>IF($G7589&lt;&gt;"ALCOHOL","",IF($K7589="","",$H7589*IFERROR(VLOOKUP($K7589,Drink_Templates!$A:$G,7,FALSE),0)))</f>
        <v/>
      </c>
    </row>
    <row r="7590" ht="15" customHeight="1">
      <c r="C7590">
        <f>IF($B7590="","",INT($B7590))</f>
        <v/>
      </c>
      <c r="D7590">
        <f>IF($C7590="","",$C7590-WEEKDAY($C7590,2)+1)</f>
        <v/>
      </c>
      <c r="E7590">
        <f>IF($C7590="","",DATE(YEAR($C7590),MONTH($C7590),1))</f>
        <v/>
      </c>
      <c r="F7590">
        <f>IF($C7590="","",YEAR($C7590)&amp;"-Q"&amp;ROUNDUP(MONTH($C7590)/3,0))</f>
        <v/>
      </c>
      <c r="L7590">
        <f>IF($G7590&lt;&gt;"ALCOHOL","",IF($K7590="","",$H7590*IFERROR(VLOOKUP($K7590,Drink_Templates!$A:$G,7,FALSE),0)))</f>
        <v/>
      </c>
    </row>
    <row r="7591" ht="15" customHeight="1">
      <c r="C7591">
        <f>IF($B7591="","",INT($B7591))</f>
        <v/>
      </c>
      <c r="D7591">
        <f>IF($C7591="","",$C7591-WEEKDAY($C7591,2)+1)</f>
        <v/>
      </c>
      <c r="E7591">
        <f>IF($C7591="","",DATE(YEAR($C7591),MONTH($C7591),1))</f>
        <v/>
      </c>
      <c r="F7591">
        <f>IF($C7591="","",YEAR($C7591)&amp;"-Q"&amp;ROUNDUP(MONTH($C7591)/3,0))</f>
        <v/>
      </c>
      <c r="L7591">
        <f>IF($G7591&lt;&gt;"ALCOHOL","",IF($K7591="","",$H7591*IFERROR(VLOOKUP($K7591,Drink_Templates!$A:$G,7,FALSE),0)))</f>
        <v/>
      </c>
    </row>
    <row r="7592" ht="15" customHeight="1">
      <c r="C7592">
        <f>IF($B7592="","",INT($B7592))</f>
        <v/>
      </c>
      <c r="D7592">
        <f>IF($C7592="","",$C7592-WEEKDAY($C7592,2)+1)</f>
        <v/>
      </c>
      <c r="E7592">
        <f>IF($C7592="","",DATE(YEAR($C7592),MONTH($C7592),1))</f>
        <v/>
      </c>
      <c r="F7592">
        <f>IF($C7592="","",YEAR($C7592)&amp;"-Q"&amp;ROUNDUP(MONTH($C7592)/3,0))</f>
        <v/>
      </c>
      <c r="L7592">
        <f>IF($G7592&lt;&gt;"ALCOHOL","",IF($K7592="","",$H7592*IFERROR(VLOOKUP($K7592,Drink_Templates!$A:$G,7,FALSE),0)))</f>
        <v/>
      </c>
    </row>
    <row r="7593" ht="15" customHeight="1">
      <c r="C7593">
        <f>IF($B7593="","",INT($B7593))</f>
        <v/>
      </c>
      <c r="D7593">
        <f>IF($C7593="","",$C7593-WEEKDAY($C7593,2)+1)</f>
        <v/>
      </c>
      <c r="E7593">
        <f>IF($C7593="","",DATE(YEAR($C7593),MONTH($C7593),1))</f>
        <v/>
      </c>
      <c r="F7593">
        <f>IF($C7593="","",YEAR($C7593)&amp;"-Q"&amp;ROUNDUP(MONTH($C7593)/3,0))</f>
        <v/>
      </c>
      <c r="L7593">
        <f>IF($G7593&lt;&gt;"ALCOHOL","",IF($K7593="","",$H7593*IFERROR(VLOOKUP($K7593,Drink_Templates!$A:$G,7,FALSE),0)))</f>
        <v/>
      </c>
    </row>
    <row r="7594" ht="15" customHeight="1">
      <c r="C7594">
        <f>IF($B7594="","",INT($B7594))</f>
        <v/>
      </c>
      <c r="D7594">
        <f>IF($C7594="","",$C7594-WEEKDAY($C7594,2)+1)</f>
        <v/>
      </c>
      <c r="E7594">
        <f>IF($C7594="","",DATE(YEAR($C7594),MONTH($C7594),1))</f>
        <v/>
      </c>
      <c r="F7594">
        <f>IF($C7594="","",YEAR($C7594)&amp;"-Q"&amp;ROUNDUP(MONTH($C7594)/3,0))</f>
        <v/>
      </c>
      <c r="L7594">
        <f>IF($G7594&lt;&gt;"ALCOHOL","",IF($K7594="","",$H7594*IFERROR(VLOOKUP($K7594,Drink_Templates!$A:$G,7,FALSE),0)))</f>
        <v/>
      </c>
    </row>
    <row r="7595" ht="15" customHeight="1">
      <c r="C7595">
        <f>IF($B7595="","",INT($B7595))</f>
        <v/>
      </c>
      <c r="D7595">
        <f>IF($C7595="","",$C7595-WEEKDAY($C7595,2)+1)</f>
        <v/>
      </c>
      <c r="E7595">
        <f>IF($C7595="","",DATE(YEAR($C7595),MONTH($C7595),1))</f>
        <v/>
      </c>
      <c r="F7595">
        <f>IF($C7595="","",YEAR($C7595)&amp;"-Q"&amp;ROUNDUP(MONTH($C7595)/3,0))</f>
        <v/>
      </c>
      <c r="L7595">
        <f>IF($G7595&lt;&gt;"ALCOHOL","",IF($K7595="","",$H7595*IFERROR(VLOOKUP($K7595,Drink_Templates!$A:$G,7,FALSE),0)))</f>
        <v/>
      </c>
    </row>
    <row r="7596" ht="15" customHeight="1">
      <c r="C7596">
        <f>IF($B7596="","",INT($B7596))</f>
        <v/>
      </c>
      <c r="D7596">
        <f>IF($C7596="","",$C7596-WEEKDAY($C7596,2)+1)</f>
        <v/>
      </c>
      <c r="E7596">
        <f>IF($C7596="","",DATE(YEAR($C7596),MONTH($C7596),1))</f>
        <v/>
      </c>
      <c r="F7596">
        <f>IF($C7596="","",YEAR($C7596)&amp;"-Q"&amp;ROUNDUP(MONTH($C7596)/3,0))</f>
        <v/>
      </c>
      <c r="L7596">
        <f>IF($G7596&lt;&gt;"ALCOHOL","",IF($K7596="","",$H7596*IFERROR(VLOOKUP($K7596,Drink_Templates!$A:$G,7,FALSE),0)))</f>
        <v/>
      </c>
    </row>
    <row r="7597" ht="15" customHeight="1">
      <c r="C7597">
        <f>IF($B7597="","",INT($B7597))</f>
        <v/>
      </c>
      <c r="D7597">
        <f>IF($C7597="","",$C7597-WEEKDAY($C7597,2)+1)</f>
        <v/>
      </c>
      <c r="E7597">
        <f>IF($C7597="","",DATE(YEAR($C7597),MONTH($C7597),1))</f>
        <v/>
      </c>
      <c r="F7597">
        <f>IF($C7597="","",YEAR($C7597)&amp;"-Q"&amp;ROUNDUP(MONTH($C7597)/3,0))</f>
        <v/>
      </c>
      <c r="L7597">
        <f>IF($G7597&lt;&gt;"ALCOHOL","",IF($K7597="","",$H7597*IFERROR(VLOOKUP($K7597,Drink_Templates!$A:$G,7,FALSE),0)))</f>
        <v/>
      </c>
    </row>
    <row r="7598" ht="15" customHeight="1">
      <c r="C7598">
        <f>IF($B7598="","",INT($B7598))</f>
        <v/>
      </c>
      <c r="D7598">
        <f>IF($C7598="","",$C7598-WEEKDAY($C7598,2)+1)</f>
        <v/>
      </c>
      <c r="E7598">
        <f>IF($C7598="","",DATE(YEAR($C7598),MONTH($C7598),1))</f>
        <v/>
      </c>
      <c r="F7598">
        <f>IF($C7598="","",YEAR($C7598)&amp;"-Q"&amp;ROUNDUP(MONTH($C7598)/3,0))</f>
        <v/>
      </c>
      <c r="L7598">
        <f>IF($G7598&lt;&gt;"ALCOHOL","",IF($K7598="","",$H7598*IFERROR(VLOOKUP($K7598,Drink_Templates!$A:$G,7,FALSE),0)))</f>
        <v/>
      </c>
    </row>
    <row r="7599" ht="15" customHeight="1">
      <c r="C7599">
        <f>IF($B7599="","",INT($B7599))</f>
        <v/>
      </c>
      <c r="D7599">
        <f>IF($C7599="","",$C7599-WEEKDAY($C7599,2)+1)</f>
        <v/>
      </c>
      <c r="E7599">
        <f>IF($C7599="","",DATE(YEAR($C7599),MONTH($C7599),1))</f>
        <v/>
      </c>
      <c r="F7599">
        <f>IF($C7599="","",YEAR($C7599)&amp;"-Q"&amp;ROUNDUP(MONTH($C7599)/3,0))</f>
        <v/>
      </c>
      <c r="L7599">
        <f>IF($G7599&lt;&gt;"ALCOHOL","",IF($K7599="","",$H7599*IFERROR(VLOOKUP($K7599,Drink_Templates!$A:$G,7,FALSE),0)))</f>
        <v/>
      </c>
    </row>
    <row r="7600" ht="15" customHeight="1">
      <c r="C7600">
        <f>IF($B7600="","",INT($B7600))</f>
        <v/>
      </c>
      <c r="D7600">
        <f>IF($C7600="","",$C7600-WEEKDAY($C7600,2)+1)</f>
        <v/>
      </c>
      <c r="E7600">
        <f>IF($C7600="","",DATE(YEAR($C7600),MONTH($C7600),1))</f>
        <v/>
      </c>
      <c r="F7600">
        <f>IF($C7600="","",YEAR($C7600)&amp;"-Q"&amp;ROUNDUP(MONTH($C7600)/3,0))</f>
        <v/>
      </c>
      <c r="L7600">
        <f>IF($G7600&lt;&gt;"ALCOHOL","",IF($K7600="","",$H7600*IFERROR(VLOOKUP($K7600,Drink_Templates!$A:$G,7,FALSE),0)))</f>
        <v/>
      </c>
    </row>
    <row r="7601" ht="15" customHeight="1">
      <c r="C7601">
        <f>IF($B7601="","",INT($B7601))</f>
        <v/>
      </c>
      <c r="D7601">
        <f>IF($C7601="","",$C7601-WEEKDAY($C7601,2)+1)</f>
        <v/>
      </c>
      <c r="E7601">
        <f>IF($C7601="","",DATE(YEAR($C7601),MONTH($C7601),1))</f>
        <v/>
      </c>
      <c r="F7601">
        <f>IF($C7601="","",YEAR($C7601)&amp;"-Q"&amp;ROUNDUP(MONTH($C7601)/3,0))</f>
        <v/>
      </c>
      <c r="L7601">
        <f>IF($G7601&lt;&gt;"ALCOHOL","",IF($K7601="","",$H7601*IFERROR(VLOOKUP($K7601,Drink_Templates!$A:$G,7,FALSE),0)))</f>
        <v/>
      </c>
    </row>
    <row r="7602" ht="15" customHeight="1">
      <c r="C7602">
        <f>IF($B7602="","",INT($B7602))</f>
        <v/>
      </c>
      <c r="D7602">
        <f>IF($C7602="","",$C7602-WEEKDAY($C7602,2)+1)</f>
        <v/>
      </c>
      <c r="E7602">
        <f>IF($C7602="","",DATE(YEAR($C7602),MONTH($C7602),1))</f>
        <v/>
      </c>
      <c r="F7602">
        <f>IF($C7602="","",YEAR($C7602)&amp;"-Q"&amp;ROUNDUP(MONTH($C7602)/3,0))</f>
        <v/>
      </c>
      <c r="L7602">
        <f>IF($G7602&lt;&gt;"ALCOHOL","",IF($K7602="","",$H7602*IFERROR(VLOOKUP($K7602,Drink_Templates!$A:$G,7,FALSE),0)))</f>
        <v/>
      </c>
    </row>
    <row r="7603" ht="15" customHeight="1">
      <c r="C7603">
        <f>IF($B7603="","",INT($B7603))</f>
        <v/>
      </c>
      <c r="D7603">
        <f>IF($C7603="","",$C7603-WEEKDAY($C7603,2)+1)</f>
        <v/>
      </c>
      <c r="E7603">
        <f>IF($C7603="","",DATE(YEAR($C7603),MONTH($C7603),1))</f>
        <v/>
      </c>
      <c r="F7603">
        <f>IF($C7603="","",YEAR($C7603)&amp;"-Q"&amp;ROUNDUP(MONTH($C7603)/3,0))</f>
        <v/>
      </c>
      <c r="L7603">
        <f>IF($G7603&lt;&gt;"ALCOHOL","",IF($K7603="","",$H7603*IFERROR(VLOOKUP($K7603,Drink_Templates!$A:$G,7,FALSE),0)))</f>
        <v/>
      </c>
    </row>
    <row r="7604" ht="15" customHeight="1">
      <c r="C7604">
        <f>IF($B7604="","",INT($B7604))</f>
        <v/>
      </c>
      <c r="D7604">
        <f>IF($C7604="","",$C7604-WEEKDAY($C7604,2)+1)</f>
        <v/>
      </c>
      <c r="E7604">
        <f>IF($C7604="","",DATE(YEAR($C7604),MONTH($C7604),1))</f>
        <v/>
      </c>
      <c r="F7604">
        <f>IF($C7604="","",YEAR($C7604)&amp;"-Q"&amp;ROUNDUP(MONTH($C7604)/3,0))</f>
        <v/>
      </c>
      <c r="L7604">
        <f>IF($G7604&lt;&gt;"ALCOHOL","",IF($K7604="","",$H7604*IFERROR(VLOOKUP($K7604,Drink_Templates!$A:$G,7,FALSE),0)))</f>
        <v/>
      </c>
    </row>
    <row r="7605" ht="15" customHeight="1">
      <c r="C7605">
        <f>IF($B7605="","",INT($B7605))</f>
        <v/>
      </c>
      <c r="D7605">
        <f>IF($C7605="","",$C7605-WEEKDAY($C7605,2)+1)</f>
        <v/>
      </c>
      <c r="E7605">
        <f>IF($C7605="","",DATE(YEAR($C7605),MONTH($C7605),1))</f>
        <v/>
      </c>
      <c r="F7605">
        <f>IF($C7605="","",YEAR($C7605)&amp;"-Q"&amp;ROUNDUP(MONTH($C7605)/3,0))</f>
        <v/>
      </c>
      <c r="L7605">
        <f>IF($G7605&lt;&gt;"ALCOHOL","",IF($K7605="","",$H7605*IFERROR(VLOOKUP($K7605,Drink_Templates!$A:$G,7,FALSE),0)))</f>
        <v/>
      </c>
    </row>
    <row r="7606" ht="15" customHeight="1">
      <c r="C7606">
        <f>IF($B7606="","",INT($B7606))</f>
        <v/>
      </c>
      <c r="D7606">
        <f>IF($C7606="","",$C7606-WEEKDAY($C7606,2)+1)</f>
        <v/>
      </c>
      <c r="E7606">
        <f>IF($C7606="","",DATE(YEAR($C7606),MONTH($C7606),1))</f>
        <v/>
      </c>
      <c r="F7606">
        <f>IF($C7606="","",YEAR($C7606)&amp;"-Q"&amp;ROUNDUP(MONTH($C7606)/3,0))</f>
        <v/>
      </c>
      <c r="L7606">
        <f>IF($G7606&lt;&gt;"ALCOHOL","",IF($K7606="","",$H7606*IFERROR(VLOOKUP($K7606,Drink_Templates!$A:$G,7,FALSE),0)))</f>
        <v/>
      </c>
    </row>
    <row r="7607" ht="15" customHeight="1">
      <c r="C7607">
        <f>IF($B7607="","",INT($B7607))</f>
        <v/>
      </c>
      <c r="D7607">
        <f>IF($C7607="","",$C7607-WEEKDAY($C7607,2)+1)</f>
        <v/>
      </c>
      <c r="E7607">
        <f>IF($C7607="","",DATE(YEAR($C7607),MONTH($C7607),1))</f>
        <v/>
      </c>
      <c r="F7607">
        <f>IF($C7607="","",YEAR($C7607)&amp;"-Q"&amp;ROUNDUP(MONTH($C7607)/3,0))</f>
        <v/>
      </c>
      <c r="L7607">
        <f>IF($G7607&lt;&gt;"ALCOHOL","",IF($K7607="","",$H7607*IFERROR(VLOOKUP($K7607,Drink_Templates!$A:$G,7,FALSE),0)))</f>
        <v/>
      </c>
    </row>
    <row r="7608" ht="15" customHeight="1">
      <c r="C7608">
        <f>IF($B7608="","",INT($B7608))</f>
        <v/>
      </c>
      <c r="D7608">
        <f>IF($C7608="","",$C7608-WEEKDAY($C7608,2)+1)</f>
        <v/>
      </c>
      <c r="E7608">
        <f>IF($C7608="","",DATE(YEAR($C7608),MONTH($C7608),1))</f>
        <v/>
      </c>
      <c r="F7608">
        <f>IF($C7608="","",YEAR($C7608)&amp;"-Q"&amp;ROUNDUP(MONTH($C7608)/3,0))</f>
        <v/>
      </c>
      <c r="L7608">
        <f>IF($G7608&lt;&gt;"ALCOHOL","",IF($K7608="","",$H7608*IFERROR(VLOOKUP($K7608,Drink_Templates!$A:$G,7,FALSE),0)))</f>
        <v/>
      </c>
    </row>
    <row r="7609" ht="15" customHeight="1">
      <c r="C7609">
        <f>IF($B7609="","",INT($B7609))</f>
        <v/>
      </c>
      <c r="D7609">
        <f>IF($C7609="","",$C7609-WEEKDAY($C7609,2)+1)</f>
        <v/>
      </c>
      <c r="E7609">
        <f>IF($C7609="","",DATE(YEAR($C7609),MONTH($C7609),1))</f>
        <v/>
      </c>
      <c r="F7609">
        <f>IF($C7609="","",YEAR($C7609)&amp;"-Q"&amp;ROUNDUP(MONTH($C7609)/3,0))</f>
        <v/>
      </c>
      <c r="L7609">
        <f>IF($G7609&lt;&gt;"ALCOHOL","",IF($K7609="","",$H7609*IFERROR(VLOOKUP($K7609,Drink_Templates!$A:$G,7,FALSE),0)))</f>
        <v/>
      </c>
    </row>
    <row r="7610" ht="15" customHeight="1">
      <c r="C7610">
        <f>IF($B7610="","",INT($B7610))</f>
        <v/>
      </c>
      <c r="D7610">
        <f>IF($C7610="","",$C7610-WEEKDAY($C7610,2)+1)</f>
        <v/>
      </c>
      <c r="E7610">
        <f>IF($C7610="","",DATE(YEAR($C7610),MONTH($C7610),1))</f>
        <v/>
      </c>
      <c r="F7610">
        <f>IF($C7610="","",YEAR($C7610)&amp;"-Q"&amp;ROUNDUP(MONTH($C7610)/3,0))</f>
        <v/>
      </c>
      <c r="L7610">
        <f>IF($G7610&lt;&gt;"ALCOHOL","",IF($K7610="","",$H7610*IFERROR(VLOOKUP($K7610,Drink_Templates!$A:$G,7,FALSE),0)))</f>
        <v/>
      </c>
    </row>
    <row r="7611" ht="15" customHeight="1">
      <c r="C7611">
        <f>IF($B7611="","",INT($B7611))</f>
        <v/>
      </c>
      <c r="D7611">
        <f>IF($C7611="","",$C7611-WEEKDAY($C7611,2)+1)</f>
        <v/>
      </c>
      <c r="E7611">
        <f>IF($C7611="","",DATE(YEAR($C7611),MONTH($C7611),1))</f>
        <v/>
      </c>
      <c r="F7611">
        <f>IF($C7611="","",YEAR($C7611)&amp;"-Q"&amp;ROUNDUP(MONTH($C7611)/3,0))</f>
        <v/>
      </c>
      <c r="L7611">
        <f>IF($G7611&lt;&gt;"ALCOHOL","",IF($K7611="","",$H7611*IFERROR(VLOOKUP($K7611,Drink_Templates!$A:$G,7,FALSE),0)))</f>
        <v/>
      </c>
    </row>
    <row r="7612" ht="15" customHeight="1">
      <c r="C7612">
        <f>IF($B7612="","",INT($B7612))</f>
        <v/>
      </c>
      <c r="D7612">
        <f>IF($C7612="","",$C7612-WEEKDAY($C7612,2)+1)</f>
        <v/>
      </c>
      <c r="E7612">
        <f>IF($C7612="","",DATE(YEAR($C7612),MONTH($C7612),1))</f>
        <v/>
      </c>
      <c r="F7612">
        <f>IF($C7612="","",YEAR($C7612)&amp;"-Q"&amp;ROUNDUP(MONTH($C7612)/3,0))</f>
        <v/>
      </c>
      <c r="L7612">
        <f>IF($G7612&lt;&gt;"ALCOHOL","",IF($K7612="","",$H7612*IFERROR(VLOOKUP($K7612,Drink_Templates!$A:$G,7,FALSE),0)))</f>
        <v/>
      </c>
    </row>
    <row r="7613" ht="15" customHeight="1">
      <c r="C7613">
        <f>IF($B7613="","",INT($B7613))</f>
        <v/>
      </c>
      <c r="D7613">
        <f>IF($C7613="","",$C7613-WEEKDAY($C7613,2)+1)</f>
        <v/>
      </c>
      <c r="E7613">
        <f>IF($C7613="","",DATE(YEAR($C7613),MONTH($C7613),1))</f>
        <v/>
      </c>
      <c r="F7613">
        <f>IF($C7613="","",YEAR($C7613)&amp;"-Q"&amp;ROUNDUP(MONTH($C7613)/3,0))</f>
        <v/>
      </c>
      <c r="L7613">
        <f>IF($G7613&lt;&gt;"ALCOHOL","",IF($K7613="","",$H7613*IFERROR(VLOOKUP($K7613,Drink_Templates!$A:$G,7,FALSE),0)))</f>
        <v/>
      </c>
    </row>
    <row r="7614" ht="15" customHeight="1">
      <c r="C7614">
        <f>IF($B7614="","",INT($B7614))</f>
        <v/>
      </c>
      <c r="D7614">
        <f>IF($C7614="","",$C7614-WEEKDAY($C7614,2)+1)</f>
        <v/>
      </c>
      <c r="E7614">
        <f>IF($C7614="","",DATE(YEAR($C7614),MONTH($C7614),1))</f>
        <v/>
      </c>
      <c r="F7614">
        <f>IF($C7614="","",YEAR($C7614)&amp;"-Q"&amp;ROUNDUP(MONTH($C7614)/3,0))</f>
        <v/>
      </c>
      <c r="L7614">
        <f>IF($G7614&lt;&gt;"ALCOHOL","",IF($K7614="","",$H7614*IFERROR(VLOOKUP($K7614,Drink_Templates!$A:$G,7,FALSE),0)))</f>
        <v/>
      </c>
    </row>
    <row r="7615" ht="15" customHeight="1">
      <c r="C7615">
        <f>IF($B7615="","",INT($B7615))</f>
        <v/>
      </c>
      <c r="D7615">
        <f>IF($C7615="","",$C7615-WEEKDAY($C7615,2)+1)</f>
        <v/>
      </c>
      <c r="E7615">
        <f>IF($C7615="","",DATE(YEAR($C7615),MONTH($C7615),1))</f>
        <v/>
      </c>
      <c r="F7615">
        <f>IF($C7615="","",YEAR($C7615)&amp;"-Q"&amp;ROUNDUP(MONTH($C7615)/3,0))</f>
        <v/>
      </c>
      <c r="L7615">
        <f>IF($G7615&lt;&gt;"ALCOHOL","",IF($K7615="","",$H7615*IFERROR(VLOOKUP($K7615,Drink_Templates!$A:$G,7,FALSE),0)))</f>
        <v/>
      </c>
    </row>
    <row r="7616" ht="15" customHeight="1">
      <c r="C7616">
        <f>IF($B7616="","",INT($B7616))</f>
        <v/>
      </c>
      <c r="D7616">
        <f>IF($C7616="","",$C7616-WEEKDAY($C7616,2)+1)</f>
        <v/>
      </c>
      <c r="E7616">
        <f>IF($C7616="","",DATE(YEAR($C7616),MONTH($C7616),1))</f>
        <v/>
      </c>
      <c r="F7616">
        <f>IF($C7616="","",YEAR($C7616)&amp;"-Q"&amp;ROUNDUP(MONTH($C7616)/3,0))</f>
        <v/>
      </c>
      <c r="L7616">
        <f>IF($G7616&lt;&gt;"ALCOHOL","",IF($K7616="","",$H7616*IFERROR(VLOOKUP($K7616,Drink_Templates!$A:$G,7,FALSE),0)))</f>
        <v/>
      </c>
    </row>
    <row r="7617" ht="15" customHeight="1">
      <c r="C7617">
        <f>IF($B7617="","",INT($B7617))</f>
        <v/>
      </c>
      <c r="D7617">
        <f>IF($C7617="","",$C7617-WEEKDAY($C7617,2)+1)</f>
        <v/>
      </c>
      <c r="E7617">
        <f>IF($C7617="","",DATE(YEAR($C7617),MONTH($C7617),1))</f>
        <v/>
      </c>
      <c r="F7617">
        <f>IF($C7617="","",YEAR($C7617)&amp;"-Q"&amp;ROUNDUP(MONTH($C7617)/3,0))</f>
        <v/>
      </c>
      <c r="L7617">
        <f>IF($G7617&lt;&gt;"ALCOHOL","",IF($K7617="","",$H7617*IFERROR(VLOOKUP($K7617,Drink_Templates!$A:$G,7,FALSE),0)))</f>
        <v/>
      </c>
    </row>
    <row r="7618" ht="15" customHeight="1">
      <c r="C7618">
        <f>IF($B7618="","",INT($B7618))</f>
        <v/>
      </c>
      <c r="D7618">
        <f>IF($C7618="","",$C7618-WEEKDAY($C7618,2)+1)</f>
        <v/>
      </c>
      <c r="E7618">
        <f>IF($C7618="","",DATE(YEAR($C7618),MONTH($C7618),1))</f>
        <v/>
      </c>
      <c r="F7618">
        <f>IF($C7618="","",YEAR($C7618)&amp;"-Q"&amp;ROUNDUP(MONTH($C7618)/3,0))</f>
        <v/>
      </c>
      <c r="L7618">
        <f>IF($G7618&lt;&gt;"ALCOHOL","",IF($K7618="","",$H7618*IFERROR(VLOOKUP($K7618,Drink_Templates!$A:$G,7,FALSE),0)))</f>
        <v/>
      </c>
    </row>
    <row r="7619" ht="15" customHeight="1">
      <c r="C7619">
        <f>IF($B7619="","",INT($B7619))</f>
        <v/>
      </c>
      <c r="D7619">
        <f>IF($C7619="","",$C7619-WEEKDAY($C7619,2)+1)</f>
        <v/>
      </c>
      <c r="E7619">
        <f>IF($C7619="","",DATE(YEAR($C7619),MONTH($C7619),1))</f>
        <v/>
      </c>
      <c r="F7619">
        <f>IF($C7619="","",YEAR($C7619)&amp;"-Q"&amp;ROUNDUP(MONTH($C7619)/3,0))</f>
        <v/>
      </c>
      <c r="L7619">
        <f>IF($G7619&lt;&gt;"ALCOHOL","",IF($K7619="","",$H7619*IFERROR(VLOOKUP($K7619,Drink_Templates!$A:$G,7,FALSE),0)))</f>
        <v/>
      </c>
    </row>
    <row r="7620" ht="15" customHeight="1">
      <c r="C7620">
        <f>IF($B7620="","",INT($B7620))</f>
        <v/>
      </c>
      <c r="D7620">
        <f>IF($C7620="","",$C7620-WEEKDAY($C7620,2)+1)</f>
        <v/>
      </c>
      <c r="E7620">
        <f>IF($C7620="","",DATE(YEAR($C7620),MONTH($C7620),1))</f>
        <v/>
      </c>
      <c r="F7620">
        <f>IF($C7620="","",YEAR($C7620)&amp;"-Q"&amp;ROUNDUP(MONTH($C7620)/3,0))</f>
        <v/>
      </c>
      <c r="L7620">
        <f>IF($G7620&lt;&gt;"ALCOHOL","",IF($K7620="","",$H7620*IFERROR(VLOOKUP($K7620,Drink_Templates!$A:$G,7,FALSE),0)))</f>
        <v/>
      </c>
    </row>
    <row r="7621" ht="15" customHeight="1">
      <c r="C7621">
        <f>IF($B7621="","",INT($B7621))</f>
        <v/>
      </c>
      <c r="D7621">
        <f>IF($C7621="","",$C7621-WEEKDAY($C7621,2)+1)</f>
        <v/>
      </c>
      <c r="E7621">
        <f>IF($C7621="","",DATE(YEAR($C7621),MONTH($C7621),1))</f>
        <v/>
      </c>
      <c r="F7621">
        <f>IF($C7621="","",YEAR($C7621)&amp;"-Q"&amp;ROUNDUP(MONTH($C7621)/3,0))</f>
        <v/>
      </c>
      <c r="L7621">
        <f>IF($G7621&lt;&gt;"ALCOHOL","",IF($K7621="","",$H7621*IFERROR(VLOOKUP($K7621,Drink_Templates!$A:$G,7,FALSE),0)))</f>
        <v/>
      </c>
    </row>
    <row r="7622" ht="15" customHeight="1">
      <c r="C7622">
        <f>IF($B7622="","",INT($B7622))</f>
        <v/>
      </c>
      <c r="D7622">
        <f>IF($C7622="","",$C7622-WEEKDAY($C7622,2)+1)</f>
        <v/>
      </c>
      <c r="E7622">
        <f>IF($C7622="","",DATE(YEAR($C7622),MONTH($C7622),1))</f>
        <v/>
      </c>
      <c r="F7622">
        <f>IF($C7622="","",YEAR($C7622)&amp;"-Q"&amp;ROUNDUP(MONTH($C7622)/3,0))</f>
        <v/>
      </c>
      <c r="L7622">
        <f>IF($G7622&lt;&gt;"ALCOHOL","",IF($K7622="","",$H7622*IFERROR(VLOOKUP($K7622,Drink_Templates!$A:$G,7,FALSE),0)))</f>
        <v/>
      </c>
    </row>
    <row r="7623" ht="15" customHeight="1">
      <c r="C7623">
        <f>IF($B7623="","",INT($B7623))</f>
        <v/>
      </c>
      <c r="D7623">
        <f>IF($C7623="","",$C7623-WEEKDAY($C7623,2)+1)</f>
        <v/>
      </c>
      <c r="E7623">
        <f>IF($C7623="","",DATE(YEAR($C7623),MONTH($C7623),1))</f>
        <v/>
      </c>
      <c r="F7623">
        <f>IF($C7623="","",YEAR($C7623)&amp;"-Q"&amp;ROUNDUP(MONTH($C7623)/3,0))</f>
        <v/>
      </c>
      <c r="L7623">
        <f>IF($G7623&lt;&gt;"ALCOHOL","",IF($K7623="","",$H7623*IFERROR(VLOOKUP($K7623,Drink_Templates!$A:$G,7,FALSE),0)))</f>
        <v/>
      </c>
    </row>
    <row r="7624" ht="15" customHeight="1">
      <c r="C7624">
        <f>IF($B7624="","",INT($B7624))</f>
        <v/>
      </c>
      <c r="D7624">
        <f>IF($C7624="","",$C7624-WEEKDAY($C7624,2)+1)</f>
        <v/>
      </c>
      <c r="E7624">
        <f>IF($C7624="","",DATE(YEAR($C7624),MONTH($C7624),1))</f>
        <v/>
      </c>
      <c r="F7624">
        <f>IF($C7624="","",YEAR($C7624)&amp;"-Q"&amp;ROUNDUP(MONTH($C7624)/3,0))</f>
        <v/>
      </c>
      <c r="L7624">
        <f>IF($G7624&lt;&gt;"ALCOHOL","",IF($K7624="","",$H7624*IFERROR(VLOOKUP($K7624,Drink_Templates!$A:$G,7,FALSE),0)))</f>
        <v/>
      </c>
    </row>
    <row r="7625" ht="15" customHeight="1">
      <c r="C7625">
        <f>IF($B7625="","",INT($B7625))</f>
        <v/>
      </c>
      <c r="D7625">
        <f>IF($C7625="","",$C7625-WEEKDAY($C7625,2)+1)</f>
        <v/>
      </c>
      <c r="E7625">
        <f>IF($C7625="","",DATE(YEAR($C7625),MONTH($C7625),1))</f>
        <v/>
      </c>
      <c r="F7625">
        <f>IF($C7625="","",YEAR($C7625)&amp;"-Q"&amp;ROUNDUP(MONTH($C7625)/3,0))</f>
        <v/>
      </c>
      <c r="L7625">
        <f>IF($G7625&lt;&gt;"ALCOHOL","",IF($K7625="","",$H7625*IFERROR(VLOOKUP($K7625,Drink_Templates!$A:$G,7,FALSE),0)))</f>
        <v/>
      </c>
    </row>
    <row r="7626" ht="15" customHeight="1">
      <c r="C7626">
        <f>IF($B7626="","",INT($B7626))</f>
        <v/>
      </c>
      <c r="D7626">
        <f>IF($C7626="","",$C7626-WEEKDAY($C7626,2)+1)</f>
        <v/>
      </c>
      <c r="E7626">
        <f>IF($C7626="","",DATE(YEAR($C7626),MONTH($C7626),1))</f>
        <v/>
      </c>
      <c r="F7626">
        <f>IF($C7626="","",YEAR($C7626)&amp;"-Q"&amp;ROUNDUP(MONTH($C7626)/3,0))</f>
        <v/>
      </c>
      <c r="L7626">
        <f>IF($G7626&lt;&gt;"ALCOHOL","",IF($K7626="","",$H7626*IFERROR(VLOOKUP($K7626,Drink_Templates!$A:$G,7,FALSE),0)))</f>
        <v/>
      </c>
    </row>
    <row r="7627" ht="15" customHeight="1">
      <c r="C7627">
        <f>IF($B7627="","",INT($B7627))</f>
        <v/>
      </c>
      <c r="D7627">
        <f>IF($C7627="","",$C7627-WEEKDAY($C7627,2)+1)</f>
        <v/>
      </c>
      <c r="E7627">
        <f>IF($C7627="","",DATE(YEAR($C7627),MONTH($C7627),1))</f>
        <v/>
      </c>
      <c r="F7627">
        <f>IF($C7627="","",YEAR($C7627)&amp;"-Q"&amp;ROUNDUP(MONTH($C7627)/3,0))</f>
        <v/>
      </c>
      <c r="L7627">
        <f>IF($G7627&lt;&gt;"ALCOHOL","",IF($K7627="","",$H7627*IFERROR(VLOOKUP($K7627,Drink_Templates!$A:$G,7,FALSE),0)))</f>
        <v/>
      </c>
    </row>
    <row r="7628" ht="15" customHeight="1">
      <c r="C7628">
        <f>IF($B7628="","",INT($B7628))</f>
        <v/>
      </c>
      <c r="D7628">
        <f>IF($C7628="","",$C7628-WEEKDAY($C7628,2)+1)</f>
        <v/>
      </c>
      <c r="E7628">
        <f>IF($C7628="","",DATE(YEAR($C7628),MONTH($C7628),1))</f>
        <v/>
      </c>
      <c r="F7628">
        <f>IF($C7628="","",YEAR($C7628)&amp;"-Q"&amp;ROUNDUP(MONTH($C7628)/3,0))</f>
        <v/>
      </c>
      <c r="L7628">
        <f>IF($G7628&lt;&gt;"ALCOHOL","",IF($K7628="","",$H7628*IFERROR(VLOOKUP($K7628,Drink_Templates!$A:$G,7,FALSE),0)))</f>
        <v/>
      </c>
    </row>
    <row r="7629" ht="15" customHeight="1">
      <c r="C7629">
        <f>IF($B7629="","",INT($B7629))</f>
        <v/>
      </c>
      <c r="D7629">
        <f>IF($C7629="","",$C7629-WEEKDAY($C7629,2)+1)</f>
        <v/>
      </c>
      <c r="E7629">
        <f>IF($C7629="","",DATE(YEAR($C7629),MONTH($C7629),1))</f>
        <v/>
      </c>
      <c r="F7629">
        <f>IF($C7629="","",YEAR($C7629)&amp;"-Q"&amp;ROUNDUP(MONTH($C7629)/3,0))</f>
        <v/>
      </c>
      <c r="L7629">
        <f>IF($G7629&lt;&gt;"ALCOHOL","",IF($K7629="","",$H7629*IFERROR(VLOOKUP($K7629,Drink_Templates!$A:$G,7,FALSE),0)))</f>
        <v/>
      </c>
    </row>
    <row r="7630" ht="15" customHeight="1">
      <c r="C7630">
        <f>IF($B7630="","",INT($B7630))</f>
        <v/>
      </c>
      <c r="D7630">
        <f>IF($C7630="","",$C7630-WEEKDAY($C7630,2)+1)</f>
        <v/>
      </c>
      <c r="E7630">
        <f>IF($C7630="","",DATE(YEAR($C7630),MONTH($C7630),1))</f>
        <v/>
      </c>
      <c r="F7630">
        <f>IF($C7630="","",YEAR($C7630)&amp;"-Q"&amp;ROUNDUP(MONTH($C7630)/3,0))</f>
        <v/>
      </c>
      <c r="L7630">
        <f>IF($G7630&lt;&gt;"ALCOHOL","",IF($K7630="","",$H7630*IFERROR(VLOOKUP($K7630,Drink_Templates!$A:$G,7,FALSE),0)))</f>
        <v/>
      </c>
    </row>
    <row r="7631" ht="15" customHeight="1">
      <c r="C7631">
        <f>IF($B7631="","",INT($B7631))</f>
        <v/>
      </c>
      <c r="D7631">
        <f>IF($C7631="","",$C7631-WEEKDAY($C7631,2)+1)</f>
        <v/>
      </c>
      <c r="E7631">
        <f>IF($C7631="","",DATE(YEAR($C7631),MONTH($C7631),1))</f>
        <v/>
      </c>
      <c r="F7631">
        <f>IF($C7631="","",YEAR($C7631)&amp;"-Q"&amp;ROUNDUP(MONTH($C7631)/3,0))</f>
        <v/>
      </c>
      <c r="L7631">
        <f>IF($G7631&lt;&gt;"ALCOHOL","",IF($K7631="","",$H7631*IFERROR(VLOOKUP($K7631,Drink_Templates!$A:$G,7,FALSE),0)))</f>
        <v/>
      </c>
    </row>
    <row r="7632" ht="15" customHeight="1">
      <c r="C7632">
        <f>IF($B7632="","",INT($B7632))</f>
        <v/>
      </c>
      <c r="D7632">
        <f>IF($C7632="","",$C7632-WEEKDAY($C7632,2)+1)</f>
        <v/>
      </c>
      <c r="E7632">
        <f>IF($C7632="","",DATE(YEAR($C7632),MONTH($C7632),1))</f>
        <v/>
      </c>
      <c r="F7632">
        <f>IF($C7632="","",YEAR($C7632)&amp;"-Q"&amp;ROUNDUP(MONTH($C7632)/3,0))</f>
        <v/>
      </c>
      <c r="L7632">
        <f>IF($G7632&lt;&gt;"ALCOHOL","",IF($K7632="","",$H7632*IFERROR(VLOOKUP($K7632,Drink_Templates!$A:$G,7,FALSE),0)))</f>
        <v/>
      </c>
    </row>
    <row r="7633" ht="15" customHeight="1">
      <c r="C7633">
        <f>IF($B7633="","",INT($B7633))</f>
        <v/>
      </c>
      <c r="D7633">
        <f>IF($C7633="","",$C7633-WEEKDAY($C7633,2)+1)</f>
        <v/>
      </c>
      <c r="E7633">
        <f>IF($C7633="","",DATE(YEAR($C7633),MONTH($C7633),1))</f>
        <v/>
      </c>
      <c r="F7633">
        <f>IF($C7633="","",YEAR($C7633)&amp;"-Q"&amp;ROUNDUP(MONTH($C7633)/3,0))</f>
        <v/>
      </c>
      <c r="L7633">
        <f>IF($G7633&lt;&gt;"ALCOHOL","",IF($K7633="","",$H7633*IFERROR(VLOOKUP($K7633,Drink_Templates!$A:$G,7,FALSE),0)))</f>
        <v/>
      </c>
    </row>
    <row r="7634" ht="15" customHeight="1">
      <c r="C7634">
        <f>IF($B7634="","",INT($B7634))</f>
        <v/>
      </c>
      <c r="D7634">
        <f>IF($C7634="","",$C7634-WEEKDAY($C7634,2)+1)</f>
        <v/>
      </c>
      <c r="E7634">
        <f>IF($C7634="","",DATE(YEAR($C7634),MONTH($C7634),1))</f>
        <v/>
      </c>
      <c r="F7634">
        <f>IF($C7634="","",YEAR($C7634)&amp;"-Q"&amp;ROUNDUP(MONTH($C7634)/3,0))</f>
        <v/>
      </c>
      <c r="L7634">
        <f>IF($G7634&lt;&gt;"ALCOHOL","",IF($K7634="","",$H7634*IFERROR(VLOOKUP($K7634,Drink_Templates!$A:$G,7,FALSE),0)))</f>
        <v/>
      </c>
    </row>
    <row r="7635" ht="15" customHeight="1">
      <c r="C7635">
        <f>IF($B7635="","",INT($B7635))</f>
        <v/>
      </c>
      <c r="D7635">
        <f>IF($C7635="","",$C7635-WEEKDAY($C7635,2)+1)</f>
        <v/>
      </c>
      <c r="E7635">
        <f>IF($C7635="","",DATE(YEAR($C7635),MONTH($C7635),1))</f>
        <v/>
      </c>
      <c r="F7635">
        <f>IF($C7635="","",YEAR($C7635)&amp;"-Q"&amp;ROUNDUP(MONTH($C7635)/3,0))</f>
        <v/>
      </c>
      <c r="L7635">
        <f>IF($G7635&lt;&gt;"ALCOHOL","",IF($K7635="","",$H7635*IFERROR(VLOOKUP($K7635,Drink_Templates!$A:$G,7,FALSE),0)))</f>
        <v/>
      </c>
    </row>
    <row r="7636" ht="15" customHeight="1">
      <c r="C7636">
        <f>IF($B7636="","",INT($B7636))</f>
        <v/>
      </c>
      <c r="D7636">
        <f>IF($C7636="","",$C7636-WEEKDAY($C7636,2)+1)</f>
        <v/>
      </c>
      <c r="E7636">
        <f>IF($C7636="","",DATE(YEAR($C7636),MONTH($C7636),1))</f>
        <v/>
      </c>
      <c r="F7636">
        <f>IF($C7636="","",YEAR($C7636)&amp;"-Q"&amp;ROUNDUP(MONTH($C7636)/3,0))</f>
        <v/>
      </c>
      <c r="L7636">
        <f>IF($G7636&lt;&gt;"ALCOHOL","",IF($K7636="","",$H7636*IFERROR(VLOOKUP($K7636,Drink_Templates!$A:$G,7,FALSE),0)))</f>
        <v/>
      </c>
    </row>
    <row r="7637" ht="15" customHeight="1">
      <c r="C7637">
        <f>IF($B7637="","",INT($B7637))</f>
        <v/>
      </c>
      <c r="D7637">
        <f>IF($C7637="","",$C7637-WEEKDAY($C7637,2)+1)</f>
        <v/>
      </c>
      <c r="E7637">
        <f>IF($C7637="","",DATE(YEAR($C7637),MONTH($C7637),1))</f>
        <v/>
      </c>
      <c r="F7637">
        <f>IF($C7637="","",YEAR($C7637)&amp;"-Q"&amp;ROUNDUP(MONTH($C7637)/3,0))</f>
        <v/>
      </c>
      <c r="L7637">
        <f>IF($G7637&lt;&gt;"ALCOHOL","",IF($K7637="","",$H7637*IFERROR(VLOOKUP($K7637,Drink_Templates!$A:$G,7,FALSE),0)))</f>
        <v/>
      </c>
    </row>
    <row r="7638" ht="15" customHeight="1">
      <c r="C7638">
        <f>IF($B7638="","",INT($B7638))</f>
        <v/>
      </c>
      <c r="D7638">
        <f>IF($C7638="","",$C7638-WEEKDAY($C7638,2)+1)</f>
        <v/>
      </c>
      <c r="E7638">
        <f>IF($C7638="","",DATE(YEAR($C7638),MONTH($C7638),1))</f>
        <v/>
      </c>
      <c r="F7638">
        <f>IF($C7638="","",YEAR($C7638)&amp;"-Q"&amp;ROUNDUP(MONTH($C7638)/3,0))</f>
        <v/>
      </c>
      <c r="L7638">
        <f>IF($G7638&lt;&gt;"ALCOHOL","",IF($K7638="","",$H7638*IFERROR(VLOOKUP($K7638,Drink_Templates!$A:$G,7,FALSE),0)))</f>
        <v/>
      </c>
    </row>
    <row r="7639" ht="15" customHeight="1">
      <c r="C7639">
        <f>IF($B7639="","",INT($B7639))</f>
        <v/>
      </c>
      <c r="D7639">
        <f>IF($C7639="","",$C7639-WEEKDAY($C7639,2)+1)</f>
        <v/>
      </c>
      <c r="E7639">
        <f>IF($C7639="","",DATE(YEAR($C7639),MONTH($C7639),1))</f>
        <v/>
      </c>
      <c r="F7639">
        <f>IF($C7639="","",YEAR($C7639)&amp;"-Q"&amp;ROUNDUP(MONTH($C7639)/3,0))</f>
        <v/>
      </c>
      <c r="L7639">
        <f>IF($G7639&lt;&gt;"ALCOHOL","",IF($K7639="","",$H7639*IFERROR(VLOOKUP($K7639,Drink_Templates!$A:$G,7,FALSE),0)))</f>
        <v/>
      </c>
    </row>
    <row r="7640" ht="15" customHeight="1">
      <c r="C7640">
        <f>IF($B7640="","",INT($B7640))</f>
        <v/>
      </c>
      <c r="D7640">
        <f>IF($C7640="","",$C7640-WEEKDAY($C7640,2)+1)</f>
        <v/>
      </c>
      <c r="E7640">
        <f>IF($C7640="","",DATE(YEAR($C7640),MONTH($C7640),1))</f>
        <v/>
      </c>
      <c r="F7640">
        <f>IF($C7640="","",YEAR($C7640)&amp;"-Q"&amp;ROUNDUP(MONTH($C7640)/3,0))</f>
        <v/>
      </c>
      <c r="L7640">
        <f>IF($G7640&lt;&gt;"ALCOHOL","",IF($K7640="","",$H7640*IFERROR(VLOOKUP($K7640,Drink_Templates!$A:$G,7,FALSE),0)))</f>
        <v/>
      </c>
    </row>
    <row r="7641" ht="15" customHeight="1">
      <c r="C7641">
        <f>IF($B7641="","",INT($B7641))</f>
        <v/>
      </c>
      <c r="D7641">
        <f>IF($C7641="","",$C7641-WEEKDAY($C7641,2)+1)</f>
        <v/>
      </c>
      <c r="E7641">
        <f>IF($C7641="","",DATE(YEAR($C7641),MONTH($C7641),1))</f>
        <v/>
      </c>
      <c r="F7641">
        <f>IF($C7641="","",YEAR($C7641)&amp;"-Q"&amp;ROUNDUP(MONTH($C7641)/3,0))</f>
        <v/>
      </c>
      <c r="L7641">
        <f>IF($G7641&lt;&gt;"ALCOHOL","",IF($K7641="","",$H7641*IFERROR(VLOOKUP($K7641,Drink_Templates!$A:$G,7,FALSE),0)))</f>
        <v/>
      </c>
    </row>
    <row r="7642" ht="15" customHeight="1">
      <c r="C7642">
        <f>IF($B7642="","",INT($B7642))</f>
        <v/>
      </c>
      <c r="D7642">
        <f>IF($C7642="","",$C7642-WEEKDAY($C7642,2)+1)</f>
        <v/>
      </c>
      <c r="E7642">
        <f>IF($C7642="","",DATE(YEAR($C7642),MONTH($C7642),1))</f>
        <v/>
      </c>
      <c r="F7642">
        <f>IF($C7642="","",YEAR($C7642)&amp;"-Q"&amp;ROUNDUP(MONTH($C7642)/3,0))</f>
        <v/>
      </c>
      <c r="L7642">
        <f>IF($G7642&lt;&gt;"ALCOHOL","",IF($K7642="","",$H7642*IFERROR(VLOOKUP($K7642,Drink_Templates!$A:$G,7,FALSE),0)))</f>
        <v/>
      </c>
    </row>
    <row r="7643" ht="15" customHeight="1">
      <c r="C7643">
        <f>IF($B7643="","",INT($B7643))</f>
        <v/>
      </c>
      <c r="D7643">
        <f>IF($C7643="","",$C7643-WEEKDAY($C7643,2)+1)</f>
        <v/>
      </c>
      <c r="E7643">
        <f>IF($C7643="","",DATE(YEAR($C7643),MONTH($C7643),1))</f>
        <v/>
      </c>
      <c r="F7643">
        <f>IF($C7643="","",YEAR($C7643)&amp;"-Q"&amp;ROUNDUP(MONTH($C7643)/3,0))</f>
        <v/>
      </c>
      <c r="L7643">
        <f>IF($G7643&lt;&gt;"ALCOHOL","",IF($K7643="","",$H7643*IFERROR(VLOOKUP($K7643,Drink_Templates!$A:$G,7,FALSE),0)))</f>
        <v/>
      </c>
    </row>
    <row r="7644" ht="15" customHeight="1">
      <c r="C7644">
        <f>IF($B7644="","",INT($B7644))</f>
        <v/>
      </c>
      <c r="D7644">
        <f>IF($C7644="","",$C7644-WEEKDAY($C7644,2)+1)</f>
        <v/>
      </c>
      <c r="E7644">
        <f>IF($C7644="","",DATE(YEAR($C7644),MONTH($C7644),1))</f>
        <v/>
      </c>
      <c r="F7644">
        <f>IF($C7644="","",YEAR($C7644)&amp;"-Q"&amp;ROUNDUP(MONTH($C7644)/3,0))</f>
        <v/>
      </c>
      <c r="L7644">
        <f>IF($G7644&lt;&gt;"ALCOHOL","",IF($K7644="","",$H7644*IFERROR(VLOOKUP($K7644,Drink_Templates!$A:$G,7,FALSE),0)))</f>
        <v/>
      </c>
    </row>
    <row r="7645" ht="15" customHeight="1">
      <c r="C7645">
        <f>IF($B7645="","",INT($B7645))</f>
        <v/>
      </c>
      <c r="D7645">
        <f>IF($C7645="","",$C7645-WEEKDAY($C7645,2)+1)</f>
        <v/>
      </c>
      <c r="E7645">
        <f>IF($C7645="","",DATE(YEAR($C7645),MONTH($C7645),1))</f>
        <v/>
      </c>
      <c r="F7645">
        <f>IF($C7645="","",YEAR($C7645)&amp;"-Q"&amp;ROUNDUP(MONTH($C7645)/3,0))</f>
        <v/>
      </c>
      <c r="L7645">
        <f>IF($G7645&lt;&gt;"ALCOHOL","",IF($K7645="","",$H7645*IFERROR(VLOOKUP($K7645,Drink_Templates!$A:$G,7,FALSE),0)))</f>
        <v/>
      </c>
    </row>
    <row r="7646" ht="15" customHeight="1">
      <c r="C7646">
        <f>IF($B7646="","",INT($B7646))</f>
        <v/>
      </c>
      <c r="D7646">
        <f>IF($C7646="","",$C7646-WEEKDAY($C7646,2)+1)</f>
        <v/>
      </c>
      <c r="E7646">
        <f>IF($C7646="","",DATE(YEAR($C7646),MONTH($C7646),1))</f>
        <v/>
      </c>
      <c r="F7646">
        <f>IF($C7646="","",YEAR($C7646)&amp;"-Q"&amp;ROUNDUP(MONTH($C7646)/3,0))</f>
        <v/>
      </c>
      <c r="L7646">
        <f>IF($G7646&lt;&gt;"ALCOHOL","",IF($K7646="","",$H7646*IFERROR(VLOOKUP($K7646,Drink_Templates!$A:$G,7,FALSE),0)))</f>
        <v/>
      </c>
    </row>
    <row r="7647" ht="15" customHeight="1">
      <c r="C7647">
        <f>IF($B7647="","",INT($B7647))</f>
        <v/>
      </c>
      <c r="D7647">
        <f>IF($C7647="","",$C7647-WEEKDAY($C7647,2)+1)</f>
        <v/>
      </c>
      <c r="E7647">
        <f>IF($C7647="","",DATE(YEAR($C7647),MONTH($C7647),1))</f>
        <v/>
      </c>
      <c r="F7647">
        <f>IF($C7647="","",YEAR($C7647)&amp;"-Q"&amp;ROUNDUP(MONTH($C7647)/3,0))</f>
        <v/>
      </c>
      <c r="L7647">
        <f>IF($G7647&lt;&gt;"ALCOHOL","",IF($K7647="","",$H7647*IFERROR(VLOOKUP($K7647,Drink_Templates!$A:$G,7,FALSE),0)))</f>
        <v/>
      </c>
    </row>
    <row r="7648" ht="15" customHeight="1">
      <c r="C7648">
        <f>IF($B7648="","",INT($B7648))</f>
        <v/>
      </c>
      <c r="D7648">
        <f>IF($C7648="","",$C7648-WEEKDAY($C7648,2)+1)</f>
        <v/>
      </c>
      <c r="E7648">
        <f>IF($C7648="","",DATE(YEAR($C7648),MONTH($C7648),1))</f>
        <v/>
      </c>
      <c r="F7648">
        <f>IF($C7648="","",YEAR($C7648)&amp;"-Q"&amp;ROUNDUP(MONTH($C7648)/3,0))</f>
        <v/>
      </c>
      <c r="L7648">
        <f>IF($G7648&lt;&gt;"ALCOHOL","",IF($K7648="","",$H7648*IFERROR(VLOOKUP($K7648,Drink_Templates!$A:$G,7,FALSE),0)))</f>
        <v/>
      </c>
    </row>
    <row r="7649" ht="15" customHeight="1">
      <c r="C7649">
        <f>IF($B7649="","",INT($B7649))</f>
        <v/>
      </c>
      <c r="D7649">
        <f>IF($C7649="","",$C7649-WEEKDAY($C7649,2)+1)</f>
        <v/>
      </c>
      <c r="E7649">
        <f>IF($C7649="","",DATE(YEAR($C7649),MONTH($C7649),1))</f>
        <v/>
      </c>
      <c r="F7649">
        <f>IF($C7649="","",YEAR($C7649)&amp;"-Q"&amp;ROUNDUP(MONTH($C7649)/3,0))</f>
        <v/>
      </c>
      <c r="L7649">
        <f>IF($G7649&lt;&gt;"ALCOHOL","",IF($K7649="","",$H7649*IFERROR(VLOOKUP($K7649,Drink_Templates!$A:$G,7,FALSE),0)))</f>
        <v/>
      </c>
    </row>
    <row r="7650" ht="15" customHeight="1">
      <c r="C7650">
        <f>IF($B7650="","",INT($B7650))</f>
        <v/>
      </c>
      <c r="D7650">
        <f>IF($C7650="","",$C7650-WEEKDAY($C7650,2)+1)</f>
        <v/>
      </c>
      <c r="E7650">
        <f>IF($C7650="","",DATE(YEAR($C7650),MONTH($C7650),1))</f>
        <v/>
      </c>
      <c r="F7650">
        <f>IF($C7650="","",YEAR($C7650)&amp;"-Q"&amp;ROUNDUP(MONTH($C7650)/3,0))</f>
        <v/>
      </c>
      <c r="L7650">
        <f>IF($G7650&lt;&gt;"ALCOHOL","",IF($K7650="","",$H7650*IFERROR(VLOOKUP($K7650,Drink_Templates!$A:$G,7,FALSE),0)))</f>
        <v/>
      </c>
    </row>
    <row r="7651" ht="15" customHeight="1">
      <c r="C7651">
        <f>IF($B7651="","",INT($B7651))</f>
        <v/>
      </c>
      <c r="D7651">
        <f>IF($C7651="","",$C7651-WEEKDAY($C7651,2)+1)</f>
        <v/>
      </c>
      <c r="E7651">
        <f>IF($C7651="","",DATE(YEAR($C7651),MONTH($C7651),1))</f>
        <v/>
      </c>
      <c r="F7651">
        <f>IF($C7651="","",YEAR($C7651)&amp;"-Q"&amp;ROUNDUP(MONTH($C7651)/3,0))</f>
        <v/>
      </c>
      <c r="L7651">
        <f>IF($G7651&lt;&gt;"ALCOHOL","",IF($K7651="","",$H7651*IFERROR(VLOOKUP($K7651,Drink_Templates!$A:$G,7,FALSE),0)))</f>
        <v/>
      </c>
    </row>
    <row r="7652" ht="15" customHeight="1">
      <c r="C7652">
        <f>IF($B7652="","",INT($B7652))</f>
        <v/>
      </c>
      <c r="D7652">
        <f>IF($C7652="","",$C7652-WEEKDAY($C7652,2)+1)</f>
        <v/>
      </c>
      <c r="E7652">
        <f>IF($C7652="","",DATE(YEAR($C7652),MONTH($C7652),1))</f>
        <v/>
      </c>
      <c r="F7652">
        <f>IF($C7652="","",YEAR($C7652)&amp;"-Q"&amp;ROUNDUP(MONTH($C7652)/3,0))</f>
        <v/>
      </c>
      <c r="L7652">
        <f>IF($G7652&lt;&gt;"ALCOHOL","",IF($K7652="","",$H7652*IFERROR(VLOOKUP($K7652,Drink_Templates!$A:$G,7,FALSE),0)))</f>
        <v/>
      </c>
    </row>
    <row r="7653" ht="15" customHeight="1">
      <c r="C7653">
        <f>IF($B7653="","",INT($B7653))</f>
        <v/>
      </c>
      <c r="D7653">
        <f>IF($C7653="","",$C7653-WEEKDAY($C7653,2)+1)</f>
        <v/>
      </c>
      <c r="E7653">
        <f>IF($C7653="","",DATE(YEAR($C7653),MONTH($C7653),1))</f>
        <v/>
      </c>
      <c r="F7653">
        <f>IF($C7653="","",YEAR($C7653)&amp;"-Q"&amp;ROUNDUP(MONTH($C7653)/3,0))</f>
        <v/>
      </c>
      <c r="L7653">
        <f>IF($G7653&lt;&gt;"ALCOHOL","",IF($K7653="","",$H7653*IFERROR(VLOOKUP($K7653,Drink_Templates!$A:$G,7,FALSE),0)))</f>
        <v/>
      </c>
    </row>
    <row r="7654" ht="15" customHeight="1">
      <c r="C7654">
        <f>IF($B7654="","",INT($B7654))</f>
        <v/>
      </c>
      <c r="D7654">
        <f>IF($C7654="","",$C7654-WEEKDAY($C7654,2)+1)</f>
        <v/>
      </c>
      <c r="E7654">
        <f>IF($C7654="","",DATE(YEAR($C7654),MONTH($C7654),1))</f>
        <v/>
      </c>
      <c r="F7654">
        <f>IF($C7654="","",YEAR($C7654)&amp;"-Q"&amp;ROUNDUP(MONTH($C7654)/3,0))</f>
        <v/>
      </c>
      <c r="L7654">
        <f>IF($G7654&lt;&gt;"ALCOHOL","",IF($K7654="","",$H7654*IFERROR(VLOOKUP($K7654,Drink_Templates!$A:$G,7,FALSE),0)))</f>
        <v/>
      </c>
    </row>
    <row r="7655" ht="15" customHeight="1">
      <c r="C7655">
        <f>IF($B7655="","",INT($B7655))</f>
        <v/>
      </c>
      <c r="D7655">
        <f>IF($C7655="","",$C7655-WEEKDAY($C7655,2)+1)</f>
        <v/>
      </c>
      <c r="E7655">
        <f>IF($C7655="","",DATE(YEAR($C7655),MONTH($C7655),1))</f>
        <v/>
      </c>
      <c r="F7655">
        <f>IF($C7655="","",YEAR($C7655)&amp;"-Q"&amp;ROUNDUP(MONTH($C7655)/3,0))</f>
        <v/>
      </c>
      <c r="L7655">
        <f>IF($G7655&lt;&gt;"ALCOHOL","",IF($K7655="","",$H7655*IFERROR(VLOOKUP($K7655,Drink_Templates!$A:$G,7,FALSE),0)))</f>
        <v/>
      </c>
    </row>
    <row r="7656" ht="15" customHeight="1">
      <c r="C7656">
        <f>IF($B7656="","",INT($B7656))</f>
        <v/>
      </c>
      <c r="D7656">
        <f>IF($C7656="","",$C7656-WEEKDAY($C7656,2)+1)</f>
        <v/>
      </c>
      <c r="E7656">
        <f>IF($C7656="","",DATE(YEAR($C7656),MONTH($C7656),1))</f>
        <v/>
      </c>
      <c r="F7656">
        <f>IF($C7656="","",YEAR($C7656)&amp;"-Q"&amp;ROUNDUP(MONTH($C7656)/3,0))</f>
        <v/>
      </c>
      <c r="L7656">
        <f>IF($G7656&lt;&gt;"ALCOHOL","",IF($K7656="","",$H7656*IFERROR(VLOOKUP($K7656,Drink_Templates!$A:$G,7,FALSE),0)))</f>
        <v/>
      </c>
    </row>
    <row r="7657" ht="15" customHeight="1">
      <c r="C7657">
        <f>IF($B7657="","",INT($B7657))</f>
        <v/>
      </c>
      <c r="D7657">
        <f>IF($C7657="","",$C7657-WEEKDAY($C7657,2)+1)</f>
        <v/>
      </c>
      <c r="E7657">
        <f>IF($C7657="","",DATE(YEAR($C7657),MONTH($C7657),1))</f>
        <v/>
      </c>
      <c r="F7657">
        <f>IF($C7657="","",YEAR($C7657)&amp;"-Q"&amp;ROUNDUP(MONTH($C7657)/3,0))</f>
        <v/>
      </c>
      <c r="L7657">
        <f>IF($G7657&lt;&gt;"ALCOHOL","",IF($K7657="","",$H7657*IFERROR(VLOOKUP($K7657,Drink_Templates!$A:$G,7,FALSE),0)))</f>
        <v/>
      </c>
    </row>
    <row r="7658" ht="15" customHeight="1">
      <c r="C7658">
        <f>IF($B7658="","",INT($B7658))</f>
        <v/>
      </c>
      <c r="D7658">
        <f>IF($C7658="","",$C7658-WEEKDAY($C7658,2)+1)</f>
        <v/>
      </c>
      <c r="E7658">
        <f>IF($C7658="","",DATE(YEAR($C7658),MONTH($C7658),1))</f>
        <v/>
      </c>
      <c r="F7658">
        <f>IF($C7658="","",YEAR($C7658)&amp;"-Q"&amp;ROUNDUP(MONTH($C7658)/3,0))</f>
        <v/>
      </c>
      <c r="L7658">
        <f>IF($G7658&lt;&gt;"ALCOHOL","",IF($K7658="","",$H7658*IFERROR(VLOOKUP($K7658,Drink_Templates!$A:$G,7,FALSE),0)))</f>
        <v/>
      </c>
    </row>
    <row r="7659" ht="15" customHeight="1">
      <c r="C7659">
        <f>IF($B7659="","",INT($B7659))</f>
        <v/>
      </c>
      <c r="D7659">
        <f>IF($C7659="","",$C7659-WEEKDAY($C7659,2)+1)</f>
        <v/>
      </c>
      <c r="E7659">
        <f>IF($C7659="","",DATE(YEAR($C7659),MONTH($C7659),1))</f>
        <v/>
      </c>
      <c r="F7659">
        <f>IF($C7659="","",YEAR($C7659)&amp;"-Q"&amp;ROUNDUP(MONTH($C7659)/3,0))</f>
        <v/>
      </c>
      <c r="L7659">
        <f>IF($G7659&lt;&gt;"ALCOHOL","",IF($K7659="","",$H7659*IFERROR(VLOOKUP($K7659,Drink_Templates!$A:$G,7,FALSE),0)))</f>
        <v/>
      </c>
    </row>
    <row r="7660" ht="15" customHeight="1">
      <c r="C7660">
        <f>IF($B7660="","",INT($B7660))</f>
        <v/>
      </c>
      <c r="D7660">
        <f>IF($C7660="","",$C7660-WEEKDAY($C7660,2)+1)</f>
        <v/>
      </c>
      <c r="E7660">
        <f>IF($C7660="","",DATE(YEAR($C7660),MONTH($C7660),1))</f>
        <v/>
      </c>
      <c r="F7660">
        <f>IF($C7660="","",YEAR($C7660)&amp;"-Q"&amp;ROUNDUP(MONTH($C7660)/3,0))</f>
        <v/>
      </c>
      <c r="L7660">
        <f>IF($G7660&lt;&gt;"ALCOHOL","",IF($K7660="","",$H7660*IFERROR(VLOOKUP($K7660,Drink_Templates!$A:$G,7,FALSE),0)))</f>
        <v/>
      </c>
    </row>
    <row r="7661" ht="15" customHeight="1">
      <c r="C7661">
        <f>IF($B7661="","",INT($B7661))</f>
        <v/>
      </c>
      <c r="D7661">
        <f>IF($C7661="","",$C7661-WEEKDAY($C7661,2)+1)</f>
        <v/>
      </c>
      <c r="E7661">
        <f>IF($C7661="","",DATE(YEAR($C7661),MONTH($C7661),1))</f>
        <v/>
      </c>
      <c r="F7661">
        <f>IF($C7661="","",YEAR($C7661)&amp;"-Q"&amp;ROUNDUP(MONTH($C7661)/3,0))</f>
        <v/>
      </c>
      <c r="L7661">
        <f>IF($G7661&lt;&gt;"ALCOHOL","",IF($K7661="","",$H7661*IFERROR(VLOOKUP($K7661,Drink_Templates!$A:$G,7,FALSE),0)))</f>
        <v/>
      </c>
    </row>
    <row r="7662" ht="15" customHeight="1">
      <c r="C7662">
        <f>IF($B7662="","",INT($B7662))</f>
        <v/>
      </c>
      <c r="D7662">
        <f>IF($C7662="","",$C7662-WEEKDAY($C7662,2)+1)</f>
        <v/>
      </c>
      <c r="E7662">
        <f>IF($C7662="","",DATE(YEAR($C7662),MONTH($C7662),1))</f>
        <v/>
      </c>
      <c r="F7662">
        <f>IF($C7662="","",YEAR($C7662)&amp;"-Q"&amp;ROUNDUP(MONTH($C7662)/3,0))</f>
        <v/>
      </c>
      <c r="L7662">
        <f>IF($G7662&lt;&gt;"ALCOHOL","",IF($K7662="","",$H7662*IFERROR(VLOOKUP($K7662,Drink_Templates!$A:$G,7,FALSE),0)))</f>
        <v/>
      </c>
    </row>
    <row r="7663" ht="15" customHeight="1">
      <c r="C7663">
        <f>IF($B7663="","",INT($B7663))</f>
        <v/>
      </c>
      <c r="D7663">
        <f>IF($C7663="","",$C7663-WEEKDAY($C7663,2)+1)</f>
        <v/>
      </c>
      <c r="E7663">
        <f>IF($C7663="","",DATE(YEAR($C7663),MONTH($C7663),1))</f>
        <v/>
      </c>
      <c r="F7663">
        <f>IF($C7663="","",YEAR($C7663)&amp;"-Q"&amp;ROUNDUP(MONTH($C7663)/3,0))</f>
        <v/>
      </c>
      <c r="L7663">
        <f>IF($G7663&lt;&gt;"ALCOHOL","",IF($K7663="","",$H7663*IFERROR(VLOOKUP($K7663,Drink_Templates!$A:$G,7,FALSE),0)))</f>
        <v/>
      </c>
    </row>
    <row r="7664" ht="15" customHeight="1">
      <c r="C7664">
        <f>IF($B7664="","",INT($B7664))</f>
        <v/>
      </c>
      <c r="D7664">
        <f>IF($C7664="","",$C7664-WEEKDAY($C7664,2)+1)</f>
        <v/>
      </c>
      <c r="E7664">
        <f>IF($C7664="","",DATE(YEAR($C7664),MONTH($C7664),1))</f>
        <v/>
      </c>
      <c r="F7664">
        <f>IF($C7664="","",YEAR($C7664)&amp;"-Q"&amp;ROUNDUP(MONTH($C7664)/3,0))</f>
        <v/>
      </c>
      <c r="L7664">
        <f>IF($G7664&lt;&gt;"ALCOHOL","",IF($K7664="","",$H7664*IFERROR(VLOOKUP($K7664,Drink_Templates!$A:$G,7,FALSE),0)))</f>
        <v/>
      </c>
    </row>
    <row r="7665" ht="15" customHeight="1">
      <c r="C7665">
        <f>IF($B7665="","",INT($B7665))</f>
        <v/>
      </c>
      <c r="D7665">
        <f>IF($C7665="","",$C7665-WEEKDAY($C7665,2)+1)</f>
        <v/>
      </c>
      <c r="E7665">
        <f>IF($C7665="","",DATE(YEAR($C7665),MONTH($C7665),1))</f>
        <v/>
      </c>
      <c r="F7665">
        <f>IF($C7665="","",YEAR($C7665)&amp;"-Q"&amp;ROUNDUP(MONTH($C7665)/3,0))</f>
        <v/>
      </c>
      <c r="L7665">
        <f>IF($G7665&lt;&gt;"ALCOHOL","",IF($K7665="","",$H7665*IFERROR(VLOOKUP($K7665,Drink_Templates!$A:$G,7,FALSE),0)))</f>
        <v/>
      </c>
    </row>
    <row r="7666" ht="15" customHeight="1">
      <c r="C7666">
        <f>IF($B7666="","",INT($B7666))</f>
        <v/>
      </c>
      <c r="D7666">
        <f>IF($C7666="","",$C7666-WEEKDAY($C7666,2)+1)</f>
        <v/>
      </c>
      <c r="E7666">
        <f>IF($C7666="","",DATE(YEAR($C7666),MONTH($C7666),1))</f>
        <v/>
      </c>
      <c r="F7666">
        <f>IF($C7666="","",YEAR($C7666)&amp;"-Q"&amp;ROUNDUP(MONTH($C7666)/3,0))</f>
        <v/>
      </c>
      <c r="L7666">
        <f>IF($G7666&lt;&gt;"ALCOHOL","",IF($K7666="","",$H7666*IFERROR(VLOOKUP($K7666,Drink_Templates!$A:$G,7,FALSE),0)))</f>
        <v/>
      </c>
    </row>
    <row r="7667" ht="15" customHeight="1">
      <c r="C7667">
        <f>IF($B7667="","",INT($B7667))</f>
        <v/>
      </c>
      <c r="D7667">
        <f>IF($C7667="","",$C7667-WEEKDAY($C7667,2)+1)</f>
        <v/>
      </c>
      <c r="E7667">
        <f>IF($C7667="","",DATE(YEAR($C7667),MONTH($C7667),1))</f>
        <v/>
      </c>
      <c r="F7667">
        <f>IF($C7667="","",YEAR($C7667)&amp;"-Q"&amp;ROUNDUP(MONTH($C7667)/3,0))</f>
        <v/>
      </c>
      <c r="L7667">
        <f>IF($G7667&lt;&gt;"ALCOHOL","",IF($K7667="","",$H7667*IFERROR(VLOOKUP($K7667,Drink_Templates!$A:$G,7,FALSE),0)))</f>
        <v/>
      </c>
    </row>
    <row r="7668" ht="15" customHeight="1">
      <c r="C7668">
        <f>IF($B7668="","",INT($B7668))</f>
        <v/>
      </c>
      <c r="D7668">
        <f>IF($C7668="","",$C7668-WEEKDAY($C7668,2)+1)</f>
        <v/>
      </c>
      <c r="E7668">
        <f>IF($C7668="","",DATE(YEAR($C7668),MONTH($C7668),1))</f>
        <v/>
      </c>
      <c r="F7668">
        <f>IF($C7668="","",YEAR($C7668)&amp;"-Q"&amp;ROUNDUP(MONTH($C7668)/3,0))</f>
        <v/>
      </c>
      <c r="L7668">
        <f>IF($G7668&lt;&gt;"ALCOHOL","",IF($K7668="","",$H7668*IFERROR(VLOOKUP($K7668,Drink_Templates!$A:$G,7,FALSE),0)))</f>
        <v/>
      </c>
    </row>
    <row r="7669" ht="15" customHeight="1">
      <c r="C7669">
        <f>IF($B7669="","",INT($B7669))</f>
        <v/>
      </c>
      <c r="D7669">
        <f>IF($C7669="","",$C7669-WEEKDAY($C7669,2)+1)</f>
        <v/>
      </c>
      <c r="E7669">
        <f>IF($C7669="","",DATE(YEAR($C7669),MONTH($C7669),1))</f>
        <v/>
      </c>
      <c r="F7669">
        <f>IF($C7669="","",YEAR($C7669)&amp;"-Q"&amp;ROUNDUP(MONTH($C7669)/3,0))</f>
        <v/>
      </c>
      <c r="L7669">
        <f>IF($G7669&lt;&gt;"ALCOHOL","",IF($K7669="","",$H7669*IFERROR(VLOOKUP($K7669,Drink_Templates!$A:$G,7,FALSE),0)))</f>
        <v/>
      </c>
    </row>
    <row r="7670" ht="15" customHeight="1">
      <c r="C7670">
        <f>IF($B7670="","",INT($B7670))</f>
        <v/>
      </c>
      <c r="D7670">
        <f>IF($C7670="","",$C7670-WEEKDAY($C7670,2)+1)</f>
        <v/>
      </c>
      <c r="E7670">
        <f>IF($C7670="","",DATE(YEAR($C7670),MONTH($C7670),1))</f>
        <v/>
      </c>
      <c r="F7670">
        <f>IF($C7670="","",YEAR($C7670)&amp;"-Q"&amp;ROUNDUP(MONTH($C7670)/3,0))</f>
        <v/>
      </c>
      <c r="L7670">
        <f>IF($G7670&lt;&gt;"ALCOHOL","",IF($K7670="","",$H7670*IFERROR(VLOOKUP($K7670,Drink_Templates!$A:$G,7,FALSE),0)))</f>
        <v/>
      </c>
    </row>
    <row r="7671" ht="15" customHeight="1">
      <c r="C7671">
        <f>IF($B7671="","",INT($B7671))</f>
        <v/>
      </c>
      <c r="D7671">
        <f>IF($C7671="","",$C7671-WEEKDAY($C7671,2)+1)</f>
        <v/>
      </c>
      <c r="E7671">
        <f>IF($C7671="","",DATE(YEAR($C7671),MONTH($C7671),1))</f>
        <v/>
      </c>
      <c r="F7671">
        <f>IF($C7671="","",YEAR($C7671)&amp;"-Q"&amp;ROUNDUP(MONTH($C7671)/3,0))</f>
        <v/>
      </c>
      <c r="L7671">
        <f>IF($G7671&lt;&gt;"ALCOHOL","",IF($K7671="","",$H7671*IFERROR(VLOOKUP($K7671,Drink_Templates!$A:$G,7,FALSE),0)))</f>
        <v/>
      </c>
    </row>
    <row r="7672" ht="15" customHeight="1">
      <c r="C7672">
        <f>IF($B7672="","",INT($B7672))</f>
        <v/>
      </c>
      <c r="D7672">
        <f>IF($C7672="","",$C7672-WEEKDAY($C7672,2)+1)</f>
        <v/>
      </c>
      <c r="E7672">
        <f>IF($C7672="","",DATE(YEAR($C7672),MONTH($C7672),1))</f>
        <v/>
      </c>
      <c r="F7672">
        <f>IF($C7672="","",YEAR($C7672)&amp;"-Q"&amp;ROUNDUP(MONTH($C7672)/3,0))</f>
        <v/>
      </c>
      <c r="L7672">
        <f>IF($G7672&lt;&gt;"ALCOHOL","",IF($K7672="","",$H7672*IFERROR(VLOOKUP($K7672,Drink_Templates!$A:$G,7,FALSE),0)))</f>
        <v/>
      </c>
    </row>
    <row r="7673" ht="15" customHeight="1">
      <c r="C7673">
        <f>IF($B7673="","",INT($B7673))</f>
        <v/>
      </c>
      <c r="D7673">
        <f>IF($C7673="","",$C7673-WEEKDAY($C7673,2)+1)</f>
        <v/>
      </c>
      <c r="E7673">
        <f>IF($C7673="","",DATE(YEAR($C7673),MONTH($C7673),1))</f>
        <v/>
      </c>
      <c r="F7673">
        <f>IF($C7673="","",YEAR($C7673)&amp;"-Q"&amp;ROUNDUP(MONTH($C7673)/3,0))</f>
        <v/>
      </c>
      <c r="L7673">
        <f>IF($G7673&lt;&gt;"ALCOHOL","",IF($K7673="","",$H7673*IFERROR(VLOOKUP($K7673,Drink_Templates!$A:$G,7,FALSE),0)))</f>
        <v/>
      </c>
    </row>
    <row r="7674" ht="15" customHeight="1">
      <c r="C7674">
        <f>IF($B7674="","",INT($B7674))</f>
        <v/>
      </c>
      <c r="D7674">
        <f>IF($C7674="","",$C7674-WEEKDAY($C7674,2)+1)</f>
        <v/>
      </c>
      <c r="E7674">
        <f>IF($C7674="","",DATE(YEAR($C7674),MONTH($C7674),1))</f>
        <v/>
      </c>
      <c r="F7674">
        <f>IF($C7674="","",YEAR($C7674)&amp;"-Q"&amp;ROUNDUP(MONTH($C7674)/3,0))</f>
        <v/>
      </c>
      <c r="L7674">
        <f>IF($G7674&lt;&gt;"ALCOHOL","",IF($K7674="","",$H7674*IFERROR(VLOOKUP($K7674,Drink_Templates!$A:$G,7,FALSE),0)))</f>
        <v/>
      </c>
    </row>
    <row r="7675" ht="15" customHeight="1">
      <c r="C7675">
        <f>IF($B7675="","",INT($B7675))</f>
        <v/>
      </c>
      <c r="D7675">
        <f>IF($C7675="","",$C7675-WEEKDAY($C7675,2)+1)</f>
        <v/>
      </c>
      <c r="E7675">
        <f>IF($C7675="","",DATE(YEAR($C7675),MONTH($C7675),1))</f>
        <v/>
      </c>
      <c r="F7675">
        <f>IF($C7675="","",YEAR($C7675)&amp;"-Q"&amp;ROUNDUP(MONTH($C7675)/3,0))</f>
        <v/>
      </c>
      <c r="L7675">
        <f>IF($G7675&lt;&gt;"ALCOHOL","",IF($K7675="","",$H7675*IFERROR(VLOOKUP($K7675,Drink_Templates!$A:$G,7,FALSE),0)))</f>
        <v/>
      </c>
    </row>
    <row r="7676" ht="15" customHeight="1">
      <c r="C7676">
        <f>IF($B7676="","",INT($B7676))</f>
        <v/>
      </c>
      <c r="D7676">
        <f>IF($C7676="","",$C7676-WEEKDAY($C7676,2)+1)</f>
        <v/>
      </c>
      <c r="E7676">
        <f>IF($C7676="","",DATE(YEAR($C7676),MONTH($C7676),1))</f>
        <v/>
      </c>
      <c r="F7676">
        <f>IF($C7676="","",YEAR($C7676)&amp;"-Q"&amp;ROUNDUP(MONTH($C7676)/3,0))</f>
        <v/>
      </c>
      <c r="L7676">
        <f>IF($G7676&lt;&gt;"ALCOHOL","",IF($K7676="","",$H7676*IFERROR(VLOOKUP($K7676,Drink_Templates!$A:$G,7,FALSE),0)))</f>
        <v/>
      </c>
    </row>
    <row r="7677" ht="15" customHeight="1">
      <c r="C7677">
        <f>IF($B7677="","",INT($B7677))</f>
        <v/>
      </c>
      <c r="D7677">
        <f>IF($C7677="","",$C7677-WEEKDAY($C7677,2)+1)</f>
        <v/>
      </c>
      <c r="E7677">
        <f>IF($C7677="","",DATE(YEAR($C7677),MONTH($C7677),1))</f>
        <v/>
      </c>
      <c r="F7677">
        <f>IF($C7677="","",YEAR($C7677)&amp;"-Q"&amp;ROUNDUP(MONTH($C7677)/3,0))</f>
        <v/>
      </c>
      <c r="L7677">
        <f>IF($G7677&lt;&gt;"ALCOHOL","",IF($K7677="","",$H7677*IFERROR(VLOOKUP($K7677,Drink_Templates!$A:$G,7,FALSE),0)))</f>
        <v/>
      </c>
    </row>
    <row r="7678" ht="15" customHeight="1">
      <c r="C7678">
        <f>IF($B7678="","",INT($B7678))</f>
        <v/>
      </c>
      <c r="D7678">
        <f>IF($C7678="","",$C7678-WEEKDAY($C7678,2)+1)</f>
        <v/>
      </c>
      <c r="E7678">
        <f>IF($C7678="","",DATE(YEAR($C7678),MONTH($C7678),1))</f>
        <v/>
      </c>
      <c r="F7678">
        <f>IF($C7678="","",YEAR($C7678)&amp;"-Q"&amp;ROUNDUP(MONTH($C7678)/3,0))</f>
        <v/>
      </c>
      <c r="L7678">
        <f>IF($G7678&lt;&gt;"ALCOHOL","",IF($K7678="","",$H7678*IFERROR(VLOOKUP($K7678,Drink_Templates!$A:$G,7,FALSE),0)))</f>
        <v/>
      </c>
    </row>
    <row r="7679" ht="15" customHeight="1">
      <c r="C7679">
        <f>IF($B7679="","",INT($B7679))</f>
        <v/>
      </c>
      <c r="D7679">
        <f>IF($C7679="","",$C7679-WEEKDAY($C7679,2)+1)</f>
        <v/>
      </c>
      <c r="E7679">
        <f>IF($C7679="","",DATE(YEAR($C7679),MONTH($C7679),1))</f>
        <v/>
      </c>
      <c r="F7679">
        <f>IF($C7679="","",YEAR($C7679)&amp;"-Q"&amp;ROUNDUP(MONTH($C7679)/3,0))</f>
        <v/>
      </c>
      <c r="L7679">
        <f>IF($G7679&lt;&gt;"ALCOHOL","",IF($K7679="","",$H7679*IFERROR(VLOOKUP($K7679,Drink_Templates!$A:$G,7,FALSE),0)))</f>
        <v/>
      </c>
    </row>
    <row r="7680" ht="15" customHeight="1">
      <c r="C7680">
        <f>IF($B7680="","",INT($B7680))</f>
        <v/>
      </c>
      <c r="D7680">
        <f>IF($C7680="","",$C7680-WEEKDAY($C7680,2)+1)</f>
        <v/>
      </c>
      <c r="E7680">
        <f>IF($C7680="","",DATE(YEAR($C7680),MONTH($C7680),1))</f>
        <v/>
      </c>
      <c r="F7680">
        <f>IF($C7680="","",YEAR($C7680)&amp;"-Q"&amp;ROUNDUP(MONTH($C7680)/3,0))</f>
        <v/>
      </c>
      <c r="L7680">
        <f>IF($G7680&lt;&gt;"ALCOHOL","",IF($K7680="","",$H7680*IFERROR(VLOOKUP($K7680,Drink_Templates!$A:$G,7,FALSE),0)))</f>
        <v/>
      </c>
    </row>
    <row r="7681" ht="15" customHeight="1">
      <c r="C7681">
        <f>IF($B7681="","",INT($B7681))</f>
        <v/>
      </c>
      <c r="D7681">
        <f>IF($C7681="","",$C7681-WEEKDAY($C7681,2)+1)</f>
        <v/>
      </c>
      <c r="E7681">
        <f>IF($C7681="","",DATE(YEAR($C7681),MONTH($C7681),1))</f>
        <v/>
      </c>
      <c r="F7681">
        <f>IF($C7681="","",YEAR($C7681)&amp;"-Q"&amp;ROUNDUP(MONTH($C7681)/3,0))</f>
        <v/>
      </c>
      <c r="L7681">
        <f>IF($G7681&lt;&gt;"ALCOHOL","",IF($K7681="","",$H7681*IFERROR(VLOOKUP($K7681,Drink_Templates!$A:$G,7,FALSE),0)))</f>
        <v/>
      </c>
    </row>
    <row r="7682" ht="15" customHeight="1">
      <c r="C7682">
        <f>IF($B7682="","",INT($B7682))</f>
        <v/>
      </c>
      <c r="D7682">
        <f>IF($C7682="","",$C7682-WEEKDAY($C7682,2)+1)</f>
        <v/>
      </c>
      <c r="E7682">
        <f>IF($C7682="","",DATE(YEAR($C7682),MONTH($C7682),1))</f>
        <v/>
      </c>
      <c r="F7682">
        <f>IF($C7682="","",YEAR($C7682)&amp;"-Q"&amp;ROUNDUP(MONTH($C7682)/3,0))</f>
        <v/>
      </c>
      <c r="L7682">
        <f>IF($G7682&lt;&gt;"ALCOHOL","",IF($K7682="","",$H7682*IFERROR(VLOOKUP($K7682,Drink_Templates!$A:$G,7,FALSE),0)))</f>
        <v/>
      </c>
    </row>
    <row r="7683" ht="15" customHeight="1">
      <c r="C7683">
        <f>IF($B7683="","",INT($B7683))</f>
        <v/>
      </c>
      <c r="D7683">
        <f>IF($C7683="","",$C7683-WEEKDAY($C7683,2)+1)</f>
        <v/>
      </c>
      <c r="E7683">
        <f>IF($C7683="","",DATE(YEAR($C7683),MONTH($C7683),1))</f>
        <v/>
      </c>
      <c r="F7683">
        <f>IF($C7683="","",YEAR($C7683)&amp;"-Q"&amp;ROUNDUP(MONTH($C7683)/3,0))</f>
        <v/>
      </c>
      <c r="L7683">
        <f>IF($G7683&lt;&gt;"ALCOHOL","",IF($K7683="","",$H7683*IFERROR(VLOOKUP($K7683,Drink_Templates!$A:$G,7,FALSE),0)))</f>
        <v/>
      </c>
    </row>
    <row r="7684" ht="15" customHeight="1">
      <c r="C7684">
        <f>IF($B7684="","",INT($B7684))</f>
        <v/>
      </c>
      <c r="D7684">
        <f>IF($C7684="","",$C7684-WEEKDAY($C7684,2)+1)</f>
        <v/>
      </c>
      <c r="E7684">
        <f>IF($C7684="","",DATE(YEAR($C7684),MONTH($C7684),1))</f>
        <v/>
      </c>
      <c r="F7684">
        <f>IF($C7684="","",YEAR($C7684)&amp;"-Q"&amp;ROUNDUP(MONTH($C7684)/3,0))</f>
        <v/>
      </c>
      <c r="L7684">
        <f>IF($G7684&lt;&gt;"ALCOHOL","",IF($K7684="","",$H7684*IFERROR(VLOOKUP($K7684,Drink_Templates!$A:$G,7,FALSE),0)))</f>
        <v/>
      </c>
    </row>
    <row r="7685" ht="15" customHeight="1">
      <c r="C7685">
        <f>IF($B7685="","",INT($B7685))</f>
        <v/>
      </c>
      <c r="D7685">
        <f>IF($C7685="","",$C7685-WEEKDAY($C7685,2)+1)</f>
        <v/>
      </c>
      <c r="E7685">
        <f>IF($C7685="","",DATE(YEAR($C7685),MONTH($C7685),1))</f>
        <v/>
      </c>
      <c r="F7685">
        <f>IF($C7685="","",YEAR($C7685)&amp;"-Q"&amp;ROUNDUP(MONTH($C7685)/3,0))</f>
        <v/>
      </c>
      <c r="L7685">
        <f>IF($G7685&lt;&gt;"ALCOHOL","",IF($K7685="","",$H7685*IFERROR(VLOOKUP($K7685,Drink_Templates!$A:$G,7,FALSE),0)))</f>
        <v/>
      </c>
    </row>
    <row r="7686" ht="15" customHeight="1">
      <c r="C7686">
        <f>IF($B7686="","",INT($B7686))</f>
        <v/>
      </c>
      <c r="D7686">
        <f>IF($C7686="","",$C7686-WEEKDAY($C7686,2)+1)</f>
        <v/>
      </c>
      <c r="E7686">
        <f>IF($C7686="","",DATE(YEAR($C7686),MONTH($C7686),1))</f>
        <v/>
      </c>
      <c r="F7686">
        <f>IF($C7686="","",YEAR($C7686)&amp;"-Q"&amp;ROUNDUP(MONTH($C7686)/3,0))</f>
        <v/>
      </c>
      <c r="L7686">
        <f>IF($G7686&lt;&gt;"ALCOHOL","",IF($K7686="","",$H7686*IFERROR(VLOOKUP($K7686,Drink_Templates!$A:$G,7,FALSE),0)))</f>
        <v/>
      </c>
    </row>
    <row r="7687" ht="15" customHeight="1">
      <c r="C7687">
        <f>IF($B7687="","",INT($B7687))</f>
        <v/>
      </c>
      <c r="D7687">
        <f>IF($C7687="","",$C7687-WEEKDAY($C7687,2)+1)</f>
        <v/>
      </c>
      <c r="E7687">
        <f>IF($C7687="","",DATE(YEAR($C7687),MONTH($C7687),1))</f>
        <v/>
      </c>
      <c r="F7687">
        <f>IF($C7687="","",YEAR($C7687)&amp;"-Q"&amp;ROUNDUP(MONTH($C7687)/3,0))</f>
        <v/>
      </c>
      <c r="L7687">
        <f>IF($G7687&lt;&gt;"ALCOHOL","",IF($K7687="","",$H7687*IFERROR(VLOOKUP($K7687,Drink_Templates!$A:$G,7,FALSE),0)))</f>
        <v/>
      </c>
    </row>
    <row r="7688" ht="15" customHeight="1">
      <c r="C7688">
        <f>IF($B7688="","",INT($B7688))</f>
        <v/>
      </c>
      <c r="D7688">
        <f>IF($C7688="","",$C7688-WEEKDAY($C7688,2)+1)</f>
        <v/>
      </c>
      <c r="E7688">
        <f>IF($C7688="","",DATE(YEAR($C7688),MONTH($C7688),1))</f>
        <v/>
      </c>
      <c r="F7688">
        <f>IF($C7688="","",YEAR($C7688)&amp;"-Q"&amp;ROUNDUP(MONTH($C7688)/3,0))</f>
        <v/>
      </c>
      <c r="L7688">
        <f>IF($G7688&lt;&gt;"ALCOHOL","",IF($K7688="","",$H7688*IFERROR(VLOOKUP($K7688,Drink_Templates!$A:$G,7,FALSE),0)))</f>
        <v/>
      </c>
    </row>
    <row r="7689" ht="15" customHeight="1">
      <c r="C7689">
        <f>IF($B7689="","",INT($B7689))</f>
        <v/>
      </c>
      <c r="D7689">
        <f>IF($C7689="","",$C7689-WEEKDAY($C7689,2)+1)</f>
        <v/>
      </c>
      <c r="E7689">
        <f>IF($C7689="","",DATE(YEAR($C7689),MONTH($C7689),1))</f>
        <v/>
      </c>
      <c r="F7689">
        <f>IF($C7689="","",YEAR($C7689)&amp;"-Q"&amp;ROUNDUP(MONTH($C7689)/3,0))</f>
        <v/>
      </c>
      <c r="L7689">
        <f>IF($G7689&lt;&gt;"ALCOHOL","",IF($K7689="","",$H7689*IFERROR(VLOOKUP($K7689,Drink_Templates!$A:$G,7,FALSE),0)))</f>
        <v/>
      </c>
    </row>
    <row r="7690" ht="15" customHeight="1">
      <c r="C7690">
        <f>IF($B7690="","",INT($B7690))</f>
        <v/>
      </c>
      <c r="D7690">
        <f>IF($C7690="","",$C7690-WEEKDAY($C7690,2)+1)</f>
        <v/>
      </c>
      <c r="E7690">
        <f>IF($C7690="","",DATE(YEAR($C7690),MONTH($C7690),1))</f>
        <v/>
      </c>
      <c r="F7690">
        <f>IF($C7690="","",YEAR($C7690)&amp;"-Q"&amp;ROUNDUP(MONTH($C7690)/3,0))</f>
        <v/>
      </c>
      <c r="L7690">
        <f>IF($G7690&lt;&gt;"ALCOHOL","",IF($K7690="","",$H7690*IFERROR(VLOOKUP($K7690,Drink_Templates!$A:$G,7,FALSE),0)))</f>
        <v/>
      </c>
    </row>
    <row r="7691" ht="15" customHeight="1">
      <c r="C7691">
        <f>IF($B7691="","",INT($B7691))</f>
        <v/>
      </c>
      <c r="D7691">
        <f>IF($C7691="","",$C7691-WEEKDAY($C7691,2)+1)</f>
        <v/>
      </c>
      <c r="E7691">
        <f>IF($C7691="","",DATE(YEAR($C7691),MONTH($C7691),1))</f>
        <v/>
      </c>
      <c r="F7691">
        <f>IF($C7691="","",YEAR($C7691)&amp;"-Q"&amp;ROUNDUP(MONTH($C7691)/3,0))</f>
        <v/>
      </c>
      <c r="L7691">
        <f>IF($G7691&lt;&gt;"ALCOHOL","",IF($K7691="","",$H7691*IFERROR(VLOOKUP($K7691,Drink_Templates!$A:$G,7,FALSE),0)))</f>
        <v/>
      </c>
    </row>
    <row r="7692" ht="15" customHeight="1">
      <c r="C7692">
        <f>IF($B7692="","",INT($B7692))</f>
        <v/>
      </c>
      <c r="D7692">
        <f>IF($C7692="","",$C7692-WEEKDAY($C7692,2)+1)</f>
        <v/>
      </c>
      <c r="E7692">
        <f>IF($C7692="","",DATE(YEAR($C7692),MONTH($C7692),1))</f>
        <v/>
      </c>
      <c r="F7692">
        <f>IF($C7692="","",YEAR($C7692)&amp;"-Q"&amp;ROUNDUP(MONTH($C7692)/3,0))</f>
        <v/>
      </c>
      <c r="L7692">
        <f>IF($G7692&lt;&gt;"ALCOHOL","",IF($K7692="","",$H7692*IFERROR(VLOOKUP($K7692,Drink_Templates!$A:$G,7,FALSE),0)))</f>
        <v/>
      </c>
    </row>
    <row r="7693" ht="15" customHeight="1">
      <c r="C7693">
        <f>IF($B7693="","",INT($B7693))</f>
        <v/>
      </c>
      <c r="D7693">
        <f>IF($C7693="","",$C7693-WEEKDAY($C7693,2)+1)</f>
        <v/>
      </c>
      <c r="E7693">
        <f>IF($C7693="","",DATE(YEAR($C7693),MONTH($C7693),1))</f>
        <v/>
      </c>
      <c r="F7693">
        <f>IF($C7693="","",YEAR($C7693)&amp;"-Q"&amp;ROUNDUP(MONTH($C7693)/3,0))</f>
        <v/>
      </c>
      <c r="L7693">
        <f>IF($G7693&lt;&gt;"ALCOHOL","",IF($K7693="","",$H7693*IFERROR(VLOOKUP($K7693,Drink_Templates!$A:$G,7,FALSE),0)))</f>
        <v/>
      </c>
    </row>
    <row r="7694" ht="15" customHeight="1">
      <c r="C7694">
        <f>IF($B7694="","",INT($B7694))</f>
        <v/>
      </c>
      <c r="D7694">
        <f>IF($C7694="","",$C7694-WEEKDAY($C7694,2)+1)</f>
        <v/>
      </c>
      <c r="E7694">
        <f>IF($C7694="","",DATE(YEAR($C7694),MONTH($C7694),1))</f>
        <v/>
      </c>
      <c r="F7694">
        <f>IF($C7694="","",YEAR($C7694)&amp;"-Q"&amp;ROUNDUP(MONTH($C7694)/3,0))</f>
        <v/>
      </c>
      <c r="L7694">
        <f>IF($G7694&lt;&gt;"ALCOHOL","",IF($K7694="","",$H7694*IFERROR(VLOOKUP($K7694,Drink_Templates!$A:$G,7,FALSE),0)))</f>
        <v/>
      </c>
    </row>
    <row r="7695" ht="15" customHeight="1">
      <c r="C7695">
        <f>IF($B7695="","",INT($B7695))</f>
        <v/>
      </c>
      <c r="D7695">
        <f>IF($C7695="","",$C7695-WEEKDAY($C7695,2)+1)</f>
        <v/>
      </c>
      <c r="E7695">
        <f>IF($C7695="","",DATE(YEAR($C7695),MONTH($C7695),1))</f>
        <v/>
      </c>
      <c r="F7695">
        <f>IF($C7695="","",YEAR($C7695)&amp;"-Q"&amp;ROUNDUP(MONTH($C7695)/3,0))</f>
        <v/>
      </c>
      <c r="L7695">
        <f>IF($G7695&lt;&gt;"ALCOHOL","",IF($K7695="","",$H7695*IFERROR(VLOOKUP($K7695,Drink_Templates!$A:$G,7,FALSE),0)))</f>
        <v/>
      </c>
    </row>
    <row r="7696" ht="15" customHeight="1">
      <c r="C7696">
        <f>IF($B7696="","",INT($B7696))</f>
        <v/>
      </c>
      <c r="D7696">
        <f>IF($C7696="","",$C7696-WEEKDAY($C7696,2)+1)</f>
        <v/>
      </c>
      <c r="E7696">
        <f>IF($C7696="","",DATE(YEAR($C7696),MONTH($C7696),1))</f>
        <v/>
      </c>
      <c r="F7696">
        <f>IF($C7696="","",YEAR($C7696)&amp;"-Q"&amp;ROUNDUP(MONTH($C7696)/3,0))</f>
        <v/>
      </c>
      <c r="L7696">
        <f>IF($G7696&lt;&gt;"ALCOHOL","",IF($K7696="","",$H7696*IFERROR(VLOOKUP($K7696,Drink_Templates!$A:$G,7,FALSE),0)))</f>
        <v/>
      </c>
    </row>
    <row r="7697" ht="15" customHeight="1">
      <c r="C7697">
        <f>IF($B7697="","",INT($B7697))</f>
        <v/>
      </c>
      <c r="D7697">
        <f>IF($C7697="","",$C7697-WEEKDAY($C7697,2)+1)</f>
        <v/>
      </c>
      <c r="E7697">
        <f>IF($C7697="","",DATE(YEAR($C7697),MONTH($C7697),1))</f>
        <v/>
      </c>
      <c r="F7697">
        <f>IF($C7697="","",YEAR($C7697)&amp;"-Q"&amp;ROUNDUP(MONTH($C7697)/3,0))</f>
        <v/>
      </c>
      <c r="L7697">
        <f>IF($G7697&lt;&gt;"ALCOHOL","",IF($K7697="","",$H7697*IFERROR(VLOOKUP($K7697,Drink_Templates!$A:$G,7,FALSE),0)))</f>
        <v/>
      </c>
    </row>
    <row r="7698" ht="15" customHeight="1">
      <c r="C7698">
        <f>IF($B7698="","",INT($B7698))</f>
        <v/>
      </c>
      <c r="D7698">
        <f>IF($C7698="","",$C7698-WEEKDAY($C7698,2)+1)</f>
        <v/>
      </c>
      <c r="E7698">
        <f>IF($C7698="","",DATE(YEAR($C7698),MONTH($C7698),1))</f>
        <v/>
      </c>
      <c r="F7698">
        <f>IF($C7698="","",YEAR($C7698)&amp;"-Q"&amp;ROUNDUP(MONTH($C7698)/3,0))</f>
        <v/>
      </c>
      <c r="L7698">
        <f>IF($G7698&lt;&gt;"ALCOHOL","",IF($K7698="","",$H7698*IFERROR(VLOOKUP($K7698,Drink_Templates!$A:$G,7,FALSE),0)))</f>
        <v/>
      </c>
    </row>
    <row r="7699" ht="15" customHeight="1">
      <c r="C7699">
        <f>IF($B7699="","",INT($B7699))</f>
        <v/>
      </c>
      <c r="D7699">
        <f>IF($C7699="","",$C7699-WEEKDAY($C7699,2)+1)</f>
        <v/>
      </c>
      <c r="E7699">
        <f>IF($C7699="","",DATE(YEAR($C7699),MONTH($C7699),1))</f>
        <v/>
      </c>
      <c r="F7699">
        <f>IF($C7699="","",YEAR($C7699)&amp;"-Q"&amp;ROUNDUP(MONTH($C7699)/3,0))</f>
        <v/>
      </c>
      <c r="L7699">
        <f>IF($G7699&lt;&gt;"ALCOHOL","",IF($K7699="","",$H7699*IFERROR(VLOOKUP($K7699,Drink_Templates!$A:$G,7,FALSE),0)))</f>
        <v/>
      </c>
    </row>
    <row r="7700" ht="15" customHeight="1">
      <c r="C7700">
        <f>IF($B7700="","",INT($B7700))</f>
        <v/>
      </c>
      <c r="D7700">
        <f>IF($C7700="","",$C7700-WEEKDAY($C7700,2)+1)</f>
        <v/>
      </c>
      <c r="E7700">
        <f>IF($C7700="","",DATE(YEAR($C7700),MONTH($C7700),1))</f>
        <v/>
      </c>
      <c r="F7700">
        <f>IF($C7700="","",YEAR($C7700)&amp;"-Q"&amp;ROUNDUP(MONTH($C7700)/3,0))</f>
        <v/>
      </c>
      <c r="L7700">
        <f>IF($G7700&lt;&gt;"ALCOHOL","",IF($K7700="","",$H7700*IFERROR(VLOOKUP($K7700,Drink_Templates!$A:$G,7,FALSE),0)))</f>
        <v/>
      </c>
    </row>
    <row r="7701" ht="15" customHeight="1">
      <c r="C7701">
        <f>IF($B7701="","",INT($B7701))</f>
        <v/>
      </c>
      <c r="D7701">
        <f>IF($C7701="","",$C7701-WEEKDAY($C7701,2)+1)</f>
        <v/>
      </c>
      <c r="E7701">
        <f>IF($C7701="","",DATE(YEAR($C7701),MONTH($C7701),1))</f>
        <v/>
      </c>
      <c r="F7701">
        <f>IF($C7701="","",YEAR($C7701)&amp;"-Q"&amp;ROUNDUP(MONTH($C7701)/3,0))</f>
        <v/>
      </c>
      <c r="L7701">
        <f>IF($G7701&lt;&gt;"ALCOHOL","",IF($K7701="","",$H7701*IFERROR(VLOOKUP($K7701,Drink_Templates!$A:$G,7,FALSE),0)))</f>
        <v/>
      </c>
    </row>
    <row r="7702" ht="15" customHeight="1">
      <c r="C7702">
        <f>IF($B7702="","",INT($B7702))</f>
        <v/>
      </c>
      <c r="D7702">
        <f>IF($C7702="","",$C7702-WEEKDAY($C7702,2)+1)</f>
        <v/>
      </c>
      <c r="E7702">
        <f>IF($C7702="","",DATE(YEAR($C7702),MONTH($C7702),1))</f>
        <v/>
      </c>
      <c r="F7702">
        <f>IF($C7702="","",YEAR($C7702)&amp;"-Q"&amp;ROUNDUP(MONTH($C7702)/3,0))</f>
        <v/>
      </c>
      <c r="L7702">
        <f>IF($G7702&lt;&gt;"ALCOHOL","",IF($K7702="","",$H7702*IFERROR(VLOOKUP($K7702,Drink_Templates!$A:$G,7,FALSE),0)))</f>
        <v/>
      </c>
    </row>
    <row r="7703" ht="15" customHeight="1">
      <c r="C7703">
        <f>IF($B7703="","",INT($B7703))</f>
        <v/>
      </c>
      <c r="D7703">
        <f>IF($C7703="","",$C7703-WEEKDAY($C7703,2)+1)</f>
        <v/>
      </c>
      <c r="E7703">
        <f>IF($C7703="","",DATE(YEAR($C7703),MONTH($C7703),1))</f>
        <v/>
      </c>
      <c r="F7703">
        <f>IF($C7703="","",YEAR($C7703)&amp;"-Q"&amp;ROUNDUP(MONTH($C7703)/3,0))</f>
        <v/>
      </c>
      <c r="L7703">
        <f>IF($G7703&lt;&gt;"ALCOHOL","",IF($K7703="","",$H7703*IFERROR(VLOOKUP($K7703,Drink_Templates!$A:$G,7,FALSE),0)))</f>
        <v/>
      </c>
    </row>
    <row r="7704" ht="15" customHeight="1">
      <c r="C7704">
        <f>IF($B7704="","",INT($B7704))</f>
        <v/>
      </c>
      <c r="D7704">
        <f>IF($C7704="","",$C7704-WEEKDAY($C7704,2)+1)</f>
        <v/>
      </c>
      <c r="E7704">
        <f>IF($C7704="","",DATE(YEAR($C7704),MONTH($C7704),1))</f>
        <v/>
      </c>
      <c r="F7704">
        <f>IF($C7704="","",YEAR($C7704)&amp;"-Q"&amp;ROUNDUP(MONTH($C7704)/3,0))</f>
        <v/>
      </c>
      <c r="L7704">
        <f>IF($G7704&lt;&gt;"ALCOHOL","",IF($K7704="","",$H7704*IFERROR(VLOOKUP($K7704,Drink_Templates!$A:$G,7,FALSE),0)))</f>
        <v/>
      </c>
    </row>
    <row r="7705" ht="15" customHeight="1">
      <c r="C7705">
        <f>IF($B7705="","",INT($B7705))</f>
        <v/>
      </c>
      <c r="D7705">
        <f>IF($C7705="","",$C7705-WEEKDAY($C7705,2)+1)</f>
        <v/>
      </c>
      <c r="E7705">
        <f>IF($C7705="","",DATE(YEAR($C7705),MONTH($C7705),1))</f>
        <v/>
      </c>
      <c r="F7705">
        <f>IF($C7705="","",YEAR($C7705)&amp;"-Q"&amp;ROUNDUP(MONTH($C7705)/3,0))</f>
        <v/>
      </c>
      <c r="L7705">
        <f>IF($G7705&lt;&gt;"ALCOHOL","",IF($K7705="","",$H7705*IFERROR(VLOOKUP($K7705,Drink_Templates!$A:$G,7,FALSE),0)))</f>
        <v/>
      </c>
    </row>
    <row r="7706" ht="15" customHeight="1">
      <c r="C7706">
        <f>IF($B7706="","",INT($B7706))</f>
        <v/>
      </c>
      <c r="D7706">
        <f>IF($C7706="","",$C7706-WEEKDAY($C7706,2)+1)</f>
        <v/>
      </c>
      <c r="E7706">
        <f>IF($C7706="","",DATE(YEAR($C7706),MONTH($C7706),1))</f>
        <v/>
      </c>
      <c r="F7706">
        <f>IF($C7706="","",YEAR($C7706)&amp;"-Q"&amp;ROUNDUP(MONTH($C7706)/3,0))</f>
        <v/>
      </c>
      <c r="L7706">
        <f>IF($G7706&lt;&gt;"ALCOHOL","",IF($K7706="","",$H7706*IFERROR(VLOOKUP($K7706,Drink_Templates!$A:$G,7,FALSE),0)))</f>
        <v/>
      </c>
    </row>
    <row r="7707" ht="15" customHeight="1">
      <c r="C7707">
        <f>IF($B7707="","",INT($B7707))</f>
        <v/>
      </c>
      <c r="D7707">
        <f>IF($C7707="","",$C7707-WEEKDAY($C7707,2)+1)</f>
        <v/>
      </c>
      <c r="E7707">
        <f>IF($C7707="","",DATE(YEAR($C7707),MONTH($C7707),1))</f>
        <v/>
      </c>
      <c r="F7707">
        <f>IF($C7707="","",YEAR($C7707)&amp;"-Q"&amp;ROUNDUP(MONTH($C7707)/3,0))</f>
        <v/>
      </c>
      <c r="L7707">
        <f>IF($G7707&lt;&gt;"ALCOHOL","",IF($K7707="","",$H7707*IFERROR(VLOOKUP($K7707,Drink_Templates!$A:$G,7,FALSE),0)))</f>
        <v/>
      </c>
    </row>
    <row r="7708" ht="15" customHeight="1">
      <c r="C7708">
        <f>IF($B7708="","",INT($B7708))</f>
        <v/>
      </c>
      <c r="D7708">
        <f>IF($C7708="","",$C7708-WEEKDAY($C7708,2)+1)</f>
        <v/>
      </c>
      <c r="E7708">
        <f>IF($C7708="","",DATE(YEAR($C7708),MONTH($C7708),1))</f>
        <v/>
      </c>
      <c r="F7708">
        <f>IF($C7708="","",YEAR($C7708)&amp;"-Q"&amp;ROUNDUP(MONTH($C7708)/3,0))</f>
        <v/>
      </c>
      <c r="L7708">
        <f>IF($G7708&lt;&gt;"ALCOHOL","",IF($K7708="","",$H7708*IFERROR(VLOOKUP($K7708,Drink_Templates!$A:$G,7,FALSE),0)))</f>
        <v/>
      </c>
    </row>
    <row r="7709" ht="15" customHeight="1">
      <c r="C7709">
        <f>IF($B7709="","",INT($B7709))</f>
        <v/>
      </c>
      <c r="D7709">
        <f>IF($C7709="","",$C7709-WEEKDAY($C7709,2)+1)</f>
        <v/>
      </c>
      <c r="E7709">
        <f>IF($C7709="","",DATE(YEAR($C7709),MONTH($C7709),1))</f>
        <v/>
      </c>
      <c r="F7709">
        <f>IF($C7709="","",YEAR($C7709)&amp;"-Q"&amp;ROUNDUP(MONTH($C7709)/3,0))</f>
        <v/>
      </c>
      <c r="L7709">
        <f>IF($G7709&lt;&gt;"ALCOHOL","",IF($K7709="","",$H7709*IFERROR(VLOOKUP($K7709,Drink_Templates!$A:$G,7,FALSE),0)))</f>
        <v/>
      </c>
    </row>
    <row r="7710" ht="15" customHeight="1">
      <c r="C7710">
        <f>IF($B7710="","",INT($B7710))</f>
        <v/>
      </c>
      <c r="D7710">
        <f>IF($C7710="","",$C7710-WEEKDAY($C7710,2)+1)</f>
        <v/>
      </c>
      <c r="E7710">
        <f>IF($C7710="","",DATE(YEAR($C7710),MONTH($C7710),1))</f>
        <v/>
      </c>
      <c r="F7710">
        <f>IF($C7710="","",YEAR($C7710)&amp;"-Q"&amp;ROUNDUP(MONTH($C7710)/3,0))</f>
        <v/>
      </c>
      <c r="L7710">
        <f>IF($G7710&lt;&gt;"ALCOHOL","",IF($K7710="","",$H7710*IFERROR(VLOOKUP($K7710,Drink_Templates!$A:$G,7,FALSE),0)))</f>
        <v/>
      </c>
    </row>
    <row r="7711" ht="15" customHeight="1">
      <c r="C7711">
        <f>IF($B7711="","",INT($B7711))</f>
        <v/>
      </c>
      <c r="D7711">
        <f>IF($C7711="","",$C7711-WEEKDAY($C7711,2)+1)</f>
        <v/>
      </c>
      <c r="E7711">
        <f>IF($C7711="","",DATE(YEAR($C7711),MONTH($C7711),1))</f>
        <v/>
      </c>
      <c r="F7711">
        <f>IF($C7711="","",YEAR($C7711)&amp;"-Q"&amp;ROUNDUP(MONTH($C7711)/3,0))</f>
        <v/>
      </c>
      <c r="L7711">
        <f>IF($G7711&lt;&gt;"ALCOHOL","",IF($K7711="","",$H7711*IFERROR(VLOOKUP($K7711,Drink_Templates!$A:$G,7,FALSE),0)))</f>
        <v/>
      </c>
    </row>
    <row r="7712" ht="15" customHeight="1">
      <c r="C7712">
        <f>IF($B7712="","",INT($B7712))</f>
        <v/>
      </c>
      <c r="D7712">
        <f>IF($C7712="","",$C7712-WEEKDAY($C7712,2)+1)</f>
        <v/>
      </c>
      <c r="E7712">
        <f>IF($C7712="","",DATE(YEAR($C7712),MONTH($C7712),1))</f>
        <v/>
      </c>
      <c r="F7712">
        <f>IF($C7712="","",YEAR($C7712)&amp;"-Q"&amp;ROUNDUP(MONTH($C7712)/3,0))</f>
        <v/>
      </c>
      <c r="L7712">
        <f>IF($G7712&lt;&gt;"ALCOHOL","",IF($K7712="","",$H7712*IFERROR(VLOOKUP($K7712,Drink_Templates!$A:$G,7,FALSE),0)))</f>
        <v/>
      </c>
    </row>
    <row r="7713" ht="15" customHeight="1">
      <c r="C7713">
        <f>IF($B7713="","",INT($B7713))</f>
        <v/>
      </c>
      <c r="D7713">
        <f>IF($C7713="","",$C7713-WEEKDAY($C7713,2)+1)</f>
        <v/>
      </c>
      <c r="E7713">
        <f>IF($C7713="","",DATE(YEAR($C7713),MONTH($C7713),1))</f>
        <v/>
      </c>
      <c r="F7713">
        <f>IF($C7713="","",YEAR($C7713)&amp;"-Q"&amp;ROUNDUP(MONTH($C7713)/3,0))</f>
        <v/>
      </c>
      <c r="L7713">
        <f>IF($G7713&lt;&gt;"ALCOHOL","",IF($K7713="","",$H7713*IFERROR(VLOOKUP($K7713,Drink_Templates!$A:$G,7,FALSE),0)))</f>
        <v/>
      </c>
    </row>
    <row r="7714" ht="15" customHeight="1">
      <c r="C7714">
        <f>IF($B7714="","",INT($B7714))</f>
        <v/>
      </c>
      <c r="D7714">
        <f>IF($C7714="","",$C7714-WEEKDAY($C7714,2)+1)</f>
        <v/>
      </c>
      <c r="E7714">
        <f>IF($C7714="","",DATE(YEAR($C7714),MONTH($C7714),1))</f>
        <v/>
      </c>
      <c r="F7714">
        <f>IF($C7714="","",YEAR($C7714)&amp;"-Q"&amp;ROUNDUP(MONTH($C7714)/3,0))</f>
        <v/>
      </c>
      <c r="L7714">
        <f>IF($G7714&lt;&gt;"ALCOHOL","",IF($K7714="","",$H7714*IFERROR(VLOOKUP($K7714,Drink_Templates!$A:$G,7,FALSE),0)))</f>
        <v/>
      </c>
    </row>
    <row r="7715" ht="15" customHeight="1">
      <c r="C7715">
        <f>IF($B7715="","",INT($B7715))</f>
        <v/>
      </c>
      <c r="D7715">
        <f>IF($C7715="","",$C7715-WEEKDAY($C7715,2)+1)</f>
        <v/>
      </c>
      <c r="E7715">
        <f>IF($C7715="","",DATE(YEAR($C7715),MONTH($C7715),1))</f>
        <v/>
      </c>
      <c r="F7715">
        <f>IF($C7715="","",YEAR($C7715)&amp;"-Q"&amp;ROUNDUP(MONTH($C7715)/3,0))</f>
        <v/>
      </c>
      <c r="L7715">
        <f>IF($G7715&lt;&gt;"ALCOHOL","",IF($K7715="","",$H7715*IFERROR(VLOOKUP($K7715,Drink_Templates!$A:$G,7,FALSE),0)))</f>
        <v/>
      </c>
    </row>
    <row r="7716" ht="15" customHeight="1">
      <c r="C7716">
        <f>IF($B7716="","",INT($B7716))</f>
        <v/>
      </c>
      <c r="D7716">
        <f>IF($C7716="","",$C7716-WEEKDAY($C7716,2)+1)</f>
        <v/>
      </c>
      <c r="E7716">
        <f>IF($C7716="","",DATE(YEAR($C7716),MONTH($C7716),1))</f>
        <v/>
      </c>
      <c r="F7716">
        <f>IF($C7716="","",YEAR($C7716)&amp;"-Q"&amp;ROUNDUP(MONTH($C7716)/3,0))</f>
        <v/>
      </c>
      <c r="L7716">
        <f>IF($G7716&lt;&gt;"ALCOHOL","",IF($K7716="","",$H7716*IFERROR(VLOOKUP($K7716,Drink_Templates!$A:$G,7,FALSE),0)))</f>
        <v/>
      </c>
    </row>
    <row r="7717" ht="15" customHeight="1">
      <c r="C7717">
        <f>IF($B7717="","",INT($B7717))</f>
        <v/>
      </c>
      <c r="D7717">
        <f>IF($C7717="","",$C7717-WEEKDAY($C7717,2)+1)</f>
        <v/>
      </c>
      <c r="E7717">
        <f>IF($C7717="","",DATE(YEAR($C7717),MONTH($C7717),1))</f>
        <v/>
      </c>
      <c r="F7717">
        <f>IF($C7717="","",YEAR($C7717)&amp;"-Q"&amp;ROUNDUP(MONTH($C7717)/3,0))</f>
        <v/>
      </c>
      <c r="L7717">
        <f>IF($G7717&lt;&gt;"ALCOHOL","",IF($K7717="","",$H7717*IFERROR(VLOOKUP($K7717,Drink_Templates!$A:$G,7,FALSE),0)))</f>
        <v/>
      </c>
    </row>
    <row r="7718" ht="15" customHeight="1">
      <c r="C7718">
        <f>IF($B7718="","",INT($B7718))</f>
        <v/>
      </c>
      <c r="D7718">
        <f>IF($C7718="","",$C7718-WEEKDAY($C7718,2)+1)</f>
        <v/>
      </c>
      <c r="E7718">
        <f>IF($C7718="","",DATE(YEAR($C7718),MONTH($C7718),1))</f>
        <v/>
      </c>
      <c r="F7718">
        <f>IF($C7718="","",YEAR($C7718)&amp;"-Q"&amp;ROUNDUP(MONTH($C7718)/3,0))</f>
        <v/>
      </c>
      <c r="L7718">
        <f>IF($G7718&lt;&gt;"ALCOHOL","",IF($K7718="","",$H7718*IFERROR(VLOOKUP($K7718,Drink_Templates!$A:$G,7,FALSE),0)))</f>
        <v/>
      </c>
    </row>
    <row r="7719" ht="15" customHeight="1">
      <c r="C7719">
        <f>IF($B7719="","",INT($B7719))</f>
        <v/>
      </c>
      <c r="D7719">
        <f>IF($C7719="","",$C7719-WEEKDAY($C7719,2)+1)</f>
        <v/>
      </c>
      <c r="E7719">
        <f>IF($C7719="","",DATE(YEAR($C7719),MONTH($C7719),1))</f>
        <v/>
      </c>
      <c r="F7719">
        <f>IF($C7719="","",YEAR($C7719)&amp;"-Q"&amp;ROUNDUP(MONTH($C7719)/3,0))</f>
        <v/>
      </c>
      <c r="L7719">
        <f>IF($G7719&lt;&gt;"ALCOHOL","",IF($K7719="","",$H7719*IFERROR(VLOOKUP($K7719,Drink_Templates!$A:$G,7,FALSE),0)))</f>
        <v/>
      </c>
    </row>
    <row r="7720" ht="15" customHeight="1">
      <c r="C7720">
        <f>IF($B7720="","",INT($B7720))</f>
        <v/>
      </c>
      <c r="D7720">
        <f>IF($C7720="","",$C7720-WEEKDAY($C7720,2)+1)</f>
        <v/>
      </c>
      <c r="E7720">
        <f>IF($C7720="","",DATE(YEAR($C7720),MONTH($C7720),1))</f>
        <v/>
      </c>
      <c r="F7720">
        <f>IF($C7720="","",YEAR($C7720)&amp;"-Q"&amp;ROUNDUP(MONTH($C7720)/3,0))</f>
        <v/>
      </c>
      <c r="L7720">
        <f>IF($G7720&lt;&gt;"ALCOHOL","",IF($K7720="","",$H7720*IFERROR(VLOOKUP($K7720,Drink_Templates!$A:$G,7,FALSE),0)))</f>
        <v/>
      </c>
    </row>
    <row r="7721" ht="15" customHeight="1">
      <c r="C7721">
        <f>IF($B7721="","",INT($B7721))</f>
        <v/>
      </c>
      <c r="D7721">
        <f>IF($C7721="","",$C7721-WEEKDAY($C7721,2)+1)</f>
        <v/>
      </c>
      <c r="E7721">
        <f>IF($C7721="","",DATE(YEAR($C7721),MONTH($C7721),1))</f>
        <v/>
      </c>
      <c r="F7721">
        <f>IF($C7721="","",YEAR($C7721)&amp;"-Q"&amp;ROUNDUP(MONTH($C7721)/3,0))</f>
        <v/>
      </c>
      <c r="L7721">
        <f>IF($G7721&lt;&gt;"ALCOHOL","",IF($K7721="","",$H7721*IFERROR(VLOOKUP($K7721,Drink_Templates!$A:$G,7,FALSE),0)))</f>
        <v/>
      </c>
    </row>
    <row r="7722" ht="15" customHeight="1">
      <c r="C7722">
        <f>IF($B7722="","",INT($B7722))</f>
        <v/>
      </c>
      <c r="D7722">
        <f>IF($C7722="","",$C7722-WEEKDAY($C7722,2)+1)</f>
        <v/>
      </c>
      <c r="E7722">
        <f>IF($C7722="","",DATE(YEAR($C7722),MONTH($C7722),1))</f>
        <v/>
      </c>
      <c r="F7722">
        <f>IF($C7722="","",YEAR($C7722)&amp;"-Q"&amp;ROUNDUP(MONTH($C7722)/3,0))</f>
        <v/>
      </c>
      <c r="L7722">
        <f>IF($G7722&lt;&gt;"ALCOHOL","",IF($K7722="","",$H7722*IFERROR(VLOOKUP($K7722,Drink_Templates!$A:$G,7,FALSE),0)))</f>
        <v/>
      </c>
    </row>
    <row r="7723" ht="15" customHeight="1">
      <c r="C7723">
        <f>IF($B7723="","",INT($B7723))</f>
        <v/>
      </c>
      <c r="D7723">
        <f>IF($C7723="","",$C7723-WEEKDAY($C7723,2)+1)</f>
        <v/>
      </c>
      <c r="E7723">
        <f>IF($C7723="","",DATE(YEAR($C7723),MONTH($C7723),1))</f>
        <v/>
      </c>
      <c r="F7723">
        <f>IF($C7723="","",YEAR($C7723)&amp;"-Q"&amp;ROUNDUP(MONTH($C7723)/3,0))</f>
        <v/>
      </c>
      <c r="L7723">
        <f>IF($G7723&lt;&gt;"ALCOHOL","",IF($K7723="","",$H7723*IFERROR(VLOOKUP($K7723,Drink_Templates!$A:$G,7,FALSE),0)))</f>
        <v/>
      </c>
    </row>
    <row r="7724" ht="15" customHeight="1">
      <c r="C7724">
        <f>IF($B7724="","",INT($B7724))</f>
        <v/>
      </c>
      <c r="D7724">
        <f>IF($C7724="","",$C7724-WEEKDAY($C7724,2)+1)</f>
        <v/>
      </c>
      <c r="E7724">
        <f>IF($C7724="","",DATE(YEAR($C7724),MONTH($C7724),1))</f>
        <v/>
      </c>
      <c r="F7724">
        <f>IF($C7724="","",YEAR($C7724)&amp;"-Q"&amp;ROUNDUP(MONTH($C7724)/3,0))</f>
        <v/>
      </c>
      <c r="L7724">
        <f>IF($G7724&lt;&gt;"ALCOHOL","",IF($K7724="","",$H7724*IFERROR(VLOOKUP($K7724,Drink_Templates!$A:$G,7,FALSE),0)))</f>
        <v/>
      </c>
    </row>
    <row r="7725" ht="15" customHeight="1">
      <c r="C7725">
        <f>IF($B7725="","",INT($B7725))</f>
        <v/>
      </c>
      <c r="D7725">
        <f>IF($C7725="","",$C7725-WEEKDAY($C7725,2)+1)</f>
        <v/>
      </c>
      <c r="E7725">
        <f>IF($C7725="","",DATE(YEAR($C7725),MONTH($C7725),1))</f>
        <v/>
      </c>
      <c r="F7725">
        <f>IF($C7725="","",YEAR($C7725)&amp;"-Q"&amp;ROUNDUP(MONTH($C7725)/3,0))</f>
        <v/>
      </c>
      <c r="L7725">
        <f>IF($G7725&lt;&gt;"ALCOHOL","",IF($K7725="","",$H7725*IFERROR(VLOOKUP($K7725,Drink_Templates!$A:$G,7,FALSE),0)))</f>
        <v/>
      </c>
    </row>
    <row r="7726" ht="15" customHeight="1">
      <c r="C7726">
        <f>IF($B7726="","",INT($B7726))</f>
        <v/>
      </c>
      <c r="D7726">
        <f>IF($C7726="","",$C7726-WEEKDAY($C7726,2)+1)</f>
        <v/>
      </c>
      <c r="E7726">
        <f>IF($C7726="","",DATE(YEAR($C7726),MONTH($C7726),1))</f>
        <v/>
      </c>
      <c r="F7726">
        <f>IF($C7726="","",YEAR($C7726)&amp;"-Q"&amp;ROUNDUP(MONTH($C7726)/3,0))</f>
        <v/>
      </c>
      <c r="L7726">
        <f>IF($G7726&lt;&gt;"ALCOHOL","",IF($K7726="","",$H7726*IFERROR(VLOOKUP($K7726,Drink_Templates!$A:$G,7,FALSE),0)))</f>
        <v/>
      </c>
    </row>
    <row r="7727" ht="15" customHeight="1">
      <c r="C7727">
        <f>IF($B7727="","",INT($B7727))</f>
        <v/>
      </c>
      <c r="D7727">
        <f>IF($C7727="","",$C7727-WEEKDAY($C7727,2)+1)</f>
        <v/>
      </c>
      <c r="E7727">
        <f>IF($C7727="","",DATE(YEAR($C7727),MONTH($C7727),1))</f>
        <v/>
      </c>
      <c r="F7727">
        <f>IF($C7727="","",YEAR($C7727)&amp;"-Q"&amp;ROUNDUP(MONTH($C7727)/3,0))</f>
        <v/>
      </c>
      <c r="L7727">
        <f>IF($G7727&lt;&gt;"ALCOHOL","",IF($K7727="","",$H7727*IFERROR(VLOOKUP($K7727,Drink_Templates!$A:$G,7,FALSE),0)))</f>
        <v/>
      </c>
    </row>
    <row r="7728" ht="15" customHeight="1">
      <c r="C7728">
        <f>IF($B7728="","",INT($B7728))</f>
        <v/>
      </c>
      <c r="D7728">
        <f>IF($C7728="","",$C7728-WEEKDAY($C7728,2)+1)</f>
        <v/>
      </c>
      <c r="E7728">
        <f>IF($C7728="","",DATE(YEAR($C7728),MONTH($C7728),1))</f>
        <v/>
      </c>
      <c r="F7728">
        <f>IF($C7728="","",YEAR($C7728)&amp;"-Q"&amp;ROUNDUP(MONTH($C7728)/3,0))</f>
        <v/>
      </c>
      <c r="L7728">
        <f>IF($G7728&lt;&gt;"ALCOHOL","",IF($K7728="","",$H7728*IFERROR(VLOOKUP($K7728,Drink_Templates!$A:$G,7,FALSE),0)))</f>
        <v/>
      </c>
    </row>
    <row r="7729" ht="15" customHeight="1">
      <c r="C7729">
        <f>IF($B7729="","",INT($B7729))</f>
        <v/>
      </c>
      <c r="D7729">
        <f>IF($C7729="","",$C7729-WEEKDAY($C7729,2)+1)</f>
        <v/>
      </c>
      <c r="E7729">
        <f>IF($C7729="","",DATE(YEAR($C7729),MONTH($C7729),1))</f>
        <v/>
      </c>
      <c r="F7729">
        <f>IF($C7729="","",YEAR($C7729)&amp;"-Q"&amp;ROUNDUP(MONTH($C7729)/3,0))</f>
        <v/>
      </c>
      <c r="L7729">
        <f>IF($G7729&lt;&gt;"ALCOHOL","",IF($K7729="","",$H7729*IFERROR(VLOOKUP($K7729,Drink_Templates!$A:$G,7,FALSE),0)))</f>
        <v/>
      </c>
    </row>
    <row r="7730" ht="15" customHeight="1">
      <c r="C7730">
        <f>IF($B7730="","",INT($B7730))</f>
        <v/>
      </c>
      <c r="D7730">
        <f>IF($C7730="","",$C7730-WEEKDAY($C7730,2)+1)</f>
        <v/>
      </c>
      <c r="E7730">
        <f>IF($C7730="","",DATE(YEAR($C7730),MONTH($C7730),1))</f>
        <v/>
      </c>
      <c r="F7730">
        <f>IF($C7730="","",YEAR($C7730)&amp;"-Q"&amp;ROUNDUP(MONTH($C7730)/3,0))</f>
        <v/>
      </c>
      <c r="L7730">
        <f>IF($G7730&lt;&gt;"ALCOHOL","",IF($K7730="","",$H7730*IFERROR(VLOOKUP($K7730,Drink_Templates!$A:$G,7,FALSE),0)))</f>
        <v/>
      </c>
    </row>
    <row r="7731" ht="15" customHeight="1">
      <c r="C7731">
        <f>IF($B7731="","",INT($B7731))</f>
        <v/>
      </c>
      <c r="D7731">
        <f>IF($C7731="","",$C7731-WEEKDAY($C7731,2)+1)</f>
        <v/>
      </c>
      <c r="E7731">
        <f>IF($C7731="","",DATE(YEAR($C7731),MONTH($C7731),1))</f>
        <v/>
      </c>
      <c r="F7731">
        <f>IF($C7731="","",YEAR($C7731)&amp;"-Q"&amp;ROUNDUP(MONTH($C7731)/3,0))</f>
        <v/>
      </c>
      <c r="L7731">
        <f>IF($G7731&lt;&gt;"ALCOHOL","",IF($K7731="","",$H7731*IFERROR(VLOOKUP($K7731,Drink_Templates!$A:$G,7,FALSE),0)))</f>
        <v/>
      </c>
    </row>
    <row r="7732" ht="15" customHeight="1">
      <c r="C7732">
        <f>IF($B7732="","",INT($B7732))</f>
        <v/>
      </c>
      <c r="D7732">
        <f>IF($C7732="","",$C7732-WEEKDAY($C7732,2)+1)</f>
        <v/>
      </c>
      <c r="E7732">
        <f>IF($C7732="","",DATE(YEAR($C7732),MONTH($C7732),1))</f>
        <v/>
      </c>
      <c r="F7732">
        <f>IF($C7732="","",YEAR($C7732)&amp;"-Q"&amp;ROUNDUP(MONTH($C7732)/3,0))</f>
        <v/>
      </c>
      <c r="L7732">
        <f>IF($G7732&lt;&gt;"ALCOHOL","",IF($K7732="","",$H7732*IFERROR(VLOOKUP($K7732,Drink_Templates!$A:$G,7,FALSE),0)))</f>
        <v/>
      </c>
    </row>
    <row r="7733" ht="15" customHeight="1">
      <c r="C7733">
        <f>IF($B7733="","",INT($B7733))</f>
        <v/>
      </c>
      <c r="D7733">
        <f>IF($C7733="","",$C7733-WEEKDAY($C7733,2)+1)</f>
        <v/>
      </c>
      <c r="E7733">
        <f>IF($C7733="","",DATE(YEAR($C7733),MONTH($C7733),1))</f>
        <v/>
      </c>
      <c r="F7733">
        <f>IF($C7733="","",YEAR($C7733)&amp;"-Q"&amp;ROUNDUP(MONTH($C7733)/3,0))</f>
        <v/>
      </c>
      <c r="L7733">
        <f>IF($G7733&lt;&gt;"ALCOHOL","",IF($K7733="","",$H7733*IFERROR(VLOOKUP($K7733,Drink_Templates!$A:$G,7,FALSE),0)))</f>
        <v/>
      </c>
    </row>
    <row r="7734" ht="15" customHeight="1">
      <c r="C7734">
        <f>IF($B7734="","",INT($B7734))</f>
        <v/>
      </c>
      <c r="D7734">
        <f>IF($C7734="","",$C7734-WEEKDAY($C7734,2)+1)</f>
        <v/>
      </c>
      <c r="E7734">
        <f>IF($C7734="","",DATE(YEAR($C7734),MONTH($C7734),1))</f>
        <v/>
      </c>
      <c r="F7734">
        <f>IF($C7734="","",YEAR($C7734)&amp;"-Q"&amp;ROUNDUP(MONTH($C7734)/3,0))</f>
        <v/>
      </c>
      <c r="L7734">
        <f>IF($G7734&lt;&gt;"ALCOHOL","",IF($K7734="","",$H7734*IFERROR(VLOOKUP($K7734,Drink_Templates!$A:$G,7,FALSE),0)))</f>
        <v/>
      </c>
    </row>
    <row r="7735" ht="15" customHeight="1">
      <c r="C7735">
        <f>IF($B7735="","",INT($B7735))</f>
        <v/>
      </c>
      <c r="D7735">
        <f>IF($C7735="","",$C7735-WEEKDAY($C7735,2)+1)</f>
        <v/>
      </c>
      <c r="E7735">
        <f>IF($C7735="","",DATE(YEAR($C7735),MONTH($C7735),1))</f>
        <v/>
      </c>
      <c r="F7735">
        <f>IF($C7735="","",YEAR($C7735)&amp;"-Q"&amp;ROUNDUP(MONTH($C7735)/3,0))</f>
        <v/>
      </c>
      <c r="L7735">
        <f>IF($G7735&lt;&gt;"ALCOHOL","",IF($K7735="","",$H7735*IFERROR(VLOOKUP($K7735,Drink_Templates!$A:$G,7,FALSE),0)))</f>
        <v/>
      </c>
    </row>
    <row r="7736" ht="15" customHeight="1">
      <c r="C7736">
        <f>IF($B7736="","",INT($B7736))</f>
        <v/>
      </c>
      <c r="D7736">
        <f>IF($C7736="","",$C7736-WEEKDAY($C7736,2)+1)</f>
        <v/>
      </c>
      <c r="E7736">
        <f>IF($C7736="","",DATE(YEAR($C7736),MONTH($C7736),1))</f>
        <v/>
      </c>
      <c r="F7736">
        <f>IF($C7736="","",YEAR($C7736)&amp;"-Q"&amp;ROUNDUP(MONTH($C7736)/3,0))</f>
        <v/>
      </c>
      <c r="L7736">
        <f>IF($G7736&lt;&gt;"ALCOHOL","",IF($K7736="","",$H7736*IFERROR(VLOOKUP($K7736,Drink_Templates!$A:$G,7,FALSE),0)))</f>
        <v/>
      </c>
    </row>
    <row r="7737" ht="15" customHeight="1">
      <c r="C7737">
        <f>IF($B7737="","",INT($B7737))</f>
        <v/>
      </c>
      <c r="D7737">
        <f>IF($C7737="","",$C7737-WEEKDAY($C7737,2)+1)</f>
        <v/>
      </c>
      <c r="E7737">
        <f>IF($C7737="","",DATE(YEAR($C7737),MONTH($C7737),1))</f>
        <v/>
      </c>
      <c r="F7737">
        <f>IF($C7737="","",YEAR($C7737)&amp;"-Q"&amp;ROUNDUP(MONTH($C7737)/3,0))</f>
        <v/>
      </c>
      <c r="L7737">
        <f>IF($G7737&lt;&gt;"ALCOHOL","",IF($K7737="","",$H7737*IFERROR(VLOOKUP($K7737,Drink_Templates!$A:$G,7,FALSE),0)))</f>
        <v/>
      </c>
    </row>
    <row r="7738" ht="15" customHeight="1">
      <c r="C7738">
        <f>IF($B7738="","",INT($B7738))</f>
        <v/>
      </c>
      <c r="D7738">
        <f>IF($C7738="","",$C7738-WEEKDAY($C7738,2)+1)</f>
        <v/>
      </c>
      <c r="E7738">
        <f>IF($C7738="","",DATE(YEAR($C7738),MONTH($C7738),1))</f>
        <v/>
      </c>
      <c r="F7738">
        <f>IF($C7738="","",YEAR($C7738)&amp;"-Q"&amp;ROUNDUP(MONTH($C7738)/3,0))</f>
        <v/>
      </c>
      <c r="L7738">
        <f>IF($G7738&lt;&gt;"ALCOHOL","",IF($K7738="","",$H7738*IFERROR(VLOOKUP($K7738,Drink_Templates!$A:$G,7,FALSE),0)))</f>
        <v/>
      </c>
    </row>
    <row r="7739" ht="15" customHeight="1">
      <c r="C7739">
        <f>IF($B7739="","",INT($B7739))</f>
        <v/>
      </c>
      <c r="D7739">
        <f>IF($C7739="","",$C7739-WEEKDAY($C7739,2)+1)</f>
        <v/>
      </c>
      <c r="E7739">
        <f>IF($C7739="","",DATE(YEAR($C7739),MONTH($C7739),1))</f>
        <v/>
      </c>
      <c r="F7739">
        <f>IF($C7739="","",YEAR($C7739)&amp;"-Q"&amp;ROUNDUP(MONTH($C7739)/3,0))</f>
        <v/>
      </c>
      <c r="L7739">
        <f>IF($G7739&lt;&gt;"ALCOHOL","",IF($K7739="","",$H7739*IFERROR(VLOOKUP($K7739,Drink_Templates!$A:$G,7,FALSE),0)))</f>
        <v/>
      </c>
    </row>
    <row r="7740" ht="15" customHeight="1">
      <c r="C7740">
        <f>IF($B7740="","",INT($B7740))</f>
        <v/>
      </c>
      <c r="D7740">
        <f>IF($C7740="","",$C7740-WEEKDAY($C7740,2)+1)</f>
        <v/>
      </c>
      <c r="E7740">
        <f>IF($C7740="","",DATE(YEAR($C7740),MONTH($C7740),1))</f>
        <v/>
      </c>
      <c r="F7740">
        <f>IF($C7740="","",YEAR($C7740)&amp;"-Q"&amp;ROUNDUP(MONTH($C7740)/3,0))</f>
        <v/>
      </c>
      <c r="L7740">
        <f>IF($G7740&lt;&gt;"ALCOHOL","",IF($K7740="","",$H7740*IFERROR(VLOOKUP($K7740,Drink_Templates!$A:$G,7,FALSE),0)))</f>
        <v/>
      </c>
    </row>
    <row r="7741" ht="15" customHeight="1">
      <c r="C7741">
        <f>IF($B7741="","",INT($B7741))</f>
        <v/>
      </c>
      <c r="D7741">
        <f>IF($C7741="","",$C7741-WEEKDAY($C7741,2)+1)</f>
        <v/>
      </c>
      <c r="E7741">
        <f>IF($C7741="","",DATE(YEAR($C7741),MONTH($C7741),1))</f>
        <v/>
      </c>
      <c r="F7741">
        <f>IF($C7741="","",YEAR($C7741)&amp;"-Q"&amp;ROUNDUP(MONTH($C7741)/3,0))</f>
        <v/>
      </c>
      <c r="L7741">
        <f>IF($G7741&lt;&gt;"ALCOHOL","",IF($K7741="","",$H7741*IFERROR(VLOOKUP($K7741,Drink_Templates!$A:$G,7,FALSE),0)))</f>
        <v/>
      </c>
    </row>
    <row r="7742" ht="15" customHeight="1">
      <c r="C7742">
        <f>IF($B7742="","",INT($B7742))</f>
        <v/>
      </c>
      <c r="D7742">
        <f>IF($C7742="","",$C7742-WEEKDAY($C7742,2)+1)</f>
        <v/>
      </c>
      <c r="E7742">
        <f>IF($C7742="","",DATE(YEAR($C7742),MONTH($C7742),1))</f>
        <v/>
      </c>
      <c r="F7742">
        <f>IF($C7742="","",YEAR($C7742)&amp;"-Q"&amp;ROUNDUP(MONTH($C7742)/3,0))</f>
        <v/>
      </c>
      <c r="L7742">
        <f>IF($G7742&lt;&gt;"ALCOHOL","",IF($K7742="","",$H7742*IFERROR(VLOOKUP($K7742,Drink_Templates!$A:$G,7,FALSE),0)))</f>
        <v/>
      </c>
    </row>
    <row r="7743" ht="15" customHeight="1">
      <c r="C7743">
        <f>IF($B7743="","",INT($B7743))</f>
        <v/>
      </c>
      <c r="D7743">
        <f>IF($C7743="","",$C7743-WEEKDAY($C7743,2)+1)</f>
        <v/>
      </c>
      <c r="E7743">
        <f>IF($C7743="","",DATE(YEAR($C7743),MONTH($C7743),1))</f>
        <v/>
      </c>
      <c r="F7743">
        <f>IF($C7743="","",YEAR($C7743)&amp;"-Q"&amp;ROUNDUP(MONTH($C7743)/3,0))</f>
        <v/>
      </c>
      <c r="L7743">
        <f>IF($G7743&lt;&gt;"ALCOHOL","",IF($K7743="","",$H7743*IFERROR(VLOOKUP($K7743,Drink_Templates!$A:$G,7,FALSE),0)))</f>
        <v/>
      </c>
    </row>
    <row r="7744" ht="15" customHeight="1">
      <c r="C7744">
        <f>IF($B7744="","",INT($B7744))</f>
        <v/>
      </c>
      <c r="D7744">
        <f>IF($C7744="","",$C7744-WEEKDAY($C7744,2)+1)</f>
        <v/>
      </c>
      <c r="E7744">
        <f>IF($C7744="","",DATE(YEAR($C7744),MONTH($C7744),1))</f>
        <v/>
      </c>
      <c r="F7744">
        <f>IF($C7744="","",YEAR($C7744)&amp;"-Q"&amp;ROUNDUP(MONTH($C7744)/3,0))</f>
        <v/>
      </c>
      <c r="L7744">
        <f>IF($G7744&lt;&gt;"ALCOHOL","",IF($K7744="","",$H7744*IFERROR(VLOOKUP($K7744,Drink_Templates!$A:$G,7,FALSE),0)))</f>
        <v/>
      </c>
    </row>
    <row r="7745" ht="15" customHeight="1">
      <c r="C7745">
        <f>IF($B7745="","",INT($B7745))</f>
        <v/>
      </c>
      <c r="D7745">
        <f>IF($C7745="","",$C7745-WEEKDAY($C7745,2)+1)</f>
        <v/>
      </c>
      <c r="E7745">
        <f>IF($C7745="","",DATE(YEAR($C7745),MONTH($C7745),1))</f>
        <v/>
      </c>
      <c r="F7745">
        <f>IF($C7745="","",YEAR($C7745)&amp;"-Q"&amp;ROUNDUP(MONTH($C7745)/3,0))</f>
        <v/>
      </c>
      <c r="L7745">
        <f>IF($G7745&lt;&gt;"ALCOHOL","",IF($K7745="","",$H7745*IFERROR(VLOOKUP($K7745,Drink_Templates!$A:$G,7,FALSE),0)))</f>
        <v/>
      </c>
    </row>
    <row r="7746" ht="15" customHeight="1">
      <c r="C7746">
        <f>IF($B7746="","",INT($B7746))</f>
        <v/>
      </c>
      <c r="D7746">
        <f>IF($C7746="","",$C7746-WEEKDAY($C7746,2)+1)</f>
        <v/>
      </c>
      <c r="E7746">
        <f>IF($C7746="","",DATE(YEAR($C7746),MONTH($C7746),1))</f>
        <v/>
      </c>
      <c r="F7746">
        <f>IF($C7746="","",YEAR($C7746)&amp;"-Q"&amp;ROUNDUP(MONTH($C7746)/3,0))</f>
        <v/>
      </c>
      <c r="L7746">
        <f>IF($G7746&lt;&gt;"ALCOHOL","",IF($K7746="","",$H7746*IFERROR(VLOOKUP($K7746,Drink_Templates!$A:$G,7,FALSE),0)))</f>
        <v/>
      </c>
    </row>
    <row r="7747" ht="15" customHeight="1">
      <c r="C7747">
        <f>IF($B7747="","",INT($B7747))</f>
        <v/>
      </c>
      <c r="D7747">
        <f>IF($C7747="","",$C7747-WEEKDAY($C7747,2)+1)</f>
        <v/>
      </c>
      <c r="E7747">
        <f>IF($C7747="","",DATE(YEAR($C7747),MONTH($C7747),1))</f>
        <v/>
      </c>
      <c r="F7747">
        <f>IF($C7747="","",YEAR($C7747)&amp;"-Q"&amp;ROUNDUP(MONTH($C7747)/3,0))</f>
        <v/>
      </c>
      <c r="L7747">
        <f>IF($G7747&lt;&gt;"ALCOHOL","",IF($K7747="","",$H7747*IFERROR(VLOOKUP($K7747,Drink_Templates!$A:$G,7,FALSE),0)))</f>
        <v/>
      </c>
    </row>
    <row r="7748" ht="15" customHeight="1">
      <c r="C7748">
        <f>IF($B7748="","",INT($B7748))</f>
        <v/>
      </c>
      <c r="D7748">
        <f>IF($C7748="","",$C7748-WEEKDAY($C7748,2)+1)</f>
        <v/>
      </c>
      <c r="E7748">
        <f>IF($C7748="","",DATE(YEAR($C7748),MONTH($C7748),1))</f>
        <v/>
      </c>
      <c r="F7748">
        <f>IF($C7748="","",YEAR($C7748)&amp;"-Q"&amp;ROUNDUP(MONTH($C7748)/3,0))</f>
        <v/>
      </c>
      <c r="L7748">
        <f>IF($G7748&lt;&gt;"ALCOHOL","",IF($K7748="","",$H7748*IFERROR(VLOOKUP($K7748,Drink_Templates!$A:$G,7,FALSE),0)))</f>
        <v/>
      </c>
    </row>
    <row r="7749" ht="15" customHeight="1">
      <c r="C7749">
        <f>IF($B7749="","",INT($B7749))</f>
        <v/>
      </c>
      <c r="D7749">
        <f>IF($C7749="","",$C7749-WEEKDAY($C7749,2)+1)</f>
        <v/>
      </c>
      <c r="E7749">
        <f>IF($C7749="","",DATE(YEAR($C7749),MONTH($C7749),1))</f>
        <v/>
      </c>
      <c r="F7749">
        <f>IF($C7749="","",YEAR($C7749)&amp;"-Q"&amp;ROUNDUP(MONTH($C7749)/3,0))</f>
        <v/>
      </c>
      <c r="L7749">
        <f>IF($G7749&lt;&gt;"ALCOHOL","",IF($K7749="","",$H7749*IFERROR(VLOOKUP($K7749,Drink_Templates!$A:$G,7,FALSE),0)))</f>
        <v/>
      </c>
    </row>
    <row r="7750" ht="15" customHeight="1">
      <c r="C7750">
        <f>IF($B7750="","",INT($B7750))</f>
        <v/>
      </c>
      <c r="D7750">
        <f>IF($C7750="","",$C7750-WEEKDAY($C7750,2)+1)</f>
        <v/>
      </c>
      <c r="E7750">
        <f>IF($C7750="","",DATE(YEAR($C7750),MONTH($C7750),1))</f>
        <v/>
      </c>
      <c r="F7750">
        <f>IF($C7750="","",YEAR($C7750)&amp;"-Q"&amp;ROUNDUP(MONTH($C7750)/3,0))</f>
        <v/>
      </c>
      <c r="L7750">
        <f>IF($G7750&lt;&gt;"ALCOHOL","",IF($K7750="","",$H7750*IFERROR(VLOOKUP($K7750,Drink_Templates!$A:$G,7,FALSE),0)))</f>
        <v/>
      </c>
    </row>
    <row r="7751" ht="15" customHeight="1">
      <c r="C7751">
        <f>IF($B7751="","",INT($B7751))</f>
        <v/>
      </c>
      <c r="D7751">
        <f>IF($C7751="","",$C7751-WEEKDAY($C7751,2)+1)</f>
        <v/>
      </c>
      <c r="E7751">
        <f>IF($C7751="","",DATE(YEAR($C7751),MONTH($C7751),1))</f>
        <v/>
      </c>
      <c r="F7751">
        <f>IF($C7751="","",YEAR($C7751)&amp;"-Q"&amp;ROUNDUP(MONTH($C7751)/3,0))</f>
        <v/>
      </c>
      <c r="L7751">
        <f>IF($G7751&lt;&gt;"ALCOHOL","",IF($K7751="","",$H7751*IFERROR(VLOOKUP($K7751,Drink_Templates!$A:$G,7,FALSE),0)))</f>
        <v/>
      </c>
    </row>
    <row r="7752" ht="15" customHeight="1">
      <c r="C7752">
        <f>IF($B7752="","",INT($B7752))</f>
        <v/>
      </c>
      <c r="D7752">
        <f>IF($C7752="","",$C7752-WEEKDAY($C7752,2)+1)</f>
        <v/>
      </c>
      <c r="E7752">
        <f>IF($C7752="","",DATE(YEAR($C7752),MONTH($C7752),1))</f>
        <v/>
      </c>
      <c r="F7752">
        <f>IF($C7752="","",YEAR($C7752)&amp;"-Q"&amp;ROUNDUP(MONTH($C7752)/3,0))</f>
        <v/>
      </c>
      <c r="L7752">
        <f>IF($G7752&lt;&gt;"ALCOHOL","",IF($K7752="","",$H7752*IFERROR(VLOOKUP($K7752,Drink_Templates!$A:$G,7,FALSE),0)))</f>
        <v/>
      </c>
    </row>
    <row r="7753" ht="15" customHeight="1">
      <c r="C7753">
        <f>IF($B7753="","",INT($B7753))</f>
        <v/>
      </c>
      <c r="D7753">
        <f>IF($C7753="","",$C7753-WEEKDAY($C7753,2)+1)</f>
        <v/>
      </c>
      <c r="E7753">
        <f>IF($C7753="","",DATE(YEAR($C7753),MONTH($C7753),1))</f>
        <v/>
      </c>
      <c r="F7753">
        <f>IF($C7753="","",YEAR($C7753)&amp;"-Q"&amp;ROUNDUP(MONTH($C7753)/3,0))</f>
        <v/>
      </c>
      <c r="L7753">
        <f>IF($G7753&lt;&gt;"ALCOHOL","",IF($K7753="","",$H7753*IFERROR(VLOOKUP($K7753,Drink_Templates!$A:$G,7,FALSE),0)))</f>
        <v/>
      </c>
    </row>
    <row r="7754" ht="15" customHeight="1">
      <c r="C7754">
        <f>IF($B7754="","",INT($B7754))</f>
        <v/>
      </c>
      <c r="D7754">
        <f>IF($C7754="","",$C7754-WEEKDAY($C7754,2)+1)</f>
        <v/>
      </c>
      <c r="E7754">
        <f>IF($C7754="","",DATE(YEAR($C7754),MONTH($C7754),1))</f>
        <v/>
      </c>
      <c r="F7754">
        <f>IF($C7754="","",YEAR($C7754)&amp;"-Q"&amp;ROUNDUP(MONTH($C7754)/3,0))</f>
        <v/>
      </c>
      <c r="L7754">
        <f>IF($G7754&lt;&gt;"ALCOHOL","",IF($K7754="","",$H7754*IFERROR(VLOOKUP($K7754,Drink_Templates!$A:$G,7,FALSE),0)))</f>
        <v/>
      </c>
    </row>
    <row r="7755" ht="15" customHeight="1">
      <c r="C7755">
        <f>IF($B7755="","",INT($B7755))</f>
        <v/>
      </c>
      <c r="D7755">
        <f>IF($C7755="","",$C7755-WEEKDAY($C7755,2)+1)</f>
        <v/>
      </c>
      <c r="E7755">
        <f>IF($C7755="","",DATE(YEAR($C7755),MONTH($C7755),1))</f>
        <v/>
      </c>
      <c r="F7755">
        <f>IF($C7755="","",YEAR($C7755)&amp;"-Q"&amp;ROUNDUP(MONTH($C7755)/3,0))</f>
        <v/>
      </c>
      <c r="L7755">
        <f>IF($G7755&lt;&gt;"ALCOHOL","",IF($K7755="","",$H7755*IFERROR(VLOOKUP($K7755,Drink_Templates!$A:$G,7,FALSE),0)))</f>
        <v/>
      </c>
    </row>
    <row r="7756" ht="15" customHeight="1">
      <c r="C7756">
        <f>IF($B7756="","",INT($B7756))</f>
        <v/>
      </c>
      <c r="D7756">
        <f>IF($C7756="","",$C7756-WEEKDAY($C7756,2)+1)</f>
        <v/>
      </c>
      <c r="E7756">
        <f>IF($C7756="","",DATE(YEAR($C7756),MONTH($C7756),1))</f>
        <v/>
      </c>
      <c r="F7756">
        <f>IF($C7756="","",YEAR($C7756)&amp;"-Q"&amp;ROUNDUP(MONTH($C7756)/3,0))</f>
        <v/>
      </c>
      <c r="L7756">
        <f>IF($G7756&lt;&gt;"ALCOHOL","",IF($K7756="","",$H7756*IFERROR(VLOOKUP($K7756,Drink_Templates!$A:$G,7,FALSE),0)))</f>
        <v/>
      </c>
    </row>
    <row r="7757" ht="15" customHeight="1">
      <c r="C7757">
        <f>IF($B7757="","",INT($B7757))</f>
        <v/>
      </c>
      <c r="D7757">
        <f>IF($C7757="","",$C7757-WEEKDAY($C7757,2)+1)</f>
        <v/>
      </c>
      <c r="E7757">
        <f>IF($C7757="","",DATE(YEAR($C7757),MONTH($C7757),1))</f>
        <v/>
      </c>
      <c r="F7757">
        <f>IF($C7757="","",YEAR($C7757)&amp;"-Q"&amp;ROUNDUP(MONTH($C7757)/3,0))</f>
        <v/>
      </c>
      <c r="L7757">
        <f>IF($G7757&lt;&gt;"ALCOHOL","",IF($K7757="","",$H7757*IFERROR(VLOOKUP($K7757,Drink_Templates!$A:$G,7,FALSE),0)))</f>
        <v/>
      </c>
    </row>
    <row r="7758" ht="15" customHeight="1">
      <c r="C7758">
        <f>IF($B7758="","",INT($B7758))</f>
        <v/>
      </c>
      <c r="D7758">
        <f>IF($C7758="","",$C7758-WEEKDAY($C7758,2)+1)</f>
        <v/>
      </c>
      <c r="E7758">
        <f>IF($C7758="","",DATE(YEAR($C7758),MONTH($C7758),1))</f>
        <v/>
      </c>
      <c r="F7758">
        <f>IF($C7758="","",YEAR($C7758)&amp;"-Q"&amp;ROUNDUP(MONTH($C7758)/3,0))</f>
        <v/>
      </c>
      <c r="L7758">
        <f>IF($G7758&lt;&gt;"ALCOHOL","",IF($K7758="","",$H7758*IFERROR(VLOOKUP($K7758,Drink_Templates!$A:$G,7,FALSE),0)))</f>
        <v/>
      </c>
    </row>
    <row r="7759" ht="15" customHeight="1">
      <c r="C7759">
        <f>IF($B7759="","",INT($B7759))</f>
        <v/>
      </c>
      <c r="D7759">
        <f>IF($C7759="","",$C7759-WEEKDAY($C7759,2)+1)</f>
        <v/>
      </c>
      <c r="E7759">
        <f>IF($C7759="","",DATE(YEAR($C7759),MONTH($C7759),1))</f>
        <v/>
      </c>
      <c r="F7759">
        <f>IF($C7759="","",YEAR($C7759)&amp;"-Q"&amp;ROUNDUP(MONTH($C7759)/3,0))</f>
        <v/>
      </c>
      <c r="L7759">
        <f>IF($G7759&lt;&gt;"ALCOHOL","",IF($K7759="","",$H7759*IFERROR(VLOOKUP($K7759,Drink_Templates!$A:$G,7,FALSE),0)))</f>
        <v/>
      </c>
    </row>
    <row r="7760" ht="15" customHeight="1">
      <c r="C7760">
        <f>IF($B7760="","",INT($B7760))</f>
        <v/>
      </c>
      <c r="D7760">
        <f>IF($C7760="","",$C7760-WEEKDAY($C7760,2)+1)</f>
        <v/>
      </c>
      <c r="E7760">
        <f>IF($C7760="","",DATE(YEAR($C7760),MONTH($C7760),1))</f>
        <v/>
      </c>
      <c r="F7760">
        <f>IF($C7760="","",YEAR($C7760)&amp;"-Q"&amp;ROUNDUP(MONTH($C7760)/3,0))</f>
        <v/>
      </c>
      <c r="L7760">
        <f>IF($G7760&lt;&gt;"ALCOHOL","",IF($K7760="","",$H7760*IFERROR(VLOOKUP($K7760,Drink_Templates!$A:$G,7,FALSE),0)))</f>
        <v/>
      </c>
    </row>
    <row r="7761" ht="15" customHeight="1">
      <c r="C7761">
        <f>IF($B7761="","",INT($B7761))</f>
        <v/>
      </c>
      <c r="D7761">
        <f>IF($C7761="","",$C7761-WEEKDAY($C7761,2)+1)</f>
        <v/>
      </c>
      <c r="E7761">
        <f>IF($C7761="","",DATE(YEAR($C7761),MONTH($C7761),1))</f>
        <v/>
      </c>
      <c r="F7761">
        <f>IF($C7761="","",YEAR($C7761)&amp;"-Q"&amp;ROUNDUP(MONTH($C7761)/3,0))</f>
        <v/>
      </c>
      <c r="L7761">
        <f>IF($G7761&lt;&gt;"ALCOHOL","",IF($K7761="","",$H7761*IFERROR(VLOOKUP($K7761,Drink_Templates!$A:$G,7,FALSE),0)))</f>
        <v/>
      </c>
    </row>
    <row r="7762" ht="15" customHeight="1">
      <c r="C7762">
        <f>IF($B7762="","",INT($B7762))</f>
        <v/>
      </c>
      <c r="D7762">
        <f>IF($C7762="","",$C7762-WEEKDAY($C7762,2)+1)</f>
        <v/>
      </c>
      <c r="E7762">
        <f>IF($C7762="","",DATE(YEAR($C7762),MONTH($C7762),1))</f>
        <v/>
      </c>
      <c r="F7762">
        <f>IF($C7762="","",YEAR($C7762)&amp;"-Q"&amp;ROUNDUP(MONTH($C7762)/3,0))</f>
        <v/>
      </c>
      <c r="L7762">
        <f>IF($G7762&lt;&gt;"ALCOHOL","",IF($K7762="","",$H7762*IFERROR(VLOOKUP($K7762,Drink_Templates!$A:$G,7,FALSE),0)))</f>
        <v/>
      </c>
    </row>
    <row r="7763" ht="15" customHeight="1">
      <c r="C7763">
        <f>IF($B7763="","",INT($B7763))</f>
        <v/>
      </c>
      <c r="D7763">
        <f>IF($C7763="","",$C7763-WEEKDAY($C7763,2)+1)</f>
        <v/>
      </c>
      <c r="E7763">
        <f>IF($C7763="","",DATE(YEAR($C7763),MONTH($C7763),1))</f>
        <v/>
      </c>
      <c r="F7763">
        <f>IF($C7763="","",YEAR($C7763)&amp;"-Q"&amp;ROUNDUP(MONTH($C7763)/3,0))</f>
        <v/>
      </c>
      <c r="L7763">
        <f>IF($G7763&lt;&gt;"ALCOHOL","",IF($K7763="","",$H7763*IFERROR(VLOOKUP($K7763,Drink_Templates!$A:$G,7,FALSE),0)))</f>
        <v/>
      </c>
    </row>
    <row r="7764" ht="15" customHeight="1">
      <c r="C7764">
        <f>IF($B7764="","",INT($B7764))</f>
        <v/>
      </c>
      <c r="D7764">
        <f>IF($C7764="","",$C7764-WEEKDAY($C7764,2)+1)</f>
        <v/>
      </c>
      <c r="E7764">
        <f>IF($C7764="","",DATE(YEAR($C7764),MONTH($C7764),1))</f>
        <v/>
      </c>
      <c r="F7764">
        <f>IF($C7764="","",YEAR($C7764)&amp;"-Q"&amp;ROUNDUP(MONTH($C7764)/3,0))</f>
        <v/>
      </c>
      <c r="L7764">
        <f>IF($G7764&lt;&gt;"ALCOHOL","",IF($K7764="","",$H7764*IFERROR(VLOOKUP($K7764,Drink_Templates!$A:$G,7,FALSE),0)))</f>
        <v/>
      </c>
    </row>
    <row r="7765" ht="15" customHeight="1">
      <c r="C7765">
        <f>IF($B7765="","",INT($B7765))</f>
        <v/>
      </c>
      <c r="D7765">
        <f>IF($C7765="","",$C7765-WEEKDAY($C7765,2)+1)</f>
        <v/>
      </c>
      <c r="E7765">
        <f>IF($C7765="","",DATE(YEAR($C7765),MONTH($C7765),1))</f>
        <v/>
      </c>
      <c r="F7765">
        <f>IF($C7765="","",YEAR($C7765)&amp;"-Q"&amp;ROUNDUP(MONTH($C7765)/3,0))</f>
        <v/>
      </c>
      <c r="L7765">
        <f>IF($G7765&lt;&gt;"ALCOHOL","",IF($K7765="","",$H7765*IFERROR(VLOOKUP($K7765,Drink_Templates!$A:$G,7,FALSE),0)))</f>
        <v/>
      </c>
    </row>
    <row r="7766" ht="15" customHeight="1">
      <c r="C7766">
        <f>IF($B7766="","",INT($B7766))</f>
        <v/>
      </c>
      <c r="D7766">
        <f>IF($C7766="","",$C7766-WEEKDAY($C7766,2)+1)</f>
        <v/>
      </c>
      <c r="E7766">
        <f>IF($C7766="","",DATE(YEAR($C7766),MONTH($C7766),1))</f>
        <v/>
      </c>
      <c r="F7766">
        <f>IF($C7766="","",YEAR($C7766)&amp;"-Q"&amp;ROUNDUP(MONTH($C7766)/3,0))</f>
        <v/>
      </c>
      <c r="L7766">
        <f>IF($G7766&lt;&gt;"ALCOHOL","",IF($K7766="","",$H7766*IFERROR(VLOOKUP($K7766,Drink_Templates!$A:$G,7,FALSE),0)))</f>
        <v/>
      </c>
    </row>
    <row r="7767" ht="15" customHeight="1">
      <c r="C7767">
        <f>IF($B7767="","",INT($B7767))</f>
        <v/>
      </c>
      <c r="D7767">
        <f>IF($C7767="","",$C7767-WEEKDAY($C7767,2)+1)</f>
        <v/>
      </c>
      <c r="E7767">
        <f>IF($C7767="","",DATE(YEAR($C7767),MONTH($C7767),1))</f>
        <v/>
      </c>
      <c r="F7767">
        <f>IF($C7767="","",YEAR($C7767)&amp;"-Q"&amp;ROUNDUP(MONTH($C7767)/3,0))</f>
        <v/>
      </c>
      <c r="L7767">
        <f>IF($G7767&lt;&gt;"ALCOHOL","",IF($K7767="","",$H7767*IFERROR(VLOOKUP($K7767,Drink_Templates!$A:$G,7,FALSE),0)))</f>
        <v/>
      </c>
    </row>
    <row r="7768" ht="15" customHeight="1">
      <c r="C7768">
        <f>IF($B7768="","",INT($B7768))</f>
        <v/>
      </c>
      <c r="D7768">
        <f>IF($C7768="","",$C7768-WEEKDAY($C7768,2)+1)</f>
        <v/>
      </c>
      <c r="E7768">
        <f>IF($C7768="","",DATE(YEAR($C7768),MONTH($C7768),1))</f>
        <v/>
      </c>
      <c r="F7768">
        <f>IF($C7768="","",YEAR($C7768)&amp;"-Q"&amp;ROUNDUP(MONTH($C7768)/3,0))</f>
        <v/>
      </c>
      <c r="L7768">
        <f>IF($G7768&lt;&gt;"ALCOHOL","",IF($K7768="","",$H7768*IFERROR(VLOOKUP($K7768,Drink_Templates!$A:$G,7,FALSE),0)))</f>
        <v/>
      </c>
    </row>
    <row r="7769" ht="15" customHeight="1">
      <c r="C7769">
        <f>IF($B7769="","",INT($B7769))</f>
        <v/>
      </c>
      <c r="D7769">
        <f>IF($C7769="","",$C7769-WEEKDAY($C7769,2)+1)</f>
        <v/>
      </c>
      <c r="E7769">
        <f>IF($C7769="","",DATE(YEAR($C7769),MONTH($C7769),1))</f>
        <v/>
      </c>
      <c r="F7769">
        <f>IF($C7769="","",YEAR($C7769)&amp;"-Q"&amp;ROUNDUP(MONTH($C7769)/3,0))</f>
        <v/>
      </c>
      <c r="L7769">
        <f>IF($G7769&lt;&gt;"ALCOHOL","",IF($K7769="","",$H7769*IFERROR(VLOOKUP($K7769,Drink_Templates!$A:$G,7,FALSE),0)))</f>
        <v/>
      </c>
    </row>
    <row r="7770" ht="15" customHeight="1">
      <c r="C7770">
        <f>IF($B7770="","",INT($B7770))</f>
        <v/>
      </c>
      <c r="D7770">
        <f>IF($C7770="","",$C7770-WEEKDAY($C7770,2)+1)</f>
        <v/>
      </c>
      <c r="E7770">
        <f>IF($C7770="","",DATE(YEAR($C7770),MONTH($C7770),1))</f>
        <v/>
      </c>
      <c r="F7770">
        <f>IF($C7770="","",YEAR($C7770)&amp;"-Q"&amp;ROUNDUP(MONTH($C7770)/3,0))</f>
        <v/>
      </c>
      <c r="L7770">
        <f>IF($G7770&lt;&gt;"ALCOHOL","",IF($K7770="","",$H7770*IFERROR(VLOOKUP($K7770,Drink_Templates!$A:$G,7,FALSE),0)))</f>
        <v/>
      </c>
    </row>
    <row r="7771" ht="15" customHeight="1">
      <c r="C7771">
        <f>IF($B7771="","",INT($B7771))</f>
        <v/>
      </c>
      <c r="D7771">
        <f>IF($C7771="","",$C7771-WEEKDAY($C7771,2)+1)</f>
        <v/>
      </c>
      <c r="E7771">
        <f>IF($C7771="","",DATE(YEAR($C7771),MONTH($C7771),1))</f>
        <v/>
      </c>
      <c r="F7771">
        <f>IF($C7771="","",YEAR($C7771)&amp;"-Q"&amp;ROUNDUP(MONTH($C7771)/3,0))</f>
        <v/>
      </c>
      <c r="L7771">
        <f>IF($G7771&lt;&gt;"ALCOHOL","",IF($K7771="","",$H7771*IFERROR(VLOOKUP($K7771,Drink_Templates!$A:$G,7,FALSE),0)))</f>
        <v/>
      </c>
    </row>
    <row r="7772" ht="15" customHeight="1">
      <c r="C7772">
        <f>IF($B7772="","",INT($B7772))</f>
        <v/>
      </c>
      <c r="D7772">
        <f>IF($C7772="","",$C7772-WEEKDAY($C7772,2)+1)</f>
        <v/>
      </c>
      <c r="E7772">
        <f>IF($C7772="","",DATE(YEAR($C7772),MONTH($C7772),1))</f>
        <v/>
      </c>
      <c r="F7772">
        <f>IF($C7772="","",YEAR($C7772)&amp;"-Q"&amp;ROUNDUP(MONTH($C7772)/3,0))</f>
        <v/>
      </c>
      <c r="L7772">
        <f>IF($G7772&lt;&gt;"ALCOHOL","",IF($K7772="","",$H7772*IFERROR(VLOOKUP($K7772,Drink_Templates!$A:$G,7,FALSE),0)))</f>
        <v/>
      </c>
    </row>
    <row r="7773" ht="15" customHeight="1">
      <c r="C7773">
        <f>IF($B7773="","",INT($B7773))</f>
        <v/>
      </c>
      <c r="D7773">
        <f>IF($C7773="","",$C7773-WEEKDAY($C7773,2)+1)</f>
        <v/>
      </c>
      <c r="E7773">
        <f>IF($C7773="","",DATE(YEAR($C7773),MONTH($C7773),1))</f>
        <v/>
      </c>
      <c r="F7773">
        <f>IF($C7773="","",YEAR($C7773)&amp;"-Q"&amp;ROUNDUP(MONTH($C7773)/3,0))</f>
        <v/>
      </c>
      <c r="L7773">
        <f>IF($G7773&lt;&gt;"ALCOHOL","",IF($K7773="","",$H7773*IFERROR(VLOOKUP($K7773,Drink_Templates!$A:$G,7,FALSE),0)))</f>
        <v/>
      </c>
    </row>
    <row r="7774" ht="15" customHeight="1">
      <c r="C7774">
        <f>IF($B7774="","",INT($B7774))</f>
        <v/>
      </c>
      <c r="D7774">
        <f>IF($C7774="","",$C7774-WEEKDAY($C7774,2)+1)</f>
        <v/>
      </c>
      <c r="E7774">
        <f>IF($C7774="","",DATE(YEAR($C7774),MONTH($C7774),1))</f>
        <v/>
      </c>
      <c r="F7774">
        <f>IF($C7774="","",YEAR($C7774)&amp;"-Q"&amp;ROUNDUP(MONTH($C7774)/3,0))</f>
        <v/>
      </c>
      <c r="L7774">
        <f>IF($G7774&lt;&gt;"ALCOHOL","",IF($K7774="","",$H7774*IFERROR(VLOOKUP($K7774,Drink_Templates!$A:$G,7,FALSE),0)))</f>
        <v/>
      </c>
    </row>
    <row r="7775" ht="15" customHeight="1">
      <c r="C7775">
        <f>IF($B7775="","",INT($B7775))</f>
        <v/>
      </c>
      <c r="D7775">
        <f>IF($C7775="","",$C7775-WEEKDAY($C7775,2)+1)</f>
        <v/>
      </c>
      <c r="E7775">
        <f>IF($C7775="","",DATE(YEAR($C7775),MONTH($C7775),1))</f>
        <v/>
      </c>
      <c r="F7775">
        <f>IF($C7775="","",YEAR($C7775)&amp;"-Q"&amp;ROUNDUP(MONTH($C7775)/3,0))</f>
        <v/>
      </c>
      <c r="L7775">
        <f>IF($G7775&lt;&gt;"ALCOHOL","",IF($K7775="","",$H7775*IFERROR(VLOOKUP($K7775,Drink_Templates!$A:$G,7,FALSE),0)))</f>
        <v/>
      </c>
    </row>
    <row r="7776" ht="15" customHeight="1">
      <c r="C7776">
        <f>IF($B7776="","",INT($B7776))</f>
        <v/>
      </c>
      <c r="D7776">
        <f>IF($C7776="","",$C7776-WEEKDAY($C7776,2)+1)</f>
        <v/>
      </c>
      <c r="E7776">
        <f>IF($C7776="","",DATE(YEAR($C7776),MONTH($C7776),1))</f>
        <v/>
      </c>
      <c r="F7776">
        <f>IF($C7776="","",YEAR($C7776)&amp;"-Q"&amp;ROUNDUP(MONTH($C7776)/3,0))</f>
        <v/>
      </c>
      <c r="L7776">
        <f>IF($G7776&lt;&gt;"ALCOHOL","",IF($K7776="","",$H7776*IFERROR(VLOOKUP($K7776,Drink_Templates!$A:$G,7,FALSE),0)))</f>
        <v/>
      </c>
    </row>
    <row r="7777" ht="15" customHeight="1">
      <c r="C7777">
        <f>IF($B7777="","",INT($B7777))</f>
        <v/>
      </c>
      <c r="D7777">
        <f>IF($C7777="","",$C7777-WEEKDAY($C7777,2)+1)</f>
        <v/>
      </c>
      <c r="E7777">
        <f>IF($C7777="","",DATE(YEAR($C7777),MONTH($C7777),1))</f>
        <v/>
      </c>
      <c r="F7777">
        <f>IF($C7777="","",YEAR($C7777)&amp;"-Q"&amp;ROUNDUP(MONTH($C7777)/3,0))</f>
        <v/>
      </c>
      <c r="L7777">
        <f>IF($G7777&lt;&gt;"ALCOHOL","",IF($K7777="","",$H7777*IFERROR(VLOOKUP($K7777,Drink_Templates!$A:$G,7,FALSE),0)))</f>
        <v/>
      </c>
    </row>
    <row r="7778" ht="15" customHeight="1">
      <c r="C7778">
        <f>IF($B7778="","",INT($B7778))</f>
        <v/>
      </c>
      <c r="D7778">
        <f>IF($C7778="","",$C7778-WEEKDAY($C7778,2)+1)</f>
        <v/>
      </c>
      <c r="E7778">
        <f>IF($C7778="","",DATE(YEAR($C7778),MONTH($C7778),1))</f>
        <v/>
      </c>
      <c r="F7778">
        <f>IF($C7778="","",YEAR($C7778)&amp;"-Q"&amp;ROUNDUP(MONTH($C7778)/3,0))</f>
        <v/>
      </c>
      <c r="L7778">
        <f>IF($G7778&lt;&gt;"ALCOHOL","",IF($K7778="","",$H7778*IFERROR(VLOOKUP($K7778,Drink_Templates!$A:$G,7,FALSE),0)))</f>
        <v/>
      </c>
    </row>
    <row r="7779" ht="15" customHeight="1">
      <c r="C7779">
        <f>IF($B7779="","",INT($B7779))</f>
        <v/>
      </c>
      <c r="D7779">
        <f>IF($C7779="","",$C7779-WEEKDAY($C7779,2)+1)</f>
        <v/>
      </c>
      <c r="E7779">
        <f>IF($C7779="","",DATE(YEAR($C7779),MONTH($C7779),1))</f>
        <v/>
      </c>
      <c r="F7779">
        <f>IF($C7779="","",YEAR($C7779)&amp;"-Q"&amp;ROUNDUP(MONTH($C7779)/3,0))</f>
        <v/>
      </c>
      <c r="L7779">
        <f>IF($G7779&lt;&gt;"ALCOHOL","",IF($K7779="","",$H7779*IFERROR(VLOOKUP($K7779,Drink_Templates!$A:$G,7,FALSE),0)))</f>
        <v/>
      </c>
    </row>
    <row r="7780" ht="15" customHeight="1">
      <c r="C7780">
        <f>IF($B7780="","",INT($B7780))</f>
        <v/>
      </c>
      <c r="D7780">
        <f>IF($C7780="","",$C7780-WEEKDAY($C7780,2)+1)</f>
        <v/>
      </c>
      <c r="E7780">
        <f>IF($C7780="","",DATE(YEAR($C7780),MONTH($C7780),1))</f>
        <v/>
      </c>
      <c r="F7780">
        <f>IF($C7780="","",YEAR($C7780)&amp;"-Q"&amp;ROUNDUP(MONTH($C7780)/3,0))</f>
        <v/>
      </c>
      <c r="L7780">
        <f>IF($G7780&lt;&gt;"ALCOHOL","",IF($K7780="","",$H7780*IFERROR(VLOOKUP($K7780,Drink_Templates!$A:$G,7,FALSE),0)))</f>
        <v/>
      </c>
    </row>
    <row r="7781" ht="15" customHeight="1">
      <c r="C7781">
        <f>IF($B7781="","",INT($B7781))</f>
        <v/>
      </c>
      <c r="D7781">
        <f>IF($C7781="","",$C7781-WEEKDAY($C7781,2)+1)</f>
        <v/>
      </c>
      <c r="E7781">
        <f>IF($C7781="","",DATE(YEAR($C7781),MONTH($C7781),1))</f>
        <v/>
      </c>
      <c r="F7781">
        <f>IF($C7781="","",YEAR($C7781)&amp;"-Q"&amp;ROUNDUP(MONTH($C7781)/3,0))</f>
        <v/>
      </c>
      <c r="L7781">
        <f>IF($G7781&lt;&gt;"ALCOHOL","",IF($K7781="","",$H7781*IFERROR(VLOOKUP($K7781,Drink_Templates!$A:$G,7,FALSE),0)))</f>
        <v/>
      </c>
    </row>
    <row r="7782" ht="15" customHeight="1">
      <c r="C7782">
        <f>IF($B7782="","",INT($B7782))</f>
        <v/>
      </c>
      <c r="D7782">
        <f>IF($C7782="","",$C7782-WEEKDAY($C7782,2)+1)</f>
        <v/>
      </c>
      <c r="E7782">
        <f>IF($C7782="","",DATE(YEAR($C7782),MONTH($C7782),1))</f>
        <v/>
      </c>
      <c r="F7782">
        <f>IF($C7782="","",YEAR($C7782)&amp;"-Q"&amp;ROUNDUP(MONTH($C7782)/3,0))</f>
        <v/>
      </c>
      <c r="L7782">
        <f>IF($G7782&lt;&gt;"ALCOHOL","",IF($K7782="","",$H7782*IFERROR(VLOOKUP($K7782,Drink_Templates!$A:$G,7,FALSE),0)))</f>
        <v/>
      </c>
    </row>
    <row r="7783" ht="15" customHeight="1">
      <c r="C7783">
        <f>IF($B7783="","",INT($B7783))</f>
        <v/>
      </c>
      <c r="D7783">
        <f>IF($C7783="","",$C7783-WEEKDAY($C7783,2)+1)</f>
        <v/>
      </c>
      <c r="E7783">
        <f>IF($C7783="","",DATE(YEAR($C7783),MONTH($C7783),1))</f>
        <v/>
      </c>
      <c r="F7783">
        <f>IF($C7783="","",YEAR($C7783)&amp;"-Q"&amp;ROUNDUP(MONTH($C7783)/3,0))</f>
        <v/>
      </c>
      <c r="L7783">
        <f>IF($G7783&lt;&gt;"ALCOHOL","",IF($K7783="","",$H7783*IFERROR(VLOOKUP($K7783,Drink_Templates!$A:$G,7,FALSE),0)))</f>
        <v/>
      </c>
    </row>
    <row r="7784" ht="15" customHeight="1">
      <c r="C7784">
        <f>IF($B7784="","",INT($B7784))</f>
        <v/>
      </c>
      <c r="D7784">
        <f>IF($C7784="","",$C7784-WEEKDAY($C7784,2)+1)</f>
        <v/>
      </c>
      <c r="E7784">
        <f>IF($C7784="","",DATE(YEAR($C7784),MONTH($C7784),1))</f>
        <v/>
      </c>
      <c r="F7784">
        <f>IF($C7784="","",YEAR($C7784)&amp;"-Q"&amp;ROUNDUP(MONTH($C7784)/3,0))</f>
        <v/>
      </c>
      <c r="L7784">
        <f>IF($G7784&lt;&gt;"ALCOHOL","",IF($K7784="","",$H7784*IFERROR(VLOOKUP($K7784,Drink_Templates!$A:$G,7,FALSE),0)))</f>
        <v/>
      </c>
    </row>
    <row r="7785" ht="15" customHeight="1">
      <c r="C7785">
        <f>IF($B7785="","",INT($B7785))</f>
        <v/>
      </c>
      <c r="D7785">
        <f>IF($C7785="","",$C7785-WEEKDAY($C7785,2)+1)</f>
        <v/>
      </c>
      <c r="E7785">
        <f>IF($C7785="","",DATE(YEAR($C7785),MONTH($C7785),1))</f>
        <v/>
      </c>
      <c r="F7785">
        <f>IF($C7785="","",YEAR($C7785)&amp;"-Q"&amp;ROUNDUP(MONTH($C7785)/3,0))</f>
        <v/>
      </c>
      <c r="L7785">
        <f>IF($G7785&lt;&gt;"ALCOHOL","",IF($K7785="","",$H7785*IFERROR(VLOOKUP($K7785,Drink_Templates!$A:$G,7,FALSE),0)))</f>
        <v/>
      </c>
    </row>
    <row r="7786" ht="15" customHeight="1">
      <c r="C7786">
        <f>IF($B7786="","",INT($B7786))</f>
        <v/>
      </c>
      <c r="D7786">
        <f>IF($C7786="","",$C7786-WEEKDAY($C7786,2)+1)</f>
        <v/>
      </c>
      <c r="E7786">
        <f>IF($C7786="","",DATE(YEAR($C7786),MONTH($C7786),1))</f>
        <v/>
      </c>
      <c r="F7786">
        <f>IF($C7786="","",YEAR($C7786)&amp;"-Q"&amp;ROUNDUP(MONTH($C7786)/3,0))</f>
        <v/>
      </c>
      <c r="L7786">
        <f>IF($G7786&lt;&gt;"ALCOHOL","",IF($K7786="","",$H7786*IFERROR(VLOOKUP($K7786,Drink_Templates!$A:$G,7,FALSE),0)))</f>
        <v/>
      </c>
    </row>
    <row r="7787" ht="15" customHeight="1">
      <c r="C7787">
        <f>IF($B7787="","",INT($B7787))</f>
        <v/>
      </c>
      <c r="D7787">
        <f>IF($C7787="","",$C7787-WEEKDAY($C7787,2)+1)</f>
        <v/>
      </c>
      <c r="E7787">
        <f>IF($C7787="","",DATE(YEAR($C7787),MONTH($C7787),1))</f>
        <v/>
      </c>
      <c r="F7787">
        <f>IF($C7787="","",YEAR($C7787)&amp;"-Q"&amp;ROUNDUP(MONTH($C7787)/3,0))</f>
        <v/>
      </c>
      <c r="L7787">
        <f>IF($G7787&lt;&gt;"ALCOHOL","",IF($K7787="","",$H7787*IFERROR(VLOOKUP($K7787,Drink_Templates!$A:$G,7,FALSE),0)))</f>
        <v/>
      </c>
    </row>
    <row r="7788" ht="15" customHeight="1">
      <c r="C7788">
        <f>IF($B7788="","",INT($B7788))</f>
        <v/>
      </c>
      <c r="D7788">
        <f>IF($C7788="","",$C7788-WEEKDAY($C7788,2)+1)</f>
        <v/>
      </c>
      <c r="E7788">
        <f>IF($C7788="","",DATE(YEAR($C7788),MONTH($C7788),1))</f>
        <v/>
      </c>
      <c r="F7788">
        <f>IF($C7788="","",YEAR($C7788)&amp;"-Q"&amp;ROUNDUP(MONTH($C7788)/3,0))</f>
        <v/>
      </c>
      <c r="L7788">
        <f>IF($G7788&lt;&gt;"ALCOHOL","",IF($K7788="","",$H7788*IFERROR(VLOOKUP($K7788,Drink_Templates!$A:$G,7,FALSE),0)))</f>
        <v/>
      </c>
    </row>
    <row r="7789" ht="15" customHeight="1">
      <c r="C7789">
        <f>IF($B7789="","",INT($B7789))</f>
        <v/>
      </c>
      <c r="D7789">
        <f>IF($C7789="","",$C7789-WEEKDAY($C7789,2)+1)</f>
        <v/>
      </c>
      <c r="E7789">
        <f>IF($C7789="","",DATE(YEAR($C7789),MONTH($C7789),1))</f>
        <v/>
      </c>
      <c r="F7789">
        <f>IF($C7789="","",YEAR($C7789)&amp;"-Q"&amp;ROUNDUP(MONTH($C7789)/3,0))</f>
        <v/>
      </c>
      <c r="L7789">
        <f>IF($G7789&lt;&gt;"ALCOHOL","",IF($K7789="","",$H7789*IFERROR(VLOOKUP($K7789,Drink_Templates!$A:$G,7,FALSE),0)))</f>
        <v/>
      </c>
    </row>
    <row r="7790" ht="15" customHeight="1">
      <c r="C7790">
        <f>IF($B7790="","",INT($B7790))</f>
        <v/>
      </c>
      <c r="D7790">
        <f>IF($C7790="","",$C7790-WEEKDAY($C7790,2)+1)</f>
        <v/>
      </c>
      <c r="E7790">
        <f>IF($C7790="","",DATE(YEAR($C7790),MONTH($C7790),1))</f>
        <v/>
      </c>
      <c r="F7790">
        <f>IF($C7790="","",YEAR($C7790)&amp;"-Q"&amp;ROUNDUP(MONTH($C7790)/3,0))</f>
        <v/>
      </c>
      <c r="L7790">
        <f>IF($G7790&lt;&gt;"ALCOHOL","",IF($K7790="","",$H7790*IFERROR(VLOOKUP($K7790,Drink_Templates!$A:$G,7,FALSE),0)))</f>
        <v/>
      </c>
    </row>
    <row r="7791" ht="15" customHeight="1">
      <c r="C7791">
        <f>IF($B7791="","",INT($B7791))</f>
        <v/>
      </c>
      <c r="D7791">
        <f>IF($C7791="","",$C7791-WEEKDAY($C7791,2)+1)</f>
        <v/>
      </c>
      <c r="E7791">
        <f>IF($C7791="","",DATE(YEAR($C7791),MONTH($C7791),1))</f>
        <v/>
      </c>
      <c r="F7791">
        <f>IF($C7791="","",YEAR($C7791)&amp;"-Q"&amp;ROUNDUP(MONTH($C7791)/3,0))</f>
        <v/>
      </c>
      <c r="L7791">
        <f>IF($G7791&lt;&gt;"ALCOHOL","",IF($K7791="","",$H7791*IFERROR(VLOOKUP($K7791,Drink_Templates!$A:$G,7,FALSE),0)))</f>
        <v/>
      </c>
    </row>
    <row r="7792" ht="15" customHeight="1">
      <c r="C7792">
        <f>IF($B7792="","",INT($B7792))</f>
        <v/>
      </c>
      <c r="D7792">
        <f>IF($C7792="","",$C7792-WEEKDAY($C7792,2)+1)</f>
        <v/>
      </c>
      <c r="E7792">
        <f>IF($C7792="","",DATE(YEAR($C7792),MONTH($C7792),1))</f>
        <v/>
      </c>
      <c r="F7792">
        <f>IF($C7792="","",YEAR($C7792)&amp;"-Q"&amp;ROUNDUP(MONTH($C7792)/3,0))</f>
        <v/>
      </c>
      <c r="L7792">
        <f>IF($G7792&lt;&gt;"ALCOHOL","",IF($K7792="","",$H7792*IFERROR(VLOOKUP($K7792,Drink_Templates!$A:$G,7,FALSE),0)))</f>
        <v/>
      </c>
    </row>
    <row r="7793" ht="15" customHeight="1">
      <c r="C7793">
        <f>IF($B7793="","",INT($B7793))</f>
        <v/>
      </c>
      <c r="D7793">
        <f>IF($C7793="","",$C7793-WEEKDAY($C7793,2)+1)</f>
        <v/>
      </c>
      <c r="E7793">
        <f>IF($C7793="","",DATE(YEAR($C7793),MONTH($C7793),1))</f>
        <v/>
      </c>
      <c r="F7793">
        <f>IF($C7793="","",YEAR($C7793)&amp;"-Q"&amp;ROUNDUP(MONTH($C7793)/3,0))</f>
        <v/>
      </c>
      <c r="L7793">
        <f>IF($G7793&lt;&gt;"ALCOHOL","",IF($K7793="","",$H7793*IFERROR(VLOOKUP($K7793,Drink_Templates!$A:$G,7,FALSE),0)))</f>
        <v/>
      </c>
    </row>
    <row r="7794" ht="15" customHeight="1">
      <c r="C7794">
        <f>IF($B7794="","",INT($B7794))</f>
        <v/>
      </c>
      <c r="D7794">
        <f>IF($C7794="","",$C7794-WEEKDAY($C7794,2)+1)</f>
        <v/>
      </c>
      <c r="E7794">
        <f>IF($C7794="","",DATE(YEAR($C7794),MONTH($C7794),1))</f>
        <v/>
      </c>
      <c r="F7794">
        <f>IF($C7794="","",YEAR($C7794)&amp;"-Q"&amp;ROUNDUP(MONTH($C7794)/3,0))</f>
        <v/>
      </c>
      <c r="L7794">
        <f>IF($G7794&lt;&gt;"ALCOHOL","",IF($K7794="","",$H7794*IFERROR(VLOOKUP($K7794,Drink_Templates!$A:$G,7,FALSE),0)))</f>
        <v/>
      </c>
    </row>
    <row r="7795" ht="15" customHeight="1">
      <c r="C7795">
        <f>IF($B7795="","",INT($B7795))</f>
        <v/>
      </c>
      <c r="D7795">
        <f>IF($C7795="","",$C7795-WEEKDAY($C7795,2)+1)</f>
        <v/>
      </c>
      <c r="E7795">
        <f>IF($C7795="","",DATE(YEAR($C7795),MONTH($C7795),1))</f>
        <v/>
      </c>
      <c r="F7795">
        <f>IF($C7795="","",YEAR($C7795)&amp;"-Q"&amp;ROUNDUP(MONTH($C7795)/3,0))</f>
        <v/>
      </c>
      <c r="L7795">
        <f>IF($G7795&lt;&gt;"ALCOHOL","",IF($K7795="","",$H7795*IFERROR(VLOOKUP($K7795,Drink_Templates!$A:$G,7,FALSE),0)))</f>
        <v/>
      </c>
    </row>
    <row r="7796" ht="15" customHeight="1">
      <c r="C7796">
        <f>IF($B7796="","",INT($B7796))</f>
        <v/>
      </c>
      <c r="D7796">
        <f>IF($C7796="","",$C7796-WEEKDAY($C7796,2)+1)</f>
        <v/>
      </c>
      <c r="E7796">
        <f>IF($C7796="","",DATE(YEAR($C7796),MONTH($C7796),1))</f>
        <v/>
      </c>
      <c r="F7796">
        <f>IF($C7796="","",YEAR($C7796)&amp;"-Q"&amp;ROUNDUP(MONTH($C7796)/3,0))</f>
        <v/>
      </c>
      <c r="L7796">
        <f>IF($G7796&lt;&gt;"ALCOHOL","",IF($K7796="","",$H7796*IFERROR(VLOOKUP($K7796,Drink_Templates!$A:$G,7,FALSE),0)))</f>
        <v/>
      </c>
    </row>
    <row r="7797" ht="15" customHeight="1">
      <c r="C7797">
        <f>IF($B7797="","",INT($B7797))</f>
        <v/>
      </c>
      <c r="D7797">
        <f>IF($C7797="","",$C7797-WEEKDAY($C7797,2)+1)</f>
        <v/>
      </c>
      <c r="E7797">
        <f>IF($C7797="","",DATE(YEAR($C7797),MONTH($C7797),1))</f>
        <v/>
      </c>
      <c r="F7797">
        <f>IF($C7797="","",YEAR($C7797)&amp;"-Q"&amp;ROUNDUP(MONTH($C7797)/3,0))</f>
        <v/>
      </c>
      <c r="L7797">
        <f>IF($G7797&lt;&gt;"ALCOHOL","",IF($K7797="","",$H7797*IFERROR(VLOOKUP($K7797,Drink_Templates!$A:$G,7,FALSE),0)))</f>
        <v/>
      </c>
    </row>
    <row r="7798" ht="15" customHeight="1">
      <c r="C7798">
        <f>IF($B7798="","",INT($B7798))</f>
        <v/>
      </c>
      <c r="D7798">
        <f>IF($C7798="","",$C7798-WEEKDAY($C7798,2)+1)</f>
        <v/>
      </c>
      <c r="E7798">
        <f>IF($C7798="","",DATE(YEAR($C7798),MONTH($C7798),1))</f>
        <v/>
      </c>
      <c r="F7798">
        <f>IF($C7798="","",YEAR($C7798)&amp;"-Q"&amp;ROUNDUP(MONTH($C7798)/3,0))</f>
        <v/>
      </c>
      <c r="L7798">
        <f>IF($G7798&lt;&gt;"ALCOHOL","",IF($K7798="","",$H7798*IFERROR(VLOOKUP($K7798,Drink_Templates!$A:$G,7,FALSE),0)))</f>
        <v/>
      </c>
    </row>
    <row r="7799" ht="15" customHeight="1">
      <c r="C7799">
        <f>IF($B7799="","",INT($B7799))</f>
        <v/>
      </c>
      <c r="D7799">
        <f>IF($C7799="","",$C7799-WEEKDAY($C7799,2)+1)</f>
        <v/>
      </c>
      <c r="E7799">
        <f>IF($C7799="","",DATE(YEAR($C7799),MONTH($C7799),1))</f>
        <v/>
      </c>
      <c r="F7799">
        <f>IF($C7799="","",YEAR($C7799)&amp;"-Q"&amp;ROUNDUP(MONTH($C7799)/3,0))</f>
        <v/>
      </c>
      <c r="L7799">
        <f>IF($G7799&lt;&gt;"ALCOHOL","",IF($K7799="","",$H7799*IFERROR(VLOOKUP($K7799,Drink_Templates!$A:$G,7,FALSE),0)))</f>
        <v/>
      </c>
    </row>
    <row r="7800" ht="15" customHeight="1">
      <c r="C7800">
        <f>IF($B7800="","",INT($B7800))</f>
        <v/>
      </c>
      <c r="D7800">
        <f>IF($C7800="","",$C7800-WEEKDAY($C7800,2)+1)</f>
        <v/>
      </c>
      <c r="E7800">
        <f>IF($C7800="","",DATE(YEAR($C7800),MONTH($C7800),1))</f>
        <v/>
      </c>
      <c r="F7800">
        <f>IF($C7800="","",YEAR($C7800)&amp;"-Q"&amp;ROUNDUP(MONTH($C7800)/3,0))</f>
        <v/>
      </c>
      <c r="L7800">
        <f>IF($G7800&lt;&gt;"ALCOHOL","",IF($K7800="","",$H7800*IFERROR(VLOOKUP($K7800,Drink_Templates!$A:$G,7,FALSE),0)))</f>
        <v/>
      </c>
    </row>
    <row r="7801" ht="15" customHeight="1">
      <c r="C7801">
        <f>IF($B7801="","",INT($B7801))</f>
        <v/>
      </c>
      <c r="D7801">
        <f>IF($C7801="","",$C7801-WEEKDAY($C7801,2)+1)</f>
        <v/>
      </c>
      <c r="E7801">
        <f>IF($C7801="","",DATE(YEAR($C7801),MONTH($C7801),1))</f>
        <v/>
      </c>
      <c r="F7801">
        <f>IF($C7801="","",YEAR($C7801)&amp;"-Q"&amp;ROUNDUP(MONTH($C7801)/3,0))</f>
        <v/>
      </c>
      <c r="L7801">
        <f>IF($G7801&lt;&gt;"ALCOHOL","",IF($K7801="","",$H7801*IFERROR(VLOOKUP($K7801,Drink_Templates!$A:$G,7,FALSE),0)))</f>
        <v/>
      </c>
    </row>
    <row r="7802" ht="15" customHeight="1">
      <c r="C7802">
        <f>IF($B7802="","",INT($B7802))</f>
        <v/>
      </c>
      <c r="D7802">
        <f>IF($C7802="","",$C7802-WEEKDAY($C7802,2)+1)</f>
        <v/>
      </c>
      <c r="E7802">
        <f>IF($C7802="","",DATE(YEAR($C7802),MONTH($C7802),1))</f>
        <v/>
      </c>
      <c r="F7802">
        <f>IF($C7802="","",YEAR($C7802)&amp;"-Q"&amp;ROUNDUP(MONTH($C7802)/3,0))</f>
        <v/>
      </c>
      <c r="L7802">
        <f>IF($G7802&lt;&gt;"ALCOHOL","",IF($K7802="","",$H7802*IFERROR(VLOOKUP($K7802,Drink_Templates!$A:$G,7,FALSE),0)))</f>
        <v/>
      </c>
    </row>
    <row r="7803" ht="15" customHeight="1">
      <c r="C7803">
        <f>IF($B7803="","",INT($B7803))</f>
        <v/>
      </c>
      <c r="D7803">
        <f>IF($C7803="","",$C7803-WEEKDAY($C7803,2)+1)</f>
        <v/>
      </c>
      <c r="E7803">
        <f>IF($C7803="","",DATE(YEAR($C7803),MONTH($C7803),1))</f>
        <v/>
      </c>
      <c r="F7803">
        <f>IF($C7803="","",YEAR($C7803)&amp;"-Q"&amp;ROUNDUP(MONTH($C7803)/3,0))</f>
        <v/>
      </c>
      <c r="L7803">
        <f>IF($G7803&lt;&gt;"ALCOHOL","",IF($K7803="","",$H7803*IFERROR(VLOOKUP($K7803,Drink_Templates!$A:$G,7,FALSE),0)))</f>
        <v/>
      </c>
    </row>
    <row r="7804" ht="15" customHeight="1">
      <c r="C7804">
        <f>IF($B7804="","",INT($B7804))</f>
        <v/>
      </c>
      <c r="D7804">
        <f>IF($C7804="","",$C7804-WEEKDAY($C7804,2)+1)</f>
        <v/>
      </c>
      <c r="E7804">
        <f>IF($C7804="","",DATE(YEAR($C7804),MONTH($C7804),1))</f>
        <v/>
      </c>
      <c r="F7804">
        <f>IF($C7804="","",YEAR($C7804)&amp;"-Q"&amp;ROUNDUP(MONTH($C7804)/3,0))</f>
        <v/>
      </c>
      <c r="L7804">
        <f>IF($G7804&lt;&gt;"ALCOHOL","",IF($K7804="","",$H7804*IFERROR(VLOOKUP($K7804,Drink_Templates!$A:$G,7,FALSE),0)))</f>
        <v/>
      </c>
    </row>
    <row r="7805" ht="15" customHeight="1">
      <c r="C7805">
        <f>IF($B7805="","",INT($B7805))</f>
        <v/>
      </c>
      <c r="D7805">
        <f>IF($C7805="","",$C7805-WEEKDAY($C7805,2)+1)</f>
        <v/>
      </c>
      <c r="E7805">
        <f>IF($C7805="","",DATE(YEAR($C7805),MONTH($C7805),1))</f>
        <v/>
      </c>
      <c r="F7805">
        <f>IF($C7805="","",YEAR($C7805)&amp;"-Q"&amp;ROUNDUP(MONTH($C7805)/3,0))</f>
        <v/>
      </c>
      <c r="L7805">
        <f>IF($G7805&lt;&gt;"ALCOHOL","",IF($K7805="","",$H7805*IFERROR(VLOOKUP($K7805,Drink_Templates!$A:$G,7,FALSE),0)))</f>
        <v/>
      </c>
    </row>
    <row r="7806" ht="15" customHeight="1">
      <c r="C7806">
        <f>IF($B7806="","",INT($B7806))</f>
        <v/>
      </c>
      <c r="D7806">
        <f>IF($C7806="","",$C7806-WEEKDAY($C7806,2)+1)</f>
        <v/>
      </c>
      <c r="E7806">
        <f>IF($C7806="","",DATE(YEAR($C7806),MONTH($C7806),1))</f>
        <v/>
      </c>
      <c r="F7806">
        <f>IF($C7806="","",YEAR($C7806)&amp;"-Q"&amp;ROUNDUP(MONTH($C7806)/3,0))</f>
        <v/>
      </c>
      <c r="L7806">
        <f>IF($G7806&lt;&gt;"ALCOHOL","",IF($K7806="","",$H7806*IFERROR(VLOOKUP($K7806,Drink_Templates!$A:$G,7,FALSE),0)))</f>
        <v/>
      </c>
    </row>
    <row r="7807" ht="15" customHeight="1">
      <c r="C7807">
        <f>IF($B7807="","",INT($B7807))</f>
        <v/>
      </c>
      <c r="D7807">
        <f>IF($C7807="","",$C7807-WEEKDAY($C7807,2)+1)</f>
        <v/>
      </c>
      <c r="E7807">
        <f>IF($C7807="","",DATE(YEAR($C7807),MONTH($C7807),1))</f>
        <v/>
      </c>
      <c r="F7807">
        <f>IF($C7807="","",YEAR($C7807)&amp;"-Q"&amp;ROUNDUP(MONTH($C7807)/3,0))</f>
        <v/>
      </c>
      <c r="L7807">
        <f>IF($G7807&lt;&gt;"ALCOHOL","",IF($K7807="","",$H7807*IFERROR(VLOOKUP($K7807,Drink_Templates!$A:$G,7,FALSE),0)))</f>
        <v/>
      </c>
    </row>
    <row r="7808" ht="15" customHeight="1">
      <c r="C7808">
        <f>IF($B7808="","",INT($B7808))</f>
        <v/>
      </c>
      <c r="D7808">
        <f>IF($C7808="","",$C7808-WEEKDAY($C7808,2)+1)</f>
        <v/>
      </c>
      <c r="E7808">
        <f>IF($C7808="","",DATE(YEAR($C7808),MONTH($C7808),1))</f>
        <v/>
      </c>
      <c r="F7808">
        <f>IF($C7808="","",YEAR($C7808)&amp;"-Q"&amp;ROUNDUP(MONTH($C7808)/3,0))</f>
        <v/>
      </c>
      <c r="L7808">
        <f>IF($G7808&lt;&gt;"ALCOHOL","",IF($K7808="","",$H7808*IFERROR(VLOOKUP($K7808,Drink_Templates!$A:$G,7,FALSE),0)))</f>
        <v/>
      </c>
    </row>
    <row r="7809" ht="15" customHeight="1">
      <c r="C7809">
        <f>IF($B7809="","",INT($B7809))</f>
        <v/>
      </c>
      <c r="D7809">
        <f>IF($C7809="","",$C7809-WEEKDAY($C7809,2)+1)</f>
        <v/>
      </c>
      <c r="E7809">
        <f>IF($C7809="","",DATE(YEAR($C7809),MONTH($C7809),1))</f>
        <v/>
      </c>
      <c r="F7809">
        <f>IF($C7809="","",YEAR($C7809)&amp;"-Q"&amp;ROUNDUP(MONTH($C7809)/3,0))</f>
        <v/>
      </c>
      <c r="L7809">
        <f>IF($G7809&lt;&gt;"ALCOHOL","",IF($K7809="","",$H7809*IFERROR(VLOOKUP($K7809,Drink_Templates!$A:$G,7,FALSE),0)))</f>
        <v/>
      </c>
    </row>
    <row r="7810" ht="15" customHeight="1">
      <c r="C7810">
        <f>IF($B7810="","",INT($B7810))</f>
        <v/>
      </c>
      <c r="D7810">
        <f>IF($C7810="","",$C7810-WEEKDAY($C7810,2)+1)</f>
        <v/>
      </c>
      <c r="E7810">
        <f>IF($C7810="","",DATE(YEAR($C7810),MONTH($C7810),1))</f>
        <v/>
      </c>
      <c r="F7810">
        <f>IF($C7810="","",YEAR($C7810)&amp;"-Q"&amp;ROUNDUP(MONTH($C7810)/3,0))</f>
        <v/>
      </c>
      <c r="L7810">
        <f>IF($G7810&lt;&gt;"ALCOHOL","",IF($K7810="","",$H7810*IFERROR(VLOOKUP($K7810,Drink_Templates!$A:$G,7,FALSE),0)))</f>
        <v/>
      </c>
    </row>
    <row r="7811" ht="15" customHeight="1">
      <c r="C7811">
        <f>IF($B7811="","",INT($B7811))</f>
        <v/>
      </c>
      <c r="D7811">
        <f>IF($C7811="","",$C7811-WEEKDAY($C7811,2)+1)</f>
        <v/>
      </c>
      <c r="E7811">
        <f>IF($C7811="","",DATE(YEAR($C7811),MONTH($C7811),1))</f>
        <v/>
      </c>
      <c r="F7811">
        <f>IF($C7811="","",YEAR($C7811)&amp;"-Q"&amp;ROUNDUP(MONTH($C7811)/3,0))</f>
        <v/>
      </c>
      <c r="L7811">
        <f>IF($G7811&lt;&gt;"ALCOHOL","",IF($K7811="","",$H7811*IFERROR(VLOOKUP($K7811,Drink_Templates!$A:$G,7,FALSE),0)))</f>
        <v/>
      </c>
    </row>
    <row r="7812" ht="15" customHeight="1">
      <c r="C7812">
        <f>IF($B7812="","",INT($B7812))</f>
        <v/>
      </c>
      <c r="D7812">
        <f>IF($C7812="","",$C7812-WEEKDAY($C7812,2)+1)</f>
        <v/>
      </c>
      <c r="E7812">
        <f>IF($C7812="","",DATE(YEAR($C7812),MONTH($C7812),1))</f>
        <v/>
      </c>
      <c r="F7812">
        <f>IF($C7812="","",YEAR($C7812)&amp;"-Q"&amp;ROUNDUP(MONTH($C7812)/3,0))</f>
        <v/>
      </c>
      <c r="L7812">
        <f>IF($G7812&lt;&gt;"ALCOHOL","",IF($K7812="","",$H7812*IFERROR(VLOOKUP($K7812,Drink_Templates!$A:$G,7,FALSE),0)))</f>
        <v/>
      </c>
    </row>
    <row r="7813" ht="15" customHeight="1">
      <c r="C7813">
        <f>IF($B7813="","",INT($B7813))</f>
        <v/>
      </c>
      <c r="D7813">
        <f>IF($C7813="","",$C7813-WEEKDAY($C7813,2)+1)</f>
        <v/>
      </c>
      <c r="E7813">
        <f>IF($C7813="","",DATE(YEAR($C7813),MONTH($C7813),1))</f>
        <v/>
      </c>
      <c r="F7813">
        <f>IF($C7813="","",YEAR($C7813)&amp;"-Q"&amp;ROUNDUP(MONTH($C7813)/3,0))</f>
        <v/>
      </c>
      <c r="L7813">
        <f>IF($G7813&lt;&gt;"ALCOHOL","",IF($K7813="","",$H7813*IFERROR(VLOOKUP($K7813,Drink_Templates!$A:$G,7,FALSE),0)))</f>
        <v/>
      </c>
    </row>
    <row r="7814" ht="15" customHeight="1">
      <c r="C7814">
        <f>IF($B7814="","",INT($B7814))</f>
        <v/>
      </c>
      <c r="D7814">
        <f>IF($C7814="","",$C7814-WEEKDAY($C7814,2)+1)</f>
        <v/>
      </c>
      <c r="E7814">
        <f>IF($C7814="","",DATE(YEAR($C7814),MONTH($C7814),1))</f>
        <v/>
      </c>
      <c r="F7814">
        <f>IF($C7814="","",YEAR($C7814)&amp;"-Q"&amp;ROUNDUP(MONTH($C7814)/3,0))</f>
        <v/>
      </c>
      <c r="L7814">
        <f>IF($G7814&lt;&gt;"ALCOHOL","",IF($K7814="","",$H7814*IFERROR(VLOOKUP($K7814,Drink_Templates!$A:$G,7,FALSE),0)))</f>
        <v/>
      </c>
    </row>
    <row r="7815" ht="15" customHeight="1">
      <c r="C7815">
        <f>IF($B7815="","",INT($B7815))</f>
        <v/>
      </c>
      <c r="D7815">
        <f>IF($C7815="","",$C7815-WEEKDAY($C7815,2)+1)</f>
        <v/>
      </c>
      <c r="E7815">
        <f>IF($C7815="","",DATE(YEAR($C7815),MONTH($C7815),1))</f>
        <v/>
      </c>
      <c r="F7815">
        <f>IF($C7815="","",YEAR($C7815)&amp;"-Q"&amp;ROUNDUP(MONTH($C7815)/3,0))</f>
        <v/>
      </c>
      <c r="L7815">
        <f>IF($G7815&lt;&gt;"ALCOHOL","",IF($K7815="","",$H7815*IFERROR(VLOOKUP($K7815,Drink_Templates!$A:$G,7,FALSE),0)))</f>
        <v/>
      </c>
    </row>
    <row r="7816" ht="15" customHeight="1">
      <c r="C7816">
        <f>IF($B7816="","",INT($B7816))</f>
        <v/>
      </c>
      <c r="D7816">
        <f>IF($C7816="","",$C7816-WEEKDAY($C7816,2)+1)</f>
        <v/>
      </c>
      <c r="E7816">
        <f>IF($C7816="","",DATE(YEAR($C7816),MONTH($C7816),1))</f>
        <v/>
      </c>
      <c r="F7816">
        <f>IF($C7816="","",YEAR($C7816)&amp;"-Q"&amp;ROUNDUP(MONTH($C7816)/3,0))</f>
        <v/>
      </c>
      <c r="L7816">
        <f>IF($G7816&lt;&gt;"ALCOHOL","",IF($K7816="","",$H7816*IFERROR(VLOOKUP($K7816,Drink_Templates!$A:$G,7,FALSE),0)))</f>
        <v/>
      </c>
    </row>
    <row r="7817" ht="15" customHeight="1">
      <c r="C7817">
        <f>IF($B7817="","",INT($B7817))</f>
        <v/>
      </c>
      <c r="D7817">
        <f>IF($C7817="","",$C7817-WEEKDAY($C7817,2)+1)</f>
        <v/>
      </c>
      <c r="E7817">
        <f>IF($C7817="","",DATE(YEAR($C7817),MONTH($C7817),1))</f>
        <v/>
      </c>
      <c r="F7817">
        <f>IF($C7817="","",YEAR($C7817)&amp;"-Q"&amp;ROUNDUP(MONTH($C7817)/3,0))</f>
        <v/>
      </c>
      <c r="L7817">
        <f>IF($G7817&lt;&gt;"ALCOHOL","",IF($K7817="","",$H7817*IFERROR(VLOOKUP($K7817,Drink_Templates!$A:$G,7,FALSE),0)))</f>
        <v/>
      </c>
    </row>
    <row r="7818" ht="15" customHeight="1">
      <c r="C7818">
        <f>IF($B7818="","",INT($B7818))</f>
        <v/>
      </c>
      <c r="D7818">
        <f>IF($C7818="","",$C7818-WEEKDAY($C7818,2)+1)</f>
        <v/>
      </c>
      <c r="E7818">
        <f>IF($C7818="","",DATE(YEAR($C7818),MONTH($C7818),1))</f>
        <v/>
      </c>
      <c r="F7818">
        <f>IF($C7818="","",YEAR($C7818)&amp;"-Q"&amp;ROUNDUP(MONTH($C7818)/3,0))</f>
        <v/>
      </c>
      <c r="L7818">
        <f>IF($G7818&lt;&gt;"ALCOHOL","",IF($K7818="","",$H7818*IFERROR(VLOOKUP($K7818,Drink_Templates!$A:$G,7,FALSE),0)))</f>
        <v/>
      </c>
    </row>
    <row r="7819" ht="15" customHeight="1">
      <c r="C7819">
        <f>IF($B7819="","",INT($B7819))</f>
        <v/>
      </c>
      <c r="D7819">
        <f>IF($C7819="","",$C7819-WEEKDAY($C7819,2)+1)</f>
        <v/>
      </c>
      <c r="E7819">
        <f>IF($C7819="","",DATE(YEAR($C7819),MONTH($C7819),1))</f>
        <v/>
      </c>
      <c r="F7819">
        <f>IF($C7819="","",YEAR($C7819)&amp;"-Q"&amp;ROUNDUP(MONTH($C7819)/3,0))</f>
        <v/>
      </c>
      <c r="L7819">
        <f>IF($G7819&lt;&gt;"ALCOHOL","",IF($K7819="","",$H7819*IFERROR(VLOOKUP($K7819,Drink_Templates!$A:$G,7,FALSE),0)))</f>
        <v/>
      </c>
    </row>
    <row r="7820" ht="15" customHeight="1">
      <c r="C7820">
        <f>IF($B7820="","",INT($B7820))</f>
        <v/>
      </c>
      <c r="D7820">
        <f>IF($C7820="","",$C7820-WEEKDAY($C7820,2)+1)</f>
        <v/>
      </c>
      <c r="E7820">
        <f>IF($C7820="","",DATE(YEAR($C7820),MONTH($C7820),1))</f>
        <v/>
      </c>
      <c r="F7820">
        <f>IF($C7820="","",YEAR($C7820)&amp;"-Q"&amp;ROUNDUP(MONTH($C7820)/3,0))</f>
        <v/>
      </c>
      <c r="L7820">
        <f>IF($G7820&lt;&gt;"ALCOHOL","",IF($K7820="","",$H7820*IFERROR(VLOOKUP($K7820,Drink_Templates!$A:$G,7,FALSE),0)))</f>
        <v/>
      </c>
    </row>
    <row r="7821" ht="15" customHeight="1">
      <c r="C7821">
        <f>IF($B7821="","",INT($B7821))</f>
        <v/>
      </c>
      <c r="D7821">
        <f>IF($C7821="","",$C7821-WEEKDAY($C7821,2)+1)</f>
        <v/>
      </c>
      <c r="E7821">
        <f>IF($C7821="","",DATE(YEAR($C7821),MONTH($C7821),1))</f>
        <v/>
      </c>
      <c r="F7821">
        <f>IF($C7821="","",YEAR($C7821)&amp;"-Q"&amp;ROUNDUP(MONTH($C7821)/3,0))</f>
        <v/>
      </c>
      <c r="L7821">
        <f>IF($G7821&lt;&gt;"ALCOHOL","",IF($K7821="","",$H7821*IFERROR(VLOOKUP($K7821,Drink_Templates!$A:$G,7,FALSE),0)))</f>
        <v/>
      </c>
    </row>
    <row r="7822" ht="15" customHeight="1">
      <c r="C7822">
        <f>IF($B7822="","",INT($B7822))</f>
        <v/>
      </c>
      <c r="D7822">
        <f>IF($C7822="","",$C7822-WEEKDAY($C7822,2)+1)</f>
        <v/>
      </c>
      <c r="E7822">
        <f>IF($C7822="","",DATE(YEAR($C7822),MONTH($C7822),1))</f>
        <v/>
      </c>
      <c r="F7822">
        <f>IF($C7822="","",YEAR($C7822)&amp;"-Q"&amp;ROUNDUP(MONTH($C7822)/3,0))</f>
        <v/>
      </c>
      <c r="L7822">
        <f>IF($G7822&lt;&gt;"ALCOHOL","",IF($K7822="","",$H7822*IFERROR(VLOOKUP($K7822,Drink_Templates!$A:$G,7,FALSE),0)))</f>
        <v/>
      </c>
    </row>
    <row r="7823" ht="15" customHeight="1">
      <c r="C7823">
        <f>IF($B7823="","",INT($B7823))</f>
        <v/>
      </c>
      <c r="D7823">
        <f>IF($C7823="","",$C7823-WEEKDAY($C7823,2)+1)</f>
        <v/>
      </c>
      <c r="E7823">
        <f>IF($C7823="","",DATE(YEAR($C7823),MONTH($C7823),1))</f>
        <v/>
      </c>
      <c r="F7823">
        <f>IF($C7823="","",YEAR($C7823)&amp;"-Q"&amp;ROUNDUP(MONTH($C7823)/3,0))</f>
        <v/>
      </c>
      <c r="L7823">
        <f>IF($G7823&lt;&gt;"ALCOHOL","",IF($K7823="","",$H7823*IFERROR(VLOOKUP($K7823,Drink_Templates!$A:$G,7,FALSE),0)))</f>
        <v/>
      </c>
    </row>
    <row r="7824" ht="15" customHeight="1">
      <c r="C7824">
        <f>IF($B7824="","",INT($B7824))</f>
        <v/>
      </c>
      <c r="D7824">
        <f>IF($C7824="","",$C7824-WEEKDAY($C7824,2)+1)</f>
        <v/>
      </c>
      <c r="E7824">
        <f>IF($C7824="","",DATE(YEAR($C7824),MONTH($C7824),1))</f>
        <v/>
      </c>
      <c r="F7824">
        <f>IF($C7824="","",YEAR($C7824)&amp;"-Q"&amp;ROUNDUP(MONTH($C7824)/3,0))</f>
        <v/>
      </c>
      <c r="L7824">
        <f>IF($G7824&lt;&gt;"ALCOHOL","",IF($K7824="","",$H7824*IFERROR(VLOOKUP($K7824,Drink_Templates!$A:$G,7,FALSE),0)))</f>
        <v/>
      </c>
    </row>
    <row r="7825" ht="15" customHeight="1">
      <c r="C7825">
        <f>IF($B7825="","",INT($B7825))</f>
        <v/>
      </c>
      <c r="D7825">
        <f>IF($C7825="","",$C7825-WEEKDAY($C7825,2)+1)</f>
        <v/>
      </c>
      <c r="E7825">
        <f>IF($C7825="","",DATE(YEAR($C7825),MONTH($C7825),1))</f>
        <v/>
      </c>
      <c r="F7825">
        <f>IF($C7825="","",YEAR($C7825)&amp;"-Q"&amp;ROUNDUP(MONTH($C7825)/3,0))</f>
        <v/>
      </c>
      <c r="L7825">
        <f>IF($G7825&lt;&gt;"ALCOHOL","",IF($K7825="","",$H7825*IFERROR(VLOOKUP($K7825,Drink_Templates!$A:$G,7,FALSE),0)))</f>
        <v/>
      </c>
    </row>
    <row r="7826" ht="15" customHeight="1">
      <c r="C7826">
        <f>IF($B7826="","",INT($B7826))</f>
        <v/>
      </c>
      <c r="D7826">
        <f>IF($C7826="","",$C7826-WEEKDAY($C7826,2)+1)</f>
        <v/>
      </c>
      <c r="E7826">
        <f>IF($C7826="","",DATE(YEAR($C7826),MONTH($C7826),1))</f>
        <v/>
      </c>
      <c r="F7826">
        <f>IF($C7826="","",YEAR($C7826)&amp;"-Q"&amp;ROUNDUP(MONTH($C7826)/3,0))</f>
        <v/>
      </c>
      <c r="L7826">
        <f>IF($G7826&lt;&gt;"ALCOHOL","",IF($K7826="","",$H7826*IFERROR(VLOOKUP($K7826,Drink_Templates!$A:$G,7,FALSE),0)))</f>
        <v/>
      </c>
    </row>
    <row r="7827" ht="15" customHeight="1">
      <c r="C7827">
        <f>IF($B7827="","",INT($B7827))</f>
        <v/>
      </c>
      <c r="D7827">
        <f>IF($C7827="","",$C7827-WEEKDAY($C7827,2)+1)</f>
        <v/>
      </c>
      <c r="E7827">
        <f>IF($C7827="","",DATE(YEAR($C7827),MONTH($C7827),1))</f>
        <v/>
      </c>
      <c r="F7827">
        <f>IF($C7827="","",YEAR($C7827)&amp;"-Q"&amp;ROUNDUP(MONTH($C7827)/3,0))</f>
        <v/>
      </c>
      <c r="L7827">
        <f>IF($G7827&lt;&gt;"ALCOHOL","",IF($K7827="","",$H7827*IFERROR(VLOOKUP($K7827,Drink_Templates!$A:$G,7,FALSE),0)))</f>
        <v/>
      </c>
    </row>
    <row r="7828" ht="15" customHeight="1">
      <c r="C7828">
        <f>IF($B7828="","",INT($B7828))</f>
        <v/>
      </c>
      <c r="D7828">
        <f>IF($C7828="","",$C7828-WEEKDAY($C7828,2)+1)</f>
        <v/>
      </c>
      <c r="E7828">
        <f>IF($C7828="","",DATE(YEAR($C7828),MONTH($C7828),1))</f>
        <v/>
      </c>
      <c r="F7828">
        <f>IF($C7828="","",YEAR($C7828)&amp;"-Q"&amp;ROUNDUP(MONTH($C7828)/3,0))</f>
        <v/>
      </c>
      <c r="L7828">
        <f>IF($G7828&lt;&gt;"ALCOHOL","",IF($K7828="","",$H7828*IFERROR(VLOOKUP($K7828,Drink_Templates!$A:$G,7,FALSE),0)))</f>
        <v/>
      </c>
    </row>
    <row r="7829" ht="15" customHeight="1">
      <c r="C7829">
        <f>IF($B7829="","",INT($B7829))</f>
        <v/>
      </c>
      <c r="D7829">
        <f>IF($C7829="","",$C7829-WEEKDAY($C7829,2)+1)</f>
        <v/>
      </c>
      <c r="E7829">
        <f>IF($C7829="","",DATE(YEAR($C7829),MONTH($C7829),1))</f>
        <v/>
      </c>
      <c r="F7829">
        <f>IF($C7829="","",YEAR($C7829)&amp;"-Q"&amp;ROUNDUP(MONTH($C7829)/3,0))</f>
        <v/>
      </c>
      <c r="L7829">
        <f>IF($G7829&lt;&gt;"ALCOHOL","",IF($K7829="","",$H7829*IFERROR(VLOOKUP($K7829,Drink_Templates!$A:$G,7,FALSE),0)))</f>
        <v/>
      </c>
    </row>
    <row r="7830" ht="15" customHeight="1">
      <c r="C7830">
        <f>IF($B7830="","",INT($B7830))</f>
        <v/>
      </c>
      <c r="D7830">
        <f>IF($C7830="","",$C7830-WEEKDAY($C7830,2)+1)</f>
        <v/>
      </c>
      <c r="E7830">
        <f>IF($C7830="","",DATE(YEAR($C7830),MONTH($C7830),1))</f>
        <v/>
      </c>
      <c r="F7830">
        <f>IF($C7830="","",YEAR($C7830)&amp;"-Q"&amp;ROUNDUP(MONTH($C7830)/3,0))</f>
        <v/>
      </c>
      <c r="L7830">
        <f>IF($G7830&lt;&gt;"ALCOHOL","",IF($K7830="","",$H7830*IFERROR(VLOOKUP($K7830,Drink_Templates!$A:$G,7,FALSE),0)))</f>
        <v/>
      </c>
    </row>
    <row r="7831" ht="15" customHeight="1">
      <c r="C7831">
        <f>IF($B7831="","",INT($B7831))</f>
        <v/>
      </c>
      <c r="D7831">
        <f>IF($C7831="","",$C7831-WEEKDAY($C7831,2)+1)</f>
        <v/>
      </c>
      <c r="E7831">
        <f>IF($C7831="","",DATE(YEAR($C7831),MONTH($C7831),1))</f>
        <v/>
      </c>
      <c r="F7831">
        <f>IF($C7831="","",YEAR($C7831)&amp;"-Q"&amp;ROUNDUP(MONTH($C7831)/3,0))</f>
        <v/>
      </c>
      <c r="L7831">
        <f>IF($G7831&lt;&gt;"ALCOHOL","",IF($K7831="","",$H7831*IFERROR(VLOOKUP($K7831,Drink_Templates!$A:$G,7,FALSE),0)))</f>
        <v/>
      </c>
    </row>
    <row r="7832" ht="15" customHeight="1">
      <c r="C7832">
        <f>IF($B7832="","",INT($B7832))</f>
        <v/>
      </c>
      <c r="D7832">
        <f>IF($C7832="","",$C7832-WEEKDAY($C7832,2)+1)</f>
        <v/>
      </c>
      <c r="E7832">
        <f>IF($C7832="","",DATE(YEAR($C7832),MONTH($C7832),1))</f>
        <v/>
      </c>
      <c r="F7832">
        <f>IF($C7832="","",YEAR($C7832)&amp;"-Q"&amp;ROUNDUP(MONTH($C7832)/3,0))</f>
        <v/>
      </c>
      <c r="L7832">
        <f>IF($G7832&lt;&gt;"ALCOHOL","",IF($K7832="","",$H7832*IFERROR(VLOOKUP($K7832,Drink_Templates!$A:$G,7,FALSE),0)))</f>
        <v/>
      </c>
    </row>
    <row r="7833" ht="15" customHeight="1">
      <c r="C7833">
        <f>IF($B7833="","",INT($B7833))</f>
        <v/>
      </c>
      <c r="D7833">
        <f>IF($C7833="","",$C7833-WEEKDAY($C7833,2)+1)</f>
        <v/>
      </c>
      <c r="E7833">
        <f>IF($C7833="","",DATE(YEAR($C7833),MONTH($C7833),1))</f>
        <v/>
      </c>
      <c r="F7833">
        <f>IF($C7833="","",YEAR($C7833)&amp;"-Q"&amp;ROUNDUP(MONTH($C7833)/3,0))</f>
        <v/>
      </c>
      <c r="L7833">
        <f>IF($G7833&lt;&gt;"ALCOHOL","",IF($K7833="","",$H7833*IFERROR(VLOOKUP($K7833,Drink_Templates!$A:$G,7,FALSE),0)))</f>
        <v/>
      </c>
    </row>
    <row r="7834" ht="15" customHeight="1">
      <c r="C7834">
        <f>IF($B7834="","",INT($B7834))</f>
        <v/>
      </c>
      <c r="D7834">
        <f>IF($C7834="","",$C7834-WEEKDAY($C7834,2)+1)</f>
        <v/>
      </c>
      <c r="E7834">
        <f>IF($C7834="","",DATE(YEAR($C7834),MONTH($C7834),1))</f>
        <v/>
      </c>
      <c r="F7834">
        <f>IF($C7834="","",YEAR($C7834)&amp;"-Q"&amp;ROUNDUP(MONTH($C7834)/3,0))</f>
        <v/>
      </c>
      <c r="L7834">
        <f>IF($G7834&lt;&gt;"ALCOHOL","",IF($K7834="","",$H7834*IFERROR(VLOOKUP($K7834,Drink_Templates!$A:$G,7,FALSE),0)))</f>
        <v/>
      </c>
    </row>
    <row r="7835" ht="15" customHeight="1">
      <c r="C7835">
        <f>IF($B7835="","",INT($B7835))</f>
        <v/>
      </c>
      <c r="D7835">
        <f>IF($C7835="","",$C7835-WEEKDAY($C7835,2)+1)</f>
        <v/>
      </c>
      <c r="E7835">
        <f>IF($C7835="","",DATE(YEAR($C7835),MONTH($C7835),1))</f>
        <v/>
      </c>
      <c r="F7835">
        <f>IF($C7835="","",YEAR($C7835)&amp;"-Q"&amp;ROUNDUP(MONTH($C7835)/3,0))</f>
        <v/>
      </c>
      <c r="L7835">
        <f>IF($G7835&lt;&gt;"ALCOHOL","",IF($K7835="","",$H7835*IFERROR(VLOOKUP($K7835,Drink_Templates!$A:$G,7,FALSE),0)))</f>
        <v/>
      </c>
    </row>
    <row r="7836" ht="15" customHeight="1">
      <c r="C7836">
        <f>IF($B7836="","",INT($B7836))</f>
        <v/>
      </c>
      <c r="D7836">
        <f>IF($C7836="","",$C7836-WEEKDAY($C7836,2)+1)</f>
        <v/>
      </c>
      <c r="E7836">
        <f>IF($C7836="","",DATE(YEAR($C7836),MONTH($C7836),1))</f>
        <v/>
      </c>
      <c r="F7836">
        <f>IF($C7836="","",YEAR($C7836)&amp;"-Q"&amp;ROUNDUP(MONTH($C7836)/3,0))</f>
        <v/>
      </c>
      <c r="L7836">
        <f>IF($G7836&lt;&gt;"ALCOHOL","",IF($K7836="","",$H7836*IFERROR(VLOOKUP($K7836,Drink_Templates!$A:$G,7,FALSE),0)))</f>
        <v/>
      </c>
    </row>
    <row r="7837" ht="15" customHeight="1">
      <c r="C7837">
        <f>IF($B7837="","",INT($B7837))</f>
        <v/>
      </c>
      <c r="D7837">
        <f>IF($C7837="","",$C7837-WEEKDAY($C7837,2)+1)</f>
        <v/>
      </c>
      <c r="E7837">
        <f>IF($C7837="","",DATE(YEAR($C7837),MONTH($C7837),1))</f>
        <v/>
      </c>
      <c r="F7837">
        <f>IF($C7837="","",YEAR($C7837)&amp;"-Q"&amp;ROUNDUP(MONTH($C7837)/3,0))</f>
        <v/>
      </c>
      <c r="L7837">
        <f>IF($G7837&lt;&gt;"ALCOHOL","",IF($K7837="","",$H7837*IFERROR(VLOOKUP($K7837,Drink_Templates!$A:$G,7,FALSE),0)))</f>
        <v/>
      </c>
    </row>
    <row r="7838" ht="15" customHeight="1">
      <c r="C7838">
        <f>IF($B7838="","",INT($B7838))</f>
        <v/>
      </c>
      <c r="D7838">
        <f>IF($C7838="","",$C7838-WEEKDAY($C7838,2)+1)</f>
        <v/>
      </c>
      <c r="E7838">
        <f>IF($C7838="","",DATE(YEAR($C7838),MONTH($C7838),1))</f>
        <v/>
      </c>
      <c r="F7838">
        <f>IF($C7838="","",YEAR($C7838)&amp;"-Q"&amp;ROUNDUP(MONTH($C7838)/3,0))</f>
        <v/>
      </c>
      <c r="L7838">
        <f>IF($G7838&lt;&gt;"ALCOHOL","",IF($K7838="","",$H7838*IFERROR(VLOOKUP($K7838,Drink_Templates!$A:$G,7,FALSE),0)))</f>
        <v/>
      </c>
    </row>
    <row r="7839" ht="15" customHeight="1">
      <c r="C7839">
        <f>IF($B7839="","",INT($B7839))</f>
        <v/>
      </c>
      <c r="D7839">
        <f>IF($C7839="","",$C7839-WEEKDAY($C7839,2)+1)</f>
        <v/>
      </c>
      <c r="E7839">
        <f>IF($C7839="","",DATE(YEAR($C7839),MONTH($C7839),1))</f>
        <v/>
      </c>
      <c r="F7839">
        <f>IF($C7839="","",YEAR($C7839)&amp;"-Q"&amp;ROUNDUP(MONTH($C7839)/3,0))</f>
        <v/>
      </c>
      <c r="L7839">
        <f>IF($G7839&lt;&gt;"ALCOHOL","",IF($K7839="","",$H7839*IFERROR(VLOOKUP($K7839,Drink_Templates!$A:$G,7,FALSE),0)))</f>
        <v/>
      </c>
    </row>
    <row r="7840" ht="15" customHeight="1">
      <c r="C7840">
        <f>IF($B7840="","",INT($B7840))</f>
        <v/>
      </c>
      <c r="D7840">
        <f>IF($C7840="","",$C7840-WEEKDAY($C7840,2)+1)</f>
        <v/>
      </c>
      <c r="E7840">
        <f>IF($C7840="","",DATE(YEAR($C7840),MONTH($C7840),1))</f>
        <v/>
      </c>
      <c r="F7840">
        <f>IF($C7840="","",YEAR($C7840)&amp;"-Q"&amp;ROUNDUP(MONTH($C7840)/3,0))</f>
        <v/>
      </c>
      <c r="L7840">
        <f>IF($G7840&lt;&gt;"ALCOHOL","",IF($K7840="","",$H7840*IFERROR(VLOOKUP($K7840,Drink_Templates!$A:$G,7,FALSE),0)))</f>
        <v/>
      </c>
    </row>
    <row r="7841" ht="15" customHeight="1">
      <c r="C7841">
        <f>IF($B7841="","",INT($B7841))</f>
        <v/>
      </c>
      <c r="D7841">
        <f>IF($C7841="","",$C7841-WEEKDAY($C7841,2)+1)</f>
        <v/>
      </c>
      <c r="E7841">
        <f>IF($C7841="","",DATE(YEAR($C7841),MONTH($C7841),1))</f>
        <v/>
      </c>
      <c r="F7841">
        <f>IF($C7841="","",YEAR($C7841)&amp;"-Q"&amp;ROUNDUP(MONTH($C7841)/3,0))</f>
        <v/>
      </c>
      <c r="L7841">
        <f>IF($G7841&lt;&gt;"ALCOHOL","",IF($K7841="","",$H7841*IFERROR(VLOOKUP($K7841,Drink_Templates!$A:$G,7,FALSE),0)))</f>
        <v/>
      </c>
    </row>
    <row r="7842" ht="15" customHeight="1">
      <c r="C7842">
        <f>IF($B7842="","",INT($B7842))</f>
        <v/>
      </c>
      <c r="D7842">
        <f>IF($C7842="","",$C7842-WEEKDAY($C7842,2)+1)</f>
        <v/>
      </c>
      <c r="E7842">
        <f>IF($C7842="","",DATE(YEAR($C7842),MONTH($C7842),1))</f>
        <v/>
      </c>
      <c r="F7842">
        <f>IF($C7842="","",YEAR($C7842)&amp;"-Q"&amp;ROUNDUP(MONTH($C7842)/3,0))</f>
        <v/>
      </c>
      <c r="L7842">
        <f>IF($G7842&lt;&gt;"ALCOHOL","",IF($K7842="","",$H7842*IFERROR(VLOOKUP($K7842,Drink_Templates!$A:$G,7,FALSE),0)))</f>
        <v/>
      </c>
    </row>
    <row r="7843" ht="15" customHeight="1">
      <c r="C7843">
        <f>IF($B7843="","",INT($B7843))</f>
        <v/>
      </c>
      <c r="D7843">
        <f>IF($C7843="","",$C7843-WEEKDAY($C7843,2)+1)</f>
        <v/>
      </c>
      <c r="E7843">
        <f>IF($C7843="","",DATE(YEAR($C7843),MONTH($C7843),1))</f>
        <v/>
      </c>
      <c r="F7843">
        <f>IF($C7843="","",YEAR($C7843)&amp;"-Q"&amp;ROUNDUP(MONTH($C7843)/3,0))</f>
        <v/>
      </c>
      <c r="L7843">
        <f>IF($G7843&lt;&gt;"ALCOHOL","",IF($K7843="","",$H7843*IFERROR(VLOOKUP($K7843,Drink_Templates!$A:$G,7,FALSE),0)))</f>
        <v/>
      </c>
    </row>
    <row r="7844" ht="15" customHeight="1">
      <c r="C7844">
        <f>IF($B7844="","",INT($B7844))</f>
        <v/>
      </c>
      <c r="D7844">
        <f>IF($C7844="","",$C7844-WEEKDAY($C7844,2)+1)</f>
        <v/>
      </c>
      <c r="E7844">
        <f>IF($C7844="","",DATE(YEAR($C7844),MONTH($C7844),1))</f>
        <v/>
      </c>
      <c r="F7844">
        <f>IF($C7844="","",YEAR($C7844)&amp;"-Q"&amp;ROUNDUP(MONTH($C7844)/3,0))</f>
        <v/>
      </c>
      <c r="L7844">
        <f>IF($G7844&lt;&gt;"ALCOHOL","",IF($K7844="","",$H7844*IFERROR(VLOOKUP($K7844,Drink_Templates!$A:$G,7,FALSE),0)))</f>
        <v/>
      </c>
    </row>
    <row r="7845" ht="15" customHeight="1">
      <c r="C7845">
        <f>IF($B7845="","",INT($B7845))</f>
        <v/>
      </c>
      <c r="D7845">
        <f>IF($C7845="","",$C7845-WEEKDAY($C7845,2)+1)</f>
        <v/>
      </c>
      <c r="E7845">
        <f>IF($C7845="","",DATE(YEAR($C7845),MONTH($C7845),1))</f>
        <v/>
      </c>
      <c r="F7845">
        <f>IF($C7845="","",YEAR($C7845)&amp;"-Q"&amp;ROUNDUP(MONTH($C7845)/3,0))</f>
        <v/>
      </c>
      <c r="L7845">
        <f>IF($G7845&lt;&gt;"ALCOHOL","",IF($K7845="","",$H7845*IFERROR(VLOOKUP($K7845,Drink_Templates!$A:$G,7,FALSE),0)))</f>
        <v/>
      </c>
    </row>
    <row r="7846" ht="15" customHeight="1">
      <c r="C7846">
        <f>IF($B7846="","",INT($B7846))</f>
        <v/>
      </c>
      <c r="D7846">
        <f>IF($C7846="","",$C7846-WEEKDAY($C7846,2)+1)</f>
        <v/>
      </c>
      <c r="E7846">
        <f>IF($C7846="","",DATE(YEAR($C7846),MONTH($C7846),1))</f>
        <v/>
      </c>
      <c r="F7846">
        <f>IF($C7846="","",YEAR($C7846)&amp;"-Q"&amp;ROUNDUP(MONTH($C7846)/3,0))</f>
        <v/>
      </c>
      <c r="L7846">
        <f>IF($G7846&lt;&gt;"ALCOHOL","",IF($K7846="","",$H7846*IFERROR(VLOOKUP($K7846,Drink_Templates!$A:$G,7,FALSE),0)))</f>
        <v/>
      </c>
    </row>
    <row r="7847" ht="15" customHeight="1">
      <c r="C7847">
        <f>IF($B7847="","",INT($B7847))</f>
        <v/>
      </c>
      <c r="D7847">
        <f>IF($C7847="","",$C7847-WEEKDAY($C7847,2)+1)</f>
        <v/>
      </c>
      <c r="E7847">
        <f>IF($C7847="","",DATE(YEAR($C7847),MONTH($C7847),1))</f>
        <v/>
      </c>
      <c r="F7847">
        <f>IF($C7847="","",YEAR($C7847)&amp;"-Q"&amp;ROUNDUP(MONTH($C7847)/3,0))</f>
        <v/>
      </c>
      <c r="L7847">
        <f>IF($G7847&lt;&gt;"ALCOHOL","",IF($K7847="","",$H7847*IFERROR(VLOOKUP($K7847,Drink_Templates!$A:$G,7,FALSE),0)))</f>
        <v/>
      </c>
    </row>
    <row r="7848" ht="15" customHeight="1">
      <c r="C7848">
        <f>IF($B7848="","",INT($B7848))</f>
        <v/>
      </c>
      <c r="D7848">
        <f>IF($C7848="","",$C7848-WEEKDAY($C7848,2)+1)</f>
        <v/>
      </c>
      <c r="E7848">
        <f>IF($C7848="","",DATE(YEAR($C7848),MONTH($C7848),1))</f>
        <v/>
      </c>
      <c r="F7848">
        <f>IF($C7848="","",YEAR($C7848)&amp;"-Q"&amp;ROUNDUP(MONTH($C7848)/3,0))</f>
        <v/>
      </c>
      <c r="L7848">
        <f>IF($G7848&lt;&gt;"ALCOHOL","",IF($K7848="","",$H7848*IFERROR(VLOOKUP($K7848,Drink_Templates!$A:$G,7,FALSE),0)))</f>
        <v/>
      </c>
    </row>
    <row r="7849" ht="15" customHeight="1">
      <c r="C7849">
        <f>IF($B7849="","",INT($B7849))</f>
        <v/>
      </c>
      <c r="D7849">
        <f>IF($C7849="","",$C7849-WEEKDAY($C7849,2)+1)</f>
        <v/>
      </c>
      <c r="E7849">
        <f>IF($C7849="","",DATE(YEAR($C7849),MONTH($C7849),1))</f>
        <v/>
      </c>
      <c r="F7849">
        <f>IF($C7849="","",YEAR($C7849)&amp;"-Q"&amp;ROUNDUP(MONTH($C7849)/3,0))</f>
        <v/>
      </c>
      <c r="L7849">
        <f>IF($G7849&lt;&gt;"ALCOHOL","",IF($K7849="","",$H7849*IFERROR(VLOOKUP($K7849,Drink_Templates!$A:$G,7,FALSE),0)))</f>
        <v/>
      </c>
    </row>
    <row r="7850" ht="15" customHeight="1">
      <c r="C7850">
        <f>IF($B7850="","",INT($B7850))</f>
        <v/>
      </c>
      <c r="D7850">
        <f>IF($C7850="","",$C7850-WEEKDAY($C7850,2)+1)</f>
        <v/>
      </c>
      <c r="E7850">
        <f>IF($C7850="","",DATE(YEAR($C7850),MONTH($C7850),1))</f>
        <v/>
      </c>
      <c r="F7850">
        <f>IF($C7850="","",YEAR($C7850)&amp;"-Q"&amp;ROUNDUP(MONTH($C7850)/3,0))</f>
        <v/>
      </c>
      <c r="L7850">
        <f>IF($G7850&lt;&gt;"ALCOHOL","",IF($K7850="","",$H7850*IFERROR(VLOOKUP($K7850,Drink_Templates!$A:$G,7,FALSE),0)))</f>
        <v/>
      </c>
    </row>
    <row r="7851" ht="15" customHeight="1">
      <c r="C7851">
        <f>IF($B7851="","",INT($B7851))</f>
        <v/>
      </c>
      <c r="D7851">
        <f>IF($C7851="","",$C7851-WEEKDAY($C7851,2)+1)</f>
        <v/>
      </c>
      <c r="E7851">
        <f>IF($C7851="","",DATE(YEAR($C7851),MONTH($C7851),1))</f>
        <v/>
      </c>
      <c r="F7851">
        <f>IF($C7851="","",YEAR($C7851)&amp;"-Q"&amp;ROUNDUP(MONTH($C7851)/3,0))</f>
        <v/>
      </c>
      <c r="L7851">
        <f>IF($G7851&lt;&gt;"ALCOHOL","",IF($K7851="","",$H7851*IFERROR(VLOOKUP($K7851,Drink_Templates!$A:$G,7,FALSE),0)))</f>
        <v/>
      </c>
    </row>
    <row r="7852" ht="15" customHeight="1">
      <c r="C7852">
        <f>IF($B7852="","",INT($B7852))</f>
        <v/>
      </c>
      <c r="D7852">
        <f>IF($C7852="","",$C7852-WEEKDAY($C7852,2)+1)</f>
        <v/>
      </c>
      <c r="E7852">
        <f>IF($C7852="","",DATE(YEAR($C7852),MONTH($C7852),1))</f>
        <v/>
      </c>
      <c r="F7852">
        <f>IF($C7852="","",YEAR($C7852)&amp;"-Q"&amp;ROUNDUP(MONTH($C7852)/3,0))</f>
        <v/>
      </c>
      <c r="L7852">
        <f>IF($G7852&lt;&gt;"ALCOHOL","",IF($K7852="","",$H7852*IFERROR(VLOOKUP($K7852,Drink_Templates!$A:$G,7,FALSE),0)))</f>
        <v/>
      </c>
    </row>
    <row r="7853" ht="15" customHeight="1">
      <c r="C7853">
        <f>IF($B7853="","",INT($B7853))</f>
        <v/>
      </c>
      <c r="D7853">
        <f>IF($C7853="","",$C7853-WEEKDAY($C7853,2)+1)</f>
        <v/>
      </c>
      <c r="E7853">
        <f>IF($C7853="","",DATE(YEAR($C7853),MONTH($C7853),1))</f>
        <v/>
      </c>
      <c r="F7853">
        <f>IF($C7853="","",YEAR($C7853)&amp;"-Q"&amp;ROUNDUP(MONTH($C7853)/3,0))</f>
        <v/>
      </c>
      <c r="L7853">
        <f>IF($G7853&lt;&gt;"ALCOHOL","",IF($K7853="","",$H7853*IFERROR(VLOOKUP($K7853,Drink_Templates!$A:$G,7,FALSE),0)))</f>
        <v/>
      </c>
    </row>
    <row r="7854" ht="15" customHeight="1">
      <c r="C7854">
        <f>IF($B7854="","",INT($B7854))</f>
        <v/>
      </c>
      <c r="D7854">
        <f>IF($C7854="","",$C7854-WEEKDAY($C7854,2)+1)</f>
        <v/>
      </c>
      <c r="E7854">
        <f>IF($C7854="","",DATE(YEAR($C7854),MONTH($C7854),1))</f>
        <v/>
      </c>
      <c r="F7854">
        <f>IF($C7854="","",YEAR($C7854)&amp;"-Q"&amp;ROUNDUP(MONTH($C7854)/3,0))</f>
        <v/>
      </c>
      <c r="L7854">
        <f>IF($G7854&lt;&gt;"ALCOHOL","",IF($K7854="","",$H7854*IFERROR(VLOOKUP($K7854,Drink_Templates!$A:$G,7,FALSE),0)))</f>
        <v/>
      </c>
    </row>
    <row r="7855" ht="15" customHeight="1">
      <c r="C7855">
        <f>IF($B7855="","",INT($B7855))</f>
        <v/>
      </c>
      <c r="D7855">
        <f>IF($C7855="","",$C7855-WEEKDAY($C7855,2)+1)</f>
        <v/>
      </c>
      <c r="E7855">
        <f>IF($C7855="","",DATE(YEAR($C7855),MONTH($C7855),1))</f>
        <v/>
      </c>
      <c r="F7855">
        <f>IF($C7855="","",YEAR($C7855)&amp;"-Q"&amp;ROUNDUP(MONTH($C7855)/3,0))</f>
        <v/>
      </c>
      <c r="L7855">
        <f>IF($G7855&lt;&gt;"ALCOHOL","",IF($K7855="","",$H7855*IFERROR(VLOOKUP($K7855,Drink_Templates!$A:$G,7,FALSE),0)))</f>
        <v/>
      </c>
    </row>
    <row r="7856" ht="15" customHeight="1">
      <c r="C7856">
        <f>IF($B7856="","",INT($B7856))</f>
        <v/>
      </c>
      <c r="D7856">
        <f>IF($C7856="","",$C7856-WEEKDAY($C7856,2)+1)</f>
        <v/>
      </c>
      <c r="E7856">
        <f>IF($C7856="","",DATE(YEAR($C7856),MONTH($C7856),1))</f>
        <v/>
      </c>
      <c r="F7856">
        <f>IF($C7856="","",YEAR($C7856)&amp;"-Q"&amp;ROUNDUP(MONTH($C7856)/3,0))</f>
        <v/>
      </c>
      <c r="L7856">
        <f>IF($G7856&lt;&gt;"ALCOHOL","",IF($K7856="","",$H7856*IFERROR(VLOOKUP($K7856,Drink_Templates!$A:$G,7,FALSE),0)))</f>
        <v/>
      </c>
    </row>
    <row r="7857" ht="15" customHeight="1">
      <c r="C7857">
        <f>IF($B7857="","",INT($B7857))</f>
        <v/>
      </c>
      <c r="D7857">
        <f>IF($C7857="","",$C7857-WEEKDAY($C7857,2)+1)</f>
        <v/>
      </c>
      <c r="E7857">
        <f>IF($C7857="","",DATE(YEAR($C7857),MONTH($C7857),1))</f>
        <v/>
      </c>
      <c r="F7857">
        <f>IF($C7857="","",YEAR($C7857)&amp;"-Q"&amp;ROUNDUP(MONTH($C7857)/3,0))</f>
        <v/>
      </c>
      <c r="L7857">
        <f>IF($G7857&lt;&gt;"ALCOHOL","",IF($K7857="","",$H7857*IFERROR(VLOOKUP($K7857,Drink_Templates!$A:$G,7,FALSE),0)))</f>
        <v/>
      </c>
    </row>
    <row r="7858" ht="15" customHeight="1">
      <c r="C7858">
        <f>IF($B7858="","",INT($B7858))</f>
        <v/>
      </c>
      <c r="D7858">
        <f>IF($C7858="","",$C7858-WEEKDAY($C7858,2)+1)</f>
        <v/>
      </c>
      <c r="E7858">
        <f>IF($C7858="","",DATE(YEAR($C7858),MONTH($C7858),1))</f>
        <v/>
      </c>
      <c r="F7858">
        <f>IF($C7858="","",YEAR($C7858)&amp;"-Q"&amp;ROUNDUP(MONTH($C7858)/3,0))</f>
        <v/>
      </c>
      <c r="L7858">
        <f>IF($G7858&lt;&gt;"ALCOHOL","",IF($K7858="","",$H7858*IFERROR(VLOOKUP($K7858,Drink_Templates!$A:$G,7,FALSE),0)))</f>
        <v/>
      </c>
    </row>
    <row r="7859" ht="15" customHeight="1">
      <c r="C7859">
        <f>IF($B7859="","",INT($B7859))</f>
        <v/>
      </c>
      <c r="D7859">
        <f>IF($C7859="","",$C7859-WEEKDAY($C7859,2)+1)</f>
        <v/>
      </c>
      <c r="E7859">
        <f>IF($C7859="","",DATE(YEAR($C7859),MONTH($C7859),1))</f>
        <v/>
      </c>
      <c r="F7859">
        <f>IF($C7859="","",YEAR($C7859)&amp;"-Q"&amp;ROUNDUP(MONTH($C7859)/3,0))</f>
        <v/>
      </c>
      <c r="L7859">
        <f>IF($G7859&lt;&gt;"ALCOHOL","",IF($K7859="","",$H7859*IFERROR(VLOOKUP($K7859,Drink_Templates!$A:$G,7,FALSE),0)))</f>
        <v/>
      </c>
    </row>
    <row r="7860" ht="15" customHeight="1">
      <c r="C7860">
        <f>IF($B7860="","",INT($B7860))</f>
        <v/>
      </c>
      <c r="D7860">
        <f>IF($C7860="","",$C7860-WEEKDAY($C7860,2)+1)</f>
        <v/>
      </c>
      <c r="E7860">
        <f>IF($C7860="","",DATE(YEAR($C7860),MONTH($C7860),1))</f>
        <v/>
      </c>
      <c r="F7860">
        <f>IF($C7860="","",YEAR($C7860)&amp;"-Q"&amp;ROUNDUP(MONTH($C7860)/3,0))</f>
        <v/>
      </c>
      <c r="L7860">
        <f>IF($G7860&lt;&gt;"ALCOHOL","",IF($K7860="","",$H7860*IFERROR(VLOOKUP($K7860,Drink_Templates!$A:$G,7,FALSE),0)))</f>
        <v/>
      </c>
    </row>
    <row r="7861" ht="15" customHeight="1">
      <c r="C7861">
        <f>IF($B7861="","",INT($B7861))</f>
        <v/>
      </c>
      <c r="D7861">
        <f>IF($C7861="","",$C7861-WEEKDAY($C7861,2)+1)</f>
        <v/>
      </c>
      <c r="E7861">
        <f>IF($C7861="","",DATE(YEAR($C7861),MONTH($C7861),1))</f>
        <v/>
      </c>
      <c r="F7861">
        <f>IF($C7861="","",YEAR($C7861)&amp;"-Q"&amp;ROUNDUP(MONTH($C7861)/3,0))</f>
        <v/>
      </c>
      <c r="L7861">
        <f>IF($G7861&lt;&gt;"ALCOHOL","",IF($K7861="","",$H7861*IFERROR(VLOOKUP($K7861,Drink_Templates!$A:$G,7,FALSE),0)))</f>
        <v/>
      </c>
    </row>
    <row r="7862" ht="15" customHeight="1">
      <c r="C7862">
        <f>IF($B7862="","",INT($B7862))</f>
        <v/>
      </c>
      <c r="D7862">
        <f>IF($C7862="","",$C7862-WEEKDAY($C7862,2)+1)</f>
        <v/>
      </c>
      <c r="E7862">
        <f>IF($C7862="","",DATE(YEAR($C7862),MONTH($C7862),1))</f>
        <v/>
      </c>
      <c r="F7862">
        <f>IF($C7862="","",YEAR($C7862)&amp;"-Q"&amp;ROUNDUP(MONTH($C7862)/3,0))</f>
        <v/>
      </c>
      <c r="L7862">
        <f>IF($G7862&lt;&gt;"ALCOHOL","",IF($K7862="","",$H7862*IFERROR(VLOOKUP($K7862,Drink_Templates!$A:$G,7,FALSE),0)))</f>
        <v/>
      </c>
    </row>
    <row r="7863" ht="15" customHeight="1">
      <c r="C7863">
        <f>IF($B7863="","",INT($B7863))</f>
        <v/>
      </c>
      <c r="D7863">
        <f>IF($C7863="","",$C7863-WEEKDAY($C7863,2)+1)</f>
        <v/>
      </c>
      <c r="E7863">
        <f>IF($C7863="","",DATE(YEAR($C7863),MONTH($C7863),1))</f>
        <v/>
      </c>
      <c r="F7863">
        <f>IF($C7863="","",YEAR($C7863)&amp;"-Q"&amp;ROUNDUP(MONTH($C7863)/3,0))</f>
        <v/>
      </c>
      <c r="L7863">
        <f>IF($G7863&lt;&gt;"ALCOHOL","",IF($K7863="","",$H7863*IFERROR(VLOOKUP($K7863,Drink_Templates!$A:$G,7,FALSE),0)))</f>
        <v/>
      </c>
    </row>
    <row r="7864" ht="15" customHeight="1">
      <c r="C7864">
        <f>IF($B7864="","",INT($B7864))</f>
        <v/>
      </c>
      <c r="D7864">
        <f>IF($C7864="","",$C7864-WEEKDAY($C7864,2)+1)</f>
        <v/>
      </c>
      <c r="E7864">
        <f>IF($C7864="","",DATE(YEAR($C7864),MONTH($C7864),1))</f>
        <v/>
      </c>
      <c r="F7864">
        <f>IF($C7864="","",YEAR($C7864)&amp;"-Q"&amp;ROUNDUP(MONTH($C7864)/3,0))</f>
        <v/>
      </c>
      <c r="L7864">
        <f>IF($G7864&lt;&gt;"ALCOHOL","",IF($K7864="","",$H7864*IFERROR(VLOOKUP($K7864,Drink_Templates!$A:$G,7,FALSE),0)))</f>
        <v/>
      </c>
    </row>
    <row r="7865" ht="15" customHeight="1">
      <c r="C7865">
        <f>IF($B7865="","",INT($B7865))</f>
        <v/>
      </c>
      <c r="D7865">
        <f>IF($C7865="","",$C7865-WEEKDAY($C7865,2)+1)</f>
        <v/>
      </c>
      <c r="E7865">
        <f>IF($C7865="","",DATE(YEAR($C7865),MONTH($C7865),1))</f>
        <v/>
      </c>
      <c r="F7865">
        <f>IF($C7865="","",YEAR($C7865)&amp;"-Q"&amp;ROUNDUP(MONTH($C7865)/3,0))</f>
        <v/>
      </c>
      <c r="L7865">
        <f>IF($G7865&lt;&gt;"ALCOHOL","",IF($K7865="","",$H7865*IFERROR(VLOOKUP($K7865,Drink_Templates!$A:$G,7,FALSE),0)))</f>
        <v/>
      </c>
    </row>
    <row r="7866" ht="15" customHeight="1">
      <c r="C7866">
        <f>IF($B7866="","",INT($B7866))</f>
        <v/>
      </c>
      <c r="D7866">
        <f>IF($C7866="","",$C7866-WEEKDAY($C7866,2)+1)</f>
        <v/>
      </c>
      <c r="E7866">
        <f>IF($C7866="","",DATE(YEAR($C7866),MONTH($C7866),1))</f>
        <v/>
      </c>
      <c r="F7866">
        <f>IF($C7866="","",YEAR($C7866)&amp;"-Q"&amp;ROUNDUP(MONTH($C7866)/3,0))</f>
        <v/>
      </c>
      <c r="L7866">
        <f>IF($G7866&lt;&gt;"ALCOHOL","",IF($K7866="","",$H7866*IFERROR(VLOOKUP($K7866,Drink_Templates!$A:$G,7,FALSE),0)))</f>
        <v/>
      </c>
    </row>
    <row r="7867" ht="15" customHeight="1">
      <c r="C7867">
        <f>IF($B7867="","",INT($B7867))</f>
        <v/>
      </c>
      <c r="D7867">
        <f>IF($C7867="","",$C7867-WEEKDAY($C7867,2)+1)</f>
        <v/>
      </c>
      <c r="E7867">
        <f>IF($C7867="","",DATE(YEAR($C7867),MONTH($C7867),1))</f>
        <v/>
      </c>
      <c r="F7867">
        <f>IF($C7867="","",YEAR($C7867)&amp;"-Q"&amp;ROUNDUP(MONTH($C7867)/3,0))</f>
        <v/>
      </c>
      <c r="L7867">
        <f>IF($G7867&lt;&gt;"ALCOHOL","",IF($K7867="","",$H7867*IFERROR(VLOOKUP($K7867,Drink_Templates!$A:$G,7,FALSE),0)))</f>
        <v/>
      </c>
    </row>
    <row r="7868" ht="15" customHeight="1">
      <c r="C7868">
        <f>IF($B7868="","",INT($B7868))</f>
        <v/>
      </c>
      <c r="D7868">
        <f>IF($C7868="","",$C7868-WEEKDAY($C7868,2)+1)</f>
        <v/>
      </c>
      <c r="E7868">
        <f>IF($C7868="","",DATE(YEAR($C7868),MONTH($C7868),1))</f>
        <v/>
      </c>
      <c r="F7868">
        <f>IF($C7868="","",YEAR($C7868)&amp;"-Q"&amp;ROUNDUP(MONTH($C7868)/3,0))</f>
        <v/>
      </c>
      <c r="L7868">
        <f>IF($G7868&lt;&gt;"ALCOHOL","",IF($K7868="","",$H7868*IFERROR(VLOOKUP($K7868,Drink_Templates!$A:$G,7,FALSE),0)))</f>
        <v/>
      </c>
    </row>
    <row r="7869" ht="15" customHeight="1">
      <c r="C7869">
        <f>IF($B7869="","",INT($B7869))</f>
        <v/>
      </c>
      <c r="D7869">
        <f>IF($C7869="","",$C7869-WEEKDAY($C7869,2)+1)</f>
        <v/>
      </c>
      <c r="E7869">
        <f>IF($C7869="","",DATE(YEAR($C7869),MONTH($C7869),1))</f>
        <v/>
      </c>
      <c r="F7869">
        <f>IF($C7869="","",YEAR($C7869)&amp;"-Q"&amp;ROUNDUP(MONTH($C7869)/3,0))</f>
        <v/>
      </c>
      <c r="L7869">
        <f>IF($G7869&lt;&gt;"ALCOHOL","",IF($K7869="","",$H7869*IFERROR(VLOOKUP($K7869,Drink_Templates!$A:$G,7,FALSE),0)))</f>
        <v/>
      </c>
    </row>
    <row r="7870" ht="15" customHeight="1">
      <c r="C7870">
        <f>IF($B7870="","",INT($B7870))</f>
        <v/>
      </c>
      <c r="D7870">
        <f>IF($C7870="","",$C7870-WEEKDAY($C7870,2)+1)</f>
        <v/>
      </c>
      <c r="E7870">
        <f>IF($C7870="","",DATE(YEAR($C7870),MONTH($C7870),1))</f>
        <v/>
      </c>
      <c r="F7870">
        <f>IF($C7870="","",YEAR($C7870)&amp;"-Q"&amp;ROUNDUP(MONTH($C7870)/3,0))</f>
        <v/>
      </c>
      <c r="L7870">
        <f>IF($G7870&lt;&gt;"ALCOHOL","",IF($K7870="","",$H7870*IFERROR(VLOOKUP($K7870,Drink_Templates!$A:$G,7,FALSE),0)))</f>
        <v/>
      </c>
    </row>
    <row r="7871" ht="15" customHeight="1">
      <c r="C7871">
        <f>IF($B7871="","",INT($B7871))</f>
        <v/>
      </c>
      <c r="D7871">
        <f>IF($C7871="","",$C7871-WEEKDAY($C7871,2)+1)</f>
        <v/>
      </c>
      <c r="E7871">
        <f>IF($C7871="","",DATE(YEAR($C7871),MONTH($C7871),1))</f>
        <v/>
      </c>
      <c r="F7871">
        <f>IF($C7871="","",YEAR($C7871)&amp;"-Q"&amp;ROUNDUP(MONTH($C7871)/3,0))</f>
        <v/>
      </c>
      <c r="L7871">
        <f>IF($G7871&lt;&gt;"ALCOHOL","",IF($K7871="","",$H7871*IFERROR(VLOOKUP($K7871,Drink_Templates!$A:$G,7,FALSE),0)))</f>
        <v/>
      </c>
    </row>
    <row r="7872" ht="15" customHeight="1">
      <c r="C7872">
        <f>IF($B7872="","",INT($B7872))</f>
        <v/>
      </c>
      <c r="D7872">
        <f>IF($C7872="","",$C7872-WEEKDAY($C7872,2)+1)</f>
        <v/>
      </c>
      <c r="E7872">
        <f>IF($C7872="","",DATE(YEAR($C7872),MONTH($C7872),1))</f>
        <v/>
      </c>
      <c r="F7872">
        <f>IF($C7872="","",YEAR($C7872)&amp;"-Q"&amp;ROUNDUP(MONTH($C7872)/3,0))</f>
        <v/>
      </c>
      <c r="L7872">
        <f>IF($G7872&lt;&gt;"ALCOHOL","",IF($K7872="","",$H7872*IFERROR(VLOOKUP($K7872,Drink_Templates!$A:$G,7,FALSE),0)))</f>
        <v/>
      </c>
    </row>
    <row r="7873" ht="15" customHeight="1">
      <c r="C7873">
        <f>IF($B7873="","",INT($B7873))</f>
        <v/>
      </c>
      <c r="D7873">
        <f>IF($C7873="","",$C7873-WEEKDAY($C7873,2)+1)</f>
        <v/>
      </c>
      <c r="E7873">
        <f>IF($C7873="","",DATE(YEAR($C7873),MONTH($C7873),1))</f>
        <v/>
      </c>
      <c r="F7873">
        <f>IF($C7873="","",YEAR($C7873)&amp;"-Q"&amp;ROUNDUP(MONTH($C7873)/3,0))</f>
        <v/>
      </c>
      <c r="L7873">
        <f>IF($G7873&lt;&gt;"ALCOHOL","",IF($K7873="","",$H7873*IFERROR(VLOOKUP($K7873,Drink_Templates!$A:$G,7,FALSE),0)))</f>
        <v/>
      </c>
    </row>
    <row r="7874" ht="15" customHeight="1">
      <c r="C7874">
        <f>IF($B7874="","",INT($B7874))</f>
        <v/>
      </c>
      <c r="D7874">
        <f>IF($C7874="","",$C7874-WEEKDAY($C7874,2)+1)</f>
        <v/>
      </c>
      <c r="E7874">
        <f>IF($C7874="","",DATE(YEAR($C7874),MONTH($C7874),1))</f>
        <v/>
      </c>
      <c r="F7874">
        <f>IF($C7874="","",YEAR($C7874)&amp;"-Q"&amp;ROUNDUP(MONTH($C7874)/3,0))</f>
        <v/>
      </c>
      <c r="L7874">
        <f>IF($G7874&lt;&gt;"ALCOHOL","",IF($K7874="","",$H7874*IFERROR(VLOOKUP($K7874,Drink_Templates!$A:$G,7,FALSE),0)))</f>
        <v/>
      </c>
    </row>
    <row r="7875" ht="15" customHeight="1">
      <c r="C7875">
        <f>IF($B7875="","",INT($B7875))</f>
        <v/>
      </c>
      <c r="D7875">
        <f>IF($C7875="","",$C7875-WEEKDAY($C7875,2)+1)</f>
        <v/>
      </c>
      <c r="E7875">
        <f>IF($C7875="","",DATE(YEAR($C7875),MONTH($C7875),1))</f>
        <v/>
      </c>
      <c r="F7875">
        <f>IF($C7875="","",YEAR($C7875)&amp;"-Q"&amp;ROUNDUP(MONTH($C7875)/3,0))</f>
        <v/>
      </c>
      <c r="L7875">
        <f>IF($G7875&lt;&gt;"ALCOHOL","",IF($K7875="","",$H7875*IFERROR(VLOOKUP($K7875,Drink_Templates!$A:$G,7,FALSE),0)))</f>
        <v/>
      </c>
    </row>
    <row r="7876" ht="15" customHeight="1">
      <c r="C7876">
        <f>IF($B7876="","",INT($B7876))</f>
        <v/>
      </c>
      <c r="D7876">
        <f>IF($C7876="","",$C7876-WEEKDAY($C7876,2)+1)</f>
        <v/>
      </c>
      <c r="E7876">
        <f>IF($C7876="","",DATE(YEAR($C7876),MONTH($C7876),1))</f>
        <v/>
      </c>
      <c r="F7876">
        <f>IF($C7876="","",YEAR($C7876)&amp;"-Q"&amp;ROUNDUP(MONTH($C7876)/3,0))</f>
        <v/>
      </c>
      <c r="L7876">
        <f>IF($G7876&lt;&gt;"ALCOHOL","",IF($K7876="","",$H7876*IFERROR(VLOOKUP($K7876,Drink_Templates!$A:$G,7,FALSE),0)))</f>
        <v/>
      </c>
    </row>
    <row r="7877" ht="15" customHeight="1">
      <c r="C7877">
        <f>IF($B7877="","",INT($B7877))</f>
        <v/>
      </c>
      <c r="D7877">
        <f>IF($C7877="","",$C7877-WEEKDAY($C7877,2)+1)</f>
        <v/>
      </c>
      <c r="E7877">
        <f>IF($C7877="","",DATE(YEAR($C7877),MONTH($C7877),1))</f>
        <v/>
      </c>
      <c r="F7877">
        <f>IF($C7877="","",YEAR($C7877)&amp;"-Q"&amp;ROUNDUP(MONTH($C7877)/3,0))</f>
        <v/>
      </c>
      <c r="L7877">
        <f>IF($G7877&lt;&gt;"ALCOHOL","",IF($K7877="","",$H7877*IFERROR(VLOOKUP($K7877,Drink_Templates!$A:$G,7,FALSE),0)))</f>
        <v/>
      </c>
    </row>
    <row r="7878" ht="15" customHeight="1">
      <c r="C7878">
        <f>IF($B7878="","",INT($B7878))</f>
        <v/>
      </c>
      <c r="D7878">
        <f>IF($C7878="","",$C7878-WEEKDAY($C7878,2)+1)</f>
        <v/>
      </c>
      <c r="E7878">
        <f>IF($C7878="","",DATE(YEAR($C7878),MONTH($C7878),1))</f>
        <v/>
      </c>
      <c r="F7878">
        <f>IF($C7878="","",YEAR($C7878)&amp;"-Q"&amp;ROUNDUP(MONTH($C7878)/3,0))</f>
        <v/>
      </c>
      <c r="L7878">
        <f>IF($G7878&lt;&gt;"ALCOHOL","",IF($K7878="","",$H7878*IFERROR(VLOOKUP($K7878,Drink_Templates!$A:$G,7,FALSE),0)))</f>
        <v/>
      </c>
    </row>
    <row r="7879" ht="15" customHeight="1">
      <c r="C7879">
        <f>IF($B7879="","",INT($B7879))</f>
        <v/>
      </c>
      <c r="D7879">
        <f>IF($C7879="","",$C7879-WEEKDAY($C7879,2)+1)</f>
        <v/>
      </c>
      <c r="E7879">
        <f>IF($C7879="","",DATE(YEAR($C7879),MONTH($C7879),1))</f>
        <v/>
      </c>
      <c r="F7879">
        <f>IF($C7879="","",YEAR($C7879)&amp;"-Q"&amp;ROUNDUP(MONTH($C7879)/3,0))</f>
        <v/>
      </c>
      <c r="L7879">
        <f>IF($G7879&lt;&gt;"ALCOHOL","",IF($K7879="","",$H7879*IFERROR(VLOOKUP($K7879,Drink_Templates!$A:$G,7,FALSE),0)))</f>
        <v/>
      </c>
    </row>
    <row r="7880" ht="15" customHeight="1">
      <c r="C7880">
        <f>IF($B7880="","",INT($B7880))</f>
        <v/>
      </c>
      <c r="D7880">
        <f>IF($C7880="","",$C7880-WEEKDAY($C7880,2)+1)</f>
        <v/>
      </c>
      <c r="E7880">
        <f>IF($C7880="","",DATE(YEAR($C7880),MONTH($C7880),1))</f>
        <v/>
      </c>
      <c r="F7880">
        <f>IF($C7880="","",YEAR($C7880)&amp;"-Q"&amp;ROUNDUP(MONTH($C7880)/3,0))</f>
        <v/>
      </c>
      <c r="L7880">
        <f>IF($G7880&lt;&gt;"ALCOHOL","",IF($K7880="","",$H7880*IFERROR(VLOOKUP($K7880,Drink_Templates!$A:$G,7,FALSE),0)))</f>
        <v/>
      </c>
    </row>
    <row r="7881" ht="15" customHeight="1">
      <c r="C7881">
        <f>IF($B7881="","",INT($B7881))</f>
        <v/>
      </c>
      <c r="D7881">
        <f>IF($C7881="","",$C7881-WEEKDAY($C7881,2)+1)</f>
        <v/>
      </c>
      <c r="E7881">
        <f>IF($C7881="","",DATE(YEAR($C7881),MONTH($C7881),1))</f>
        <v/>
      </c>
      <c r="F7881">
        <f>IF($C7881="","",YEAR($C7881)&amp;"-Q"&amp;ROUNDUP(MONTH($C7881)/3,0))</f>
        <v/>
      </c>
      <c r="L7881">
        <f>IF($G7881&lt;&gt;"ALCOHOL","",IF($K7881="","",$H7881*IFERROR(VLOOKUP($K7881,Drink_Templates!$A:$G,7,FALSE),0)))</f>
        <v/>
      </c>
    </row>
    <row r="7882" ht="15" customHeight="1">
      <c r="C7882">
        <f>IF($B7882="","",INT($B7882))</f>
        <v/>
      </c>
      <c r="D7882">
        <f>IF($C7882="","",$C7882-WEEKDAY($C7882,2)+1)</f>
        <v/>
      </c>
      <c r="E7882">
        <f>IF($C7882="","",DATE(YEAR($C7882),MONTH($C7882),1))</f>
        <v/>
      </c>
      <c r="F7882">
        <f>IF($C7882="","",YEAR($C7882)&amp;"-Q"&amp;ROUNDUP(MONTH($C7882)/3,0))</f>
        <v/>
      </c>
      <c r="L7882">
        <f>IF($G7882&lt;&gt;"ALCOHOL","",IF($K7882="","",$H7882*IFERROR(VLOOKUP($K7882,Drink_Templates!$A:$G,7,FALSE),0)))</f>
        <v/>
      </c>
    </row>
    <row r="7883" ht="15" customHeight="1">
      <c r="C7883">
        <f>IF($B7883="","",INT($B7883))</f>
        <v/>
      </c>
      <c r="D7883">
        <f>IF($C7883="","",$C7883-WEEKDAY($C7883,2)+1)</f>
        <v/>
      </c>
      <c r="E7883">
        <f>IF($C7883="","",DATE(YEAR($C7883),MONTH($C7883),1))</f>
        <v/>
      </c>
      <c r="F7883">
        <f>IF($C7883="","",YEAR($C7883)&amp;"-Q"&amp;ROUNDUP(MONTH($C7883)/3,0))</f>
        <v/>
      </c>
      <c r="L7883">
        <f>IF($G7883&lt;&gt;"ALCOHOL","",IF($K7883="","",$H7883*IFERROR(VLOOKUP($K7883,Drink_Templates!$A:$G,7,FALSE),0)))</f>
        <v/>
      </c>
    </row>
    <row r="7884" ht="15" customHeight="1">
      <c r="C7884">
        <f>IF($B7884="","",INT($B7884))</f>
        <v/>
      </c>
      <c r="D7884">
        <f>IF($C7884="","",$C7884-WEEKDAY($C7884,2)+1)</f>
        <v/>
      </c>
      <c r="E7884">
        <f>IF($C7884="","",DATE(YEAR($C7884),MONTH($C7884),1))</f>
        <v/>
      </c>
      <c r="F7884">
        <f>IF($C7884="","",YEAR($C7884)&amp;"-Q"&amp;ROUNDUP(MONTH($C7884)/3,0))</f>
        <v/>
      </c>
      <c r="L7884">
        <f>IF($G7884&lt;&gt;"ALCOHOL","",IF($K7884="","",$H7884*IFERROR(VLOOKUP($K7884,Drink_Templates!$A:$G,7,FALSE),0)))</f>
        <v/>
      </c>
    </row>
    <row r="7885" ht="15" customHeight="1">
      <c r="C7885">
        <f>IF($B7885="","",INT($B7885))</f>
        <v/>
      </c>
      <c r="D7885">
        <f>IF($C7885="","",$C7885-WEEKDAY($C7885,2)+1)</f>
        <v/>
      </c>
      <c r="E7885">
        <f>IF($C7885="","",DATE(YEAR($C7885),MONTH($C7885),1))</f>
        <v/>
      </c>
      <c r="F7885">
        <f>IF($C7885="","",YEAR($C7885)&amp;"-Q"&amp;ROUNDUP(MONTH($C7885)/3,0))</f>
        <v/>
      </c>
      <c r="L7885">
        <f>IF($G7885&lt;&gt;"ALCOHOL","",IF($K7885="","",$H7885*IFERROR(VLOOKUP($K7885,Drink_Templates!$A:$G,7,FALSE),0)))</f>
        <v/>
      </c>
    </row>
    <row r="7886" ht="15" customHeight="1">
      <c r="C7886">
        <f>IF($B7886="","",INT($B7886))</f>
        <v/>
      </c>
      <c r="D7886">
        <f>IF($C7886="","",$C7886-WEEKDAY($C7886,2)+1)</f>
        <v/>
      </c>
      <c r="E7886">
        <f>IF($C7886="","",DATE(YEAR($C7886),MONTH($C7886),1))</f>
        <v/>
      </c>
      <c r="F7886">
        <f>IF($C7886="","",YEAR($C7886)&amp;"-Q"&amp;ROUNDUP(MONTH($C7886)/3,0))</f>
        <v/>
      </c>
      <c r="L7886">
        <f>IF($G7886&lt;&gt;"ALCOHOL","",IF($K7886="","",$H7886*IFERROR(VLOOKUP($K7886,Drink_Templates!$A:$G,7,FALSE),0)))</f>
        <v/>
      </c>
    </row>
    <row r="7887" ht="15" customHeight="1">
      <c r="C7887">
        <f>IF($B7887="","",INT($B7887))</f>
        <v/>
      </c>
      <c r="D7887">
        <f>IF($C7887="","",$C7887-WEEKDAY($C7887,2)+1)</f>
        <v/>
      </c>
      <c r="E7887">
        <f>IF($C7887="","",DATE(YEAR($C7887),MONTH($C7887),1))</f>
        <v/>
      </c>
      <c r="F7887">
        <f>IF($C7887="","",YEAR($C7887)&amp;"-Q"&amp;ROUNDUP(MONTH($C7887)/3,0))</f>
        <v/>
      </c>
      <c r="L7887">
        <f>IF($G7887&lt;&gt;"ALCOHOL","",IF($K7887="","",$H7887*IFERROR(VLOOKUP($K7887,Drink_Templates!$A:$G,7,FALSE),0)))</f>
        <v/>
      </c>
    </row>
    <row r="7888" ht="15" customHeight="1">
      <c r="C7888">
        <f>IF($B7888="","",INT($B7888))</f>
        <v/>
      </c>
      <c r="D7888">
        <f>IF($C7888="","",$C7888-WEEKDAY($C7888,2)+1)</f>
        <v/>
      </c>
      <c r="E7888">
        <f>IF($C7888="","",DATE(YEAR($C7888),MONTH($C7888),1))</f>
        <v/>
      </c>
      <c r="F7888">
        <f>IF($C7888="","",YEAR($C7888)&amp;"-Q"&amp;ROUNDUP(MONTH($C7888)/3,0))</f>
        <v/>
      </c>
      <c r="L7888">
        <f>IF($G7888&lt;&gt;"ALCOHOL","",IF($K7888="","",$H7888*IFERROR(VLOOKUP($K7888,Drink_Templates!$A:$G,7,FALSE),0)))</f>
        <v/>
      </c>
    </row>
    <row r="7889" ht="15" customHeight="1">
      <c r="C7889">
        <f>IF($B7889="","",INT($B7889))</f>
        <v/>
      </c>
      <c r="D7889">
        <f>IF($C7889="","",$C7889-WEEKDAY($C7889,2)+1)</f>
        <v/>
      </c>
      <c r="E7889">
        <f>IF($C7889="","",DATE(YEAR($C7889),MONTH($C7889),1))</f>
        <v/>
      </c>
      <c r="F7889">
        <f>IF($C7889="","",YEAR($C7889)&amp;"-Q"&amp;ROUNDUP(MONTH($C7889)/3,0))</f>
        <v/>
      </c>
      <c r="L7889">
        <f>IF($G7889&lt;&gt;"ALCOHOL","",IF($K7889="","",$H7889*IFERROR(VLOOKUP($K7889,Drink_Templates!$A:$G,7,FALSE),0)))</f>
        <v/>
      </c>
    </row>
    <row r="7890" ht="15" customHeight="1">
      <c r="C7890">
        <f>IF($B7890="","",INT($B7890))</f>
        <v/>
      </c>
      <c r="D7890">
        <f>IF($C7890="","",$C7890-WEEKDAY($C7890,2)+1)</f>
        <v/>
      </c>
      <c r="E7890">
        <f>IF($C7890="","",DATE(YEAR($C7890),MONTH($C7890),1))</f>
        <v/>
      </c>
      <c r="F7890">
        <f>IF($C7890="","",YEAR($C7890)&amp;"-Q"&amp;ROUNDUP(MONTH($C7890)/3,0))</f>
        <v/>
      </c>
      <c r="L7890">
        <f>IF($G7890&lt;&gt;"ALCOHOL","",IF($K7890="","",$H7890*IFERROR(VLOOKUP($K7890,Drink_Templates!$A:$G,7,FALSE),0)))</f>
        <v/>
      </c>
    </row>
    <row r="7891" ht="15" customHeight="1">
      <c r="C7891">
        <f>IF($B7891="","",INT($B7891))</f>
        <v/>
      </c>
      <c r="D7891">
        <f>IF($C7891="","",$C7891-WEEKDAY($C7891,2)+1)</f>
        <v/>
      </c>
      <c r="E7891">
        <f>IF($C7891="","",DATE(YEAR($C7891),MONTH($C7891),1))</f>
        <v/>
      </c>
      <c r="F7891">
        <f>IF($C7891="","",YEAR($C7891)&amp;"-Q"&amp;ROUNDUP(MONTH($C7891)/3,0))</f>
        <v/>
      </c>
      <c r="L7891">
        <f>IF($G7891&lt;&gt;"ALCOHOL","",IF($K7891="","",$H7891*IFERROR(VLOOKUP($K7891,Drink_Templates!$A:$G,7,FALSE),0)))</f>
        <v/>
      </c>
    </row>
    <row r="7892" ht="15" customHeight="1">
      <c r="C7892">
        <f>IF($B7892="","",INT($B7892))</f>
        <v/>
      </c>
      <c r="D7892">
        <f>IF($C7892="","",$C7892-WEEKDAY($C7892,2)+1)</f>
        <v/>
      </c>
      <c r="E7892">
        <f>IF($C7892="","",DATE(YEAR($C7892),MONTH($C7892),1))</f>
        <v/>
      </c>
      <c r="F7892">
        <f>IF($C7892="","",YEAR($C7892)&amp;"-Q"&amp;ROUNDUP(MONTH($C7892)/3,0))</f>
        <v/>
      </c>
      <c r="L7892">
        <f>IF($G7892&lt;&gt;"ALCOHOL","",IF($K7892="","",$H7892*IFERROR(VLOOKUP($K7892,Drink_Templates!$A:$G,7,FALSE),0)))</f>
        <v/>
      </c>
    </row>
    <row r="7893" ht="15" customHeight="1">
      <c r="C7893">
        <f>IF($B7893="","",INT($B7893))</f>
        <v/>
      </c>
      <c r="D7893">
        <f>IF($C7893="","",$C7893-WEEKDAY($C7893,2)+1)</f>
        <v/>
      </c>
      <c r="E7893">
        <f>IF($C7893="","",DATE(YEAR($C7893),MONTH($C7893),1))</f>
        <v/>
      </c>
      <c r="F7893">
        <f>IF($C7893="","",YEAR($C7893)&amp;"-Q"&amp;ROUNDUP(MONTH($C7893)/3,0))</f>
        <v/>
      </c>
      <c r="L7893">
        <f>IF($G7893&lt;&gt;"ALCOHOL","",IF($K7893="","",$H7893*IFERROR(VLOOKUP($K7893,Drink_Templates!$A:$G,7,FALSE),0)))</f>
        <v/>
      </c>
    </row>
    <row r="7894" ht="15" customHeight="1">
      <c r="C7894">
        <f>IF($B7894="","",INT($B7894))</f>
        <v/>
      </c>
      <c r="D7894">
        <f>IF($C7894="","",$C7894-WEEKDAY($C7894,2)+1)</f>
        <v/>
      </c>
      <c r="E7894">
        <f>IF($C7894="","",DATE(YEAR($C7894),MONTH($C7894),1))</f>
        <v/>
      </c>
      <c r="F7894">
        <f>IF($C7894="","",YEAR($C7894)&amp;"-Q"&amp;ROUNDUP(MONTH($C7894)/3,0))</f>
        <v/>
      </c>
      <c r="L7894">
        <f>IF($G7894&lt;&gt;"ALCOHOL","",IF($K7894="","",$H7894*IFERROR(VLOOKUP($K7894,Drink_Templates!$A:$G,7,FALSE),0)))</f>
        <v/>
      </c>
    </row>
    <row r="7895" ht="15" customHeight="1">
      <c r="C7895">
        <f>IF($B7895="","",INT($B7895))</f>
        <v/>
      </c>
      <c r="D7895">
        <f>IF($C7895="","",$C7895-WEEKDAY($C7895,2)+1)</f>
        <v/>
      </c>
      <c r="E7895">
        <f>IF($C7895="","",DATE(YEAR($C7895),MONTH($C7895),1))</f>
        <v/>
      </c>
      <c r="F7895">
        <f>IF($C7895="","",YEAR($C7895)&amp;"-Q"&amp;ROUNDUP(MONTH($C7895)/3,0))</f>
        <v/>
      </c>
      <c r="L7895">
        <f>IF($G7895&lt;&gt;"ALCOHOL","",IF($K7895="","",$H7895*IFERROR(VLOOKUP($K7895,Drink_Templates!$A:$G,7,FALSE),0)))</f>
        <v/>
      </c>
    </row>
    <row r="7896" ht="15" customHeight="1">
      <c r="C7896">
        <f>IF($B7896="","",INT($B7896))</f>
        <v/>
      </c>
      <c r="D7896">
        <f>IF($C7896="","",$C7896-WEEKDAY($C7896,2)+1)</f>
        <v/>
      </c>
      <c r="E7896">
        <f>IF($C7896="","",DATE(YEAR($C7896),MONTH($C7896),1))</f>
        <v/>
      </c>
      <c r="F7896">
        <f>IF($C7896="","",YEAR($C7896)&amp;"-Q"&amp;ROUNDUP(MONTH($C7896)/3,0))</f>
        <v/>
      </c>
      <c r="L7896">
        <f>IF($G7896&lt;&gt;"ALCOHOL","",IF($K7896="","",$H7896*IFERROR(VLOOKUP($K7896,Drink_Templates!$A:$G,7,FALSE),0)))</f>
        <v/>
      </c>
    </row>
    <row r="7897" ht="15" customHeight="1">
      <c r="C7897">
        <f>IF($B7897="","",INT($B7897))</f>
        <v/>
      </c>
      <c r="D7897">
        <f>IF($C7897="","",$C7897-WEEKDAY($C7897,2)+1)</f>
        <v/>
      </c>
      <c r="E7897">
        <f>IF($C7897="","",DATE(YEAR($C7897),MONTH($C7897),1))</f>
        <v/>
      </c>
      <c r="F7897">
        <f>IF($C7897="","",YEAR($C7897)&amp;"-Q"&amp;ROUNDUP(MONTH($C7897)/3,0))</f>
        <v/>
      </c>
      <c r="L7897">
        <f>IF($G7897&lt;&gt;"ALCOHOL","",IF($K7897="","",$H7897*IFERROR(VLOOKUP($K7897,Drink_Templates!$A:$G,7,FALSE),0)))</f>
        <v/>
      </c>
    </row>
    <row r="7898" ht="15" customHeight="1">
      <c r="C7898">
        <f>IF($B7898="","",INT($B7898))</f>
        <v/>
      </c>
      <c r="D7898">
        <f>IF($C7898="","",$C7898-WEEKDAY($C7898,2)+1)</f>
        <v/>
      </c>
      <c r="E7898">
        <f>IF($C7898="","",DATE(YEAR($C7898),MONTH($C7898),1))</f>
        <v/>
      </c>
      <c r="F7898">
        <f>IF($C7898="","",YEAR($C7898)&amp;"-Q"&amp;ROUNDUP(MONTH($C7898)/3,0))</f>
        <v/>
      </c>
      <c r="L7898">
        <f>IF($G7898&lt;&gt;"ALCOHOL","",IF($K7898="","",$H7898*IFERROR(VLOOKUP($K7898,Drink_Templates!$A:$G,7,FALSE),0)))</f>
        <v/>
      </c>
    </row>
    <row r="7899" ht="15" customHeight="1">
      <c r="C7899">
        <f>IF($B7899="","",INT($B7899))</f>
        <v/>
      </c>
      <c r="D7899">
        <f>IF($C7899="","",$C7899-WEEKDAY($C7899,2)+1)</f>
        <v/>
      </c>
      <c r="E7899">
        <f>IF($C7899="","",DATE(YEAR($C7899),MONTH($C7899),1))</f>
        <v/>
      </c>
      <c r="F7899">
        <f>IF($C7899="","",YEAR($C7899)&amp;"-Q"&amp;ROUNDUP(MONTH($C7899)/3,0))</f>
        <v/>
      </c>
      <c r="L7899">
        <f>IF($G7899&lt;&gt;"ALCOHOL","",IF($K7899="","",$H7899*IFERROR(VLOOKUP($K7899,Drink_Templates!$A:$G,7,FALSE),0)))</f>
        <v/>
      </c>
    </row>
    <row r="7900" ht="15" customHeight="1">
      <c r="C7900">
        <f>IF($B7900="","",INT($B7900))</f>
        <v/>
      </c>
      <c r="D7900">
        <f>IF($C7900="","",$C7900-WEEKDAY($C7900,2)+1)</f>
        <v/>
      </c>
      <c r="E7900">
        <f>IF($C7900="","",DATE(YEAR($C7900),MONTH($C7900),1))</f>
        <v/>
      </c>
      <c r="F7900">
        <f>IF($C7900="","",YEAR($C7900)&amp;"-Q"&amp;ROUNDUP(MONTH($C7900)/3,0))</f>
        <v/>
      </c>
      <c r="L7900">
        <f>IF($G7900&lt;&gt;"ALCOHOL","",IF($K7900="","",$H7900*IFERROR(VLOOKUP($K7900,Drink_Templates!$A:$G,7,FALSE),0)))</f>
        <v/>
      </c>
    </row>
    <row r="7901" ht="15" customHeight="1">
      <c r="C7901">
        <f>IF($B7901="","",INT($B7901))</f>
        <v/>
      </c>
      <c r="D7901">
        <f>IF($C7901="","",$C7901-WEEKDAY($C7901,2)+1)</f>
        <v/>
      </c>
      <c r="E7901">
        <f>IF($C7901="","",DATE(YEAR($C7901),MONTH($C7901),1))</f>
        <v/>
      </c>
      <c r="F7901">
        <f>IF($C7901="","",YEAR($C7901)&amp;"-Q"&amp;ROUNDUP(MONTH($C7901)/3,0))</f>
        <v/>
      </c>
      <c r="L7901">
        <f>IF($G7901&lt;&gt;"ALCOHOL","",IF($K7901="","",$H7901*IFERROR(VLOOKUP($K7901,Drink_Templates!$A:$G,7,FALSE),0)))</f>
        <v/>
      </c>
    </row>
    <row r="7902" ht="15" customHeight="1">
      <c r="C7902">
        <f>IF($B7902="","",INT($B7902))</f>
        <v/>
      </c>
      <c r="D7902">
        <f>IF($C7902="","",$C7902-WEEKDAY($C7902,2)+1)</f>
        <v/>
      </c>
      <c r="E7902">
        <f>IF($C7902="","",DATE(YEAR($C7902),MONTH($C7902),1))</f>
        <v/>
      </c>
      <c r="F7902">
        <f>IF($C7902="","",YEAR($C7902)&amp;"-Q"&amp;ROUNDUP(MONTH($C7902)/3,0))</f>
        <v/>
      </c>
      <c r="L7902">
        <f>IF($G7902&lt;&gt;"ALCOHOL","",IF($K7902="","",$H7902*IFERROR(VLOOKUP($K7902,Drink_Templates!$A:$G,7,FALSE),0)))</f>
        <v/>
      </c>
    </row>
    <row r="7903" ht="15" customHeight="1">
      <c r="C7903">
        <f>IF($B7903="","",INT($B7903))</f>
        <v/>
      </c>
      <c r="D7903">
        <f>IF($C7903="","",$C7903-WEEKDAY($C7903,2)+1)</f>
        <v/>
      </c>
      <c r="E7903">
        <f>IF($C7903="","",DATE(YEAR($C7903),MONTH($C7903),1))</f>
        <v/>
      </c>
      <c r="F7903">
        <f>IF($C7903="","",YEAR($C7903)&amp;"-Q"&amp;ROUNDUP(MONTH($C7903)/3,0))</f>
        <v/>
      </c>
      <c r="L7903">
        <f>IF($G7903&lt;&gt;"ALCOHOL","",IF($K7903="","",$H7903*IFERROR(VLOOKUP($K7903,Drink_Templates!$A:$G,7,FALSE),0)))</f>
        <v/>
      </c>
    </row>
    <row r="7904" ht="15" customHeight="1">
      <c r="C7904">
        <f>IF($B7904="","",INT($B7904))</f>
        <v/>
      </c>
      <c r="D7904">
        <f>IF($C7904="","",$C7904-WEEKDAY($C7904,2)+1)</f>
        <v/>
      </c>
      <c r="E7904">
        <f>IF($C7904="","",DATE(YEAR($C7904),MONTH($C7904),1))</f>
        <v/>
      </c>
      <c r="F7904">
        <f>IF($C7904="","",YEAR($C7904)&amp;"-Q"&amp;ROUNDUP(MONTH($C7904)/3,0))</f>
        <v/>
      </c>
      <c r="L7904">
        <f>IF($G7904&lt;&gt;"ALCOHOL","",IF($K7904="","",$H7904*IFERROR(VLOOKUP($K7904,Drink_Templates!$A:$G,7,FALSE),0)))</f>
        <v/>
      </c>
    </row>
    <row r="7905" ht="15" customHeight="1">
      <c r="C7905">
        <f>IF($B7905="","",INT($B7905))</f>
        <v/>
      </c>
      <c r="D7905">
        <f>IF($C7905="","",$C7905-WEEKDAY($C7905,2)+1)</f>
        <v/>
      </c>
      <c r="E7905">
        <f>IF($C7905="","",DATE(YEAR($C7905),MONTH($C7905),1))</f>
        <v/>
      </c>
      <c r="F7905">
        <f>IF($C7905="","",YEAR($C7905)&amp;"-Q"&amp;ROUNDUP(MONTH($C7905)/3,0))</f>
        <v/>
      </c>
      <c r="L7905">
        <f>IF($G7905&lt;&gt;"ALCOHOL","",IF($K7905="","",$H7905*IFERROR(VLOOKUP($K7905,Drink_Templates!$A:$G,7,FALSE),0)))</f>
        <v/>
      </c>
    </row>
    <row r="7906" ht="15" customHeight="1">
      <c r="C7906">
        <f>IF($B7906="","",INT($B7906))</f>
        <v/>
      </c>
      <c r="D7906">
        <f>IF($C7906="","",$C7906-WEEKDAY($C7906,2)+1)</f>
        <v/>
      </c>
      <c r="E7906">
        <f>IF($C7906="","",DATE(YEAR($C7906),MONTH($C7906),1))</f>
        <v/>
      </c>
      <c r="F7906">
        <f>IF($C7906="","",YEAR($C7906)&amp;"-Q"&amp;ROUNDUP(MONTH($C7906)/3,0))</f>
        <v/>
      </c>
      <c r="L7906">
        <f>IF($G7906&lt;&gt;"ALCOHOL","",IF($K7906="","",$H7906*IFERROR(VLOOKUP($K7906,Drink_Templates!$A:$G,7,FALSE),0)))</f>
        <v/>
      </c>
    </row>
    <row r="7907" ht="15" customHeight="1">
      <c r="C7907">
        <f>IF($B7907="","",INT($B7907))</f>
        <v/>
      </c>
      <c r="D7907">
        <f>IF($C7907="","",$C7907-WEEKDAY($C7907,2)+1)</f>
        <v/>
      </c>
      <c r="E7907">
        <f>IF($C7907="","",DATE(YEAR($C7907),MONTH($C7907),1))</f>
        <v/>
      </c>
      <c r="F7907">
        <f>IF($C7907="","",YEAR($C7907)&amp;"-Q"&amp;ROUNDUP(MONTH($C7907)/3,0))</f>
        <v/>
      </c>
      <c r="L7907">
        <f>IF($G7907&lt;&gt;"ALCOHOL","",IF($K7907="","",$H7907*IFERROR(VLOOKUP($K7907,Drink_Templates!$A:$G,7,FALSE),0)))</f>
        <v/>
      </c>
    </row>
    <row r="7908" ht="15" customHeight="1">
      <c r="C7908">
        <f>IF($B7908="","",INT($B7908))</f>
        <v/>
      </c>
      <c r="D7908">
        <f>IF($C7908="","",$C7908-WEEKDAY($C7908,2)+1)</f>
        <v/>
      </c>
      <c r="E7908">
        <f>IF($C7908="","",DATE(YEAR($C7908),MONTH($C7908),1))</f>
        <v/>
      </c>
      <c r="F7908">
        <f>IF($C7908="","",YEAR($C7908)&amp;"-Q"&amp;ROUNDUP(MONTH($C7908)/3,0))</f>
        <v/>
      </c>
      <c r="L7908">
        <f>IF($G7908&lt;&gt;"ALCOHOL","",IF($K7908="","",$H7908*IFERROR(VLOOKUP($K7908,Drink_Templates!$A:$G,7,FALSE),0)))</f>
        <v/>
      </c>
    </row>
    <row r="7909" ht="15" customHeight="1">
      <c r="C7909">
        <f>IF($B7909="","",INT($B7909))</f>
        <v/>
      </c>
      <c r="D7909">
        <f>IF($C7909="","",$C7909-WEEKDAY($C7909,2)+1)</f>
        <v/>
      </c>
      <c r="E7909">
        <f>IF($C7909="","",DATE(YEAR($C7909),MONTH($C7909),1))</f>
        <v/>
      </c>
      <c r="F7909">
        <f>IF($C7909="","",YEAR($C7909)&amp;"-Q"&amp;ROUNDUP(MONTH($C7909)/3,0))</f>
        <v/>
      </c>
      <c r="L7909">
        <f>IF($G7909&lt;&gt;"ALCOHOL","",IF($K7909="","",$H7909*IFERROR(VLOOKUP($K7909,Drink_Templates!$A:$G,7,FALSE),0)))</f>
        <v/>
      </c>
    </row>
    <row r="7910" ht="15" customHeight="1">
      <c r="C7910">
        <f>IF($B7910="","",INT($B7910))</f>
        <v/>
      </c>
      <c r="D7910">
        <f>IF($C7910="","",$C7910-WEEKDAY($C7910,2)+1)</f>
        <v/>
      </c>
      <c r="E7910">
        <f>IF($C7910="","",DATE(YEAR($C7910),MONTH($C7910),1))</f>
        <v/>
      </c>
      <c r="F7910">
        <f>IF($C7910="","",YEAR($C7910)&amp;"-Q"&amp;ROUNDUP(MONTH($C7910)/3,0))</f>
        <v/>
      </c>
      <c r="L7910">
        <f>IF($G7910&lt;&gt;"ALCOHOL","",IF($K7910="","",$H7910*IFERROR(VLOOKUP($K7910,Drink_Templates!$A:$G,7,FALSE),0)))</f>
        <v/>
      </c>
    </row>
    <row r="7911" ht="15" customHeight="1">
      <c r="C7911">
        <f>IF($B7911="","",INT($B7911))</f>
        <v/>
      </c>
      <c r="D7911">
        <f>IF($C7911="","",$C7911-WEEKDAY($C7911,2)+1)</f>
        <v/>
      </c>
      <c r="E7911">
        <f>IF($C7911="","",DATE(YEAR($C7911),MONTH($C7911),1))</f>
        <v/>
      </c>
      <c r="F7911">
        <f>IF($C7911="","",YEAR($C7911)&amp;"-Q"&amp;ROUNDUP(MONTH($C7911)/3,0))</f>
        <v/>
      </c>
      <c r="L7911">
        <f>IF($G7911&lt;&gt;"ALCOHOL","",IF($K7911="","",$H7911*IFERROR(VLOOKUP($K7911,Drink_Templates!$A:$G,7,FALSE),0)))</f>
        <v/>
      </c>
    </row>
    <row r="7912" ht="15" customHeight="1">
      <c r="C7912">
        <f>IF($B7912="","",INT($B7912))</f>
        <v/>
      </c>
      <c r="D7912">
        <f>IF($C7912="","",$C7912-WEEKDAY($C7912,2)+1)</f>
        <v/>
      </c>
      <c r="E7912">
        <f>IF($C7912="","",DATE(YEAR($C7912),MONTH($C7912),1))</f>
        <v/>
      </c>
      <c r="F7912">
        <f>IF($C7912="","",YEAR($C7912)&amp;"-Q"&amp;ROUNDUP(MONTH($C7912)/3,0))</f>
        <v/>
      </c>
      <c r="L7912">
        <f>IF($G7912&lt;&gt;"ALCOHOL","",IF($K7912="","",$H7912*IFERROR(VLOOKUP($K7912,Drink_Templates!$A:$G,7,FALSE),0)))</f>
        <v/>
      </c>
    </row>
    <row r="7913" ht="15" customHeight="1">
      <c r="C7913">
        <f>IF($B7913="","",INT($B7913))</f>
        <v/>
      </c>
      <c r="D7913">
        <f>IF($C7913="","",$C7913-WEEKDAY($C7913,2)+1)</f>
        <v/>
      </c>
      <c r="E7913">
        <f>IF($C7913="","",DATE(YEAR($C7913),MONTH($C7913),1))</f>
        <v/>
      </c>
      <c r="F7913">
        <f>IF($C7913="","",YEAR($C7913)&amp;"-Q"&amp;ROUNDUP(MONTH($C7913)/3,0))</f>
        <v/>
      </c>
      <c r="L7913">
        <f>IF($G7913&lt;&gt;"ALCOHOL","",IF($K7913="","",$H7913*IFERROR(VLOOKUP($K7913,Drink_Templates!$A:$G,7,FALSE),0)))</f>
        <v/>
      </c>
    </row>
    <row r="7914" ht="15" customHeight="1">
      <c r="C7914">
        <f>IF($B7914="","",INT($B7914))</f>
        <v/>
      </c>
      <c r="D7914">
        <f>IF($C7914="","",$C7914-WEEKDAY($C7914,2)+1)</f>
        <v/>
      </c>
      <c r="E7914">
        <f>IF($C7914="","",DATE(YEAR($C7914),MONTH($C7914),1))</f>
        <v/>
      </c>
      <c r="F7914">
        <f>IF($C7914="","",YEAR($C7914)&amp;"-Q"&amp;ROUNDUP(MONTH($C7914)/3,0))</f>
        <v/>
      </c>
      <c r="L7914">
        <f>IF($G7914&lt;&gt;"ALCOHOL","",IF($K7914="","",$H7914*IFERROR(VLOOKUP($K7914,Drink_Templates!$A:$G,7,FALSE),0)))</f>
        <v/>
      </c>
    </row>
    <row r="7915" ht="15" customHeight="1">
      <c r="C7915">
        <f>IF($B7915="","",INT($B7915))</f>
        <v/>
      </c>
      <c r="D7915">
        <f>IF($C7915="","",$C7915-WEEKDAY($C7915,2)+1)</f>
        <v/>
      </c>
      <c r="E7915">
        <f>IF($C7915="","",DATE(YEAR($C7915),MONTH($C7915),1))</f>
        <v/>
      </c>
      <c r="F7915">
        <f>IF($C7915="","",YEAR($C7915)&amp;"-Q"&amp;ROUNDUP(MONTH($C7915)/3,0))</f>
        <v/>
      </c>
      <c r="L7915">
        <f>IF($G7915&lt;&gt;"ALCOHOL","",IF($K7915="","",$H7915*IFERROR(VLOOKUP($K7915,Drink_Templates!$A:$G,7,FALSE),0)))</f>
        <v/>
      </c>
    </row>
    <row r="7916" ht="15" customHeight="1">
      <c r="C7916">
        <f>IF($B7916="","",INT($B7916))</f>
        <v/>
      </c>
      <c r="D7916">
        <f>IF($C7916="","",$C7916-WEEKDAY($C7916,2)+1)</f>
        <v/>
      </c>
      <c r="E7916">
        <f>IF($C7916="","",DATE(YEAR($C7916),MONTH($C7916),1))</f>
        <v/>
      </c>
      <c r="F7916">
        <f>IF($C7916="","",YEAR($C7916)&amp;"-Q"&amp;ROUNDUP(MONTH($C7916)/3,0))</f>
        <v/>
      </c>
      <c r="L7916">
        <f>IF($G7916&lt;&gt;"ALCOHOL","",IF($K7916="","",$H7916*IFERROR(VLOOKUP($K7916,Drink_Templates!$A:$G,7,FALSE),0)))</f>
        <v/>
      </c>
    </row>
    <row r="7917" ht="15" customHeight="1">
      <c r="C7917">
        <f>IF($B7917="","",INT($B7917))</f>
        <v/>
      </c>
      <c r="D7917">
        <f>IF($C7917="","",$C7917-WEEKDAY($C7917,2)+1)</f>
        <v/>
      </c>
      <c r="E7917">
        <f>IF($C7917="","",DATE(YEAR($C7917),MONTH($C7917),1))</f>
        <v/>
      </c>
      <c r="F7917">
        <f>IF($C7917="","",YEAR($C7917)&amp;"-Q"&amp;ROUNDUP(MONTH($C7917)/3,0))</f>
        <v/>
      </c>
      <c r="L7917">
        <f>IF($G7917&lt;&gt;"ALCOHOL","",IF($K7917="","",$H7917*IFERROR(VLOOKUP($K7917,Drink_Templates!$A:$G,7,FALSE),0)))</f>
        <v/>
      </c>
    </row>
    <row r="7918" ht="15" customHeight="1">
      <c r="C7918">
        <f>IF($B7918="","",INT($B7918))</f>
        <v/>
      </c>
      <c r="D7918">
        <f>IF($C7918="","",$C7918-WEEKDAY($C7918,2)+1)</f>
        <v/>
      </c>
      <c r="E7918">
        <f>IF($C7918="","",DATE(YEAR($C7918),MONTH($C7918),1))</f>
        <v/>
      </c>
      <c r="F7918">
        <f>IF($C7918="","",YEAR($C7918)&amp;"-Q"&amp;ROUNDUP(MONTH($C7918)/3,0))</f>
        <v/>
      </c>
      <c r="L7918">
        <f>IF($G7918&lt;&gt;"ALCOHOL","",IF($K7918="","",$H7918*IFERROR(VLOOKUP($K7918,Drink_Templates!$A:$G,7,FALSE),0)))</f>
        <v/>
      </c>
    </row>
    <row r="7919" ht="15" customHeight="1">
      <c r="C7919">
        <f>IF($B7919="","",INT($B7919))</f>
        <v/>
      </c>
      <c r="D7919">
        <f>IF($C7919="","",$C7919-WEEKDAY($C7919,2)+1)</f>
        <v/>
      </c>
      <c r="E7919">
        <f>IF($C7919="","",DATE(YEAR($C7919),MONTH($C7919),1))</f>
        <v/>
      </c>
      <c r="F7919">
        <f>IF($C7919="","",YEAR($C7919)&amp;"-Q"&amp;ROUNDUP(MONTH($C7919)/3,0))</f>
        <v/>
      </c>
      <c r="L7919">
        <f>IF($G7919&lt;&gt;"ALCOHOL","",IF($K7919="","",$H7919*IFERROR(VLOOKUP($K7919,Drink_Templates!$A:$G,7,FALSE),0)))</f>
        <v/>
      </c>
    </row>
    <row r="7920" ht="15" customHeight="1">
      <c r="C7920">
        <f>IF($B7920="","",INT($B7920))</f>
        <v/>
      </c>
      <c r="D7920">
        <f>IF($C7920="","",$C7920-WEEKDAY($C7920,2)+1)</f>
        <v/>
      </c>
      <c r="E7920">
        <f>IF($C7920="","",DATE(YEAR($C7920),MONTH($C7920),1))</f>
        <v/>
      </c>
      <c r="F7920">
        <f>IF($C7920="","",YEAR($C7920)&amp;"-Q"&amp;ROUNDUP(MONTH($C7920)/3,0))</f>
        <v/>
      </c>
      <c r="L7920">
        <f>IF($G7920&lt;&gt;"ALCOHOL","",IF($K7920="","",$H7920*IFERROR(VLOOKUP($K7920,Drink_Templates!$A:$G,7,FALSE),0)))</f>
        <v/>
      </c>
    </row>
    <row r="7921" ht="15" customHeight="1">
      <c r="C7921">
        <f>IF($B7921="","",INT($B7921))</f>
        <v/>
      </c>
      <c r="D7921">
        <f>IF($C7921="","",$C7921-WEEKDAY($C7921,2)+1)</f>
        <v/>
      </c>
      <c r="E7921">
        <f>IF($C7921="","",DATE(YEAR($C7921),MONTH($C7921),1))</f>
        <v/>
      </c>
      <c r="F7921">
        <f>IF($C7921="","",YEAR($C7921)&amp;"-Q"&amp;ROUNDUP(MONTH($C7921)/3,0))</f>
        <v/>
      </c>
      <c r="L7921">
        <f>IF($G7921&lt;&gt;"ALCOHOL","",IF($K7921="","",$H7921*IFERROR(VLOOKUP($K7921,Drink_Templates!$A:$G,7,FALSE),0)))</f>
        <v/>
      </c>
    </row>
    <row r="7922" ht="15" customHeight="1">
      <c r="C7922">
        <f>IF($B7922="","",INT($B7922))</f>
        <v/>
      </c>
      <c r="D7922">
        <f>IF($C7922="","",$C7922-WEEKDAY($C7922,2)+1)</f>
        <v/>
      </c>
      <c r="E7922">
        <f>IF($C7922="","",DATE(YEAR($C7922),MONTH($C7922),1))</f>
        <v/>
      </c>
      <c r="F7922">
        <f>IF($C7922="","",YEAR($C7922)&amp;"-Q"&amp;ROUNDUP(MONTH($C7922)/3,0))</f>
        <v/>
      </c>
      <c r="L7922">
        <f>IF($G7922&lt;&gt;"ALCOHOL","",IF($K7922="","",$H7922*IFERROR(VLOOKUP($K7922,Drink_Templates!$A:$G,7,FALSE),0)))</f>
        <v/>
      </c>
    </row>
    <row r="7923" ht="15" customHeight="1">
      <c r="C7923">
        <f>IF($B7923="","",INT($B7923))</f>
        <v/>
      </c>
      <c r="D7923">
        <f>IF($C7923="","",$C7923-WEEKDAY($C7923,2)+1)</f>
        <v/>
      </c>
      <c r="E7923">
        <f>IF($C7923="","",DATE(YEAR($C7923),MONTH($C7923),1))</f>
        <v/>
      </c>
      <c r="F7923">
        <f>IF($C7923="","",YEAR($C7923)&amp;"-Q"&amp;ROUNDUP(MONTH($C7923)/3,0))</f>
        <v/>
      </c>
      <c r="L7923">
        <f>IF($G7923&lt;&gt;"ALCOHOL","",IF($K7923="","",$H7923*IFERROR(VLOOKUP($K7923,Drink_Templates!$A:$G,7,FALSE),0)))</f>
        <v/>
      </c>
    </row>
    <row r="7924" ht="15" customHeight="1">
      <c r="C7924">
        <f>IF($B7924="","",INT($B7924))</f>
        <v/>
      </c>
      <c r="D7924">
        <f>IF($C7924="","",$C7924-WEEKDAY($C7924,2)+1)</f>
        <v/>
      </c>
      <c r="E7924">
        <f>IF($C7924="","",DATE(YEAR($C7924),MONTH($C7924),1))</f>
        <v/>
      </c>
      <c r="F7924">
        <f>IF($C7924="","",YEAR($C7924)&amp;"-Q"&amp;ROUNDUP(MONTH($C7924)/3,0))</f>
        <v/>
      </c>
      <c r="L7924">
        <f>IF($G7924&lt;&gt;"ALCOHOL","",IF($K7924="","",$H7924*IFERROR(VLOOKUP($K7924,Drink_Templates!$A:$G,7,FALSE),0)))</f>
        <v/>
      </c>
    </row>
    <row r="7925" ht="15" customHeight="1">
      <c r="C7925">
        <f>IF($B7925="","",INT($B7925))</f>
        <v/>
      </c>
      <c r="D7925">
        <f>IF($C7925="","",$C7925-WEEKDAY($C7925,2)+1)</f>
        <v/>
      </c>
      <c r="E7925">
        <f>IF($C7925="","",DATE(YEAR($C7925),MONTH($C7925),1))</f>
        <v/>
      </c>
      <c r="F7925">
        <f>IF($C7925="","",YEAR($C7925)&amp;"-Q"&amp;ROUNDUP(MONTH($C7925)/3,0))</f>
        <v/>
      </c>
      <c r="L7925">
        <f>IF($G7925&lt;&gt;"ALCOHOL","",IF($K7925="","",$H7925*IFERROR(VLOOKUP($K7925,Drink_Templates!$A:$G,7,FALSE),0)))</f>
        <v/>
      </c>
    </row>
    <row r="7926" ht="15" customHeight="1">
      <c r="C7926">
        <f>IF($B7926="","",INT($B7926))</f>
        <v/>
      </c>
      <c r="D7926">
        <f>IF($C7926="","",$C7926-WEEKDAY($C7926,2)+1)</f>
        <v/>
      </c>
      <c r="E7926">
        <f>IF($C7926="","",DATE(YEAR($C7926),MONTH($C7926),1))</f>
        <v/>
      </c>
      <c r="F7926">
        <f>IF($C7926="","",YEAR($C7926)&amp;"-Q"&amp;ROUNDUP(MONTH($C7926)/3,0))</f>
        <v/>
      </c>
      <c r="L7926">
        <f>IF($G7926&lt;&gt;"ALCOHOL","",IF($K7926="","",$H7926*IFERROR(VLOOKUP($K7926,Drink_Templates!$A:$G,7,FALSE),0)))</f>
        <v/>
      </c>
    </row>
    <row r="7927" ht="15" customHeight="1">
      <c r="C7927">
        <f>IF($B7927="","",INT($B7927))</f>
        <v/>
      </c>
      <c r="D7927">
        <f>IF($C7927="","",$C7927-WEEKDAY($C7927,2)+1)</f>
        <v/>
      </c>
      <c r="E7927">
        <f>IF($C7927="","",DATE(YEAR($C7927),MONTH($C7927),1))</f>
        <v/>
      </c>
      <c r="F7927">
        <f>IF($C7927="","",YEAR($C7927)&amp;"-Q"&amp;ROUNDUP(MONTH($C7927)/3,0))</f>
        <v/>
      </c>
      <c r="L7927">
        <f>IF($G7927&lt;&gt;"ALCOHOL","",IF($K7927="","",$H7927*IFERROR(VLOOKUP($K7927,Drink_Templates!$A:$G,7,FALSE),0)))</f>
        <v/>
      </c>
    </row>
    <row r="7928" ht="15" customHeight="1">
      <c r="C7928">
        <f>IF($B7928="","",INT($B7928))</f>
        <v/>
      </c>
      <c r="D7928">
        <f>IF($C7928="","",$C7928-WEEKDAY($C7928,2)+1)</f>
        <v/>
      </c>
      <c r="E7928">
        <f>IF($C7928="","",DATE(YEAR($C7928),MONTH($C7928),1))</f>
        <v/>
      </c>
      <c r="F7928">
        <f>IF($C7928="","",YEAR($C7928)&amp;"-Q"&amp;ROUNDUP(MONTH($C7928)/3,0))</f>
        <v/>
      </c>
      <c r="L7928">
        <f>IF($G7928&lt;&gt;"ALCOHOL","",IF($K7928="","",$H7928*IFERROR(VLOOKUP($K7928,Drink_Templates!$A:$G,7,FALSE),0)))</f>
        <v/>
      </c>
    </row>
    <row r="7929" ht="15" customHeight="1">
      <c r="C7929">
        <f>IF($B7929="","",INT($B7929))</f>
        <v/>
      </c>
      <c r="D7929">
        <f>IF($C7929="","",$C7929-WEEKDAY($C7929,2)+1)</f>
        <v/>
      </c>
      <c r="E7929">
        <f>IF($C7929="","",DATE(YEAR($C7929),MONTH($C7929),1))</f>
        <v/>
      </c>
      <c r="F7929">
        <f>IF($C7929="","",YEAR($C7929)&amp;"-Q"&amp;ROUNDUP(MONTH($C7929)/3,0))</f>
        <v/>
      </c>
      <c r="L7929">
        <f>IF($G7929&lt;&gt;"ALCOHOL","",IF($K7929="","",$H7929*IFERROR(VLOOKUP($K7929,Drink_Templates!$A:$G,7,FALSE),0)))</f>
        <v/>
      </c>
    </row>
    <row r="7930" ht="15" customHeight="1">
      <c r="C7930">
        <f>IF($B7930="","",INT($B7930))</f>
        <v/>
      </c>
      <c r="D7930">
        <f>IF($C7930="","",$C7930-WEEKDAY($C7930,2)+1)</f>
        <v/>
      </c>
      <c r="E7930">
        <f>IF($C7930="","",DATE(YEAR($C7930),MONTH($C7930),1))</f>
        <v/>
      </c>
      <c r="F7930">
        <f>IF($C7930="","",YEAR($C7930)&amp;"-Q"&amp;ROUNDUP(MONTH($C7930)/3,0))</f>
        <v/>
      </c>
      <c r="L7930">
        <f>IF($G7930&lt;&gt;"ALCOHOL","",IF($K7930="","",$H7930*IFERROR(VLOOKUP($K7930,Drink_Templates!$A:$G,7,FALSE),0)))</f>
        <v/>
      </c>
    </row>
    <row r="7931" ht="15" customHeight="1">
      <c r="C7931">
        <f>IF($B7931="","",INT($B7931))</f>
        <v/>
      </c>
      <c r="D7931">
        <f>IF($C7931="","",$C7931-WEEKDAY($C7931,2)+1)</f>
        <v/>
      </c>
      <c r="E7931">
        <f>IF($C7931="","",DATE(YEAR($C7931),MONTH($C7931),1))</f>
        <v/>
      </c>
      <c r="F7931">
        <f>IF($C7931="","",YEAR($C7931)&amp;"-Q"&amp;ROUNDUP(MONTH($C7931)/3,0))</f>
        <v/>
      </c>
      <c r="L7931">
        <f>IF($G7931&lt;&gt;"ALCOHOL","",IF($K7931="","",$H7931*IFERROR(VLOOKUP($K7931,Drink_Templates!$A:$G,7,FALSE),0)))</f>
        <v/>
      </c>
    </row>
    <row r="7932" ht="15" customHeight="1">
      <c r="C7932">
        <f>IF($B7932="","",INT($B7932))</f>
        <v/>
      </c>
      <c r="D7932">
        <f>IF($C7932="","",$C7932-WEEKDAY($C7932,2)+1)</f>
        <v/>
      </c>
      <c r="E7932">
        <f>IF($C7932="","",DATE(YEAR($C7932),MONTH($C7932),1))</f>
        <v/>
      </c>
      <c r="F7932">
        <f>IF($C7932="","",YEAR($C7932)&amp;"-Q"&amp;ROUNDUP(MONTH($C7932)/3,0))</f>
        <v/>
      </c>
      <c r="L7932">
        <f>IF($G7932&lt;&gt;"ALCOHOL","",IF($K7932="","",$H7932*IFERROR(VLOOKUP($K7932,Drink_Templates!$A:$G,7,FALSE),0)))</f>
        <v/>
      </c>
    </row>
    <row r="7933" ht="15" customHeight="1">
      <c r="C7933">
        <f>IF($B7933="","",INT($B7933))</f>
        <v/>
      </c>
      <c r="D7933">
        <f>IF($C7933="","",$C7933-WEEKDAY($C7933,2)+1)</f>
        <v/>
      </c>
      <c r="E7933">
        <f>IF($C7933="","",DATE(YEAR($C7933),MONTH($C7933),1))</f>
        <v/>
      </c>
      <c r="F7933">
        <f>IF($C7933="","",YEAR($C7933)&amp;"-Q"&amp;ROUNDUP(MONTH($C7933)/3,0))</f>
        <v/>
      </c>
      <c r="L7933">
        <f>IF($G7933&lt;&gt;"ALCOHOL","",IF($K7933="","",$H7933*IFERROR(VLOOKUP($K7933,Drink_Templates!$A:$G,7,FALSE),0)))</f>
        <v/>
      </c>
    </row>
    <row r="7934" ht="15" customHeight="1">
      <c r="C7934">
        <f>IF($B7934="","",INT($B7934))</f>
        <v/>
      </c>
      <c r="D7934">
        <f>IF($C7934="","",$C7934-WEEKDAY($C7934,2)+1)</f>
        <v/>
      </c>
      <c r="E7934">
        <f>IF($C7934="","",DATE(YEAR($C7934),MONTH($C7934),1))</f>
        <v/>
      </c>
      <c r="F7934">
        <f>IF($C7934="","",YEAR($C7934)&amp;"-Q"&amp;ROUNDUP(MONTH($C7934)/3,0))</f>
        <v/>
      </c>
      <c r="L7934">
        <f>IF($G7934&lt;&gt;"ALCOHOL","",IF($K7934="","",$H7934*IFERROR(VLOOKUP($K7934,Drink_Templates!$A:$G,7,FALSE),0)))</f>
        <v/>
      </c>
    </row>
    <row r="7935" ht="15" customHeight="1">
      <c r="C7935">
        <f>IF($B7935="","",INT($B7935))</f>
        <v/>
      </c>
      <c r="D7935">
        <f>IF($C7935="","",$C7935-WEEKDAY($C7935,2)+1)</f>
        <v/>
      </c>
      <c r="E7935">
        <f>IF($C7935="","",DATE(YEAR($C7935),MONTH($C7935),1))</f>
        <v/>
      </c>
      <c r="F7935">
        <f>IF($C7935="","",YEAR($C7935)&amp;"-Q"&amp;ROUNDUP(MONTH($C7935)/3,0))</f>
        <v/>
      </c>
      <c r="L7935">
        <f>IF($G7935&lt;&gt;"ALCOHOL","",IF($K7935="","",$H7935*IFERROR(VLOOKUP($K7935,Drink_Templates!$A:$G,7,FALSE),0)))</f>
        <v/>
      </c>
    </row>
    <row r="7936" ht="15" customHeight="1">
      <c r="C7936">
        <f>IF($B7936="","",INT($B7936))</f>
        <v/>
      </c>
      <c r="D7936">
        <f>IF($C7936="","",$C7936-WEEKDAY($C7936,2)+1)</f>
        <v/>
      </c>
      <c r="E7936">
        <f>IF($C7936="","",DATE(YEAR($C7936),MONTH($C7936),1))</f>
        <v/>
      </c>
      <c r="F7936">
        <f>IF($C7936="","",YEAR($C7936)&amp;"-Q"&amp;ROUNDUP(MONTH($C7936)/3,0))</f>
        <v/>
      </c>
      <c r="L7936">
        <f>IF($G7936&lt;&gt;"ALCOHOL","",IF($K7936="","",$H7936*IFERROR(VLOOKUP($K7936,Drink_Templates!$A:$G,7,FALSE),0)))</f>
        <v/>
      </c>
    </row>
    <row r="7937" ht="15" customHeight="1">
      <c r="C7937">
        <f>IF($B7937="","",INT($B7937))</f>
        <v/>
      </c>
      <c r="D7937">
        <f>IF($C7937="","",$C7937-WEEKDAY($C7937,2)+1)</f>
        <v/>
      </c>
      <c r="E7937">
        <f>IF($C7937="","",DATE(YEAR($C7937),MONTH($C7937),1))</f>
        <v/>
      </c>
      <c r="F7937">
        <f>IF($C7937="","",YEAR($C7937)&amp;"-Q"&amp;ROUNDUP(MONTH($C7937)/3,0))</f>
        <v/>
      </c>
      <c r="L7937">
        <f>IF($G7937&lt;&gt;"ALCOHOL","",IF($K7937="","",$H7937*IFERROR(VLOOKUP($K7937,Drink_Templates!$A:$G,7,FALSE),0)))</f>
        <v/>
      </c>
    </row>
    <row r="7938" ht="15" customHeight="1">
      <c r="C7938">
        <f>IF($B7938="","",INT($B7938))</f>
        <v/>
      </c>
      <c r="D7938">
        <f>IF($C7938="","",$C7938-WEEKDAY($C7938,2)+1)</f>
        <v/>
      </c>
      <c r="E7938">
        <f>IF($C7938="","",DATE(YEAR($C7938),MONTH($C7938),1))</f>
        <v/>
      </c>
      <c r="F7938">
        <f>IF($C7938="","",YEAR($C7938)&amp;"-Q"&amp;ROUNDUP(MONTH($C7938)/3,0))</f>
        <v/>
      </c>
      <c r="L7938">
        <f>IF($G7938&lt;&gt;"ALCOHOL","",IF($K7938="","",$H7938*IFERROR(VLOOKUP($K7938,Drink_Templates!$A:$G,7,FALSE),0)))</f>
        <v/>
      </c>
    </row>
    <row r="7939" ht="15" customHeight="1">
      <c r="C7939">
        <f>IF($B7939="","",INT($B7939))</f>
        <v/>
      </c>
      <c r="D7939">
        <f>IF($C7939="","",$C7939-WEEKDAY($C7939,2)+1)</f>
        <v/>
      </c>
      <c r="E7939">
        <f>IF($C7939="","",DATE(YEAR($C7939),MONTH($C7939),1))</f>
        <v/>
      </c>
      <c r="F7939">
        <f>IF($C7939="","",YEAR($C7939)&amp;"-Q"&amp;ROUNDUP(MONTH($C7939)/3,0))</f>
        <v/>
      </c>
      <c r="L7939">
        <f>IF($G7939&lt;&gt;"ALCOHOL","",IF($K7939="","",$H7939*IFERROR(VLOOKUP($K7939,Drink_Templates!$A:$G,7,FALSE),0)))</f>
        <v/>
      </c>
    </row>
    <row r="7940" ht="15" customHeight="1">
      <c r="C7940">
        <f>IF($B7940="","",INT($B7940))</f>
        <v/>
      </c>
      <c r="D7940">
        <f>IF($C7940="","",$C7940-WEEKDAY($C7940,2)+1)</f>
        <v/>
      </c>
      <c r="E7940">
        <f>IF($C7940="","",DATE(YEAR($C7940),MONTH($C7940),1))</f>
        <v/>
      </c>
      <c r="F7940">
        <f>IF($C7940="","",YEAR($C7940)&amp;"-Q"&amp;ROUNDUP(MONTH($C7940)/3,0))</f>
        <v/>
      </c>
      <c r="L7940">
        <f>IF($G7940&lt;&gt;"ALCOHOL","",IF($K7940="","",$H7940*IFERROR(VLOOKUP($K7940,Drink_Templates!$A:$G,7,FALSE),0)))</f>
        <v/>
      </c>
    </row>
    <row r="7941" ht="15" customHeight="1">
      <c r="C7941">
        <f>IF($B7941="","",INT($B7941))</f>
        <v/>
      </c>
      <c r="D7941">
        <f>IF($C7941="","",$C7941-WEEKDAY($C7941,2)+1)</f>
        <v/>
      </c>
      <c r="E7941">
        <f>IF($C7941="","",DATE(YEAR($C7941),MONTH($C7941),1))</f>
        <v/>
      </c>
      <c r="F7941">
        <f>IF($C7941="","",YEAR($C7941)&amp;"-Q"&amp;ROUNDUP(MONTH($C7941)/3,0))</f>
        <v/>
      </c>
      <c r="L7941">
        <f>IF($G7941&lt;&gt;"ALCOHOL","",IF($K7941="","",$H7941*IFERROR(VLOOKUP($K7941,Drink_Templates!$A:$G,7,FALSE),0)))</f>
        <v/>
      </c>
    </row>
    <row r="7942" ht="15" customHeight="1">
      <c r="C7942">
        <f>IF($B7942="","",INT($B7942))</f>
        <v/>
      </c>
      <c r="D7942">
        <f>IF($C7942="","",$C7942-WEEKDAY($C7942,2)+1)</f>
        <v/>
      </c>
      <c r="E7942">
        <f>IF($C7942="","",DATE(YEAR($C7942),MONTH($C7942),1))</f>
        <v/>
      </c>
      <c r="F7942">
        <f>IF($C7942="","",YEAR($C7942)&amp;"-Q"&amp;ROUNDUP(MONTH($C7942)/3,0))</f>
        <v/>
      </c>
      <c r="L7942">
        <f>IF($G7942&lt;&gt;"ALCOHOL","",IF($K7942="","",$H7942*IFERROR(VLOOKUP($K7942,Drink_Templates!$A:$G,7,FALSE),0)))</f>
        <v/>
      </c>
    </row>
    <row r="7943" ht="15" customHeight="1">
      <c r="C7943">
        <f>IF($B7943="","",INT($B7943))</f>
        <v/>
      </c>
      <c r="D7943">
        <f>IF($C7943="","",$C7943-WEEKDAY($C7943,2)+1)</f>
        <v/>
      </c>
      <c r="E7943">
        <f>IF($C7943="","",DATE(YEAR($C7943),MONTH($C7943),1))</f>
        <v/>
      </c>
      <c r="F7943">
        <f>IF($C7943="","",YEAR($C7943)&amp;"-Q"&amp;ROUNDUP(MONTH($C7943)/3,0))</f>
        <v/>
      </c>
      <c r="L7943">
        <f>IF($G7943&lt;&gt;"ALCOHOL","",IF($K7943="","",$H7943*IFERROR(VLOOKUP($K7943,Drink_Templates!$A:$G,7,FALSE),0)))</f>
        <v/>
      </c>
    </row>
    <row r="7944" ht="15" customHeight="1">
      <c r="C7944">
        <f>IF($B7944="","",INT($B7944))</f>
        <v/>
      </c>
      <c r="D7944">
        <f>IF($C7944="","",$C7944-WEEKDAY($C7944,2)+1)</f>
        <v/>
      </c>
      <c r="E7944">
        <f>IF($C7944="","",DATE(YEAR($C7944),MONTH($C7944),1))</f>
        <v/>
      </c>
      <c r="F7944">
        <f>IF($C7944="","",YEAR($C7944)&amp;"-Q"&amp;ROUNDUP(MONTH($C7944)/3,0))</f>
        <v/>
      </c>
      <c r="L7944">
        <f>IF($G7944&lt;&gt;"ALCOHOL","",IF($K7944="","",$H7944*IFERROR(VLOOKUP($K7944,Drink_Templates!$A:$G,7,FALSE),0)))</f>
        <v/>
      </c>
    </row>
    <row r="7945" ht="15" customHeight="1">
      <c r="C7945">
        <f>IF($B7945="","",INT($B7945))</f>
        <v/>
      </c>
      <c r="D7945">
        <f>IF($C7945="","",$C7945-WEEKDAY($C7945,2)+1)</f>
        <v/>
      </c>
      <c r="E7945">
        <f>IF($C7945="","",DATE(YEAR($C7945),MONTH($C7945),1))</f>
        <v/>
      </c>
      <c r="F7945">
        <f>IF($C7945="","",YEAR($C7945)&amp;"-Q"&amp;ROUNDUP(MONTH($C7945)/3,0))</f>
        <v/>
      </c>
      <c r="L7945">
        <f>IF($G7945&lt;&gt;"ALCOHOL","",IF($K7945="","",$H7945*IFERROR(VLOOKUP($K7945,Drink_Templates!$A:$G,7,FALSE),0)))</f>
        <v/>
      </c>
    </row>
    <row r="7946" ht="15" customHeight="1">
      <c r="C7946">
        <f>IF($B7946="","",INT($B7946))</f>
        <v/>
      </c>
      <c r="D7946">
        <f>IF($C7946="","",$C7946-WEEKDAY($C7946,2)+1)</f>
        <v/>
      </c>
      <c r="E7946">
        <f>IF($C7946="","",DATE(YEAR($C7946),MONTH($C7946),1))</f>
        <v/>
      </c>
      <c r="F7946">
        <f>IF($C7946="","",YEAR($C7946)&amp;"-Q"&amp;ROUNDUP(MONTH($C7946)/3,0))</f>
        <v/>
      </c>
      <c r="L7946">
        <f>IF($G7946&lt;&gt;"ALCOHOL","",IF($K7946="","",$H7946*IFERROR(VLOOKUP($K7946,Drink_Templates!$A:$G,7,FALSE),0)))</f>
        <v/>
      </c>
    </row>
    <row r="7947" ht="15" customHeight="1">
      <c r="C7947">
        <f>IF($B7947="","",INT($B7947))</f>
        <v/>
      </c>
      <c r="D7947">
        <f>IF($C7947="","",$C7947-WEEKDAY($C7947,2)+1)</f>
        <v/>
      </c>
      <c r="E7947">
        <f>IF($C7947="","",DATE(YEAR($C7947),MONTH($C7947),1))</f>
        <v/>
      </c>
      <c r="F7947">
        <f>IF($C7947="","",YEAR($C7947)&amp;"-Q"&amp;ROUNDUP(MONTH($C7947)/3,0))</f>
        <v/>
      </c>
      <c r="L7947">
        <f>IF($G7947&lt;&gt;"ALCOHOL","",IF($K7947="","",$H7947*IFERROR(VLOOKUP($K7947,Drink_Templates!$A:$G,7,FALSE),0)))</f>
        <v/>
      </c>
    </row>
    <row r="7948" ht="15" customHeight="1">
      <c r="C7948">
        <f>IF($B7948="","",INT($B7948))</f>
        <v/>
      </c>
      <c r="D7948">
        <f>IF($C7948="","",$C7948-WEEKDAY($C7948,2)+1)</f>
        <v/>
      </c>
      <c r="E7948">
        <f>IF($C7948="","",DATE(YEAR($C7948),MONTH($C7948),1))</f>
        <v/>
      </c>
      <c r="F7948">
        <f>IF($C7948="","",YEAR($C7948)&amp;"-Q"&amp;ROUNDUP(MONTH($C7948)/3,0))</f>
        <v/>
      </c>
      <c r="L7948">
        <f>IF($G7948&lt;&gt;"ALCOHOL","",IF($K7948="","",$H7948*IFERROR(VLOOKUP($K7948,Drink_Templates!$A:$G,7,FALSE),0)))</f>
        <v/>
      </c>
    </row>
    <row r="7949" ht="15" customHeight="1">
      <c r="C7949">
        <f>IF($B7949="","",INT($B7949))</f>
        <v/>
      </c>
      <c r="D7949">
        <f>IF($C7949="","",$C7949-WEEKDAY($C7949,2)+1)</f>
        <v/>
      </c>
      <c r="E7949">
        <f>IF($C7949="","",DATE(YEAR($C7949),MONTH($C7949),1))</f>
        <v/>
      </c>
      <c r="F7949">
        <f>IF($C7949="","",YEAR($C7949)&amp;"-Q"&amp;ROUNDUP(MONTH($C7949)/3,0))</f>
        <v/>
      </c>
      <c r="L7949">
        <f>IF($G7949&lt;&gt;"ALCOHOL","",IF($K7949="","",$H7949*IFERROR(VLOOKUP($K7949,Drink_Templates!$A:$G,7,FALSE),0)))</f>
        <v/>
      </c>
    </row>
    <row r="7950" ht="15" customHeight="1">
      <c r="C7950">
        <f>IF($B7950="","",INT($B7950))</f>
        <v/>
      </c>
      <c r="D7950">
        <f>IF($C7950="","",$C7950-WEEKDAY($C7950,2)+1)</f>
        <v/>
      </c>
      <c r="E7950">
        <f>IF($C7950="","",DATE(YEAR($C7950),MONTH($C7950),1))</f>
        <v/>
      </c>
      <c r="F7950">
        <f>IF($C7950="","",YEAR($C7950)&amp;"-Q"&amp;ROUNDUP(MONTH($C7950)/3,0))</f>
        <v/>
      </c>
      <c r="L7950">
        <f>IF($G7950&lt;&gt;"ALCOHOL","",IF($K7950="","",$H7950*IFERROR(VLOOKUP($K7950,Drink_Templates!$A:$G,7,FALSE),0)))</f>
        <v/>
      </c>
    </row>
    <row r="7951" ht="15" customHeight="1">
      <c r="C7951">
        <f>IF($B7951="","",INT($B7951))</f>
        <v/>
      </c>
      <c r="D7951">
        <f>IF($C7951="","",$C7951-WEEKDAY($C7951,2)+1)</f>
        <v/>
      </c>
      <c r="E7951">
        <f>IF($C7951="","",DATE(YEAR($C7951),MONTH($C7951),1))</f>
        <v/>
      </c>
      <c r="F7951">
        <f>IF($C7951="","",YEAR($C7951)&amp;"-Q"&amp;ROUNDUP(MONTH($C7951)/3,0))</f>
        <v/>
      </c>
      <c r="L7951">
        <f>IF($G7951&lt;&gt;"ALCOHOL","",IF($K7951="","",$H7951*IFERROR(VLOOKUP($K7951,Drink_Templates!$A:$G,7,FALSE),0)))</f>
        <v/>
      </c>
    </row>
    <row r="7952" ht="15" customHeight="1">
      <c r="C7952">
        <f>IF($B7952="","",INT($B7952))</f>
        <v/>
      </c>
      <c r="D7952">
        <f>IF($C7952="","",$C7952-WEEKDAY($C7952,2)+1)</f>
        <v/>
      </c>
      <c r="E7952">
        <f>IF($C7952="","",DATE(YEAR($C7952),MONTH($C7952),1))</f>
        <v/>
      </c>
      <c r="F7952">
        <f>IF($C7952="","",YEAR($C7952)&amp;"-Q"&amp;ROUNDUP(MONTH($C7952)/3,0))</f>
        <v/>
      </c>
      <c r="L7952">
        <f>IF($G7952&lt;&gt;"ALCOHOL","",IF($K7952="","",$H7952*IFERROR(VLOOKUP($K7952,Drink_Templates!$A:$G,7,FALSE),0)))</f>
        <v/>
      </c>
    </row>
    <row r="7953" ht="15" customHeight="1">
      <c r="C7953">
        <f>IF($B7953="","",INT($B7953))</f>
        <v/>
      </c>
      <c r="D7953">
        <f>IF($C7953="","",$C7953-WEEKDAY($C7953,2)+1)</f>
        <v/>
      </c>
      <c r="E7953">
        <f>IF($C7953="","",DATE(YEAR($C7953),MONTH($C7953),1))</f>
        <v/>
      </c>
      <c r="F7953">
        <f>IF($C7953="","",YEAR($C7953)&amp;"-Q"&amp;ROUNDUP(MONTH($C7953)/3,0))</f>
        <v/>
      </c>
      <c r="L7953">
        <f>IF($G7953&lt;&gt;"ALCOHOL","",IF($K7953="","",$H7953*IFERROR(VLOOKUP($K7953,Drink_Templates!$A:$G,7,FALSE),0)))</f>
        <v/>
      </c>
    </row>
    <row r="7954" ht="15" customHeight="1">
      <c r="C7954">
        <f>IF($B7954="","",INT($B7954))</f>
        <v/>
      </c>
      <c r="D7954">
        <f>IF($C7954="","",$C7954-WEEKDAY($C7954,2)+1)</f>
        <v/>
      </c>
      <c r="E7954">
        <f>IF($C7954="","",DATE(YEAR($C7954),MONTH($C7954),1))</f>
        <v/>
      </c>
      <c r="F7954">
        <f>IF($C7954="","",YEAR($C7954)&amp;"-Q"&amp;ROUNDUP(MONTH($C7954)/3,0))</f>
        <v/>
      </c>
      <c r="L7954">
        <f>IF($G7954&lt;&gt;"ALCOHOL","",IF($K7954="","",$H7954*IFERROR(VLOOKUP($K7954,Drink_Templates!$A:$G,7,FALSE),0)))</f>
        <v/>
      </c>
    </row>
    <row r="7955" ht="15" customHeight="1">
      <c r="C7955">
        <f>IF($B7955="","",INT($B7955))</f>
        <v/>
      </c>
      <c r="D7955">
        <f>IF($C7955="","",$C7955-WEEKDAY($C7955,2)+1)</f>
        <v/>
      </c>
      <c r="E7955">
        <f>IF($C7955="","",DATE(YEAR($C7955),MONTH($C7955),1))</f>
        <v/>
      </c>
      <c r="F7955">
        <f>IF($C7955="","",YEAR($C7955)&amp;"-Q"&amp;ROUNDUP(MONTH($C7955)/3,0))</f>
        <v/>
      </c>
      <c r="L7955">
        <f>IF($G7955&lt;&gt;"ALCOHOL","",IF($K7955="","",$H7955*IFERROR(VLOOKUP($K7955,Drink_Templates!$A:$G,7,FALSE),0)))</f>
        <v/>
      </c>
    </row>
    <row r="7956" ht="15" customHeight="1">
      <c r="C7956">
        <f>IF($B7956="","",INT($B7956))</f>
        <v/>
      </c>
      <c r="D7956">
        <f>IF($C7956="","",$C7956-WEEKDAY($C7956,2)+1)</f>
        <v/>
      </c>
      <c r="E7956">
        <f>IF($C7956="","",DATE(YEAR($C7956),MONTH($C7956),1))</f>
        <v/>
      </c>
      <c r="F7956">
        <f>IF($C7956="","",YEAR($C7956)&amp;"-Q"&amp;ROUNDUP(MONTH($C7956)/3,0))</f>
        <v/>
      </c>
      <c r="L7956">
        <f>IF($G7956&lt;&gt;"ALCOHOL","",IF($K7956="","",$H7956*IFERROR(VLOOKUP($K7956,Drink_Templates!$A:$G,7,FALSE),0)))</f>
        <v/>
      </c>
    </row>
    <row r="7957" ht="15" customHeight="1">
      <c r="C7957">
        <f>IF($B7957="","",INT($B7957))</f>
        <v/>
      </c>
      <c r="D7957">
        <f>IF($C7957="","",$C7957-WEEKDAY($C7957,2)+1)</f>
        <v/>
      </c>
      <c r="E7957">
        <f>IF($C7957="","",DATE(YEAR($C7957),MONTH($C7957),1))</f>
        <v/>
      </c>
      <c r="F7957">
        <f>IF($C7957="","",YEAR($C7957)&amp;"-Q"&amp;ROUNDUP(MONTH($C7957)/3,0))</f>
        <v/>
      </c>
      <c r="L7957">
        <f>IF($G7957&lt;&gt;"ALCOHOL","",IF($K7957="","",$H7957*IFERROR(VLOOKUP($K7957,Drink_Templates!$A:$G,7,FALSE),0)))</f>
        <v/>
      </c>
    </row>
    <row r="7958" ht="15" customHeight="1">
      <c r="C7958">
        <f>IF($B7958="","",INT($B7958))</f>
        <v/>
      </c>
      <c r="D7958">
        <f>IF($C7958="","",$C7958-WEEKDAY($C7958,2)+1)</f>
        <v/>
      </c>
      <c r="E7958">
        <f>IF($C7958="","",DATE(YEAR($C7958),MONTH($C7958),1))</f>
        <v/>
      </c>
      <c r="F7958">
        <f>IF($C7958="","",YEAR($C7958)&amp;"-Q"&amp;ROUNDUP(MONTH($C7958)/3,0))</f>
        <v/>
      </c>
      <c r="L7958">
        <f>IF($G7958&lt;&gt;"ALCOHOL","",IF($K7958="","",$H7958*IFERROR(VLOOKUP($K7958,Drink_Templates!$A:$G,7,FALSE),0)))</f>
        <v/>
      </c>
    </row>
    <row r="7959" ht="15" customHeight="1">
      <c r="C7959">
        <f>IF($B7959="","",INT($B7959))</f>
        <v/>
      </c>
      <c r="D7959">
        <f>IF($C7959="","",$C7959-WEEKDAY($C7959,2)+1)</f>
        <v/>
      </c>
      <c r="E7959">
        <f>IF($C7959="","",DATE(YEAR($C7959),MONTH($C7959),1))</f>
        <v/>
      </c>
      <c r="F7959">
        <f>IF($C7959="","",YEAR($C7959)&amp;"-Q"&amp;ROUNDUP(MONTH($C7959)/3,0))</f>
        <v/>
      </c>
      <c r="L7959">
        <f>IF($G7959&lt;&gt;"ALCOHOL","",IF($K7959="","",$H7959*IFERROR(VLOOKUP($K7959,Drink_Templates!$A:$G,7,FALSE),0)))</f>
        <v/>
      </c>
    </row>
    <row r="7960" ht="15" customHeight="1">
      <c r="C7960">
        <f>IF($B7960="","",INT($B7960))</f>
        <v/>
      </c>
      <c r="D7960">
        <f>IF($C7960="","",$C7960-WEEKDAY($C7960,2)+1)</f>
        <v/>
      </c>
      <c r="E7960">
        <f>IF($C7960="","",DATE(YEAR($C7960),MONTH($C7960),1))</f>
        <v/>
      </c>
      <c r="F7960">
        <f>IF($C7960="","",YEAR($C7960)&amp;"-Q"&amp;ROUNDUP(MONTH($C7960)/3,0))</f>
        <v/>
      </c>
      <c r="L7960">
        <f>IF($G7960&lt;&gt;"ALCOHOL","",IF($K7960="","",$H7960*IFERROR(VLOOKUP($K7960,Drink_Templates!$A:$G,7,FALSE),0)))</f>
        <v/>
      </c>
    </row>
    <row r="7961" ht="15" customHeight="1">
      <c r="C7961">
        <f>IF($B7961="","",INT($B7961))</f>
        <v/>
      </c>
      <c r="D7961">
        <f>IF($C7961="","",$C7961-WEEKDAY($C7961,2)+1)</f>
        <v/>
      </c>
      <c r="E7961">
        <f>IF($C7961="","",DATE(YEAR($C7961),MONTH($C7961),1))</f>
        <v/>
      </c>
      <c r="F7961">
        <f>IF($C7961="","",YEAR($C7961)&amp;"-Q"&amp;ROUNDUP(MONTH($C7961)/3,0))</f>
        <v/>
      </c>
      <c r="L7961">
        <f>IF($G7961&lt;&gt;"ALCOHOL","",IF($K7961="","",$H7961*IFERROR(VLOOKUP($K7961,Drink_Templates!$A:$G,7,FALSE),0)))</f>
        <v/>
      </c>
    </row>
    <row r="7962" ht="15" customHeight="1">
      <c r="C7962">
        <f>IF($B7962="","",INT($B7962))</f>
        <v/>
      </c>
      <c r="D7962">
        <f>IF($C7962="","",$C7962-WEEKDAY($C7962,2)+1)</f>
        <v/>
      </c>
      <c r="E7962">
        <f>IF($C7962="","",DATE(YEAR($C7962),MONTH($C7962),1))</f>
        <v/>
      </c>
      <c r="F7962">
        <f>IF($C7962="","",YEAR($C7962)&amp;"-Q"&amp;ROUNDUP(MONTH($C7962)/3,0))</f>
        <v/>
      </c>
      <c r="L7962">
        <f>IF($G7962&lt;&gt;"ALCOHOL","",IF($K7962="","",$H7962*IFERROR(VLOOKUP($K7962,Drink_Templates!$A:$G,7,FALSE),0)))</f>
        <v/>
      </c>
    </row>
    <row r="7963" ht="15" customHeight="1">
      <c r="C7963">
        <f>IF($B7963="","",INT($B7963))</f>
        <v/>
      </c>
      <c r="D7963">
        <f>IF($C7963="","",$C7963-WEEKDAY($C7963,2)+1)</f>
        <v/>
      </c>
      <c r="E7963">
        <f>IF($C7963="","",DATE(YEAR($C7963),MONTH($C7963),1))</f>
        <v/>
      </c>
      <c r="F7963">
        <f>IF($C7963="","",YEAR($C7963)&amp;"-Q"&amp;ROUNDUP(MONTH($C7963)/3,0))</f>
        <v/>
      </c>
      <c r="L7963">
        <f>IF($G7963&lt;&gt;"ALCOHOL","",IF($K7963="","",$H7963*IFERROR(VLOOKUP($K7963,Drink_Templates!$A:$G,7,FALSE),0)))</f>
        <v/>
      </c>
    </row>
    <row r="7964" ht="15" customHeight="1">
      <c r="C7964">
        <f>IF($B7964="","",INT($B7964))</f>
        <v/>
      </c>
      <c r="D7964">
        <f>IF($C7964="","",$C7964-WEEKDAY($C7964,2)+1)</f>
        <v/>
      </c>
      <c r="E7964">
        <f>IF($C7964="","",DATE(YEAR($C7964),MONTH($C7964),1))</f>
        <v/>
      </c>
      <c r="F7964">
        <f>IF($C7964="","",YEAR($C7964)&amp;"-Q"&amp;ROUNDUP(MONTH($C7964)/3,0))</f>
        <v/>
      </c>
      <c r="L7964">
        <f>IF($G7964&lt;&gt;"ALCOHOL","",IF($K7964="","",$H7964*IFERROR(VLOOKUP($K7964,Drink_Templates!$A:$G,7,FALSE),0)))</f>
        <v/>
      </c>
    </row>
    <row r="7965" ht="15" customHeight="1">
      <c r="C7965">
        <f>IF($B7965="","",INT($B7965))</f>
        <v/>
      </c>
      <c r="D7965">
        <f>IF($C7965="","",$C7965-WEEKDAY($C7965,2)+1)</f>
        <v/>
      </c>
      <c r="E7965">
        <f>IF($C7965="","",DATE(YEAR($C7965),MONTH($C7965),1))</f>
        <v/>
      </c>
      <c r="F7965">
        <f>IF($C7965="","",YEAR($C7965)&amp;"-Q"&amp;ROUNDUP(MONTH($C7965)/3,0))</f>
        <v/>
      </c>
      <c r="L7965">
        <f>IF($G7965&lt;&gt;"ALCOHOL","",IF($K7965="","",$H7965*IFERROR(VLOOKUP($K7965,Drink_Templates!$A:$G,7,FALSE),0)))</f>
        <v/>
      </c>
    </row>
    <row r="7966" ht="15" customHeight="1">
      <c r="C7966">
        <f>IF($B7966="","",INT($B7966))</f>
        <v/>
      </c>
      <c r="D7966">
        <f>IF($C7966="","",$C7966-WEEKDAY($C7966,2)+1)</f>
        <v/>
      </c>
      <c r="E7966">
        <f>IF($C7966="","",DATE(YEAR($C7966),MONTH($C7966),1))</f>
        <v/>
      </c>
      <c r="F7966">
        <f>IF($C7966="","",YEAR($C7966)&amp;"-Q"&amp;ROUNDUP(MONTH($C7966)/3,0))</f>
        <v/>
      </c>
      <c r="L7966">
        <f>IF($G7966&lt;&gt;"ALCOHOL","",IF($K7966="","",$H7966*IFERROR(VLOOKUP($K7966,Drink_Templates!$A:$G,7,FALSE),0)))</f>
        <v/>
      </c>
    </row>
    <row r="7967" ht="15" customHeight="1">
      <c r="C7967">
        <f>IF($B7967="","",INT($B7967))</f>
        <v/>
      </c>
      <c r="D7967">
        <f>IF($C7967="","",$C7967-WEEKDAY($C7967,2)+1)</f>
        <v/>
      </c>
      <c r="E7967">
        <f>IF($C7967="","",DATE(YEAR($C7967),MONTH($C7967),1))</f>
        <v/>
      </c>
      <c r="F7967">
        <f>IF($C7967="","",YEAR($C7967)&amp;"-Q"&amp;ROUNDUP(MONTH($C7967)/3,0))</f>
        <v/>
      </c>
      <c r="L7967">
        <f>IF($G7967&lt;&gt;"ALCOHOL","",IF($K7967="","",$H7967*IFERROR(VLOOKUP($K7967,Drink_Templates!$A:$G,7,FALSE),0)))</f>
        <v/>
      </c>
    </row>
    <row r="7968" ht="15" customHeight="1">
      <c r="C7968">
        <f>IF($B7968="","",INT($B7968))</f>
        <v/>
      </c>
      <c r="D7968">
        <f>IF($C7968="","",$C7968-WEEKDAY($C7968,2)+1)</f>
        <v/>
      </c>
      <c r="E7968">
        <f>IF($C7968="","",DATE(YEAR($C7968),MONTH($C7968),1))</f>
        <v/>
      </c>
      <c r="F7968">
        <f>IF($C7968="","",YEAR($C7968)&amp;"-Q"&amp;ROUNDUP(MONTH($C7968)/3,0))</f>
        <v/>
      </c>
      <c r="L7968">
        <f>IF($G7968&lt;&gt;"ALCOHOL","",IF($K7968="","",$H7968*IFERROR(VLOOKUP($K7968,Drink_Templates!$A:$G,7,FALSE),0)))</f>
        <v/>
      </c>
    </row>
    <row r="7969" ht="15" customHeight="1">
      <c r="C7969">
        <f>IF($B7969="","",INT($B7969))</f>
        <v/>
      </c>
      <c r="D7969">
        <f>IF($C7969="","",$C7969-WEEKDAY($C7969,2)+1)</f>
        <v/>
      </c>
      <c r="E7969">
        <f>IF($C7969="","",DATE(YEAR($C7969),MONTH($C7969),1))</f>
        <v/>
      </c>
      <c r="F7969">
        <f>IF($C7969="","",YEAR($C7969)&amp;"-Q"&amp;ROUNDUP(MONTH($C7969)/3,0))</f>
        <v/>
      </c>
      <c r="L7969">
        <f>IF($G7969&lt;&gt;"ALCOHOL","",IF($K7969="","",$H7969*IFERROR(VLOOKUP($K7969,Drink_Templates!$A:$G,7,FALSE),0)))</f>
        <v/>
      </c>
    </row>
    <row r="7970" ht="15" customHeight="1">
      <c r="C7970">
        <f>IF($B7970="","",INT($B7970))</f>
        <v/>
      </c>
      <c r="D7970">
        <f>IF($C7970="","",$C7970-WEEKDAY($C7970,2)+1)</f>
        <v/>
      </c>
      <c r="E7970">
        <f>IF($C7970="","",DATE(YEAR($C7970),MONTH($C7970),1))</f>
        <v/>
      </c>
      <c r="F7970">
        <f>IF($C7970="","",YEAR($C7970)&amp;"-Q"&amp;ROUNDUP(MONTH($C7970)/3,0))</f>
        <v/>
      </c>
      <c r="L7970">
        <f>IF($G7970&lt;&gt;"ALCOHOL","",IF($K7970="","",$H7970*IFERROR(VLOOKUP($K7970,Drink_Templates!$A:$G,7,FALSE),0)))</f>
        <v/>
      </c>
    </row>
    <row r="7971" ht="15" customHeight="1">
      <c r="C7971">
        <f>IF($B7971="","",INT($B7971))</f>
        <v/>
      </c>
      <c r="D7971">
        <f>IF($C7971="","",$C7971-WEEKDAY($C7971,2)+1)</f>
        <v/>
      </c>
      <c r="E7971">
        <f>IF($C7971="","",DATE(YEAR($C7971),MONTH($C7971),1))</f>
        <v/>
      </c>
      <c r="F7971">
        <f>IF($C7971="","",YEAR($C7971)&amp;"-Q"&amp;ROUNDUP(MONTH($C7971)/3,0))</f>
        <v/>
      </c>
      <c r="L7971">
        <f>IF($G7971&lt;&gt;"ALCOHOL","",IF($K7971="","",$H7971*IFERROR(VLOOKUP($K7971,Drink_Templates!$A:$G,7,FALSE),0)))</f>
        <v/>
      </c>
    </row>
    <row r="7972" ht="15" customHeight="1">
      <c r="C7972">
        <f>IF($B7972="","",INT($B7972))</f>
        <v/>
      </c>
      <c r="D7972">
        <f>IF($C7972="","",$C7972-WEEKDAY($C7972,2)+1)</f>
        <v/>
      </c>
      <c r="E7972">
        <f>IF($C7972="","",DATE(YEAR($C7972),MONTH($C7972),1))</f>
        <v/>
      </c>
      <c r="F7972">
        <f>IF($C7972="","",YEAR($C7972)&amp;"-Q"&amp;ROUNDUP(MONTH($C7972)/3,0))</f>
        <v/>
      </c>
      <c r="L7972">
        <f>IF($G7972&lt;&gt;"ALCOHOL","",IF($K7972="","",$H7972*IFERROR(VLOOKUP($K7972,Drink_Templates!$A:$G,7,FALSE),0)))</f>
        <v/>
      </c>
    </row>
    <row r="7973" ht="15" customHeight="1">
      <c r="C7973">
        <f>IF($B7973="","",INT($B7973))</f>
        <v/>
      </c>
      <c r="D7973">
        <f>IF($C7973="","",$C7973-WEEKDAY($C7973,2)+1)</f>
        <v/>
      </c>
      <c r="E7973">
        <f>IF($C7973="","",DATE(YEAR($C7973),MONTH($C7973),1))</f>
        <v/>
      </c>
      <c r="F7973">
        <f>IF($C7973="","",YEAR($C7973)&amp;"-Q"&amp;ROUNDUP(MONTH($C7973)/3,0))</f>
        <v/>
      </c>
      <c r="L7973">
        <f>IF($G7973&lt;&gt;"ALCOHOL","",IF($K7973="","",$H7973*IFERROR(VLOOKUP($K7973,Drink_Templates!$A:$G,7,FALSE),0)))</f>
        <v/>
      </c>
    </row>
    <row r="7974" ht="15" customHeight="1">
      <c r="C7974">
        <f>IF($B7974="","",INT($B7974))</f>
        <v/>
      </c>
      <c r="D7974">
        <f>IF($C7974="","",$C7974-WEEKDAY($C7974,2)+1)</f>
        <v/>
      </c>
      <c r="E7974">
        <f>IF($C7974="","",DATE(YEAR($C7974),MONTH($C7974),1))</f>
        <v/>
      </c>
      <c r="F7974">
        <f>IF($C7974="","",YEAR($C7974)&amp;"-Q"&amp;ROUNDUP(MONTH($C7974)/3,0))</f>
        <v/>
      </c>
      <c r="L7974">
        <f>IF($G7974&lt;&gt;"ALCOHOL","",IF($K7974="","",$H7974*IFERROR(VLOOKUP($K7974,Drink_Templates!$A:$G,7,FALSE),0)))</f>
        <v/>
      </c>
    </row>
    <row r="7975" ht="15" customHeight="1">
      <c r="C7975">
        <f>IF($B7975="","",INT($B7975))</f>
        <v/>
      </c>
      <c r="D7975">
        <f>IF($C7975="","",$C7975-WEEKDAY($C7975,2)+1)</f>
        <v/>
      </c>
      <c r="E7975">
        <f>IF($C7975="","",DATE(YEAR($C7975),MONTH($C7975),1))</f>
        <v/>
      </c>
      <c r="F7975">
        <f>IF($C7975="","",YEAR($C7975)&amp;"-Q"&amp;ROUNDUP(MONTH($C7975)/3,0))</f>
        <v/>
      </c>
      <c r="L7975">
        <f>IF($G7975&lt;&gt;"ALCOHOL","",IF($K7975="","",$H7975*IFERROR(VLOOKUP($K7975,Drink_Templates!$A:$G,7,FALSE),0)))</f>
        <v/>
      </c>
    </row>
    <row r="7976" ht="15" customHeight="1">
      <c r="C7976">
        <f>IF($B7976="","",INT($B7976))</f>
        <v/>
      </c>
      <c r="D7976">
        <f>IF($C7976="","",$C7976-WEEKDAY($C7976,2)+1)</f>
        <v/>
      </c>
      <c r="E7976">
        <f>IF($C7976="","",DATE(YEAR($C7976),MONTH($C7976),1))</f>
        <v/>
      </c>
      <c r="F7976">
        <f>IF($C7976="","",YEAR($C7976)&amp;"-Q"&amp;ROUNDUP(MONTH($C7976)/3,0))</f>
        <v/>
      </c>
      <c r="L7976">
        <f>IF($G7976&lt;&gt;"ALCOHOL","",IF($K7976="","",$H7976*IFERROR(VLOOKUP($K7976,Drink_Templates!$A:$G,7,FALSE),0)))</f>
        <v/>
      </c>
    </row>
    <row r="7977" ht="15" customHeight="1">
      <c r="C7977">
        <f>IF($B7977="","",INT($B7977))</f>
        <v/>
      </c>
      <c r="D7977">
        <f>IF($C7977="","",$C7977-WEEKDAY($C7977,2)+1)</f>
        <v/>
      </c>
      <c r="E7977">
        <f>IF($C7977="","",DATE(YEAR($C7977),MONTH($C7977),1))</f>
        <v/>
      </c>
      <c r="F7977">
        <f>IF($C7977="","",YEAR($C7977)&amp;"-Q"&amp;ROUNDUP(MONTH($C7977)/3,0))</f>
        <v/>
      </c>
      <c r="L7977">
        <f>IF($G7977&lt;&gt;"ALCOHOL","",IF($K7977="","",$H7977*IFERROR(VLOOKUP($K7977,Drink_Templates!$A:$G,7,FALSE),0)))</f>
        <v/>
      </c>
    </row>
    <row r="7978" ht="15" customHeight="1">
      <c r="C7978">
        <f>IF($B7978="","",INT($B7978))</f>
        <v/>
      </c>
      <c r="D7978">
        <f>IF($C7978="","",$C7978-WEEKDAY($C7978,2)+1)</f>
        <v/>
      </c>
      <c r="E7978">
        <f>IF($C7978="","",DATE(YEAR($C7978),MONTH($C7978),1))</f>
        <v/>
      </c>
      <c r="F7978">
        <f>IF($C7978="","",YEAR($C7978)&amp;"-Q"&amp;ROUNDUP(MONTH($C7978)/3,0))</f>
        <v/>
      </c>
      <c r="L7978">
        <f>IF($G7978&lt;&gt;"ALCOHOL","",IF($K7978="","",$H7978*IFERROR(VLOOKUP($K7978,Drink_Templates!$A:$G,7,FALSE),0)))</f>
        <v/>
      </c>
    </row>
    <row r="7979" ht="15" customHeight="1">
      <c r="C7979">
        <f>IF($B7979="","",INT($B7979))</f>
        <v/>
      </c>
      <c r="D7979">
        <f>IF($C7979="","",$C7979-WEEKDAY($C7979,2)+1)</f>
        <v/>
      </c>
      <c r="E7979">
        <f>IF($C7979="","",DATE(YEAR($C7979),MONTH($C7979),1))</f>
        <v/>
      </c>
      <c r="F7979">
        <f>IF($C7979="","",YEAR($C7979)&amp;"-Q"&amp;ROUNDUP(MONTH($C7979)/3,0))</f>
        <v/>
      </c>
      <c r="L7979">
        <f>IF($G7979&lt;&gt;"ALCOHOL","",IF($K7979="","",$H7979*IFERROR(VLOOKUP($K7979,Drink_Templates!$A:$G,7,FALSE),0)))</f>
        <v/>
      </c>
    </row>
    <row r="7980" ht="15" customHeight="1">
      <c r="C7980">
        <f>IF($B7980="","",INT($B7980))</f>
        <v/>
      </c>
      <c r="D7980">
        <f>IF($C7980="","",$C7980-WEEKDAY($C7980,2)+1)</f>
        <v/>
      </c>
      <c r="E7980">
        <f>IF($C7980="","",DATE(YEAR($C7980),MONTH($C7980),1))</f>
        <v/>
      </c>
      <c r="F7980">
        <f>IF($C7980="","",YEAR($C7980)&amp;"-Q"&amp;ROUNDUP(MONTH($C7980)/3,0))</f>
        <v/>
      </c>
      <c r="L7980">
        <f>IF($G7980&lt;&gt;"ALCOHOL","",IF($K7980="","",$H7980*IFERROR(VLOOKUP($K7980,Drink_Templates!$A:$G,7,FALSE),0)))</f>
        <v/>
      </c>
    </row>
    <row r="7981" ht="15" customHeight="1">
      <c r="C7981">
        <f>IF($B7981="","",INT($B7981))</f>
        <v/>
      </c>
      <c r="D7981">
        <f>IF($C7981="","",$C7981-WEEKDAY($C7981,2)+1)</f>
        <v/>
      </c>
      <c r="E7981">
        <f>IF($C7981="","",DATE(YEAR($C7981),MONTH($C7981),1))</f>
        <v/>
      </c>
      <c r="F7981">
        <f>IF($C7981="","",YEAR($C7981)&amp;"-Q"&amp;ROUNDUP(MONTH($C7981)/3,0))</f>
        <v/>
      </c>
      <c r="L7981">
        <f>IF($G7981&lt;&gt;"ALCOHOL","",IF($K7981="","",$H7981*IFERROR(VLOOKUP($K7981,Drink_Templates!$A:$G,7,FALSE),0)))</f>
        <v/>
      </c>
    </row>
    <row r="7982" ht="15" customHeight="1">
      <c r="C7982">
        <f>IF($B7982="","",INT($B7982))</f>
        <v/>
      </c>
      <c r="D7982">
        <f>IF($C7982="","",$C7982-WEEKDAY($C7982,2)+1)</f>
        <v/>
      </c>
      <c r="E7982">
        <f>IF($C7982="","",DATE(YEAR($C7982),MONTH($C7982),1))</f>
        <v/>
      </c>
      <c r="F7982">
        <f>IF($C7982="","",YEAR($C7982)&amp;"-Q"&amp;ROUNDUP(MONTH($C7982)/3,0))</f>
        <v/>
      </c>
      <c r="L7982">
        <f>IF($G7982&lt;&gt;"ALCOHOL","",IF($K7982="","",$H7982*IFERROR(VLOOKUP($K7982,Drink_Templates!$A:$G,7,FALSE),0)))</f>
        <v/>
      </c>
    </row>
    <row r="7983" ht="15" customHeight="1">
      <c r="C7983">
        <f>IF($B7983="","",INT($B7983))</f>
        <v/>
      </c>
      <c r="D7983">
        <f>IF($C7983="","",$C7983-WEEKDAY($C7983,2)+1)</f>
        <v/>
      </c>
      <c r="E7983">
        <f>IF($C7983="","",DATE(YEAR($C7983),MONTH($C7983),1))</f>
        <v/>
      </c>
      <c r="F7983">
        <f>IF($C7983="","",YEAR($C7983)&amp;"-Q"&amp;ROUNDUP(MONTH($C7983)/3,0))</f>
        <v/>
      </c>
      <c r="L7983">
        <f>IF($G7983&lt;&gt;"ALCOHOL","",IF($K7983="","",$H7983*IFERROR(VLOOKUP($K7983,Drink_Templates!$A:$G,7,FALSE),0)))</f>
        <v/>
      </c>
    </row>
    <row r="7984" ht="15" customHeight="1">
      <c r="C7984">
        <f>IF($B7984="","",INT($B7984))</f>
        <v/>
      </c>
      <c r="D7984">
        <f>IF($C7984="","",$C7984-WEEKDAY($C7984,2)+1)</f>
        <v/>
      </c>
      <c r="E7984">
        <f>IF($C7984="","",DATE(YEAR($C7984),MONTH($C7984),1))</f>
        <v/>
      </c>
      <c r="F7984">
        <f>IF($C7984="","",YEAR($C7984)&amp;"-Q"&amp;ROUNDUP(MONTH($C7984)/3,0))</f>
        <v/>
      </c>
      <c r="L7984">
        <f>IF($G7984&lt;&gt;"ALCOHOL","",IF($K7984="","",$H7984*IFERROR(VLOOKUP($K7984,Drink_Templates!$A:$G,7,FALSE),0)))</f>
        <v/>
      </c>
    </row>
    <row r="7985" ht="15" customHeight="1">
      <c r="C7985">
        <f>IF($B7985="","",INT($B7985))</f>
        <v/>
      </c>
      <c r="D7985">
        <f>IF($C7985="","",$C7985-WEEKDAY($C7985,2)+1)</f>
        <v/>
      </c>
      <c r="E7985">
        <f>IF($C7985="","",DATE(YEAR($C7985),MONTH($C7985),1))</f>
        <v/>
      </c>
      <c r="F7985">
        <f>IF($C7985="","",YEAR($C7985)&amp;"-Q"&amp;ROUNDUP(MONTH($C7985)/3,0))</f>
        <v/>
      </c>
      <c r="L7985">
        <f>IF($G7985&lt;&gt;"ALCOHOL","",IF($K7985="","",$H7985*IFERROR(VLOOKUP($K7985,Drink_Templates!$A:$G,7,FALSE),0)))</f>
        <v/>
      </c>
    </row>
    <row r="7986" ht="15" customHeight="1">
      <c r="C7986">
        <f>IF($B7986="","",INT($B7986))</f>
        <v/>
      </c>
      <c r="D7986">
        <f>IF($C7986="","",$C7986-WEEKDAY($C7986,2)+1)</f>
        <v/>
      </c>
      <c r="E7986">
        <f>IF($C7986="","",DATE(YEAR($C7986),MONTH($C7986),1))</f>
        <v/>
      </c>
      <c r="F7986">
        <f>IF($C7986="","",YEAR($C7986)&amp;"-Q"&amp;ROUNDUP(MONTH($C7986)/3,0))</f>
        <v/>
      </c>
      <c r="L7986">
        <f>IF($G7986&lt;&gt;"ALCOHOL","",IF($K7986="","",$H7986*IFERROR(VLOOKUP($K7986,Drink_Templates!$A:$G,7,FALSE),0)))</f>
        <v/>
      </c>
    </row>
    <row r="7987" ht="15" customHeight="1">
      <c r="C7987">
        <f>IF($B7987="","",INT($B7987))</f>
        <v/>
      </c>
      <c r="D7987">
        <f>IF($C7987="","",$C7987-WEEKDAY($C7987,2)+1)</f>
        <v/>
      </c>
      <c r="E7987">
        <f>IF($C7987="","",DATE(YEAR($C7987),MONTH($C7987),1))</f>
        <v/>
      </c>
      <c r="F7987">
        <f>IF($C7987="","",YEAR($C7987)&amp;"-Q"&amp;ROUNDUP(MONTH($C7987)/3,0))</f>
        <v/>
      </c>
      <c r="L7987">
        <f>IF($G7987&lt;&gt;"ALCOHOL","",IF($K7987="","",$H7987*IFERROR(VLOOKUP($K7987,Drink_Templates!$A:$G,7,FALSE),0)))</f>
        <v/>
      </c>
    </row>
    <row r="7988" ht="15" customHeight="1">
      <c r="C7988">
        <f>IF($B7988="","",INT($B7988))</f>
        <v/>
      </c>
      <c r="D7988">
        <f>IF($C7988="","",$C7988-WEEKDAY($C7988,2)+1)</f>
        <v/>
      </c>
      <c r="E7988">
        <f>IF($C7988="","",DATE(YEAR($C7988),MONTH($C7988),1))</f>
        <v/>
      </c>
      <c r="F7988">
        <f>IF($C7988="","",YEAR($C7988)&amp;"-Q"&amp;ROUNDUP(MONTH($C7988)/3,0))</f>
        <v/>
      </c>
      <c r="L7988">
        <f>IF($G7988&lt;&gt;"ALCOHOL","",IF($K7988="","",$H7988*IFERROR(VLOOKUP($K7988,Drink_Templates!$A:$G,7,FALSE),0)))</f>
        <v/>
      </c>
    </row>
    <row r="7989" ht="15" customHeight="1">
      <c r="C7989">
        <f>IF($B7989="","",INT($B7989))</f>
        <v/>
      </c>
      <c r="D7989">
        <f>IF($C7989="","",$C7989-WEEKDAY($C7989,2)+1)</f>
        <v/>
      </c>
      <c r="E7989">
        <f>IF($C7989="","",DATE(YEAR($C7989),MONTH($C7989),1))</f>
        <v/>
      </c>
      <c r="F7989">
        <f>IF($C7989="","",YEAR($C7989)&amp;"-Q"&amp;ROUNDUP(MONTH($C7989)/3,0))</f>
        <v/>
      </c>
      <c r="L7989">
        <f>IF($G7989&lt;&gt;"ALCOHOL","",IF($K7989="","",$H7989*IFERROR(VLOOKUP($K7989,Drink_Templates!$A:$G,7,FALSE),0)))</f>
        <v/>
      </c>
    </row>
    <row r="7990" ht="15" customHeight="1">
      <c r="C7990">
        <f>IF($B7990="","",INT($B7990))</f>
        <v/>
      </c>
      <c r="D7990">
        <f>IF($C7990="","",$C7990-WEEKDAY($C7990,2)+1)</f>
        <v/>
      </c>
      <c r="E7990">
        <f>IF($C7990="","",DATE(YEAR($C7990),MONTH($C7990),1))</f>
        <v/>
      </c>
      <c r="F7990">
        <f>IF($C7990="","",YEAR($C7990)&amp;"-Q"&amp;ROUNDUP(MONTH($C7990)/3,0))</f>
        <v/>
      </c>
      <c r="L7990">
        <f>IF($G7990&lt;&gt;"ALCOHOL","",IF($K7990="","",$H7990*IFERROR(VLOOKUP($K7990,Drink_Templates!$A:$G,7,FALSE),0)))</f>
        <v/>
      </c>
    </row>
    <row r="7991" ht="15" customHeight="1">
      <c r="C7991">
        <f>IF($B7991="","",INT($B7991))</f>
        <v/>
      </c>
      <c r="D7991">
        <f>IF($C7991="","",$C7991-WEEKDAY($C7991,2)+1)</f>
        <v/>
      </c>
      <c r="E7991">
        <f>IF($C7991="","",DATE(YEAR($C7991),MONTH($C7991),1))</f>
        <v/>
      </c>
      <c r="F7991">
        <f>IF($C7991="","",YEAR($C7991)&amp;"-Q"&amp;ROUNDUP(MONTH($C7991)/3,0))</f>
        <v/>
      </c>
      <c r="L7991">
        <f>IF($G7991&lt;&gt;"ALCOHOL","",IF($K7991="","",$H7991*IFERROR(VLOOKUP($K7991,Drink_Templates!$A:$G,7,FALSE),0)))</f>
        <v/>
      </c>
    </row>
    <row r="7992" ht="15" customHeight="1">
      <c r="C7992">
        <f>IF($B7992="","",INT($B7992))</f>
        <v/>
      </c>
      <c r="D7992">
        <f>IF($C7992="","",$C7992-WEEKDAY($C7992,2)+1)</f>
        <v/>
      </c>
      <c r="E7992">
        <f>IF($C7992="","",DATE(YEAR($C7992),MONTH($C7992),1))</f>
        <v/>
      </c>
      <c r="F7992">
        <f>IF($C7992="","",YEAR($C7992)&amp;"-Q"&amp;ROUNDUP(MONTH($C7992)/3,0))</f>
        <v/>
      </c>
      <c r="L7992">
        <f>IF($G7992&lt;&gt;"ALCOHOL","",IF($K7992="","",$H7992*IFERROR(VLOOKUP($K7992,Drink_Templates!$A:$G,7,FALSE),0)))</f>
        <v/>
      </c>
    </row>
    <row r="7993" ht="15" customHeight="1">
      <c r="C7993">
        <f>IF($B7993="","",INT($B7993))</f>
        <v/>
      </c>
      <c r="D7993">
        <f>IF($C7993="","",$C7993-WEEKDAY($C7993,2)+1)</f>
        <v/>
      </c>
      <c r="E7993">
        <f>IF($C7993="","",DATE(YEAR($C7993),MONTH($C7993),1))</f>
        <v/>
      </c>
      <c r="F7993">
        <f>IF($C7993="","",YEAR($C7993)&amp;"-Q"&amp;ROUNDUP(MONTH($C7993)/3,0))</f>
        <v/>
      </c>
      <c r="L7993">
        <f>IF($G7993&lt;&gt;"ALCOHOL","",IF($K7993="","",$H7993*IFERROR(VLOOKUP($K7993,Drink_Templates!$A:$G,7,FALSE),0)))</f>
        <v/>
      </c>
    </row>
    <row r="7994" ht="15" customHeight="1">
      <c r="C7994">
        <f>IF($B7994="","",INT($B7994))</f>
        <v/>
      </c>
      <c r="D7994">
        <f>IF($C7994="","",$C7994-WEEKDAY($C7994,2)+1)</f>
        <v/>
      </c>
      <c r="E7994">
        <f>IF($C7994="","",DATE(YEAR($C7994),MONTH($C7994),1))</f>
        <v/>
      </c>
      <c r="F7994">
        <f>IF($C7994="","",YEAR($C7994)&amp;"-Q"&amp;ROUNDUP(MONTH($C7994)/3,0))</f>
        <v/>
      </c>
      <c r="L7994">
        <f>IF($G7994&lt;&gt;"ALCOHOL","",IF($K7994="","",$H7994*IFERROR(VLOOKUP($K7994,Drink_Templates!$A:$G,7,FALSE),0)))</f>
        <v/>
      </c>
    </row>
    <row r="7995" ht="15" customHeight="1">
      <c r="C7995">
        <f>IF($B7995="","",INT($B7995))</f>
        <v/>
      </c>
      <c r="D7995">
        <f>IF($C7995="","",$C7995-WEEKDAY($C7995,2)+1)</f>
        <v/>
      </c>
      <c r="E7995">
        <f>IF($C7995="","",DATE(YEAR($C7995),MONTH($C7995),1))</f>
        <v/>
      </c>
      <c r="F7995">
        <f>IF($C7995="","",YEAR($C7995)&amp;"-Q"&amp;ROUNDUP(MONTH($C7995)/3,0))</f>
        <v/>
      </c>
      <c r="L7995">
        <f>IF($G7995&lt;&gt;"ALCOHOL","",IF($K7995="","",$H7995*IFERROR(VLOOKUP($K7995,Drink_Templates!$A:$G,7,FALSE),0)))</f>
        <v/>
      </c>
    </row>
    <row r="7996" ht="15" customHeight="1">
      <c r="C7996">
        <f>IF($B7996="","",INT($B7996))</f>
        <v/>
      </c>
      <c r="D7996">
        <f>IF($C7996="","",$C7996-WEEKDAY($C7996,2)+1)</f>
        <v/>
      </c>
      <c r="E7996">
        <f>IF($C7996="","",DATE(YEAR($C7996),MONTH($C7996),1))</f>
        <v/>
      </c>
      <c r="F7996">
        <f>IF($C7996="","",YEAR($C7996)&amp;"-Q"&amp;ROUNDUP(MONTH($C7996)/3,0))</f>
        <v/>
      </c>
      <c r="L7996">
        <f>IF($G7996&lt;&gt;"ALCOHOL","",IF($K7996="","",$H7996*IFERROR(VLOOKUP($K7996,Drink_Templates!$A:$G,7,FALSE),0)))</f>
        <v/>
      </c>
    </row>
    <row r="7997" ht="15" customHeight="1">
      <c r="C7997">
        <f>IF($B7997="","",INT($B7997))</f>
        <v/>
      </c>
      <c r="D7997">
        <f>IF($C7997="","",$C7997-WEEKDAY($C7997,2)+1)</f>
        <v/>
      </c>
      <c r="E7997">
        <f>IF($C7997="","",DATE(YEAR($C7997),MONTH($C7997),1))</f>
        <v/>
      </c>
      <c r="F7997">
        <f>IF($C7997="","",YEAR($C7997)&amp;"-Q"&amp;ROUNDUP(MONTH($C7997)/3,0))</f>
        <v/>
      </c>
      <c r="L7997">
        <f>IF($G7997&lt;&gt;"ALCOHOL","",IF($K7997="","",$H7997*IFERROR(VLOOKUP($K7997,Drink_Templates!$A:$G,7,FALSE),0)))</f>
        <v/>
      </c>
    </row>
    <row r="7998" ht="15" customHeight="1">
      <c r="C7998">
        <f>IF($B7998="","",INT($B7998))</f>
        <v/>
      </c>
      <c r="D7998">
        <f>IF($C7998="","",$C7998-WEEKDAY($C7998,2)+1)</f>
        <v/>
      </c>
      <c r="E7998">
        <f>IF($C7998="","",DATE(YEAR($C7998),MONTH($C7998),1))</f>
        <v/>
      </c>
      <c r="F7998">
        <f>IF($C7998="","",YEAR($C7998)&amp;"-Q"&amp;ROUNDUP(MONTH($C7998)/3,0))</f>
        <v/>
      </c>
      <c r="L7998">
        <f>IF($G7998&lt;&gt;"ALCOHOL","",IF($K7998="","",$H7998*IFERROR(VLOOKUP($K7998,Drink_Templates!$A:$G,7,FALSE),0)))</f>
        <v/>
      </c>
    </row>
    <row r="7999" ht="15" customHeight="1">
      <c r="C7999">
        <f>IF($B7999="","",INT($B7999))</f>
        <v/>
      </c>
      <c r="D7999">
        <f>IF($C7999="","",$C7999-WEEKDAY($C7999,2)+1)</f>
        <v/>
      </c>
      <c r="E7999">
        <f>IF($C7999="","",DATE(YEAR($C7999),MONTH($C7999),1))</f>
        <v/>
      </c>
      <c r="F7999">
        <f>IF($C7999="","",YEAR($C7999)&amp;"-Q"&amp;ROUNDUP(MONTH($C7999)/3,0))</f>
        <v/>
      </c>
      <c r="L7999">
        <f>IF($G7999&lt;&gt;"ALCOHOL","",IF($K7999="","",$H7999*IFERROR(VLOOKUP($K7999,Drink_Templates!$A:$G,7,FALSE),0)))</f>
        <v/>
      </c>
    </row>
    <row r="8000" ht="15" customHeight="1">
      <c r="C8000">
        <f>IF($B8000="","",INT($B8000))</f>
        <v/>
      </c>
      <c r="D8000">
        <f>IF($C8000="","",$C8000-WEEKDAY($C8000,2)+1)</f>
        <v/>
      </c>
      <c r="E8000">
        <f>IF($C8000="","",DATE(YEAR($C8000),MONTH($C8000),1))</f>
        <v/>
      </c>
      <c r="F8000">
        <f>IF($C8000="","",YEAR($C8000)&amp;"-Q"&amp;ROUNDUP(MONTH($C8000)/3,0))</f>
        <v/>
      </c>
      <c r="L8000">
        <f>IF($G8000&lt;&gt;"ALCOHOL","",IF($K8000="","",$H8000*IFERROR(VLOOKUP($K8000,Drink_Templates!$A:$G,7,FALSE),0)))</f>
        <v/>
      </c>
    </row>
    <row r="8001" ht="15" customHeight="1">
      <c r="C8001">
        <f>IF($B8001="","",INT($B8001))</f>
        <v/>
      </c>
      <c r="D8001">
        <f>IF($C8001="","",$C8001-WEEKDAY($C8001,2)+1)</f>
        <v/>
      </c>
      <c r="E8001">
        <f>IF($C8001="","",DATE(YEAR($C8001),MONTH($C8001),1))</f>
        <v/>
      </c>
      <c r="F8001">
        <f>IF($C8001="","",YEAR($C8001)&amp;"-Q"&amp;ROUNDUP(MONTH($C8001)/3,0))</f>
        <v/>
      </c>
      <c r="L8001">
        <f>IF($G8001&lt;&gt;"ALCOHOL","",IF($K8001="","",$H8001*IFERROR(VLOOKUP($K8001,Drink_Templates!$A:$G,7,FALSE),0)))</f>
        <v/>
      </c>
    </row>
    <row r="8002" ht="15" customHeight="1">
      <c r="C8002">
        <f>IF($B8002="","",INT($B8002))</f>
        <v/>
      </c>
      <c r="D8002">
        <f>IF($C8002="","",$C8002-WEEKDAY($C8002,2)+1)</f>
        <v/>
      </c>
      <c r="E8002">
        <f>IF($C8002="","",DATE(YEAR($C8002),MONTH($C8002),1))</f>
        <v/>
      </c>
      <c r="F8002">
        <f>IF($C8002="","",YEAR($C8002)&amp;"-Q"&amp;ROUNDUP(MONTH($C8002)/3,0))</f>
        <v/>
      </c>
      <c r="L8002">
        <f>IF($G8002&lt;&gt;"ALCOHOL","",IF($K8002="","",$H8002*IFERROR(VLOOKUP($K8002,Drink_Templates!$A:$G,7,FALSE),0)))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Weekly inputs (you fill during weekly review)</t>
        </is>
      </c>
    </row>
    <row r="2" ht="48" customHeight="1">
      <c r="A2" s="7" t="inlineStr">
        <is>
          <t>WeekStart</t>
        </is>
      </c>
      <c r="B2" s="7" t="inlineStr">
        <is>
          <t>WorkHours</t>
        </is>
      </c>
      <c r="C2" s="7" t="inlineStr">
        <is>
          <t>ExpensesPersonal_RUB</t>
        </is>
      </c>
      <c r="D2" s="7" t="inlineStr">
        <is>
          <t>ExcludedRenovation_RUB</t>
        </is>
      </c>
      <c r="E2" s="7" t="inlineStr">
        <is>
          <t>NetWorth_RUB(optional)</t>
        </is>
      </c>
      <c r="F2" s="7" t="inlineStr">
        <is>
          <t>Notes</t>
        </is>
      </c>
      <c r="G2" s="7" t="inlineStr">
        <is>
          <t>Source</t>
        </is>
      </c>
      <c r="H2" s="7" t="inlineStr">
        <is>
          <t>DealSpikeFlag(1/0)</t>
        </is>
      </c>
    </row>
    <row r="3" ht="15" customHeight="1">
      <c r="A3" s="15" t="n"/>
      <c r="B3" s="16" t="n"/>
      <c r="C3" s="16" t="n"/>
      <c r="D3" s="16" t="n"/>
      <c r="E3" s="16" t="n"/>
      <c r="F3" s="16" t="n"/>
      <c r="G3" s="8" t="n"/>
    </row>
    <row r="4" ht="15" customHeight="1">
      <c r="A4" s="14" t="n">
        <v>46027</v>
      </c>
      <c r="B4" s="16" t="n"/>
      <c r="C4" s="16" t="n"/>
      <c r="D4" s="16" t="n"/>
      <c r="E4" s="16" t="n"/>
      <c r="F4" s="16" t="n"/>
      <c r="G4" s="8" t="inlineStr">
        <is>
          <t>Manual</t>
        </is>
      </c>
    </row>
    <row r="5" ht="15" customHeight="1">
      <c r="A5" s="14" t="n">
        <v>46034</v>
      </c>
      <c r="B5" s="16" t="n"/>
      <c r="C5" s="16" t="n"/>
      <c r="D5" s="16" t="n"/>
      <c r="E5" s="16" t="n"/>
      <c r="F5" s="16" t="n"/>
      <c r="G5" s="8" t="inlineStr">
        <is>
          <t>Manual</t>
        </is>
      </c>
    </row>
    <row r="6" ht="15" customHeight="1">
      <c r="A6" s="14" t="n">
        <v>46041</v>
      </c>
      <c r="B6" s="16" t="n"/>
      <c r="C6" s="16" t="n"/>
      <c r="D6" s="16" t="n"/>
      <c r="E6" s="16" t="n"/>
      <c r="F6" s="16" t="n"/>
      <c r="G6" s="8" t="inlineStr">
        <is>
          <t>Manual</t>
        </is>
      </c>
    </row>
    <row r="7" ht="15" customHeight="1">
      <c r="A7" s="14" t="n">
        <v>46048</v>
      </c>
      <c r="B7" s="16" t="n"/>
      <c r="C7" s="16" t="n"/>
      <c r="D7" s="16" t="n"/>
      <c r="E7" s="16" t="n"/>
      <c r="F7" s="16" t="n"/>
      <c r="G7" s="8" t="inlineStr">
        <is>
          <t>Manual</t>
        </is>
      </c>
    </row>
    <row r="8" ht="15" customHeight="1">
      <c r="A8" s="14" t="n">
        <v>46055</v>
      </c>
      <c r="B8" s="16" t="n"/>
      <c r="C8" s="16" t="n"/>
      <c r="D8" s="16" t="n"/>
      <c r="E8" s="16" t="n"/>
      <c r="F8" s="16" t="n"/>
      <c r="G8" s="8" t="inlineStr">
        <is>
          <t>Manual</t>
        </is>
      </c>
    </row>
    <row r="9" ht="15" customHeight="1">
      <c r="A9" s="14" t="n">
        <v>46062</v>
      </c>
      <c r="B9" s="16" t="n"/>
      <c r="C9" s="16" t="n"/>
      <c r="D9" s="16" t="n"/>
      <c r="E9" s="16" t="n"/>
      <c r="F9" s="16" t="n"/>
      <c r="G9" s="8" t="inlineStr">
        <is>
          <t>Manual</t>
        </is>
      </c>
    </row>
    <row r="10" ht="15" customHeight="1">
      <c r="A10" s="14" t="n">
        <v>46069</v>
      </c>
      <c r="B10" s="16" t="n"/>
      <c r="C10" s="16" t="n"/>
      <c r="D10" s="16" t="n"/>
      <c r="E10" s="16" t="n"/>
      <c r="F10" s="16" t="n"/>
      <c r="G10" s="8" t="inlineStr">
        <is>
          <t>Manual</t>
        </is>
      </c>
    </row>
    <row r="11" ht="15" customHeight="1">
      <c r="A11" s="14" t="n">
        <v>46076</v>
      </c>
      <c r="B11" s="16" t="n"/>
      <c r="C11" s="16" t="n"/>
      <c r="D11" s="16" t="n"/>
      <c r="E11" s="16" t="n"/>
      <c r="F11" s="16" t="n"/>
      <c r="G11" s="8" t="inlineStr">
        <is>
          <t>Manual</t>
        </is>
      </c>
    </row>
    <row r="12" ht="15" customHeight="1">
      <c r="A12" s="14" t="n">
        <v>46083</v>
      </c>
      <c r="B12" s="16" t="n"/>
      <c r="C12" s="16" t="n"/>
      <c r="D12" s="16" t="n"/>
      <c r="E12" s="16" t="n"/>
      <c r="F12" s="16" t="n"/>
      <c r="G12" s="8" t="inlineStr">
        <is>
          <t>Manual</t>
        </is>
      </c>
    </row>
    <row r="13" ht="15" customHeight="1">
      <c r="A13" s="14" t="n">
        <v>46090</v>
      </c>
      <c r="B13" s="16" t="n"/>
      <c r="C13" s="16" t="n"/>
      <c r="D13" s="16" t="n"/>
      <c r="E13" s="16" t="n"/>
      <c r="F13" s="16" t="n"/>
      <c r="G13" s="8" t="inlineStr">
        <is>
          <t>Manual</t>
        </is>
      </c>
    </row>
    <row r="14" ht="15" customHeight="1">
      <c r="A14" s="14" t="n">
        <v>46097</v>
      </c>
      <c r="B14" s="16" t="n"/>
      <c r="C14" s="16" t="n"/>
      <c r="D14" s="16" t="n"/>
      <c r="E14" s="16" t="n"/>
      <c r="F14" s="16" t="n"/>
      <c r="G14" s="8" t="inlineStr">
        <is>
          <t>Manual</t>
        </is>
      </c>
    </row>
    <row r="15" ht="15" customHeight="1">
      <c r="A15" s="14" t="n">
        <v>46104</v>
      </c>
      <c r="B15" s="16" t="n"/>
      <c r="C15" s="16" t="n"/>
      <c r="D15" s="16" t="n"/>
      <c r="E15" s="16" t="n"/>
      <c r="F15" s="16" t="n"/>
      <c r="G15" s="8" t="inlineStr">
        <is>
          <t>Manual</t>
        </is>
      </c>
    </row>
    <row r="16" ht="15" customHeight="1">
      <c r="A16" s="14" t="n">
        <v>46111</v>
      </c>
      <c r="B16" s="16" t="n"/>
      <c r="C16" s="16" t="n"/>
      <c r="D16" s="16" t="n"/>
      <c r="E16" s="16" t="n"/>
      <c r="F16" s="16" t="n"/>
      <c r="G16" s="8" t="inlineStr">
        <is>
          <t>Manual</t>
        </is>
      </c>
    </row>
    <row r="17" ht="15" customHeight="1">
      <c r="A17" s="14" t="n">
        <v>46118</v>
      </c>
      <c r="B17" s="16" t="n"/>
      <c r="C17" s="16" t="n"/>
      <c r="D17" s="16" t="n"/>
      <c r="E17" s="16" t="n"/>
      <c r="F17" s="16" t="n"/>
      <c r="G17" s="8" t="inlineStr">
        <is>
          <t>Manual</t>
        </is>
      </c>
    </row>
    <row r="18" ht="15" customHeight="1">
      <c r="A18" s="14" t="n">
        <v>46125</v>
      </c>
      <c r="B18" s="16" t="n"/>
      <c r="C18" s="16" t="n"/>
      <c r="D18" s="16" t="n"/>
      <c r="E18" s="16" t="n"/>
      <c r="F18" s="16" t="n"/>
      <c r="G18" s="8" t="inlineStr">
        <is>
          <t>Manual</t>
        </is>
      </c>
    </row>
    <row r="19" ht="15" customHeight="1">
      <c r="A19" s="14" t="n">
        <v>46132</v>
      </c>
      <c r="B19" s="16" t="n"/>
      <c r="C19" s="16" t="n"/>
      <c r="D19" s="16" t="n"/>
      <c r="E19" s="16" t="n"/>
      <c r="F19" s="16" t="n"/>
      <c r="G19" s="8" t="inlineStr">
        <is>
          <t>Manual</t>
        </is>
      </c>
    </row>
    <row r="20" ht="15" customHeight="1">
      <c r="A20" s="14" t="n">
        <v>46139</v>
      </c>
      <c r="B20" s="16" t="n"/>
      <c r="C20" s="16" t="n"/>
      <c r="D20" s="16" t="n"/>
      <c r="E20" s="16" t="n"/>
      <c r="F20" s="16" t="n"/>
      <c r="G20" s="8" t="inlineStr">
        <is>
          <t>Manual</t>
        </is>
      </c>
    </row>
    <row r="21" ht="15" customHeight="1">
      <c r="A21" s="14" t="n">
        <v>46146</v>
      </c>
      <c r="B21" s="16" t="n"/>
      <c r="C21" s="16" t="n"/>
      <c r="D21" s="16" t="n"/>
      <c r="E21" s="16" t="n"/>
      <c r="F21" s="16" t="n"/>
      <c r="G21" s="8" t="inlineStr">
        <is>
          <t>Manual</t>
        </is>
      </c>
    </row>
    <row r="22" ht="15" customHeight="1">
      <c r="A22" s="14" t="n">
        <v>46153</v>
      </c>
      <c r="B22" s="16" t="n"/>
      <c r="C22" s="16" t="n"/>
      <c r="D22" s="16" t="n"/>
      <c r="E22" s="16" t="n"/>
      <c r="F22" s="16" t="n"/>
      <c r="G22" s="8" t="inlineStr">
        <is>
          <t>Manual</t>
        </is>
      </c>
    </row>
    <row r="23" ht="15" customHeight="1">
      <c r="A23" s="14" t="n">
        <v>46160</v>
      </c>
      <c r="B23" s="16" t="n"/>
      <c r="C23" s="16" t="n"/>
      <c r="D23" s="16" t="n"/>
      <c r="E23" s="16" t="n"/>
      <c r="F23" s="16" t="n"/>
      <c r="G23" s="8" t="inlineStr">
        <is>
          <t>Manual</t>
        </is>
      </c>
    </row>
    <row r="24" ht="15" customHeight="1">
      <c r="A24" s="14" t="n">
        <v>46167</v>
      </c>
      <c r="B24" s="16" t="n"/>
      <c r="C24" s="16" t="n"/>
      <c r="D24" s="16" t="n"/>
      <c r="E24" s="16" t="n"/>
      <c r="F24" s="16" t="n"/>
      <c r="G24" s="8" t="inlineStr">
        <is>
          <t>Manual</t>
        </is>
      </c>
    </row>
    <row r="25" ht="15" customHeight="1">
      <c r="A25" s="14" t="n">
        <v>46174</v>
      </c>
      <c r="B25" s="16" t="n"/>
      <c r="C25" s="16" t="n"/>
      <c r="D25" s="16" t="n"/>
      <c r="E25" s="16" t="n"/>
      <c r="F25" s="16" t="n"/>
      <c r="G25" s="8" t="inlineStr">
        <is>
          <t>Manual</t>
        </is>
      </c>
    </row>
    <row r="26" ht="15" customHeight="1">
      <c r="A26" s="14" t="n">
        <v>46181</v>
      </c>
      <c r="B26" s="16" t="n"/>
      <c r="C26" s="16" t="n"/>
      <c r="D26" s="16" t="n"/>
      <c r="E26" s="16" t="n"/>
      <c r="F26" s="16" t="n"/>
      <c r="G26" s="8" t="inlineStr">
        <is>
          <t>Manual</t>
        </is>
      </c>
    </row>
    <row r="27" ht="15" customHeight="1">
      <c r="A27" s="14" t="n">
        <v>46188</v>
      </c>
      <c r="B27" s="16" t="n"/>
      <c r="C27" s="16" t="n"/>
      <c r="D27" s="16" t="n"/>
      <c r="E27" s="16" t="n"/>
      <c r="F27" s="16" t="n"/>
      <c r="G27" s="8" t="inlineStr">
        <is>
          <t>Manual</t>
        </is>
      </c>
    </row>
    <row r="28" ht="15" customHeight="1">
      <c r="A28" s="14" t="n">
        <v>46195</v>
      </c>
      <c r="B28" s="16" t="n"/>
      <c r="C28" s="16" t="n"/>
      <c r="D28" s="16" t="n"/>
      <c r="E28" s="16" t="n"/>
      <c r="F28" s="16" t="n"/>
      <c r="G28" s="8" t="inlineStr">
        <is>
          <t>Manual</t>
        </is>
      </c>
    </row>
    <row r="29" ht="15" customHeight="1">
      <c r="A29" s="14" t="n">
        <v>46202</v>
      </c>
      <c r="B29" s="16" t="n"/>
      <c r="C29" s="16" t="n"/>
      <c r="D29" s="16" t="n"/>
      <c r="E29" s="16" t="n"/>
      <c r="F29" s="16" t="n"/>
      <c r="G29" s="8" t="inlineStr">
        <is>
          <t>Manual</t>
        </is>
      </c>
    </row>
    <row r="30" ht="15" customHeight="1">
      <c r="A30" s="14" t="n">
        <v>46209</v>
      </c>
      <c r="B30" s="16" t="n"/>
      <c r="C30" s="16" t="n"/>
      <c r="D30" s="16" t="n"/>
      <c r="E30" s="16" t="n"/>
      <c r="F30" s="16" t="n"/>
      <c r="G30" s="8" t="inlineStr">
        <is>
          <t>Manual</t>
        </is>
      </c>
    </row>
    <row r="31" ht="15" customHeight="1">
      <c r="A31" s="14" t="n">
        <v>46216</v>
      </c>
      <c r="B31" s="16" t="n"/>
      <c r="C31" s="16" t="n"/>
      <c r="D31" s="16" t="n"/>
      <c r="E31" s="16" t="n"/>
      <c r="F31" s="16" t="n"/>
      <c r="G31" s="8" t="inlineStr">
        <is>
          <t>Manual</t>
        </is>
      </c>
    </row>
    <row r="32" ht="15" customHeight="1">
      <c r="A32" s="14" t="n">
        <v>46223</v>
      </c>
      <c r="B32" s="16" t="n"/>
      <c r="C32" s="16" t="n"/>
      <c r="D32" s="16" t="n"/>
      <c r="E32" s="16" t="n"/>
      <c r="F32" s="16" t="n"/>
      <c r="G32" s="8" t="inlineStr">
        <is>
          <t>Manual</t>
        </is>
      </c>
    </row>
    <row r="33" ht="15" customHeight="1">
      <c r="A33" s="14" t="n">
        <v>46230</v>
      </c>
      <c r="B33" s="16" t="n"/>
      <c r="C33" s="16" t="n"/>
      <c r="D33" s="16" t="n"/>
      <c r="E33" s="16" t="n"/>
      <c r="F33" s="16" t="n"/>
      <c r="G33" s="8" t="inlineStr">
        <is>
          <t>Manual</t>
        </is>
      </c>
    </row>
    <row r="34" ht="15" customHeight="1">
      <c r="A34" s="14" t="n">
        <v>46237</v>
      </c>
      <c r="B34" s="16" t="n"/>
      <c r="C34" s="16" t="n"/>
      <c r="D34" s="16" t="n"/>
      <c r="E34" s="16" t="n"/>
      <c r="F34" s="16" t="n"/>
      <c r="G34" s="8" t="inlineStr">
        <is>
          <t>Manual</t>
        </is>
      </c>
    </row>
    <row r="35" ht="15" customHeight="1">
      <c r="A35" s="14" t="n">
        <v>46244</v>
      </c>
      <c r="B35" s="16" t="n"/>
      <c r="C35" s="16" t="n"/>
      <c r="D35" s="16" t="n"/>
      <c r="E35" s="16" t="n"/>
      <c r="F35" s="16" t="n"/>
      <c r="G35" s="8" t="inlineStr">
        <is>
          <t>Manual</t>
        </is>
      </c>
    </row>
    <row r="36" ht="15" customHeight="1">
      <c r="A36" s="14" t="n">
        <v>46251</v>
      </c>
      <c r="B36" s="16" t="n"/>
      <c r="C36" s="16" t="n"/>
      <c r="D36" s="16" t="n"/>
      <c r="E36" s="16" t="n"/>
      <c r="F36" s="16" t="n"/>
      <c r="G36" s="8" t="inlineStr">
        <is>
          <t>Manual</t>
        </is>
      </c>
    </row>
    <row r="37" ht="15" customHeight="1">
      <c r="A37" s="14" t="n">
        <v>46258</v>
      </c>
      <c r="B37" s="16" t="n"/>
      <c r="C37" s="16" t="n"/>
      <c r="D37" s="16" t="n"/>
      <c r="E37" s="16" t="n"/>
      <c r="F37" s="16" t="n"/>
      <c r="G37" s="8" t="inlineStr">
        <is>
          <t>Manual</t>
        </is>
      </c>
    </row>
    <row r="38" ht="15" customHeight="1">
      <c r="A38" s="14" t="n">
        <v>46265</v>
      </c>
      <c r="B38" s="16" t="n"/>
      <c r="C38" s="16" t="n"/>
      <c r="D38" s="16" t="n"/>
      <c r="E38" s="16" t="n"/>
      <c r="F38" s="16" t="n"/>
      <c r="G38" s="8" t="inlineStr">
        <is>
          <t>Manual</t>
        </is>
      </c>
    </row>
    <row r="39" ht="15" customHeight="1">
      <c r="A39" s="14" t="n">
        <v>46272</v>
      </c>
      <c r="B39" s="16" t="n"/>
      <c r="C39" s="16" t="n"/>
      <c r="D39" s="16" t="n"/>
      <c r="E39" s="16" t="n"/>
      <c r="F39" s="16" t="n"/>
      <c r="G39" s="8" t="inlineStr">
        <is>
          <t>Manual</t>
        </is>
      </c>
    </row>
    <row r="40" ht="15" customHeight="1">
      <c r="A40" s="14" t="n">
        <v>46279</v>
      </c>
      <c r="B40" s="16" t="n"/>
      <c r="C40" s="16" t="n"/>
      <c r="D40" s="16" t="n"/>
      <c r="E40" s="16" t="n"/>
      <c r="F40" s="16" t="n"/>
      <c r="G40" s="8" t="inlineStr">
        <is>
          <t>Manual</t>
        </is>
      </c>
    </row>
    <row r="41" ht="15" customHeight="1">
      <c r="A41" s="14" t="n">
        <v>46286</v>
      </c>
      <c r="B41" s="16" t="n"/>
      <c r="C41" s="16" t="n"/>
      <c r="D41" s="16" t="n"/>
      <c r="E41" s="16" t="n"/>
      <c r="F41" s="16" t="n"/>
      <c r="G41" s="8" t="inlineStr">
        <is>
          <t>Manual</t>
        </is>
      </c>
    </row>
    <row r="42" ht="15" customHeight="1">
      <c r="A42" s="14" t="n">
        <v>46293</v>
      </c>
      <c r="B42" s="16" t="n"/>
      <c r="C42" s="16" t="n"/>
      <c r="D42" s="16" t="n"/>
      <c r="E42" s="16" t="n"/>
      <c r="F42" s="16" t="n"/>
      <c r="G42" s="8" t="inlineStr">
        <is>
          <t>Manual</t>
        </is>
      </c>
    </row>
    <row r="43" ht="15" customHeight="1">
      <c r="A43" s="14" t="n">
        <v>46300</v>
      </c>
      <c r="B43" s="16" t="n"/>
      <c r="C43" s="16" t="n"/>
      <c r="D43" s="16" t="n"/>
      <c r="E43" s="16" t="n"/>
      <c r="F43" s="16" t="n"/>
      <c r="G43" s="8" t="inlineStr">
        <is>
          <t>Manual</t>
        </is>
      </c>
    </row>
    <row r="44" ht="15" customHeight="1">
      <c r="A44" s="14" t="n">
        <v>46307</v>
      </c>
      <c r="B44" s="16" t="n"/>
      <c r="C44" s="16" t="n"/>
      <c r="D44" s="16" t="n"/>
      <c r="E44" s="16" t="n"/>
      <c r="F44" s="16" t="n"/>
      <c r="G44" s="8" t="inlineStr">
        <is>
          <t>Manual</t>
        </is>
      </c>
    </row>
    <row r="45" ht="15" customHeight="1">
      <c r="A45" s="14" t="n">
        <v>46314</v>
      </c>
      <c r="B45" s="16" t="n"/>
      <c r="C45" s="16" t="n"/>
      <c r="D45" s="16" t="n"/>
      <c r="E45" s="16" t="n"/>
      <c r="F45" s="16" t="n"/>
      <c r="G45" s="8" t="inlineStr">
        <is>
          <t>Manual</t>
        </is>
      </c>
    </row>
    <row r="46" ht="15" customHeight="1">
      <c r="A46" s="14" t="n">
        <v>46321</v>
      </c>
      <c r="B46" s="16" t="n"/>
      <c r="C46" s="16" t="n"/>
      <c r="D46" s="16" t="n"/>
      <c r="E46" s="16" t="n"/>
      <c r="F46" s="16" t="n"/>
      <c r="G46" s="8" t="inlineStr">
        <is>
          <t>Manual</t>
        </is>
      </c>
    </row>
    <row r="47" ht="15" customHeight="1">
      <c r="A47" s="14" t="n">
        <v>46328</v>
      </c>
      <c r="B47" s="16" t="n"/>
      <c r="C47" s="16" t="n"/>
      <c r="D47" s="16" t="n"/>
      <c r="E47" s="16" t="n"/>
      <c r="F47" s="16" t="n"/>
      <c r="G47" s="8" t="inlineStr">
        <is>
          <t>Manual</t>
        </is>
      </c>
    </row>
    <row r="48" ht="15" customHeight="1">
      <c r="A48" s="14" t="n">
        <v>46335</v>
      </c>
      <c r="B48" s="16" t="n"/>
      <c r="C48" s="16" t="n"/>
      <c r="D48" s="16" t="n"/>
      <c r="E48" s="16" t="n"/>
      <c r="F48" s="16" t="n"/>
      <c r="G48" s="8" t="inlineStr">
        <is>
          <t>Manual</t>
        </is>
      </c>
    </row>
    <row r="49" ht="15" customHeight="1">
      <c r="A49" s="14" t="n">
        <v>46342</v>
      </c>
      <c r="B49" s="16" t="n"/>
      <c r="C49" s="16" t="n"/>
      <c r="D49" s="16" t="n"/>
      <c r="E49" s="16" t="n"/>
      <c r="F49" s="16" t="n"/>
      <c r="G49" s="8" t="inlineStr">
        <is>
          <t>Manual</t>
        </is>
      </c>
    </row>
    <row r="50" ht="15" customHeight="1">
      <c r="A50" s="14" t="n">
        <v>46349</v>
      </c>
      <c r="B50" s="16" t="n"/>
      <c r="C50" s="16" t="n"/>
      <c r="D50" s="16" t="n"/>
      <c r="E50" s="16" t="n"/>
      <c r="F50" s="16" t="n"/>
      <c r="G50" s="8" t="inlineStr">
        <is>
          <t>Manual</t>
        </is>
      </c>
    </row>
    <row r="51" ht="15" customHeight="1">
      <c r="A51" s="14" t="n">
        <v>46356</v>
      </c>
      <c r="B51" s="16" t="n"/>
      <c r="C51" s="16" t="n"/>
      <c r="D51" s="16" t="n"/>
      <c r="E51" s="16" t="n"/>
      <c r="F51" s="16" t="n"/>
      <c r="G51" s="8" t="inlineStr">
        <is>
          <t>Manual</t>
        </is>
      </c>
    </row>
    <row r="52" ht="15" customHeight="1">
      <c r="A52" s="14" t="n">
        <v>46363</v>
      </c>
      <c r="B52" s="16" t="n"/>
      <c r="C52" s="16" t="n"/>
      <c r="D52" s="16" t="n"/>
      <c r="E52" s="16" t="n"/>
      <c r="F52" s="16" t="n"/>
      <c r="G52" s="8" t="inlineStr">
        <is>
          <t>Manual</t>
        </is>
      </c>
    </row>
    <row r="53" ht="15" customHeight="1">
      <c r="A53" s="14" t="n">
        <v>46370</v>
      </c>
      <c r="B53" s="16" t="n"/>
      <c r="C53" s="16" t="n"/>
      <c r="D53" s="16" t="n"/>
      <c r="E53" s="16" t="n"/>
      <c r="F53" s="16" t="n"/>
      <c r="G53" s="8" t="inlineStr">
        <is>
          <t>Manual</t>
        </is>
      </c>
    </row>
    <row r="54" ht="15" customHeight="1">
      <c r="A54" s="14" t="n">
        <v>46377</v>
      </c>
      <c r="B54" s="16" t="n"/>
      <c r="C54" s="16" t="n"/>
      <c r="D54" s="16" t="n"/>
      <c r="E54" s="16" t="n"/>
      <c r="F54" s="16" t="n"/>
      <c r="G54" s="8" t="inlineStr">
        <is>
          <t>Manual</t>
        </is>
      </c>
    </row>
    <row r="55" ht="15" customHeight="1">
      <c r="A55" s="17" t="n">
        <v>46384</v>
      </c>
      <c r="G55" t="inlineStr">
        <is>
          <t>Manual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Body metrics (optional, periodic)</t>
        </is>
      </c>
    </row>
    <row r="2" ht="32" customHeight="1">
      <c r="A2" s="7" t="inlineStr">
        <is>
          <t>Date</t>
        </is>
      </c>
      <c r="B2" s="7" t="inlineStr">
        <is>
          <t>(unused)</t>
        </is>
      </c>
      <c r="C2" s="7" t="inlineStr">
        <is>
          <t>LeanBodyWeight_kg</t>
        </is>
      </c>
      <c r="D2" s="7" t="inlineStr">
        <is>
          <t>BodyFat_%(optional)</t>
        </is>
      </c>
      <c r="E2" s="7" t="inlineStr">
        <is>
          <t>Notes</t>
        </is>
      </c>
      <c r="F2" s="7" t="inlineStr">
        <is>
          <t>Source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Daily aggregates (app writes totals; sheet computes compliance flags)</t>
        </is>
      </c>
    </row>
    <row r="2" ht="32" customHeight="1">
      <c r="A2" s="7" t="inlineStr">
        <is>
          <t>Date</t>
        </is>
      </c>
      <c r="B2" s="7" t="inlineStr">
        <is>
          <t>Sleep_h</t>
        </is>
      </c>
      <c r="C2" s="7" t="inlineStr">
        <is>
          <t>Workouts</t>
        </is>
      </c>
      <c r="D2" s="7" t="inlineStr">
        <is>
          <t>Posture_sessions</t>
        </is>
      </c>
      <c r="E2" s="7" t="inlineStr">
        <is>
          <t>Posture_met</t>
        </is>
      </c>
      <c r="F2" s="7" t="inlineStr">
        <is>
          <t>Mindfulness_min</t>
        </is>
      </c>
      <c r="G2" s="7" t="inlineStr">
        <is>
          <t>Mindfulness_day</t>
        </is>
      </c>
      <c r="H2" s="7" t="inlineStr">
        <is>
          <t>Cigarettes</t>
        </is>
      </c>
      <c r="I2" s="7" t="inlineStr">
        <is>
          <t>Alcohol_std</t>
        </is>
      </c>
      <c r="J2" s="7" t="inlineStr">
        <is>
          <t>Unhealthy_meals</t>
        </is>
      </c>
      <c r="K2" s="7" t="inlineStr">
        <is>
          <t>Training_min</t>
        </is>
      </c>
      <c r="L2" s="7" t="inlineStr">
        <is>
          <t>(unused)</t>
        </is>
      </c>
      <c r="M2" s="7" t="inlineStr">
        <is>
          <t>Ideas</t>
        </is>
      </c>
      <c r="N2" s="7" t="inlineStr">
        <is>
          <t>Social_meets</t>
        </is>
      </c>
      <c r="O2" s="7" t="inlineStr">
        <is>
          <t>Dates</t>
        </is>
      </c>
      <c r="P2" s="26" t="inlineStr">
        <is>
          <t>NewActivities</t>
        </is>
      </c>
      <c r="Q2" s="26" t="inlineStr">
        <is>
          <t>TravelNights</t>
        </is>
      </c>
      <c r="R2" s="26" t="inlineStr">
        <is>
          <t>Notes</t>
        </is>
      </c>
    </row>
    <row r="3" ht="15" customHeight="1">
      <c r="A3" s="14" t="n">
        <v>46023</v>
      </c>
      <c r="B3" s="27">
        <f>SUMIFS(Raw_Events!$H:$H,Raw_Events!$C:$C,$A3,Raw_Events!$G:$G,"SLEEP_HOURS")</f>
        <v/>
      </c>
      <c r="C3" s="16">
        <f>COUNTIFS(Raw_Events!$C:$C,$A3,Raw_Events!$G:$G,"WORKOUT")</f>
        <v/>
      </c>
      <c r="D3" s="28">
        <f>SUMIFS(Raw_Events!$H:$H,Raw_Events!$C:$C,$A3,Raw_Events!$G:$G,"POSTURE_SESSION")</f>
        <v/>
      </c>
      <c r="E3" s="8">
        <f>IF($D3="","",IF($D3&gt;=Settings!$C$17,1,0))</f>
        <v/>
      </c>
      <c r="F3" s="28">
        <f>SUMIFS(Raw_Events!$H:$H,Raw_Events!$C:$C,$A3,Raw_Events!$G:$G,"MINDFULNESS_MIN")</f>
        <v/>
      </c>
      <c r="G3" s="8">
        <f>IF($F3="","",IF($F3&gt;0,1,0))</f>
        <v/>
      </c>
      <c r="H3" s="16">
        <f>SUMIFS(Raw_Events!$H:$H,Raw_Events!$C:$C,$A3,Raw_Events!$G:$G,"CIGARETTES")</f>
        <v/>
      </c>
      <c r="I3" s="29">
        <f>SUMIFS(Raw_Events!$L:$L,Raw_Events!$C:$C,$A3,Raw_Events!$G:$G,"ALCOHOL")</f>
        <v/>
      </c>
      <c r="J3" s="16">
        <f>SUMIFS(Raw_Events!$H:$H,Raw_Events!$C:$C,$A3,Raw_Events!$G:$G,"UNHEALTHY_MEAL")</f>
        <v/>
      </c>
      <c r="K3" s="28">
        <f>SUMIFS(Raw_Events!$H:$H,Raw_Events!$C:$C,$A3,Raw_Events!$G:$G,"TRAINING_MIN")+SUMIFS(Raw_Events!$H:$H,Raw_Events!$C:$C,$A3,Raw_Events!$G:$G,"DICTION_TRAINING_MIN")</f>
        <v/>
      </c>
      <c r="L3" s="28" t="n"/>
      <c r="M3" s="16">
        <f>SUMIFS(Raw_Events!$H:$H,Raw_Events!$C:$C,$A3,Raw_Events!$G:$G,"IDEA")</f>
        <v/>
      </c>
      <c r="N3" s="16">
        <f>COUNTIFS(Raw_Events!$C:$C,$A3,Raw_Events!$G:$G,"SOCIAL_MEET")</f>
        <v/>
      </c>
      <c r="O3" s="16">
        <f>COUNTIFS(Raw_Events!$C:$C,$A3,Raw_Events!$G:$G,"DATE")</f>
        <v/>
      </c>
      <c r="P3" s="3">
        <f>COUNTIFS(Raw_Events!$C:$C,$A3,Raw_Events!$G:$G,"NEW_ACTIVITY")</f>
        <v/>
      </c>
      <c r="Q3" s="3">
        <f>SUMIFS(Raw_Events!$H:$H,Raw_Events!$C:$C,$A3,Raw_Events!$G:$G,"TRAVEL_NIGHT")</f>
        <v/>
      </c>
      <c r="R3" s="3" t="n"/>
    </row>
    <row r="4" ht="15" customHeight="1">
      <c r="A4" s="14" t="n">
        <v>46024</v>
      </c>
      <c r="B4" s="27">
        <f>SUMIFS(Raw_Events!$H:$H,Raw_Events!$C:$C,$A4,Raw_Events!$G:$G,"SLEEP_HOURS")</f>
        <v/>
      </c>
      <c r="C4" s="16">
        <f>COUNTIFS(Raw_Events!$C:$C,$A4,Raw_Events!$G:$G,"WORKOUT")</f>
        <v/>
      </c>
      <c r="D4" s="28">
        <f>SUMIFS(Raw_Events!$H:$H,Raw_Events!$C:$C,$A4,Raw_Events!$G:$G,"POSTURE_SESSION")</f>
        <v/>
      </c>
      <c r="E4" s="8">
        <f>IF($D4="","",IF($D4&gt;=Settings!$C$17,1,0))</f>
        <v/>
      </c>
      <c r="F4" s="28">
        <f>SUMIFS(Raw_Events!$H:$H,Raw_Events!$C:$C,$A4,Raw_Events!$G:$G,"MINDFULNESS_MIN")</f>
        <v/>
      </c>
      <c r="G4" s="8">
        <f>IF($F4="","",IF($F4&gt;0,1,0))</f>
        <v/>
      </c>
      <c r="H4" s="16">
        <f>SUMIFS(Raw_Events!$H:$H,Raw_Events!$C:$C,$A4,Raw_Events!$G:$G,"CIGARETTES")</f>
        <v/>
      </c>
      <c r="I4" s="29">
        <f>SUMIFS(Raw_Events!$L:$L,Raw_Events!$C:$C,$A4,Raw_Events!$G:$G,"ALCOHOL")</f>
        <v/>
      </c>
      <c r="J4" s="16">
        <f>SUMIFS(Raw_Events!$H:$H,Raw_Events!$C:$C,$A4,Raw_Events!$G:$G,"UNHEALTHY_MEAL")</f>
        <v/>
      </c>
      <c r="K4" s="28">
        <f>SUMIFS(Raw_Events!$H:$H,Raw_Events!$C:$C,$A4,Raw_Events!$G:$G,"TRAINING_MIN")+SUMIFS(Raw_Events!$H:$H,Raw_Events!$C:$C,$A4,Raw_Events!$G:$G,"DICTION_TRAINING_MIN")</f>
        <v/>
      </c>
      <c r="L4" s="28" t="n"/>
      <c r="M4" s="16">
        <f>SUMIFS(Raw_Events!$H:$H,Raw_Events!$C:$C,$A4,Raw_Events!$G:$G,"IDEA")</f>
        <v/>
      </c>
      <c r="N4" s="16">
        <f>COUNTIFS(Raw_Events!$C:$C,$A4,Raw_Events!$G:$G,"SOCIAL_MEET")</f>
        <v/>
      </c>
      <c r="O4" s="16">
        <f>COUNTIFS(Raw_Events!$C:$C,$A4,Raw_Events!$G:$G,"DATE")</f>
        <v/>
      </c>
      <c r="P4" s="3">
        <f>COUNTIFS(Raw_Events!$C:$C,$A4,Raw_Events!$G:$G,"NEW_ACTIVITY")</f>
        <v/>
      </c>
      <c r="Q4" s="3">
        <f>SUMIFS(Raw_Events!$H:$H,Raw_Events!$C:$C,$A4,Raw_Events!$G:$G,"TRAVEL_NIGHT")</f>
        <v/>
      </c>
      <c r="R4" s="3" t="n"/>
    </row>
    <row r="5" ht="15" customHeight="1">
      <c r="A5" s="14" t="n">
        <v>46025</v>
      </c>
      <c r="B5" s="27">
        <f>SUMIFS(Raw_Events!$H:$H,Raw_Events!$C:$C,$A5,Raw_Events!$G:$G,"SLEEP_HOURS")</f>
        <v/>
      </c>
      <c r="C5" s="16">
        <f>COUNTIFS(Raw_Events!$C:$C,$A5,Raw_Events!$G:$G,"WORKOUT")</f>
        <v/>
      </c>
      <c r="D5" s="28">
        <f>SUMIFS(Raw_Events!$H:$H,Raw_Events!$C:$C,$A5,Raw_Events!$G:$G,"POSTURE_SESSION")</f>
        <v/>
      </c>
      <c r="E5" s="8">
        <f>IF($D5="","",IF($D5&gt;=Settings!$C$17,1,0))</f>
        <v/>
      </c>
      <c r="F5" s="28">
        <f>SUMIFS(Raw_Events!$H:$H,Raw_Events!$C:$C,$A5,Raw_Events!$G:$G,"MINDFULNESS_MIN")</f>
        <v/>
      </c>
      <c r="G5" s="8">
        <f>IF($F5="","",IF($F5&gt;0,1,0))</f>
        <v/>
      </c>
      <c r="H5" s="16">
        <f>SUMIFS(Raw_Events!$H:$H,Raw_Events!$C:$C,$A5,Raw_Events!$G:$G,"CIGARETTES")</f>
        <v/>
      </c>
      <c r="I5" s="29">
        <f>SUMIFS(Raw_Events!$L:$L,Raw_Events!$C:$C,$A5,Raw_Events!$G:$G,"ALCOHOL")</f>
        <v/>
      </c>
      <c r="J5" s="16">
        <f>SUMIFS(Raw_Events!$H:$H,Raw_Events!$C:$C,$A5,Raw_Events!$G:$G,"UNHEALTHY_MEAL")</f>
        <v/>
      </c>
      <c r="K5" s="28">
        <f>SUMIFS(Raw_Events!$H:$H,Raw_Events!$C:$C,$A5,Raw_Events!$G:$G,"TRAINING_MIN")+SUMIFS(Raw_Events!$H:$H,Raw_Events!$C:$C,$A5,Raw_Events!$G:$G,"DICTION_TRAINING_MIN")</f>
        <v/>
      </c>
      <c r="L5" s="28" t="n"/>
      <c r="M5" s="16">
        <f>SUMIFS(Raw_Events!$H:$H,Raw_Events!$C:$C,$A5,Raw_Events!$G:$G,"IDEA")</f>
        <v/>
      </c>
      <c r="N5" s="16">
        <f>COUNTIFS(Raw_Events!$C:$C,$A5,Raw_Events!$G:$G,"SOCIAL_MEET")</f>
        <v/>
      </c>
      <c r="O5" s="16">
        <f>COUNTIFS(Raw_Events!$C:$C,$A5,Raw_Events!$G:$G,"DATE")</f>
        <v/>
      </c>
      <c r="P5" s="3">
        <f>COUNTIFS(Raw_Events!$C:$C,$A5,Raw_Events!$G:$G,"NEW_ACTIVITY")</f>
        <v/>
      </c>
      <c r="Q5" s="3">
        <f>SUMIFS(Raw_Events!$H:$H,Raw_Events!$C:$C,$A5,Raw_Events!$G:$G,"TRAVEL_NIGHT")</f>
        <v/>
      </c>
      <c r="R5" s="3" t="n"/>
    </row>
    <row r="6" ht="15" customHeight="1">
      <c r="A6" s="14" t="n">
        <v>46026</v>
      </c>
      <c r="B6" s="27">
        <f>SUMIFS(Raw_Events!$H:$H,Raw_Events!$C:$C,$A6,Raw_Events!$G:$G,"SLEEP_HOURS")</f>
        <v/>
      </c>
      <c r="C6" s="16">
        <f>COUNTIFS(Raw_Events!$C:$C,$A6,Raw_Events!$G:$G,"WORKOUT")</f>
        <v/>
      </c>
      <c r="D6" s="28">
        <f>SUMIFS(Raw_Events!$H:$H,Raw_Events!$C:$C,$A6,Raw_Events!$G:$G,"POSTURE_SESSION")</f>
        <v/>
      </c>
      <c r="E6" s="8">
        <f>IF($D6="","",IF($D6&gt;=Settings!$C$17,1,0))</f>
        <v/>
      </c>
      <c r="F6" s="28">
        <f>SUMIFS(Raw_Events!$H:$H,Raw_Events!$C:$C,$A6,Raw_Events!$G:$G,"MINDFULNESS_MIN")</f>
        <v/>
      </c>
      <c r="G6" s="8">
        <f>IF($F6="","",IF($F6&gt;0,1,0))</f>
        <v/>
      </c>
      <c r="H6" s="16">
        <f>SUMIFS(Raw_Events!$H:$H,Raw_Events!$C:$C,$A6,Raw_Events!$G:$G,"CIGARETTES")</f>
        <v/>
      </c>
      <c r="I6" s="29">
        <f>SUMIFS(Raw_Events!$L:$L,Raw_Events!$C:$C,$A6,Raw_Events!$G:$G,"ALCOHOL")</f>
        <v/>
      </c>
      <c r="J6" s="16">
        <f>SUMIFS(Raw_Events!$H:$H,Raw_Events!$C:$C,$A6,Raw_Events!$G:$G,"UNHEALTHY_MEAL")</f>
        <v/>
      </c>
      <c r="K6" s="28">
        <f>SUMIFS(Raw_Events!$H:$H,Raw_Events!$C:$C,$A6,Raw_Events!$G:$G,"TRAINING_MIN")+SUMIFS(Raw_Events!$H:$H,Raw_Events!$C:$C,$A6,Raw_Events!$G:$G,"DICTION_TRAINING_MIN")</f>
        <v/>
      </c>
      <c r="L6" s="28" t="n"/>
      <c r="M6" s="16">
        <f>SUMIFS(Raw_Events!$H:$H,Raw_Events!$C:$C,$A6,Raw_Events!$G:$G,"IDEA")</f>
        <v/>
      </c>
      <c r="N6" s="16">
        <f>COUNTIFS(Raw_Events!$C:$C,$A6,Raw_Events!$G:$G,"SOCIAL_MEET")</f>
        <v/>
      </c>
      <c r="O6" s="16">
        <f>COUNTIFS(Raw_Events!$C:$C,$A6,Raw_Events!$G:$G,"DATE")</f>
        <v/>
      </c>
      <c r="P6" s="3">
        <f>COUNTIFS(Raw_Events!$C:$C,$A6,Raw_Events!$G:$G,"NEW_ACTIVITY")</f>
        <v/>
      </c>
      <c r="Q6" s="3">
        <f>SUMIFS(Raw_Events!$H:$H,Raw_Events!$C:$C,$A6,Raw_Events!$G:$G,"TRAVEL_NIGHT")</f>
        <v/>
      </c>
      <c r="R6" s="3" t="n"/>
    </row>
    <row r="7" ht="15" customHeight="1">
      <c r="A7" s="14" t="n">
        <v>46027</v>
      </c>
      <c r="B7" s="27">
        <f>SUMIFS(Raw_Events!$H:$H,Raw_Events!$C:$C,$A7,Raw_Events!$G:$G,"SLEEP_HOURS")</f>
        <v/>
      </c>
      <c r="C7" s="16">
        <f>COUNTIFS(Raw_Events!$C:$C,$A7,Raw_Events!$G:$G,"WORKOUT")</f>
        <v/>
      </c>
      <c r="D7" s="28">
        <f>SUMIFS(Raw_Events!$H:$H,Raw_Events!$C:$C,$A7,Raw_Events!$G:$G,"POSTURE_SESSION")</f>
        <v/>
      </c>
      <c r="E7" s="8">
        <f>IF($D7="","",IF($D7&gt;=Settings!$C$17,1,0))</f>
        <v/>
      </c>
      <c r="F7" s="28">
        <f>SUMIFS(Raw_Events!$H:$H,Raw_Events!$C:$C,$A7,Raw_Events!$G:$G,"MINDFULNESS_MIN")</f>
        <v/>
      </c>
      <c r="G7" s="8">
        <f>IF($F7="","",IF($F7&gt;0,1,0))</f>
        <v/>
      </c>
      <c r="H7" s="16">
        <f>SUMIFS(Raw_Events!$H:$H,Raw_Events!$C:$C,$A7,Raw_Events!$G:$G,"CIGARETTES")</f>
        <v/>
      </c>
      <c r="I7" s="29">
        <f>SUMIFS(Raw_Events!$L:$L,Raw_Events!$C:$C,$A7,Raw_Events!$G:$G,"ALCOHOL")</f>
        <v/>
      </c>
      <c r="J7" s="16">
        <f>SUMIFS(Raw_Events!$H:$H,Raw_Events!$C:$C,$A7,Raw_Events!$G:$G,"UNHEALTHY_MEAL")</f>
        <v/>
      </c>
      <c r="K7" s="28">
        <f>SUMIFS(Raw_Events!$H:$H,Raw_Events!$C:$C,$A7,Raw_Events!$G:$G,"TRAINING_MIN")+SUMIFS(Raw_Events!$H:$H,Raw_Events!$C:$C,$A7,Raw_Events!$G:$G,"DICTION_TRAINING_MIN")</f>
        <v/>
      </c>
      <c r="L7" s="28" t="n"/>
      <c r="M7" s="16">
        <f>SUMIFS(Raw_Events!$H:$H,Raw_Events!$C:$C,$A7,Raw_Events!$G:$G,"IDEA")</f>
        <v/>
      </c>
      <c r="N7" s="16">
        <f>COUNTIFS(Raw_Events!$C:$C,$A7,Raw_Events!$G:$G,"SOCIAL_MEET")</f>
        <v/>
      </c>
      <c r="O7" s="16">
        <f>COUNTIFS(Raw_Events!$C:$C,$A7,Raw_Events!$G:$G,"DATE")</f>
        <v/>
      </c>
      <c r="P7" s="3">
        <f>COUNTIFS(Raw_Events!$C:$C,$A7,Raw_Events!$G:$G,"NEW_ACTIVITY")</f>
        <v/>
      </c>
      <c r="Q7" s="3">
        <f>SUMIFS(Raw_Events!$H:$H,Raw_Events!$C:$C,$A7,Raw_Events!$G:$G,"TRAVEL_NIGHT")</f>
        <v/>
      </c>
      <c r="R7" s="3" t="n"/>
    </row>
    <row r="8" ht="15" customHeight="1">
      <c r="A8" s="14" t="n">
        <v>46028</v>
      </c>
      <c r="B8" s="27">
        <f>SUMIFS(Raw_Events!$H:$H,Raw_Events!$C:$C,$A8,Raw_Events!$G:$G,"SLEEP_HOURS")</f>
        <v/>
      </c>
      <c r="C8" s="16">
        <f>COUNTIFS(Raw_Events!$C:$C,$A8,Raw_Events!$G:$G,"WORKOUT")</f>
        <v/>
      </c>
      <c r="D8" s="28">
        <f>SUMIFS(Raw_Events!$H:$H,Raw_Events!$C:$C,$A8,Raw_Events!$G:$G,"POSTURE_SESSION")</f>
        <v/>
      </c>
      <c r="E8" s="8">
        <f>IF($D8="","",IF($D8&gt;=Settings!$C$17,1,0))</f>
        <v/>
      </c>
      <c r="F8" s="28">
        <f>SUMIFS(Raw_Events!$H:$H,Raw_Events!$C:$C,$A8,Raw_Events!$G:$G,"MINDFULNESS_MIN")</f>
        <v/>
      </c>
      <c r="G8" s="8">
        <f>IF($F8="","",IF($F8&gt;0,1,0))</f>
        <v/>
      </c>
      <c r="H8" s="16">
        <f>SUMIFS(Raw_Events!$H:$H,Raw_Events!$C:$C,$A8,Raw_Events!$G:$G,"CIGARETTES")</f>
        <v/>
      </c>
      <c r="I8" s="29">
        <f>SUMIFS(Raw_Events!$L:$L,Raw_Events!$C:$C,$A8,Raw_Events!$G:$G,"ALCOHOL")</f>
        <v/>
      </c>
      <c r="J8" s="16">
        <f>SUMIFS(Raw_Events!$H:$H,Raw_Events!$C:$C,$A8,Raw_Events!$G:$G,"UNHEALTHY_MEAL")</f>
        <v/>
      </c>
      <c r="K8" s="28">
        <f>SUMIFS(Raw_Events!$H:$H,Raw_Events!$C:$C,$A8,Raw_Events!$G:$G,"TRAINING_MIN")+SUMIFS(Raw_Events!$H:$H,Raw_Events!$C:$C,$A8,Raw_Events!$G:$G,"DICTION_TRAINING_MIN")</f>
        <v/>
      </c>
      <c r="L8" s="28" t="n"/>
      <c r="M8" s="16">
        <f>SUMIFS(Raw_Events!$H:$H,Raw_Events!$C:$C,$A8,Raw_Events!$G:$G,"IDEA")</f>
        <v/>
      </c>
      <c r="N8" s="16">
        <f>COUNTIFS(Raw_Events!$C:$C,$A8,Raw_Events!$G:$G,"SOCIAL_MEET")</f>
        <v/>
      </c>
      <c r="O8" s="16">
        <f>COUNTIFS(Raw_Events!$C:$C,$A8,Raw_Events!$G:$G,"DATE")</f>
        <v/>
      </c>
      <c r="P8" s="3">
        <f>COUNTIFS(Raw_Events!$C:$C,$A8,Raw_Events!$G:$G,"NEW_ACTIVITY")</f>
        <v/>
      </c>
      <c r="Q8" s="3">
        <f>SUMIFS(Raw_Events!$H:$H,Raw_Events!$C:$C,$A8,Raw_Events!$G:$G,"TRAVEL_NIGHT")</f>
        <v/>
      </c>
      <c r="R8" s="3" t="n"/>
    </row>
    <row r="9" ht="15" customHeight="1">
      <c r="A9" s="14" t="n">
        <v>46029</v>
      </c>
      <c r="B9" s="27">
        <f>SUMIFS(Raw_Events!$H:$H,Raw_Events!$C:$C,$A9,Raw_Events!$G:$G,"SLEEP_HOURS")</f>
        <v/>
      </c>
      <c r="C9" s="16">
        <f>COUNTIFS(Raw_Events!$C:$C,$A9,Raw_Events!$G:$G,"WORKOUT")</f>
        <v/>
      </c>
      <c r="D9" s="28">
        <f>SUMIFS(Raw_Events!$H:$H,Raw_Events!$C:$C,$A9,Raw_Events!$G:$G,"POSTURE_SESSION")</f>
        <v/>
      </c>
      <c r="E9" s="8">
        <f>IF($D9="","",IF($D9&gt;=Settings!$C$17,1,0))</f>
        <v/>
      </c>
      <c r="F9" s="28">
        <f>SUMIFS(Raw_Events!$H:$H,Raw_Events!$C:$C,$A9,Raw_Events!$G:$G,"MINDFULNESS_MIN")</f>
        <v/>
      </c>
      <c r="G9" s="8">
        <f>IF($F9="","",IF($F9&gt;0,1,0))</f>
        <v/>
      </c>
      <c r="H9" s="16">
        <f>SUMIFS(Raw_Events!$H:$H,Raw_Events!$C:$C,$A9,Raw_Events!$G:$G,"CIGARETTES")</f>
        <v/>
      </c>
      <c r="I9" s="29">
        <f>SUMIFS(Raw_Events!$L:$L,Raw_Events!$C:$C,$A9,Raw_Events!$G:$G,"ALCOHOL")</f>
        <v/>
      </c>
      <c r="J9" s="16">
        <f>SUMIFS(Raw_Events!$H:$H,Raw_Events!$C:$C,$A9,Raw_Events!$G:$G,"UNHEALTHY_MEAL")</f>
        <v/>
      </c>
      <c r="K9" s="28">
        <f>SUMIFS(Raw_Events!$H:$H,Raw_Events!$C:$C,$A9,Raw_Events!$G:$G,"TRAINING_MIN")+SUMIFS(Raw_Events!$H:$H,Raw_Events!$C:$C,$A9,Raw_Events!$G:$G,"DICTION_TRAINING_MIN")</f>
        <v/>
      </c>
      <c r="L9" s="28" t="n"/>
      <c r="M9" s="16">
        <f>SUMIFS(Raw_Events!$H:$H,Raw_Events!$C:$C,$A9,Raw_Events!$G:$G,"IDEA")</f>
        <v/>
      </c>
      <c r="N9" s="16">
        <f>COUNTIFS(Raw_Events!$C:$C,$A9,Raw_Events!$G:$G,"SOCIAL_MEET")</f>
        <v/>
      </c>
      <c r="O9" s="16">
        <f>COUNTIFS(Raw_Events!$C:$C,$A9,Raw_Events!$G:$G,"DATE")</f>
        <v/>
      </c>
      <c r="P9" s="3">
        <f>COUNTIFS(Raw_Events!$C:$C,$A9,Raw_Events!$G:$G,"NEW_ACTIVITY")</f>
        <v/>
      </c>
      <c r="Q9" s="3">
        <f>SUMIFS(Raw_Events!$H:$H,Raw_Events!$C:$C,$A9,Raw_Events!$G:$G,"TRAVEL_NIGHT")</f>
        <v/>
      </c>
      <c r="R9" s="3" t="n"/>
    </row>
    <row r="10" ht="15" customHeight="1">
      <c r="A10" s="14" t="n">
        <v>46030</v>
      </c>
      <c r="B10" s="27">
        <f>SUMIFS(Raw_Events!$H:$H,Raw_Events!$C:$C,$A10,Raw_Events!$G:$G,"SLEEP_HOURS")</f>
        <v/>
      </c>
      <c r="C10" s="16">
        <f>COUNTIFS(Raw_Events!$C:$C,$A10,Raw_Events!$G:$G,"WORKOUT")</f>
        <v/>
      </c>
      <c r="D10" s="28">
        <f>SUMIFS(Raw_Events!$H:$H,Raw_Events!$C:$C,$A10,Raw_Events!$G:$G,"POSTURE_SESSION")</f>
        <v/>
      </c>
      <c r="E10" s="8">
        <f>IF($D10="","",IF($D10&gt;=Settings!$C$17,1,0))</f>
        <v/>
      </c>
      <c r="F10" s="28">
        <f>SUMIFS(Raw_Events!$H:$H,Raw_Events!$C:$C,$A10,Raw_Events!$G:$G,"MINDFULNESS_MIN")</f>
        <v/>
      </c>
      <c r="G10" s="8">
        <f>IF($F10="","",IF($F10&gt;0,1,0))</f>
        <v/>
      </c>
      <c r="H10" s="16">
        <f>SUMIFS(Raw_Events!$H:$H,Raw_Events!$C:$C,$A10,Raw_Events!$G:$G,"CIGARETTES")</f>
        <v/>
      </c>
      <c r="I10" s="29">
        <f>SUMIFS(Raw_Events!$L:$L,Raw_Events!$C:$C,$A10,Raw_Events!$G:$G,"ALCOHOL")</f>
        <v/>
      </c>
      <c r="J10" s="16">
        <f>SUMIFS(Raw_Events!$H:$H,Raw_Events!$C:$C,$A10,Raw_Events!$G:$G,"UNHEALTHY_MEAL")</f>
        <v/>
      </c>
      <c r="K10" s="28">
        <f>SUMIFS(Raw_Events!$H:$H,Raw_Events!$C:$C,$A10,Raw_Events!$G:$G,"TRAINING_MIN")+SUMIFS(Raw_Events!$H:$H,Raw_Events!$C:$C,$A10,Raw_Events!$G:$G,"DICTION_TRAINING_MIN")</f>
        <v/>
      </c>
      <c r="L10" s="28" t="n"/>
      <c r="M10" s="16">
        <f>SUMIFS(Raw_Events!$H:$H,Raw_Events!$C:$C,$A10,Raw_Events!$G:$G,"IDEA")</f>
        <v/>
      </c>
      <c r="N10" s="16">
        <f>COUNTIFS(Raw_Events!$C:$C,$A10,Raw_Events!$G:$G,"SOCIAL_MEET")</f>
        <v/>
      </c>
      <c r="O10" s="16">
        <f>COUNTIFS(Raw_Events!$C:$C,$A10,Raw_Events!$G:$G,"DATE")</f>
        <v/>
      </c>
      <c r="P10" s="3">
        <f>COUNTIFS(Raw_Events!$C:$C,$A10,Raw_Events!$G:$G,"NEW_ACTIVITY")</f>
        <v/>
      </c>
      <c r="Q10" s="3">
        <f>SUMIFS(Raw_Events!$H:$H,Raw_Events!$C:$C,$A10,Raw_Events!$G:$G,"TRAVEL_NIGHT")</f>
        <v/>
      </c>
      <c r="R10" s="3" t="n"/>
    </row>
    <row r="11" ht="15" customHeight="1">
      <c r="A11" s="14" t="n">
        <v>46031</v>
      </c>
      <c r="B11" s="27">
        <f>SUMIFS(Raw_Events!$H:$H,Raw_Events!$C:$C,$A11,Raw_Events!$G:$G,"SLEEP_HOURS")</f>
        <v/>
      </c>
      <c r="C11" s="16">
        <f>COUNTIFS(Raw_Events!$C:$C,$A11,Raw_Events!$G:$G,"WORKOUT")</f>
        <v/>
      </c>
      <c r="D11" s="28">
        <f>SUMIFS(Raw_Events!$H:$H,Raw_Events!$C:$C,$A11,Raw_Events!$G:$G,"POSTURE_SESSION")</f>
        <v/>
      </c>
      <c r="E11" s="8">
        <f>IF($D11="","",IF($D11&gt;=Settings!$C$17,1,0))</f>
        <v/>
      </c>
      <c r="F11" s="28">
        <f>SUMIFS(Raw_Events!$H:$H,Raw_Events!$C:$C,$A11,Raw_Events!$G:$G,"MINDFULNESS_MIN")</f>
        <v/>
      </c>
      <c r="G11" s="8">
        <f>IF($F11="","",IF($F11&gt;0,1,0))</f>
        <v/>
      </c>
      <c r="H11" s="16">
        <f>SUMIFS(Raw_Events!$H:$H,Raw_Events!$C:$C,$A11,Raw_Events!$G:$G,"CIGARETTES")</f>
        <v/>
      </c>
      <c r="I11" s="29">
        <f>SUMIFS(Raw_Events!$L:$L,Raw_Events!$C:$C,$A11,Raw_Events!$G:$G,"ALCOHOL")</f>
        <v/>
      </c>
      <c r="J11" s="16">
        <f>SUMIFS(Raw_Events!$H:$H,Raw_Events!$C:$C,$A11,Raw_Events!$G:$G,"UNHEALTHY_MEAL")</f>
        <v/>
      </c>
      <c r="K11" s="28">
        <f>SUMIFS(Raw_Events!$H:$H,Raw_Events!$C:$C,$A11,Raw_Events!$G:$G,"TRAINING_MIN")+SUMIFS(Raw_Events!$H:$H,Raw_Events!$C:$C,$A11,Raw_Events!$G:$G,"DICTION_TRAINING_MIN")</f>
        <v/>
      </c>
      <c r="L11" s="28" t="n"/>
      <c r="M11" s="16">
        <f>SUMIFS(Raw_Events!$H:$H,Raw_Events!$C:$C,$A11,Raw_Events!$G:$G,"IDEA")</f>
        <v/>
      </c>
      <c r="N11" s="16">
        <f>COUNTIFS(Raw_Events!$C:$C,$A11,Raw_Events!$G:$G,"SOCIAL_MEET")</f>
        <v/>
      </c>
      <c r="O11" s="16">
        <f>COUNTIFS(Raw_Events!$C:$C,$A11,Raw_Events!$G:$G,"DATE")</f>
        <v/>
      </c>
      <c r="P11" s="3">
        <f>COUNTIFS(Raw_Events!$C:$C,$A11,Raw_Events!$G:$G,"NEW_ACTIVITY")</f>
        <v/>
      </c>
      <c r="Q11" s="3">
        <f>SUMIFS(Raw_Events!$H:$H,Raw_Events!$C:$C,$A11,Raw_Events!$G:$G,"TRAVEL_NIGHT")</f>
        <v/>
      </c>
      <c r="R11" s="3" t="n"/>
    </row>
    <row r="12" ht="15" customHeight="1">
      <c r="A12" s="14" t="n">
        <v>46032</v>
      </c>
      <c r="B12" s="27">
        <f>SUMIFS(Raw_Events!$H:$H,Raw_Events!$C:$C,$A12,Raw_Events!$G:$G,"SLEEP_HOURS")</f>
        <v/>
      </c>
      <c r="C12" s="16">
        <f>COUNTIFS(Raw_Events!$C:$C,$A12,Raw_Events!$G:$G,"WORKOUT")</f>
        <v/>
      </c>
      <c r="D12" s="28">
        <f>SUMIFS(Raw_Events!$H:$H,Raw_Events!$C:$C,$A12,Raw_Events!$G:$G,"POSTURE_SESSION")</f>
        <v/>
      </c>
      <c r="E12" s="8">
        <f>IF($D12="","",IF($D12&gt;=Settings!$C$17,1,0))</f>
        <v/>
      </c>
      <c r="F12" s="28">
        <f>SUMIFS(Raw_Events!$H:$H,Raw_Events!$C:$C,$A12,Raw_Events!$G:$G,"MINDFULNESS_MIN")</f>
        <v/>
      </c>
      <c r="G12" s="8">
        <f>IF($F12="","",IF($F12&gt;0,1,0))</f>
        <v/>
      </c>
      <c r="H12" s="16">
        <f>SUMIFS(Raw_Events!$H:$H,Raw_Events!$C:$C,$A12,Raw_Events!$G:$G,"CIGARETTES")</f>
        <v/>
      </c>
      <c r="I12" s="29">
        <f>SUMIFS(Raw_Events!$L:$L,Raw_Events!$C:$C,$A12,Raw_Events!$G:$G,"ALCOHOL")</f>
        <v/>
      </c>
      <c r="J12" s="16">
        <f>SUMIFS(Raw_Events!$H:$H,Raw_Events!$C:$C,$A12,Raw_Events!$G:$G,"UNHEALTHY_MEAL")</f>
        <v/>
      </c>
      <c r="K12" s="28">
        <f>SUMIFS(Raw_Events!$H:$H,Raw_Events!$C:$C,$A12,Raw_Events!$G:$G,"TRAINING_MIN")+SUMIFS(Raw_Events!$H:$H,Raw_Events!$C:$C,$A12,Raw_Events!$G:$G,"DICTION_TRAINING_MIN")</f>
        <v/>
      </c>
      <c r="L12" s="28" t="n"/>
      <c r="M12" s="16">
        <f>SUMIFS(Raw_Events!$H:$H,Raw_Events!$C:$C,$A12,Raw_Events!$G:$G,"IDEA")</f>
        <v/>
      </c>
      <c r="N12" s="16">
        <f>COUNTIFS(Raw_Events!$C:$C,$A12,Raw_Events!$G:$G,"SOCIAL_MEET")</f>
        <v/>
      </c>
      <c r="O12" s="16">
        <f>COUNTIFS(Raw_Events!$C:$C,$A12,Raw_Events!$G:$G,"DATE")</f>
        <v/>
      </c>
      <c r="P12" s="3">
        <f>COUNTIFS(Raw_Events!$C:$C,$A12,Raw_Events!$G:$G,"NEW_ACTIVITY")</f>
        <v/>
      </c>
      <c r="Q12" s="3">
        <f>SUMIFS(Raw_Events!$H:$H,Raw_Events!$C:$C,$A12,Raw_Events!$G:$G,"TRAVEL_NIGHT")</f>
        <v/>
      </c>
      <c r="R12" s="3" t="n"/>
    </row>
    <row r="13" ht="15" customHeight="1">
      <c r="A13" s="14" t="n">
        <v>46033</v>
      </c>
      <c r="B13" s="27">
        <f>SUMIFS(Raw_Events!$H:$H,Raw_Events!$C:$C,$A13,Raw_Events!$G:$G,"SLEEP_HOURS")</f>
        <v/>
      </c>
      <c r="C13" s="16">
        <f>COUNTIFS(Raw_Events!$C:$C,$A13,Raw_Events!$G:$G,"WORKOUT")</f>
        <v/>
      </c>
      <c r="D13" s="28">
        <f>SUMIFS(Raw_Events!$H:$H,Raw_Events!$C:$C,$A13,Raw_Events!$G:$G,"POSTURE_SESSION")</f>
        <v/>
      </c>
      <c r="E13" s="8">
        <f>IF($D13="","",IF($D13&gt;=Settings!$C$17,1,0))</f>
        <v/>
      </c>
      <c r="F13" s="28">
        <f>SUMIFS(Raw_Events!$H:$H,Raw_Events!$C:$C,$A13,Raw_Events!$G:$G,"MINDFULNESS_MIN")</f>
        <v/>
      </c>
      <c r="G13" s="8">
        <f>IF($F13="","",IF($F13&gt;0,1,0))</f>
        <v/>
      </c>
      <c r="H13" s="16">
        <f>SUMIFS(Raw_Events!$H:$H,Raw_Events!$C:$C,$A13,Raw_Events!$G:$G,"CIGARETTES")</f>
        <v/>
      </c>
      <c r="I13" s="29">
        <f>SUMIFS(Raw_Events!$L:$L,Raw_Events!$C:$C,$A13,Raw_Events!$G:$G,"ALCOHOL")</f>
        <v/>
      </c>
      <c r="J13" s="16">
        <f>SUMIFS(Raw_Events!$H:$H,Raw_Events!$C:$C,$A13,Raw_Events!$G:$G,"UNHEALTHY_MEAL")</f>
        <v/>
      </c>
      <c r="K13" s="28">
        <f>SUMIFS(Raw_Events!$H:$H,Raw_Events!$C:$C,$A13,Raw_Events!$G:$G,"TRAINING_MIN")+SUMIFS(Raw_Events!$H:$H,Raw_Events!$C:$C,$A13,Raw_Events!$G:$G,"DICTION_TRAINING_MIN")</f>
        <v/>
      </c>
      <c r="L13" s="28" t="n"/>
      <c r="M13" s="16">
        <f>SUMIFS(Raw_Events!$H:$H,Raw_Events!$C:$C,$A13,Raw_Events!$G:$G,"IDEA")</f>
        <v/>
      </c>
      <c r="N13" s="16">
        <f>COUNTIFS(Raw_Events!$C:$C,$A13,Raw_Events!$G:$G,"SOCIAL_MEET")</f>
        <v/>
      </c>
      <c r="O13" s="16">
        <f>COUNTIFS(Raw_Events!$C:$C,$A13,Raw_Events!$G:$G,"DATE")</f>
        <v/>
      </c>
      <c r="P13" s="3">
        <f>COUNTIFS(Raw_Events!$C:$C,$A13,Raw_Events!$G:$G,"NEW_ACTIVITY")</f>
        <v/>
      </c>
      <c r="Q13" s="3">
        <f>SUMIFS(Raw_Events!$H:$H,Raw_Events!$C:$C,$A13,Raw_Events!$G:$G,"TRAVEL_NIGHT")</f>
        <v/>
      </c>
      <c r="R13" s="3" t="n"/>
    </row>
    <row r="14" ht="15" customHeight="1">
      <c r="A14" s="14" t="n">
        <v>46034</v>
      </c>
      <c r="B14" s="27">
        <f>SUMIFS(Raw_Events!$H:$H,Raw_Events!$C:$C,$A14,Raw_Events!$G:$G,"SLEEP_HOURS")</f>
        <v/>
      </c>
      <c r="C14" s="16">
        <f>COUNTIFS(Raw_Events!$C:$C,$A14,Raw_Events!$G:$G,"WORKOUT")</f>
        <v/>
      </c>
      <c r="D14" s="28">
        <f>SUMIFS(Raw_Events!$H:$H,Raw_Events!$C:$C,$A14,Raw_Events!$G:$G,"POSTURE_SESSION")</f>
        <v/>
      </c>
      <c r="E14" s="8">
        <f>IF($D14="","",IF($D14&gt;=Settings!$C$17,1,0))</f>
        <v/>
      </c>
      <c r="F14" s="28">
        <f>SUMIFS(Raw_Events!$H:$H,Raw_Events!$C:$C,$A14,Raw_Events!$G:$G,"MINDFULNESS_MIN")</f>
        <v/>
      </c>
      <c r="G14" s="8">
        <f>IF($F14="","",IF($F14&gt;0,1,0))</f>
        <v/>
      </c>
      <c r="H14" s="16">
        <f>SUMIFS(Raw_Events!$H:$H,Raw_Events!$C:$C,$A14,Raw_Events!$G:$G,"CIGARETTES")</f>
        <v/>
      </c>
      <c r="I14" s="29">
        <f>SUMIFS(Raw_Events!$L:$L,Raw_Events!$C:$C,$A14,Raw_Events!$G:$G,"ALCOHOL")</f>
        <v/>
      </c>
      <c r="J14" s="16">
        <f>SUMIFS(Raw_Events!$H:$H,Raw_Events!$C:$C,$A14,Raw_Events!$G:$G,"UNHEALTHY_MEAL")</f>
        <v/>
      </c>
      <c r="K14" s="28">
        <f>SUMIFS(Raw_Events!$H:$H,Raw_Events!$C:$C,$A14,Raw_Events!$G:$G,"TRAINING_MIN")+SUMIFS(Raw_Events!$H:$H,Raw_Events!$C:$C,$A14,Raw_Events!$G:$G,"DICTION_TRAINING_MIN")</f>
        <v/>
      </c>
      <c r="L14" s="28" t="n"/>
      <c r="M14" s="16">
        <f>SUMIFS(Raw_Events!$H:$H,Raw_Events!$C:$C,$A14,Raw_Events!$G:$G,"IDEA")</f>
        <v/>
      </c>
      <c r="N14" s="16">
        <f>COUNTIFS(Raw_Events!$C:$C,$A14,Raw_Events!$G:$G,"SOCIAL_MEET")</f>
        <v/>
      </c>
      <c r="O14" s="16">
        <f>COUNTIFS(Raw_Events!$C:$C,$A14,Raw_Events!$G:$G,"DATE")</f>
        <v/>
      </c>
      <c r="P14" s="3">
        <f>COUNTIFS(Raw_Events!$C:$C,$A14,Raw_Events!$G:$G,"NEW_ACTIVITY")</f>
        <v/>
      </c>
      <c r="Q14" s="3">
        <f>SUMIFS(Raw_Events!$H:$H,Raw_Events!$C:$C,$A14,Raw_Events!$G:$G,"TRAVEL_NIGHT")</f>
        <v/>
      </c>
      <c r="R14" s="3" t="n"/>
    </row>
    <row r="15" ht="15" customHeight="1">
      <c r="A15" s="14" t="n">
        <v>46035</v>
      </c>
      <c r="B15" s="27">
        <f>SUMIFS(Raw_Events!$H:$H,Raw_Events!$C:$C,$A15,Raw_Events!$G:$G,"SLEEP_HOURS")</f>
        <v/>
      </c>
      <c r="C15" s="16">
        <f>COUNTIFS(Raw_Events!$C:$C,$A15,Raw_Events!$G:$G,"WORKOUT")</f>
        <v/>
      </c>
      <c r="D15" s="28">
        <f>SUMIFS(Raw_Events!$H:$H,Raw_Events!$C:$C,$A15,Raw_Events!$G:$G,"POSTURE_SESSION")</f>
        <v/>
      </c>
      <c r="E15" s="8">
        <f>IF($D15="","",IF($D15&gt;=Settings!$C$17,1,0))</f>
        <v/>
      </c>
      <c r="F15" s="28">
        <f>SUMIFS(Raw_Events!$H:$H,Raw_Events!$C:$C,$A15,Raw_Events!$G:$G,"MINDFULNESS_MIN")</f>
        <v/>
      </c>
      <c r="G15" s="8">
        <f>IF($F15="","",IF($F15&gt;0,1,0))</f>
        <v/>
      </c>
      <c r="H15" s="16">
        <f>SUMIFS(Raw_Events!$H:$H,Raw_Events!$C:$C,$A15,Raw_Events!$G:$G,"CIGARETTES")</f>
        <v/>
      </c>
      <c r="I15" s="29">
        <f>SUMIFS(Raw_Events!$L:$L,Raw_Events!$C:$C,$A15,Raw_Events!$G:$G,"ALCOHOL")</f>
        <v/>
      </c>
      <c r="J15" s="16">
        <f>SUMIFS(Raw_Events!$H:$H,Raw_Events!$C:$C,$A15,Raw_Events!$G:$G,"UNHEALTHY_MEAL")</f>
        <v/>
      </c>
      <c r="K15" s="28">
        <f>SUMIFS(Raw_Events!$H:$H,Raw_Events!$C:$C,$A15,Raw_Events!$G:$G,"TRAINING_MIN")+SUMIFS(Raw_Events!$H:$H,Raw_Events!$C:$C,$A15,Raw_Events!$G:$G,"DICTION_TRAINING_MIN")</f>
        <v/>
      </c>
      <c r="L15" s="28" t="n"/>
      <c r="M15" s="16">
        <f>SUMIFS(Raw_Events!$H:$H,Raw_Events!$C:$C,$A15,Raw_Events!$G:$G,"IDEA")</f>
        <v/>
      </c>
      <c r="N15" s="16">
        <f>COUNTIFS(Raw_Events!$C:$C,$A15,Raw_Events!$G:$G,"SOCIAL_MEET")</f>
        <v/>
      </c>
      <c r="O15" s="16">
        <f>COUNTIFS(Raw_Events!$C:$C,$A15,Raw_Events!$G:$G,"DATE")</f>
        <v/>
      </c>
      <c r="P15" s="3">
        <f>COUNTIFS(Raw_Events!$C:$C,$A15,Raw_Events!$G:$G,"NEW_ACTIVITY")</f>
        <v/>
      </c>
      <c r="Q15" s="3">
        <f>SUMIFS(Raw_Events!$H:$H,Raw_Events!$C:$C,$A15,Raw_Events!$G:$G,"TRAVEL_NIGHT")</f>
        <v/>
      </c>
      <c r="R15" s="3" t="n"/>
    </row>
    <row r="16" ht="15" customHeight="1">
      <c r="A16" s="14" t="n">
        <v>46036</v>
      </c>
      <c r="B16" s="27">
        <f>SUMIFS(Raw_Events!$H:$H,Raw_Events!$C:$C,$A16,Raw_Events!$G:$G,"SLEEP_HOURS")</f>
        <v/>
      </c>
      <c r="C16" s="16">
        <f>COUNTIFS(Raw_Events!$C:$C,$A16,Raw_Events!$G:$G,"WORKOUT")</f>
        <v/>
      </c>
      <c r="D16" s="28">
        <f>SUMIFS(Raw_Events!$H:$H,Raw_Events!$C:$C,$A16,Raw_Events!$G:$G,"POSTURE_SESSION")</f>
        <v/>
      </c>
      <c r="E16" s="8">
        <f>IF($D16="","",IF($D16&gt;=Settings!$C$17,1,0))</f>
        <v/>
      </c>
      <c r="F16" s="28">
        <f>SUMIFS(Raw_Events!$H:$H,Raw_Events!$C:$C,$A16,Raw_Events!$G:$G,"MINDFULNESS_MIN")</f>
        <v/>
      </c>
      <c r="G16" s="8">
        <f>IF($F16="","",IF($F16&gt;0,1,0))</f>
        <v/>
      </c>
      <c r="H16" s="16">
        <f>SUMIFS(Raw_Events!$H:$H,Raw_Events!$C:$C,$A16,Raw_Events!$G:$G,"CIGARETTES")</f>
        <v/>
      </c>
      <c r="I16" s="29">
        <f>SUMIFS(Raw_Events!$L:$L,Raw_Events!$C:$C,$A16,Raw_Events!$G:$G,"ALCOHOL")</f>
        <v/>
      </c>
      <c r="J16" s="16">
        <f>SUMIFS(Raw_Events!$H:$H,Raw_Events!$C:$C,$A16,Raw_Events!$G:$G,"UNHEALTHY_MEAL")</f>
        <v/>
      </c>
      <c r="K16" s="28">
        <f>SUMIFS(Raw_Events!$H:$H,Raw_Events!$C:$C,$A16,Raw_Events!$G:$G,"TRAINING_MIN")+SUMIFS(Raw_Events!$H:$H,Raw_Events!$C:$C,$A16,Raw_Events!$G:$G,"DICTION_TRAINING_MIN")</f>
        <v/>
      </c>
      <c r="L16" s="28" t="n"/>
      <c r="M16" s="16">
        <f>SUMIFS(Raw_Events!$H:$H,Raw_Events!$C:$C,$A16,Raw_Events!$G:$G,"IDEA")</f>
        <v/>
      </c>
      <c r="N16" s="16">
        <f>COUNTIFS(Raw_Events!$C:$C,$A16,Raw_Events!$G:$G,"SOCIAL_MEET")</f>
        <v/>
      </c>
      <c r="O16" s="16">
        <f>COUNTIFS(Raw_Events!$C:$C,$A16,Raw_Events!$G:$G,"DATE")</f>
        <v/>
      </c>
      <c r="P16" s="3">
        <f>COUNTIFS(Raw_Events!$C:$C,$A16,Raw_Events!$G:$G,"NEW_ACTIVITY")</f>
        <v/>
      </c>
      <c r="Q16" s="3">
        <f>SUMIFS(Raw_Events!$H:$H,Raw_Events!$C:$C,$A16,Raw_Events!$G:$G,"TRAVEL_NIGHT")</f>
        <v/>
      </c>
      <c r="R16" s="3" t="n"/>
    </row>
    <row r="17" ht="15" customHeight="1">
      <c r="A17" s="14" t="n">
        <v>46037</v>
      </c>
      <c r="B17" s="27">
        <f>SUMIFS(Raw_Events!$H:$H,Raw_Events!$C:$C,$A17,Raw_Events!$G:$G,"SLEEP_HOURS")</f>
        <v/>
      </c>
      <c r="C17" s="16">
        <f>COUNTIFS(Raw_Events!$C:$C,$A17,Raw_Events!$G:$G,"WORKOUT")</f>
        <v/>
      </c>
      <c r="D17" s="28">
        <f>SUMIFS(Raw_Events!$H:$H,Raw_Events!$C:$C,$A17,Raw_Events!$G:$G,"POSTURE_SESSION")</f>
        <v/>
      </c>
      <c r="E17" s="8">
        <f>IF($D17="","",IF($D17&gt;=Settings!$C$17,1,0))</f>
        <v/>
      </c>
      <c r="F17" s="28">
        <f>SUMIFS(Raw_Events!$H:$H,Raw_Events!$C:$C,$A17,Raw_Events!$G:$G,"MINDFULNESS_MIN")</f>
        <v/>
      </c>
      <c r="G17" s="8">
        <f>IF($F17="","",IF($F17&gt;0,1,0))</f>
        <v/>
      </c>
      <c r="H17" s="16">
        <f>SUMIFS(Raw_Events!$H:$H,Raw_Events!$C:$C,$A17,Raw_Events!$G:$G,"CIGARETTES")</f>
        <v/>
      </c>
      <c r="I17" s="29">
        <f>SUMIFS(Raw_Events!$L:$L,Raw_Events!$C:$C,$A17,Raw_Events!$G:$G,"ALCOHOL")</f>
        <v/>
      </c>
      <c r="J17" s="16">
        <f>SUMIFS(Raw_Events!$H:$H,Raw_Events!$C:$C,$A17,Raw_Events!$G:$G,"UNHEALTHY_MEAL")</f>
        <v/>
      </c>
      <c r="K17" s="28">
        <f>SUMIFS(Raw_Events!$H:$H,Raw_Events!$C:$C,$A17,Raw_Events!$G:$G,"TRAINING_MIN")+SUMIFS(Raw_Events!$H:$H,Raw_Events!$C:$C,$A17,Raw_Events!$G:$G,"DICTION_TRAINING_MIN")</f>
        <v/>
      </c>
      <c r="L17" s="28" t="n"/>
      <c r="M17" s="16">
        <f>SUMIFS(Raw_Events!$H:$H,Raw_Events!$C:$C,$A17,Raw_Events!$G:$G,"IDEA")</f>
        <v/>
      </c>
      <c r="N17" s="16">
        <f>COUNTIFS(Raw_Events!$C:$C,$A17,Raw_Events!$G:$G,"SOCIAL_MEET")</f>
        <v/>
      </c>
      <c r="O17" s="16">
        <f>COUNTIFS(Raw_Events!$C:$C,$A17,Raw_Events!$G:$G,"DATE")</f>
        <v/>
      </c>
      <c r="P17" s="3">
        <f>COUNTIFS(Raw_Events!$C:$C,$A17,Raw_Events!$G:$G,"NEW_ACTIVITY")</f>
        <v/>
      </c>
      <c r="Q17" s="3">
        <f>SUMIFS(Raw_Events!$H:$H,Raw_Events!$C:$C,$A17,Raw_Events!$G:$G,"TRAVEL_NIGHT")</f>
        <v/>
      </c>
      <c r="R17" s="3" t="n"/>
    </row>
    <row r="18" ht="15" customHeight="1">
      <c r="A18" s="14" t="n">
        <v>46038</v>
      </c>
      <c r="B18" s="27">
        <f>SUMIFS(Raw_Events!$H:$H,Raw_Events!$C:$C,$A18,Raw_Events!$G:$G,"SLEEP_HOURS")</f>
        <v/>
      </c>
      <c r="C18" s="16">
        <f>COUNTIFS(Raw_Events!$C:$C,$A18,Raw_Events!$G:$G,"WORKOUT")</f>
        <v/>
      </c>
      <c r="D18" s="28">
        <f>SUMIFS(Raw_Events!$H:$H,Raw_Events!$C:$C,$A18,Raw_Events!$G:$G,"POSTURE_SESSION")</f>
        <v/>
      </c>
      <c r="E18" s="8">
        <f>IF($D18="","",IF($D18&gt;=Settings!$C$17,1,0))</f>
        <v/>
      </c>
      <c r="F18" s="28">
        <f>SUMIFS(Raw_Events!$H:$H,Raw_Events!$C:$C,$A18,Raw_Events!$G:$G,"MINDFULNESS_MIN")</f>
        <v/>
      </c>
      <c r="G18" s="8">
        <f>IF($F18="","",IF($F18&gt;0,1,0))</f>
        <v/>
      </c>
      <c r="H18" s="16">
        <f>SUMIFS(Raw_Events!$H:$H,Raw_Events!$C:$C,$A18,Raw_Events!$G:$G,"CIGARETTES")</f>
        <v/>
      </c>
      <c r="I18" s="29">
        <f>SUMIFS(Raw_Events!$L:$L,Raw_Events!$C:$C,$A18,Raw_Events!$G:$G,"ALCOHOL")</f>
        <v/>
      </c>
      <c r="J18" s="16">
        <f>SUMIFS(Raw_Events!$H:$H,Raw_Events!$C:$C,$A18,Raw_Events!$G:$G,"UNHEALTHY_MEAL")</f>
        <v/>
      </c>
      <c r="K18" s="28">
        <f>SUMIFS(Raw_Events!$H:$H,Raw_Events!$C:$C,$A18,Raw_Events!$G:$G,"TRAINING_MIN")+SUMIFS(Raw_Events!$H:$H,Raw_Events!$C:$C,$A18,Raw_Events!$G:$G,"DICTION_TRAINING_MIN")</f>
        <v/>
      </c>
      <c r="L18" s="28" t="n"/>
      <c r="M18" s="16">
        <f>SUMIFS(Raw_Events!$H:$H,Raw_Events!$C:$C,$A18,Raw_Events!$G:$G,"IDEA")</f>
        <v/>
      </c>
      <c r="N18" s="16">
        <f>COUNTIFS(Raw_Events!$C:$C,$A18,Raw_Events!$G:$G,"SOCIAL_MEET")</f>
        <v/>
      </c>
      <c r="O18" s="16">
        <f>COUNTIFS(Raw_Events!$C:$C,$A18,Raw_Events!$G:$G,"DATE")</f>
        <v/>
      </c>
      <c r="P18" s="3">
        <f>COUNTIFS(Raw_Events!$C:$C,$A18,Raw_Events!$G:$G,"NEW_ACTIVITY")</f>
        <v/>
      </c>
      <c r="Q18" s="3">
        <f>SUMIFS(Raw_Events!$H:$H,Raw_Events!$C:$C,$A18,Raw_Events!$G:$G,"TRAVEL_NIGHT")</f>
        <v/>
      </c>
      <c r="R18" s="3" t="n"/>
    </row>
    <row r="19" ht="15" customHeight="1">
      <c r="A19" s="14" t="n">
        <v>46039</v>
      </c>
      <c r="B19" s="27">
        <f>SUMIFS(Raw_Events!$H:$H,Raw_Events!$C:$C,$A19,Raw_Events!$G:$G,"SLEEP_HOURS")</f>
        <v/>
      </c>
      <c r="C19" s="16">
        <f>COUNTIFS(Raw_Events!$C:$C,$A19,Raw_Events!$G:$G,"WORKOUT")</f>
        <v/>
      </c>
      <c r="D19" s="28">
        <f>SUMIFS(Raw_Events!$H:$H,Raw_Events!$C:$C,$A19,Raw_Events!$G:$G,"POSTURE_SESSION")</f>
        <v/>
      </c>
      <c r="E19" s="8">
        <f>IF($D19="","",IF($D19&gt;=Settings!$C$17,1,0))</f>
        <v/>
      </c>
      <c r="F19" s="28">
        <f>SUMIFS(Raw_Events!$H:$H,Raw_Events!$C:$C,$A19,Raw_Events!$G:$G,"MINDFULNESS_MIN")</f>
        <v/>
      </c>
      <c r="G19" s="8">
        <f>IF($F19="","",IF($F19&gt;0,1,0))</f>
        <v/>
      </c>
      <c r="H19" s="16">
        <f>SUMIFS(Raw_Events!$H:$H,Raw_Events!$C:$C,$A19,Raw_Events!$G:$G,"CIGARETTES")</f>
        <v/>
      </c>
      <c r="I19" s="29">
        <f>SUMIFS(Raw_Events!$L:$L,Raw_Events!$C:$C,$A19,Raw_Events!$G:$G,"ALCOHOL")</f>
        <v/>
      </c>
      <c r="J19" s="16">
        <f>SUMIFS(Raw_Events!$H:$H,Raw_Events!$C:$C,$A19,Raw_Events!$G:$G,"UNHEALTHY_MEAL")</f>
        <v/>
      </c>
      <c r="K19" s="28">
        <f>SUMIFS(Raw_Events!$H:$H,Raw_Events!$C:$C,$A19,Raw_Events!$G:$G,"TRAINING_MIN")+SUMIFS(Raw_Events!$H:$H,Raw_Events!$C:$C,$A19,Raw_Events!$G:$G,"DICTION_TRAINING_MIN")</f>
        <v/>
      </c>
      <c r="L19" s="28" t="n"/>
      <c r="M19" s="16">
        <f>SUMIFS(Raw_Events!$H:$H,Raw_Events!$C:$C,$A19,Raw_Events!$G:$G,"IDEA")</f>
        <v/>
      </c>
      <c r="N19" s="16">
        <f>COUNTIFS(Raw_Events!$C:$C,$A19,Raw_Events!$G:$G,"SOCIAL_MEET")</f>
        <v/>
      </c>
      <c r="O19" s="16">
        <f>COUNTIFS(Raw_Events!$C:$C,$A19,Raw_Events!$G:$G,"DATE")</f>
        <v/>
      </c>
      <c r="P19" s="3">
        <f>COUNTIFS(Raw_Events!$C:$C,$A19,Raw_Events!$G:$G,"NEW_ACTIVITY")</f>
        <v/>
      </c>
      <c r="Q19" s="3">
        <f>SUMIFS(Raw_Events!$H:$H,Raw_Events!$C:$C,$A19,Raw_Events!$G:$G,"TRAVEL_NIGHT")</f>
        <v/>
      </c>
      <c r="R19" s="3" t="n"/>
    </row>
    <row r="20" ht="15" customHeight="1">
      <c r="A20" s="14" t="n">
        <v>46040</v>
      </c>
      <c r="B20" s="27">
        <f>SUMIFS(Raw_Events!$H:$H,Raw_Events!$C:$C,$A20,Raw_Events!$G:$G,"SLEEP_HOURS")</f>
        <v/>
      </c>
      <c r="C20" s="16">
        <f>COUNTIFS(Raw_Events!$C:$C,$A20,Raw_Events!$G:$G,"WORKOUT")</f>
        <v/>
      </c>
      <c r="D20" s="28">
        <f>SUMIFS(Raw_Events!$H:$H,Raw_Events!$C:$C,$A20,Raw_Events!$G:$G,"POSTURE_SESSION")</f>
        <v/>
      </c>
      <c r="E20" s="8">
        <f>IF($D20="","",IF($D20&gt;=Settings!$C$17,1,0))</f>
        <v/>
      </c>
      <c r="F20" s="28">
        <f>SUMIFS(Raw_Events!$H:$H,Raw_Events!$C:$C,$A20,Raw_Events!$G:$G,"MINDFULNESS_MIN")</f>
        <v/>
      </c>
      <c r="G20" s="8">
        <f>IF($F20="","",IF($F20&gt;0,1,0))</f>
        <v/>
      </c>
      <c r="H20" s="16">
        <f>SUMIFS(Raw_Events!$H:$H,Raw_Events!$C:$C,$A20,Raw_Events!$G:$G,"CIGARETTES")</f>
        <v/>
      </c>
      <c r="I20" s="29">
        <f>SUMIFS(Raw_Events!$L:$L,Raw_Events!$C:$C,$A20,Raw_Events!$G:$G,"ALCOHOL")</f>
        <v/>
      </c>
      <c r="J20" s="16">
        <f>SUMIFS(Raw_Events!$H:$H,Raw_Events!$C:$C,$A20,Raw_Events!$G:$G,"UNHEALTHY_MEAL")</f>
        <v/>
      </c>
      <c r="K20" s="28">
        <f>SUMIFS(Raw_Events!$H:$H,Raw_Events!$C:$C,$A20,Raw_Events!$G:$G,"TRAINING_MIN")+SUMIFS(Raw_Events!$H:$H,Raw_Events!$C:$C,$A20,Raw_Events!$G:$G,"DICTION_TRAINING_MIN")</f>
        <v/>
      </c>
      <c r="L20" s="28" t="n"/>
      <c r="M20" s="16">
        <f>SUMIFS(Raw_Events!$H:$H,Raw_Events!$C:$C,$A20,Raw_Events!$G:$G,"IDEA")</f>
        <v/>
      </c>
      <c r="N20" s="16">
        <f>COUNTIFS(Raw_Events!$C:$C,$A20,Raw_Events!$G:$G,"SOCIAL_MEET")</f>
        <v/>
      </c>
      <c r="O20" s="16">
        <f>COUNTIFS(Raw_Events!$C:$C,$A20,Raw_Events!$G:$G,"DATE")</f>
        <v/>
      </c>
      <c r="P20" s="3">
        <f>COUNTIFS(Raw_Events!$C:$C,$A20,Raw_Events!$G:$G,"NEW_ACTIVITY")</f>
        <v/>
      </c>
      <c r="Q20" s="3">
        <f>SUMIFS(Raw_Events!$H:$H,Raw_Events!$C:$C,$A20,Raw_Events!$G:$G,"TRAVEL_NIGHT")</f>
        <v/>
      </c>
      <c r="R20" s="3" t="n"/>
    </row>
    <row r="21" ht="15" customHeight="1">
      <c r="A21" s="14" t="n">
        <v>46041</v>
      </c>
      <c r="B21" s="27">
        <f>SUMIFS(Raw_Events!$H:$H,Raw_Events!$C:$C,$A21,Raw_Events!$G:$G,"SLEEP_HOURS")</f>
        <v/>
      </c>
      <c r="C21" s="16">
        <f>COUNTIFS(Raw_Events!$C:$C,$A21,Raw_Events!$G:$G,"WORKOUT")</f>
        <v/>
      </c>
      <c r="D21" s="28">
        <f>SUMIFS(Raw_Events!$H:$H,Raw_Events!$C:$C,$A21,Raw_Events!$G:$G,"POSTURE_SESSION")</f>
        <v/>
      </c>
      <c r="E21" s="8">
        <f>IF($D21="","",IF($D21&gt;=Settings!$C$17,1,0))</f>
        <v/>
      </c>
      <c r="F21" s="28">
        <f>SUMIFS(Raw_Events!$H:$H,Raw_Events!$C:$C,$A21,Raw_Events!$G:$G,"MINDFULNESS_MIN")</f>
        <v/>
      </c>
      <c r="G21" s="8">
        <f>IF($F21="","",IF($F21&gt;0,1,0))</f>
        <v/>
      </c>
      <c r="H21" s="16">
        <f>SUMIFS(Raw_Events!$H:$H,Raw_Events!$C:$C,$A21,Raw_Events!$G:$G,"CIGARETTES")</f>
        <v/>
      </c>
      <c r="I21" s="29">
        <f>SUMIFS(Raw_Events!$L:$L,Raw_Events!$C:$C,$A21,Raw_Events!$G:$G,"ALCOHOL")</f>
        <v/>
      </c>
      <c r="J21" s="16">
        <f>SUMIFS(Raw_Events!$H:$H,Raw_Events!$C:$C,$A21,Raw_Events!$G:$G,"UNHEALTHY_MEAL")</f>
        <v/>
      </c>
      <c r="K21" s="28">
        <f>SUMIFS(Raw_Events!$H:$H,Raw_Events!$C:$C,$A21,Raw_Events!$G:$G,"TRAINING_MIN")+SUMIFS(Raw_Events!$H:$H,Raw_Events!$C:$C,$A21,Raw_Events!$G:$G,"DICTION_TRAINING_MIN")</f>
        <v/>
      </c>
      <c r="L21" s="28" t="n"/>
      <c r="M21" s="16">
        <f>SUMIFS(Raw_Events!$H:$H,Raw_Events!$C:$C,$A21,Raw_Events!$G:$G,"IDEA")</f>
        <v/>
      </c>
      <c r="N21" s="16">
        <f>COUNTIFS(Raw_Events!$C:$C,$A21,Raw_Events!$G:$G,"SOCIAL_MEET")</f>
        <v/>
      </c>
      <c r="O21" s="16">
        <f>COUNTIFS(Raw_Events!$C:$C,$A21,Raw_Events!$G:$G,"DATE")</f>
        <v/>
      </c>
      <c r="P21" s="3">
        <f>COUNTIFS(Raw_Events!$C:$C,$A21,Raw_Events!$G:$G,"NEW_ACTIVITY")</f>
        <v/>
      </c>
      <c r="Q21" s="3">
        <f>SUMIFS(Raw_Events!$H:$H,Raw_Events!$C:$C,$A21,Raw_Events!$G:$G,"TRAVEL_NIGHT")</f>
        <v/>
      </c>
      <c r="R21" s="3" t="n"/>
    </row>
    <row r="22" ht="15" customHeight="1">
      <c r="A22" s="14" t="n">
        <v>46042</v>
      </c>
      <c r="B22" s="27">
        <f>SUMIFS(Raw_Events!$H:$H,Raw_Events!$C:$C,$A22,Raw_Events!$G:$G,"SLEEP_HOURS")</f>
        <v/>
      </c>
      <c r="C22" s="16">
        <f>COUNTIFS(Raw_Events!$C:$C,$A22,Raw_Events!$G:$G,"WORKOUT")</f>
        <v/>
      </c>
      <c r="D22" s="28">
        <f>SUMIFS(Raw_Events!$H:$H,Raw_Events!$C:$C,$A22,Raw_Events!$G:$G,"POSTURE_SESSION")</f>
        <v/>
      </c>
      <c r="E22" s="8">
        <f>IF($D22="","",IF($D22&gt;=Settings!$C$17,1,0))</f>
        <v/>
      </c>
      <c r="F22" s="28">
        <f>SUMIFS(Raw_Events!$H:$H,Raw_Events!$C:$C,$A22,Raw_Events!$G:$G,"MINDFULNESS_MIN")</f>
        <v/>
      </c>
      <c r="G22" s="8">
        <f>IF($F22="","",IF($F22&gt;0,1,0))</f>
        <v/>
      </c>
      <c r="H22" s="16">
        <f>SUMIFS(Raw_Events!$H:$H,Raw_Events!$C:$C,$A22,Raw_Events!$G:$G,"CIGARETTES")</f>
        <v/>
      </c>
      <c r="I22" s="29">
        <f>SUMIFS(Raw_Events!$L:$L,Raw_Events!$C:$C,$A22,Raw_Events!$G:$G,"ALCOHOL")</f>
        <v/>
      </c>
      <c r="J22" s="16">
        <f>SUMIFS(Raw_Events!$H:$H,Raw_Events!$C:$C,$A22,Raw_Events!$G:$G,"UNHEALTHY_MEAL")</f>
        <v/>
      </c>
      <c r="K22" s="28">
        <f>SUMIFS(Raw_Events!$H:$H,Raw_Events!$C:$C,$A22,Raw_Events!$G:$G,"TRAINING_MIN")+SUMIFS(Raw_Events!$H:$H,Raw_Events!$C:$C,$A22,Raw_Events!$G:$G,"DICTION_TRAINING_MIN")</f>
        <v/>
      </c>
      <c r="L22" s="28" t="n"/>
      <c r="M22" s="16">
        <f>SUMIFS(Raw_Events!$H:$H,Raw_Events!$C:$C,$A22,Raw_Events!$G:$G,"IDEA")</f>
        <v/>
      </c>
      <c r="N22" s="16">
        <f>COUNTIFS(Raw_Events!$C:$C,$A22,Raw_Events!$G:$G,"SOCIAL_MEET")</f>
        <v/>
      </c>
      <c r="O22" s="16">
        <f>COUNTIFS(Raw_Events!$C:$C,$A22,Raw_Events!$G:$G,"DATE")</f>
        <v/>
      </c>
      <c r="P22" s="3">
        <f>COUNTIFS(Raw_Events!$C:$C,$A22,Raw_Events!$G:$G,"NEW_ACTIVITY")</f>
        <v/>
      </c>
      <c r="Q22" s="3">
        <f>SUMIFS(Raw_Events!$H:$H,Raw_Events!$C:$C,$A22,Raw_Events!$G:$G,"TRAVEL_NIGHT")</f>
        <v/>
      </c>
      <c r="R22" s="3" t="n"/>
    </row>
    <row r="23" ht="15" customHeight="1">
      <c r="A23" s="14" t="n">
        <v>46043</v>
      </c>
      <c r="B23" s="27">
        <f>SUMIFS(Raw_Events!$H:$H,Raw_Events!$C:$C,$A23,Raw_Events!$G:$G,"SLEEP_HOURS")</f>
        <v/>
      </c>
      <c r="C23" s="16">
        <f>COUNTIFS(Raw_Events!$C:$C,$A23,Raw_Events!$G:$G,"WORKOUT")</f>
        <v/>
      </c>
      <c r="D23" s="28">
        <f>SUMIFS(Raw_Events!$H:$H,Raw_Events!$C:$C,$A23,Raw_Events!$G:$G,"POSTURE_SESSION")</f>
        <v/>
      </c>
      <c r="E23" s="8">
        <f>IF($D23="","",IF($D23&gt;=Settings!$C$17,1,0))</f>
        <v/>
      </c>
      <c r="F23" s="28">
        <f>SUMIFS(Raw_Events!$H:$H,Raw_Events!$C:$C,$A23,Raw_Events!$G:$G,"MINDFULNESS_MIN")</f>
        <v/>
      </c>
      <c r="G23" s="8">
        <f>IF($F23="","",IF($F23&gt;0,1,0))</f>
        <v/>
      </c>
      <c r="H23" s="16">
        <f>SUMIFS(Raw_Events!$H:$H,Raw_Events!$C:$C,$A23,Raw_Events!$G:$G,"CIGARETTES")</f>
        <v/>
      </c>
      <c r="I23" s="29">
        <f>SUMIFS(Raw_Events!$L:$L,Raw_Events!$C:$C,$A23,Raw_Events!$G:$G,"ALCOHOL")</f>
        <v/>
      </c>
      <c r="J23" s="16">
        <f>SUMIFS(Raw_Events!$H:$H,Raw_Events!$C:$C,$A23,Raw_Events!$G:$G,"UNHEALTHY_MEAL")</f>
        <v/>
      </c>
      <c r="K23" s="28">
        <f>SUMIFS(Raw_Events!$H:$H,Raw_Events!$C:$C,$A23,Raw_Events!$G:$G,"TRAINING_MIN")+SUMIFS(Raw_Events!$H:$H,Raw_Events!$C:$C,$A23,Raw_Events!$G:$G,"DICTION_TRAINING_MIN")</f>
        <v/>
      </c>
      <c r="L23" s="28" t="n"/>
      <c r="M23" s="16">
        <f>SUMIFS(Raw_Events!$H:$H,Raw_Events!$C:$C,$A23,Raw_Events!$G:$G,"IDEA")</f>
        <v/>
      </c>
      <c r="N23" s="16">
        <f>COUNTIFS(Raw_Events!$C:$C,$A23,Raw_Events!$G:$G,"SOCIAL_MEET")</f>
        <v/>
      </c>
      <c r="O23" s="16">
        <f>COUNTIFS(Raw_Events!$C:$C,$A23,Raw_Events!$G:$G,"DATE")</f>
        <v/>
      </c>
      <c r="P23" s="3">
        <f>COUNTIFS(Raw_Events!$C:$C,$A23,Raw_Events!$G:$G,"NEW_ACTIVITY")</f>
        <v/>
      </c>
      <c r="Q23" s="3">
        <f>SUMIFS(Raw_Events!$H:$H,Raw_Events!$C:$C,$A23,Raw_Events!$G:$G,"TRAVEL_NIGHT")</f>
        <v/>
      </c>
      <c r="R23" s="3" t="n"/>
    </row>
    <row r="24" ht="15" customHeight="1">
      <c r="A24" s="14" t="n">
        <v>46044</v>
      </c>
      <c r="B24" s="27">
        <f>SUMIFS(Raw_Events!$H:$H,Raw_Events!$C:$C,$A24,Raw_Events!$G:$G,"SLEEP_HOURS")</f>
        <v/>
      </c>
      <c r="C24" s="16">
        <f>COUNTIFS(Raw_Events!$C:$C,$A24,Raw_Events!$G:$G,"WORKOUT")</f>
        <v/>
      </c>
      <c r="D24" s="28">
        <f>SUMIFS(Raw_Events!$H:$H,Raw_Events!$C:$C,$A24,Raw_Events!$G:$G,"POSTURE_SESSION")</f>
        <v/>
      </c>
      <c r="E24" s="8">
        <f>IF($D24="","",IF($D24&gt;=Settings!$C$17,1,0))</f>
        <v/>
      </c>
      <c r="F24" s="28">
        <f>SUMIFS(Raw_Events!$H:$H,Raw_Events!$C:$C,$A24,Raw_Events!$G:$G,"MINDFULNESS_MIN")</f>
        <v/>
      </c>
      <c r="G24" s="8">
        <f>IF($F24="","",IF($F24&gt;0,1,0))</f>
        <v/>
      </c>
      <c r="H24" s="16">
        <f>SUMIFS(Raw_Events!$H:$H,Raw_Events!$C:$C,$A24,Raw_Events!$G:$G,"CIGARETTES")</f>
        <v/>
      </c>
      <c r="I24" s="29">
        <f>SUMIFS(Raw_Events!$L:$L,Raw_Events!$C:$C,$A24,Raw_Events!$G:$G,"ALCOHOL")</f>
        <v/>
      </c>
      <c r="J24" s="16">
        <f>SUMIFS(Raw_Events!$H:$H,Raw_Events!$C:$C,$A24,Raw_Events!$G:$G,"UNHEALTHY_MEAL")</f>
        <v/>
      </c>
      <c r="K24" s="28">
        <f>SUMIFS(Raw_Events!$H:$H,Raw_Events!$C:$C,$A24,Raw_Events!$G:$G,"TRAINING_MIN")+SUMIFS(Raw_Events!$H:$H,Raw_Events!$C:$C,$A24,Raw_Events!$G:$G,"DICTION_TRAINING_MIN")</f>
        <v/>
      </c>
      <c r="L24" s="28" t="n"/>
      <c r="M24" s="16">
        <f>SUMIFS(Raw_Events!$H:$H,Raw_Events!$C:$C,$A24,Raw_Events!$G:$G,"IDEA")</f>
        <v/>
      </c>
      <c r="N24" s="16">
        <f>COUNTIFS(Raw_Events!$C:$C,$A24,Raw_Events!$G:$G,"SOCIAL_MEET")</f>
        <v/>
      </c>
      <c r="O24" s="16">
        <f>COUNTIFS(Raw_Events!$C:$C,$A24,Raw_Events!$G:$G,"DATE")</f>
        <v/>
      </c>
      <c r="P24" s="3">
        <f>COUNTIFS(Raw_Events!$C:$C,$A24,Raw_Events!$G:$G,"NEW_ACTIVITY")</f>
        <v/>
      </c>
      <c r="Q24" s="3">
        <f>SUMIFS(Raw_Events!$H:$H,Raw_Events!$C:$C,$A24,Raw_Events!$G:$G,"TRAVEL_NIGHT")</f>
        <v/>
      </c>
      <c r="R24" s="3" t="n"/>
    </row>
    <row r="25" ht="15" customHeight="1">
      <c r="A25" s="14" t="n">
        <v>46045</v>
      </c>
      <c r="B25" s="27">
        <f>SUMIFS(Raw_Events!$H:$H,Raw_Events!$C:$C,$A25,Raw_Events!$G:$G,"SLEEP_HOURS")</f>
        <v/>
      </c>
      <c r="C25" s="16">
        <f>COUNTIFS(Raw_Events!$C:$C,$A25,Raw_Events!$G:$G,"WORKOUT")</f>
        <v/>
      </c>
      <c r="D25" s="28">
        <f>SUMIFS(Raw_Events!$H:$H,Raw_Events!$C:$C,$A25,Raw_Events!$G:$G,"POSTURE_SESSION")</f>
        <v/>
      </c>
      <c r="E25" s="8">
        <f>IF($D25="","",IF($D25&gt;=Settings!$C$17,1,0))</f>
        <v/>
      </c>
      <c r="F25" s="28">
        <f>SUMIFS(Raw_Events!$H:$H,Raw_Events!$C:$C,$A25,Raw_Events!$G:$G,"MINDFULNESS_MIN")</f>
        <v/>
      </c>
      <c r="G25" s="8">
        <f>IF($F25="","",IF($F25&gt;0,1,0))</f>
        <v/>
      </c>
      <c r="H25" s="16">
        <f>SUMIFS(Raw_Events!$H:$H,Raw_Events!$C:$C,$A25,Raw_Events!$G:$G,"CIGARETTES")</f>
        <v/>
      </c>
      <c r="I25" s="29">
        <f>SUMIFS(Raw_Events!$L:$L,Raw_Events!$C:$C,$A25,Raw_Events!$G:$G,"ALCOHOL")</f>
        <v/>
      </c>
      <c r="J25" s="16">
        <f>SUMIFS(Raw_Events!$H:$H,Raw_Events!$C:$C,$A25,Raw_Events!$G:$G,"UNHEALTHY_MEAL")</f>
        <v/>
      </c>
      <c r="K25" s="28">
        <f>SUMIFS(Raw_Events!$H:$H,Raw_Events!$C:$C,$A25,Raw_Events!$G:$G,"TRAINING_MIN")+SUMIFS(Raw_Events!$H:$H,Raw_Events!$C:$C,$A25,Raw_Events!$G:$G,"DICTION_TRAINING_MIN")</f>
        <v/>
      </c>
      <c r="L25" s="28" t="n"/>
      <c r="M25" s="16">
        <f>SUMIFS(Raw_Events!$H:$H,Raw_Events!$C:$C,$A25,Raw_Events!$G:$G,"IDEA")</f>
        <v/>
      </c>
      <c r="N25" s="16">
        <f>COUNTIFS(Raw_Events!$C:$C,$A25,Raw_Events!$G:$G,"SOCIAL_MEET")</f>
        <v/>
      </c>
      <c r="O25" s="16">
        <f>COUNTIFS(Raw_Events!$C:$C,$A25,Raw_Events!$G:$G,"DATE")</f>
        <v/>
      </c>
      <c r="P25" s="3">
        <f>COUNTIFS(Raw_Events!$C:$C,$A25,Raw_Events!$G:$G,"NEW_ACTIVITY")</f>
        <v/>
      </c>
      <c r="Q25" s="3">
        <f>SUMIFS(Raw_Events!$H:$H,Raw_Events!$C:$C,$A25,Raw_Events!$G:$G,"TRAVEL_NIGHT")</f>
        <v/>
      </c>
      <c r="R25" s="3" t="n"/>
    </row>
    <row r="26" ht="15" customHeight="1">
      <c r="A26" s="14" t="n">
        <v>46046</v>
      </c>
      <c r="B26" s="27">
        <f>SUMIFS(Raw_Events!$H:$H,Raw_Events!$C:$C,$A26,Raw_Events!$G:$G,"SLEEP_HOURS")</f>
        <v/>
      </c>
      <c r="C26" s="16">
        <f>COUNTIFS(Raw_Events!$C:$C,$A26,Raw_Events!$G:$G,"WORKOUT")</f>
        <v/>
      </c>
      <c r="D26" s="28">
        <f>SUMIFS(Raw_Events!$H:$H,Raw_Events!$C:$C,$A26,Raw_Events!$G:$G,"POSTURE_SESSION")</f>
        <v/>
      </c>
      <c r="E26" s="8">
        <f>IF($D26="","",IF($D26&gt;=Settings!$C$17,1,0))</f>
        <v/>
      </c>
      <c r="F26" s="28">
        <f>SUMIFS(Raw_Events!$H:$H,Raw_Events!$C:$C,$A26,Raw_Events!$G:$G,"MINDFULNESS_MIN")</f>
        <v/>
      </c>
      <c r="G26" s="8">
        <f>IF($F26="","",IF($F26&gt;0,1,0))</f>
        <v/>
      </c>
      <c r="H26" s="16">
        <f>SUMIFS(Raw_Events!$H:$H,Raw_Events!$C:$C,$A26,Raw_Events!$G:$G,"CIGARETTES")</f>
        <v/>
      </c>
      <c r="I26" s="29">
        <f>SUMIFS(Raw_Events!$L:$L,Raw_Events!$C:$C,$A26,Raw_Events!$G:$G,"ALCOHOL")</f>
        <v/>
      </c>
      <c r="J26" s="16">
        <f>SUMIFS(Raw_Events!$H:$H,Raw_Events!$C:$C,$A26,Raw_Events!$G:$G,"UNHEALTHY_MEAL")</f>
        <v/>
      </c>
      <c r="K26" s="28">
        <f>SUMIFS(Raw_Events!$H:$H,Raw_Events!$C:$C,$A26,Raw_Events!$G:$G,"TRAINING_MIN")+SUMIFS(Raw_Events!$H:$H,Raw_Events!$C:$C,$A26,Raw_Events!$G:$G,"DICTION_TRAINING_MIN")</f>
        <v/>
      </c>
      <c r="L26" s="28" t="n"/>
      <c r="M26" s="16">
        <f>SUMIFS(Raw_Events!$H:$H,Raw_Events!$C:$C,$A26,Raw_Events!$G:$G,"IDEA")</f>
        <v/>
      </c>
      <c r="N26" s="16">
        <f>COUNTIFS(Raw_Events!$C:$C,$A26,Raw_Events!$G:$G,"SOCIAL_MEET")</f>
        <v/>
      </c>
      <c r="O26" s="16">
        <f>COUNTIFS(Raw_Events!$C:$C,$A26,Raw_Events!$G:$G,"DATE")</f>
        <v/>
      </c>
      <c r="P26" s="3">
        <f>COUNTIFS(Raw_Events!$C:$C,$A26,Raw_Events!$G:$G,"NEW_ACTIVITY")</f>
        <v/>
      </c>
      <c r="Q26" s="3">
        <f>SUMIFS(Raw_Events!$H:$H,Raw_Events!$C:$C,$A26,Raw_Events!$G:$G,"TRAVEL_NIGHT")</f>
        <v/>
      </c>
      <c r="R26" s="3" t="n"/>
    </row>
    <row r="27" ht="15" customHeight="1">
      <c r="A27" s="14" t="n">
        <v>46047</v>
      </c>
      <c r="B27" s="27">
        <f>SUMIFS(Raw_Events!$H:$H,Raw_Events!$C:$C,$A27,Raw_Events!$G:$G,"SLEEP_HOURS")</f>
        <v/>
      </c>
      <c r="C27" s="16">
        <f>COUNTIFS(Raw_Events!$C:$C,$A27,Raw_Events!$G:$G,"WORKOUT")</f>
        <v/>
      </c>
      <c r="D27" s="28">
        <f>SUMIFS(Raw_Events!$H:$H,Raw_Events!$C:$C,$A27,Raw_Events!$G:$G,"POSTURE_SESSION")</f>
        <v/>
      </c>
      <c r="E27" s="8">
        <f>IF($D27="","",IF($D27&gt;=Settings!$C$17,1,0))</f>
        <v/>
      </c>
      <c r="F27" s="28">
        <f>SUMIFS(Raw_Events!$H:$H,Raw_Events!$C:$C,$A27,Raw_Events!$G:$G,"MINDFULNESS_MIN")</f>
        <v/>
      </c>
      <c r="G27" s="8">
        <f>IF($F27="","",IF($F27&gt;0,1,0))</f>
        <v/>
      </c>
      <c r="H27" s="16">
        <f>SUMIFS(Raw_Events!$H:$H,Raw_Events!$C:$C,$A27,Raw_Events!$G:$G,"CIGARETTES")</f>
        <v/>
      </c>
      <c r="I27" s="29">
        <f>SUMIFS(Raw_Events!$L:$L,Raw_Events!$C:$C,$A27,Raw_Events!$G:$G,"ALCOHOL")</f>
        <v/>
      </c>
      <c r="J27" s="16">
        <f>SUMIFS(Raw_Events!$H:$H,Raw_Events!$C:$C,$A27,Raw_Events!$G:$G,"UNHEALTHY_MEAL")</f>
        <v/>
      </c>
      <c r="K27" s="28">
        <f>SUMIFS(Raw_Events!$H:$H,Raw_Events!$C:$C,$A27,Raw_Events!$G:$G,"TRAINING_MIN")+SUMIFS(Raw_Events!$H:$H,Raw_Events!$C:$C,$A27,Raw_Events!$G:$G,"DICTION_TRAINING_MIN")</f>
        <v/>
      </c>
      <c r="L27" s="28" t="n"/>
      <c r="M27" s="16">
        <f>SUMIFS(Raw_Events!$H:$H,Raw_Events!$C:$C,$A27,Raw_Events!$G:$G,"IDEA")</f>
        <v/>
      </c>
      <c r="N27" s="16">
        <f>COUNTIFS(Raw_Events!$C:$C,$A27,Raw_Events!$G:$G,"SOCIAL_MEET")</f>
        <v/>
      </c>
      <c r="O27" s="16">
        <f>COUNTIFS(Raw_Events!$C:$C,$A27,Raw_Events!$G:$G,"DATE")</f>
        <v/>
      </c>
      <c r="P27" s="3">
        <f>COUNTIFS(Raw_Events!$C:$C,$A27,Raw_Events!$G:$G,"NEW_ACTIVITY")</f>
        <v/>
      </c>
      <c r="Q27" s="3">
        <f>SUMIFS(Raw_Events!$H:$H,Raw_Events!$C:$C,$A27,Raw_Events!$G:$G,"TRAVEL_NIGHT")</f>
        <v/>
      </c>
      <c r="R27" s="3" t="n"/>
    </row>
    <row r="28" ht="15" customHeight="1">
      <c r="A28" s="14" t="n">
        <v>46048</v>
      </c>
      <c r="B28" s="27">
        <f>SUMIFS(Raw_Events!$H:$H,Raw_Events!$C:$C,$A28,Raw_Events!$G:$G,"SLEEP_HOURS")</f>
        <v/>
      </c>
      <c r="C28" s="16">
        <f>COUNTIFS(Raw_Events!$C:$C,$A28,Raw_Events!$G:$G,"WORKOUT")</f>
        <v/>
      </c>
      <c r="D28" s="28">
        <f>SUMIFS(Raw_Events!$H:$H,Raw_Events!$C:$C,$A28,Raw_Events!$G:$G,"POSTURE_SESSION")</f>
        <v/>
      </c>
      <c r="E28" s="8">
        <f>IF($D28="","",IF($D28&gt;=Settings!$C$17,1,0))</f>
        <v/>
      </c>
      <c r="F28" s="28">
        <f>SUMIFS(Raw_Events!$H:$H,Raw_Events!$C:$C,$A28,Raw_Events!$G:$G,"MINDFULNESS_MIN")</f>
        <v/>
      </c>
      <c r="G28" s="8">
        <f>IF($F28="","",IF($F28&gt;0,1,0))</f>
        <v/>
      </c>
      <c r="H28" s="16">
        <f>SUMIFS(Raw_Events!$H:$H,Raw_Events!$C:$C,$A28,Raw_Events!$G:$G,"CIGARETTES")</f>
        <v/>
      </c>
      <c r="I28" s="29">
        <f>SUMIFS(Raw_Events!$L:$L,Raw_Events!$C:$C,$A28,Raw_Events!$G:$G,"ALCOHOL")</f>
        <v/>
      </c>
      <c r="J28" s="16">
        <f>SUMIFS(Raw_Events!$H:$H,Raw_Events!$C:$C,$A28,Raw_Events!$G:$G,"UNHEALTHY_MEAL")</f>
        <v/>
      </c>
      <c r="K28" s="28">
        <f>SUMIFS(Raw_Events!$H:$H,Raw_Events!$C:$C,$A28,Raw_Events!$G:$G,"TRAINING_MIN")+SUMIFS(Raw_Events!$H:$H,Raw_Events!$C:$C,$A28,Raw_Events!$G:$G,"DICTION_TRAINING_MIN")</f>
        <v/>
      </c>
      <c r="L28" s="28" t="n"/>
      <c r="M28" s="16">
        <f>SUMIFS(Raw_Events!$H:$H,Raw_Events!$C:$C,$A28,Raw_Events!$G:$G,"IDEA")</f>
        <v/>
      </c>
      <c r="N28" s="16">
        <f>COUNTIFS(Raw_Events!$C:$C,$A28,Raw_Events!$G:$G,"SOCIAL_MEET")</f>
        <v/>
      </c>
      <c r="O28" s="16">
        <f>COUNTIFS(Raw_Events!$C:$C,$A28,Raw_Events!$G:$G,"DATE")</f>
        <v/>
      </c>
      <c r="P28" s="3">
        <f>COUNTIFS(Raw_Events!$C:$C,$A28,Raw_Events!$G:$G,"NEW_ACTIVITY")</f>
        <v/>
      </c>
      <c r="Q28" s="3">
        <f>SUMIFS(Raw_Events!$H:$H,Raw_Events!$C:$C,$A28,Raw_Events!$G:$G,"TRAVEL_NIGHT")</f>
        <v/>
      </c>
      <c r="R28" s="3" t="n"/>
    </row>
    <row r="29" ht="15" customHeight="1">
      <c r="A29" s="14" t="n">
        <v>46049</v>
      </c>
      <c r="B29" s="27">
        <f>SUMIFS(Raw_Events!$H:$H,Raw_Events!$C:$C,$A29,Raw_Events!$G:$G,"SLEEP_HOURS")</f>
        <v/>
      </c>
      <c r="C29" s="16">
        <f>COUNTIFS(Raw_Events!$C:$C,$A29,Raw_Events!$G:$G,"WORKOUT")</f>
        <v/>
      </c>
      <c r="D29" s="28">
        <f>SUMIFS(Raw_Events!$H:$H,Raw_Events!$C:$C,$A29,Raw_Events!$G:$G,"POSTURE_SESSION")</f>
        <v/>
      </c>
      <c r="E29" s="8">
        <f>IF($D29="","",IF($D29&gt;=Settings!$C$17,1,0))</f>
        <v/>
      </c>
      <c r="F29" s="28">
        <f>SUMIFS(Raw_Events!$H:$H,Raw_Events!$C:$C,$A29,Raw_Events!$G:$G,"MINDFULNESS_MIN")</f>
        <v/>
      </c>
      <c r="G29" s="8">
        <f>IF($F29="","",IF($F29&gt;0,1,0))</f>
        <v/>
      </c>
      <c r="H29" s="16">
        <f>SUMIFS(Raw_Events!$H:$H,Raw_Events!$C:$C,$A29,Raw_Events!$G:$G,"CIGARETTES")</f>
        <v/>
      </c>
      <c r="I29" s="29">
        <f>SUMIFS(Raw_Events!$L:$L,Raw_Events!$C:$C,$A29,Raw_Events!$G:$G,"ALCOHOL")</f>
        <v/>
      </c>
      <c r="J29" s="16">
        <f>SUMIFS(Raw_Events!$H:$H,Raw_Events!$C:$C,$A29,Raw_Events!$G:$G,"UNHEALTHY_MEAL")</f>
        <v/>
      </c>
      <c r="K29" s="28">
        <f>SUMIFS(Raw_Events!$H:$H,Raw_Events!$C:$C,$A29,Raw_Events!$G:$G,"TRAINING_MIN")+SUMIFS(Raw_Events!$H:$H,Raw_Events!$C:$C,$A29,Raw_Events!$G:$G,"DICTION_TRAINING_MIN")</f>
        <v/>
      </c>
      <c r="L29" s="28" t="n"/>
      <c r="M29" s="16">
        <f>SUMIFS(Raw_Events!$H:$H,Raw_Events!$C:$C,$A29,Raw_Events!$G:$G,"IDEA")</f>
        <v/>
      </c>
      <c r="N29" s="16">
        <f>COUNTIFS(Raw_Events!$C:$C,$A29,Raw_Events!$G:$G,"SOCIAL_MEET")</f>
        <v/>
      </c>
      <c r="O29" s="16">
        <f>COUNTIFS(Raw_Events!$C:$C,$A29,Raw_Events!$G:$G,"DATE")</f>
        <v/>
      </c>
      <c r="P29" s="3">
        <f>COUNTIFS(Raw_Events!$C:$C,$A29,Raw_Events!$G:$G,"NEW_ACTIVITY")</f>
        <v/>
      </c>
      <c r="Q29" s="3">
        <f>SUMIFS(Raw_Events!$H:$H,Raw_Events!$C:$C,$A29,Raw_Events!$G:$G,"TRAVEL_NIGHT")</f>
        <v/>
      </c>
      <c r="R29" s="3" t="n"/>
    </row>
    <row r="30" ht="15" customHeight="1">
      <c r="A30" s="14" t="n">
        <v>46050</v>
      </c>
      <c r="B30" s="27">
        <f>SUMIFS(Raw_Events!$H:$H,Raw_Events!$C:$C,$A30,Raw_Events!$G:$G,"SLEEP_HOURS")</f>
        <v/>
      </c>
      <c r="C30" s="16">
        <f>COUNTIFS(Raw_Events!$C:$C,$A30,Raw_Events!$G:$G,"WORKOUT")</f>
        <v/>
      </c>
      <c r="D30" s="28">
        <f>SUMIFS(Raw_Events!$H:$H,Raw_Events!$C:$C,$A30,Raw_Events!$G:$G,"POSTURE_SESSION")</f>
        <v/>
      </c>
      <c r="E30" s="8">
        <f>IF($D30="","",IF($D30&gt;=Settings!$C$17,1,0))</f>
        <v/>
      </c>
      <c r="F30" s="28">
        <f>SUMIFS(Raw_Events!$H:$H,Raw_Events!$C:$C,$A30,Raw_Events!$G:$G,"MINDFULNESS_MIN")</f>
        <v/>
      </c>
      <c r="G30" s="8">
        <f>IF($F30="","",IF($F30&gt;0,1,0))</f>
        <v/>
      </c>
      <c r="H30" s="16">
        <f>SUMIFS(Raw_Events!$H:$H,Raw_Events!$C:$C,$A30,Raw_Events!$G:$G,"CIGARETTES")</f>
        <v/>
      </c>
      <c r="I30" s="29">
        <f>SUMIFS(Raw_Events!$L:$L,Raw_Events!$C:$C,$A30,Raw_Events!$G:$G,"ALCOHOL")</f>
        <v/>
      </c>
      <c r="J30" s="16">
        <f>SUMIFS(Raw_Events!$H:$H,Raw_Events!$C:$C,$A30,Raw_Events!$G:$G,"UNHEALTHY_MEAL")</f>
        <v/>
      </c>
      <c r="K30" s="28">
        <f>SUMIFS(Raw_Events!$H:$H,Raw_Events!$C:$C,$A30,Raw_Events!$G:$G,"TRAINING_MIN")+SUMIFS(Raw_Events!$H:$H,Raw_Events!$C:$C,$A30,Raw_Events!$G:$G,"DICTION_TRAINING_MIN")</f>
        <v/>
      </c>
      <c r="L30" s="28" t="n"/>
      <c r="M30" s="16">
        <f>SUMIFS(Raw_Events!$H:$H,Raw_Events!$C:$C,$A30,Raw_Events!$G:$G,"IDEA")</f>
        <v/>
      </c>
      <c r="N30" s="16">
        <f>COUNTIFS(Raw_Events!$C:$C,$A30,Raw_Events!$G:$G,"SOCIAL_MEET")</f>
        <v/>
      </c>
      <c r="O30" s="16">
        <f>COUNTIFS(Raw_Events!$C:$C,$A30,Raw_Events!$G:$G,"DATE")</f>
        <v/>
      </c>
      <c r="P30" s="3">
        <f>COUNTIFS(Raw_Events!$C:$C,$A30,Raw_Events!$G:$G,"NEW_ACTIVITY")</f>
        <v/>
      </c>
      <c r="Q30" s="3">
        <f>SUMIFS(Raw_Events!$H:$H,Raw_Events!$C:$C,$A30,Raw_Events!$G:$G,"TRAVEL_NIGHT")</f>
        <v/>
      </c>
      <c r="R30" s="3" t="n"/>
    </row>
    <row r="31" ht="15" customHeight="1">
      <c r="A31" s="14" t="n">
        <v>46051</v>
      </c>
      <c r="B31" s="27">
        <f>SUMIFS(Raw_Events!$H:$H,Raw_Events!$C:$C,$A31,Raw_Events!$G:$G,"SLEEP_HOURS")</f>
        <v/>
      </c>
      <c r="C31" s="16">
        <f>COUNTIFS(Raw_Events!$C:$C,$A31,Raw_Events!$G:$G,"WORKOUT")</f>
        <v/>
      </c>
      <c r="D31" s="28">
        <f>SUMIFS(Raw_Events!$H:$H,Raw_Events!$C:$C,$A31,Raw_Events!$G:$G,"POSTURE_SESSION")</f>
        <v/>
      </c>
      <c r="E31" s="8">
        <f>IF($D31="","",IF($D31&gt;=Settings!$C$17,1,0))</f>
        <v/>
      </c>
      <c r="F31" s="28">
        <f>SUMIFS(Raw_Events!$H:$H,Raw_Events!$C:$C,$A31,Raw_Events!$G:$G,"MINDFULNESS_MIN")</f>
        <v/>
      </c>
      <c r="G31" s="8">
        <f>IF($F31="","",IF($F31&gt;0,1,0))</f>
        <v/>
      </c>
      <c r="H31" s="16">
        <f>SUMIFS(Raw_Events!$H:$H,Raw_Events!$C:$C,$A31,Raw_Events!$G:$G,"CIGARETTES")</f>
        <v/>
      </c>
      <c r="I31" s="29">
        <f>SUMIFS(Raw_Events!$L:$L,Raw_Events!$C:$C,$A31,Raw_Events!$G:$G,"ALCOHOL")</f>
        <v/>
      </c>
      <c r="J31" s="16">
        <f>SUMIFS(Raw_Events!$H:$H,Raw_Events!$C:$C,$A31,Raw_Events!$G:$G,"UNHEALTHY_MEAL")</f>
        <v/>
      </c>
      <c r="K31" s="28">
        <f>SUMIFS(Raw_Events!$H:$H,Raw_Events!$C:$C,$A31,Raw_Events!$G:$G,"TRAINING_MIN")+SUMIFS(Raw_Events!$H:$H,Raw_Events!$C:$C,$A31,Raw_Events!$G:$G,"DICTION_TRAINING_MIN")</f>
        <v/>
      </c>
      <c r="L31" s="28" t="n"/>
      <c r="M31" s="16">
        <f>SUMIFS(Raw_Events!$H:$H,Raw_Events!$C:$C,$A31,Raw_Events!$G:$G,"IDEA")</f>
        <v/>
      </c>
      <c r="N31" s="16">
        <f>COUNTIFS(Raw_Events!$C:$C,$A31,Raw_Events!$G:$G,"SOCIAL_MEET")</f>
        <v/>
      </c>
      <c r="O31" s="16">
        <f>COUNTIFS(Raw_Events!$C:$C,$A31,Raw_Events!$G:$G,"DATE")</f>
        <v/>
      </c>
      <c r="P31" s="3">
        <f>COUNTIFS(Raw_Events!$C:$C,$A31,Raw_Events!$G:$G,"NEW_ACTIVITY")</f>
        <v/>
      </c>
      <c r="Q31" s="3">
        <f>SUMIFS(Raw_Events!$H:$H,Raw_Events!$C:$C,$A31,Raw_Events!$G:$G,"TRAVEL_NIGHT")</f>
        <v/>
      </c>
      <c r="R31" s="3" t="n"/>
    </row>
    <row r="32" ht="15" customHeight="1">
      <c r="A32" s="14" t="n">
        <v>46052</v>
      </c>
      <c r="B32" s="27">
        <f>SUMIFS(Raw_Events!$H:$H,Raw_Events!$C:$C,$A32,Raw_Events!$G:$G,"SLEEP_HOURS")</f>
        <v/>
      </c>
      <c r="C32" s="16">
        <f>COUNTIFS(Raw_Events!$C:$C,$A32,Raw_Events!$G:$G,"WORKOUT")</f>
        <v/>
      </c>
      <c r="D32" s="28">
        <f>SUMIFS(Raw_Events!$H:$H,Raw_Events!$C:$C,$A32,Raw_Events!$G:$G,"POSTURE_SESSION")</f>
        <v/>
      </c>
      <c r="E32" s="8">
        <f>IF($D32="","",IF($D32&gt;=Settings!$C$17,1,0))</f>
        <v/>
      </c>
      <c r="F32" s="28">
        <f>SUMIFS(Raw_Events!$H:$H,Raw_Events!$C:$C,$A32,Raw_Events!$G:$G,"MINDFULNESS_MIN")</f>
        <v/>
      </c>
      <c r="G32" s="8">
        <f>IF($F32="","",IF($F32&gt;0,1,0))</f>
        <v/>
      </c>
      <c r="H32" s="16">
        <f>SUMIFS(Raw_Events!$H:$H,Raw_Events!$C:$C,$A32,Raw_Events!$G:$G,"CIGARETTES")</f>
        <v/>
      </c>
      <c r="I32" s="29">
        <f>SUMIFS(Raw_Events!$L:$L,Raw_Events!$C:$C,$A32,Raw_Events!$G:$G,"ALCOHOL")</f>
        <v/>
      </c>
      <c r="J32" s="16">
        <f>SUMIFS(Raw_Events!$H:$H,Raw_Events!$C:$C,$A32,Raw_Events!$G:$G,"UNHEALTHY_MEAL")</f>
        <v/>
      </c>
      <c r="K32" s="28">
        <f>SUMIFS(Raw_Events!$H:$H,Raw_Events!$C:$C,$A32,Raw_Events!$G:$G,"TRAINING_MIN")+SUMIFS(Raw_Events!$H:$H,Raw_Events!$C:$C,$A32,Raw_Events!$G:$G,"DICTION_TRAINING_MIN")</f>
        <v/>
      </c>
      <c r="L32" s="28" t="n"/>
      <c r="M32" s="16">
        <f>SUMIFS(Raw_Events!$H:$H,Raw_Events!$C:$C,$A32,Raw_Events!$G:$G,"IDEA")</f>
        <v/>
      </c>
      <c r="N32" s="16">
        <f>COUNTIFS(Raw_Events!$C:$C,$A32,Raw_Events!$G:$G,"SOCIAL_MEET")</f>
        <v/>
      </c>
      <c r="O32" s="16">
        <f>COUNTIFS(Raw_Events!$C:$C,$A32,Raw_Events!$G:$G,"DATE")</f>
        <v/>
      </c>
      <c r="P32" s="3">
        <f>COUNTIFS(Raw_Events!$C:$C,$A32,Raw_Events!$G:$G,"NEW_ACTIVITY")</f>
        <v/>
      </c>
      <c r="Q32" s="3">
        <f>SUMIFS(Raw_Events!$H:$H,Raw_Events!$C:$C,$A32,Raw_Events!$G:$G,"TRAVEL_NIGHT")</f>
        <v/>
      </c>
      <c r="R32" s="3" t="n"/>
    </row>
    <row r="33" ht="15" customHeight="1">
      <c r="A33" s="14" t="n">
        <v>46053</v>
      </c>
      <c r="B33" s="27">
        <f>SUMIFS(Raw_Events!$H:$H,Raw_Events!$C:$C,$A33,Raw_Events!$G:$G,"SLEEP_HOURS")</f>
        <v/>
      </c>
      <c r="C33" s="16">
        <f>COUNTIFS(Raw_Events!$C:$C,$A33,Raw_Events!$G:$G,"WORKOUT")</f>
        <v/>
      </c>
      <c r="D33" s="28">
        <f>SUMIFS(Raw_Events!$H:$H,Raw_Events!$C:$C,$A33,Raw_Events!$G:$G,"POSTURE_SESSION")</f>
        <v/>
      </c>
      <c r="E33" s="8">
        <f>IF($D33="","",IF($D33&gt;=Settings!$C$17,1,0))</f>
        <v/>
      </c>
      <c r="F33" s="28">
        <f>SUMIFS(Raw_Events!$H:$H,Raw_Events!$C:$C,$A33,Raw_Events!$G:$G,"MINDFULNESS_MIN")</f>
        <v/>
      </c>
      <c r="G33" s="8">
        <f>IF($F33="","",IF($F33&gt;0,1,0))</f>
        <v/>
      </c>
      <c r="H33" s="16">
        <f>SUMIFS(Raw_Events!$H:$H,Raw_Events!$C:$C,$A33,Raw_Events!$G:$G,"CIGARETTES")</f>
        <v/>
      </c>
      <c r="I33" s="29">
        <f>SUMIFS(Raw_Events!$L:$L,Raw_Events!$C:$C,$A33,Raw_Events!$G:$G,"ALCOHOL")</f>
        <v/>
      </c>
      <c r="J33" s="16">
        <f>SUMIFS(Raw_Events!$H:$H,Raw_Events!$C:$C,$A33,Raw_Events!$G:$G,"UNHEALTHY_MEAL")</f>
        <v/>
      </c>
      <c r="K33" s="28">
        <f>SUMIFS(Raw_Events!$H:$H,Raw_Events!$C:$C,$A33,Raw_Events!$G:$G,"TRAINING_MIN")+SUMIFS(Raw_Events!$H:$H,Raw_Events!$C:$C,$A33,Raw_Events!$G:$G,"DICTION_TRAINING_MIN")</f>
        <v/>
      </c>
      <c r="L33" s="28" t="n"/>
      <c r="M33" s="16">
        <f>SUMIFS(Raw_Events!$H:$H,Raw_Events!$C:$C,$A33,Raw_Events!$G:$G,"IDEA")</f>
        <v/>
      </c>
      <c r="N33" s="16">
        <f>COUNTIFS(Raw_Events!$C:$C,$A33,Raw_Events!$G:$G,"SOCIAL_MEET")</f>
        <v/>
      </c>
      <c r="O33" s="16">
        <f>COUNTIFS(Raw_Events!$C:$C,$A33,Raw_Events!$G:$G,"DATE")</f>
        <v/>
      </c>
      <c r="P33" s="3">
        <f>COUNTIFS(Raw_Events!$C:$C,$A33,Raw_Events!$G:$G,"NEW_ACTIVITY")</f>
        <v/>
      </c>
      <c r="Q33" s="3">
        <f>SUMIFS(Raw_Events!$H:$H,Raw_Events!$C:$C,$A33,Raw_Events!$G:$G,"TRAVEL_NIGHT")</f>
        <v/>
      </c>
      <c r="R33" s="3" t="n"/>
    </row>
    <row r="34" ht="15" customHeight="1">
      <c r="A34" s="14" t="n">
        <v>46054</v>
      </c>
      <c r="B34" s="27">
        <f>SUMIFS(Raw_Events!$H:$H,Raw_Events!$C:$C,$A34,Raw_Events!$G:$G,"SLEEP_HOURS")</f>
        <v/>
      </c>
      <c r="C34" s="16">
        <f>COUNTIFS(Raw_Events!$C:$C,$A34,Raw_Events!$G:$G,"WORKOUT")</f>
        <v/>
      </c>
      <c r="D34" s="28">
        <f>SUMIFS(Raw_Events!$H:$H,Raw_Events!$C:$C,$A34,Raw_Events!$G:$G,"POSTURE_SESSION")</f>
        <v/>
      </c>
      <c r="E34" s="8">
        <f>IF($D34="","",IF($D34&gt;=Settings!$C$17,1,0))</f>
        <v/>
      </c>
      <c r="F34" s="28">
        <f>SUMIFS(Raw_Events!$H:$H,Raw_Events!$C:$C,$A34,Raw_Events!$G:$G,"MINDFULNESS_MIN")</f>
        <v/>
      </c>
      <c r="G34" s="8">
        <f>IF($F34="","",IF($F34&gt;0,1,0))</f>
        <v/>
      </c>
      <c r="H34" s="16">
        <f>SUMIFS(Raw_Events!$H:$H,Raw_Events!$C:$C,$A34,Raw_Events!$G:$G,"CIGARETTES")</f>
        <v/>
      </c>
      <c r="I34" s="29">
        <f>SUMIFS(Raw_Events!$L:$L,Raw_Events!$C:$C,$A34,Raw_Events!$G:$G,"ALCOHOL")</f>
        <v/>
      </c>
      <c r="J34" s="16">
        <f>SUMIFS(Raw_Events!$H:$H,Raw_Events!$C:$C,$A34,Raw_Events!$G:$G,"UNHEALTHY_MEAL")</f>
        <v/>
      </c>
      <c r="K34" s="28">
        <f>SUMIFS(Raw_Events!$H:$H,Raw_Events!$C:$C,$A34,Raw_Events!$G:$G,"TRAINING_MIN")+SUMIFS(Raw_Events!$H:$H,Raw_Events!$C:$C,$A34,Raw_Events!$G:$G,"DICTION_TRAINING_MIN")</f>
        <v/>
      </c>
      <c r="L34" s="28" t="n"/>
      <c r="M34" s="16">
        <f>SUMIFS(Raw_Events!$H:$H,Raw_Events!$C:$C,$A34,Raw_Events!$G:$G,"IDEA")</f>
        <v/>
      </c>
      <c r="N34" s="16">
        <f>COUNTIFS(Raw_Events!$C:$C,$A34,Raw_Events!$G:$G,"SOCIAL_MEET")</f>
        <v/>
      </c>
      <c r="O34" s="16">
        <f>COUNTIFS(Raw_Events!$C:$C,$A34,Raw_Events!$G:$G,"DATE")</f>
        <v/>
      </c>
      <c r="P34" s="3">
        <f>COUNTIFS(Raw_Events!$C:$C,$A34,Raw_Events!$G:$G,"NEW_ACTIVITY")</f>
        <v/>
      </c>
      <c r="Q34" s="3">
        <f>SUMIFS(Raw_Events!$H:$H,Raw_Events!$C:$C,$A34,Raw_Events!$G:$G,"TRAVEL_NIGHT")</f>
        <v/>
      </c>
      <c r="R34" s="3" t="n"/>
    </row>
    <row r="35" ht="15" customHeight="1">
      <c r="A35" s="14" t="n">
        <v>46055</v>
      </c>
      <c r="B35" s="27">
        <f>SUMIFS(Raw_Events!$H:$H,Raw_Events!$C:$C,$A35,Raw_Events!$G:$G,"SLEEP_HOURS")</f>
        <v/>
      </c>
      <c r="C35" s="16">
        <f>COUNTIFS(Raw_Events!$C:$C,$A35,Raw_Events!$G:$G,"WORKOUT")</f>
        <v/>
      </c>
      <c r="D35" s="28">
        <f>SUMIFS(Raw_Events!$H:$H,Raw_Events!$C:$C,$A35,Raw_Events!$G:$G,"POSTURE_SESSION")</f>
        <v/>
      </c>
      <c r="E35" s="8">
        <f>IF($D35="","",IF($D35&gt;=Settings!$C$17,1,0))</f>
        <v/>
      </c>
      <c r="F35" s="28">
        <f>SUMIFS(Raw_Events!$H:$H,Raw_Events!$C:$C,$A35,Raw_Events!$G:$G,"MINDFULNESS_MIN")</f>
        <v/>
      </c>
      <c r="G35" s="8">
        <f>IF($F35="","",IF($F35&gt;0,1,0))</f>
        <v/>
      </c>
      <c r="H35" s="16">
        <f>SUMIFS(Raw_Events!$H:$H,Raw_Events!$C:$C,$A35,Raw_Events!$G:$G,"CIGARETTES")</f>
        <v/>
      </c>
      <c r="I35" s="29">
        <f>SUMIFS(Raw_Events!$L:$L,Raw_Events!$C:$C,$A35,Raw_Events!$G:$G,"ALCOHOL")</f>
        <v/>
      </c>
      <c r="J35" s="16">
        <f>SUMIFS(Raw_Events!$H:$H,Raw_Events!$C:$C,$A35,Raw_Events!$G:$G,"UNHEALTHY_MEAL")</f>
        <v/>
      </c>
      <c r="K35" s="28">
        <f>SUMIFS(Raw_Events!$H:$H,Raw_Events!$C:$C,$A35,Raw_Events!$G:$G,"TRAINING_MIN")+SUMIFS(Raw_Events!$H:$H,Raw_Events!$C:$C,$A35,Raw_Events!$G:$G,"DICTION_TRAINING_MIN")</f>
        <v/>
      </c>
      <c r="L35" s="28" t="n"/>
      <c r="M35" s="16">
        <f>SUMIFS(Raw_Events!$H:$H,Raw_Events!$C:$C,$A35,Raw_Events!$G:$G,"IDEA")</f>
        <v/>
      </c>
      <c r="N35" s="16">
        <f>COUNTIFS(Raw_Events!$C:$C,$A35,Raw_Events!$G:$G,"SOCIAL_MEET")</f>
        <v/>
      </c>
      <c r="O35" s="16">
        <f>COUNTIFS(Raw_Events!$C:$C,$A35,Raw_Events!$G:$G,"DATE")</f>
        <v/>
      </c>
      <c r="P35" s="3">
        <f>COUNTIFS(Raw_Events!$C:$C,$A35,Raw_Events!$G:$G,"NEW_ACTIVITY")</f>
        <v/>
      </c>
      <c r="Q35" s="3">
        <f>SUMIFS(Raw_Events!$H:$H,Raw_Events!$C:$C,$A35,Raw_Events!$G:$G,"TRAVEL_NIGHT")</f>
        <v/>
      </c>
      <c r="R35" s="3" t="n"/>
    </row>
    <row r="36" ht="15" customHeight="1">
      <c r="A36" s="14" t="n">
        <v>46056</v>
      </c>
      <c r="B36" s="27">
        <f>SUMIFS(Raw_Events!$H:$H,Raw_Events!$C:$C,$A36,Raw_Events!$G:$G,"SLEEP_HOURS")</f>
        <v/>
      </c>
      <c r="C36" s="16">
        <f>COUNTIFS(Raw_Events!$C:$C,$A36,Raw_Events!$G:$G,"WORKOUT")</f>
        <v/>
      </c>
      <c r="D36" s="28">
        <f>SUMIFS(Raw_Events!$H:$H,Raw_Events!$C:$C,$A36,Raw_Events!$G:$G,"POSTURE_SESSION")</f>
        <v/>
      </c>
      <c r="E36" s="8">
        <f>IF($D36="","",IF($D36&gt;=Settings!$C$17,1,0))</f>
        <v/>
      </c>
      <c r="F36" s="28">
        <f>SUMIFS(Raw_Events!$H:$H,Raw_Events!$C:$C,$A36,Raw_Events!$G:$G,"MINDFULNESS_MIN")</f>
        <v/>
      </c>
      <c r="G36" s="8">
        <f>IF($F36="","",IF($F36&gt;0,1,0))</f>
        <v/>
      </c>
      <c r="H36" s="16">
        <f>SUMIFS(Raw_Events!$H:$H,Raw_Events!$C:$C,$A36,Raw_Events!$G:$G,"CIGARETTES")</f>
        <v/>
      </c>
      <c r="I36" s="29">
        <f>SUMIFS(Raw_Events!$L:$L,Raw_Events!$C:$C,$A36,Raw_Events!$G:$G,"ALCOHOL")</f>
        <v/>
      </c>
      <c r="J36" s="16">
        <f>SUMIFS(Raw_Events!$H:$H,Raw_Events!$C:$C,$A36,Raw_Events!$G:$G,"UNHEALTHY_MEAL")</f>
        <v/>
      </c>
      <c r="K36" s="28">
        <f>SUMIFS(Raw_Events!$H:$H,Raw_Events!$C:$C,$A36,Raw_Events!$G:$G,"TRAINING_MIN")+SUMIFS(Raw_Events!$H:$H,Raw_Events!$C:$C,$A36,Raw_Events!$G:$G,"DICTION_TRAINING_MIN")</f>
        <v/>
      </c>
      <c r="L36" s="28" t="n"/>
      <c r="M36" s="16">
        <f>SUMIFS(Raw_Events!$H:$H,Raw_Events!$C:$C,$A36,Raw_Events!$G:$G,"IDEA")</f>
        <v/>
      </c>
      <c r="N36" s="16">
        <f>COUNTIFS(Raw_Events!$C:$C,$A36,Raw_Events!$G:$G,"SOCIAL_MEET")</f>
        <v/>
      </c>
      <c r="O36" s="16">
        <f>COUNTIFS(Raw_Events!$C:$C,$A36,Raw_Events!$G:$G,"DATE")</f>
        <v/>
      </c>
      <c r="P36" s="3">
        <f>COUNTIFS(Raw_Events!$C:$C,$A36,Raw_Events!$G:$G,"NEW_ACTIVITY")</f>
        <v/>
      </c>
      <c r="Q36" s="3">
        <f>SUMIFS(Raw_Events!$H:$H,Raw_Events!$C:$C,$A36,Raw_Events!$G:$G,"TRAVEL_NIGHT")</f>
        <v/>
      </c>
      <c r="R36" s="3" t="n"/>
    </row>
    <row r="37" ht="15" customHeight="1">
      <c r="A37" s="14" t="n">
        <v>46057</v>
      </c>
      <c r="B37" s="27">
        <f>SUMIFS(Raw_Events!$H:$H,Raw_Events!$C:$C,$A37,Raw_Events!$G:$G,"SLEEP_HOURS")</f>
        <v/>
      </c>
      <c r="C37" s="16">
        <f>COUNTIFS(Raw_Events!$C:$C,$A37,Raw_Events!$G:$G,"WORKOUT")</f>
        <v/>
      </c>
      <c r="D37" s="28">
        <f>SUMIFS(Raw_Events!$H:$H,Raw_Events!$C:$C,$A37,Raw_Events!$G:$G,"POSTURE_SESSION")</f>
        <v/>
      </c>
      <c r="E37" s="8">
        <f>IF($D37="","",IF($D37&gt;=Settings!$C$17,1,0))</f>
        <v/>
      </c>
      <c r="F37" s="28">
        <f>SUMIFS(Raw_Events!$H:$H,Raw_Events!$C:$C,$A37,Raw_Events!$G:$G,"MINDFULNESS_MIN")</f>
        <v/>
      </c>
      <c r="G37" s="8">
        <f>IF($F37="","",IF($F37&gt;0,1,0))</f>
        <v/>
      </c>
      <c r="H37" s="16">
        <f>SUMIFS(Raw_Events!$H:$H,Raw_Events!$C:$C,$A37,Raw_Events!$G:$G,"CIGARETTES")</f>
        <v/>
      </c>
      <c r="I37" s="29">
        <f>SUMIFS(Raw_Events!$L:$L,Raw_Events!$C:$C,$A37,Raw_Events!$G:$G,"ALCOHOL")</f>
        <v/>
      </c>
      <c r="J37" s="16">
        <f>SUMIFS(Raw_Events!$H:$H,Raw_Events!$C:$C,$A37,Raw_Events!$G:$G,"UNHEALTHY_MEAL")</f>
        <v/>
      </c>
      <c r="K37" s="28">
        <f>SUMIFS(Raw_Events!$H:$H,Raw_Events!$C:$C,$A37,Raw_Events!$G:$G,"TRAINING_MIN")+SUMIFS(Raw_Events!$H:$H,Raw_Events!$C:$C,$A37,Raw_Events!$G:$G,"DICTION_TRAINING_MIN")</f>
        <v/>
      </c>
      <c r="L37" s="28" t="n"/>
      <c r="M37" s="16">
        <f>SUMIFS(Raw_Events!$H:$H,Raw_Events!$C:$C,$A37,Raw_Events!$G:$G,"IDEA")</f>
        <v/>
      </c>
      <c r="N37" s="16">
        <f>COUNTIFS(Raw_Events!$C:$C,$A37,Raw_Events!$G:$G,"SOCIAL_MEET")</f>
        <v/>
      </c>
      <c r="O37" s="16">
        <f>COUNTIFS(Raw_Events!$C:$C,$A37,Raw_Events!$G:$G,"DATE")</f>
        <v/>
      </c>
      <c r="P37" s="3">
        <f>COUNTIFS(Raw_Events!$C:$C,$A37,Raw_Events!$G:$G,"NEW_ACTIVITY")</f>
        <v/>
      </c>
      <c r="Q37" s="3">
        <f>SUMIFS(Raw_Events!$H:$H,Raw_Events!$C:$C,$A37,Raw_Events!$G:$G,"TRAVEL_NIGHT")</f>
        <v/>
      </c>
      <c r="R37" s="3" t="n"/>
    </row>
    <row r="38" ht="15" customHeight="1">
      <c r="A38" s="14" t="n">
        <v>46058</v>
      </c>
      <c r="B38" s="27">
        <f>SUMIFS(Raw_Events!$H:$H,Raw_Events!$C:$C,$A38,Raw_Events!$G:$G,"SLEEP_HOURS")</f>
        <v/>
      </c>
      <c r="C38" s="16">
        <f>COUNTIFS(Raw_Events!$C:$C,$A38,Raw_Events!$G:$G,"WORKOUT")</f>
        <v/>
      </c>
      <c r="D38" s="28">
        <f>SUMIFS(Raw_Events!$H:$H,Raw_Events!$C:$C,$A38,Raw_Events!$G:$G,"POSTURE_SESSION")</f>
        <v/>
      </c>
      <c r="E38" s="8">
        <f>IF($D38="","",IF($D38&gt;=Settings!$C$17,1,0))</f>
        <v/>
      </c>
      <c r="F38" s="28">
        <f>SUMIFS(Raw_Events!$H:$H,Raw_Events!$C:$C,$A38,Raw_Events!$G:$G,"MINDFULNESS_MIN")</f>
        <v/>
      </c>
      <c r="G38" s="8">
        <f>IF($F38="","",IF($F38&gt;0,1,0))</f>
        <v/>
      </c>
      <c r="H38" s="16">
        <f>SUMIFS(Raw_Events!$H:$H,Raw_Events!$C:$C,$A38,Raw_Events!$G:$G,"CIGARETTES")</f>
        <v/>
      </c>
      <c r="I38" s="29">
        <f>SUMIFS(Raw_Events!$L:$L,Raw_Events!$C:$C,$A38,Raw_Events!$G:$G,"ALCOHOL")</f>
        <v/>
      </c>
      <c r="J38" s="16">
        <f>SUMIFS(Raw_Events!$H:$H,Raw_Events!$C:$C,$A38,Raw_Events!$G:$G,"UNHEALTHY_MEAL")</f>
        <v/>
      </c>
      <c r="K38" s="28">
        <f>SUMIFS(Raw_Events!$H:$H,Raw_Events!$C:$C,$A38,Raw_Events!$G:$G,"TRAINING_MIN")+SUMIFS(Raw_Events!$H:$H,Raw_Events!$C:$C,$A38,Raw_Events!$G:$G,"DICTION_TRAINING_MIN")</f>
        <v/>
      </c>
      <c r="L38" s="28" t="n"/>
      <c r="M38" s="16">
        <f>SUMIFS(Raw_Events!$H:$H,Raw_Events!$C:$C,$A38,Raw_Events!$G:$G,"IDEA")</f>
        <v/>
      </c>
      <c r="N38" s="16">
        <f>COUNTIFS(Raw_Events!$C:$C,$A38,Raw_Events!$G:$G,"SOCIAL_MEET")</f>
        <v/>
      </c>
      <c r="O38" s="16">
        <f>COUNTIFS(Raw_Events!$C:$C,$A38,Raw_Events!$G:$G,"DATE")</f>
        <v/>
      </c>
      <c r="P38" s="3">
        <f>COUNTIFS(Raw_Events!$C:$C,$A38,Raw_Events!$G:$G,"NEW_ACTIVITY")</f>
        <v/>
      </c>
      <c r="Q38" s="3">
        <f>SUMIFS(Raw_Events!$H:$H,Raw_Events!$C:$C,$A38,Raw_Events!$G:$G,"TRAVEL_NIGHT")</f>
        <v/>
      </c>
      <c r="R38" s="3" t="n"/>
    </row>
    <row r="39" ht="15" customHeight="1">
      <c r="A39" s="14" t="n">
        <v>46059</v>
      </c>
      <c r="B39" s="27">
        <f>SUMIFS(Raw_Events!$H:$H,Raw_Events!$C:$C,$A39,Raw_Events!$G:$G,"SLEEP_HOURS")</f>
        <v/>
      </c>
      <c r="C39" s="16">
        <f>COUNTIFS(Raw_Events!$C:$C,$A39,Raw_Events!$G:$G,"WORKOUT")</f>
        <v/>
      </c>
      <c r="D39" s="28">
        <f>SUMIFS(Raw_Events!$H:$H,Raw_Events!$C:$C,$A39,Raw_Events!$G:$G,"POSTURE_SESSION")</f>
        <v/>
      </c>
      <c r="E39" s="8">
        <f>IF($D39="","",IF($D39&gt;=Settings!$C$17,1,0))</f>
        <v/>
      </c>
      <c r="F39" s="28">
        <f>SUMIFS(Raw_Events!$H:$H,Raw_Events!$C:$C,$A39,Raw_Events!$G:$G,"MINDFULNESS_MIN")</f>
        <v/>
      </c>
      <c r="G39" s="8">
        <f>IF($F39="","",IF($F39&gt;0,1,0))</f>
        <v/>
      </c>
      <c r="H39" s="16">
        <f>SUMIFS(Raw_Events!$H:$H,Raw_Events!$C:$C,$A39,Raw_Events!$G:$G,"CIGARETTES")</f>
        <v/>
      </c>
      <c r="I39" s="29">
        <f>SUMIFS(Raw_Events!$L:$L,Raw_Events!$C:$C,$A39,Raw_Events!$G:$G,"ALCOHOL")</f>
        <v/>
      </c>
      <c r="J39" s="16">
        <f>SUMIFS(Raw_Events!$H:$H,Raw_Events!$C:$C,$A39,Raw_Events!$G:$G,"UNHEALTHY_MEAL")</f>
        <v/>
      </c>
      <c r="K39" s="28">
        <f>SUMIFS(Raw_Events!$H:$H,Raw_Events!$C:$C,$A39,Raw_Events!$G:$G,"TRAINING_MIN")+SUMIFS(Raw_Events!$H:$H,Raw_Events!$C:$C,$A39,Raw_Events!$G:$G,"DICTION_TRAINING_MIN")</f>
        <v/>
      </c>
      <c r="L39" s="28" t="n"/>
      <c r="M39" s="16">
        <f>SUMIFS(Raw_Events!$H:$H,Raw_Events!$C:$C,$A39,Raw_Events!$G:$G,"IDEA")</f>
        <v/>
      </c>
      <c r="N39" s="16">
        <f>COUNTIFS(Raw_Events!$C:$C,$A39,Raw_Events!$G:$G,"SOCIAL_MEET")</f>
        <v/>
      </c>
      <c r="O39" s="16">
        <f>COUNTIFS(Raw_Events!$C:$C,$A39,Raw_Events!$G:$G,"DATE")</f>
        <v/>
      </c>
      <c r="P39" s="3">
        <f>COUNTIFS(Raw_Events!$C:$C,$A39,Raw_Events!$G:$G,"NEW_ACTIVITY")</f>
        <v/>
      </c>
      <c r="Q39" s="3">
        <f>SUMIFS(Raw_Events!$H:$H,Raw_Events!$C:$C,$A39,Raw_Events!$G:$G,"TRAVEL_NIGHT")</f>
        <v/>
      </c>
      <c r="R39" s="3" t="n"/>
    </row>
    <row r="40" ht="15" customHeight="1">
      <c r="A40" s="14" t="n">
        <v>46060</v>
      </c>
      <c r="B40" s="27">
        <f>SUMIFS(Raw_Events!$H:$H,Raw_Events!$C:$C,$A40,Raw_Events!$G:$G,"SLEEP_HOURS")</f>
        <v/>
      </c>
      <c r="C40" s="16">
        <f>COUNTIFS(Raw_Events!$C:$C,$A40,Raw_Events!$G:$G,"WORKOUT")</f>
        <v/>
      </c>
      <c r="D40" s="28">
        <f>SUMIFS(Raw_Events!$H:$H,Raw_Events!$C:$C,$A40,Raw_Events!$G:$G,"POSTURE_SESSION")</f>
        <v/>
      </c>
      <c r="E40" s="8">
        <f>IF($D40="","",IF($D40&gt;=Settings!$C$17,1,0))</f>
        <v/>
      </c>
      <c r="F40" s="28">
        <f>SUMIFS(Raw_Events!$H:$H,Raw_Events!$C:$C,$A40,Raw_Events!$G:$G,"MINDFULNESS_MIN")</f>
        <v/>
      </c>
      <c r="G40" s="8">
        <f>IF($F40="","",IF($F40&gt;0,1,0))</f>
        <v/>
      </c>
      <c r="H40" s="16">
        <f>SUMIFS(Raw_Events!$H:$H,Raw_Events!$C:$C,$A40,Raw_Events!$G:$G,"CIGARETTES")</f>
        <v/>
      </c>
      <c r="I40" s="29">
        <f>SUMIFS(Raw_Events!$L:$L,Raw_Events!$C:$C,$A40,Raw_Events!$G:$G,"ALCOHOL")</f>
        <v/>
      </c>
      <c r="J40" s="16">
        <f>SUMIFS(Raw_Events!$H:$H,Raw_Events!$C:$C,$A40,Raw_Events!$G:$G,"UNHEALTHY_MEAL")</f>
        <v/>
      </c>
      <c r="K40" s="28">
        <f>SUMIFS(Raw_Events!$H:$H,Raw_Events!$C:$C,$A40,Raw_Events!$G:$G,"TRAINING_MIN")+SUMIFS(Raw_Events!$H:$H,Raw_Events!$C:$C,$A40,Raw_Events!$G:$G,"DICTION_TRAINING_MIN")</f>
        <v/>
      </c>
      <c r="L40" s="28" t="n"/>
      <c r="M40" s="16">
        <f>SUMIFS(Raw_Events!$H:$H,Raw_Events!$C:$C,$A40,Raw_Events!$G:$G,"IDEA")</f>
        <v/>
      </c>
      <c r="N40" s="16">
        <f>COUNTIFS(Raw_Events!$C:$C,$A40,Raw_Events!$G:$G,"SOCIAL_MEET")</f>
        <v/>
      </c>
      <c r="O40" s="16">
        <f>COUNTIFS(Raw_Events!$C:$C,$A40,Raw_Events!$G:$G,"DATE")</f>
        <v/>
      </c>
      <c r="P40" s="3">
        <f>COUNTIFS(Raw_Events!$C:$C,$A40,Raw_Events!$G:$G,"NEW_ACTIVITY")</f>
        <v/>
      </c>
      <c r="Q40" s="3">
        <f>SUMIFS(Raw_Events!$H:$H,Raw_Events!$C:$C,$A40,Raw_Events!$G:$G,"TRAVEL_NIGHT")</f>
        <v/>
      </c>
      <c r="R40" s="3" t="n"/>
    </row>
    <row r="41" ht="15" customHeight="1">
      <c r="A41" s="14" t="n">
        <v>46061</v>
      </c>
      <c r="B41" s="27">
        <f>SUMIFS(Raw_Events!$H:$H,Raw_Events!$C:$C,$A41,Raw_Events!$G:$G,"SLEEP_HOURS")</f>
        <v/>
      </c>
      <c r="C41" s="16">
        <f>COUNTIFS(Raw_Events!$C:$C,$A41,Raw_Events!$G:$G,"WORKOUT")</f>
        <v/>
      </c>
      <c r="D41" s="28">
        <f>SUMIFS(Raw_Events!$H:$H,Raw_Events!$C:$C,$A41,Raw_Events!$G:$G,"POSTURE_SESSION")</f>
        <v/>
      </c>
      <c r="E41" s="8">
        <f>IF($D41="","",IF($D41&gt;=Settings!$C$17,1,0))</f>
        <v/>
      </c>
      <c r="F41" s="28">
        <f>SUMIFS(Raw_Events!$H:$H,Raw_Events!$C:$C,$A41,Raw_Events!$G:$G,"MINDFULNESS_MIN")</f>
        <v/>
      </c>
      <c r="G41" s="8">
        <f>IF($F41="","",IF($F41&gt;0,1,0))</f>
        <v/>
      </c>
      <c r="H41" s="16">
        <f>SUMIFS(Raw_Events!$H:$H,Raw_Events!$C:$C,$A41,Raw_Events!$G:$G,"CIGARETTES")</f>
        <v/>
      </c>
      <c r="I41" s="29">
        <f>SUMIFS(Raw_Events!$L:$L,Raw_Events!$C:$C,$A41,Raw_Events!$G:$G,"ALCOHOL")</f>
        <v/>
      </c>
      <c r="J41" s="16">
        <f>SUMIFS(Raw_Events!$H:$H,Raw_Events!$C:$C,$A41,Raw_Events!$G:$G,"UNHEALTHY_MEAL")</f>
        <v/>
      </c>
      <c r="K41" s="28">
        <f>SUMIFS(Raw_Events!$H:$H,Raw_Events!$C:$C,$A41,Raw_Events!$G:$G,"TRAINING_MIN")+SUMIFS(Raw_Events!$H:$H,Raw_Events!$C:$C,$A41,Raw_Events!$G:$G,"DICTION_TRAINING_MIN")</f>
        <v/>
      </c>
      <c r="L41" s="28" t="n"/>
      <c r="M41" s="16">
        <f>SUMIFS(Raw_Events!$H:$H,Raw_Events!$C:$C,$A41,Raw_Events!$G:$G,"IDEA")</f>
        <v/>
      </c>
      <c r="N41" s="16">
        <f>COUNTIFS(Raw_Events!$C:$C,$A41,Raw_Events!$G:$G,"SOCIAL_MEET")</f>
        <v/>
      </c>
      <c r="O41" s="16">
        <f>COUNTIFS(Raw_Events!$C:$C,$A41,Raw_Events!$G:$G,"DATE")</f>
        <v/>
      </c>
      <c r="P41" s="3">
        <f>COUNTIFS(Raw_Events!$C:$C,$A41,Raw_Events!$G:$G,"NEW_ACTIVITY")</f>
        <v/>
      </c>
      <c r="Q41" s="3">
        <f>SUMIFS(Raw_Events!$H:$H,Raw_Events!$C:$C,$A41,Raw_Events!$G:$G,"TRAVEL_NIGHT")</f>
        <v/>
      </c>
      <c r="R41" s="3" t="n"/>
    </row>
    <row r="42" ht="15" customHeight="1">
      <c r="A42" s="14" t="n">
        <v>46062</v>
      </c>
      <c r="B42" s="27">
        <f>SUMIFS(Raw_Events!$H:$H,Raw_Events!$C:$C,$A42,Raw_Events!$G:$G,"SLEEP_HOURS")</f>
        <v/>
      </c>
      <c r="C42" s="16">
        <f>COUNTIFS(Raw_Events!$C:$C,$A42,Raw_Events!$G:$G,"WORKOUT")</f>
        <v/>
      </c>
      <c r="D42" s="28">
        <f>SUMIFS(Raw_Events!$H:$H,Raw_Events!$C:$C,$A42,Raw_Events!$G:$G,"POSTURE_SESSION")</f>
        <v/>
      </c>
      <c r="E42" s="8">
        <f>IF($D42="","",IF($D42&gt;=Settings!$C$17,1,0))</f>
        <v/>
      </c>
      <c r="F42" s="28">
        <f>SUMIFS(Raw_Events!$H:$H,Raw_Events!$C:$C,$A42,Raw_Events!$G:$G,"MINDFULNESS_MIN")</f>
        <v/>
      </c>
      <c r="G42" s="8">
        <f>IF($F42="","",IF($F42&gt;0,1,0))</f>
        <v/>
      </c>
      <c r="H42" s="16">
        <f>SUMIFS(Raw_Events!$H:$H,Raw_Events!$C:$C,$A42,Raw_Events!$G:$G,"CIGARETTES")</f>
        <v/>
      </c>
      <c r="I42" s="29">
        <f>SUMIFS(Raw_Events!$L:$L,Raw_Events!$C:$C,$A42,Raw_Events!$G:$G,"ALCOHOL")</f>
        <v/>
      </c>
      <c r="J42" s="16">
        <f>SUMIFS(Raw_Events!$H:$H,Raw_Events!$C:$C,$A42,Raw_Events!$G:$G,"UNHEALTHY_MEAL")</f>
        <v/>
      </c>
      <c r="K42" s="28">
        <f>SUMIFS(Raw_Events!$H:$H,Raw_Events!$C:$C,$A42,Raw_Events!$G:$G,"TRAINING_MIN")+SUMIFS(Raw_Events!$H:$H,Raw_Events!$C:$C,$A42,Raw_Events!$G:$G,"DICTION_TRAINING_MIN")</f>
        <v/>
      </c>
      <c r="L42" s="28" t="n"/>
      <c r="M42" s="16">
        <f>SUMIFS(Raw_Events!$H:$H,Raw_Events!$C:$C,$A42,Raw_Events!$G:$G,"IDEA")</f>
        <v/>
      </c>
      <c r="N42" s="16">
        <f>COUNTIFS(Raw_Events!$C:$C,$A42,Raw_Events!$G:$G,"SOCIAL_MEET")</f>
        <v/>
      </c>
      <c r="O42" s="16">
        <f>COUNTIFS(Raw_Events!$C:$C,$A42,Raw_Events!$G:$G,"DATE")</f>
        <v/>
      </c>
      <c r="P42" s="3">
        <f>COUNTIFS(Raw_Events!$C:$C,$A42,Raw_Events!$G:$G,"NEW_ACTIVITY")</f>
        <v/>
      </c>
      <c r="Q42" s="3">
        <f>SUMIFS(Raw_Events!$H:$H,Raw_Events!$C:$C,$A42,Raw_Events!$G:$G,"TRAVEL_NIGHT")</f>
        <v/>
      </c>
      <c r="R42" s="3" t="n"/>
    </row>
    <row r="43" ht="15" customHeight="1">
      <c r="A43" s="14" t="n">
        <v>46063</v>
      </c>
      <c r="B43" s="27">
        <f>SUMIFS(Raw_Events!$H:$H,Raw_Events!$C:$C,$A43,Raw_Events!$G:$G,"SLEEP_HOURS")</f>
        <v/>
      </c>
      <c r="C43" s="16">
        <f>COUNTIFS(Raw_Events!$C:$C,$A43,Raw_Events!$G:$G,"WORKOUT")</f>
        <v/>
      </c>
      <c r="D43" s="28">
        <f>SUMIFS(Raw_Events!$H:$H,Raw_Events!$C:$C,$A43,Raw_Events!$G:$G,"POSTURE_SESSION")</f>
        <v/>
      </c>
      <c r="E43" s="8">
        <f>IF($D43="","",IF($D43&gt;=Settings!$C$17,1,0))</f>
        <v/>
      </c>
      <c r="F43" s="28">
        <f>SUMIFS(Raw_Events!$H:$H,Raw_Events!$C:$C,$A43,Raw_Events!$G:$G,"MINDFULNESS_MIN")</f>
        <v/>
      </c>
      <c r="G43" s="8">
        <f>IF($F43="","",IF($F43&gt;0,1,0))</f>
        <v/>
      </c>
      <c r="H43" s="16">
        <f>SUMIFS(Raw_Events!$H:$H,Raw_Events!$C:$C,$A43,Raw_Events!$G:$G,"CIGARETTES")</f>
        <v/>
      </c>
      <c r="I43" s="29">
        <f>SUMIFS(Raw_Events!$L:$L,Raw_Events!$C:$C,$A43,Raw_Events!$G:$G,"ALCOHOL")</f>
        <v/>
      </c>
      <c r="J43" s="16">
        <f>SUMIFS(Raw_Events!$H:$H,Raw_Events!$C:$C,$A43,Raw_Events!$G:$G,"UNHEALTHY_MEAL")</f>
        <v/>
      </c>
      <c r="K43" s="28">
        <f>SUMIFS(Raw_Events!$H:$H,Raw_Events!$C:$C,$A43,Raw_Events!$G:$G,"TRAINING_MIN")+SUMIFS(Raw_Events!$H:$H,Raw_Events!$C:$C,$A43,Raw_Events!$G:$G,"DICTION_TRAINING_MIN")</f>
        <v/>
      </c>
      <c r="L43" s="28" t="n"/>
      <c r="M43" s="16">
        <f>SUMIFS(Raw_Events!$H:$H,Raw_Events!$C:$C,$A43,Raw_Events!$G:$G,"IDEA")</f>
        <v/>
      </c>
      <c r="N43" s="16">
        <f>COUNTIFS(Raw_Events!$C:$C,$A43,Raw_Events!$G:$G,"SOCIAL_MEET")</f>
        <v/>
      </c>
      <c r="O43" s="16">
        <f>COUNTIFS(Raw_Events!$C:$C,$A43,Raw_Events!$G:$G,"DATE")</f>
        <v/>
      </c>
      <c r="P43" s="3">
        <f>COUNTIFS(Raw_Events!$C:$C,$A43,Raw_Events!$G:$G,"NEW_ACTIVITY")</f>
        <v/>
      </c>
      <c r="Q43" s="3">
        <f>SUMIFS(Raw_Events!$H:$H,Raw_Events!$C:$C,$A43,Raw_Events!$G:$G,"TRAVEL_NIGHT")</f>
        <v/>
      </c>
      <c r="R43" s="3" t="n"/>
    </row>
    <row r="44" ht="15" customHeight="1">
      <c r="A44" s="14" t="n">
        <v>46064</v>
      </c>
      <c r="B44" s="27">
        <f>SUMIFS(Raw_Events!$H:$H,Raw_Events!$C:$C,$A44,Raw_Events!$G:$G,"SLEEP_HOURS")</f>
        <v/>
      </c>
      <c r="C44" s="16">
        <f>COUNTIFS(Raw_Events!$C:$C,$A44,Raw_Events!$G:$G,"WORKOUT")</f>
        <v/>
      </c>
      <c r="D44" s="28">
        <f>SUMIFS(Raw_Events!$H:$H,Raw_Events!$C:$C,$A44,Raw_Events!$G:$G,"POSTURE_SESSION")</f>
        <v/>
      </c>
      <c r="E44" s="8">
        <f>IF($D44="","",IF($D44&gt;=Settings!$C$17,1,0))</f>
        <v/>
      </c>
      <c r="F44" s="28">
        <f>SUMIFS(Raw_Events!$H:$H,Raw_Events!$C:$C,$A44,Raw_Events!$G:$G,"MINDFULNESS_MIN")</f>
        <v/>
      </c>
      <c r="G44" s="8">
        <f>IF($F44="","",IF($F44&gt;0,1,0))</f>
        <v/>
      </c>
      <c r="H44" s="16">
        <f>SUMIFS(Raw_Events!$H:$H,Raw_Events!$C:$C,$A44,Raw_Events!$G:$G,"CIGARETTES")</f>
        <v/>
      </c>
      <c r="I44" s="29">
        <f>SUMIFS(Raw_Events!$L:$L,Raw_Events!$C:$C,$A44,Raw_Events!$G:$G,"ALCOHOL")</f>
        <v/>
      </c>
      <c r="J44" s="16">
        <f>SUMIFS(Raw_Events!$H:$H,Raw_Events!$C:$C,$A44,Raw_Events!$G:$G,"UNHEALTHY_MEAL")</f>
        <v/>
      </c>
      <c r="K44" s="28">
        <f>SUMIFS(Raw_Events!$H:$H,Raw_Events!$C:$C,$A44,Raw_Events!$G:$G,"TRAINING_MIN")+SUMIFS(Raw_Events!$H:$H,Raw_Events!$C:$C,$A44,Raw_Events!$G:$G,"DICTION_TRAINING_MIN")</f>
        <v/>
      </c>
      <c r="L44" s="28" t="n"/>
      <c r="M44" s="16">
        <f>SUMIFS(Raw_Events!$H:$H,Raw_Events!$C:$C,$A44,Raw_Events!$G:$G,"IDEA")</f>
        <v/>
      </c>
      <c r="N44" s="16">
        <f>COUNTIFS(Raw_Events!$C:$C,$A44,Raw_Events!$G:$G,"SOCIAL_MEET")</f>
        <v/>
      </c>
      <c r="O44" s="16">
        <f>COUNTIFS(Raw_Events!$C:$C,$A44,Raw_Events!$G:$G,"DATE")</f>
        <v/>
      </c>
      <c r="P44" s="3">
        <f>COUNTIFS(Raw_Events!$C:$C,$A44,Raw_Events!$G:$G,"NEW_ACTIVITY")</f>
        <v/>
      </c>
      <c r="Q44" s="3">
        <f>SUMIFS(Raw_Events!$H:$H,Raw_Events!$C:$C,$A44,Raw_Events!$G:$G,"TRAVEL_NIGHT")</f>
        <v/>
      </c>
      <c r="R44" s="3" t="n"/>
    </row>
    <row r="45" ht="15" customHeight="1">
      <c r="A45" s="14" t="n">
        <v>46065</v>
      </c>
      <c r="B45" s="27">
        <f>SUMIFS(Raw_Events!$H:$H,Raw_Events!$C:$C,$A45,Raw_Events!$G:$G,"SLEEP_HOURS")</f>
        <v/>
      </c>
      <c r="C45" s="16">
        <f>COUNTIFS(Raw_Events!$C:$C,$A45,Raw_Events!$G:$G,"WORKOUT")</f>
        <v/>
      </c>
      <c r="D45" s="28">
        <f>SUMIFS(Raw_Events!$H:$H,Raw_Events!$C:$C,$A45,Raw_Events!$G:$G,"POSTURE_SESSION")</f>
        <v/>
      </c>
      <c r="E45" s="8">
        <f>IF($D45="","",IF($D45&gt;=Settings!$C$17,1,0))</f>
        <v/>
      </c>
      <c r="F45" s="28">
        <f>SUMIFS(Raw_Events!$H:$H,Raw_Events!$C:$C,$A45,Raw_Events!$G:$G,"MINDFULNESS_MIN")</f>
        <v/>
      </c>
      <c r="G45" s="8">
        <f>IF($F45="","",IF($F45&gt;0,1,0))</f>
        <v/>
      </c>
      <c r="H45" s="16">
        <f>SUMIFS(Raw_Events!$H:$H,Raw_Events!$C:$C,$A45,Raw_Events!$G:$G,"CIGARETTES")</f>
        <v/>
      </c>
      <c r="I45" s="29">
        <f>SUMIFS(Raw_Events!$L:$L,Raw_Events!$C:$C,$A45,Raw_Events!$G:$G,"ALCOHOL")</f>
        <v/>
      </c>
      <c r="J45" s="16">
        <f>SUMIFS(Raw_Events!$H:$H,Raw_Events!$C:$C,$A45,Raw_Events!$G:$G,"UNHEALTHY_MEAL")</f>
        <v/>
      </c>
      <c r="K45" s="28">
        <f>SUMIFS(Raw_Events!$H:$H,Raw_Events!$C:$C,$A45,Raw_Events!$G:$G,"TRAINING_MIN")+SUMIFS(Raw_Events!$H:$H,Raw_Events!$C:$C,$A45,Raw_Events!$G:$G,"DICTION_TRAINING_MIN")</f>
        <v/>
      </c>
      <c r="L45" s="28" t="n"/>
      <c r="M45" s="16">
        <f>SUMIFS(Raw_Events!$H:$H,Raw_Events!$C:$C,$A45,Raw_Events!$G:$G,"IDEA")</f>
        <v/>
      </c>
      <c r="N45" s="16">
        <f>COUNTIFS(Raw_Events!$C:$C,$A45,Raw_Events!$G:$G,"SOCIAL_MEET")</f>
        <v/>
      </c>
      <c r="O45" s="16">
        <f>COUNTIFS(Raw_Events!$C:$C,$A45,Raw_Events!$G:$G,"DATE")</f>
        <v/>
      </c>
      <c r="P45" s="3">
        <f>COUNTIFS(Raw_Events!$C:$C,$A45,Raw_Events!$G:$G,"NEW_ACTIVITY")</f>
        <v/>
      </c>
      <c r="Q45" s="3">
        <f>SUMIFS(Raw_Events!$H:$H,Raw_Events!$C:$C,$A45,Raw_Events!$G:$G,"TRAVEL_NIGHT")</f>
        <v/>
      </c>
      <c r="R45" s="3" t="n"/>
    </row>
    <row r="46" ht="15" customHeight="1">
      <c r="A46" s="14" t="n">
        <v>46066</v>
      </c>
      <c r="B46" s="27">
        <f>SUMIFS(Raw_Events!$H:$H,Raw_Events!$C:$C,$A46,Raw_Events!$G:$G,"SLEEP_HOURS")</f>
        <v/>
      </c>
      <c r="C46" s="16">
        <f>COUNTIFS(Raw_Events!$C:$C,$A46,Raw_Events!$G:$G,"WORKOUT")</f>
        <v/>
      </c>
      <c r="D46" s="28">
        <f>SUMIFS(Raw_Events!$H:$H,Raw_Events!$C:$C,$A46,Raw_Events!$G:$G,"POSTURE_SESSION")</f>
        <v/>
      </c>
      <c r="E46" s="8">
        <f>IF($D46="","",IF($D46&gt;=Settings!$C$17,1,0))</f>
        <v/>
      </c>
      <c r="F46" s="28">
        <f>SUMIFS(Raw_Events!$H:$H,Raw_Events!$C:$C,$A46,Raw_Events!$G:$G,"MINDFULNESS_MIN")</f>
        <v/>
      </c>
      <c r="G46" s="8">
        <f>IF($F46="","",IF($F46&gt;0,1,0))</f>
        <v/>
      </c>
      <c r="H46" s="16">
        <f>SUMIFS(Raw_Events!$H:$H,Raw_Events!$C:$C,$A46,Raw_Events!$G:$G,"CIGARETTES")</f>
        <v/>
      </c>
      <c r="I46" s="29">
        <f>SUMIFS(Raw_Events!$L:$L,Raw_Events!$C:$C,$A46,Raw_Events!$G:$G,"ALCOHOL")</f>
        <v/>
      </c>
      <c r="J46" s="16">
        <f>SUMIFS(Raw_Events!$H:$H,Raw_Events!$C:$C,$A46,Raw_Events!$G:$G,"UNHEALTHY_MEAL")</f>
        <v/>
      </c>
      <c r="K46" s="28">
        <f>SUMIFS(Raw_Events!$H:$H,Raw_Events!$C:$C,$A46,Raw_Events!$G:$G,"TRAINING_MIN")+SUMIFS(Raw_Events!$H:$H,Raw_Events!$C:$C,$A46,Raw_Events!$G:$G,"DICTION_TRAINING_MIN")</f>
        <v/>
      </c>
      <c r="L46" s="28" t="n"/>
      <c r="M46" s="16">
        <f>SUMIFS(Raw_Events!$H:$H,Raw_Events!$C:$C,$A46,Raw_Events!$G:$G,"IDEA")</f>
        <v/>
      </c>
      <c r="N46" s="16">
        <f>COUNTIFS(Raw_Events!$C:$C,$A46,Raw_Events!$G:$G,"SOCIAL_MEET")</f>
        <v/>
      </c>
      <c r="O46" s="16">
        <f>COUNTIFS(Raw_Events!$C:$C,$A46,Raw_Events!$G:$G,"DATE")</f>
        <v/>
      </c>
      <c r="P46" s="3">
        <f>COUNTIFS(Raw_Events!$C:$C,$A46,Raw_Events!$G:$G,"NEW_ACTIVITY")</f>
        <v/>
      </c>
      <c r="Q46" s="3">
        <f>SUMIFS(Raw_Events!$H:$H,Raw_Events!$C:$C,$A46,Raw_Events!$G:$G,"TRAVEL_NIGHT")</f>
        <v/>
      </c>
      <c r="R46" s="3" t="n"/>
    </row>
    <row r="47" ht="15" customHeight="1">
      <c r="A47" s="14" t="n">
        <v>46067</v>
      </c>
      <c r="B47" s="27">
        <f>SUMIFS(Raw_Events!$H:$H,Raw_Events!$C:$C,$A47,Raw_Events!$G:$G,"SLEEP_HOURS")</f>
        <v/>
      </c>
      <c r="C47" s="16">
        <f>COUNTIFS(Raw_Events!$C:$C,$A47,Raw_Events!$G:$G,"WORKOUT")</f>
        <v/>
      </c>
      <c r="D47" s="28">
        <f>SUMIFS(Raw_Events!$H:$H,Raw_Events!$C:$C,$A47,Raw_Events!$G:$G,"POSTURE_SESSION")</f>
        <v/>
      </c>
      <c r="E47" s="8">
        <f>IF($D47="","",IF($D47&gt;=Settings!$C$17,1,0))</f>
        <v/>
      </c>
      <c r="F47" s="28">
        <f>SUMIFS(Raw_Events!$H:$H,Raw_Events!$C:$C,$A47,Raw_Events!$G:$G,"MINDFULNESS_MIN")</f>
        <v/>
      </c>
      <c r="G47" s="8">
        <f>IF($F47="","",IF($F47&gt;0,1,0))</f>
        <v/>
      </c>
      <c r="H47" s="16">
        <f>SUMIFS(Raw_Events!$H:$H,Raw_Events!$C:$C,$A47,Raw_Events!$G:$G,"CIGARETTES")</f>
        <v/>
      </c>
      <c r="I47" s="29">
        <f>SUMIFS(Raw_Events!$L:$L,Raw_Events!$C:$C,$A47,Raw_Events!$G:$G,"ALCOHOL")</f>
        <v/>
      </c>
      <c r="J47" s="16">
        <f>SUMIFS(Raw_Events!$H:$H,Raw_Events!$C:$C,$A47,Raw_Events!$G:$G,"UNHEALTHY_MEAL")</f>
        <v/>
      </c>
      <c r="K47" s="28">
        <f>SUMIFS(Raw_Events!$H:$H,Raw_Events!$C:$C,$A47,Raw_Events!$G:$G,"TRAINING_MIN")+SUMIFS(Raw_Events!$H:$H,Raw_Events!$C:$C,$A47,Raw_Events!$G:$G,"DICTION_TRAINING_MIN")</f>
        <v/>
      </c>
      <c r="L47" s="28" t="n"/>
      <c r="M47" s="16">
        <f>SUMIFS(Raw_Events!$H:$H,Raw_Events!$C:$C,$A47,Raw_Events!$G:$G,"IDEA")</f>
        <v/>
      </c>
      <c r="N47" s="16">
        <f>COUNTIFS(Raw_Events!$C:$C,$A47,Raw_Events!$G:$G,"SOCIAL_MEET")</f>
        <v/>
      </c>
      <c r="O47" s="16">
        <f>COUNTIFS(Raw_Events!$C:$C,$A47,Raw_Events!$G:$G,"DATE")</f>
        <v/>
      </c>
      <c r="P47" s="3">
        <f>COUNTIFS(Raw_Events!$C:$C,$A47,Raw_Events!$G:$G,"NEW_ACTIVITY")</f>
        <v/>
      </c>
      <c r="Q47" s="3">
        <f>SUMIFS(Raw_Events!$H:$H,Raw_Events!$C:$C,$A47,Raw_Events!$G:$G,"TRAVEL_NIGHT")</f>
        <v/>
      </c>
      <c r="R47" s="3" t="n"/>
    </row>
    <row r="48" ht="15" customHeight="1">
      <c r="A48" s="14" t="n">
        <v>46068</v>
      </c>
      <c r="B48" s="27">
        <f>SUMIFS(Raw_Events!$H:$H,Raw_Events!$C:$C,$A48,Raw_Events!$G:$G,"SLEEP_HOURS")</f>
        <v/>
      </c>
      <c r="C48" s="16">
        <f>COUNTIFS(Raw_Events!$C:$C,$A48,Raw_Events!$G:$G,"WORKOUT")</f>
        <v/>
      </c>
      <c r="D48" s="28">
        <f>SUMIFS(Raw_Events!$H:$H,Raw_Events!$C:$C,$A48,Raw_Events!$G:$G,"POSTURE_SESSION")</f>
        <v/>
      </c>
      <c r="E48" s="8">
        <f>IF($D48="","",IF($D48&gt;=Settings!$C$17,1,0))</f>
        <v/>
      </c>
      <c r="F48" s="28">
        <f>SUMIFS(Raw_Events!$H:$H,Raw_Events!$C:$C,$A48,Raw_Events!$G:$G,"MINDFULNESS_MIN")</f>
        <v/>
      </c>
      <c r="G48" s="8">
        <f>IF($F48="","",IF($F48&gt;0,1,0))</f>
        <v/>
      </c>
      <c r="H48" s="16">
        <f>SUMIFS(Raw_Events!$H:$H,Raw_Events!$C:$C,$A48,Raw_Events!$G:$G,"CIGARETTES")</f>
        <v/>
      </c>
      <c r="I48" s="29">
        <f>SUMIFS(Raw_Events!$L:$L,Raw_Events!$C:$C,$A48,Raw_Events!$G:$G,"ALCOHOL")</f>
        <v/>
      </c>
      <c r="J48" s="16">
        <f>SUMIFS(Raw_Events!$H:$H,Raw_Events!$C:$C,$A48,Raw_Events!$G:$G,"UNHEALTHY_MEAL")</f>
        <v/>
      </c>
      <c r="K48" s="28">
        <f>SUMIFS(Raw_Events!$H:$H,Raw_Events!$C:$C,$A48,Raw_Events!$G:$G,"TRAINING_MIN")+SUMIFS(Raw_Events!$H:$H,Raw_Events!$C:$C,$A48,Raw_Events!$G:$G,"DICTION_TRAINING_MIN")</f>
        <v/>
      </c>
      <c r="L48" s="28" t="n"/>
      <c r="M48" s="16">
        <f>SUMIFS(Raw_Events!$H:$H,Raw_Events!$C:$C,$A48,Raw_Events!$G:$G,"IDEA")</f>
        <v/>
      </c>
      <c r="N48" s="16">
        <f>COUNTIFS(Raw_Events!$C:$C,$A48,Raw_Events!$G:$G,"SOCIAL_MEET")</f>
        <v/>
      </c>
      <c r="O48" s="16">
        <f>COUNTIFS(Raw_Events!$C:$C,$A48,Raw_Events!$G:$G,"DATE")</f>
        <v/>
      </c>
      <c r="P48" s="3">
        <f>COUNTIFS(Raw_Events!$C:$C,$A48,Raw_Events!$G:$G,"NEW_ACTIVITY")</f>
        <v/>
      </c>
      <c r="Q48" s="3">
        <f>SUMIFS(Raw_Events!$H:$H,Raw_Events!$C:$C,$A48,Raw_Events!$G:$G,"TRAVEL_NIGHT")</f>
        <v/>
      </c>
      <c r="R48" s="3" t="n"/>
    </row>
    <row r="49" ht="15" customHeight="1">
      <c r="A49" s="14" t="n">
        <v>46069</v>
      </c>
      <c r="B49" s="27">
        <f>SUMIFS(Raw_Events!$H:$H,Raw_Events!$C:$C,$A49,Raw_Events!$G:$G,"SLEEP_HOURS")</f>
        <v/>
      </c>
      <c r="C49" s="16">
        <f>COUNTIFS(Raw_Events!$C:$C,$A49,Raw_Events!$G:$G,"WORKOUT")</f>
        <v/>
      </c>
      <c r="D49" s="28">
        <f>SUMIFS(Raw_Events!$H:$H,Raw_Events!$C:$C,$A49,Raw_Events!$G:$G,"POSTURE_SESSION")</f>
        <v/>
      </c>
      <c r="E49" s="8">
        <f>IF($D49="","",IF($D49&gt;=Settings!$C$17,1,0))</f>
        <v/>
      </c>
      <c r="F49" s="28">
        <f>SUMIFS(Raw_Events!$H:$H,Raw_Events!$C:$C,$A49,Raw_Events!$G:$G,"MINDFULNESS_MIN")</f>
        <v/>
      </c>
      <c r="G49" s="8">
        <f>IF($F49="","",IF($F49&gt;0,1,0))</f>
        <v/>
      </c>
      <c r="H49" s="16">
        <f>SUMIFS(Raw_Events!$H:$H,Raw_Events!$C:$C,$A49,Raw_Events!$G:$G,"CIGARETTES")</f>
        <v/>
      </c>
      <c r="I49" s="29">
        <f>SUMIFS(Raw_Events!$L:$L,Raw_Events!$C:$C,$A49,Raw_Events!$G:$G,"ALCOHOL")</f>
        <v/>
      </c>
      <c r="J49" s="16">
        <f>SUMIFS(Raw_Events!$H:$H,Raw_Events!$C:$C,$A49,Raw_Events!$G:$G,"UNHEALTHY_MEAL")</f>
        <v/>
      </c>
      <c r="K49" s="28">
        <f>SUMIFS(Raw_Events!$H:$H,Raw_Events!$C:$C,$A49,Raw_Events!$G:$G,"TRAINING_MIN")+SUMIFS(Raw_Events!$H:$H,Raw_Events!$C:$C,$A49,Raw_Events!$G:$G,"DICTION_TRAINING_MIN")</f>
        <v/>
      </c>
      <c r="L49" s="28" t="n"/>
      <c r="M49" s="16">
        <f>SUMIFS(Raw_Events!$H:$H,Raw_Events!$C:$C,$A49,Raw_Events!$G:$G,"IDEA")</f>
        <v/>
      </c>
      <c r="N49" s="16">
        <f>COUNTIFS(Raw_Events!$C:$C,$A49,Raw_Events!$G:$G,"SOCIAL_MEET")</f>
        <v/>
      </c>
      <c r="O49" s="16">
        <f>COUNTIFS(Raw_Events!$C:$C,$A49,Raw_Events!$G:$G,"DATE")</f>
        <v/>
      </c>
      <c r="P49" s="3">
        <f>COUNTIFS(Raw_Events!$C:$C,$A49,Raw_Events!$G:$G,"NEW_ACTIVITY")</f>
        <v/>
      </c>
      <c r="Q49" s="3">
        <f>SUMIFS(Raw_Events!$H:$H,Raw_Events!$C:$C,$A49,Raw_Events!$G:$G,"TRAVEL_NIGHT")</f>
        <v/>
      </c>
      <c r="R49" s="3" t="n"/>
    </row>
    <row r="50" ht="15" customHeight="1">
      <c r="A50" s="14" t="n">
        <v>46070</v>
      </c>
      <c r="B50" s="27">
        <f>SUMIFS(Raw_Events!$H:$H,Raw_Events!$C:$C,$A50,Raw_Events!$G:$G,"SLEEP_HOURS")</f>
        <v/>
      </c>
      <c r="C50" s="16">
        <f>COUNTIFS(Raw_Events!$C:$C,$A50,Raw_Events!$G:$G,"WORKOUT")</f>
        <v/>
      </c>
      <c r="D50" s="28">
        <f>SUMIFS(Raw_Events!$H:$H,Raw_Events!$C:$C,$A50,Raw_Events!$G:$G,"POSTURE_SESSION")</f>
        <v/>
      </c>
      <c r="E50" s="8">
        <f>IF($D50="","",IF($D50&gt;=Settings!$C$17,1,0))</f>
        <v/>
      </c>
      <c r="F50" s="28">
        <f>SUMIFS(Raw_Events!$H:$H,Raw_Events!$C:$C,$A50,Raw_Events!$G:$G,"MINDFULNESS_MIN")</f>
        <v/>
      </c>
      <c r="G50" s="8">
        <f>IF($F50="","",IF($F50&gt;0,1,0))</f>
        <v/>
      </c>
      <c r="H50" s="16">
        <f>SUMIFS(Raw_Events!$H:$H,Raw_Events!$C:$C,$A50,Raw_Events!$G:$G,"CIGARETTES")</f>
        <v/>
      </c>
      <c r="I50" s="29">
        <f>SUMIFS(Raw_Events!$L:$L,Raw_Events!$C:$C,$A50,Raw_Events!$G:$G,"ALCOHOL")</f>
        <v/>
      </c>
      <c r="J50" s="16">
        <f>SUMIFS(Raw_Events!$H:$H,Raw_Events!$C:$C,$A50,Raw_Events!$G:$G,"UNHEALTHY_MEAL")</f>
        <v/>
      </c>
      <c r="K50" s="28">
        <f>SUMIFS(Raw_Events!$H:$H,Raw_Events!$C:$C,$A50,Raw_Events!$G:$G,"TRAINING_MIN")+SUMIFS(Raw_Events!$H:$H,Raw_Events!$C:$C,$A50,Raw_Events!$G:$G,"DICTION_TRAINING_MIN")</f>
        <v/>
      </c>
      <c r="L50" s="28" t="n"/>
      <c r="M50" s="16">
        <f>SUMIFS(Raw_Events!$H:$H,Raw_Events!$C:$C,$A50,Raw_Events!$G:$G,"IDEA")</f>
        <v/>
      </c>
      <c r="N50" s="16">
        <f>COUNTIFS(Raw_Events!$C:$C,$A50,Raw_Events!$G:$G,"SOCIAL_MEET")</f>
        <v/>
      </c>
      <c r="O50" s="16">
        <f>COUNTIFS(Raw_Events!$C:$C,$A50,Raw_Events!$G:$G,"DATE")</f>
        <v/>
      </c>
      <c r="P50" s="3">
        <f>COUNTIFS(Raw_Events!$C:$C,$A50,Raw_Events!$G:$G,"NEW_ACTIVITY")</f>
        <v/>
      </c>
      <c r="Q50" s="3">
        <f>SUMIFS(Raw_Events!$H:$H,Raw_Events!$C:$C,$A50,Raw_Events!$G:$G,"TRAVEL_NIGHT")</f>
        <v/>
      </c>
      <c r="R50" s="3" t="n"/>
    </row>
    <row r="51" ht="15" customHeight="1">
      <c r="A51" s="14" t="n">
        <v>46071</v>
      </c>
      <c r="B51" s="27">
        <f>SUMIFS(Raw_Events!$H:$H,Raw_Events!$C:$C,$A51,Raw_Events!$G:$G,"SLEEP_HOURS")</f>
        <v/>
      </c>
      <c r="C51" s="16">
        <f>COUNTIFS(Raw_Events!$C:$C,$A51,Raw_Events!$G:$G,"WORKOUT")</f>
        <v/>
      </c>
      <c r="D51" s="28">
        <f>SUMIFS(Raw_Events!$H:$H,Raw_Events!$C:$C,$A51,Raw_Events!$G:$G,"POSTURE_SESSION")</f>
        <v/>
      </c>
      <c r="E51" s="8">
        <f>IF($D51="","",IF($D51&gt;=Settings!$C$17,1,0))</f>
        <v/>
      </c>
      <c r="F51" s="28">
        <f>SUMIFS(Raw_Events!$H:$H,Raw_Events!$C:$C,$A51,Raw_Events!$G:$G,"MINDFULNESS_MIN")</f>
        <v/>
      </c>
      <c r="G51" s="8">
        <f>IF($F51="","",IF($F51&gt;0,1,0))</f>
        <v/>
      </c>
      <c r="H51" s="16">
        <f>SUMIFS(Raw_Events!$H:$H,Raw_Events!$C:$C,$A51,Raw_Events!$G:$G,"CIGARETTES")</f>
        <v/>
      </c>
      <c r="I51" s="29">
        <f>SUMIFS(Raw_Events!$L:$L,Raw_Events!$C:$C,$A51,Raw_Events!$G:$G,"ALCOHOL")</f>
        <v/>
      </c>
      <c r="J51" s="16">
        <f>SUMIFS(Raw_Events!$H:$H,Raw_Events!$C:$C,$A51,Raw_Events!$G:$G,"UNHEALTHY_MEAL")</f>
        <v/>
      </c>
      <c r="K51" s="28">
        <f>SUMIFS(Raw_Events!$H:$H,Raw_Events!$C:$C,$A51,Raw_Events!$G:$G,"TRAINING_MIN")+SUMIFS(Raw_Events!$H:$H,Raw_Events!$C:$C,$A51,Raw_Events!$G:$G,"DICTION_TRAINING_MIN")</f>
        <v/>
      </c>
      <c r="L51" s="28" t="n"/>
      <c r="M51" s="16">
        <f>SUMIFS(Raw_Events!$H:$H,Raw_Events!$C:$C,$A51,Raw_Events!$G:$G,"IDEA")</f>
        <v/>
      </c>
      <c r="N51" s="16">
        <f>COUNTIFS(Raw_Events!$C:$C,$A51,Raw_Events!$G:$G,"SOCIAL_MEET")</f>
        <v/>
      </c>
      <c r="O51" s="16">
        <f>COUNTIFS(Raw_Events!$C:$C,$A51,Raw_Events!$G:$G,"DATE")</f>
        <v/>
      </c>
      <c r="P51" s="3">
        <f>COUNTIFS(Raw_Events!$C:$C,$A51,Raw_Events!$G:$G,"NEW_ACTIVITY")</f>
        <v/>
      </c>
      <c r="Q51" s="3">
        <f>SUMIFS(Raw_Events!$H:$H,Raw_Events!$C:$C,$A51,Raw_Events!$G:$G,"TRAVEL_NIGHT")</f>
        <v/>
      </c>
      <c r="R51" s="3" t="n"/>
    </row>
    <row r="52" ht="15" customHeight="1">
      <c r="A52" s="14" t="n">
        <v>46072</v>
      </c>
      <c r="B52" s="27">
        <f>SUMIFS(Raw_Events!$H:$H,Raw_Events!$C:$C,$A52,Raw_Events!$G:$G,"SLEEP_HOURS")</f>
        <v/>
      </c>
      <c r="C52" s="16">
        <f>COUNTIFS(Raw_Events!$C:$C,$A52,Raw_Events!$G:$G,"WORKOUT")</f>
        <v/>
      </c>
      <c r="D52" s="28">
        <f>SUMIFS(Raw_Events!$H:$H,Raw_Events!$C:$C,$A52,Raw_Events!$G:$G,"POSTURE_SESSION")</f>
        <v/>
      </c>
      <c r="E52" s="8">
        <f>IF($D52="","",IF($D52&gt;=Settings!$C$17,1,0))</f>
        <v/>
      </c>
      <c r="F52" s="28">
        <f>SUMIFS(Raw_Events!$H:$H,Raw_Events!$C:$C,$A52,Raw_Events!$G:$G,"MINDFULNESS_MIN")</f>
        <v/>
      </c>
      <c r="G52" s="8">
        <f>IF($F52="","",IF($F52&gt;0,1,0))</f>
        <v/>
      </c>
      <c r="H52" s="16">
        <f>SUMIFS(Raw_Events!$H:$H,Raw_Events!$C:$C,$A52,Raw_Events!$G:$G,"CIGARETTES")</f>
        <v/>
      </c>
      <c r="I52" s="29">
        <f>SUMIFS(Raw_Events!$L:$L,Raw_Events!$C:$C,$A52,Raw_Events!$G:$G,"ALCOHOL")</f>
        <v/>
      </c>
      <c r="J52" s="16">
        <f>SUMIFS(Raw_Events!$H:$H,Raw_Events!$C:$C,$A52,Raw_Events!$G:$G,"UNHEALTHY_MEAL")</f>
        <v/>
      </c>
      <c r="K52" s="28">
        <f>SUMIFS(Raw_Events!$H:$H,Raw_Events!$C:$C,$A52,Raw_Events!$G:$G,"TRAINING_MIN")+SUMIFS(Raw_Events!$H:$H,Raw_Events!$C:$C,$A52,Raw_Events!$G:$G,"DICTION_TRAINING_MIN")</f>
        <v/>
      </c>
      <c r="L52" s="28" t="n"/>
      <c r="M52" s="16">
        <f>SUMIFS(Raw_Events!$H:$H,Raw_Events!$C:$C,$A52,Raw_Events!$G:$G,"IDEA")</f>
        <v/>
      </c>
      <c r="N52" s="16">
        <f>COUNTIFS(Raw_Events!$C:$C,$A52,Raw_Events!$G:$G,"SOCIAL_MEET")</f>
        <v/>
      </c>
      <c r="O52" s="16">
        <f>COUNTIFS(Raw_Events!$C:$C,$A52,Raw_Events!$G:$G,"DATE")</f>
        <v/>
      </c>
      <c r="P52" s="3">
        <f>COUNTIFS(Raw_Events!$C:$C,$A52,Raw_Events!$G:$G,"NEW_ACTIVITY")</f>
        <v/>
      </c>
      <c r="Q52" s="3">
        <f>SUMIFS(Raw_Events!$H:$H,Raw_Events!$C:$C,$A52,Raw_Events!$G:$G,"TRAVEL_NIGHT")</f>
        <v/>
      </c>
      <c r="R52" s="3" t="n"/>
    </row>
    <row r="53" ht="15" customHeight="1">
      <c r="A53" s="14" t="n">
        <v>46073</v>
      </c>
      <c r="B53" s="27">
        <f>SUMIFS(Raw_Events!$H:$H,Raw_Events!$C:$C,$A53,Raw_Events!$G:$G,"SLEEP_HOURS")</f>
        <v/>
      </c>
      <c r="C53" s="16">
        <f>COUNTIFS(Raw_Events!$C:$C,$A53,Raw_Events!$G:$G,"WORKOUT")</f>
        <v/>
      </c>
      <c r="D53" s="28">
        <f>SUMIFS(Raw_Events!$H:$H,Raw_Events!$C:$C,$A53,Raw_Events!$G:$G,"POSTURE_SESSION")</f>
        <v/>
      </c>
      <c r="E53" s="8">
        <f>IF($D53="","",IF($D53&gt;=Settings!$C$17,1,0))</f>
        <v/>
      </c>
      <c r="F53" s="28">
        <f>SUMIFS(Raw_Events!$H:$H,Raw_Events!$C:$C,$A53,Raw_Events!$G:$G,"MINDFULNESS_MIN")</f>
        <v/>
      </c>
      <c r="G53" s="8">
        <f>IF($F53="","",IF($F53&gt;0,1,0))</f>
        <v/>
      </c>
      <c r="H53" s="16">
        <f>SUMIFS(Raw_Events!$H:$H,Raw_Events!$C:$C,$A53,Raw_Events!$G:$G,"CIGARETTES")</f>
        <v/>
      </c>
      <c r="I53" s="29">
        <f>SUMIFS(Raw_Events!$L:$L,Raw_Events!$C:$C,$A53,Raw_Events!$G:$G,"ALCOHOL")</f>
        <v/>
      </c>
      <c r="J53" s="16">
        <f>SUMIFS(Raw_Events!$H:$H,Raw_Events!$C:$C,$A53,Raw_Events!$G:$G,"UNHEALTHY_MEAL")</f>
        <v/>
      </c>
      <c r="K53" s="28">
        <f>SUMIFS(Raw_Events!$H:$H,Raw_Events!$C:$C,$A53,Raw_Events!$G:$G,"TRAINING_MIN")+SUMIFS(Raw_Events!$H:$H,Raw_Events!$C:$C,$A53,Raw_Events!$G:$G,"DICTION_TRAINING_MIN")</f>
        <v/>
      </c>
      <c r="L53" s="28" t="n"/>
      <c r="M53" s="16">
        <f>SUMIFS(Raw_Events!$H:$H,Raw_Events!$C:$C,$A53,Raw_Events!$G:$G,"IDEA")</f>
        <v/>
      </c>
      <c r="N53" s="16">
        <f>COUNTIFS(Raw_Events!$C:$C,$A53,Raw_Events!$G:$G,"SOCIAL_MEET")</f>
        <v/>
      </c>
      <c r="O53" s="16">
        <f>COUNTIFS(Raw_Events!$C:$C,$A53,Raw_Events!$G:$G,"DATE")</f>
        <v/>
      </c>
      <c r="P53" s="3">
        <f>COUNTIFS(Raw_Events!$C:$C,$A53,Raw_Events!$G:$G,"NEW_ACTIVITY")</f>
        <v/>
      </c>
      <c r="Q53" s="3">
        <f>SUMIFS(Raw_Events!$H:$H,Raw_Events!$C:$C,$A53,Raw_Events!$G:$G,"TRAVEL_NIGHT")</f>
        <v/>
      </c>
      <c r="R53" s="3" t="n"/>
    </row>
    <row r="54" ht="15" customHeight="1">
      <c r="A54" s="14" t="n">
        <v>46074</v>
      </c>
      <c r="B54" s="27">
        <f>SUMIFS(Raw_Events!$H:$H,Raw_Events!$C:$C,$A54,Raw_Events!$G:$G,"SLEEP_HOURS")</f>
        <v/>
      </c>
      <c r="C54" s="16">
        <f>COUNTIFS(Raw_Events!$C:$C,$A54,Raw_Events!$G:$G,"WORKOUT")</f>
        <v/>
      </c>
      <c r="D54" s="28">
        <f>SUMIFS(Raw_Events!$H:$H,Raw_Events!$C:$C,$A54,Raw_Events!$G:$G,"POSTURE_SESSION")</f>
        <v/>
      </c>
      <c r="E54" s="8">
        <f>IF($D54="","",IF($D54&gt;=Settings!$C$17,1,0))</f>
        <v/>
      </c>
      <c r="F54" s="28">
        <f>SUMIFS(Raw_Events!$H:$H,Raw_Events!$C:$C,$A54,Raw_Events!$G:$G,"MINDFULNESS_MIN")</f>
        <v/>
      </c>
      <c r="G54" s="8">
        <f>IF($F54="","",IF($F54&gt;0,1,0))</f>
        <v/>
      </c>
      <c r="H54" s="16">
        <f>SUMIFS(Raw_Events!$H:$H,Raw_Events!$C:$C,$A54,Raw_Events!$G:$G,"CIGARETTES")</f>
        <v/>
      </c>
      <c r="I54" s="29">
        <f>SUMIFS(Raw_Events!$L:$L,Raw_Events!$C:$C,$A54,Raw_Events!$G:$G,"ALCOHOL")</f>
        <v/>
      </c>
      <c r="J54" s="16">
        <f>SUMIFS(Raw_Events!$H:$H,Raw_Events!$C:$C,$A54,Raw_Events!$G:$G,"UNHEALTHY_MEAL")</f>
        <v/>
      </c>
      <c r="K54" s="28">
        <f>SUMIFS(Raw_Events!$H:$H,Raw_Events!$C:$C,$A54,Raw_Events!$G:$G,"TRAINING_MIN")+SUMIFS(Raw_Events!$H:$H,Raw_Events!$C:$C,$A54,Raw_Events!$G:$G,"DICTION_TRAINING_MIN")</f>
        <v/>
      </c>
      <c r="L54" s="28" t="n"/>
      <c r="M54" s="16">
        <f>SUMIFS(Raw_Events!$H:$H,Raw_Events!$C:$C,$A54,Raw_Events!$G:$G,"IDEA")</f>
        <v/>
      </c>
      <c r="N54" s="16">
        <f>COUNTIFS(Raw_Events!$C:$C,$A54,Raw_Events!$G:$G,"SOCIAL_MEET")</f>
        <v/>
      </c>
      <c r="O54" s="16">
        <f>COUNTIFS(Raw_Events!$C:$C,$A54,Raw_Events!$G:$G,"DATE")</f>
        <v/>
      </c>
      <c r="P54" s="3">
        <f>COUNTIFS(Raw_Events!$C:$C,$A54,Raw_Events!$G:$G,"NEW_ACTIVITY")</f>
        <v/>
      </c>
      <c r="Q54" s="3">
        <f>SUMIFS(Raw_Events!$H:$H,Raw_Events!$C:$C,$A54,Raw_Events!$G:$G,"TRAVEL_NIGHT")</f>
        <v/>
      </c>
      <c r="R54" s="3" t="n"/>
    </row>
    <row r="55" ht="15" customHeight="1">
      <c r="A55" s="14" t="n">
        <v>46075</v>
      </c>
      <c r="B55" s="27">
        <f>SUMIFS(Raw_Events!$H:$H,Raw_Events!$C:$C,$A55,Raw_Events!$G:$G,"SLEEP_HOURS")</f>
        <v/>
      </c>
      <c r="C55" s="16">
        <f>COUNTIFS(Raw_Events!$C:$C,$A55,Raw_Events!$G:$G,"WORKOUT")</f>
        <v/>
      </c>
      <c r="D55" s="28">
        <f>SUMIFS(Raw_Events!$H:$H,Raw_Events!$C:$C,$A55,Raw_Events!$G:$G,"POSTURE_SESSION")</f>
        <v/>
      </c>
      <c r="E55" s="8">
        <f>IF($D55="","",IF($D55&gt;=Settings!$C$17,1,0))</f>
        <v/>
      </c>
      <c r="F55" s="28">
        <f>SUMIFS(Raw_Events!$H:$H,Raw_Events!$C:$C,$A55,Raw_Events!$G:$G,"MINDFULNESS_MIN")</f>
        <v/>
      </c>
      <c r="G55" s="8">
        <f>IF($F55="","",IF($F55&gt;0,1,0))</f>
        <v/>
      </c>
      <c r="H55" s="16">
        <f>SUMIFS(Raw_Events!$H:$H,Raw_Events!$C:$C,$A55,Raw_Events!$G:$G,"CIGARETTES")</f>
        <v/>
      </c>
      <c r="I55" s="29">
        <f>SUMIFS(Raw_Events!$L:$L,Raw_Events!$C:$C,$A55,Raw_Events!$G:$G,"ALCOHOL")</f>
        <v/>
      </c>
      <c r="J55" s="16">
        <f>SUMIFS(Raw_Events!$H:$H,Raw_Events!$C:$C,$A55,Raw_Events!$G:$G,"UNHEALTHY_MEAL")</f>
        <v/>
      </c>
      <c r="K55" s="28">
        <f>SUMIFS(Raw_Events!$H:$H,Raw_Events!$C:$C,$A55,Raw_Events!$G:$G,"TRAINING_MIN")+SUMIFS(Raw_Events!$H:$H,Raw_Events!$C:$C,$A55,Raw_Events!$G:$G,"DICTION_TRAINING_MIN")</f>
        <v/>
      </c>
      <c r="L55" s="28" t="n"/>
      <c r="M55" s="16">
        <f>SUMIFS(Raw_Events!$H:$H,Raw_Events!$C:$C,$A55,Raw_Events!$G:$G,"IDEA")</f>
        <v/>
      </c>
      <c r="N55" s="16">
        <f>COUNTIFS(Raw_Events!$C:$C,$A55,Raw_Events!$G:$G,"SOCIAL_MEET")</f>
        <v/>
      </c>
      <c r="O55" s="16">
        <f>COUNTIFS(Raw_Events!$C:$C,$A55,Raw_Events!$G:$G,"DATE")</f>
        <v/>
      </c>
      <c r="P55" s="3">
        <f>COUNTIFS(Raw_Events!$C:$C,$A55,Raw_Events!$G:$G,"NEW_ACTIVITY")</f>
        <v/>
      </c>
      <c r="Q55" s="3">
        <f>SUMIFS(Raw_Events!$H:$H,Raw_Events!$C:$C,$A55,Raw_Events!$G:$G,"TRAVEL_NIGHT")</f>
        <v/>
      </c>
      <c r="R55" s="3" t="n"/>
    </row>
    <row r="56" ht="15" customHeight="1">
      <c r="A56" s="14" t="n">
        <v>46076</v>
      </c>
      <c r="B56" s="27">
        <f>SUMIFS(Raw_Events!$H:$H,Raw_Events!$C:$C,$A56,Raw_Events!$G:$G,"SLEEP_HOURS")</f>
        <v/>
      </c>
      <c r="C56" s="16">
        <f>COUNTIFS(Raw_Events!$C:$C,$A56,Raw_Events!$G:$G,"WORKOUT")</f>
        <v/>
      </c>
      <c r="D56" s="28">
        <f>SUMIFS(Raw_Events!$H:$H,Raw_Events!$C:$C,$A56,Raw_Events!$G:$G,"POSTURE_SESSION")</f>
        <v/>
      </c>
      <c r="E56" s="8">
        <f>IF($D56="","",IF($D56&gt;=Settings!$C$17,1,0))</f>
        <v/>
      </c>
      <c r="F56" s="28">
        <f>SUMIFS(Raw_Events!$H:$H,Raw_Events!$C:$C,$A56,Raw_Events!$G:$G,"MINDFULNESS_MIN")</f>
        <v/>
      </c>
      <c r="G56" s="8">
        <f>IF($F56="","",IF($F56&gt;0,1,0))</f>
        <v/>
      </c>
      <c r="H56" s="16">
        <f>SUMIFS(Raw_Events!$H:$H,Raw_Events!$C:$C,$A56,Raw_Events!$G:$G,"CIGARETTES")</f>
        <v/>
      </c>
      <c r="I56" s="29">
        <f>SUMIFS(Raw_Events!$L:$L,Raw_Events!$C:$C,$A56,Raw_Events!$G:$G,"ALCOHOL")</f>
        <v/>
      </c>
      <c r="J56" s="16">
        <f>SUMIFS(Raw_Events!$H:$H,Raw_Events!$C:$C,$A56,Raw_Events!$G:$G,"UNHEALTHY_MEAL")</f>
        <v/>
      </c>
      <c r="K56" s="28">
        <f>SUMIFS(Raw_Events!$H:$H,Raw_Events!$C:$C,$A56,Raw_Events!$G:$G,"TRAINING_MIN")+SUMIFS(Raw_Events!$H:$H,Raw_Events!$C:$C,$A56,Raw_Events!$G:$G,"DICTION_TRAINING_MIN")</f>
        <v/>
      </c>
      <c r="L56" s="28" t="n"/>
      <c r="M56" s="16">
        <f>SUMIFS(Raw_Events!$H:$H,Raw_Events!$C:$C,$A56,Raw_Events!$G:$G,"IDEA")</f>
        <v/>
      </c>
      <c r="N56" s="16">
        <f>COUNTIFS(Raw_Events!$C:$C,$A56,Raw_Events!$G:$G,"SOCIAL_MEET")</f>
        <v/>
      </c>
      <c r="O56" s="16">
        <f>COUNTIFS(Raw_Events!$C:$C,$A56,Raw_Events!$G:$G,"DATE")</f>
        <v/>
      </c>
      <c r="P56" s="3">
        <f>COUNTIFS(Raw_Events!$C:$C,$A56,Raw_Events!$G:$G,"NEW_ACTIVITY")</f>
        <v/>
      </c>
      <c r="Q56" s="3">
        <f>SUMIFS(Raw_Events!$H:$H,Raw_Events!$C:$C,$A56,Raw_Events!$G:$G,"TRAVEL_NIGHT")</f>
        <v/>
      </c>
      <c r="R56" s="3" t="n"/>
    </row>
    <row r="57" ht="15" customHeight="1">
      <c r="A57" s="14" t="n">
        <v>46077</v>
      </c>
      <c r="B57" s="27">
        <f>SUMIFS(Raw_Events!$H:$H,Raw_Events!$C:$C,$A57,Raw_Events!$G:$G,"SLEEP_HOURS")</f>
        <v/>
      </c>
      <c r="C57" s="16">
        <f>COUNTIFS(Raw_Events!$C:$C,$A57,Raw_Events!$G:$G,"WORKOUT")</f>
        <v/>
      </c>
      <c r="D57" s="28">
        <f>SUMIFS(Raw_Events!$H:$H,Raw_Events!$C:$C,$A57,Raw_Events!$G:$G,"POSTURE_SESSION")</f>
        <v/>
      </c>
      <c r="E57" s="8">
        <f>IF($D57="","",IF($D57&gt;=Settings!$C$17,1,0))</f>
        <v/>
      </c>
      <c r="F57" s="28">
        <f>SUMIFS(Raw_Events!$H:$H,Raw_Events!$C:$C,$A57,Raw_Events!$G:$G,"MINDFULNESS_MIN")</f>
        <v/>
      </c>
      <c r="G57" s="8">
        <f>IF($F57="","",IF($F57&gt;0,1,0))</f>
        <v/>
      </c>
      <c r="H57" s="16">
        <f>SUMIFS(Raw_Events!$H:$H,Raw_Events!$C:$C,$A57,Raw_Events!$G:$G,"CIGARETTES")</f>
        <v/>
      </c>
      <c r="I57" s="29">
        <f>SUMIFS(Raw_Events!$L:$L,Raw_Events!$C:$C,$A57,Raw_Events!$G:$G,"ALCOHOL")</f>
        <v/>
      </c>
      <c r="J57" s="16">
        <f>SUMIFS(Raw_Events!$H:$H,Raw_Events!$C:$C,$A57,Raw_Events!$G:$G,"UNHEALTHY_MEAL")</f>
        <v/>
      </c>
      <c r="K57" s="28">
        <f>SUMIFS(Raw_Events!$H:$H,Raw_Events!$C:$C,$A57,Raw_Events!$G:$G,"TRAINING_MIN")+SUMIFS(Raw_Events!$H:$H,Raw_Events!$C:$C,$A57,Raw_Events!$G:$G,"DICTION_TRAINING_MIN")</f>
        <v/>
      </c>
      <c r="L57" s="28" t="n"/>
      <c r="M57" s="16">
        <f>SUMIFS(Raw_Events!$H:$H,Raw_Events!$C:$C,$A57,Raw_Events!$G:$G,"IDEA")</f>
        <v/>
      </c>
      <c r="N57" s="16">
        <f>COUNTIFS(Raw_Events!$C:$C,$A57,Raw_Events!$G:$G,"SOCIAL_MEET")</f>
        <v/>
      </c>
      <c r="O57" s="16">
        <f>COUNTIFS(Raw_Events!$C:$C,$A57,Raw_Events!$G:$G,"DATE")</f>
        <v/>
      </c>
      <c r="P57" s="3">
        <f>COUNTIFS(Raw_Events!$C:$C,$A57,Raw_Events!$G:$G,"NEW_ACTIVITY")</f>
        <v/>
      </c>
      <c r="Q57" s="3">
        <f>SUMIFS(Raw_Events!$H:$H,Raw_Events!$C:$C,$A57,Raw_Events!$G:$G,"TRAVEL_NIGHT")</f>
        <v/>
      </c>
      <c r="R57" s="3" t="n"/>
    </row>
    <row r="58" ht="15" customHeight="1">
      <c r="A58" s="14" t="n">
        <v>46078</v>
      </c>
      <c r="B58" s="27">
        <f>SUMIFS(Raw_Events!$H:$H,Raw_Events!$C:$C,$A58,Raw_Events!$G:$G,"SLEEP_HOURS")</f>
        <v/>
      </c>
      <c r="C58" s="16">
        <f>COUNTIFS(Raw_Events!$C:$C,$A58,Raw_Events!$G:$G,"WORKOUT")</f>
        <v/>
      </c>
      <c r="D58" s="28">
        <f>SUMIFS(Raw_Events!$H:$H,Raw_Events!$C:$C,$A58,Raw_Events!$G:$G,"POSTURE_SESSION")</f>
        <v/>
      </c>
      <c r="E58" s="8">
        <f>IF($D58="","",IF($D58&gt;=Settings!$C$17,1,0))</f>
        <v/>
      </c>
      <c r="F58" s="28">
        <f>SUMIFS(Raw_Events!$H:$H,Raw_Events!$C:$C,$A58,Raw_Events!$G:$G,"MINDFULNESS_MIN")</f>
        <v/>
      </c>
      <c r="G58" s="8">
        <f>IF($F58="","",IF($F58&gt;0,1,0))</f>
        <v/>
      </c>
      <c r="H58" s="16">
        <f>SUMIFS(Raw_Events!$H:$H,Raw_Events!$C:$C,$A58,Raw_Events!$G:$G,"CIGARETTES")</f>
        <v/>
      </c>
      <c r="I58" s="29">
        <f>SUMIFS(Raw_Events!$L:$L,Raw_Events!$C:$C,$A58,Raw_Events!$G:$G,"ALCOHOL")</f>
        <v/>
      </c>
      <c r="J58" s="16">
        <f>SUMIFS(Raw_Events!$H:$H,Raw_Events!$C:$C,$A58,Raw_Events!$G:$G,"UNHEALTHY_MEAL")</f>
        <v/>
      </c>
      <c r="K58" s="28">
        <f>SUMIFS(Raw_Events!$H:$H,Raw_Events!$C:$C,$A58,Raw_Events!$G:$G,"TRAINING_MIN")+SUMIFS(Raw_Events!$H:$H,Raw_Events!$C:$C,$A58,Raw_Events!$G:$G,"DICTION_TRAINING_MIN")</f>
        <v/>
      </c>
      <c r="L58" s="28" t="n"/>
      <c r="M58" s="16">
        <f>SUMIFS(Raw_Events!$H:$H,Raw_Events!$C:$C,$A58,Raw_Events!$G:$G,"IDEA")</f>
        <v/>
      </c>
      <c r="N58" s="16">
        <f>COUNTIFS(Raw_Events!$C:$C,$A58,Raw_Events!$G:$G,"SOCIAL_MEET")</f>
        <v/>
      </c>
      <c r="O58" s="16">
        <f>COUNTIFS(Raw_Events!$C:$C,$A58,Raw_Events!$G:$G,"DATE")</f>
        <v/>
      </c>
      <c r="P58" s="3">
        <f>COUNTIFS(Raw_Events!$C:$C,$A58,Raw_Events!$G:$G,"NEW_ACTIVITY")</f>
        <v/>
      </c>
      <c r="Q58" s="3">
        <f>SUMIFS(Raw_Events!$H:$H,Raw_Events!$C:$C,$A58,Raw_Events!$G:$G,"TRAVEL_NIGHT")</f>
        <v/>
      </c>
      <c r="R58" s="3" t="n"/>
    </row>
    <row r="59" ht="15" customHeight="1">
      <c r="A59" s="14" t="n">
        <v>46079</v>
      </c>
      <c r="B59" s="27">
        <f>SUMIFS(Raw_Events!$H:$H,Raw_Events!$C:$C,$A59,Raw_Events!$G:$G,"SLEEP_HOURS")</f>
        <v/>
      </c>
      <c r="C59" s="16">
        <f>COUNTIFS(Raw_Events!$C:$C,$A59,Raw_Events!$G:$G,"WORKOUT")</f>
        <v/>
      </c>
      <c r="D59" s="28">
        <f>SUMIFS(Raw_Events!$H:$H,Raw_Events!$C:$C,$A59,Raw_Events!$G:$G,"POSTURE_SESSION")</f>
        <v/>
      </c>
      <c r="E59" s="8">
        <f>IF($D59="","",IF($D59&gt;=Settings!$C$17,1,0))</f>
        <v/>
      </c>
      <c r="F59" s="28">
        <f>SUMIFS(Raw_Events!$H:$H,Raw_Events!$C:$C,$A59,Raw_Events!$G:$G,"MINDFULNESS_MIN")</f>
        <v/>
      </c>
      <c r="G59" s="8">
        <f>IF($F59="","",IF($F59&gt;0,1,0))</f>
        <v/>
      </c>
      <c r="H59" s="16">
        <f>SUMIFS(Raw_Events!$H:$H,Raw_Events!$C:$C,$A59,Raw_Events!$G:$G,"CIGARETTES")</f>
        <v/>
      </c>
      <c r="I59" s="29">
        <f>SUMIFS(Raw_Events!$L:$L,Raw_Events!$C:$C,$A59,Raw_Events!$G:$G,"ALCOHOL")</f>
        <v/>
      </c>
      <c r="J59" s="16">
        <f>SUMIFS(Raw_Events!$H:$H,Raw_Events!$C:$C,$A59,Raw_Events!$G:$G,"UNHEALTHY_MEAL")</f>
        <v/>
      </c>
      <c r="K59" s="28">
        <f>SUMIFS(Raw_Events!$H:$H,Raw_Events!$C:$C,$A59,Raw_Events!$G:$G,"TRAINING_MIN")+SUMIFS(Raw_Events!$H:$H,Raw_Events!$C:$C,$A59,Raw_Events!$G:$G,"DICTION_TRAINING_MIN")</f>
        <v/>
      </c>
      <c r="L59" s="28" t="n"/>
      <c r="M59" s="16">
        <f>SUMIFS(Raw_Events!$H:$H,Raw_Events!$C:$C,$A59,Raw_Events!$G:$G,"IDEA")</f>
        <v/>
      </c>
      <c r="N59" s="16">
        <f>COUNTIFS(Raw_Events!$C:$C,$A59,Raw_Events!$G:$G,"SOCIAL_MEET")</f>
        <v/>
      </c>
      <c r="O59" s="16">
        <f>COUNTIFS(Raw_Events!$C:$C,$A59,Raw_Events!$G:$G,"DATE")</f>
        <v/>
      </c>
      <c r="P59" s="3">
        <f>COUNTIFS(Raw_Events!$C:$C,$A59,Raw_Events!$G:$G,"NEW_ACTIVITY")</f>
        <v/>
      </c>
      <c r="Q59" s="3">
        <f>SUMIFS(Raw_Events!$H:$H,Raw_Events!$C:$C,$A59,Raw_Events!$G:$G,"TRAVEL_NIGHT")</f>
        <v/>
      </c>
      <c r="R59" s="3" t="n"/>
    </row>
    <row r="60" ht="15" customHeight="1">
      <c r="A60" s="14" t="n">
        <v>46080</v>
      </c>
      <c r="B60" s="27">
        <f>SUMIFS(Raw_Events!$H:$H,Raw_Events!$C:$C,$A60,Raw_Events!$G:$G,"SLEEP_HOURS")</f>
        <v/>
      </c>
      <c r="C60" s="16">
        <f>COUNTIFS(Raw_Events!$C:$C,$A60,Raw_Events!$G:$G,"WORKOUT")</f>
        <v/>
      </c>
      <c r="D60" s="28">
        <f>SUMIFS(Raw_Events!$H:$H,Raw_Events!$C:$C,$A60,Raw_Events!$G:$G,"POSTURE_SESSION")</f>
        <v/>
      </c>
      <c r="E60" s="8">
        <f>IF($D60="","",IF($D60&gt;=Settings!$C$17,1,0))</f>
        <v/>
      </c>
      <c r="F60" s="28">
        <f>SUMIFS(Raw_Events!$H:$H,Raw_Events!$C:$C,$A60,Raw_Events!$G:$G,"MINDFULNESS_MIN")</f>
        <v/>
      </c>
      <c r="G60" s="8">
        <f>IF($F60="","",IF($F60&gt;0,1,0))</f>
        <v/>
      </c>
      <c r="H60" s="16">
        <f>SUMIFS(Raw_Events!$H:$H,Raw_Events!$C:$C,$A60,Raw_Events!$G:$G,"CIGARETTES")</f>
        <v/>
      </c>
      <c r="I60" s="29">
        <f>SUMIFS(Raw_Events!$L:$L,Raw_Events!$C:$C,$A60,Raw_Events!$G:$G,"ALCOHOL")</f>
        <v/>
      </c>
      <c r="J60" s="16">
        <f>SUMIFS(Raw_Events!$H:$H,Raw_Events!$C:$C,$A60,Raw_Events!$G:$G,"UNHEALTHY_MEAL")</f>
        <v/>
      </c>
      <c r="K60" s="28">
        <f>SUMIFS(Raw_Events!$H:$H,Raw_Events!$C:$C,$A60,Raw_Events!$G:$G,"TRAINING_MIN")+SUMIFS(Raw_Events!$H:$H,Raw_Events!$C:$C,$A60,Raw_Events!$G:$G,"DICTION_TRAINING_MIN")</f>
        <v/>
      </c>
      <c r="L60" s="28" t="n"/>
      <c r="M60" s="16">
        <f>SUMIFS(Raw_Events!$H:$H,Raw_Events!$C:$C,$A60,Raw_Events!$G:$G,"IDEA")</f>
        <v/>
      </c>
      <c r="N60" s="16">
        <f>COUNTIFS(Raw_Events!$C:$C,$A60,Raw_Events!$G:$G,"SOCIAL_MEET")</f>
        <v/>
      </c>
      <c r="O60" s="16">
        <f>COUNTIFS(Raw_Events!$C:$C,$A60,Raw_Events!$G:$G,"DATE")</f>
        <v/>
      </c>
      <c r="P60" s="3">
        <f>COUNTIFS(Raw_Events!$C:$C,$A60,Raw_Events!$G:$G,"NEW_ACTIVITY")</f>
        <v/>
      </c>
      <c r="Q60" s="3">
        <f>SUMIFS(Raw_Events!$H:$H,Raw_Events!$C:$C,$A60,Raw_Events!$G:$G,"TRAVEL_NIGHT")</f>
        <v/>
      </c>
      <c r="R60" s="3" t="n"/>
    </row>
    <row r="61" ht="15" customHeight="1">
      <c r="A61" s="14" t="n">
        <v>46081</v>
      </c>
      <c r="B61" s="27">
        <f>SUMIFS(Raw_Events!$H:$H,Raw_Events!$C:$C,$A61,Raw_Events!$G:$G,"SLEEP_HOURS")</f>
        <v/>
      </c>
      <c r="C61" s="16">
        <f>COUNTIFS(Raw_Events!$C:$C,$A61,Raw_Events!$G:$G,"WORKOUT")</f>
        <v/>
      </c>
      <c r="D61" s="28">
        <f>SUMIFS(Raw_Events!$H:$H,Raw_Events!$C:$C,$A61,Raw_Events!$G:$G,"POSTURE_SESSION")</f>
        <v/>
      </c>
      <c r="E61" s="8">
        <f>IF($D61="","",IF($D61&gt;=Settings!$C$17,1,0))</f>
        <v/>
      </c>
      <c r="F61" s="28">
        <f>SUMIFS(Raw_Events!$H:$H,Raw_Events!$C:$C,$A61,Raw_Events!$G:$G,"MINDFULNESS_MIN")</f>
        <v/>
      </c>
      <c r="G61" s="8">
        <f>IF($F61="","",IF($F61&gt;0,1,0))</f>
        <v/>
      </c>
      <c r="H61" s="16">
        <f>SUMIFS(Raw_Events!$H:$H,Raw_Events!$C:$C,$A61,Raw_Events!$G:$G,"CIGARETTES")</f>
        <v/>
      </c>
      <c r="I61" s="29">
        <f>SUMIFS(Raw_Events!$L:$L,Raw_Events!$C:$C,$A61,Raw_Events!$G:$G,"ALCOHOL")</f>
        <v/>
      </c>
      <c r="J61" s="16">
        <f>SUMIFS(Raw_Events!$H:$H,Raw_Events!$C:$C,$A61,Raw_Events!$G:$G,"UNHEALTHY_MEAL")</f>
        <v/>
      </c>
      <c r="K61" s="28">
        <f>SUMIFS(Raw_Events!$H:$H,Raw_Events!$C:$C,$A61,Raw_Events!$G:$G,"TRAINING_MIN")+SUMIFS(Raw_Events!$H:$H,Raw_Events!$C:$C,$A61,Raw_Events!$G:$G,"DICTION_TRAINING_MIN")</f>
        <v/>
      </c>
      <c r="L61" s="28" t="n"/>
      <c r="M61" s="16">
        <f>SUMIFS(Raw_Events!$H:$H,Raw_Events!$C:$C,$A61,Raw_Events!$G:$G,"IDEA")</f>
        <v/>
      </c>
      <c r="N61" s="16">
        <f>COUNTIFS(Raw_Events!$C:$C,$A61,Raw_Events!$G:$G,"SOCIAL_MEET")</f>
        <v/>
      </c>
      <c r="O61" s="16">
        <f>COUNTIFS(Raw_Events!$C:$C,$A61,Raw_Events!$G:$G,"DATE")</f>
        <v/>
      </c>
      <c r="P61" s="3">
        <f>COUNTIFS(Raw_Events!$C:$C,$A61,Raw_Events!$G:$G,"NEW_ACTIVITY")</f>
        <v/>
      </c>
      <c r="Q61" s="3">
        <f>SUMIFS(Raw_Events!$H:$H,Raw_Events!$C:$C,$A61,Raw_Events!$G:$G,"TRAVEL_NIGHT")</f>
        <v/>
      </c>
      <c r="R61" s="3" t="n"/>
    </row>
    <row r="62" ht="15" customHeight="1">
      <c r="A62" s="14" t="n">
        <v>46082</v>
      </c>
      <c r="B62" s="27">
        <f>SUMIFS(Raw_Events!$H:$H,Raw_Events!$C:$C,$A62,Raw_Events!$G:$G,"SLEEP_HOURS")</f>
        <v/>
      </c>
      <c r="C62" s="16">
        <f>COUNTIFS(Raw_Events!$C:$C,$A62,Raw_Events!$G:$G,"WORKOUT")</f>
        <v/>
      </c>
      <c r="D62" s="28">
        <f>SUMIFS(Raw_Events!$H:$H,Raw_Events!$C:$C,$A62,Raw_Events!$G:$G,"POSTURE_SESSION")</f>
        <v/>
      </c>
      <c r="E62" s="8">
        <f>IF($D62="","",IF($D62&gt;=Settings!$C$17,1,0))</f>
        <v/>
      </c>
      <c r="F62" s="28">
        <f>SUMIFS(Raw_Events!$H:$H,Raw_Events!$C:$C,$A62,Raw_Events!$G:$G,"MINDFULNESS_MIN")</f>
        <v/>
      </c>
      <c r="G62" s="8">
        <f>IF($F62="","",IF($F62&gt;0,1,0))</f>
        <v/>
      </c>
      <c r="H62" s="16">
        <f>SUMIFS(Raw_Events!$H:$H,Raw_Events!$C:$C,$A62,Raw_Events!$G:$G,"CIGARETTES")</f>
        <v/>
      </c>
      <c r="I62" s="29">
        <f>SUMIFS(Raw_Events!$L:$L,Raw_Events!$C:$C,$A62,Raw_Events!$G:$G,"ALCOHOL")</f>
        <v/>
      </c>
      <c r="J62" s="16">
        <f>SUMIFS(Raw_Events!$H:$H,Raw_Events!$C:$C,$A62,Raw_Events!$G:$G,"UNHEALTHY_MEAL")</f>
        <v/>
      </c>
      <c r="K62" s="28">
        <f>SUMIFS(Raw_Events!$H:$H,Raw_Events!$C:$C,$A62,Raw_Events!$G:$G,"TRAINING_MIN")+SUMIFS(Raw_Events!$H:$H,Raw_Events!$C:$C,$A62,Raw_Events!$G:$G,"DICTION_TRAINING_MIN")</f>
        <v/>
      </c>
      <c r="L62" s="28" t="n"/>
      <c r="M62" s="16">
        <f>SUMIFS(Raw_Events!$H:$H,Raw_Events!$C:$C,$A62,Raw_Events!$G:$G,"IDEA")</f>
        <v/>
      </c>
      <c r="N62" s="16">
        <f>COUNTIFS(Raw_Events!$C:$C,$A62,Raw_Events!$G:$G,"SOCIAL_MEET")</f>
        <v/>
      </c>
      <c r="O62" s="16">
        <f>COUNTIFS(Raw_Events!$C:$C,$A62,Raw_Events!$G:$G,"DATE")</f>
        <v/>
      </c>
      <c r="P62" s="3">
        <f>COUNTIFS(Raw_Events!$C:$C,$A62,Raw_Events!$G:$G,"NEW_ACTIVITY")</f>
        <v/>
      </c>
      <c r="Q62" s="3">
        <f>SUMIFS(Raw_Events!$H:$H,Raw_Events!$C:$C,$A62,Raw_Events!$G:$G,"TRAVEL_NIGHT")</f>
        <v/>
      </c>
      <c r="R62" s="3" t="n"/>
    </row>
    <row r="63" ht="15" customHeight="1">
      <c r="A63" s="14" t="n">
        <v>46083</v>
      </c>
      <c r="B63" s="27">
        <f>SUMIFS(Raw_Events!$H:$H,Raw_Events!$C:$C,$A63,Raw_Events!$G:$G,"SLEEP_HOURS")</f>
        <v/>
      </c>
      <c r="C63" s="16">
        <f>COUNTIFS(Raw_Events!$C:$C,$A63,Raw_Events!$G:$G,"WORKOUT")</f>
        <v/>
      </c>
      <c r="D63" s="28">
        <f>SUMIFS(Raw_Events!$H:$H,Raw_Events!$C:$C,$A63,Raw_Events!$G:$G,"POSTURE_SESSION")</f>
        <v/>
      </c>
      <c r="E63" s="8">
        <f>IF($D63="","",IF($D63&gt;=Settings!$C$17,1,0))</f>
        <v/>
      </c>
      <c r="F63" s="28">
        <f>SUMIFS(Raw_Events!$H:$H,Raw_Events!$C:$C,$A63,Raw_Events!$G:$G,"MINDFULNESS_MIN")</f>
        <v/>
      </c>
      <c r="G63" s="8">
        <f>IF($F63="","",IF($F63&gt;0,1,0))</f>
        <v/>
      </c>
      <c r="H63" s="16">
        <f>SUMIFS(Raw_Events!$H:$H,Raw_Events!$C:$C,$A63,Raw_Events!$G:$G,"CIGARETTES")</f>
        <v/>
      </c>
      <c r="I63" s="29">
        <f>SUMIFS(Raw_Events!$L:$L,Raw_Events!$C:$C,$A63,Raw_Events!$G:$G,"ALCOHOL")</f>
        <v/>
      </c>
      <c r="J63" s="16">
        <f>SUMIFS(Raw_Events!$H:$H,Raw_Events!$C:$C,$A63,Raw_Events!$G:$G,"UNHEALTHY_MEAL")</f>
        <v/>
      </c>
      <c r="K63" s="28">
        <f>SUMIFS(Raw_Events!$H:$H,Raw_Events!$C:$C,$A63,Raw_Events!$G:$G,"TRAINING_MIN")+SUMIFS(Raw_Events!$H:$H,Raw_Events!$C:$C,$A63,Raw_Events!$G:$G,"DICTION_TRAINING_MIN")</f>
        <v/>
      </c>
      <c r="L63" s="28" t="n"/>
      <c r="M63" s="16">
        <f>SUMIFS(Raw_Events!$H:$H,Raw_Events!$C:$C,$A63,Raw_Events!$G:$G,"IDEA")</f>
        <v/>
      </c>
      <c r="N63" s="16">
        <f>COUNTIFS(Raw_Events!$C:$C,$A63,Raw_Events!$G:$G,"SOCIAL_MEET")</f>
        <v/>
      </c>
      <c r="O63" s="16">
        <f>COUNTIFS(Raw_Events!$C:$C,$A63,Raw_Events!$G:$G,"DATE")</f>
        <v/>
      </c>
      <c r="P63" s="3">
        <f>COUNTIFS(Raw_Events!$C:$C,$A63,Raw_Events!$G:$G,"NEW_ACTIVITY")</f>
        <v/>
      </c>
      <c r="Q63" s="3">
        <f>SUMIFS(Raw_Events!$H:$H,Raw_Events!$C:$C,$A63,Raw_Events!$G:$G,"TRAVEL_NIGHT")</f>
        <v/>
      </c>
      <c r="R63" s="3" t="n"/>
    </row>
    <row r="64" ht="15" customHeight="1">
      <c r="A64" s="14" t="n">
        <v>46084</v>
      </c>
      <c r="B64" s="27">
        <f>SUMIFS(Raw_Events!$H:$H,Raw_Events!$C:$C,$A64,Raw_Events!$G:$G,"SLEEP_HOURS")</f>
        <v/>
      </c>
      <c r="C64" s="16">
        <f>COUNTIFS(Raw_Events!$C:$C,$A64,Raw_Events!$G:$G,"WORKOUT")</f>
        <v/>
      </c>
      <c r="D64" s="28">
        <f>SUMIFS(Raw_Events!$H:$H,Raw_Events!$C:$C,$A64,Raw_Events!$G:$G,"POSTURE_SESSION")</f>
        <v/>
      </c>
      <c r="E64" s="8">
        <f>IF($D64="","",IF($D64&gt;=Settings!$C$17,1,0))</f>
        <v/>
      </c>
      <c r="F64" s="28">
        <f>SUMIFS(Raw_Events!$H:$H,Raw_Events!$C:$C,$A64,Raw_Events!$G:$G,"MINDFULNESS_MIN")</f>
        <v/>
      </c>
      <c r="G64" s="8">
        <f>IF($F64="","",IF($F64&gt;0,1,0))</f>
        <v/>
      </c>
      <c r="H64" s="16">
        <f>SUMIFS(Raw_Events!$H:$H,Raw_Events!$C:$C,$A64,Raw_Events!$G:$G,"CIGARETTES")</f>
        <v/>
      </c>
      <c r="I64" s="29">
        <f>SUMIFS(Raw_Events!$L:$L,Raw_Events!$C:$C,$A64,Raw_Events!$G:$G,"ALCOHOL")</f>
        <v/>
      </c>
      <c r="J64" s="16">
        <f>SUMIFS(Raw_Events!$H:$H,Raw_Events!$C:$C,$A64,Raw_Events!$G:$G,"UNHEALTHY_MEAL")</f>
        <v/>
      </c>
      <c r="K64" s="28">
        <f>SUMIFS(Raw_Events!$H:$H,Raw_Events!$C:$C,$A64,Raw_Events!$G:$G,"TRAINING_MIN")+SUMIFS(Raw_Events!$H:$H,Raw_Events!$C:$C,$A64,Raw_Events!$G:$G,"DICTION_TRAINING_MIN")</f>
        <v/>
      </c>
      <c r="L64" s="28" t="n"/>
      <c r="M64" s="16">
        <f>SUMIFS(Raw_Events!$H:$H,Raw_Events!$C:$C,$A64,Raw_Events!$G:$G,"IDEA")</f>
        <v/>
      </c>
      <c r="N64" s="16">
        <f>COUNTIFS(Raw_Events!$C:$C,$A64,Raw_Events!$G:$G,"SOCIAL_MEET")</f>
        <v/>
      </c>
      <c r="O64" s="16">
        <f>COUNTIFS(Raw_Events!$C:$C,$A64,Raw_Events!$G:$G,"DATE")</f>
        <v/>
      </c>
      <c r="P64" s="3">
        <f>COUNTIFS(Raw_Events!$C:$C,$A64,Raw_Events!$G:$G,"NEW_ACTIVITY")</f>
        <v/>
      </c>
      <c r="Q64" s="3">
        <f>SUMIFS(Raw_Events!$H:$H,Raw_Events!$C:$C,$A64,Raw_Events!$G:$G,"TRAVEL_NIGHT")</f>
        <v/>
      </c>
      <c r="R64" s="3" t="n"/>
    </row>
    <row r="65" ht="15" customHeight="1">
      <c r="A65" s="14" t="n">
        <v>46085</v>
      </c>
      <c r="B65" s="27">
        <f>SUMIFS(Raw_Events!$H:$H,Raw_Events!$C:$C,$A65,Raw_Events!$G:$G,"SLEEP_HOURS")</f>
        <v/>
      </c>
      <c r="C65" s="16">
        <f>COUNTIFS(Raw_Events!$C:$C,$A65,Raw_Events!$G:$G,"WORKOUT")</f>
        <v/>
      </c>
      <c r="D65" s="28">
        <f>SUMIFS(Raw_Events!$H:$H,Raw_Events!$C:$C,$A65,Raw_Events!$G:$G,"POSTURE_SESSION")</f>
        <v/>
      </c>
      <c r="E65" s="8">
        <f>IF($D65="","",IF($D65&gt;=Settings!$C$17,1,0))</f>
        <v/>
      </c>
      <c r="F65" s="28">
        <f>SUMIFS(Raw_Events!$H:$H,Raw_Events!$C:$C,$A65,Raw_Events!$G:$G,"MINDFULNESS_MIN")</f>
        <v/>
      </c>
      <c r="G65" s="8">
        <f>IF($F65="","",IF($F65&gt;0,1,0))</f>
        <v/>
      </c>
      <c r="H65" s="16">
        <f>SUMIFS(Raw_Events!$H:$H,Raw_Events!$C:$C,$A65,Raw_Events!$G:$G,"CIGARETTES")</f>
        <v/>
      </c>
      <c r="I65" s="29">
        <f>SUMIFS(Raw_Events!$L:$L,Raw_Events!$C:$C,$A65,Raw_Events!$G:$G,"ALCOHOL")</f>
        <v/>
      </c>
      <c r="J65" s="16">
        <f>SUMIFS(Raw_Events!$H:$H,Raw_Events!$C:$C,$A65,Raw_Events!$G:$G,"UNHEALTHY_MEAL")</f>
        <v/>
      </c>
      <c r="K65" s="28">
        <f>SUMIFS(Raw_Events!$H:$H,Raw_Events!$C:$C,$A65,Raw_Events!$G:$G,"TRAINING_MIN")+SUMIFS(Raw_Events!$H:$H,Raw_Events!$C:$C,$A65,Raw_Events!$G:$G,"DICTION_TRAINING_MIN")</f>
        <v/>
      </c>
      <c r="L65" s="28" t="n"/>
      <c r="M65" s="16">
        <f>SUMIFS(Raw_Events!$H:$H,Raw_Events!$C:$C,$A65,Raw_Events!$G:$G,"IDEA")</f>
        <v/>
      </c>
      <c r="N65" s="16">
        <f>COUNTIFS(Raw_Events!$C:$C,$A65,Raw_Events!$G:$G,"SOCIAL_MEET")</f>
        <v/>
      </c>
      <c r="O65" s="16">
        <f>COUNTIFS(Raw_Events!$C:$C,$A65,Raw_Events!$G:$G,"DATE")</f>
        <v/>
      </c>
      <c r="P65" s="3">
        <f>COUNTIFS(Raw_Events!$C:$C,$A65,Raw_Events!$G:$G,"NEW_ACTIVITY")</f>
        <v/>
      </c>
      <c r="Q65" s="3">
        <f>SUMIFS(Raw_Events!$H:$H,Raw_Events!$C:$C,$A65,Raw_Events!$G:$G,"TRAVEL_NIGHT")</f>
        <v/>
      </c>
      <c r="R65" s="3" t="n"/>
    </row>
    <row r="66" ht="15" customHeight="1">
      <c r="A66" s="14" t="n">
        <v>46086</v>
      </c>
      <c r="B66" s="27">
        <f>SUMIFS(Raw_Events!$H:$H,Raw_Events!$C:$C,$A66,Raw_Events!$G:$G,"SLEEP_HOURS")</f>
        <v/>
      </c>
      <c r="C66" s="16">
        <f>COUNTIFS(Raw_Events!$C:$C,$A66,Raw_Events!$G:$G,"WORKOUT")</f>
        <v/>
      </c>
      <c r="D66" s="28">
        <f>SUMIFS(Raw_Events!$H:$H,Raw_Events!$C:$C,$A66,Raw_Events!$G:$G,"POSTURE_SESSION")</f>
        <v/>
      </c>
      <c r="E66" s="8">
        <f>IF($D66="","",IF($D66&gt;=Settings!$C$17,1,0))</f>
        <v/>
      </c>
      <c r="F66" s="28">
        <f>SUMIFS(Raw_Events!$H:$H,Raw_Events!$C:$C,$A66,Raw_Events!$G:$G,"MINDFULNESS_MIN")</f>
        <v/>
      </c>
      <c r="G66" s="8">
        <f>IF($F66="","",IF($F66&gt;0,1,0))</f>
        <v/>
      </c>
      <c r="H66" s="16">
        <f>SUMIFS(Raw_Events!$H:$H,Raw_Events!$C:$C,$A66,Raw_Events!$G:$G,"CIGARETTES")</f>
        <v/>
      </c>
      <c r="I66" s="29">
        <f>SUMIFS(Raw_Events!$L:$L,Raw_Events!$C:$C,$A66,Raw_Events!$G:$G,"ALCOHOL")</f>
        <v/>
      </c>
      <c r="J66" s="16">
        <f>SUMIFS(Raw_Events!$H:$H,Raw_Events!$C:$C,$A66,Raw_Events!$G:$G,"UNHEALTHY_MEAL")</f>
        <v/>
      </c>
      <c r="K66" s="28">
        <f>SUMIFS(Raw_Events!$H:$H,Raw_Events!$C:$C,$A66,Raw_Events!$G:$G,"TRAINING_MIN")+SUMIFS(Raw_Events!$H:$H,Raw_Events!$C:$C,$A66,Raw_Events!$G:$G,"DICTION_TRAINING_MIN")</f>
        <v/>
      </c>
      <c r="L66" s="28" t="n"/>
      <c r="M66" s="16">
        <f>SUMIFS(Raw_Events!$H:$H,Raw_Events!$C:$C,$A66,Raw_Events!$G:$G,"IDEA")</f>
        <v/>
      </c>
      <c r="N66" s="16">
        <f>COUNTIFS(Raw_Events!$C:$C,$A66,Raw_Events!$G:$G,"SOCIAL_MEET")</f>
        <v/>
      </c>
      <c r="O66" s="16">
        <f>COUNTIFS(Raw_Events!$C:$C,$A66,Raw_Events!$G:$G,"DATE")</f>
        <v/>
      </c>
      <c r="P66" s="3">
        <f>COUNTIFS(Raw_Events!$C:$C,$A66,Raw_Events!$G:$G,"NEW_ACTIVITY")</f>
        <v/>
      </c>
      <c r="Q66" s="3">
        <f>SUMIFS(Raw_Events!$H:$H,Raw_Events!$C:$C,$A66,Raw_Events!$G:$G,"TRAVEL_NIGHT")</f>
        <v/>
      </c>
      <c r="R66" s="3" t="n"/>
    </row>
    <row r="67" ht="15" customHeight="1">
      <c r="A67" s="14" t="n">
        <v>46087</v>
      </c>
      <c r="B67" s="27">
        <f>SUMIFS(Raw_Events!$H:$H,Raw_Events!$C:$C,$A67,Raw_Events!$G:$G,"SLEEP_HOURS")</f>
        <v/>
      </c>
      <c r="C67" s="16">
        <f>COUNTIFS(Raw_Events!$C:$C,$A67,Raw_Events!$G:$G,"WORKOUT")</f>
        <v/>
      </c>
      <c r="D67" s="28">
        <f>SUMIFS(Raw_Events!$H:$H,Raw_Events!$C:$C,$A67,Raw_Events!$G:$G,"POSTURE_SESSION")</f>
        <v/>
      </c>
      <c r="E67" s="8">
        <f>IF($D67="","",IF($D67&gt;=Settings!$C$17,1,0))</f>
        <v/>
      </c>
      <c r="F67" s="28">
        <f>SUMIFS(Raw_Events!$H:$H,Raw_Events!$C:$C,$A67,Raw_Events!$G:$G,"MINDFULNESS_MIN")</f>
        <v/>
      </c>
      <c r="G67" s="8">
        <f>IF($F67="","",IF($F67&gt;0,1,0))</f>
        <v/>
      </c>
      <c r="H67" s="16">
        <f>SUMIFS(Raw_Events!$H:$H,Raw_Events!$C:$C,$A67,Raw_Events!$G:$G,"CIGARETTES")</f>
        <v/>
      </c>
      <c r="I67" s="29">
        <f>SUMIFS(Raw_Events!$L:$L,Raw_Events!$C:$C,$A67,Raw_Events!$G:$G,"ALCOHOL")</f>
        <v/>
      </c>
      <c r="J67" s="16">
        <f>SUMIFS(Raw_Events!$H:$H,Raw_Events!$C:$C,$A67,Raw_Events!$G:$G,"UNHEALTHY_MEAL")</f>
        <v/>
      </c>
      <c r="K67" s="28">
        <f>SUMIFS(Raw_Events!$H:$H,Raw_Events!$C:$C,$A67,Raw_Events!$G:$G,"TRAINING_MIN")+SUMIFS(Raw_Events!$H:$H,Raw_Events!$C:$C,$A67,Raw_Events!$G:$G,"DICTION_TRAINING_MIN")</f>
        <v/>
      </c>
      <c r="L67" s="28" t="n"/>
      <c r="M67" s="16">
        <f>SUMIFS(Raw_Events!$H:$H,Raw_Events!$C:$C,$A67,Raw_Events!$G:$G,"IDEA")</f>
        <v/>
      </c>
      <c r="N67" s="16">
        <f>COUNTIFS(Raw_Events!$C:$C,$A67,Raw_Events!$G:$G,"SOCIAL_MEET")</f>
        <v/>
      </c>
      <c r="O67" s="16">
        <f>COUNTIFS(Raw_Events!$C:$C,$A67,Raw_Events!$G:$G,"DATE")</f>
        <v/>
      </c>
      <c r="P67" s="3">
        <f>COUNTIFS(Raw_Events!$C:$C,$A67,Raw_Events!$G:$G,"NEW_ACTIVITY")</f>
        <v/>
      </c>
      <c r="Q67" s="3">
        <f>SUMIFS(Raw_Events!$H:$H,Raw_Events!$C:$C,$A67,Raw_Events!$G:$G,"TRAVEL_NIGHT")</f>
        <v/>
      </c>
      <c r="R67" s="3" t="n"/>
    </row>
    <row r="68" ht="15" customHeight="1">
      <c r="A68" s="14" t="n">
        <v>46088</v>
      </c>
      <c r="B68" s="27">
        <f>SUMIFS(Raw_Events!$H:$H,Raw_Events!$C:$C,$A68,Raw_Events!$G:$G,"SLEEP_HOURS")</f>
        <v/>
      </c>
      <c r="C68" s="16">
        <f>COUNTIFS(Raw_Events!$C:$C,$A68,Raw_Events!$G:$G,"WORKOUT")</f>
        <v/>
      </c>
      <c r="D68" s="28">
        <f>SUMIFS(Raw_Events!$H:$H,Raw_Events!$C:$C,$A68,Raw_Events!$G:$G,"POSTURE_SESSION")</f>
        <v/>
      </c>
      <c r="E68" s="8">
        <f>IF($D68="","",IF($D68&gt;=Settings!$C$17,1,0))</f>
        <v/>
      </c>
      <c r="F68" s="28">
        <f>SUMIFS(Raw_Events!$H:$H,Raw_Events!$C:$C,$A68,Raw_Events!$G:$G,"MINDFULNESS_MIN")</f>
        <v/>
      </c>
      <c r="G68" s="8">
        <f>IF($F68="","",IF($F68&gt;0,1,0))</f>
        <v/>
      </c>
      <c r="H68" s="16">
        <f>SUMIFS(Raw_Events!$H:$H,Raw_Events!$C:$C,$A68,Raw_Events!$G:$G,"CIGARETTES")</f>
        <v/>
      </c>
      <c r="I68" s="29">
        <f>SUMIFS(Raw_Events!$L:$L,Raw_Events!$C:$C,$A68,Raw_Events!$G:$G,"ALCOHOL")</f>
        <v/>
      </c>
      <c r="J68" s="16">
        <f>SUMIFS(Raw_Events!$H:$H,Raw_Events!$C:$C,$A68,Raw_Events!$G:$G,"UNHEALTHY_MEAL")</f>
        <v/>
      </c>
      <c r="K68" s="28">
        <f>SUMIFS(Raw_Events!$H:$H,Raw_Events!$C:$C,$A68,Raw_Events!$G:$G,"TRAINING_MIN")+SUMIFS(Raw_Events!$H:$H,Raw_Events!$C:$C,$A68,Raw_Events!$G:$G,"DICTION_TRAINING_MIN")</f>
        <v/>
      </c>
      <c r="L68" s="28" t="n"/>
      <c r="M68" s="16">
        <f>SUMIFS(Raw_Events!$H:$H,Raw_Events!$C:$C,$A68,Raw_Events!$G:$G,"IDEA")</f>
        <v/>
      </c>
      <c r="N68" s="16">
        <f>COUNTIFS(Raw_Events!$C:$C,$A68,Raw_Events!$G:$G,"SOCIAL_MEET")</f>
        <v/>
      </c>
      <c r="O68" s="16">
        <f>COUNTIFS(Raw_Events!$C:$C,$A68,Raw_Events!$G:$G,"DATE")</f>
        <v/>
      </c>
      <c r="P68" s="3">
        <f>COUNTIFS(Raw_Events!$C:$C,$A68,Raw_Events!$G:$G,"NEW_ACTIVITY")</f>
        <v/>
      </c>
      <c r="Q68" s="3">
        <f>SUMIFS(Raw_Events!$H:$H,Raw_Events!$C:$C,$A68,Raw_Events!$G:$G,"TRAVEL_NIGHT")</f>
        <v/>
      </c>
      <c r="R68" s="3" t="n"/>
    </row>
    <row r="69" ht="15" customHeight="1">
      <c r="A69" s="14" t="n">
        <v>46089</v>
      </c>
      <c r="B69" s="27">
        <f>SUMIFS(Raw_Events!$H:$H,Raw_Events!$C:$C,$A69,Raw_Events!$G:$G,"SLEEP_HOURS")</f>
        <v/>
      </c>
      <c r="C69" s="16">
        <f>COUNTIFS(Raw_Events!$C:$C,$A69,Raw_Events!$G:$G,"WORKOUT")</f>
        <v/>
      </c>
      <c r="D69" s="28">
        <f>SUMIFS(Raw_Events!$H:$H,Raw_Events!$C:$C,$A69,Raw_Events!$G:$G,"POSTURE_SESSION")</f>
        <v/>
      </c>
      <c r="E69" s="8">
        <f>IF($D69="","",IF($D69&gt;=Settings!$C$17,1,0))</f>
        <v/>
      </c>
      <c r="F69" s="28">
        <f>SUMIFS(Raw_Events!$H:$H,Raw_Events!$C:$C,$A69,Raw_Events!$G:$G,"MINDFULNESS_MIN")</f>
        <v/>
      </c>
      <c r="G69" s="8">
        <f>IF($F69="","",IF($F69&gt;0,1,0))</f>
        <v/>
      </c>
      <c r="H69" s="16">
        <f>SUMIFS(Raw_Events!$H:$H,Raw_Events!$C:$C,$A69,Raw_Events!$G:$G,"CIGARETTES")</f>
        <v/>
      </c>
      <c r="I69" s="29">
        <f>SUMIFS(Raw_Events!$L:$L,Raw_Events!$C:$C,$A69,Raw_Events!$G:$G,"ALCOHOL")</f>
        <v/>
      </c>
      <c r="J69" s="16">
        <f>SUMIFS(Raw_Events!$H:$H,Raw_Events!$C:$C,$A69,Raw_Events!$G:$G,"UNHEALTHY_MEAL")</f>
        <v/>
      </c>
      <c r="K69" s="28">
        <f>SUMIFS(Raw_Events!$H:$H,Raw_Events!$C:$C,$A69,Raw_Events!$G:$G,"TRAINING_MIN")+SUMIFS(Raw_Events!$H:$H,Raw_Events!$C:$C,$A69,Raw_Events!$G:$G,"DICTION_TRAINING_MIN")</f>
        <v/>
      </c>
      <c r="L69" s="28" t="n"/>
      <c r="M69" s="16">
        <f>SUMIFS(Raw_Events!$H:$H,Raw_Events!$C:$C,$A69,Raw_Events!$G:$G,"IDEA")</f>
        <v/>
      </c>
      <c r="N69" s="16">
        <f>COUNTIFS(Raw_Events!$C:$C,$A69,Raw_Events!$G:$G,"SOCIAL_MEET")</f>
        <v/>
      </c>
      <c r="O69" s="16">
        <f>COUNTIFS(Raw_Events!$C:$C,$A69,Raw_Events!$G:$G,"DATE")</f>
        <v/>
      </c>
      <c r="P69" s="3">
        <f>COUNTIFS(Raw_Events!$C:$C,$A69,Raw_Events!$G:$G,"NEW_ACTIVITY")</f>
        <v/>
      </c>
      <c r="Q69" s="3">
        <f>SUMIFS(Raw_Events!$H:$H,Raw_Events!$C:$C,$A69,Raw_Events!$G:$G,"TRAVEL_NIGHT")</f>
        <v/>
      </c>
      <c r="R69" s="3" t="n"/>
    </row>
    <row r="70" ht="15" customHeight="1">
      <c r="A70" s="14" t="n">
        <v>46090</v>
      </c>
      <c r="B70" s="27">
        <f>SUMIFS(Raw_Events!$H:$H,Raw_Events!$C:$C,$A70,Raw_Events!$G:$G,"SLEEP_HOURS")</f>
        <v/>
      </c>
      <c r="C70" s="16">
        <f>COUNTIFS(Raw_Events!$C:$C,$A70,Raw_Events!$G:$G,"WORKOUT")</f>
        <v/>
      </c>
      <c r="D70" s="28">
        <f>SUMIFS(Raw_Events!$H:$H,Raw_Events!$C:$C,$A70,Raw_Events!$G:$G,"POSTURE_SESSION")</f>
        <v/>
      </c>
      <c r="E70" s="8">
        <f>IF($D70="","",IF($D70&gt;=Settings!$C$17,1,0))</f>
        <v/>
      </c>
      <c r="F70" s="28">
        <f>SUMIFS(Raw_Events!$H:$H,Raw_Events!$C:$C,$A70,Raw_Events!$G:$G,"MINDFULNESS_MIN")</f>
        <v/>
      </c>
      <c r="G70" s="8">
        <f>IF($F70="","",IF($F70&gt;0,1,0))</f>
        <v/>
      </c>
      <c r="H70" s="16">
        <f>SUMIFS(Raw_Events!$H:$H,Raw_Events!$C:$C,$A70,Raw_Events!$G:$G,"CIGARETTES")</f>
        <v/>
      </c>
      <c r="I70" s="29">
        <f>SUMIFS(Raw_Events!$L:$L,Raw_Events!$C:$C,$A70,Raw_Events!$G:$G,"ALCOHOL")</f>
        <v/>
      </c>
      <c r="J70" s="16">
        <f>SUMIFS(Raw_Events!$H:$H,Raw_Events!$C:$C,$A70,Raw_Events!$G:$G,"UNHEALTHY_MEAL")</f>
        <v/>
      </c>
      <c r="K70" s="28">
        <f>SUMIFS(Raw_Events!$H:$H,Raw_Events!$C:$C,$A70,Raw_Events!$G:$G,"TRAINING_MIN")+SUMIFS(Raw_Events!$H:$H,Raw_Events!$C:$C,$A70,Raw_Events!$G:$G,"DICTION_TRAINING_MIN")</f>
        <v/>
      </c>
      <c r="L70" s="28" t="n"/>
      <c r="M70" s="16">
        <f>SUMIFS(Raw_Events!$H:$H,Raw_Events!$C:$C,$A70,Raw_Events!$G:$G,"IDEA")</f>
        <v/>
      </c>
      <c r="N70" s="16">
        <f>COUNTIFS(Raw_Events!$C:$C,$A70,Raw_Events!$G:$G,"SOCIAL_MEET")</f>
        <v/>
      </c>
      <c r="O70" s="16">
        <f>COUNTIFS(Raw_Events!$C:$C,$A70,Raw_Events!$G:$G,"DATE")</f>
        <v/>
      </c>
      <c r="P70" s="3">
        <f>COUNTIFS(Raw_Events!$C:$C,$A70,Raw_Events!$G:$G,"NEW_ACTIVITY")</f>
        <v/>
      </c>
      <c r="Q70" s="3">
        <f>SUMIFS(Raw_Events!$H:$H,Raw_Events!$C:$C,$A70,Raw_Events!$G:$G,"TRAVEL_NIGHT")</f>
        <v/>
      </c>
      <c r="R70" s="3" t="n"/>
    </row>
    <row r="71" ht="15" customHeight="1">
      <c r="A71" s="14" t="n">
        <v>46091</v>
      </c>
      <c r="B71" s="27">
        <f>SUMIFS(Raw_Events!$H:$H,Raw_Events!$C:$C,$A71,Raw_Events!$G:$G,"SLEEP_HOURS")</f>
        <v/>
      </c>
      <c r="C71" s="16">
        <f>COUNTIFS(Raw_Events!$C:$C,$A71,Raw_Events!$G:$G,"WORKOUT")</f>
        <v/>
      </c>
      <c r="D71" s="28">
        <f>SUMIFS(Raw_Events!$H:$H,Raw_Events!$C:$C,$A71,Raw_Events!$G:$G,"POSTURE_SESSION")</f>
        <v/>
      </c>
      <c r="E71" s="8">
        <f>IF($D71="","",IF($D71&gt;=Settings!$C$17,1,0))</f>
        <v/>
      </c>
      <c r="F71" s="28">
        <f>SUMIFS(Raw_Events!$H:$H,Raw_Events!$C:$C,$A71,Raw_Events!$G:$G,"MINDFULNESS_MIN")</f>
        <v/>
      </c>
      <c r="G71" s="8">
        <f>IF($F71="","",IF($F71&gt;0,1,0))</f>
        <v/>
      </c>
      <c r="H71" s="16">
        <f>SUMIFS(Raw_Events!$H:$H,Raw_Events!$C:$C,$A71,Raw_Events!$G:$G,"CIGARETTES")</f>
        <v/>
      </c>
      <c r="I71" s="29">
        <f>SUMIFS(Raw_Events!$L:$L,Raw_Events!$C:$C,$A71,Raw_Events!$G:$G,"ALCOHOL")</f>
        <v/>
      </c>
      <c r="J71" s="16">
        <f>SUMIFS(Raw_Events!$H:$H,Raw_Events!$C:$C,$A71,Raw_Events!$G:$G,"UNHEALTHY_MEAL")</f>
        <v/>
      </c>
      <c r="K71" s="28">
        <f>SUMIFS(Raw_Events!$H:$H,Raw_Events!$C:$C,$A71,Raw_Events!$G:$G,"TRAINING_MIN")+SUMIFS(Raw_Events!$H:$H,Raw_Events!$C:$C,$A71,Raw_Events!$G:$G,"DICTION_TRAINING_MIN")</f>
        <v/>
      </c>
      <c r="L71" s="28" t="n"/>
      <c r="M71" s="16">
        <f>SUMIFS(Raw_Events!$H:$H,Raw_Events!$C:$C,$A71,Raw_Events!$G:$G,"IDEA")</f>
        <v/>
      </c>
      <c r="N71" s="16">
        <f>COUNTIFS(Raw_Events!$C:$C,$A71,Raw_Events!$G:$G,"SOCIAL_MEET")</f>
        <v/>
      </c>
      <c r="O71" s="16">
        <f>COUNTIFS(Raw_Events!$C:$C,$A71,Raw_Events!$G:$G,"DATE")</f>
        <v/>
      </c>
      <c r="P71" s="3">
        <f>COUNTIFS(Raw_Events!$C:$C,$A71,Raw_Events!$G:$G,"NEW_ACTIVITY")</f>
        <v/>
      </c>
      <c r="Q71" s="3">
        <f>SUMIFS(Raw_Events!$H:$H,Raw_Events!$C:$C,$A71,Raw_Events!$G:$G,"TRAVEL_NIGHT")</f>
        <v/>
      </c>
      <c r="R71" s="3" t="n"/>
    </row>
    <row r="72" ht="15" customHeight="1">
      <c r="A72" s="14" t="n">
        <v>46092</v>
      </c>
      <c r="B72" s="27">
        <f>SUMIFS(Raw_Events!$H:$H,Raw_Events!$C:$C,$A72,Raw_Events!$G:$G,"SLEEP_HOURS")</f>
        <v/>
      </c>
      <c r="C72" s="16">
        <f>COUNTIFS(Raw_Events!$C:$C,$A72,Raw_Events!$G:$G,"WORKOUT")</f>
        <v/>
      </c>
      <c r="D72" s="28">
        <f>SUMIFS(Raw_Events!$H:$H,Raw_Events!$C:$C,$A72,Raw_Events!$G:$G,"POSTURE_SESSION")</f>
        <v/>
      </c>
      <c r="E72" s="8">
        <f>IF($D72="","",IF($D72&gt;=Settings!$C$17,1,0))</f>
        <v/>
      </c>
      <c r="F72" s="28">
        <f>SUMIFS(Raw_Events!$H:$H,Raw_Events!$C:$C,$A72,Raw_Events!$G:$G,"MINDFULNESS_MIN")</f>
        <v/>
      </c>
      <c r="G72" s="8">
        <f>IF($F72="","",IF($F72&gt;0,1,0))</f>
        <v/>
      </c>
      <c r="H72" s="16">
        <f>SUMIFS(Raw_Events!$H:$H,Raw_Events!$C:$C,$A72,Raw_Events!$G:$G,"CIGARETTES")</f>
        <v/>
      </c>
      <c r="I72" s="29">
        <f>SUMIFS(Raw_Events!$L:$L,Raw_Events!$C:$C,$A72,Raw_Events!$G:$G,"ALCOHOL")</f>
        <v/>
      </c>
      <c r="J72" s="16">
        <f>SUMIFS(Raw_Events!$H:$H,Raw_Events!$C:$C,$A72,Raw_Events!$G:$G,"UNHEALTHY_MEAL")</f>
        <v/>
      </c>
      <c r="K72" s="28">
        <f>SUMIFS(Raw_Events!$H:$H,Raw_Events!$C:$C,$A72,Raw_Events!$G:$G,"TRAINING_MIN")+SUMIFS(Raw_Events!$H:$H,Raw_Events!$C:$C,$A72,Raw_Events!$G:$G,"DICTION_TRAINING_MIN")</f>
        <v/>
      </c>
      <c r="L72" s="28" t="n"/>
      <c r="M72" s="16">
        <f>SUMIFS(Raw_Events!$H:$H,Raw_Events!$C:$C,$A72,Raw_Events!$G:$G,"IDEA")</f>
        <v/>
      </c>
      <c r="N72" s="16">
        <f>COUNTIFS(Raw_Events!$C:$C,$A72,Raw_Events!$G:$G,"SOCIAL_MEET")</f>
        <v/>
      </c>
      <c r="O72" s="16">
        <f>COUNTIFS(Raw_Events!$C:$C,$A72,Raw_Events!$G:$G,"DATE")</f>
        <v/>
      </c>
      <c r="P72" s="3">
        <f>COUNTIFS(Raw_Events!$C:$C,$A72,Raw_Events!$G:$G,"NEW_ACTIVITY")</f>
        <v/>
      </c>
      <c r="Q72" s="3">
        <f>SUMIFS(Raw_Events!$H:$H,Raw_Events!$C:$C,$A72,Raw_Events!$G:$G,"TRAVEL_NIGHT")</f>
        <v/>
      </c>
      <c r="R72" s="3" t="n"/>
    </row>
    <row r="73" ht="15" customHeight="1">
      <c r="A73" s="14" t="n">
        <v>46093</v>
      </c>
      <c r="B73" s="27">
        <f>SUMIFS(Raw_Events!$H:$H,Raw_Events!$C:$C,$A73,Raw_Events!$G:$G,"SLEEP_HOURS")</f>
        <v/>
      </c>
      <c r="C73" s="16">
        <f>COUNTIFS(Raw_Events!$C:$C,$A73,Raw_Events!$G:$G,"WORKOUT")</f>
        <v/>
      </c>
      <c r="D73" s="28">
        <f>SUMIFS(Raw_Events!$H:$H,Raw_Events!$C:$C,$A73,Raw_Events!$G:$G,"POSTURE_SESSION")</f>
        <v/>
      </c>
      <c r="E73" s="8">
        <f>IF($D73="","",IF($D73&gt;=Settings!$C$17,1,0))</f>
        <v/>
      </c>
      <c r="F73" s="28">
        <f>SUMIFS(Raw_Events!$H:$H,Raw_Events!$C:$C,$A73,Raw_Events!$G:$G,"MINDFULNESS_MIN")</f>
        <v/>
      </c>
      <c r="G73" s="8">
        <f>IF($F73="","",IF($F73&gt;0,1,0))</f>
        <v/>
      </c>
      <c r="H73" s="16">
        <f>SUMIFS(Raw_Events!$H:$H,Raw_Events!$C:$C,$A73,Raw_Events!$G:$G,"CIGARETTES")</f>
        <v/>
      </c>
      <c r="I73" s="29">
        <f>SUMIFS(Raw_Events!$L:$L,Raw_Events!$C:$C,$A73,Raw_Events!$G:$G,"ALCOHOL")</f>
        <v/>
      </c>
      <c r="J73" s="16">
        <f>SUMIFS(Raw_Events!$H:$H,Raw_Events!$C:$C,$A73,Raw_Events!$G:$G,"UNHEALTHY_MEAL")</f>
        <v/>
      </c>
      <c r="K73" s="28">
        <f>SUMIFS(Raw_Events!$H:$H,Raw_Events!$C:$C,$A73,Raw_Events!$G:$G,"TRAINING_MIN")+SUMIFS(Raw_Events!$H:$H,Raw_Events!$C:$C,$A73,Raw_Events!$G:$G,"DICTION_TRAINING_MIN")</f>
        <v/>
      </c>
      <c r="L73" s="28" t="n"/>
      <c r="M73" s="16">
        <f>SUMIFS(Raw_Events!$H:$H,Raw_Events!$C:$C,$A73,Raw_Events!$G:$G,"IDEA")</f>
        <v/>
      </c>
      <c r="N73" s="16">
        <f>COUNTIFS(Raw_Events!$C:$C,$A73,Raw_Events!$G:$G,"SOCIAL_MEET")</f>
        <v/>
      </c>
      <c r="O73" s="16">
        <f>COUNTIFS(Raw_Events!$C:$C,$A73,Raw_Events!$G:$G,"DATE")</f>
        <v/>
      </c>
      <c r="P73" s="3">
        <f>COUNTIFS(Raw_Events!$C:$C,$A73,Raw_Events!$G:$G,"NEW_ACTIVITY")</f>
        <v/>
      </c>
      <c r="Q73" s="3">
        <f>SUMIFS(Raw_Events!$H:$H,Raw_Events!$C:$C,$A73,Raw_Events!$G:$G,"TRAVEL_NIGHT")</f>
        <v/>
      </c>
      <c r="R73" s="3" t="n"/>
    </row>
    <row r="74" ht="15" customHeight="1">
      <c r="A74" s="14" t="n">
        <v>46094</v>
      </c>
      <c r="B74" s="27">
        <f>SUMIFS(Raw_Events!$H:$H,Raw_Events!$C:$C,$A74,Raw_Events!$G:$G,"SLEEP_HOURS")</f>
        <v/>
      </c>
      <c r="C74" s="16">
        <f>COUNTIFS(Raw_Events!$C:$C,$A74,Raw_Events!$G:$G,"WORKOUT")</f>
        <v/>
      </c>
      <c r="D74" s="28">
        <f>SUMIFS(Raw_Events!$H:$H,Raw_Events!$C:$C,$A74,Raw_Events!$G:$G,"POSTURE_SESSION")</f>
        <v/>
      </c>
      <c r="E74" s="8">
        <f>IF($D74="","",IF($D74&gt;=Settings!$C$17,1,0))</f>
        <v/>
      </c>
      <c r="F74" s="28">
        <f>SUMIFS(Raw_Events!$H:$H,Raw_Events!$C:$C,$A74,Raw_Events!$G:$G,"MINDFULNESS_MIN")</f>
        <v/>
      </c>
      <c r="G74" s="8">
        <f>IF($F74="","",IF($F74&gt;0,1,0))</f>
        <v/>
      </c>
      <c r="H74" s="16">
        <f>SUMIFS(Raw_Events!$H:$H,Raw_Events!$C:$C,$A74,Raw_Events!$G:$G,"CIGARETTES")</f>
        <v/>
      </c>
      <c r="I74" s="29">
        <f>SUMIFS(Raw_Events!$L:$L,Raw_Events!$C:$C,$A74,Raw_Events!$G:$G,"ALCOHOL")</f>
        <v/>
      </c>
      <c r="J74" s="16">
        <f>SUMIFS(Raw_Events!$H:$H,Raw_Events!$C:$C,$A74,Raw_Events!$G:$G,"UNHEALTHY_MEAL")</f>
        <v/>
      </c>
      <c r="K74" s="28">
        <f>SUMIFS(Raw_Events!$H:$H,Raw_Events!$C:$C,$A74,Raw_Events!$G:$G,"TRAINING_MIN")+SUMIFS(Raw_Events!$H:$H,Raw_Events!$C:$C,$A74,Raw_Events!$G:$G,"DICTION_TRAINING_MIN")</f>
        <v/>
      </c>
      <c r="L74" s="28" t="n"/>
      <c r="M74" s="16">
        <f>SUMIFS(Raw_Events!$H:$H,Raw_Events!$C:$C,$A74,Raw_Events!$G:$G,"IDEA")</f>
        <v/>
      </c>
      <c r="N74" s="16">
        <f>COUNTIFS(Raw_Events!$C:$C,$A74,Raw_Events!$G:$G,"SOCIAL_MEET")</f>
        <v/>
      </c>
      <c r="O74" s="16">
        <f>COUNTIFS(Raw_Events!$C:$C,$A74,Raw_Events!$G:$G,"DATE")</f>
        <v/>
      </c>
      <c r="P74" s="3">
        <f>COUNTIFS(Raw_Events!$C:$C,$A74,Raw_Events!$G:$G,"NEW_ACTIVITY")</f>
        <v/>
      </c>
      <c r="Q74" s="3">
        <f>SUMIFS(Raw_Events!$H:$H,Raw_Events!$C:$C,$A74,Raw_Events!$G:$G,"TRAVEL_NIGHT")</f>
        <v/>
      </c>
      <c r="R74" s="3" t="n"/>
    </row>
    <row r="75" ht="15" customHeight="1">
      <c r="A75" s="14" t="n">
        <v>46095</v>
      </c>
      <c r="B75" s="27">
        <f>SUMIFS(Raw_Events!$H:$H,Raw_Events!$C:$C,$A75,Raw_Events!$G:$G,"SLEEP_HOURS")</f>
        <v/>
      </c>
      <c r="C75" s="16">
        <f>COUNTIFS(Raw_Events!$C:$C,$A75,Raw_Events!$G:$G,"WORKOUT")</f>
        <v/>
      </c>
      <c r="D75" s="28">
        <f>SUMIFS(Raw_Events!$H:$H,Raw_Events!$C:$C,$A75,Raw_Events!$G:$G,"POSTURE_SESSION")</f>
        <v/>
      </c>
      <c r="E75" s="8">
        <f>IF($D75="","",IF($D75&gt;=Settings!$C$17,1,0))</f>
        <v/>
      </c>
      <c r="F75" s="28">
        <f>SUMIFS(Raw_Events!$H:$H,Raw_Events!$C:$C,$A75,Raw_Events!$G:$G,"MINDFULNESS_MIN")</f>
        <v/>
      </c>
      <c r="G75" s="8">
        <f>IF($F75="","",IF($F75&gt;0,1,0))</f>
        <v/>
      </c>
      <c r="H75" s="16">
        <f>SUMIFS(Raw_Events!$H:$H,Raw_Events!$C:$C,$A75,Raw_Events!$G:$G,"CIGARETTES")</f>
        <v/>
      </c>
      <c r="I75" s="29">
        <f>SUMIFS(Raw_Events!$L:$L,Raw_Events!$C:$C,$A75,Raw_Events!$G:$G,"ALCOHOL")</f>
        <v/>
      </c>
      <c r="J75" s="16">
        <f>SUMIFS(Raw_Events!$H:$H,Raw_Events!$C:$C,$A75,Raw_Events!$G:$G,"UNHEALTHY_MEAL")</f>
        <v/>
      </c>
      <c r="K75" s="28">
        <f>SUMIFS(Raw_Events!$H:$H,Raw_Events!$C:$C,$A75,Raw_Events!$G:$G,"TRAINING_MIN")+SUMIFS(Raw_Events!$H:$H,Raw_Events!$C:$C,$A75,Raw_Events!$G:$G,"DICTION_TRAINING_MIN")</f>
        <v/>
      </c>
      <c r="L75" s="28" t="n"/>
      <c r="M75" s="16">
        <f>SUMIFS(Raw_Events!$H:$H,Raw_Events!$C:$C,$A75,Raw_Events!$G:$G,"IDEA")</f>
        <v/>
      </c>
      <c r="N75" s="16">
        <f>COUNTIFS(Raw_Events!$C:$C,$A75,Raw_Events!$G:$G,"SOCIAL_MEET")</f>
        <v/>
      </c>
      <c r="O75" s="16">
        <f>COUNTIFS(Raw_Events!$C:$C,$A75,Raw_Events!$G:$G,"DATE")</f>
        <v/>
      </c>
      <c r="P75" s="3">
        <f>COUNTIFS(Raw_Events!$C:$C,$A75,Raw_Events!$G:$G,"NEW_ACTIVITY")</f>
        <v/>
      </c>
      <c r="Q75" s="3">
        <f>SUMIFS(Raw_Events!$H:$H,Raw_Events!$C:$C,$A75,Raw_Events!$G:$G,"TRAVEL_NIGHT")</f>
        <v/>
      </c>
      <c r="R75" s="3" t="n"/>
    </row>
    <row r="76" ht="15" customHeight="1">
      <c r="A76" s="14" t="n">
        <v>46096</v>
      </c>
      <c r="B76" s="27">
        <f>SUMIFS(Raw_Events!$H:$H,Raw_Events!$C:$C,$A76,Raw_Events!$G:$G,"SLEEP_HOURS")</f>
        <v/>
      </c>
      <c r="C76" s="16">
        <f>COUNTIFS(Raw_Events!$C:$C,$A76,Raw_Events!$G:$G,"WORKOUT")</f>
        <v/>
      </c>
      <c r="D76" s="28">
        <f>SUMIFS(Raw_Events!$H:$H,Raw_Events!$C:$C,$A76,Raw_Events!$G:$G,"POSTURE_SESSION")</f>
        <v/>
      </c>
      <c r="E76" s="8">
        <f>IF($D76="","",IF($D76&gt;=Settings!$C$17,1,0))</f>
        <v/>
      </c>
      <c r="F76" s="28">
        <f>SUMIFS(Raw_Events!$H:$H,Raw_Events!$C:$C,$A76,Raw_Events!$G:$G,"MINDFULNESS_MIN")</f>
        <v/>
      </c>
      <c r="G76" s="8">
        <f>IF($F76="","",IF($F76&gt;0,1,0))</f>
        <v/>
      </c>
      <c r="H76" s="16">
        <f>SUMIFS(Raw_Events!$H:$H,Raw_Events!$C:$C,$A76,Raw_Events!$G:$G,"CIGARETTES")</f>
        <v/>
      </c>
      <c r="I76" s="29">
        <f>SUMIFS(Raw_Events!$L:$L,Raw_Events!$C:$C,$A76,Raw_Events!$G:$G,"ALCOHOL")</f>
        <v/>
      </c>
      <c r="J76" s="16">
        <f>SUMIFS(Raw_Events!$H:$H,Raw_Events!$C:$C,$A76,Raw_Events!$G:$G,"UNHEALTHY_MEAL")</f>
        <v/>
      </c>
      <c r="K76" s="28">
        <f>SUMIFS(Raw_Events!$H:$H,Raw_Events!$C:$C,$A76,Raw_Events!$G:$G,"TRAINING_MIN")+SUMIFS(Raw_Events!$H:$H,Raw_Events!$C:$C,$A76,Raw_Events!$G:$G,"DICTION_TRAINING_MIN")</f>
        <v/>
      </c>
      <c r="L76" s="28" t="n"/>
      <c r="M76" s="16">
        <f>SUMIFS(Raw_Events!$H:$H,Raw_Events!$C:$C,$A76,Raw_Events!$G:$G,"IDEA")</f>
        <v/>
      </c>
      <c r="N76" s="16">
        <f>COUNTIFS(Raw_Events!$C:$C,$A76,Raw_Events!$G:$G,"SOCIAL_MEET")</f>
        <v/>
      </c>
      <c r="O76" s="16">
        <f>COUNTIFS(Raw_Events!$C:$C,$A76,Raw_Events!$G:$G,"DATE")</f>
        <v/>
      </c>
      <c r="P76" s="3">
        <f>COUNTIFS(Raw_Events!$C:$C,$A76,Raw_Events!$G:$G,"NEW_ACTIVITY")</f>
        <v/>
      </c>
      <c r="Q76" s="3">
        <f>SUMIFS(Raw_Events!$H:$H,Raw_Events!$C:$C,$A76,Raw_Events!$G:$G,"TRAVEL_NIGHT")</f>
        <v/>
      </c>
      <c r="R76" s="3" t="n"/>
    </row>
    <row r="77" ht="15" customHeight="1">
      <c r="A77" s="14" t="n">
        <v>46097</v>
      </c>
      <c r="B77" s="27">
        <f>SUMIFS(Raw_Events!$H:$H,Raw_Events!$C:$C,$A77,Raw_Events!$G:$G,"SLEEP_HOURS")</f>
        <v/>
      </c>
      <c r="C77" s="16">
        <f>COUNTIFS(Raw_Events!$C:$C,$A77,Raw_Events!$G:$G,"WORKOUT")</f>
        <v/>
      </c>
      <c r="D77" s="28">
        <f>SUMIFS(Raw_Events!$H:$H,Raw_Events!$C:$C,$A77,Raw_Events!$G:$G,"POSTURE_SESSION")</f>
        <v/>
      </c>
      <c r="E77" s="8">
        <f>IF($D77="","",IF($D77&gt;=Settings!$C$17,1,0))</f>
        <v/>
      </c>
      <c r="F77" s="28">
        <f>SUMIFS(Raw_Events!$H:$H,Raw_Events!$C:$C,$A77,Raw_Events!$G:$G,"MINDFULNESS_MIN")</f>
        <v/>
      </c>
      <c r="G77" s="8">
        <f>IF($F77="","",IF($F77&gt;0,1,0))</f>
        <v/>
      </c>
      <c r="H77" s="16">
        <f>SUMIFS(Raw_Events!$H:$H,Raw_Events!$C:$C,$A77,Raw_Events!$G:$G,"CIGARETTES")</f>
        <v/>
      </c>
      <c r="I77" s="29">
        <f>SUMIFS(Raw_Events!$L:$L,Raw_Events!$C:$C,$A77,Raw_Events!$G:$G,"ALCOHOL")</f>
        <v/>
      </c>
      <c r="J77" s="16">
        <f>SUMIFS(Raw_Events!$H:$H,Raw_Events!$C:$C,$A77,Raw_Events!$G:$G,"UNHEALTHY_MEAL")</f>
        <v/>
      </c>
      <c r="K77" s="28">
        <f>SUMIFS(Raw_Events!$H:$H,Raw_Events!$C:$C,$A77,Raw_Events!$G:$G,"TRAINING_MIN")+SUMIFS(Raw_Events!$H:$H,Raw_Events!$C:$C,$A77,Raw_Events!$G:$G,"DICTION_TRAINING_MIN")</f>
        <v/>
      </c>
      <c r="L77" s="28" t="n"/>
      <c r="M77" s="16">
        <f>SUMIFS(Raw_Events!$H:$H,Raw_Events!$C:$C,$A77,Raw_Events!$G:$G,"IDEA")</f>
        <v/>
      </c>
      <c r="N77" s="16">
        <f>COUNTIFS(Raw_Events!$C:$C,$A77,Raw_Events!$G:$G,"SOCIAL_MEET")</f>
        <v/>
      </c>
      <c r="O77" s="16">
        <f>COUNTIFS(Raw_Events!$C:$C,$A77,Raw_Events!$G:$G,"DATE")</f>
        <v/>
      </c>
      <c r="P77" s="3">
        <f>COUNTIFS(Raw_Events!$C:$C,$A77,Raw_Events!$G:$G,"NEW_ACTIVITY")</f>
        <v/>
      </c>
      <c r="Q77" s="3">
        <f>SUMIFS(Raw_Events!$H:$H,Raw_Events!$C:$C,$A77,Raw_Events!$G:$G,"TRAVEL_NIGHT")</f>
        <v/>
      </c>
      <c r="R77" s="3" t="n"/>
    </row>
    <row r="78" ht="15" customHeight="1">
      <c r="A78" s="14" t="n">
        <v>46098</v>
      </c>
      <c r="B78" s="27">
        <f>SUMIFS(Raw_Events!$H:$H,Raw_Events!$C:$C,$A78,Raw_Events!$G:$G,"SLEEP_HOURS")</f>
        <v/>
      </c>
      <c r="C78" s="16">
        <f>COUNTIFS(Raw_Events!$C:$C,$A78,Raw_Events!$G:$G,"WORKOUT")</f>
        <v/>
      </c>
      <c r="D78" s="28">
        <f>SUMIFS(Raw_Events!$H:$H,Raw_Events!$C:$C,$A78,Raw_Events!$G:$G,"POSTURE_SESSION")</f>
        <v/>
      </c>
      <c r="E78" s="8">
        <f>IF($D78="","",IF($D78&gt;=Settings!$C$17,1,0))</f>
        <v/>
      </c>
      <c r="F78" s="28">
        <f>SUMIFS(Raw_Events!$H:$H,Raw_Events!$C:$C,$A78,Raw_Events!$G:$G,"MINDFULNESS_MIN")</f>
        <v/>
      </c>
      <c r="G78" s="8">
        <f>IF($F78="","",IF($F78&gt;0,1,0))</f>
        <v/>
      </c>
      <c r="H78" s="16">
        <f>SUMIFS(Raw_Events!$H:$H,Raw_Events!$C:$C,$A78,Raw_Events!$G:$G,"CIGARETTES")</f>
        <v/>
      </c>
      <c r="I78" s="29">
        <f>SUMIFS(Raw_Events!$L:$L,Raw_Events!$C:$C,$A78,Raw_Events!$G:$G,"ALCOHOL")</f>
        <v/>
      </c>
      <c r="J78" s="16">
        <f>SUMIFS(Raw_Events!$H:$H,Raw_Events!$C:$C,$A78,Raw_Events!$G:$G,"UNHEALTHY_MEAL")</f>
        <v/>
      </c>
      <c r="K78" s="28">
        <f>SUMIFS(Raw_Events!$H:$H,Raw_Events!$C:$C,$A78,Raw_Events!$G:$G,"TRAINING_MIN")+SUMIFS(Raw_Events!$H:$H,Raw_Events!$C:$C,$A78,Raw_Events!$G:$G,"DICTION_TRAINING_MIN")</f>
        <v/>
      </c>
      <c r="L78" s="28" t="n"/>
      <c r="M78" s="16">
        <f>SUMIFS(Raw_Events!$H:$H,Raw_Events!$C:$C,$A78,Raw_Events!$G:$G,"IDEA")</f>
        <v/>
      </c>
      <c r="N78" s="16">
        <f>COUNTIFS(Raw_Events!$C:$C,$A78,Raw_Events!$G:$G,"SOCIAL_MEET")</f>
        <v/>
      </c>
      <c r="O78" s="16">
        <f>COUNTIFS(Raw_Events!$C:$C,$A78,Raw_Events!$G:$G,"DATE")</f>
        <v/>
      </c>
      <c r="P78" s="3">
        <f>COUNTIFS(Raw_Events!$C:$C,$A78,Raw_Events!$G:$G,"NEW_ACTIVITY")</f>
        <v/>
      </c>
      <c r="Q78" s="3">
        <f>SUMIFS(Raw_Events!$H:$H,Raw_Events!$C:$C,$A78,Raw_Events!$G:$G,"TRAVEL_NIGHT")</f>
        <v/>
      </c>
      <c r="R78" s="3" t="n"/>
    </row>
    <row r="79" ht="15" customHeight="1">
      <c r="A79" s="14" t="n">
        <v>46099</v>
      </c>
      <c r="B79" s="27">
        <f>SUMIFS(Raw_Events!$H:$H,Raw_Events!$C:$C,$A79,Raw_Events!$G:$G,"SLEEP_HOURS")</f>
        <v/>
      </c>
      <c r="C79" s="16">
        <f>COUNTIFS(Raw_Events!$C:$C,$A79,Raw_Events!$G:$G,"WORKOUT")</f>
        <v/>
      </c>
      <c r="D79" s="28">
        <f>SUMIFS(Raw_Events!$H:$H,Raw_Events!$C:$C,$A79,Raw_Events!$G:$G,"POSTURE_SESSION")</f>
        <v/>
      </c>
      <c r="E79" s="8">
        <f>IF($D79="","",IF($D79&gt;=Settings!$C$17,1,0))</f>
        <v/>
      </c>
      <c r="F79" s="28">
        <f>SUMIFS(Raw_Events!$H:$H,Raw_Events!$C:$C,$A79,Raw_Events!$G:$G,"MINDFULNESS_MIN")</f>
        <v/>
      </c>
      <c r="G79" s="8">
        <f>IF($F79="","",IF($F79&gt;0,1,0))</f>
        <v/>
      </c>
      <c r="H79" s="16">
        <f>SUMIFS(Raw_Events!$H:$H,Raw_Events!$C:$C,$A79,Raw_Events!$G:$G,"CIGARETTES")</f>
        <v/>
      </c>
      <c r="I79" s="29">
        <f>SUMIFS(Raw_Events!$L:$L,Raw_Events!$C:$C,$A79,Raw_Events!$G:$G,"ALCOHOL")</f>
        <v/>
      </c>
      <c r="J79" s="16">
        <f>SUMIFS(Raw_Events!$H:$H,Raw_Events!$C:$C,$A79,Raw_Events!$G:$G,"UNHEALTHY_MEAL")</f>
        <v/>
      </c>
      <c r="K79" s="28">
        <f>SUMIFS(Raw_Events!$H:$H,Raw_Events!$C:$C,$A79,Raw_Events!$G:$G,"TRAINING_MIN")+SUMIFS(Raw_Events!$H:$H,Raw_Events!$C:$C,$A79,Raw_Events!$G:$G,"DICTION_TRAINING_MIN")</f>
        <v/>
      </c>
      <c r="L79" s="28" t="n"/>
      <c r="M79" s="16">
        <f>SUMIFS(Raw_Events!$H:$H,Raw_Events!$C:$C,$A79,Raw_Events!$G:$G,"IDEA")</f>
        <v/>
      </c>
      <c r="N79" s="16">
        <f>COUNTIFS(Raw_Events!$C:$C,$A79,Raw_Events!$G:$G,"SOCIAL_MEET")</f>
        <v/>
      </c>
      <c r="O79" s="16">
        <f>COUNTIFS(Raw_Events!$C:$C,$A79,Raw_Events!$G:$G,"DATE")</f>
        <v/>
      </c>
      <c r="P79" s="3">
        <f>COUNTIFS(Raw_Events!$C:$C,$A79,Raw_Events!$G:$G,"NEW_ACTIVITY")</f>
        <v/>
      </c>
      <c r="Q79" s="3">
        <f>SUMIFS(Raw_Events!$H:$H,Raw_Events!$C:$C,$A79,Raw_Events!$G:$G,"TRAVEL_NIGHT")</f>
        <v/>
      </c>
      <c r="R79" s="3" t="n"/>
    </row>
    <row r="80" ht="15" customHeight="1">
      <c r="A80" s="14" t="n">
        <v>46100</v>
      </c>
      <c r="B80" s="27">
        <f>SUMIFS(Raw_Events!$H:$H,Raw_Events!$C:$C,$A80,Raw_Events!$G:$G,"SLEEP_HOURS")</f>
        <v/>
      </c>
      <c r="C80" s="16">
        <f>COUNTIFS(Raw_Events!$C:$C,$A80,Raw_Events!$G:$G,"WORKOUT")</f>
        <v/>
      </c>
      <c r="D80" s="28">
        <f>SUMIFS(Raw_Events!$H:$H,Raw_Events!$C:$C,$A80,Raw_Events!$G:$G,"POSTURE_SESSION")</f>
        <v/>
      </c>
      <c r="E80" s="8">
        <f>IF($D80="","",IF($D80&gt;=Settings!$C$17,1,0))</f>
        <v/>
      </c>
      <c r="F80" s="28">
        <f>SUMIFS(Raw_Events!$H:$H,Raw_Events!$C:$C,$A80,Raw_Events!$G:$G,"MINDFULNESS_MIN")</f>
        <v/>
      </c>
      <c r="G80" s="8">
        <f>IF($F80="","",IF($F80&gt;0,1,0))</f>
        <v/>
      </c>
      <c r="H80" s="16">
        <f>SUMIFS(Raw_Events!$H:$H,Raw_Events!$C:$C,$A80,Raw_Events!$G:$G,"CIGARETTES")</f>
        <v/>
      </c>
      <c r="I80" s="29">
        <f>SUMIFS(Raw_Events!$L:$L,Raw_Events!$C:$C,$A80,Raw_Events!$G:$G,"ALCOHOL")</f>
        <v/>
      </c>
      <c r="J80" s="16">
        <f>SUMIFS(Raw_Events!$H:$H,Raw_Events!$C:$C,$A80,Raw_Events!$G:$G,"UNHEALTHY_MEAL")</f>
        <v/>
      </c>
      <c r="K80" s="28">
        <f>SUMIFS(Raw_Events!$H:$H,Raw_Events!$C:$C,$A80,Raw_Events!$G:$G,"TRAINING_MIN")+SUMIFS(Raw_Events!$H:$H,Raw_Events!$C:$C,$A80,Raw_Events!$G:$G,"DICTION_TRAINING_MIN")</f>
        <v/>
      </c>
      <c r="L80" s="28" t="n"/>
      <c r="M80" s="16">
        <f>SUMIFS(Raw_Events!$H:$H,Raw_Events!$C:$C,$A80,Raw_Events!$G:$G,"IDEA")</f>
        <v/>
      </c>
      <c r="N80" s="16">
        <f>COUNTIFS(Raw_Events!$C:$C,$A80,Raw_Events!$G:$G,"SOCIAL_MEET")</f>
        <v/>
      </c>
      <c r="O80" s="16">
        <f>COUNTIFS(Raw_Events!$C:$C,$A80,Raw_Events!$G:$G,"DATE")</f>
        <v/>
      </c>
      <c r="P80" s="3">
        <f>COUNTIFS(Raw_Events!$C:$C,$A80,Raw_Events!$G:$G,"NEW_ACTIVITY")</f>
        <v/>
      </c>
      <c r="Q80" s="3">
        <f>SUMIFS(Raw_Events!$H:$H,Raw_Events!$C:$C,$A80,Raw_Events!$G:$G,"TRAVEL_NIGHT")</f>
        <v/>
      </c>
      <c r="R80" s="3" t="n"/>
    </row>
    <row r="81" ht="15" customHeight="1">
      <c r="A81" s="14" t="n">
        <v>46101</v>
      </c>
      <c r="B81" s="27">
        <f>SUMIFS(Raw_Events!$H:$H,Raw_Events!$C:$C,$A81,Raw_Events!$G:$G,"SLEEP_HOURS")</f>
        <v/>
      </c>
      <c r="C81" s="16">
        <f>COUNTIFS(Raw_Events!$C:$C,$A81,Raw_Events!$G:$G,"WORKOUT")</f>
        <v/>
      </c>
      <c r="D81" s="28">
        <f>SUMIFS(Raw_Events!$H:$H,Raw_Events!$C:$C,$A81,Raw_Events!$G:$G,"POSTURE_SESSION")</f>
        <v/>
      </c>
      <c r="E81" s="8">
        <f>IF($D81="","",IF($D81&gt;=Settings!$C$17,1,0))</f>
        <v/>
      </c>
      <c r="F81" s="28">
        <f>SUMIFS(Raw_Events!$H:$H,Raw_Events!$C:$C,$A81,Raw_Events!$G:$G,"MINDFULNESS_MIN")</f>
        <v/>
      </c>
      <c r="G81" s="8">
        <f>IF($F81="","",IF($F81&gt;0,1,0))</f>
        <v/>
      </c>
      <c r="H81" s="16">
        <f>SUMIFS(Raw_Events!$H:$H,Raw_Events!$C:$C,$A81,Raw_Events!$G:$G,"CIGARETTES")</f>
        <v/>
      </c>
      <c r="I81" s="29">
        <f>SUMIFS(Raw_Events!$L:$L,Raw_Events!$C:$C,$A81,Raw_Events!$G:$G,"ALCOHOL")</f>
        <v/>
      </c>
      <c r="J81" s="16">
        <f>SUMIFS(Raw_Events!$H:$H,Raw_Events!$C:$C,$A81,Raw_Events!$G:$G,"UNHEALTHY_MEAL")</f>
        <v/>
      </c>
      <c r="K81" s="28">
        <f>SUMIFS(Raw_Events!$H:$H,Raw_Events!$C:$C,$A81,Raw_Events!$G:$G,"TRAINING_MIN")+SUMIFS(Raw_Events!$H:$H,Raw_Events!$C:$C,$A81,Raw_Events!$G:$G,"DICTION_TRAINING_MIN")</f>
        <v/>
      </c>
      <c r="L81" s="28" t="n"/>
      <c r="M81" s="16">
        <f>SUMIFS(Raw_Events!$H:$H,Raw_Events!$C:$C,$A81,Raw_Events!$G:$G,"IDEA")</f>
        <v/>
      </c>
      <c r="N81" s="16">
        <f>COUNTIFS(Raw_Events!$C:$C,$A81,Raw_Events!$G:$G,"SOCIAL_MEET")</f>
        <v/>
      </c>
      <c r="O81" s="16">
        <f>COUNTIFS(Raw_Events!$C:$C,$A81,Raw_Events!$G:$G,"DATE")</f>
        <v/>
      </c>
      <c r="P81" s="3">
        <f>COUNTIFS(Raw_Events!$C:$C,$A81,Raw_Events!$G:$G,"NEW_ACTIVITY")</f>
        <v/>
      </c>
      <c r="Q81" s="3">
        <f>SUMIFS(Raw_Events!$H:$H,Raw_Events!$C:$C,$A81,Raw_Events!$G:$G,"TRAVEL_NIGHT")</f>
        <v/>
      </c>
      <c r="R81" s="3" t="n"/>
    </row>
    <row r="82" ht="15" customHeight="1">
      <c r="A82" s="14" t="n">
        <v>46102</v>
      </c>
      <c r="B82" s="27">
        <f>SUMIFS(Raw_Events!$H:$H,Raw_Events!$C:$C,$A82,Raw_Events!$G:$G,"SLEEP_HOURS")</f>
        <v/>
      </c>
      <c r="C82" s="16">
        <f>COUNTIFS(Raw_Events!$C:$C,$A82,Raw_Events!$G:$G,"WORKOUT")</f>
        <v/>
      </c>
      <c r="D82" s="28">
        <f>SUMIFS(Raw_Events!$H:$H,Raw_Events!$C:$C,$A82,Raw_Events!$G:$G,"POSTURE_SESSION")</f>
        <v/>
      </c>
      <c r="E82" s="8">
        <f>IF($D82="","",IF($D82&gt;=Settings!$C$17,1,0))</f>
        <v/>
      </c>
      <c r="F82" s="28">
        <f>SUMIFS(Raw_Events!$H:$H,Raw_Events!$C:$C,$A82,Raw_Events!$G:$G,"MINDFULNESS_MIN")</f>
        <v/>
      </c>
      <c r="G82" s="8">
        <f>IF($F82="","",IF($F82&gt;0,1,0))</f>
        <v/>
      </c>
      <c r="H82" s="16">
        <f>SUMIFS(Raw_Events!$H:$H,Raw_Events!$C:$C,$A82,Raw_Events!$G:$G,"CIGARETTES")</f>
        <v/>
      </c>
      <c r="I82" s="29">
        <f>SUMIFS(Raw_Events!$L:$L,Raw_Events!$C:$C,$A82,Raw_Events!$G:$G,"ALCOHOL")</f>
        <v/>
      </c>
      <c r="J82" s="16">
        <f>SUMIFS(Raw_Events!$H:$H,Raw_Events!$C:$C,$A82,Raw_Events!$G:$G,"UNHEALTHY_MEAL")</f>
        <v/>
      </c>
      <c r="K82" s="28">
        <f>SUMIFS(Raw_Events!$H:$H,Raw_Events!$C:$C,$A82,Raw_Events!$G:$G,"TRAINING_MIN")+SUMIFS(Raw_Events!$H:$H,Raw_Events!$C:$C,$A82,Raw_Events!$G:$G,"DICTION_TRAINING_MIN")</f>
        <v/>
      </c>
      <c r="L82" s="28" t="n"/>
      <c r="M82" s="16">
        <f>SUMIFS(Raw_Events!$H:$H,Raw_Events!$C:$C,$A82,Raw_Events!$G:$G,"IDEA")</f>
        <v/>
      </c>
      <c r="N82" s="16">
        <f>COUNTIFS(Raw_Events!$C:$C,$A82,Raw_Events!$G:$G,"SOCIAL_MEET")</f>
        <v/>
      </c>
      <c r="O82" s="16">
        <f>COUNTIFS(Raw_Events!$C:$C,$A82,Raw_Events!$G:$G,"DATE")</f>
        <v/>
      </c>
      <c r="P82" s="3">
        <f>COUNTIFS(Raw_Events!$C:$C,$A82,Raw_Events!$G:$G,"NEW_ACTIVITY")</f>
        <v/>
      </c>
      <c r="Q82" s="3">
        <f>SUMIFS(Raw_Events!$H:$H,Raw_Events!$C:$C,$A82,Raw_Events!$G:$G,"TRAVEL_NIGHT")</f>
        <v/>
      </c>
      <c r="R82" s="3" t="n"/>
    </row>
    <row r="83" ht="15" customHeight="1">
      <c r="A83" s="14" t="n">
        <v>46103</v>
      </c>
      <c r="B83" s="27">
        <f>SUMIFS(Raw_Events!$H:$H,Raw_Events!$C:$C,$A83,Raw_Events!$G:$G,"SLEEP_HOURS")</f>
        <v/>
      </c>
      <c r="C83" s="16">
        <f>COUNTIFS(Raw_Events!$C:$C,$A83,Raw_Events!$G:$G,"WORKOUT")</f>
        <v/>
      </c>
      <c r="D83" s="28">
        <f>SUMIFS(Raw_Events!$H:$H,Raw_Events!$C:$C,$A83,Raw_Events!$G:$G,"POSTURE_SESSION")</f>
        <v/>
      </c>
      <c r="E83" s="8">
        <f>IF($D83="","",IF($D83&gt;=Settings!$C$17,1,0))</f>
        <v/>
      </c>
      <c r="F83" s="28">
        <f>SUMIFS(Raw_Events!$H:$H,Raw_Events!$C:$C,$A83,Raw_Events!$G:$G,"MINDFULNESS_MIN")</f>
        <v/>
      </c>
      <c r="G83" s="8">
        <f>IF($F83="","",IF($F83&gt;0,1,0))</f>
        <v/>
      </c>
      <c r="H83" s="16">
        <f>SUMIFS(Raw_Events!$H:$H,Raw_Events!$C:$C,$A83,Raw_Events!$G:$G,"CIGARETTES")</f>
        <v/>
      </c>
      <c r="I83" s="29">
        <f>SUMIFS(Raw_Events!$L:$L,Raw_Events!$C:$C,$A83,Raw_Events!$G:$G,"ALCOHOL")</f>
        <v/>
      </c>
      <c r="J83" s="16">
        <f>SUMIFS(Raw_Events!$H:$H,Raw_Events!$C:$C,$A83,Raw_Events!$G:$G,"UNHEALTHY_MEAL")</f>
        <v/>
      </c>
      <c r="K83" s="28">
        <f>SUMIFS(Raw_Events!$H:$H,Raw_Events!$C:$C,$A83,Raw_Events!$G:$G,"TRAINING_MIN")+SUMIFS(Raw_Events!$H:$H,Raw_Events!$C:$C,$A83,Raw_Events!$G:$G,"DICTION_TRAINING_MIN")</f>
        <v/>
      </c>
      <c r="L83" s="28" t="n"/>
      <c r="M83" s="16">
        <f>SUMIFS(Raw_Events!$H:$H,Raw_Events!$C:$C,$A83,Raw_Events!$G:$G,"IDEA")</f>
        <v/>
      </c>
      <c r="N83" s="16">
        <f>COUNTIFS(Raw_Events!$C:$C,$A83,Raw_Events!$G:$G,"SOCIAL_MEET")</f>
        <v/>
      </c>
      <c r="O83" s="16">
        <f>COUNTIFS(Raw_Events!$C:$C,$A83,Raw_Events!$G:$G,"DATE")</f>
        <v/>
      </c>
      <c r="P83" s="3">
        <f>COUNTIFS(Raw_Events!$C:$C,$A83,Raw_Events!$G:$G,"NEW_ACTIVITY")</f>
        <v/>
      </c>
      <c r="Q83" s="3">
        <f>SUMIFS(Raw_Events!$H:$H,Raw_Events!$C:$C,$A83,Raw_Events!$G:$G,"TRAVEL_NIGHT")</f>
        <v/>
      </c>
      <c r="R83" s="3" t="n"/>
    </row>
    <row r="84" ht="15" customHeight="1">
      <c r="A84" s="14" t="n">
        <v>46104</v>
      </c>
      <c r="B84" s="27">
        <f>SUMIFS(Raw_Events!$H:$H,Raw_Events!$C:$C,$A84,Raw_Events!$G:$G,"SLEEP_HOURS")</f>
        <v/>
      </c>
      <c r="C84" s="16">
        <f>COUNTIFS(Raw_Events!$C:$C,$A84,Raw_Events!$G:$G,"WORKOUT")</f>
        <v/>
      </c>
      <c r="D84" s="28">
        <f>SUMIFS(Raw_Events!$H:$H,Raw_Events!$C:$C,$A84,Raw_Events!$G:$G,"POSTURE_SESSION")</f>
        <v/>
      </c>
      <c r="E84" s="8">
        <f>IF($D84="","",IF($D84&gt;=Settings!$C$17,1,0))</f>
        <v/>
      </c>
      <c r="F84" s="28">
        <f>SUMIFS(Raw_Events!$H:$H,Raw_Events!$C:$C,$A84,Raw_Events!$G:$G,"MINDFULNESS_MIN")</f>
        <v/>
      </c>
      <c r="G84" s="8">
        <f>IF($F84="","",IF($F84&gt;0,1,0))</f>
        <v/>
      </c>
      <c r="H84" s="16">
        <f>SUMIFS(Raw_Events!$H:$H,Raw_Events!$C:$C,$A84,Raw_Events!$G:$G,"CIGARETTES")</f>
        <v/>
      </c>
      <c r="I84" s="29">
        <f>SUMIFS(Raw_Events!$L:$L,Raw_Events!$C:$C,$A84,Raw_Events!$G:$G,"ALCOHOL")</f>
        <v/>
      </c>
      <c r="J84" s="16">
        <f>SUMIFS(Raw_Events!$H:$H,Raw_Events!$C:$C,$A84,Raw_Events!$G:$G,"UNHEALTHY_MEAL")</f>
        <v/>
      </c>
      <c r="K84" s="28">
        <f>SUMIFS(Raw_Events!$H:$H,Raw_Events!$C:$C,$A84,Raw_Events!$G:$G,"TRAINING_MIN")+SUMIFS(Raw_Events!$H:$H,Raw_Events!$C:$C,$A84,Raw_Events!$G:$G,"DICTION_TRAINING_MIN")</f>
        <v/>
      </c>
      <c r="L84" s="28" t="n"/>
      <c r="M84" s="16">
        <f>SUMIFS(Raw_Events!$H:$H,Raw_Events!$C:$C,$A84,Raw_Events!$G:$G,"IDEA")</f>
        <v/>
      </c>
      <c r="N84" s="16">
        <f>COUNTIFS(Raw_Events!$C:$C,$A84,Raw_Events!$G:$G,"SOCIAL_MEET")</f>
        <v/>
      </c>
      <c r="O84" s="16">
        <f>COUNTIFS(Raw_Events!$C:$C,$A84,Raw_Events!$G:$G,"DATE")</f>
        <v/>
      </c>
      <c r="P84" s="3">
        <f>COUNTIFS(Raw_Events!$C:$C,$A84,Raw_Events!$G:$G,"NEW_ACTIVITY")</f>
        <v/>
      </c>
      <c r="Q84" s="3">
        <f>SUMIFS(Raw_Events!$H:$H,Raw_Events!$C:$C,$A84,Raw_Events!$G:$G,"TRAVEL_NIGHT")</f>
        <v/>
      </c>
      <c r="R84" s="3" t="n"/>
    </row>
    <row r="85" ht="15" customHeight="1">
      <c r="A85" s="14" t="n">
        <v>46105</v>
      </c>
      <c r="B85" s="27">
        <f>SUMIFS(Raw_Events!$H:$H,Raw_Events!$C:$C,$A85,Raw_Events!$G:$G,"SLEEP_HOURS")</f>
        <v/>
      </c>
      <c r="C85" s="16">
        <f>COUNTIFS(Raw_Events!$C:$C,$A85,Raw_Events!$G:$G,"WORKOUT")</f>
        <v/>
      </c>
      <c r="D85" s="28">
        <f>SUMIFS(Raw_Events!$H:$H,Raw_Events!$C:$C,$A85,Raw_Events!$G:$G,"POSTURE_SESSION")</f>
        <v/>
      </c>
      <c r="E85" s="8">
        <f>IF($D85="","",IF($D85&gt;=Settings!$C$17,1,0))</f>
        <v/>
      </c>
      <c r="F85" s="28">
        <f>SUMIFS(Raw_Events!$H:$H,Raw_Events!$C:$C,$A85,Raw_Events!$G:$G,"MINDFULNESS_MIN")</f>
        <v/>
      </c>
      <c r="G85" s="8">
        <f>IF($F85="","",IF($F85&gt;0,1,0))</f>
        <v/>
      </c>
      <c r="H85" s="16">
        <f>SUMIFS(Raw_Events!$H:$H,Raw_Events!$C:$C,$A85,Raw_Events!$G:$G,"CIGARETTES")</f>
        <v/>
      </c>
      <c r="I85" s="29">
        <f>SUMIFS(Raw_Events!$L:$L,Raw_Events!$C:$C,$A85,Raw_Events!$G:$G,"ALCOHOL")</f>
        <v/>
      </c>
      <c r="J85" s="16">
        <f>SUMIFS(Raw_Events!$H:$H,Raw_Events!$C:$C,$A85,Raw_Events!$G:$G,"UNHEALTHY_MEAL")</f>
        <v/>
      </c>
      <c r="K85" s="28">
        <f>SUMIFS(Raw_Events!$H:$H,Raw_Events!$C:$C,$A85,Raw_Events!$G:$G,"TRAINING_MIN")+SUMIFS(Raw_Events!$H:$H,Raw_Events!$C:$C,$A85,Raw_Events!$G:$G,"DICTION_TRAINING_MIN")</f>
        <v/>
      </c>
      <c r="L85" s="28" t="n"/>
      <c r="M85" s="16">
        <f>SUMIFS(Raw_Events!$H:$H,Raw_Events!$C:$C,$A85,Raw_Events!$G:$G,"IDEA")</f>
        <v/>
      </c>
      <c r="N85" s="16">
        <f>COUNTIFS(Raw_Events!$C:$C,$A85,Raw_Events!$G:$G,"SOCIAL_MEET")</f>
        <v/>
      </c>
      <c r="O85" s="16">
        <f>COUNTIFS(Raw_Events!$C:$C,$A85,Raw_Events!$G:$G,"DATE")</f>
        <v/>
      </c>
      <c r="P85" s="3">
        <f>COUNTIFS(Raw_Events!$C:$C,$A85,Raw_Events!$G:$G,"NEW_ACTIVITY")</f>
        <v/>
      </c>
      <c r="Q85" s="3">
        <f>SUMIFS(Raw_Events!$H:$H,Raw_Events!$C:$C,$A85,Raw_Events!$G:$G,"TRAVEL_NIGHT")</f>
        <v/>
      </c>
      <c r="R85" s="3" t="n"/>
    </row>
    <row r="86" ht="15" customHeight="1">
      <c r="A86" s="14" t="n">
        <v>46106</v>
      </c>
      <c r="B86" s="27">
        <f>SUMIFS(Raw_Events!$H:$H,Raw_Events!$C:$C,$A86,Raw_Events!$G:$G,"SLEEP_HOURS")</f>
        <v/>
      </c>
      <c r="C86" s="16">
        <f>COUNTIFS(Raw_Events!$C:$C,$A86,Raw_Events!$G:$G,"WORKOUT")</f>
        <v/>
      </c>
      <c r="D86" s="28">
        <f>SUMIFS(Raw_Events!$H:$H,Raw_Events!$C:$C,$A86,Raw_Events!$G:$G,"POSTURE_SESSION")</f>
        <v/>
      </c>
      <c r="E86" s="8">
        <f>IF($D86="","",IF($D86&gt;=Settings!$C$17,1,0))</f>
        <v/>
      </c>
      <c r="F86" s="28">
        <f>SUMIFS(Raw_Events!$H:$H,Raw_Events!$C:$C,$A86,Raw_Events!$G:$G,"MINDFULNESS_MIN")</f>
        <v/>
      </c>
      <c r="G86" s="8">
        <f>IF($F86="","",IF($F86&gt;0,1,0))</f>
        <v/>
      </c>
      <c r="H86" s="16">
        <f>SUMIFS(Raw_Events!$H:$H,Raw_Events!$C:$C,$A86,Raw_Events!$G:$G,"CIGARETTES")</f>
        <v/>
      </c>
      <c r="I86" s="29">
        <f>SUMIFS(Raw_Events!$L:$L,Raw_Events!$C:$C,$A86,Raw_Events!$G:$G,"ALCOHOL")</f>
        <v/>
      </c>
      <c r="J86" s="16">
        <f>SUMIFS(Raw_Events!$H:$H,Raw_Events!$C:$C,$A86,Raw_Events!$G:$G,"UNHEALTHY_MEAL")</f>
        <v/>
      </c>
      <c r="K86" s="28">
        <f>SUMIFS(Raw_Events!$H:$H,Raw_Events!$C:$C,$A86,Raw_Events!$G:$G,"TRAINING_MIN")+SUMIFS(Raw_Events!$H:$H,Raw_Events!$C:$C,$A86,Raw_Events!$G:$G,"DICTION_TRAINING_MIN")</f>
        <v/>
      </c>
      <c r="L86" s="28" t="n"/>
      <c r="M86" s="16">
        <f>SUMIFS(Raw_Events!$H:$H,Raw_Events!$C:$C,$A86,Raw_Events!$G:$G,"IDEA")</f>
        <v/>
      </c>
      <c r="N86" s="16">
        <f>COUNTIFS(Raw_Events!$C:$C,$A86,Raw_Events!$G:$G,"SOCIAL_MEET")</f>
        <v/>
      </c>
      <c r="O86" s="16">
        <f>COUNTIFS(Raw_Events!$C:$C,$A86,Raw_Events!$G:$G,"DATE")</f>
        <v/>
      </c>
      <c r="P86" s="3">
        <f>COUNTIFS(Raw_Events!$C:$C,$A86,Raw_Events!$G:$G,"NEW_ACTIVITY")</f>
        <v/>
      </c>
      <c r="Q86" s="3">
        <f>SUMIFS(Raw_Events!$H:$H,Raw_Events!$C:$C,$A86,Raw_Events!$G:$G,"TRAVEL_NIGHT")</f>
        <v/>
      </c>
      <c r="R86" s="3" t="n"/>
    </row>
    <row r="87" ht="15" customHeight="1">
      <c r="A87" s="14" t="n">
        <v>46107</v>
      </c>
      <c r="B87" s="27">
        <f>SUMIFS(Raw_Events!$H:$H,Raw_Events!$C:$C,$A87,Raw_Events!$G:$G,"SLEEP_HOURS")</f>
        <v/>
      </c>
      <c r="C87" s="16">
        <f>COUNTIFS(Raw_Events!$C:$C,$A87,Raw_Events!$G:$G,"WORKOUT")</f>
        <v/>
      </c>
      <c r="D87" s="28">
        <f>SUMIFS(Raw_Events!$H:$H,Raw_Events!$C:$C,$A87,Raw_Events!$G:$G,"POSTURE_SESSION")</f>
        <v/>
      </c>
      <c r="E87" s="8">
        <f>IF($D87="","",IF($D87&gt;=Settings!$C$17,1,0))</f>
        <v/>
      </c>
      <c r="F87" s="28">
        <f>SUMIFS(Raw_Events!$H:$H,Raw_Events!$C:$C,$A87,Raw_Events!$G:$G,"MINDFULNESS_MIN")</f>
        <v/>
      </c>
      <c r="G87" s="8">
        <f>IF($F87="","",IF($F87&gt;0,1,0))</f>
        <v/>
      </c>
      <c r="H87" s="16">
        <f>SUMIFS(Raw_Events!$H:$H,Raw_Events!$C:$C,$A87,Raw_Events!$G:$G,"CIGARETTES")</f>
        <v/>
      </c>
      <c r="I87" s="29">
        <f>SUMIFS(Raw_Events!$L:$L,Raw_Events!$C:$C,$A87,Raw_Events!$G:$G,"ALCOHOL")</f>
        <v/>
      </c>
      <c r="J87" s="16">
        <f>SUMIFS(Raw_Events!$H:$H,Raw_Events!$C:$C,$A87,Raw_Events!$G:$G,"UNHEALTHY_MEAL")</f>
        <v/>
      </c>
      <c r="K87" s="28">
        <f>SUMIFS(Raw_Events!$H:$H,Raw_Events!$C:$C,$A87,Raw_Events!$G:$G,"TRAINING_MIN")+SUMIFS(Raw_Events!$H:$H,Raw_Events!$C:$C,$A87,Raw_Events!$G:$G,"DICTION_TRAINING_MIN")</f>
        <v/>
      </c>
      <c r="L87" s="28" t="n"/>
      <c r="M87" s="16">
        <f>SUMIFS(Raw_Events!$H:$H,Raw_Events!$C:$C,$A87,Raw_Events!$G:$G,"IDEA")</f>
        <v/>
      </c>
      <c r="N87" s="16">
        <f>COUNTIFS(Raw_Events!$C:$C,$A87,Raw_Events!$G:$G,"SOCIAL_MEET")</f>
        <v/>
      </c>
      <c r="O87" s="16">
        <f>COUNTIFS(Raw_Events!$C:$C,$A87,Raw_Events!$G:$G,"DATE")</f>
        <v/>
      </c>
      <c r="P87" s="3">
        <f>COUNTIFS(Raw_Events!$C:$C,$A87,Raw_Events!$G:$G,"NEW_ACTIVITY")</f>
        <v/>
      </c>
      <c r="Q87" s="3">
        <f>SUMIFS(Raw_Events!$H:$H,Raw_Events!$C:$C,$A87,Raw_Events!$G:$G,"TRAVEL_NIGHT")</f>
        <v/>
      </c>
      <c r="R87" s="3" t="n"/>
    </row>
    <row r="88" ht="15" customHeight="1">
      <c r="A88" s="14" t="n">
        <v>46108</v>
      </c>
      <c r="B88" s="27">
        <f>SUMIFS(Raw_Events!$H:$H,Raw_Events!$C:$C,$A88,Raw_Events!$G:$G,"SLEEP_HOURS")</f>
        <v/>
      </c>
      <c r="C88" s="16">
        <f>COUNTIFS(Raw_Events!$C:$C,$A88,Raw_Events!$G:$G,"WORKOUT")</f>
        <v/>
      </c>
      <c r="D88" s="28">
        <f>SUMIFS(Raw_Events!$H:$H,Raw_Events!$C:$C,$A88,Raw_Events!$G:$G,"POSTURE_SESSION")</f>
        <v/>
      </c>
      <c r="E88" s="8">
        <f>IF($D88="","",IF($D88&gt;=Settings!$C$17,1,0))</f>
        <v/>
      </c>
      <c r="F88" s="28">
        <f>SUMIFS(Raw_Events!$H:$H,Raw_Events!$C:$C,$A88,Raw_Events!$G:$G,"MINDFULNESS_MIN")</f>
        <v/>
      </c>
      <c r="G88" s="8">
        <f>IF($F88="","",IF($F88&gt;0,1,0))</f>
        <v/>
      </c>
      <c r="H88" s="16">
        <f>SUMIFS(Raw_Events!$H:$H,Raw_Events!$C:$C,$A88,Raw_Events!$G:$G,"CIGARETTES")</f>
        <v/>
      </c>
      <c r="I88" s="29">
        <f>SUMIFS(Raw_Events!$L:$L,Raw_Events!$C:$C,$A88,Raw_Events!$G:$G,"ALCOHOL")</f>
        <v/>
      </c>
      <c r="J88" s="16">
        <f>SUMIFS(Raw_Events!$H:$H,Raw_Events!$C:$C,$A88,Raw_Events!$G:$G,"UNHEALTHY_MEAL")</f>
        <v/>
      </c>
      <c r="K88" s="28">
        <f>SUMIFS(Raw_Events!$H:$H,Raw_Events!$C:$C,$A88,Raw_Events!$G:$G,"TRAINING_MIN")+SUMIFS(Raw_Events!$H:$H,Raw_Events!$C:$C,$A88,Raw_Events!$G:$G,"DICTION_TRAINING_MIN")</f>
        <v/>
      </c>
      <c r="L88" s="28" t="n"/>
      <c r="M88" s="16">
        <f>SUMIFS(Raw_Events!$H:$H,Raw_Events!$C:$C,$A88,Raw_Events!$G:$G,"IDEA")</f>
        <v/>
      </c>
      <c r="N88" s="16">
        <f>COUNTIFS(Raw_Events!$C:$C,$A88,Raw_Events!$G:$G,"SOCIAL_MEET")</f>
        <v/>
      </c>
      <c r="O88" s="16">
        <f>COUNTIFS(Raw_Events!$C:$C,$A88,Raw_Events!$G:$G,"DATE")</f>
        <v/>
      </c>
      <c r="P88" s="3">
        <f>COUNTIFS(Raw_Events!$C:$C,$A88,Raw_Events!$G:$G,"NEW_ACTIVITY")</f>
        <v/>
      </c>
      <c r="Q88" s="3">
        <f>SUMIFS(Raw_Events!$H:$H,Raw_Events!$C:$C,$A88,Raw_Events!$G:$G,"TRAVEL_NIGHT")</f>
        <v/>
      </c>
      <c r="R88" s="3" t="n"/>
    </row>
    <row r="89" ht="15" customHeight="1">
      <c r="A89" s="14" t="n">
        <v>46109</v>
      </c>
      <c r="B89" s="27">
        <f>SUMIFS(Raw_Events!$H:$H,Raw_Events!$C:$C,$A89,Raw_Events!$G:$G,"SLEEP_HOURS")</f>
        <v/>
      </c>
      <c r="C89" s="16">
        <f>COUNTIFS(Raw_Events!$C:$C,$A89,Raw_Events!$G:$G,"WORKOUT")</f>
        <v/>
      </c>
      <c r="D89" s="28">
        <f>SUMIFS(Raw_Events!$H:$H,Raw_Events!$C:$C,$A89,Raw_Events!$G:$G,"POSTURE_SESSION")</f>
        <v/>
      </c>
      <c r="E89" s="8">
        <f>IF($D89="","",IF($D89&gt;=Settings!$C$17,1,0))</f>
        <v/>
      </c>
      <c r="F89" s="28">
        <f>SUMIFS(Raw_Events!$H:$H,Raw_Events!$C:$C,$A89,Raw_Events!$G:$G,"MINDFULNESS_MIN")</f>
        <v/>
      </c>
      <c r="G89" s="8">
        <f>IF($F89="","",IF($F89&gt;0,1,0))</f>
        <v/>
      </c>
      <c r="H89" s="16">
        <f>SUMIFS(Raw_Events!$H:$H,Raw_Events!$C:$C,$A89,Raw_Events!$G:$G,"CIGARETTES")</f>
        <v/>
      </c>
      <c r="I89" s="29">
        <f>SUMIFS(Raw_Events!$L:$L,Raw_Events!$C:$C,$A89,Raw_Events!$G:$G,"ALCOHOL")</f>
        <v/>
      </c>
      <c r="J89" s="16">
        <f>SUMIFS(Raw_Events!$H:$H,Raw_Events!$C:$C,$A89,Raw_Events!$G:$G,"UNHEALTHY_MEAL")</f>
        <v/>
      </c>
      <c r="K89" s="28">
        <f>SUMIFS(Raw_Events!$H:$H,Raw_Events!$C:$C,$A89,Raw_Events!$G:$G,"TRAINING_MIN")+SUMIFS(Raw_Events!$H:$H,Raw_Events!$C:$C,$A89,Raw_Events!$G:$G,"DICTION_TRAINING_MIN")</f>
        <v/>
      </c>
      <c r="L89" s="28" t="n"/>
      <c r="M89" s="16">
        <f>SUMIFS(Raw_Events!$H:$H,Raw_Events!$C:$C,$A89,Raw_Events!$G:$G,"IDEA")</f>
        <v/>
      </c>
      <c r="N89" s="16">
        <f>COUNTIFS(Raw_Events!$C:$C,$A89,Raw_Events!$G:$G,"SOCIAL_MEET")</f>
        <v/>
      </c>
      <c r="O89" s="16">
        <f>COUNTIFS(Raw_Events!$C:$C,$A89,Raw_Events!$G:$G,"DATE")</f>
        <v/>
      </c>
      <c r="P89" s="3">
        <f>COUNTIFS(Raw_Events!$C:$C,$A89,Raw_Events!$G:$G,"NEW_ACTIVITY")</f>
        <v/>
      </c>
      <c r="Q89" s="3">
        <f>SUMIFS(Raw_Events!$H:$H,Raw_Events!$C:$C,$A89,Raw_Events!$G:$G,"TRAVEL_NIGHT")</f>
        <v/>
      </c>
      <c r="R89" s="3" t="n"/>
    </row>
    <row r="90" ht="15" customHeight="1">
      <c r="A90" s="14" t="n">
        <v>46110</v>
      </c>
      <c r="B90" s="27">
        <f>SUMIFS(Raw_Events!$H:$H,Raw_Events!$C:$C,$A90,Raw_Events!$G:$G,"SLEEP_HOURS")</f>
        <v/>
      </c>
      <c r="C90" s="16">
        <f>COUNTIFS(Raw_Events!$C:$C,$A90,Raw_Events!$G:$G,"WORKOUT")</f>
        <v/>
      </c>
      <c r="D90" s="28">
        <f>SUMIFS(Raw_Events!$H:$H,Raw_Events!$C:$C,$A90,Raw_Events!$G:$G,"POSTURE_SESSION")</f>
        <v/>
      </c>
      <c r="E90" s="8">
        <f>IF($D90="","",IF($D90&gt;=Settings!$C$17,1,0))</f>
        <v/>
      </c>
      <c r="F90" s="28">
        <f>SUMIFS(Raw_Events!$H:$H,Raw_Events!$C:$C,$A90,Raw_Events!$G:$G,"MINDFULNESS_MIN")</f>
        <v/>
      </c>
      <c r="G90" s="8">
        <f>IF($F90="","",IF($F90&gt;0,1,0))</f>
        <v/>
      </c>
      <c r="H90" s="16">
        <f>SUMIFS(Raw_Events!$H:$H,Raw_Events!$C:$C,$A90,Raw_Events!$G:$G,"CIGARETTES")</f>
        <v/>
      </c>
      <c r="I90" s="29">
        <f>SUMIFS(Raw_Events!$L:$L,Raw_Events!$C:$C,$A90,Raw_Events!$G:$G,"ALCOHOL")</f>
        <v/>
      </c>
      <c r="J90" s="16">
        <f>SUMIFS(Raw_Events!$H:$H,Raw_Events!$C:$C,$A90,Raw_Events!$G:$G,"UNHEALTHY_MEAL")</f>
        <v/>
      </c>
      <c r="K90" s="28">
        <f>SUMIFS(Raw_Events!$H:$H,Raw_Events!$C:$C,$A90,Raw_Events!$G:$G,"TRAINING_MIN")+SUMIFS(Raw_Events!$H:$H,Raw_Events!$C:$C,$A90,Raw_Events!$G:$G,"DICTION_TRAINING_MIN")</f>
        <v/>
      </c>
      <c r="L90" s="28" t="n"/>
      <c r="M90" s="16">
        <f>SUMIFS(Raw_Events!$H:$H,Raw_Events!$C:$C,$A90,Raw_Events!$G:$G,"IDEA")</f>
        <v/>
      </c>
      <c r="N90" s="16">
        <f>COUNTIFS(Raw_Events!$C:$C,$A90,Raw_Events!$G:$G,"SOCIAL_MEET")</f>
        <v/>
      </c>
      <c r="O90" s="16">
        <f>COUNTIFS(Raw_Events!$C:$C,$A90,Raw_Events!$G:$G,"DATE")</f>
        <v/>
      </c>
      <c r="P90" s="3">
        <f>COUNTIFS(Raw_Events!$C:$C,$A90,Raw_Events!$G:$G,"NEW_ACTIVITY")</f>
        <v/>
      </c>
      <c r="Q90" s="3">
        <f>SUMIFS(Raw_Events!$H:$H,Raw_Events!$C:$C,$A90,Raw_Events!$G:$G,"TRAVEL_NIGHT")</f>
        <v/>
      </c>
      <c r="R90" s="3" t="n"/>
    </row>
    <row r="91" ht="15" customHeight="1">
      <c r="A91" s="14" t="n">
        <v>46111</v>
      </c>
      <c r="B91" s="27">
        <f>SUMIFS(Raw_Events!$H:$H,Raw_Events!$C:$C,$A91,Raw_Events!$G:$G,"SLEEP_HOURS")</f>
        <v/>
      </c>
      <c r="C91" s="16">
        <f>COUNTIFS(Raw_Events!$C:$C,$A91,Raw_Events!$G:$G,"WORKOUT")</f>
        <v/>
      </c>
      <c r="D91" s="28">
        <f>SUMIFS(Raw_Events!$H:$H,Raw_Events!$C:$C,$A91,Raw_Events!$G:$G,"POSTURE_SESSION")</f>
        <v/>
      </c>
      <c r="E91" s="8">
        <f>IF($D91="","",IF($D91&gt;=Settings!$C$17,1,0))</f>
        <v/>
      </c>
      <c r="F91" s="28">
        <f>SUMIFS(Raw_Events!$H:$H,Raw_Events!$C:$C,$A91,Raw_Events!$G:$G,"MINDFULNESS_MIN")</f>
        <v/>
      </c>
      <c r="G91" s="8">
        <f>IF($F91="","",IF($F91&gt;0,1,0))</f>
        <v/>
      </c>
      <c r="H91" s="16">
        <f>SUMIFS(Raw_Events!$H:$H,Raw_Events!$C:$C,$A91,Raw_Events!$G:$G,"CIGARETTES")</f>
        <v/>
      </c>
      <c r="I91" s="29">
        <f>SUMIFS(Raw_Events!$L:$L,Raw_Events!$C:$C,$A91,Raw_Events!$G:$G,"ALCOHOL")</f>
        <v/>
      </c>
      <c r="J91" s="16">
        <f>SUMIFS(Raw_Events!$H:$H,Raw_Events!$C:$C,$A91,Raw_Events!$G:$G,"UNHEALTHY_MEAL")</f>
        <v/>
      </c>
      <c r="K91" s="28">
        <f>SUMIFS(Raw_Events!$H:$H,Raw_Events!$C:$C,$A91,Raw_Events!$G:$G,"TRAINING_MIN")+SUMIFS(Raw_Events!$H:$H,Raw_Events!$C:$C,$A91,Raw_Events!$G:$G,"DICTION_TRAINING_MIN")</f>
        <v/>
      </c>
      <c r="L91" s="28" t="n"/>
      <c r="M91" s="16">
        <f>SUMIFS(Raw_Events!$H:$H,Raw_Events!$C:$C,$A91,Raw_Events!$G:$G,"IDEA")</f>
        <v/>
      </c>
      <c r="N91" s="16">
        <f>COUNTIFS(Raw_Events!$C:$C,$A91,Raw_Events!$G:$G,"SOCIAL_MEET")</f>
        <v/>
      </c>
      <c r="O91" s="16">
        <f>COUNTIFS(Raw_Events!$C:$C,$A91,Raw_Events!$G:$G,"DATE")</f>
        <v/>
      </c>
      <c r="P91" s="3">
        <f>COUNTIFS(Raw_Events!$C:$C,$A91,Raw_Events!$G:$G,"NEW_ACTIVITY")</f>
        <v/>
      </c>
      <c r="Q91" s="3">
        <f>SUMIFS(Raw_Events!$H:$H,Raw_Events!$C:$C,$A91,Raw_Events!$G:$G,"TRAVEL_NIGHT")</f>
        <v/>
      </c>
      <c r="R91" s="3" t="n"/>
    </row>
    <row r="92" ht="15" customHeight="1">
      <c r="A92" s="14" t="n">
        <v>46112</v>
      </c>
      <c r="B92" s="27">
        <f>SUMIFS(Raw_Events!$H:$H,Raw_Events!$C:$C,$A92,Raw_Events!$G:$G,"SLEEP_HOURS")</f>
        <v/>
      </c>
      <c r="C92" s="16">
        <f>COUNTIFS(Raw_Events!$C:$C,$A92,Raw_Events!$G:$G,"WORKOUT")</f>
        <v/>
      </c>
      <c r="D92" s="28">
        <f>SUMIFS(Raw_Events!$H:$H,Raw_Events!$C:$C,$A92,Raw_Events!$G:$G,"POSTURE_SESSION")</f>
        <v/>
      </c>
      <c r="E92" s="8">
        <f>IF($D92="","",IF($D92&gt;=Settings!$C$17,1,0))</f>
        <v/>
      </c>
      <c r="F92" s="28">
        <f>SUMIFS(Raw_Events!$H:$H,Raw_Events!$C:$C,$A92,Raw_Events!$G:$G,"MINDFULNESS_MIN")</f>
        <v/>
      </c>
      <c r="G92" s="8">
        <f>IF($F92="","",IF($F92&gt;0,1,0))</f>
        <v/>
      </c>
      <c r="H92" s="16">
        <f>SUMIFS(Raw_Events!$H:$H,Raw_Events!$C:$C,$A92,Raw_Events!$G:$G,"CIGARETTES")</f>
        <v/>
      </c>
      <c r="I92" s="29">
        <f>SUMIFS(Raw_Events!$L:$L,Raw_Events!$C:$C,$A92,Raw_Events!$G:$G,"ALCOHOL")</f>
        <v/>
      </c>
      <c r="J92" s="16">
        <f>SUMIFS(Raw_Events!$H:$H,Raw_Events!$C:$C,$A92,Raw_Events!$G:$G,"UNHEALTHY_MEAL")</f>
        <v/>
      </c>
      <c r="K92" s="28">
        <f>SUMIFS(Raw_Events!$H:$H,Raw_Events!$C:$C,$A92,Raw_Events!$G:$G,"TRAINING_MIN")+SUMIFS(Raw_Events!$H:$H,Raw_Events!$C:$C,$A92,Raw_Events!$G:$G,"DICTION_TRAINING_MIN")</f>
        <v/>
      </c>
      <c r="L92" s="28" t="n"/>
      <c r="M92" s="16">
        <f>SUMIFS(Raw_Events!$H:$H,Raw_Events!$C:$C,$A92,Raw_Events!$G:$G,"IDEA")</f>
        <v/>
      </c>
      <c r="N92" s="16">
        <f>COUNTIFS(Raw_Events!$C:$C,$A92,Raw_Events!$G:$G,"SOCIAL_MEET")</f>
        <v/>
      </c>
      <c r="O92" s="16">
        <f>COUNTIFS(Raw_Events!$C:$C,$A92,Raw_Events!$G:$G,"DATE")</f>
        <v/>
      </c>
      <c r="P92" s="3">
        <f>COUNTIFS(Raw_Events!$C:$C,$A92,Raw_Events!$G:$G,"NEW_ACTIVITY")</f>
        <v/>
      </c>
      <c r="Q92" s="3">
        <f>SUMIFS(Raw_Events!$H:$H,Raw_Events!$C:$C,$A92,Raw_Events!$G:$G,"TRAVEL_NIGHT")</f>
        <v/>
      </c>
      <c r="R92" s="3" t="n"/>
    </row>
    <row r="93" ht="15" customHeight="1">
      <c r="A93" s="14" t="n">
        <v>46113</v>
      </c>
      <c r="B93" s="27">
        <f>SUMIFS(Raw_Events!$H:$H,Raw_Events!$C:$C,$A93,Raw_Events!$G:$G,"SLEEP_HOURS")</f>
        <v/>
      </c>
      <c r="C93" s="16">
        <f>COUNTIFS(Raw_Events!$C:$C,$A93,Raw_Events!$G:$G,"WORKOUT")</f>
        <v/>
      </c>
      <c r="D93" s="28">
        <f>SUMIFS(Raw_Events!$H:$H,Raw_Events!$C:$C,$A93,Raw_Events!$G:$G,"POSTURE_SESSION")</f>
        <v/>
      </c>
      <c r="E93" s="8">
        <f>IF($D93="","",IF($D93&gt;=Settings!$C$17,1,0))</f>
        <v/>
      </c>
      <c r="F93" s="28">
        <f>SUMIFS(Raw_Events!$H:$H,Raw_Events!$C:$C,$A93,Raw_Events!$G:$G,"MINDFULNESS_MIN")</f>
        <v/>
      </c>
      <c r="G93" s="8">
        <f>IF($F93="","",IF($F93&gt;0,1,0))</f>
        <v/>
      </c>
      <c r="H93" s="16">
        <f>SUMIFS(Raw_Events!$H:$H,Raw_Events!$C:$C,$A93,Raw_Events!$G:$G,"CIGARETTES")</f>
        <v/>
      </c>
      <c r="I93" s="29">
        <f>SUMIFS(Raw_Events!$L:$L,Raw_Events!$C:$C,$A93,Raw_Events!$G:$G,"ALCOHOL")</f>
        <v/>
      </c>
      <c r="J93" s="16">
        <f>SUMIFS(Raw_Events!$H:$H,Raw_Events!$C:$C,$A93,Raw_Events!$G:$G,"UNHEALTHY_MEAL")</f>
        <v/>
      </c>
      <c r="K93" s="28">
        <f>SUMIFS(Raw_Events!$H:$H,Raw_Events!$C:$C,$A93,Raw_Events!$G:$G,"TRAINING_MIN")+SUMIFS(Raw_Events!$H:$H,Raw_Events!$C:$C,$A93,Raw_Events!$G:$G,"DICTION_TRAINING_MIN")</f>
        <v/>
      </c>
      <c r="L93" s="28" t="n"/>
      <c r="M93" s="16">
        <f>SUMIFS(Raw_Events!$H:$H,Raw_Events!$C:$C,$A93,Raw_Events!$G:$G,"IDEA")</f>
        <v/>
      </c>
      <c r="N93" s="16">
        <f>COUNTIFS(Raw_Events!$C:$C,$A93,Raw_Events!$G:$G,"SOCIAL_MEET")</f>
        <v/>
      </c>
      <c r="O93" s="16">
        <f>COUNTIFS(Raw_Events!$C:$C,$A93,Raw_Events!$G:$G,"DATE")</f>
        <v/>
      </c>
      <c r="P93" s="3">
        <f>COUNTIFS(Raw_Events!$C:$C,$A93,Raw_Events!$G:$G,"NEW_ACTIVITY")</f>
        <v/>
      </c>
      <c r="Q93" s="3">
        <f>SUMIFS(Raw_Events!$H:$H,Raw_Events!$C:$C,$A93,Raw_Events!$G:$G,"TRAVEL_NIGHT")</f>
        <v/>
      </c>
      <c r="R93" s="3" t="n"/>
    </row>
    <row r="94" ht="15" customHeight="1">
      <c r="A94" s="14" t="n">
        <v>46114</v>
      </c>
      <c r="B94" s="27">
        <f>SUMIFS(Raw_Events!$H:$H,Raw_Events!$C:$C,$A94,Raw_Events!$G:$G,"SLEEP_HOURS")</f>
        <v/>
      </c>
      <c r="C94" s="16">
        <f>COUNTIFS(Raw_Events!$C:$C,$A94,Raw_Events!$G:$G,"WORKOUT")</f>
        <v/>
      </c>
      <c r="D94" s="28">
        <f>SUMIFS(Raw_Events!$H:$H,Raw_Events!$C:$C,$A94,Raw_Events!$G:$G,"POSTURE_SESSION")</f>
        <v/>
      </c>
      <c r="E94" s="8">
        <f>IF($D94="","",IF($D94&gt;=Settings!$C$17,1,0))</f>
        <v/>
      </c>
      <c r="F94" s="28">
        <f>SUMIFS(Raw_Events!$H:$H,Raw_Events!$C:$C,$A94,Raw_Events!$G:$G,"MINDFULNESS_MIN")</f>
        <v/>
      </c>
      <c r="G94" s="8">
        <f>IF($F94="","",IF($F94&gt;0,1,0))</f>
        <v/>
      </c>
      <c r="H94" s="16">
        <f>SUMIFS(Raw_Events!$H:$H,Raw_Events!$C:$C,$A94,Raw_Events!$G:$G,"CIGARETTES")</f>
        <v/>
      </c>
      <c r="I94" s="29">
        <f>SUMIFS(Raw_Events!$L:$L,Raw_Events!$C:$C,$A94,Raw_Events!$G:$G,"ALCOHOL")</f>
        <v/>
      </c>
      <c r="J94" s="16">
        <f>SUMIFS(Raw_Events!$H:$H,Raw_Events!$C:$C,$A94,Raw_Events!$G:$G,"UNHEALTHY_MEAL")</f>
        <v/>
      </c>
      <c r="K94" s="28">
        <f>SUMIFS(Raw_Events!$H:$H,Raw_Events!$C:$C,$A94,Raw_Events!$G:$G,"TRAINING_MIN")+SUMIFS(Raw_Events!$H:$H,Raw_Events!$C:$C,$A94,Raw_Events!$G:$G,"DICTION_TRAINING_MIN")</f>
        <v/>
      </c>
      <c r="L94" s="28" t="n"/>
      <c r="M94" s="16">
        <f>SUMIFS(Raw_Events!$H:$H,Raw_Events!$C:$C,$A94,Raw_Events!$G:$G,"IDEA")</f>
        <v/>
      </c>
      <c r="N94" s="16">
        <f>COUNTIFS(Raw_Events!$C:$C,$A94,Raw_Events!$G:$G,"SOCIAL_MEET")</f>
        <v/>
      </c>
      <c r="O94" s="16">
        <f>COUNTIFS(Raw_Events!$C:$C,$A94,Raw_Events!$G:$G,"DATE")</f>
        <v/>
      </c>
      <c r="P94" s="3">
        <f>COUNTIFS(Raw_Events!$C:$C,$A94,Raw_Events!$G:$G,"NEW_ACTIVITY")</f>
        <v/>
      </c>
      <c r="Q94" s="3">
        <f>SUMIFS(Raw_Events!$H:$H,Raw_Events!$C:$C,$A94,Raw_Events!$G:$G,"TRAVEL_NIGHT")</f>
        <v/>
      </c>
      <c r="R94" s="3" t="n"/>
    </row>
    <row r="95" ht="15" customHeight="1">
      <c r="A95" s="14" t="n">
        <v>46115</v>
      </c>
      <c r="B95" s="27">
        <f>SUMIFS(Raw_Events!$H:$H,Raw_Events!$C:$C,$A95,Raw_Events!$G:$G,"SLEEP_HOURS")</f>
        <v/>
      </c>
      <c r="C95" s="16">
        <f>COUNTIFS(Raw_Events!$C:$C,$A95,Raw_Events!$G:$G,"WORKOUT")</f>
        <v/>
      </c>
      <c r="D95" s="28">
        <f>SUMIFS(Raw_Events!$H:$H,Raw_Events!$C:$C,$A95,Raw_Events!$G:$G,"POSTURE_SESSION")</f>
        <v/>
      </c>
      <c r="E95" s="8">
        <f>IF($D95="","",IF($D95&gt;=Settings!$C$17,1,0))</f>
        <v/>
      </c>
      <c r="F95" s="28">
        <f>SUMIFS(Raw_Events!$H:$H,Raw_Events!$C:$C,$A95,Raw_Events!$G:$G,"MINDFULNESS_MIN")</f>
        <v/>
      </c>
      <c r="G95" s="8">
        <f>IF($F95="","",IF($F95&gt;0,1,0))</f>
        <v/>
      </c>
      <c r="H95" s="16">
        <f>SUMIFS(Raw_Events!$H:$H,Raw_Events!$C:$C,$A95,Raw_Events!$G:$G,"CIGARETTES")</f>
        <v/>
      </c>
      <c r="I95" s="29">
        <f>SUMIFS(Raw_Events!$L:$L,Raw_Events!$C:$C,$A95,Raw_Events!$G:$G,"ALCOHOL")</f>
        <v/>
      </c>
      <c r="J95" s="16">
        <f>SUMIFS(Raw_Events!$H:$H,Raw_Events!$C:$C,$A95,Raw_Events!$G:$G,"UNHEALTHY_MEAL")</f>
        <v/>
      </c>
      <c r="K95" s="28">
        <f>SUMIFS(Raw_Events!$H:$H,Raw_Events!$C:$C,$A95,Raw_Events!$G:$G,"TRAINING_MIN")+SUMIFS(Raw_Events!$H:$H,Raw_Events!$C:$C,$A95,Raw_Events!$G:$G,"DICTION_TRAINING_MIN")</f>
        <v/>
      </c>
      <c r="L95" s="28" t="n"/>
      <c r="M95" s="16">
        <f>SUMIFS(Raw_Events!$H:$H,Raw_Events!$C:$C,$A95,Raw_Events!$G:$G,"IDEA")</f>
        <v/>
      </c>
      <c r="N95" s="16">
        <f>COUNTIFS(Raw_Events!$C:$C,$A95,Raw_Events!$G:$G,"SOCIAL_MEET")</f>
        <v/>
      </c>
      <c r="O95" s="16">
        <f>COUNTIFS(Raw_Events!$C:$C,$A95,Raw_Events!$G:$G,"DATE")</f>
        <v/>
      </c>
      <c r="P95" s="3">
        <f>COUNTIFS(Raw_Events!$C:$C,$A95,Raw_Events!$G:$G,"NEW_ACTIVITY")</f>
        <v/>
      </c>
      <c r="Q95" s="3">
        <f>SUMIFS(Raw_Events!$H:$H,Raw_Events!$C:$C,$A95,Raw_Events!$G:$G,"TRAVEL_NIGHT")</f>
        <v/>
      </c>
      <c r="R95" s="3" t="n"/>
    </row>
    <row r="96" ht="15" customHeight="1">
      <c r="A96" s="14" t="n">
        <v>46116</v>
      </c>
      <c r="B96" s="27">
        <f>SUMIFS(Raw_Events!$H:$H,Raw_Events!$C:$C,$A96,Raw_Events!$G:$G,"SLEEP_HOURS")</f>
        <v/>
      </c>
      <c r="C96" s="16">
        <f>COUNTIFS(Raw_Events!$C:$C,$A96,Raw_Events!$G:$G,"WORKOUT")</f>
        <v/>
      </c>
      <c r="D96" s="28">
        <f>SUMIFS(Raw_Events!$H:$H,Raw_Events!$C:$C,$A96,Raw_Events!$G:$G,"POSTURE_SESSION")</f>
        <v/>
      </c>
      <c r="E96" s="8">
        <f>IF($D96="","",IF($D96&gt;=Settings!$C$17,1,0))</f>
        <v/>
      </c>
      <c r="F96" s="28">
        <f>SUMIFS(Raw_Events!$H:$H,Raw_Events!$C:$C,$A96,Raw_Events!$G:$G,"MINDFULNESS_MIN")</f>
        <v/>
      </c>
      <c r="G96" s="8">
        <f>IF($F96="","",IF($F96&gt;0,1,0))</f>
        <v/>
      </c>
      <c r="H96" s="16">
        <f>SUMIFS(Raw_Events!$H:$H,Raw_Events!$C:$C,$A96,Raw_Events!$G:$G,"CIGARETTES")</f>
        <v/>
      </c>
      <c r="I96" s="29">
        <f>SUMIFS(Raw_Events!$L:$L,Raw_Events!$C:$C,$A96,Raw_Events!$G:$G,"ALCOHOL")</f>
        <v/>
      </c>
      <c r="J96" s="16">
        <f>SUMIFS(Raw_Events!$H:$H,Raw_Events!$C:$C,$A96,Raw_Events!$G:$G,"UNHEALTHY_MEAL")</f>
        <v/>
      </c>
      <c r="K96" s="28">
        <f>SUMIFS(Raw_Events!$H:$H,Raw_Events!$C:$C,$A96,Raw_Events!$G:$G,"TRAINING_MIN")+SUMIFS(Raw_Events!$H:$H,Raw_Events!$C:$C,$A96,Raw_Events!$G:$G,"DICTION_TRAINING_MIN")</f>
        <v/>
      </c>
      <c r="L96" s="28" t="n"/>
      <c r="M96" s="16">
        <f>SUMIFS(Raw_Events!$H:$H,Raw_Events!$C:$C,$A96,Raw_Events!$G:$G,"IDEA")</f>
        <v/>
      </c>
      <c r="N96" s="16">
        <f>COUNTIFS(Raw_Events!$C:$C,$A96,Raw_Events!$G:$G,"SOCIAL_MEET")</f>
        <v/>
      </c>
      <c r="O96" s="16">
        <f>COUNTIFS(Raw_Events!$C:$C,$A96,Raw_Events!$G:$G,"DATE")</f>
        <v/>
      </c>
      <c r="P96" s="3">
        <f>COUNTIFS(Raw_Events!$C:$C,$A96,Raw_Events!$G:$G,"NEW_ACTIVITY")</f>
        <v/>
      </c>
      <c r="Q96" s="3">
        <f>SUMIFS(Raw_Events!$H:$H,Raw_Events!$C:$C,$A96,Raw_Events!$G:$G,"TRAVEL_NIGHT")</f>
        <v/>
      </c>
      <c r="R96" s="3" t="n"/>
    </row>
    <row r="97" ht="15" customHeight="1">
      <c r="A97" s="14" t="n">
        <v>46117</v>
      </c>
      <c r="B97" s="27">
        <f>SUMIFS(Raw_Events!$H:$H,Raw_Events!$C:$C,$A97,Raw_Events!$G:$G,"SLEEP_HOURS")</f>
        <v/>
      </c>
      <c r="C97" s="16">
        <f>COUNTIFS(Raw_Events!$C:$C,$A97,Raw_Events!$G:$G,"WORKOUT")</f>
        <v/>
      </c>
      <c r="D97" s="28">
        <f>SUMIFS(Raw_Events!$H:$H,Raw_Events!$C:$C,$A97,Raw_Events!$G:$G,"POSTURE_SESSION")</f>
        <v/>
      </c>
      <c r="E97" s="8">
        <f>IF($D97="","",IF($D97&gt;=Settings!$C$17,1,0))</f>
        <v/>
      </c>
      <c r="F97" s="28">
        <f>SUMIFS(Raw_Events!$H:$H,Raw_Events!$C:$C,$A97,Raw_Events!$G:$G,"MINDFULNESS_MIN")</f>
        <v/>
      </c>
      <c r="G97" s="8">
        <f>IF($F97="","",IF($F97&gt;0,1,0))</f>
        <v/>
      </c>
      <c r="H97" s="16">
        <f>SUMIFS(Raw_Events!$H:$H,Raw_Events!$C:$C,$A97,Raw_Events!$G:$G,"CIGARETTES")</f>
        <v/>
      </c>
      <c r="I97" s="29">
        <f>SUMIFS(Raw_Events!$L:$L,Raw_Events!$C:$C,$A97,Raw_Events!$G:$G,"ALCOHOL")</f>
        <v/>
      </c>
      <c r="J97" s="16">
        <f>SUMIFS(Raw_Events!$H:$H,Raw_Events!$C:$C,$A97,Raw_Events!$G:$G,"UNHEALTHY_MEAL")</f>
        <v/>
      </c>
      <c r="K97" s="28">
        <f>SUMIFS(Raw_Events!$H:$H,Raw_Events!$C:$C,$A97,Raw_Events!$G:$G,"TRAINING_MIN")+SUMIFS(Raw_Events!$H:$H,Raw_Events!$C:$C,$A97,Raw_Events!$G:$G,"DICTION_TRAINING_MIN")</f>
        <v/>
      </c>
      <c r="L97" s="28" t="n"/>
      <c r="M97" s="16">
        <f>SUMIFS(Raw_Events!$H:$H,Raw_Events!$C:$C,$A97,Raw_Events!$G:$G,"IDEA")</f>
        <v/>
      </c>
      <c r="N97" s="16">
        <f>COUNTIFS(Raw_Events!$C:$C,$A97,Raw_Events!$G:$G,"SOCIAL_MEET")</f>
        <v/>
      </c>
      <c r="O97" s="16">
        <f>COUNTIFS(Raw_Events!$C:$C,$A97,Raw_Events!$G:$G,"DATE")</f>
        <v/>
      </c>
      <c r="P97" s="3">
        <f>COUNTIFS(Raw_Events!$C:$C,$A97,Raw_Events!$G:$G,"NEW_ACTIVITY")</f>
        <v/>
      </c>
      <c r="Q97" s="3">
        <f>SUMIFS(Raw_Events!$H:$H,Raw_Events!$C:$C,$A97,Raw_Events!$G:$G,"TRAVEL_NIGHT")</f>
        <v/>
      </c>
      <c r="R97" s="3" t="n"/>
    </row>
    <row r="98" ht="15" customHeight="1">
      <c r="A98" s="14" t="n">
        <v>46118</v>
      </c>
      <c r="B98" s="27">
        <f>SUMIFS(Raw_Events!$H:$H,Raw_Events!$C:$C,$A98,Raw_Events!$G:$G,"SLEEP_HOURS")</f>
        <v/>
      </c>
      <c r="C98" s="16">
        <f>COUNTIFS(Raw_Events!$C:$C,$A98,Raw_Events!$G:$G,"WORKOUT")</f>
        <v/>
      </c>
      <c r="D98" s="28">
        <f>SUMIFS(Raw_Events!$H:$H,Raw_Events!$C:$C,$A98,Raw_Events!$G:$G,"POSTURE_SESSION")</f>
        <v/>
      </c>
      <c r="E98" s="8">
        <f>IF($D98="","",IF($D98&gt;=Settings!$C$17,1,0))</f>
        <v/>
      </c>
      <c r="F98" s="28">
        <f>SUMIFS(Raw_Events!$H:$H,Raw_Events!$C:$C,$A98,Raw_Events!$G:$G,"MINDFULNESS_MIN")</f>
        <v/>
      </c>
      <c r="G98" s="8">
        <f>IF($F98="","",IF($F98&gt;0,1,0))</f>
        <v/>
      </c>
      <c r="H98" s="16">
        <f>SUMIFS(Raw_Events!$H:$H,Raw_Events!$C:$C,$A98,Raw_Events!$G:$G,"CIGARETTES")</f>
        <v/>
      </c>
      <c r="I98" s="29">
        <f>SUMIFS(Raw_Events!$L:$L,Raw_Events!$C:$C,$A98,Raw_Events!$G:$G,"ALCOHOL")</f>
        <v/>
      </c>
      <c r="J98" s="16">
        <f>SUMIFS(Raw_Events!$H:$H,Raw_Events!$C:$C,$A98,Raw_Events!$G:$G,"UNHEALTHY_MEAL")</f>
        <v/>
      </c>
      <c r="K98" s="28">
        <f>SUMIFS(Raw_Events!$H:$H,Raw_Events!$C:$C,$A98,Raw_Events!$G:$G,"TRAINING_MIN")+SUMIFS(Raw_Events!$H:$H,Raw_Events!$C:$C,$A98,Raw_Events!$G:$G,"DICTION_TRAINING_MIN")</f>
        <v/>
      </c>
      <c r="L98" s="28" t="n"/>
      <c r="M98" s="16">
        <f>SUMIFS(Raw_Events!$H:$H,Raw_Events!$C:$C,$A98,Raw_Events!$G:$G,"IDEA")</f>
        <v/>
      </c>
      <c r="N98" s="16">
        <f>COUNTIFS(Raw_Events!$C:$C,$A98,Raw_Events!$G:$G,"SOCIAL_MEET")</f>
        <v/>
      </c>
      <c r="O98" s="16">
        <f>COUNTIFS(Raw_Events!$C:$C,$A98,Raw_Events!$G:$G,"DATE")</f>
        <v/>
      </c>
      <c r="P98" s="3">
        <f>COUNTIFS(Raw_Events!$C:$C,$A98,Raw_Events!$G:$G,"NEW_ACTIVITY")</f>
        <v/>
      </c>
      <c r="Q98" s="3">
        <f>SUMIFS(Raw_Events!$H:$H,Raw_Events!$C:$C,$A98,Raw_Events!$G:$G,"TRAVEL_NIGHT")</f>
        <v/>
      </c>
      <c r="R98" s="3" t="n"/>
    </row>
    <row r="99" ht="15" customHeight="1">
      <c r="A99" s="14" t="n">
        <v>46119</v>
      </c>
      <c r="B99" s="27">
        <f>SUMIFS(Raw_Events!$H:$H,Raw_Events!$C:$C,$A99,Raw_Events!$G:$G,"SLEEP_HOURS")</f>
        <v/>
      </c>
      <c r="C99" s="16">
        <f>COUNTIFS(Raw_Events!$C:$C,$A99,Raw_Events!$G:$G,"WORKOUT")</f>
        <v/>
      </c>
      <c r="D99" s="28">
        <f>SUMIFS(Raw_Events!$H:$H,Raw_Events!$C:$C,$A99,Raw_Events!$G:$G,"POSTURE_SESSION")</f>
        <v/>
      </c>
      <c r="E99" s="8">
        <f>IF($D99="","",IF($D99&gt;=Settings!$C$17,1,0))</f>
        <v/>
      </c>
      <c r="F99" s="28">
        <f>SUMIFS(Raw_Events!$H:$H,Raw_Events!$C:$C,$A99,Raw_Events!$G:$G,"MINDFULNESS_MIN")</f>
        <v/>
      </c>
      <c r="G99" s="8">
        <f>IF($F99="","",IF($F99&gt;0,1,0))</f>
        <v/>
      </c>
      <c r="H99" s="16">
        <f>SUMIFS(Raw_Events!$H:$H,Raw_Events!$C:$C,$A99,Raw_Events!$G:$G,"CIGARETTES")</f>
        <v/>
      </c>
      <c r="I99" s="29">
        <f>SUMIFS(Raw_Events!$L:$L,Raw_Events!$C:$C,$A99,Raw_Events!$G:$G,"ALCOHOL")</f>
        <v/>
      </c>
      <c r="J99" s="16">
        <f>SUMIFS(Raw_Events!$H:$H,Raw_Events!$C:$C,$A99,Raw_Events!$G:$G,"UNHEALTHY_MEAL")</f>
        <v/>
      </c>
      <c r="K99" s="28">
        <f>SUMIFS(Raw_Events!$H:$H,Raw_Events!$C:$C,$A99,Raw_Events!$G:$G,"TRAINING_MIN")+SUMIFS(Raw_Events!$H:$H,Raw_Events!$C:$C,$A99,Raw_Events!$G:$G,"DICTION_TRAINING_MIN")</f>
        <v/>
      </c>
      <c r="L99" s="28" t="n"/>
      <c r="M99" s="16">
        <f>SUMIFS(Raw_Events!$H:$H,Raw_Events!$C:$C,$A99,Raw_Events!$G:$G,"IDEA")</f>
        <v/>
      </c>
      <c r="N99" s="16">
        <f>COUNTIFS(Raw_Events!$C:$C,$A99,Raw_Events!$G:$G,"SOCIAL_MEET")</f>
        <v/>
      </c>
      <c r="O99" s="16">
        <f>COUNTIFS(Raw_Events!$C:$C,$A99,Raw_Events!$G:$G,"DATE")</f>
        <v/>
      </c>
      <c r="P99" s="3">
        <f>COUNTIFS(Raw_Events!$C:$C,$A99,Raw_Events!$G:$G,"NEW_ACTIVITY")</f>
        <v/>
      </c>
      <c r="Q99" s="3">
        <f>SUMIFS(Raw_Events!$H:$H,Raw_Events!$C:$C,$A99,Raw_Events!$G:$G,"TRAVEL_NIGHT")</f>
        <v/>
      </c>
      <c r="R99" s="3" t="n"/>
    </row>
    <row r="100" ht="15" customHeight="1">
      <c r="A100" s="14" t="n">
        <v>46120</v>
      </c>
      <c r="B100" s="27">
        <f>SUMIFS(Raw_Events!$H:$H,Raw_Events!$C:$C,$A100,Raw_Events!$G:$G,"SLEEP_HOURS")</f>
        <v/>
      </c>
      <c r="C100" s="16">
        <f>COUNTIFS(Raw_Events!$C:$C,$A100,Raw_Events!$G:$G,"WORKOUT")</f>
        <v/>
      </c>
      <c r="D100" s="28">
        <f>SUMIFS(Raw_Events!$H:$H,Raw_Events!$C:$C,$A100,Raw_Events!$G:$G,"POSTURE_SESSION")</f>
        <v/>
      </c>
      <c r="E100" s="8">
        <f>IF($D100="","",IF($D100&gt;=Settings!$C$17,1,0))</f>
        <v/>
      </c>
      <c r="F100" s="28">
        <f>SUMIFS(Raw_Events!$H:$H,Raw_Events!$C:$C,$A100,Raw_Events!$G:$G,"MINDFULNESS_MIN")</f>
        <v/>
      </c>
      <c r="G100" s="8">
        <f>IF($F100="","",IF($F100&gt;0,1,0))</f>
        <v/>
      </c>
      <c r="H100" s="16">
        <f>SUMIFS(Raw_Events!$H:$H,Raw_Events!$C:$C,$A100,Raw_Events!$G:$G,"CIGARETTES")</f>
        <v/>
      </c>
      <c r="I100" s="29">
        <f>SUMIFS(Raw_Events!$L:$L,Raw_Events!$C:$C,$A100,Raw_Events!$G:$G,"ALCOHOL")</f>
        <v/>
      </c>
      <c r="J100" s="16">
        <f>SUMIFS(Raw_Events!$H:$H,Raw_Events!$C:$C,$A100,Raw_Events!$G:$G,"UNHEALTHY_MEAL")</f>
        <v/>
      </c>
      <c r="K100" s="28">
        <f>SUMIFS(Raw_Events!$H:$H,Raw_Events!$C:$C,$A100,Raw_Events!$G:$G,"TRAINING_MIN")+SUMIFS(Raw_Events!$H:$H,Raw_Events!$C:$C,$A100,Raw_Events!$G:$G,"DICTION_TRAINING_MIN")</f>
        <v/>
      </c>
      <c r="L100" s="28" t="n"/>
      <c r="M100" s="16">
        <f>SUMIFS(Raw_Events!$H:$H,Raw_Events!$C:$C,$A100,Raw_Events!$G:$G,"IDEA")</f>
        <v/>
      </c>
      <c r="N100" s="16">
        <f>COUNTIFS(Raw_Events!$C:$C,$A100,Raw_Events!$G:$G,"SOCIAL_MEET")</f>
        <v/>
      </c>
      <c r="O100" s="16">
        <f>COUNTIFS(Raw_Events!$C:$C,$A100,Raw_Events!$G:$G,"DATE")</f>
        <v/>
      </c>
      <c r="P100" s="3">
        <f>COUNTIFS(Raw_Events!$C:$C,$A100,Raw_Events!$G:$G,"NEW_ACTIVITY")</f>
        <v/>
      </c>
      <c r="Q100" s="3">
        <f>SUMIFS(Raw_Events!$H:$H,Raw_Events!$C:$C,$A100,Raw_Events!$G:$G,"TRAVEL_NIGHT")</f>
        <v/>
      </c>
      <c r="R100" s="3" t="n"/>
    </row>
    <row r="101" ht="15" customHeight="1">
      <c r="A101" s="14" t="n">
        <v>46121</v>
      </c>
      <c r="B101" s="27">
        <f>SUMIFS(Raw_Events!$H:$H,Raw_Events!$C:$C,$A101,Raw_Events!$G:$G,"SLEEP_HOURS")</f>
        <v/>
      </c>
      <c r="C101" s="16">
        <f>COUNTIFS(Raw_Events!$C:$C,$A101,Raw_Events!$G:$G,"WORKOUT")</f>
        <v/>
      </c>
      <c r="D101" s="28">
        <f>SUMIFS(Raw_Events!$H:$H,Raw_Events!$C:$C,$A101,Raw_Events!$G:$G,"POSTURE_SESSION")</f>
        <v/>
      </c>
      <c r="E101" s="8">
        <f>IF($D101="","",IF($D101&gt;=Settings!$C$17,1,0))</f>
        <v/>
      </c>
      <c r="F101" s="28">
        <f>SUMIFS(Raw_Events!$H:$H,Raw_Events!$C:$C,$A101,Raw_Events!$G:$G,"MINDFULNESS_MIN")</f>
        <v/>
      </c>
      <c r="G101" s="8">
        <f>IF($F101="","",IF($F101&gt;0,1,0))</f>
        <v/>
      </c>
      <c r="H101" s="16">
        <f>SUMIFS(Raw_Events!$H:$H,Raw_Events!$C:$C,$A101,Raw_Events!$G:$G,"CIGARETTES")</f>
        <v/>
      </c>
      <c r="I101" s="29">
        <f>SUMIFS(Raw_Events!$L:$L,Raw_Events!$C:$C,$A101,Raw_Events!$G:$G,"ALCOHOL")</f>
        <v/>
      </c>
      <c r="J101" s="16">
        <f>SUMIFS(Raw_Events!$H:$H,Raw_Events!$C:$C,$A101,Raw_Events!$G:$G,"UNHEALTHY_MEAL")</f>
        <v/>
      </c>
      <c r="K101" s="28">
        <f>SUMIFS(Raw_Events!$H:$H,Raw_Events!$C:$C,$A101,Raw_Events!$G:$G,"TRAINING_MIN")+SUMIFS(Raw_Events!$H:$H,Raw_Events!$C:$C,$A101,Raw_Events!$G:$G,"DICTION_TRAINING_MIN")</f>
        <v/>
      </c>
      <c r="L101" s="28" t="n"/>
      <c r="M101" s="16">
        <f>SUMIFS(Raw_Events!$H:$H,Raw_Events!$C:$C,$A101,Raw_Events!$G:$G,"IDEA")</f>
        <v/>
      </c>
      <c r="N101" s="16">
        <f>COUNTIFS(Raw_Events!$C:$C,$A101,Raw_Events!$G:$G,"SOCIAL_MEET")</f>
        <v/>
      </c>
      <c r="O101" s="16">
        <f>COUNTIFS(Raw_Events!$C:$C,$A101,Raw_Events!$G:$G,"DATE")</f>
        <v/>
      </c>
      <c r="P101" s="3">
        <f>COUNTIFS(Raw_Events!$C:$C,$A101,Raw_Events!$G:$G,"NEW_ACTIVITY")</f>
        <v/>
      </c>
      <c r="Q101" s="3">
        <f>SUMIFS(Raw_Events!$H:$H,Raw_Events!$C:$C,$A101,Raw_Events!$G:$G,"TRAVEL_NIGHT")</f>
        <v/>
      </c>
      <c r="R101" s="3" t="n"/>
    </row>
    <row r="102" ht="15" customHeight="1">
      <c r="A102" s="14" t="n">
        <v>46122</v>
      </c>
      <c r="B102" s="27">
        <f>SUMIFS(Raw_Events!$H:$H,Raw_Events!$C:$C,$A102,Raw_Events!$G:$G,"SLEEP_HOURS")</f>
        <v/>
      </c>
      <c r="C102" s="16">
        <f>COUNTIFS(Raw_Events!$C:$C,$A102,Raw_Events!$G:$G,"WORKOUT")</f>
        <v/>
      </c>
      <c r="D102" s="28">
        <f>SUMIFS(Raw_Events!$H:$H,Raw_Events!$C:$C,$A102,Raw_Events!$G:$G,"POSTURE_SESSION")</f>
        <v/>
      </c>
      <c r="E102" s="8">
        <f>IF($D102="","",IF($D102&gt;=Settings!$C$17,1,0))</f>
        <v/>
      </c>
      <c r="F102" s="28">
        <f>SUMIFS(Raw_Events!$H:$H,Raw_Events!$C:$C,$A102,Raw_Events!$G:$G,"MINDFULNESS_MIN")</f>
        <v/>
      </c>
      <c r="G102" s="8">
        <f>IF($F102="","",IF($F102&gt;0,1,0))</f>
        <v/>
      </c>
      <c r="H102" s="16">
        <f>SUMIFS(Raw_Events!$H:$H,Raw_Events!$C:$C,$A102,Raw_Events!$G:$G,"CIGARETTES")</f>
        <v/>
      </c>
      <c r="I102" s="29">
        <f>SUMIFS(Raw_Events!$L:$L,Raw_Events!$C:$C,$A102,Raw_Events!$G:$G,"ALCOHOL")</f>
        <v/>
      </c>
      <c r="J102" s="16">
        <f>SUMIFS(Raw_Events!$H:$H,Raw_Events!$C:$C,$A102,Raw_Events!$G:$G,"UNHEALTHY_MEAL")</f>
        <v/>
      </c>
      <c r="K102" s="28">
        <f>SUMIFS(Raw_Events!$H:$H,Raw_Events!$C:$C,$A102,Raw_Events!$G:$G,"TRAINING_MIN")+SUMIFS(Raw_Events!$H:$H,Raw_Events!$C:$C,$A102,Raw_Events!$G:$G,"DICTION_TRAINING_MIN")</f>
        <v/>
      </c>
      <c r="L102" s="28" t="n"/>
      <c r="M102" s="16">
        <f>SUMIFS(Raw_Events!$H:$H,Raw_Events!$C:$C,$A102,Raw_Events!$G:$G,"IDEA")</f>
        <v/>
      </c>
      <c r="N102" s="16">
        <f>COUNTIFS(Raw_Events!$C:$C,$A102,Raw_Events!$G:$G,"SOCIAL_MEET")</f>
        <v/>
      </c>
      <c r="O102" s="16">
        <f>COUNTIFS(Raw_Events!$C:$C,$A102,Raw_Events!$G:$G,"DATE")</f>
        <v/>
      </c>
      <c r="P102" s="3">
        <f>COUNTIFS(Raw_Events!$C:$C,$A102,Raw_Events!$G:$G,"NEW_ACTIVITY")</f>
        <v/>
      </c>
      <c r="Q102" s="3">
        <f>SUMIFS(Raw_Events!$H:$H,Raw_Events!$C:$C,$A102,Raw_Events!$G:$G,"TRAVEL_NIGHT")</f>
        <v/>
      </c>
      <c r="R102" s="3" t="n"/>
    </row>
    <row r="103" ht="15" customHeight="1">
      <c r="A103" s="14" t="n">
        <v>46123</v>
      </c>
      <c r="B103" s="27">
        <f>SUMIFS(Raw_Events!$H:$H,Raw_Events!$C:$C,$A103,Raw_Events!$G:$G,"SLEEP_HOURS")</f>
        <v/>
      </c>
      <c r="C103" s="16">
        <f>COUNTIFS(Raw_Events!$C:$C,$A103,Raw_Events!$G:$G,"WORKOUT")</f>
        <v/>
      </c>
      <c r="D103" s="28">
        <f>SUMIFS(Raw_Events!$H:$H,Raw_Events!$C:$C,$A103,Raw_Events!$G:$G,"POSTURE_SESSION")</f>
        <v/>
      </c>
      <c r="E103" s="8">
        <f>IF($D103="","",IF($D103&gt;=Settings!$C$17,1,0))</f>
        <v/>
      </c>
      <c r="F103" s="28">
        <f>SUMIFS(Raw_Events!$H:$H,Raw_Events!$C:$C,$A103,Raw_Events!$G:$G,"MINDFULNESS_MIN")</f>
        <v/>
      </c>
      <c r="G103" s="8">
        <f>IF($F103="","",IF($F103&gt;0,1,0))</f>
        <v/>
      </c>
      <c r="H103" s="16">
        <f>SUMIFS(Raw_Events!$H:$H,Raw_Events!$C:$C,$A103,Raw_Events!$G:$G,"CIGARETTES")</f>
        <v/>
      </c>
      <c r="I103" s="29">
        <f>SUMIFS(Raw_Events!$L:$L,Raw_Events!$C:$C,$A103,Raw_Events!$G:$G,"ALCOHOL")</f>
        <v/>
      </c>
      <c r="J103" s="16">
        <f>SUMIFS(Raw_Events!$H:$H,Raw_Events!$C:$C,$A103,Raw_Events!$G:$G,"UNHEALTHY_MEAL")</f>
        <v/>
      </c>
      <c r="K103" s="28">
        <f>SUMIFS(Raw_Events!$H:$H,Raw_Events!$C:$C,$A103,Raw_Events!$G:$G,"TRAINING_MIN")+SUMIFS(Raw_Events!$H:$H,Raw_Events!$C:$C,$A103,Raw_Events!$G:$G,"DICTION_TRAINING_MIN")</f>
        <v/>
      </c>
      <c r="L103" s="28" t="n"/>
      <c r="M103" s="16">
        <f>SUMIFS(Raw_Events!$H:$H,Raw_Events!$C:$C,$A103,Raw_Events!$G:$G,"IDEA")</f>
        <v/>
      </c>
      <c r="N103" s="16">
        <f>COUNTIFS(Raw_Events!$C:$C,$A103,Raw_Events!$G:$G,"SOCIAL_MEET")</f>
        <v/>
      </c>
      <c r="O103" s="16">
        <f>COUNTIFS(Raw_Events!$C:$C,$A103,Raw_Events!$G:$G,"DATE")</f>
        <v/>
      </c>
      <c r="P103" s="3">
        <f>COUNTIFS(Raw_Events!$C:$C,$A103,Raw_Events!$G:$G,"NEW_ACTIVITY")</f>
        <v/>
      </c>
      <c r="Q103" s="3">
        <f>SUMIFS(Raw_Events!$H:$H,Raw_Events!$C:$C,$A103,Raw_Events!$G:$G,"TRAVEL_NIGHT")</f>
        <v/>
      </c>
      <c r="R103" s="3" t="n"/>
    </row>
    <row r="104" ht="15" customHeight="1">
      <c r="A104" s="14" t="n">
        <v>46124</v>
      </c>
      <c r="B104" s="27">
        <f>SUMIFS(Raw_Events!$H:$H,Raw_Events!$C:$C,$A104,Raw_Events!$G:$G,"SLEEP_HOURS")</f>
        <v/>
      </c>
      <c r="C104" s="16">
        <f>COUNTIFS(Raw_Events!$C:$C,$A104,Raw_Events!$G:$G,"WORKOUT")</f>
        <v/>
      </c>
      <c r="D104" s="28">
        <f>SUMIFS(Raw_Events!$H:$H,Raw_Events!$C:$C,$A104,Raw_Events!$G:$G,"POSTURE_SESSION")</f>
        <v/>
      </c>
      <c r="E104" s="8">
        <f>IF($D104="","",IF($D104&gt;=Settings!$C$17,1,0))</f>
        <v/>
      </c>
      <c r="F104" s="28">
        <f>SUMIFS(Raw_Events!$H:$H,Raw_Events!$C:$C,$A104,Raw_Events!$G:$G,"MINDFULNESS_MIN")</f>
        <v/>
      </c>
      <c r="G104" s="8">
        <f>IF($F104="","",IF($F104&gt;0,1,0))</f>
        <v/>
      </c>
      <c r="H104" s="16">
        <f>SUMIFS(Raw_Events!$H:$H,Raw_Events!$C:$C,$A104,Raw_Events!$G:$G,"CIGARETTES")</f>
        <v/>
      </c>
      <c r="I104" s="29">
        <f>SUMIFS(Raw_Events!$L:$L,Raw_Events!$C:$C,$A104,Raw_Events!$G:$G,"ALCOHOL")</f>
        <v/>
      </c>
      <c r="J104" s="16">
        <f>SUMIFS(Raw_Events!$H:$H,Raw_Events!$C:$C,$A104,Raw_Events!$G:$G,"UNHEALTHY_MEAL")</f>
        <v/>
      </c>
      <c r="K104" s="28">
        <f>SUMIFS(Raw_Events!$H:$H,Raw_Events!$C:$C,$A104,Raw_Events!$G:$G,"TRAINING_MIN")+SUMIFS(Raw_Events!$H:$H,Raw_Events!$C:$C,$A104,Raw_Events!$G:$G,"DICTION_TRAINING_MIN")</f>
        <v/>
      </c>
      <c r="L104" s="28" t="n"/>
      <c r="M104" s="16">
        <f>SUMIFS(Raw_Events!$H:$H,Raw_Events!$C:$C,$A104,Raw_Events!$G:$G,"IDEA")</f>
        <v/>
      </c>
      <c r="N104" s="16">
        <f>COUNTIFS(Raw_Events!$C:$C,$A104,Raw_Events!$G:$G,"SOCIAL_MEET")</f>
        <v/>
      </c>
      <c r="O104" s="16">
        <f>COUNTIFS(Raw_Events!$C:$C,$A104,Raw_Events!$G:$G,"DATE")</f>
        <v/>
      </c>
      <c r="P104" s="3">
        <f>COUNTIFS(Raw_Events!$C:$C,$A104,Raw_Events!$G:$G,"NEW_ACTIVITY")</f>
        <v/>
      </c>
      <c r="Q104" s="3">
        <f>SUMIFS(Raw_Events!$H:$H,Raw_Events!$C:$C,$A104,Raw_Events!$G:$G,"TRAVEL_NIGHT")</f>
        <v/>
      </c>
      <c r="R104" s="3" t="n"/>
    </row>
    <row r="105" ht="15" customHeight="1">
      <c r="A105" s="14" t="n">
        <v>46125</v>
      </c>
      <c r="B105" s="27">
        <f>SUMIFS(Raw_Events!$H:$H,Raw_Events!$C:$C,$A105,Raw_Events!$G:$G,"SLEEP_HOURS")</f>
        <v/>
      </c>
      <c r="C105" s="16">
        <f>COUNTIFS(Raw_Events!$C:$C,$A105,Raw_Events!$G:$G,"WORKOUT")</f>
        <v/>
      </c>
      <c r="D105" s="28">
        <f>SUMIFS(Raw_Events!$H:$H,Raw_Events!$C:$C,$A105,Raw_Events!$G:$G,"POSTURE_SESSION")</f>
        <v/>
      </c>
      <c r="E105" s="8">
        <f>IF($D105="","",IF($D105&gt;=Settings!$C$17,1,0))</f>
        <v/>
      </c>
      <c r="F105" s="28">
        <f>SUMIFS(Raw_Events!$H:$H,Raw_Events!$C:$C,$A105,Raw_Events!$G:$G,"MINDFULNESS_MIN")</f>
        <v/>
      </c>
      <c r="G105" s="8">
        <f>IF($F105="","",IF($F105&gt;0,1,0))</f>
        <v/>
      </c>
      <c r="H105" s="16">
        <f>SUMIFS(Raw_Events!$H:$H,Raw_Events!$C:$C,$A105,Raw_Events!$G:$G,"CIGARETTES")</f>
        <v/>
      </c>
      <c r="I105" s="29">
        <f>SUMIFS(Raw_Events!$L:$L,Raw_Events!$C:$C,$A105,Raw_Events!$G:$G,"ALCOHOL")</f>
        <v/>
      </c>
      <c r="J105" s="16">
        <f>SUMIFS(Raw_Events!$H:$H,Raw_Events!$C:$C,$A105,Raw_Events!$G:$G,"UNHEALTHY_MEAL")</f>
        <v/>
      </c>
      <c r="K105" s="28">
        <f>SUMIFS(Raw_Events!$H:$H,Raw_Events!$C:$C,$A105,Raw_Events!$G:$G,"TRAINING_MIN")+SUMIFS(Raw_Events!$H:$H,Raw_Events!$C:$C,$A105,Raw_Events!$G:$G,"DICTION_TRAINING_MIN")</f>
        <v/>
      </c>
      <c r="L105" s="28" t="n"/>
      <c r="M105" s="16">
        <f>SUMIFS(Raw_Events!$H:$H,Raw_Events!$C:$C,$A105,Raw_Events!$G:$G,"IDEA")</f>
        <v/>
      </c>
      <c r="N105" s="16">
        <f>COUNTIFS(Raw_Events!$C:$C,$A105,Raw_Events!$G:$G,"SOCIAL_MEET")</f>
        <v/>
      </c>
      <c r="O105" s="16">
        <f>COUNTIFS(Raw_Events!$C:$C,$A105,Raw_Events!$G:$G,"DATE")</f>
        <v/>
      </c>
      <c r="P105" s="3">
        <f>COUNTIFS(Raw_Events!$C:$C,$A105,Raw_Events!$G:$G,"NEW_ACTIVITY")</f>
        <v/>
      </c>
      <c r="Q105" s="3">
        <f>SUMIFS(Raw_Events!$H:$H,Raw_Events!$C:$C,$A105,Raw_Events!$G:$G,"TRAVEL_NIGHT")</f>
        <v/>
      </c>
      <c r="R105" s="3" t="n"/>
    </row>
    <row r="106" ht="15" customHeight="1">
      <c r="A106" s="14" t="n">
        <v>46126</v>
      </c>
      <c r="B106" s="27">
        <f>SUMIFS(Raw_Events!$H:$H,Raw_Events!$C:$C,$A106,Raw_Events!$G:$G,"SLEEP_HOURS")</f>
        <v/>
      </c>
      <c r="C106" s="16">
        <f>COUNTIFS(Raw_Events!$C:$C,$A106,Raw_Events!$G:$G,"WORKOUT")</f>
        <v/>
      </c>
      <c r="D106" s="28">
        <f>SUMIFS(Raw_Events!$H:$H,Raw_Events!$C:$C,$A106,Raw_Events!$G:$G,"POSTURE_SESSION")</f>
        <v/>
      </c>
      <c r="E106" s="8">
        <f>IF($D106="","",IF($D106&gt;=Settings!$C$17,1,0))</f>
        <v/>
      </c>
      <c r="F106" s="28">
        <f>SUMIFS(Raw_Events!$H:$H,Raw_Events!$C:$C,$A106,Raw_Events!$G:$G,"MINDFULNESS_MIN")</f>
        <v/>
      </c>
      <c r="G106" s="8">
        <f>IF($F106="","",IF($F106&gt;0,1,0))</f>
        <v/>
      </c>
      <c r="H106" s="16">
        <f>SUMIFS(Raw_Events!$H:$H,Raw_Events!$C:$C,$A106,Raw_Events!$G:$G,"CIGARETTES")</f>
        <v/>
      </c>
      <c r="I106" s="29">
        <f>SUMIFS(Raw_Events!$L:$L,Raw_Events!$C:$C,$A106,Raw_Events!$G:$G,"ALCOHOL")</f>
        <v/>
      </c>
      <c r="J106" s="16">
        <f>SUMIFS(Raw_Events!$H:$H,Raw_Events!$C:$C,$A106,Raw_Events!$G:$G,"UNHEALTHY_MEAL")</f>
        <v/>
      </c>
      <c r="K106" s="28">
        <f>SUMIFS(Raw_Events!$H:$H,Raw_Events!$C:$C,$A106,Raw_Events!$G:$G,"TRAINING_MIN")+SUMIFS(Raw_Events!$H:$H,Raw_Events!$C:$C,$A106,Raw_Events!$G:$G,"DICTION_TRAINING_MIN")</f>
        <v/>
      </c>
      <c r="L106" s="28" t="n"/>
      <c r="M106" s="16">
        <f>SUMIFS(Raw_Events!$H:$H,Raw_Events!$C:$C,$A106,Raw_Events!$G:$G,"IDEA")</f>
        <v/>
      </c>
      <c r="N106" s="16">
        <f>COUNTIFS(Raw_Events!$C:$C,$A106,Raw_Events!$G:$G,"SOCIAL_MEET")</f>
        <v/>
      </c>
      <c r="O106" s="16">
        <f>COUNTIFS(Raw_Events!$C:$C,$A106,Raw_Events!$G:$G,"DATE")</f>
        <v/>
      </c>
      <c r="P106" s="3">
        <f>COUNTIFS(Raw_Events!$C:$C,$A106,Raw_Events!$G:$G,"NEW_ACTIVITY")</f>
        <v/>
      </c>
      <c r="Q106" s="3">
        <f>SUMIFS(Raw_Events!$H:$H,Raw_Events!$C:$C,$A106,Raw_Events!$G:$G,"TRAVEL_NIGHT")</f>
        <v/>
      </c>
      <c r="R106" s="3" t="n"/>
    </row>
    <row r="107" ht="15" customHeight="1">
      <c r="A107" s="14" t="n">
        <v>46127</v>
      </c>
      <c r="B107" s="27">
        <f>SUMIFS(Raw_Events!$H:$H,Raw_Events!$C:$C,$A107,Raw_Events!$G:$G,"SLEEP_HOURS")</f>
        <v/>
      </c>
      <c r="C107" s="16">
        <f>COUNTIFS(Raw_Events!$C:$C,$A107,Raw_Events!$G:$G,"WORKOUT")</f>
        <v/>
      </c>
      <c r="D107" s="28">
        <f>SUMIFS(Raw_Events!$H:$H,Raw_Events!$C:$C,$A107,Raw_Events!$G:$G,"POSTURE_SESSION")</f>
        <v/>
      </c>
      <c r="E107" s="8">
        <f>IF($D107="","",IF($D107&gt;=Settings!$C$17,1,0))</f>
        <v/>
      </c>
      <c r="F107" s="28">
        <f>SUMIFS(Raw_Events!$H:$H,Raw_Events!$C:$C,$A107,Raw_Events!$G:$G,"MINDFULNESS_MIN")</f>
        <v/>
      </c>
      <c r="G107" s="8">
        <f>IF($F107="","",IF($F107&gt;0,1,0))</f>
        <v/>
      </c>
      <c r="H107" s="16">
        <f>SUMIFS(Raw_Events!$H:$H,Raw_Events!$C:$C,$A107,Raw_Events!$G:$G,"CIGARETTES")</f>
        <v/>
      </c>
      <c r="I107" s="29">
        <f>SUMIFS(Raw_Events!$L:$L,Raw_Events!$C:$C,$A107,Raw_Events!$G:$G,"ALCOHOL")</f>
        <v/>
      </c>
      <c r="J107" s="16">
        <f>SUMIFS(Raw_Events!$H:$H,Raw_Events!$C:$C,$A107,Raw_Events!$G:$G,"UNHEALTHY_MEAL")</f>
        <v/>
      </c>
      <c r="K107" s="28">
        <f>SUMIFS(Raw_Events!$H:$H,Raw_Events!$C:$C,$A107,Raw_Events!$G:$G,"TRAINING_MIN")+SUMIFS(Raw_Events!$H:$H,Raw_Events!$C:$C,$A107,Raw_Events!$G:$G,"DICTION_TRAINING_MIN")</f>
        <v/>
      </c>
      <c r="L107" s="28" t="n"/>
      <c r="M107" s="16">
        <f>SUMIFS(Raw_Events!$H:$H,Raw_Events!$C:$C,$A107,Raw_Events!$G:$G,"IDEA")</f>
        <v/>
      </c>
      <c r="N107" s="16">
        <f>COUNTIFS(Raw_Events!$C:$C,$A107,Raw_Events!$G:$G,"SOCIAL_MEET")</f>
        <v/>
      </c>
      <c r="O107" s="16">
        <f>COUNTIFS(Raw_Events!$C:$C,$A107,Raw_Events!$G:$G,"DATE")</f>
        <v/>
      </c>
      <c r="P107" s="3">
        <f>COUNTIFS(Raw_Events!$C:$C,$A107,Raw_Events!$G:$G,"NEW_ACTIVITY")</f>
        <v/>
      </c>
      <c r="Q107" s="3">
        <f>SUMIFS(Raw_Events!$H:$H,Raw_Events!$C:$C,$A107,Raw_Events!$G:$G,"TRAVEL_NIGHT")</f>
        <v/>
      </c>
      <c r="R107" s="3" t="n"/>
    </row>
    <row r="108" ht="15" customHeight="1">
      <c r="A108" s="14" t="n">
        <v>46128</v>
      </c>
      <c r="B108" s="27">
        <f>SUMIFS(Raw_Events!$H:$H,Raw_Events!$C:$C,$A108,Raw_Events!$G:$G,"SLEEP_HOURS")</f>
        <v/>
      </c>
      <c r="C108" s="16">
        <f>COUNTIFS(Raw_Events!$C:$C,$A108,Raw_Events!$G:$G,"WORKOUT")</f>
        <v/>
      </c>
      <c r="D108" s="28">
        <f>SUMIFS(Raw_Events!$H:$H,Raw_Events!$C:$C,$A108,Raw_Events!$G:$G,"POSTURE_SESSION")</f>
        <v/>
      </c>
      <c r="E108" s="8">
        <f>IF($D108="","",IF($D108&gt;=Settings!$C$17,1,0))</f>
        <v/>
      </c>
      <c r="F108" s="28">
        <f>SUMIFS(Raw_Events!$H:$H,Raw_Events!$C:$C,$A108,Raw_Events!$G:$G,"MINDFULNESS_MIN")</f>
        <v/>
      </c>
      <c r="G108" s="8">
        <f>IF($F108="","",IF($F108&gt;0,1,0))</f>
        <v/>
      </c>
      <c r="H108" s="16">
        <f>SUMIFS(Raw_Events!$H:$H,Raw_Events!$C:$C,$A108,Raw_Events!$G:$G,"CIGARETTES")</f>
        <v/>
      </c>
      <c r="I108" s="29">
        <f>SUMIFS(Raw_Events!$L:$L,Raw_Events!$C:$C,$A108,Raw_Events!$G:$G,"ALCOHOL")</f>
        <v/>
      </c>
      <c r="J108" s="16">
        <f>SUMIFS(Raw_Events!$H:$H,Raw_Events!$C:$C,$A108,Raw_Events!$G:$G,"UNHEALTHY_MEAL")</f>
        <v/>
      </c>
      <c r="K108" s="28">
        <f>SUMIFS(Raw_Events!$H:$H,Raw_Events!$C:$C,$A108,Raw_Events!$G:$G,"TRAINING_MIN")+SUMIFS(Raw_Events!$H:$H,Raw_Events!$C:$C,$A108,Raw_Events!$G:$G,"DICTION_TRAINING_MIN")</f>
        <v/>
      </c>
      <c r="L108" s="28" t="n"/>
      <c r="M108" s="16">
        <f>SUMIFS(Raw_Events!$H:$H,Raw_Events!$C:$C,$A108,Raw_Events!$G:$G,"IDEA")</f>
        <v/>
      </c>
      <c r="N108" s="16">
        <f>COUNTIFS(Raw_Events!$C:$C,$A108,Raw_Events!$G:$G,"SOCIAL_MEET")</f>
        <v/>
      </c>
      <c r="O108" s="16">
        <f>COUNTIFS(Raw_Events!$C:$C,$A108,Raw_Events!$G:$G,"DATE")</f>
        <v/>
      </c>
      <c r="P108" s="3">
        <f>COUNTIFS(Raw_Events!$C:$C,$A108,Raw_Events!$G:$G,"NEW_ACTIVITY")</f>
        <v/>
      </c>
      <c r="Q108" s="3">
        <f>SUMIFS(Raw_Events!$H:$H,Raw_Events!$C:$C,$A108,Raw_Events!$G:$G,"TRAVEL_NIGHT")</f>
        <v/>
      </c>
      <c r="R108" s="3" t="n"/>
    </row>
    <row r="109" ht="15" customHeight="1">
      <c r="A109" s="14" t="n">
        <v>46129</v>
      </c>
      <c r="B109" s="27">
        <f>SUMIFS(Raw_Events!$H:$H,Raw_Events!$C:$C,$A109,Raw_Events!$G:$G,"SLEEP_HOURS")</f>
        <v/>
      </c>
      <c r="C109" s="16">
        <f>COUNTIFS(Raw_Events!$C:$C,$A109,Raw_Events!$G:$G,"WORKOUT")</f>
        <v/>
      </c>
      <c r="D109" s="28">
        <f>SUMIFS(Raw_Events!$H:$H,Raw_Events!$C:$C,$A109,Raw_Events!$G:$G,"POSTURE_SESSION")</f>
        <v/>
      </c>
      <c r="E109" s="8">
        <f>IF($D109="","",IF($D109&gt;=Settings!$C$17,1,0))</f>
        <v/>
      </c>
      <c r="F109" s="28">
        <f>SUMIFS(Raw_Events!$H:$H,Raw_Events!$C:$C,$A109,Raw_Events!$G:$G,"MINDFULNESS_MIN")</f>
        <v/>
      </c>
      <c r="G109" s="8">
        <f>IF($F109="","",IF($F109&gt;0,1,0))</f>
        <v/>
      </c>
      <c r="H109" s="16">
        <f>SUMIFS(Raw_Events!$H:$H,Raw_Events!$C:$C,$A109,Raw_Events!$G:$G,"CIGARETTES")</f>
        <v/>
      </c>
      <c r="I109" s="29">
        <f>SUMIFS(Raw_Events!$L:$L,Raw_Events!$C:$C,$A109,Raw_Events!$G:$G,"ALCOHOL")</f>
        <v/>
      </c>
      <c r="J109" s="16">
        <f>SUMIFS(Raw_Events!$H:$H,Raw_Events!$C:$C,$A109,Raw_Events!$G:$G,"UNHEALTHY_MEAL")</f>
        <v/>
      </c>
      <c r="K109" s="28">
        <f>SUMIFS(Raw_Events!$H:$H,Raw_Events!$C:$C,$A109,Raw_Events!$G:$G,"TRAINING_MIN")+SUMIFS(Raw_Events!$H:$H,Raw_Events!$C:$C,$A109,Raw_Events!$G:$G,"DICTION_TRAINING_MIN")</f>
        <v/>
      </c>
      <c r="L109" s="28" t="n"/>
      <c r="M109" s="16">
        <f>SUMIFS(Raw_Events!$H:$H,Raw_Events!$C:$C,$A109,Raw_Events!$G:$G,"IDEA")</f>
        <v/>
      </c>
      <c r="N109" s="16">
        <f>COUNTIFS(Raw_Events!$C:$C,$A109,Raw_Events!$G:$G,"SOCIAL_MEET")</f>
        <v/>
      </c>
      <c r="O109" s="16">
        <f>COUNTIFS(Raw_Events!$C:$C,$A109,Raw_Events!$G:$G,"DATE")</f>
        <v/>
      </c>
      <c r="P109" s="3">
        <f>COUNTIFS(Raw_Events!$C:$C,$A109,Raw_Events!$G:$G,"NEW_ACTIVITY")</f>
        <v/>
      </c>
      <c r="Q109" s="3">
        <f>SUMIFS(Raw_Events!$H:$H,Raw_Events!$C:$C,$A109,Raw_Events!$G:$G,"TRAVEL_NIGHT")</f>
        <v/>
      </c>
      <c r="R109" s="3" t="n"/>
    </row>
    <row r="110" ht="15" customHeight="1">
      <c r="A110" s="14" t="n">
        <v>46130</v>
      </c>
      <c r="B110" s="27">
        <f>SUMIFS(Raw_Events!$H:$H,Raw_Events!$C:$C,$A110,Raw_Events!$G:$G,"SLEEP_HOURS")</f>
        <v/>
      </c>
      <c r="C110" s="16">
        <f>COUNTIFS(Raw_Events!$C:$C,$A110,Raw_Events!$G:$G,"WORKOUT")</f>
        <v/>
      </c>
      <c r="D110" s="28">
        <f>SUMIFS(Raw_Events!$H:$H,Raw_Events!$C:$C,$A110,Raw_Events!$G:$G,"POSTURE_SESSION")</f>
        <v/>
      </c>
      <c r="E110" s="8">
        <f>IF($D110="","",IF($D110&gt;=Settings!$C$17,1,0))</f>
        <v/>
      </c>
      <c r="F110" s="28">
        <f>SUMIFS(Raw_Events!$H:$H,Raw_Events!$C:$C,$A110,Raw_Events!$G:$G,"MINDFULNESS_MIN")</f>
        <v/>
      </c>
      <c r="G110" s="8">
        <f>IF($F110="","",IF($F110&gt;0,1,0))</f>
        <v/>
      </c>
      <c r="H110" s="16">
        <f>SUMIFS(Raw_Events!$H:$H,Raw_Events!$C:$C,$A110,Raw_Events!$G:$G,"CIGARETTES")</f>
        <v/>
      </c>
      <c r="I110" s="29">
        <f>SUMIFS(Raw_Events!$L:$L,Raw_Events!$C:$C,$A110,Raw_Events!$G:$G,"ALCOHOL")</f>
        <v/>
      </c>
      <c r="J110" s="16">
        <f>SUMIFS(Raw_Events!$H:$H,Raw_Events!$C:$C,$A110,Raw_Events!$G:$G,"UNHEALTHY_MEAL")</f>
        <v/>
      </c>
      <c r="K110" s="28">
        <f>SUMIFS(Raw_Events!$H:$H,Raw_Events!$C:$C,$A110,Raw_Events!$G:$G,"TRAINING_MIN")+SUMIFS(Raw_Events!$H:$H,Raw_Events!$C:$C,$A110,Raw_Events!$G:$G,"DICTION_TRAINING_MIN")</f>
        <v/>
      </c>
      <c r="L110" s="28" t="n"/>
      <c r="M110" s="16">
        <f>SUMIFS(Raw_Events!$H:$H,Raw_Events!$C:$C,$A110,Raw_Events!$G:$G,"IDEA")</f>
        <v/>
      </c>
      <c r="N110" s="16">
        <f>COUNTIFS(Raw_Events!$C:$C,$A110,Raw_Events!$G:$G,"SOCIAL_MEET")</f>
        <v/>
      </c>
      <c r="O110" s="16">
        <f>COUNTIFS(Raw_Events!$C:$C,$A110,Raw_Events!$G:$G,"DATE")</f>
        <v/>
      </c>
      <c r="P110" s="3">
        <f>COUNTIFS(Raw_Events!$C:$C,$A110,Raw_Events!$G:$G,"NEW_ACTIVITY")</f>
        <v/>
      </c>
      <c r="Q110" s="3">
        <f>SUMIFS(Raw_Events!$H:$H,Raw_Events!$C:$C,$A110,Raw_Events!$G:$G,"TRAVEL_NIGHT")</f>
        <v/>
      </c>
      <c r="R110" s="3" t="n"/>
    </row>
    <row r="111" ht="15" customHeight="1">
      <c r="A111" s="14" t="n">
        <v>46131</v>
      </c>
      <c r="B111" s="27">
        <f>SUMIFS(Raw_Events!$H:$H,Raw_Events!$C:$C,$A111,Raw_Events!$G:$G,"SLEEP_HOURS")</f>
        <v/>
      </c>
      <c r="C111" s="16">
        <f>COUNTIFS(Raw_Events!$C:$C,$A111,Raw_Events!$G:$G,"WORKOUT")</f>
        <v/>
      </c>
      <c r="D111" s="28">
        <f>SUMIFS(Raw_Events!$H:$H,Raw_Events!$C:$C,$A111,Raw_Events!$G:$G,"POSTURE_SESSION")</f>
        <v/>
      </c>
      <c r="E111" s="8">
        <f>IF($D111="","",IF($D111&gt;=Settings!$C$17,1,0))</f>
        <v/>
      </c>
      <c r="F111" s="28">
        <f>SUMIFS(Raw_Events!$H:$H,Raw_Events!$C:$C,$A111,Raw_Events!$G:$G,"MINDFULNESS_MIN")</f>
        <v/>
      </c>
      <c r="G111" s="8">
        <f>IF($F111="","",IF($F111&gt;0,1,0))</f>
        <v/>
      </c>
      <c r="H111" s="16">
        <f>SUMIFS(Raw_Events!$H:$H,Raw_Events!$C:$C,$A111,Raw_Events!$G:$G,"CIGARETTES")</f>
        <v/>
      </c>
      <c r="I111" s="29">
        <f>SUMIFS(Raw_Events!$L:$L,Raw_Events!$C:$C,$A111,Raw_Events!$G:$G,"ALCOHOL")</f>
        <v/>
      </c>
      <c r="J111" s="16">
        <f>SUMIFS(Raw_Events!$H:$H,Raw_Events!$C:$C,$A111,Raw_Events!$G:$G,"UNHEALTHY_MEAL")</f>
        <v/>
      </c>
      <c r="K111" s="28">
        <f>SUMIFS(Raw_Events!$H:$H,Raw_Events!$C:$C,$A111,Raw_Events!$G:$G,"TRAINING_MIN")+SUMIFS(Raw_Events!$H:$H,Raw_Events!$C:$C,$A111,Raw_Events!$G:$G,"DICTION_TRAINING_MIN")</f>
        <v/>
      </c>
      <c r="L111" s="28" t="n"/>
      <c r="M111" s="16">
        <f>SUMIFS(Raw_Events!$H:$H,Raw_Events!$C:$C,$A111,Raw_Events!$G:$G,"IDEA")</f>
        <v/>
      </c>
      <c r="N111" s="16">
        <f>COUNTIFS(Raw_Events!$C:$C,$A111,Raw_Events!$G:$G,"SOCIAL_MEET")</f>
        <v/>
      </c>
      <c r="O111" s="16">
        <f>COUNTIFS(Raw_Events!$C:$C,$A111,Raw_Events!$G:$G,"DATE")</f>
        <v/>
      </c>
      <c r="P111" s="3">
        <f>COUNTIFS(Raw_Events!$C:$C,$A111,Raw_Events!$G:$G,"NEW_ACTIVITY")</f>
        <v/>
      </c>
      <c r="Q111" s="3">
        <f>SUMIFS(Raw_Events!$H:$H,Raw_Events!$C:$C,$A111,Raw_Events!$G:$G,"TRAVEL_NIGHT")</f>
        <v/>
      </c>
      <c r="R111" s="3" t="n"/>
    </row>
    <row r="112" ht="15" customHeight="1">
      <c r="A112" s="14" t="n">
        <v>46132</v>
      </c>
      <c r="B112" s="27">
        <f>SUMIFS(Raw_Events!$H:$H,Raw_Events!$C:$C,$A112,Raw_Events!$G:$G,"SLEEP_HOURS")</f>
        <v/>
      </c>
      <c r="C112" s="16">
        <f>COUNTIFS(Raw_Events!$C:$C,$A112,Raw_Events!$G:$G,"WORKOUT")</f>
        <v/>
      </c>
      <c r="D112" s="28">
        <f>SUMIFS(Raw_Events!$H:$H,Raw_Events!$C:$C,$A112,Raw_Events!$G:$G,"POSTURE_SESSION")</f>
        <v/>
      </c>
      <c r="E112" s="8">
        <f>IF($D112="","",IF($D112&gt;=Settings!$C$17,1,0))</f>
        <v/>
      </c>
      <c r="F112" s="28">
        <f>SUMIFS(Raw_Events!$H:$H,Raw_Events!$C:$C,$A112,Raw_Events!$G:$G,"MINDFULNESS_MIN")</f>
        <v/>
      </c>
      <c r="G112" s="8">
        <f>IF($F112="","",IF($F112&gt;0,1,0))</f>
        <v/>
      </c>
      <c r="H112" s="16">
        <f>SUMIFS(Raw_Events!$H:$H,Raw_Events!$C:$C,$A112,Raw_Events!$G:$G,"CIGARETTES")</f>
        <v/>
      </c>
      <c r="I112" s="29">
        <f>SUMIFS(Raw_Events!$L:$L,Raw_Events!$C:$C,$A112,Raw_Events!$G:$G,"ALCOHOL")</f>
        <v/>
      </c>
      <c r="J112" s="16">
        <f>SUMIFS(Raw_Events!$H:$H,Raw_Events!$C:$C,$A112,Raw_Events!$G:$G,"UNHEALTHY_MEAL")</f>
        <v/>
      </c>
      <c r="K112" s="28">
        <f>SUMIFS(Raw_Events!$H:$H,Raw_Events!$C:$C,$A112,Raw_Events!$G:$G,"TRAINING_MIN")+SUMIFS(Raw_Events!$H:$H,Raw_Events!$C:$C,$A112,Raw_Events!$G:$G,"DICTION_TRAINING_MIN")</f>
        <v/>
      </c>
      <c r="L112" s="28" t="n"/>
      <c r="M112" s="16">
        <f>SUMIFS(Raw_Events!$H:$H,Raw_Events!$C:$C,$A112,Raw_Events!$G:$G,"IDEA")</f>
        <v/>
      </c>
      <c r="N112" s="16">
        <f>COUNTIFS(Raw_Events!$C:$C,$A112,Raw_Events!$G:$G,"SOCIAL_MEET")</f>
        <v/>
      </c>
      <c r="O112" s="16">
        <f>COUNTIFS(Raw_Events!$C:$C,$A112,Raw_Events!$G:$G,"DATE")</f>
        <v/>
      </c>
      <c r="P112" s="3">
        <f>COUNTIFS(Raw_Events!$C:$C,$A112,Raw_Events!$G:$G,"NEW_ACTIVITY")</f>
        <v/>
      </c>
      <c r="Q112" s="3">
        <f>SUMIFS(Raw_Events!$H:$H,Raw_Events!$C:$C,$A112,Raw_Events!$G:$G,"TRAVEL_NIGHT")</f>
        <v/>
      </c>
      <c r="R112" s="3" t="n"/>
    </row>
    <row r="113" ht="15" customHeight="1">
      <c r="A113" s="14" t="n">
        <v>46133</v>
      </c>
      <c r="B113" s="27">
        <f>SUMIFS(Raw_Events!$H:$H,Raw_Events!$C:$C,$A113,Raw_Events!$G:$G,"SLEEP_HOURS")</f>
        <v/>
      </c>
      <c r="C113" s="16">
        <f>COUNTIFS(Raw_Events!$C:$C,$A113,Raw_Events!$G:$G,"WORKOUT")</f>
        <v/>
      </c>
      <c r="D113" s="28">
        <f>SUMIFS(Raw_Events!$H:$H,Raw_Events!$C:$C,$A113,Raw_Events!$G:$G,"POSTURE_SESSION")</f>
        <v/>
      </c>
      <c r="E113" s="8">
        <f>IF($D113="","",IF($D113&gt;=Settings!$C$17,1,0))</f>
        <v/>
      </c>
      <c r="F113" s="28">
        <f>SUMIFS(Raw_Events!$H:$H,Raw_Events!$C:$C,$A113,Raw_Events!$G:$G,"MINDFULNESS_MIN")</f>
        <v/>
      </c>
      <c r="G113" s="8">
        <f>IF($F113="","",IF($F113&gt;0,1,0))</f>
        <v/>
      </c>
      <c r="H113" s="16">
        <f>SUMIFS(Raw_Events!$H:$H,Raw_Events!$C:$C,$A113,Raw_Events!$G:$G,"CIGARETTES")</f>
        <v/>
      </c>
      <c r="I113" s="29">
        <f>SUMIFS(Raw_Events!$L:$L,Raw_Events!$C:$C,$A113,Raw_Events!$G:$G,"ALCOHOL")</f>
        <v/>
      </c>
      <c r="J113" s="16">
        <f>SUMIFS(Raw_Events!$H:$H,Raw_Events!$C:$C,$A113,Raw_Events!$G:$G,"UNHEALTHY_MEAL")</f>
        <v/>
      </c>
      <c r="K113" s="28">
        <f>SUMIFS(Raw_Events!$H:$H,Raw_Events!$C:$C,$A113,Raw_Events!$G:$G,"TRAINING_MIN")+SUMIFS(Raw_Events!$H:$H,Raw_Events!$C:$C,$A113,Raw_Events!$G:$G,"DICTION_TRAINING_MIN")</f>
        <v/>
      </c>
      <c r="L113" s="28" t="n"/>
      <c r="M113" s="16">
        <f>SUMIFS(Raw_Events!$H:$H,Raw_Events!$C:$C,$A113,Raw_Events!$G:$G,"IDEA")</f>
        <v/>
      </c>
      <c r="N113" s="16">
        <f>COUNTIFS(Raw_Events!$C:$C,$A113,Raw_Events!$G:$G,"SOCIAL_MEET")</f>
        <v/>
      </c>
      <c r="O113" s="16">
        <f>COUNTIFS(Raw_Events!$C:$C,$A113,Raw_Events!$G:$G,"DATE")</f>
        <v/>
      </c>
      <c r="P113" s="3">
        <f>COUNTIFS(Raw_Events!$C:$C,$A113,Raw_Events!$G:$G,"NEW_ACTIVITY")</f>
        <v/>
      </c>
      <c r="Q113" s="3">
        <f>SUMIFS(Raw_Events!$H:$H,Raw_Events!$C:$C,$A113,Raw_Events!$G:$G,"TRAVEL_NIGHT")</f>
        <v/>
      </c>
      <c r="R113" s="3" t="n"/>
    </row>
    <row r="114" ht="15" customHeight="1">
      <c r="A114" s="14" t="n">
        <v>46134</v>
      </c>
      <c r="B114" s="27">
        <f>SUMIFS(Raw_Events!$H:$H,Raw_Events!$C:$C,$A114,Raw_Events!$G:$G,"SLEEP_HOURS")</f>
        <v/>
      </c>
      <c r="C114" s="16">
        <f>COUNTIFS(Raw_Events!$C:$C,$A114,Raw_Events!$G:$G,"WORKOUT")</f>
        <v/>
      </c>
      <c r="D114" s="28">
        <f>SUMIFS(Raw_Events!$H:$H,Raw_Events!$C:$C,$A114,Raw_Events!$G:$G,"POSTURE_SESSION")</f>
        <v/>
      </c>
      <c r="E114" s="8">
        <f>IF($D114="","",IF($D114&gt;=Settings!$C$17,1,0))</f>
        <v/>
      </c>
      <c r="F114" s="28">
        <f>SUMIFS(Raw_Events!$H:$H,Raw_Events!$C:$C,$A114,Raw_Events!$G:$G,"MINDFULNESS_MIN")</f>
        <v/>
      </c>
      <c r="G114" s="8">
        <f>IF($F114="","",IF($F114&gt;0,1,0))</f>
        <v/>
      </c>
      <c r="H114" s="16">
        <f>SUMIFS(Raw_Events!$H:$H,Raw_Events!$C:$C,$A114,Raw_Events!$G:$G,"CIGARETTES")</f>
        <v/>
      </c>
      <c r="I114" s="29">
        <f>SUMIFS(Raw_Events!$L:$L,Raw_Events!$C:$C,$A114,Raw_Events!$G:$G,"ALCOHOL")</f>
        <v/>
      </c>
      <c r="J114" s="16">
        <f>SUMIFS(Raw_Events!$H:$H,Raw_Events!$C:$C,$A114,Raw_Events!$G:$G,"UNHEALTHY_MEAL")</f>
        <v/>
      </c>
      <c r="K114" s="28">
        <f>SUMIFS(Raw_Events!$H:$H,Raw_Events!$C:$C,$A114,Raw_Events!$G:$G,"TRAINING_MIN")+SUMIFS(Raw_Events!$H:$H,Raw_Events!$C:$C,$A114,Raw_Events!$G:$G,"DICTION_TRAINING_MIN")</f>
        <v/>
      </c>
      <c r="L114" s="28" t="n"/>
      <c r="M114" s="16">
        <f>SUMIFS(Raw_Events!$H:$H,Raw_Events!$C:$C,$A114,Raw_Events!$G:$G,"IDEA")</f>
        <v/>
      </c>
      <c r="N114" s="16">
        <f>COUNTIFS(Raw_Events!$C:$C,$A114,Raw_Events!$G:$G,"SOCIAL_MEET")</f>
        <v/>
      </c>
      <c r="O114" s="16">
        <f>COUNTIFS(Raw_Events!$C:$C,$A114,Raw_Events!$G:$G,"DATE")</f>
        <v/>
      </c>
      <c r="P114" s="3">
        <f>COUNTIFS(Raw_Events!$C:$C,$A114,Raw_Events!$G:$G,"NEW_ACTIVITY")</f>
        <v/>
      </c>
      <c r="Q114" s="3">
        <f>SUMIFS(Raw_Events!$H:$H,Raw_Events!$C:$C,$A114,Raw_Events!$G:$G,"TRAVEL_NIGHT")</f>
        <v/>
      </c>
      <c r="R114" s="3" t="n"/>
    </row>
    <row r="115" ht="15" customHeight="1">
      <c r="A115" s="14" t="n">
        <v>46135</v>
      </c>
      <c r="B115" s="27">
        <f>SUMIFS(Raw_Events!$H:$H,Raw_Events!$C:$C,$A115,Raw_Events!$G:$G,"SLEEP_HOURS")</f>
        <v/>
      </c>
      <c r="C115" s="16">
        <f>COUNTIFS(Raw_Events!$C:$C,$A115,Raw_Events!$G:$G,"WORKOUT")</f>
        <v/>
      </c>
      <c r="D115" s="28">
        <f>SUMIFS(Raw_Events!$H:$H,Raw_Events!$C:$C,$A115,Raw_Events!$G:$G,"POSTURE_SESSION")</f>
        <v/>
      </c>
      <c r="E115" s="8">
        <f>IF($D115="","",IF($D115&gt;=Settings!$C$17,1,0))</f>
        <v/>
      </c>
      <c r="F115" s="28">
        <f>SUMIFS(Raw_Events!$H:$H,Raw_Events!$C:$C,$A115,Raw_Events!$G:$G,"MINDFULNESS_MIN")</f>
        <v/>
      </c>
      <c r="G115" s="8">
        <f>IF($F115="","",IF($F115&gt;0,1,0))</f>
        <v/>
      </c>
      <c r="H115" s="16">
        <f>SUMIFS(Raw_Events!$H:$H,Raw_Events!$C:$C,$A115,Raw_Events!$G:$G,"CIGARETTES")</f>
        <v/>
      </c>
      <c r="I115" s="29">
        <f>SUMIFS(Raw_Events!$L:$L,Raw_Events!$C:$C,$A115,Raw_Events!$G:$G,"ALCOHOL")</f>
        <v/>
      </c>
      <c r="J115" s="16">
        <f>SUMIFS(Raw_Events!$H:$H,Raw_Events!$C:$C,$A115,Raw_Events!$G:$G,"UNHEALTHY_MEAL")</f>
        <v/>
      </c>
      <c r="K115" s="28">
        <f>SUMIFS(Raw_Events!$H:$H,Raw_Events!$C:$C,$A115,Raw_Events!$G:$G,"TRAINING_MIN")+SUMIFS(Raw_Events!$H:$H,Raw_Events!$C:$C,$A115,Raw_Events!$G:$G,"DICTION_TRAINING_MIN")</f>
        <v/>
      </c>
      <c r="L115" s="28" t="n"/>
      <c r="M115" s="16">
        <f>SUMIFS(Raw_Events!$H:$H,Raw_Events!$C:$C,$A115,Raw_Events!$G:$G,"IDEA")</f>
        <v/>
      </c>
      <c r="N115" s="16">
        <f>COUNTIFS(Raw_Events!$C:$C,$A115,Raw_Events!$G:$G,"SOCIAL_MEET")</f>
        <v/>
      </c>
      <c r="O115" s="16">
        <f>COUNTIFS(Raw_Events!$C:$C,$A115,Raw_Events!$G:$G,"DATE")</f>
        <v/>
      </c>
      <c r="P115" s="3">
        <f>COUNTIFS(Raw_Events!$C:$C,$A115,Raw_Events!$G:$G,"NEW_ACTIVITY")</f>
        <v/>
      </c>
      <c r="Q115" s="3">
        <f>SUMIFS(Raw_Events!$H:$H,Raw_Events!$C:$C,$A115,Raw_Events!$G:$G,"TRAVEL_NIGHT")</f>
        <v/>
      </c>
      <c r="R115" s="3" t="n"/>
    </row>
    <row r="116" ht="15" customHeight="1">
      <c r="A116" s="14" t="n">
        <v>46136</v>
      </c>
      <c r="B116" s="27">
        <f>SUMIFS(Raw_Events!$H:$H,Raw_Events!$C:$C,$A116,Raw_Events!$G:$G,"SLEEP_HOURS")</f>
        <v/>
      </c>
      <c r="C116" s="16">
        <f>COUNTIFS(Raw_Events!$C:$C,$A116,Raw_Events!$G:$G,"WORKOUT")</f>
        <v/>
      </c>
      <c r="D116" s="28">
        <f>SUMIFS(Raw_Events!$H:$H,Raw_Events!$C:$C,$A116,Raw_Events!$G:$G,"POSTURE_SESSION")</f>
        <v/>
      </c>
      <c r="E116" s="8">
        <f>IF($D116="","",IF($D116&gt;=Settings!$C$17,1,0))</f>
        <v/>
      </c>
      <c r="F116" s="28">
        <f>SUMIFS(Raw_Events!$H:$H,Raw_Events!$C:$C,$A116,Raw_Events!$G:$G,"MINDFULNESS_MIN")</f>
        <v/>
      </c>
      <c r="G116" s="8">
        <f>IF($F116="","",IF($F116&gt;0,1,0))</f>
        <v/>
      </c>
      <c r="H116" s="16">
        <f>SUMIFS(Raw_Events!$H:$H,Raw_Events!$C:$C,$A116,Raw_Events!$G:$G,"CIGARETTES")</f>
        <v/>
      </c>
      <c r="I116" s="29">
        <f>SUMIFS(Raw_Events!$L:$L,Raw_Events!$C:$C,$A116,Raw_Events!$G:$G,"ALCOHOL")</f>
        <v/>
      </c>
      <c r="J116" s="16">
        <f>SUMIFS(Raw_Events!$H:$H,Raw_Events!$C:$C,$A116,Raw_Events!$G:$G,"UNHEALTHY_MEAL")</f>
        <v/>
      </c>
      <c r="K116" s="28">
        <f>SUMIFS(Raw_Events!$H:$H,Raw_Events!$C:$C,$A116,Raw_Events!$G:$G,"TRAINING_MIN")+SUMIFS(Raw_Events!$H:$H,Raw_Events!$C:$C,$A116,Raw_Events!$G:$G,"DICTION_TRAINING_MIN")</f>
        <v/>
      </c>
      <c r="L116" s="28" t="n"/>
      <c r="M116" s="16">
        <f>SUMIFS(Raw_Events!$H:$H,Raw_Events!$C:$C,$A116,Raw_Events!$G:$G,"IDEA")</f>
        <v/>
      </c>
      <c r="N116" s="16">
        <f>COUNTIFS(Raw_Events!$C:$C,$A116,Raw_Events!$G:$G,"SOCIAL_MEET")</f>
        <v/>
      </c>
      <c r="O116" s="16">
        <f>COUNTIFS(Raw_Events!$C:$C,$A116,Raw_Events!$G:$G,"DATE")</f>
        <v/>
      </c>
      <c r="P116" s="3">
        <f>COUNTIFS(Raw_Events!$C:$C,$A116,Raw_Events!$G:$G,"NEW_ACTIVITY")</f>
        <v/>
      </c>
      <c r="Q116" s="3">
        <f>SUMIFS(Raw_Events!$H:$H,Raw_Events!$C:$C,$A116,Raw_Events!$G:$G,"TRAVEL_NIGHT")</f>
        <v/>
      </c>
      <c r="R116" s="3" t="n"/>
    </row>
    <row r="117" ht="15" customHeight="1">
      <c r="A117" s="14" t="n">
        <v>46137</v>
      </c>
      <c r="B117" s="27">
        <f>SUMIFS(Raw_Events!$H:$H,Raw_Events!$C:$C,$A117,Raw_Events!$G:$G,"SLEEP_HOURS")</f>
        <v/>
      </c>
      <c r="C117" s="16">
        <f>COUNTIFS(Raw_Events!$C:$C,$A117,Raw_Events!$G:$G,"WORKOUT")</f>
        <v/>
      </c>
      <c r="D117" s="28">
        <f>SUMIFS(Raw_Events!$H:$H,Raw_Events!$C:$C,$A117,Raw_Events!$G:$G,"POSTURE_SESSION")</f>
        <v/>
      </c>
      <c r="E117" s="8">
        <f>IF($D117="","",IF($D117&gt;=Settings!$C$17,1,0))</f>
        <v/>
      </c>
      <c r="F117" s="28">
        <f>SUMIFS(Raw_Events!$H:$H,Raw_Events!$C:$C,$A117,Raw_Events!$G:$G,"MINDFULNESS_MIN")</f>
        <v/>
      </c>
      <c r="G117" s="8">
        <f>IF($F117="","",IF($F117&gt;0,1,0))</f>
        <v/>
      </c>
      <c r="H117" s="16">
        <f>SUMIFS(Raw_Events!$H:$H,Raw_Events!$C:$C,$A117,Raw_Events!$G:$G,"CIGARETTES")</f>
        <v/>
      </c>
      <c r="I117" s="29">
        <f>SUMIFS(Raw_Events!$L:$L,Raw_Events!$C:$C,$A117,Raw_Events!$G:$G,"ALCOHOL")</f>
        <v/>
      </c>
      <c r="J117" s="16">
        <f>SUMIFS(Raw_Events!$H:$H,Raw_Events!$C:$C,$A117,Raw_Events!$G:$G,"UNHEALTHY_MEAL")</f>
        <v/>
      </c>
      <c r="K117" s="28">
        <f>SUMIFS(Raw_Events!$H:$H,Raw_Events!$C:$C,$A117,Raw_Events!$G:$G,"TRAINING_MIN")+SUMIFS(Raw_Events!$H:$H,Raw_Events!$C:$C,$A117,Raw_Events!$G:$G,"DICTION_TRAINING_MIN")</f>
        <v/>
      </c>
      <c r="L117" s="28" t="n"/>
      <c r="M117" s="16">
        <f>SUMIFS(Raw_Events!$H:$H,Raw_Events!$C:$C,$A117,Raw_Events!$G:$G,"IDEA")</f>
        <v/>
      </c>
      <c r="N117" s="16">
        <f>COUNTIFS(Raw_Events!$C:$C,$A117,Raw_Events!$G:$G,"SOCIAL_MEET")</f>
        <v/>
      </c>
      <c r="O117" s="16">
        <f>COUNTIFS(Raw_Events!$C:$C,$A117,Raw_Events!$G:$G,"DATE")</f>
        <v/>
      </c>
      <c r="P117" s="3">
        <f>COUNTIFS(Raw_Events!$C:$C,$A117,Raw_Events!$G:$G,"NEW_ACTIVITY")</f>
        <v/>
      </c>
      <c r="Q117" s="3">
        <f>SUMIFS(Raw_Events!$H:$H,Raw_Events!$C:$C,$A117,Raw_Events!$G:$G,"TRAVEL_NIGHT")</f>
        <v/>
      </c>
      <c r="R117" s="3" t="n"/>
    </row>
    <row r="118" ht="15" customHeight="1">
      <c r="A118" s="14" t="n">
        <v>46138</v>
      </c>
      <c r="B118" s="27">
        <f>SUMIFS(Raw_Events!$H:$H,Raw_Events!$C:$C,$A118,Raw_Events!$G:$G,"SLEEP_HOURS")</f>
        <v/>
      </c>
      <c r="C118" s="16">
        <f>COUNTIFS(Raw_Events!$C:$C,$A118,Raw_Events!$G:$G,"WORKOUT")</f>
        <v/>
      </c>
      <c r="D118" s="28">
        <f>SUMIFS(Raw_Events!$H:$H,Raw_Events!$C:$C,$A118,Raw_Events!$G:$G,"POSTURE_SESSION")</f>
        <v/>
      </c>
      <c r="E118" s="8">
        <f>IF($D118="","",IF($D118&gt;=Settings!$C$17,1,0))</f>
        <v/>
      </c>
      <c r="F118" s="28">
        <f>SUMIFS(Raw_Events!$H:$H,Raw_Events!$C:$C,$A118,Raw_Events!$G:$G,"MINDFULNESS_MIN")</f>
        <v/>
      </c>
      <c r="G118" s="8">
        <f>IF($F118="","",IF($F118&gt;0,1,0))</f>
        <v/>
      </c>
      <c r="H118" s="16">
        <f>SUMIFS(Raw_Events!$H:$H,Raw_Events!$C:$C,$A118,Raw_Events!$G:$G,"CIGARETTES")</f>
        <v/>
      </c>
      <c r="I118" s="29">
        <f>SUMIFS(Raw_Events!$L:$L,Raw_Events!$C:$C,$A118,Raw_Events!$G:$G,"ALCOHOL")</f>
        <v/>
      </c>
      <c r="J118" s="16">
        <f>SUMIFS(Raw_Events!$H:$H,Raw_Events!$C:$C,$A118,Raw_Events!$G:$G,"UNHEALTHY_MEAL")</f>
        <v/>
      </c>
      <c r="K118" s="28">
        <f>SUMIFS(Raw_Events!$H:$H,Raw_Events!$C:$C,$A118,Raw_Events!$G:$G,"TRAINING_MIN")+SUMIFS(Raw_Events!$H:$H,Raw_Events!$C:$C,$A118,Raw_Events!$G:$G,"DICTION_TRAINING_MIN")</f>
        <v/>
      </c>
      <c r="L118" s="28" t="n"/>
      <c r="M118" s="16">
        <f>SUMIFS(Raw_Events!$H:$H,Raw_Events!$C:$C,$A118,Raw_Events!$G:$G,"IDEA")</f>
        <v/>
      </c>
      <c r="N118" s="16">
        <f>COUNTIFS(Raw_Events!$C:$C,$A118,Raw_Events!$G:$G,"SOCIAL_MEET")</f>
        <v/>
      </c>
      <c r="O118" s="16">
        <f>COUNTIFS(Raw_Events!$C:$C,$A118,Raw_Events!$G:$G,"DATE")</f>
        <v/>
      </c>
      <c r="P118" s="3">
        <f>COUNTIFS(Raw_Events!$C:$C,$A118,Raw_Events!$G:$G,"NEW_ACTIVITY")</f>
        <v/>
      </c>
      <c r="Q118" s="3">
        <f>SUMIFS(Raw_Events!$H:$H,Raw_Events!$C:$C,$A118,Raw_Events!$G:$G,"TRAVEL_NIGHT")</f>
        <v/>
      </c>
      <c r="R118" s="3" t="n"/>
    </row>
    <row r="119" ht="15" customHeight="1">
      <c r="A119" s="14" t="n">
        <v>46139</v>
      </c>
      <c r="B119" s="27">
        <f>SUMIFS(Raw_Events!$H:$H,Raw_Events!$C:$C,$A119,Raw_Events!$G:$G,"SLEEP_HOURS")</f>
        <v/>
      </c>
      <c r="C119" s="16">
        <f>COUNTIFS(Raw_Events!$C:$C,$A119,Raw_Events!$G:$G,"WORKOUT")</f>
        <v/>
      </c>
      <c r="D119" s="28">
        <f>SUMIFS(Raw_Events!$H:$H,Raw_Events!$C:$C,$A119,Raw_Events!$G:$G,"POSTURE_SESSION")</f>
        <v/>
      </c>
      <c r="E119" s="8">
        <f>IF($D119="","",IF($D119&gt;=Settings!$C$17,1,0))</f>
        <v/>
      </c>
      <c r="F119" s="28">
        <f>SUMIFS(Raw_Events!$H:$H,Raw_Events!$C:$C,$A119,Raw_Events!$G:$G,"MINDFULNESS_MIN")</f>
        <v/>
      </c>
      <c r="G119" s="8">
        <f>IF($F119="","",IF($F119&gt;0,1,0))</f>
        <v/>
      </c>
      <c r="H119" s="16">
        <f>SUMIFS(Raw_Events!$H:$H,Raw_Events!$C:$C,$A119,Raw_Events!$G:$G,"CIGARETTES")</f>
        <v/>
      </c>
      <c r="I119" s="29">
        <f>SUMIFS(Raw_Events!$L:$L,Raw_Events!$C:$C,$A119,Raw_Events!$G:$G,"ALCOHOL")</f>
        <v/>
      </c>
      <c r="J119" s="16">
        <f>SUMIFS(Raw_Events!$H:$H,Raw_Events!$C:$C,$A119,Raw_Events!$G:$G,"UNHEALTHY_MEAL")</f>
        <v/>
      </c>
      <c r="K119" s="28">
        <f>SUMIFS(Raw_Events!$H:$H,Raw_Events!$C:$C,$A119,Raw_Events!$G:$G,"TRAINING_MIN")+SUMIFS(Raw_Events!$H:$H,Raw_Events!$C:$C,$A119,Raw_Events!$G:$G,"DICTION_TRAINING_MIN")</f>
        <v/>
      </c>
      <c r="L119" s="28" t="n"/>
      <c r="M119" s="16">
        <f>SUMIFS(Raw_Events!$H:$H,Raw_Events!$C:$C,$A119,Raw_Events!$G:$G,"IDEA")</f>
        <v/>
      </c>
      <c r="N119" s="16">
        <f>COUNTIFS(Raw_Events!$C:$C,$A119,Raw_Events!$G:$G,"SOCIAL_MEET")</f>
        <v/>
      </c>
      <c r="O119" s="16">
        <f>COUNTIFS(Raw_Events!$C:$C,$A119,Raw_Events!$G:$G,"DATE")</f>
        <v/>
      </c>
      <c r="P119" s="3">
        <f>COUNTIFS(Raw_Events!$C:$C,$A119,Raw_Events!$G:$G,"NEW_ACTIVITY")</f>
        <v/>
      </c>
      <c r="Q119" s="3">
        <f>SUMIFS(Raw_Events!$H:$H,Raw_Events!$C:$C,$A119,Raw_Events!$G:$G,"TRAVEL_NIGHT")</f>
        <v/>
      </c>
      <c r="R119" s="3" t="n"/>
    </row>
    <row r="120" ht="15" customHeight="1">
      <c r="A120" s="14" t="n">
        <v>46140</v>
      </c>
      <c r="B120" s="27">
        <f>SUMIFS(Raw_Events!$H:$H,Raw_Events!$C:$C,$A120,Raw_Events!$G:$G,"SLEEP_HOURS")</f>
        <v/>
      </c>
      <c r="C120" s="16">
        <f>COUNTIFS(Raw_Events!$C:$C,$A120,Raw_Events!$G:$G,"WORKOUT")</f>
        <v/>
      </c>
      <c r="D120" s="28">
        <f>SUMIFS(Raw_Events!$H:$H,Raw_Events!$C:$C,$A120,Raw_Events!$G:$G,"POSTURE_SESSION")</f>
        <v/>
      </c>
      <c r="E120" s="8">
        <f>IF($D120="","",IF($D120&gt;=Settings!$C$17,1,0))</f>
        <v/>
      </c>
      <c r="F120" s="28">
        <f>SUMIFS(Raw_Events!$H:$H,Raw_Events!$C:$C,$A120,Raw_Events!$G:$G,"MINDFULNESS_MIN")</f>
        <v/>
      </c>
      <c r="G120" s="8">
        <f>IF($F120="","",IF($F120&gt;0,1,0))</f>
        <v/>
      </c>
      <c r="H120" s="16">
        <f>SUMIFS(Raw_Events!$H:$H,Raw_Events!$C:$C,$A120,Raw_Events!$G:$G,"CIGARETTES")</f>
        <v/>
      </c>
      <c r="I120" s="29">
        <f>SUMIFS(Raw_Events!$L:$L,Raw_Events!$C:$C,$A120,Raw_Events!$G:$G,"ALCOHOL")</f>
        <v/>
      </c>
      <c r="J120" s="16">
        <f>SUMIFS(Raw_Events!$H:$H,Raw_Events!$C:$C,$A120,Raw_Events!$G:$G,"UNHEALTHY_MEAL")</f>
        <v/>
      </c>
      <c r="K120" s="28">
        <f>SUMIFS(Raw_Events!$H:$H,Raw_Events!$C:$C,$A120,Raw_Events!$G:$G,"TRAINING_MIN")+SUMIFS(Raw_Events!$H:$H,Raw_Events!$C:$C,$A120,Raw_Events!$G:$G,"DICTION_TRAINING_MIN")</f>
        <v/>
      </c>
      <c r="L120" s="28" t="n"/>
      <c r="M120" s="16">
        <f>SUMIFS(Raw_Events!$H:$H,Raw_Events!$C:$C,$A120,Raw_Events!$G:$G,"IDEA")</f>
        <v/>
      </c>
      <c r="N120" s="16">
        <f>COUNTIFS(Raw_Events!$C:$C,$A120,Raw_Events!$G:$G,"SOCIAL_MEET")</f>
        <v/>
      </c>
      <c r="O120" s="16">
        <f>COUNTIFS(Raw_Events!$C:$C,$A120,Raw_Events!$G:$G,"DATE")</f>
        <v/>
      </c>
      <c r="P120" s="3">
        <f>COUNTIFS(Raw_Events!$C:$C,$A120,Raw_Events!$G:$G,"NEW_ACTIVITY")</f>
        <v/>
      </c>
      <c r="Q120" s="3">
        <f>SUMIFS(Raw_Events!$H:$H,Raw_Events!$C:$C,$A120,Raw_Events!$G:$G,"TRAVEL_NIGHT")</f>
        <v/>
      </c>
      <c r="R120" s="3" t="n"/>
    </row>
    <row r="121" ht="15" customHeight="1">
      <c r="A121" s="14" t="n">
        <v>46141</v>
      </c>
      <c r="B121" s="27">
        <f>SUMIFS(Raw_Events!$H:$H,Raw_Events!$C:$C,$A121,Raw_Events!$G:$G,"SLEEP_HOURS")</f>
        <v/>
      </c>
      <c r="C121" s="16">
        <f>COUNTIFS(Raw_Events!$C:$C,$A121,Raw_Events!$G:$G,"WORKOUT")</f>
        <v/>
      </c>
      <c r="D121" s="28">
        <f>SUMIFS(Raw_Events!$H:$H,Raw_Events!$C:$C,$A121,Raw_Events!$G:$G,"POSTURE_SESSION")</f>
        <v/>
      </c>
      <c r="E121" s="8">
        <f>IF($D121="","",IF($D121&gt;=Settings!$C$17,1,0))</f>
        <v/>
      </c>
      <c r="F121" s="28">
        <f>SUMIFS(Raw_Events!$H:$H,Raw_Events!$C:$C,$A121,Raw_Events!$G:$G,"MINDFULNESS_MIN")</f>
        <v/>
      </c>
      <c r="G121" s="8">
        <f>IF($F121="","",IF($F121&gt;0,1,0))</f>
        <v/>
      </c>
      <c r="H121" s="16">
        <f>SUMIFS(Raw_Events!$H:$H,Raw_Events!$C:$C,$A121,Raw_Events!$G:$G,"CIGARETTES")</f>
        <v/>
      </c>
      <c r="I121" s="29">
        <f>SUMIFS(Raw_Events!$L:$L,Raw_Events!$C:$C,$A121,Raw_Events!$G:$G,"ALCOHOL")</f>
        <v/>
      </c>
      <c r="J121" s="16">
        <f>SUMIFS(Raw_Events!$H:$H,Raw_Events!$C:$C,$A121,Raw_Events!$G:$G,"UNHEALTHY_MEAL")</f>
        <v/>
      </c>
      <c r="K121" s="28">
        <f>SUMIFS(Raw_Events!$H:$H,Raw_Events!$C:$C,$A121,Raw_Events!$G:$G,"TRAINING_MIN")+SUMIFS(Raw_Events!$H:$H,Raw_Events!$C:$C,$A121,Raw_Events!$G:$G,"DICTION_TRAINING_MIN")</f>
        <v/>
      </c>
      <c r="L121" s="28" t="n"/>
      <c r="M121" s="16">
        <f>SUMIFS(Raw_Events!$H:$H,Raw_Events!$C:$C,$A121,Raw_Events!$G:$G,"IDEA")</f>
        <v/>
      </c>
      <c r="N121" s="16">
        <f>COUNTIFS(Raw_Events!$C:$C,$A121,Raw_Events!$G:$G,"SOCIAL_MEET")</f>
        <v/>
      </c>
      <c r="O121" s="16">
        <f>COUNTIFS(Raw_Events!$C:$C,$A121,Raw_Events!$G:$G,"DATE")</f>
        <v/>
      </c>
      <c r="P121" s="3">
        <f>COUNTIFS(Raw_Events!$C:$C,$A121,Raw_Events!$G:$G,"NEW_ACTIVITY")</f>
        <v/>
      </c>
      <c r="Q121" s="3">
        <f>SUMIFS(Raw_Events!$H:$H,Raw_Events!$C:$C,$A121,Raw_Events!$G:$G,"TRAVEL_NIGHT")</f>
        <v/>
      </c>
      <c r="R121" s="3" t="n"/>
    </row>
    <row r="122" ht="15" customHeight="1">
      <c r="A122" s="14" t="n">
        <v>46142</v>
      </c>
      <c r="B122" s="27">
        <f>SUMIFS(Raw_Events!$H:$H,Raw_Events!$C:$C,$A122,Raw_Events!$G:$G,"SLEEP_HOURS")</f>
        <v/>
      </c>
      <c r="C122" s="16">
        <f>COUNTIFS(Raw_Events!$C:$C,$A122,Raw_Events!$G:$G,"WORKOUT")</f>
        <v/>
      </c>
      <c r="D122" s="28">
        <f>SUMIFS(Raw_Events!$H:$H,Raw_Events!$C:$C,$A122,Raw_Events!$G:$G,"POSTURE_SESSION")</f>
        <v/>
      </c>
      <c r="E122" s="8">
        <f>IF($D122="","",IF($D122&gt;=Settings!$C$17,1,0))</f>
        <v/>
      </c>
      <c r="F122" s="28">
        <f>SUMIFS(Raw_Events!$H:$H,Raw_Events!$C:$C,$A122,Raw_Events!$G:$G,"MINDFULNESS_MIN")</f>
        <v/>
      </c>
      <c r="G122" s="8">
        <f>IF($F122="","",IF($F122&gt;0,1,0))</f>
        <v/>
      </c>
      <c r="H122" s="16">
        <f>SUMIFS(Raw_Events!$H:$H,Raw_Events!$C:$C,$A122,Raw_Events!$G:$G,"CIGARETTES")</f>
        <v/>
      </c>
      <c r="I122" s="29">
        <f>SUMIFS(Raw_Events!$L:$L,Raw_Events!$C:$C,$A122,Raw_Events!$G:$G,"ALCOHOL")</f>
        <v/>
      </c>
      <c r="J122" s="16">
        <f>SUMIFS(Raw_Events!$H:$H,Raw_Events!$C:$C,$A122,Raw_Events!$G:$G,"UNHEALTHY_MEAL")</f>
        <v/>
      </c>
      <c r="K122" s="28">
        <f>SUMIFS(Raw_Events!$H:$H,Raw_Events!$C:$C,$A122,Raw_Events!$G:$G,"TRAINING_MIN")+SUMIFS(Raw_Events!$H:$H,Raw_Events!$C:$C,$A122,Raw_Events!$G:$G,"DICTION_TRAINING_MIN")</f>
        <v/>
      </c>
      <c r="L122" s="28" t="n"/>
      <c r="M122" s="16">
        <f>SUMIFS(Raw_Events!$H:$H,Raw_Events!$C:$C,$A122,Raw_Events!$G:$G,"IDEA")</f>
        <v/>
      </c>
      <c r="N122" s="16">
        <f>COUNTIFS(Raw_Events!$C:$C,$A122,Raw_Events!$G:$G,"SOCIAL_MEET")</f>
        <v/>
      </c>
      <c r="O122" s="16">
        <f>COUNTIFS(Raw_Events!$C:$C,$A122,Raw_Events!$G:$G,"DATE")</f>
        <v/>
      </c>
      <c r="P122" s="3">
        <f>COUNTIFS(Raw_Events!$C:$C,$A122,Raw_Events!$G:$G,"NEW_ACTIVITY")</f>
        <v/>
      </c>
      <c r="Q122" s="3">
        <f>SUMIFS(Raw_Events!$H:$H,Raw_Events!$C:$C,$A122,Raw_Events!$G:$G,"TRAVEL_NIGHT")</f>
        <v/>
      </c>
      <c r="R122" s="3" t="n"/>
    </row>
    <row r="123" ht="15" customHeight="1">
      <c r="A123" s="14" t="n">
        <v>46143</v>
      </c>
      <c r="B123" s="27">
        <f>SUMIFS(Raw_Events!$H:$H,Raw_Events!$C:$C,$A123,Raw_Events!$G:$G,"SLEEP_HOURS")</f>
        <v/>
      </c>
      <c r="C123" s="16">
        <f>COUNTIFS(Raw_Events!$C:$C,$A123,Raw_Events!$G:$G,"WORKOUT")</f>
        <v/>
      </c>
      <c r="D123" s="28">
        <f>SUMIFS(Raw_Events!$H:$H,Raw_Events!$C:$C,$A123,Raw_Events!$G:$G,"POSTURE_SESSION")</f>
        <v/>
      </c>
      <c r="E123" s="8">
        <f>IF($D123="","",IF($D123&gt;=Settings!$C$17,1,0))</f>
        <v/>
      </c>
      <c r="F123" s="28">
        <f>SUMIFS(Raw_Events!$H:$H,Raw_Events!$C:$C,$A123,Raw_Events!$G:$G,"MINDFULNESS_MIN")</f>
        <v/>
      </c>
      <c r="G123" s="8">
        <f>IF($F123="","",IF($F123&gt;0,1,0))</f>
        <v/>
      </c>
      <c r="H123" s="16">
        <f>SUMIFS(Raw_Events!$H:$H,Raw_Events!$C:$C,$A123,Raw_Events!$G:$G,"CIGARETTES")</f>
        <v/>
      </c>
      <c r="I123" s="29">
        <f>SUMIFS(Raw_Events!$L:$L,Raw_Events!$C:$C,$A123,Raw_Events!$G:$G,"ALCOHOL")</f>
        <v/>
      </c>
      <c r="J123" s="16">
        <f>SUMIFS(Raw_Events!$H:$H,Raw_Events!$C:$C,$A123,Raw_Events!$G:$G,"UNHEALTHY_MEAL")</f>
        <v/>
      </c>
      <c r="K123" s="28">
        <f>SUMIFS(Raw_Events!$H:$H,Raw_Events!$C:$C,$A123,Raw_Events!$G:$G,"TRAINING_MIN")+SUMIFS(Raw_Events!$H:$H,Raw_Events!$C:$C,$A123,Raw_Events!$G:$G,"DICTION_TRAINING_MIN")</f>
        <v/>
      </c>
      <c r="L123" s="28" t="n"/>
      <c r="M123" s="16">
        <f>SUMIFS(Raw_Events!$H:$H,Raw_Events!$C:$C,$A123,Raw_Events!$G:$G,"IDEA")</f>
        <v/>
      </c>
      <c r="N123" s="16">
        <f>COUNTIFS(Raw_Events!$C:$C,$A123,Raw_Events!$G:$G,"SOCIAL_MEET")</f>
        <v/>
      </c>
      <c r="O123" s="16">
        <f>COUNTIFS(Raw_Events!$C:$C,$A123,Raw_Events!$G:$G,"DATE")</f>
        <v/>
      </c>
      <c r="P123" s="3">
        <f>COUNTIFS(Raw_Events!$C:$C,$A123,Raw_Events!$G:$G,"NEW_ACTIVITY")</f>
        <v/>
      </c>
      <c r="Q123" s="3">
        <f>SUMIFS(Raw_Events!$H:$H,Raw_Events!$C:$C,$A123,Raw_Events!$G:$G,"TRAVEL_NIGHT")</f>
        <v/>
      </c>
      <c r="R123" s="3" t="n"/>
    </row>
    <row r="124" ht="15" customHeight="1">
      <c r="A124" s="14" t="n">
        <v>46144</v>
      </c>
      <c r="B124" s="27">
        <f>SUMIFS(Raw_Events!$H:$H,Raw_Events!$C:$C,$A124,Raw_Events!$G:$G,"SLEEP_HOURS")</f>
        <v/>
      </c>
      <c r="C124" s="16">
        <f>COUNTIFS(Raw_Events!$C:$C,$A124,Raw_Events!$G:$G,"WORKOUT")</f>
        <v/>
      </c>
      <c r="D124" s="28">
        <f>SUMIFS(Raw_Events!$H:$H,Raw_Events!$C:$C,$A124,Raw_Events!$G:$G,"POSTURE_SESSION")</f>
        <v/>
      </c>
      <c r="E124" s="8">
        <f>IF($D124="","",IF($D124&gt;=Settings!$C$17,1,0))</f>
        <v/>
      </c>
      <c r="F124" s="28">
        <f>SUMIFS(Raw_Events!$H:$H,Raw_Events!$C:$C,$A124,Raw_Events!$G:$G,"MINDFULNESS_MIN")</f>
        <v/>
      </c>
      <c r="G124" s="8">
        <f>IF($F124="","",IF($F124&gt;0,1,0))</f>
        <v/>
      </c>
      <c r="H124" s="16">
        <f>SUMIFS(Raw_Events!$H:$H,Raw_Events!$C:$C,$A124,Raw_Events!$G:$G,"CIGARETTES")</f>
        <v/>
      </c>
      <c r="I124" s="29">
        <f>SUMIFS(Raw_Events!$L:$L,Raw_Events!$C:$C,$A124,Raw_Events!$G:$G,"ALCOHOL")</f>
        <v/>
      </c>
      <c r="J124" s="16">
        <f>SUMIFS(Raw_Events!$H:$H,Raw_Events!$C:$C,$A124,Raw_Events!$G:$G,"UNHEALTHY_MEAL")</f>
        <v/>
      </c>
      <c r="K124" s="28">
        <f>SUMIFS(Raw_Events!$H:$H,Raw_Events!$C:$C,$A124,Raw_Events!$G:$G,"TRAINING_MIN")+SUMIFS(Raw_Events!$H:$H,Raw_Events!$C:$C,$A124,Raw_Events!$G:$G,"DICTION_TRAINING_MIN")</f>
        <v/>
      </c>
      <c r="L124" s="28" t="n"/>
      <c r="M124" s="16">
        <f>SUMIFS(Raw_Events!$H:$H,Raw_Events!$C:$C,$A124,Raw_Events!$G:$G,"IDEA")</f>
        <v/>
      </c>
      <c r="N124" s="16">
        <f>COUNTIFS(Raw_Events!$C:$C,$A124,Raw_Events!$G:$G,"SOCIAL_MEET")</f>
        <v/>
      </c>
      <c r="O124" s="16">
        <f>COUNTIFS(Raw_Events!$C:$C,$A124,Raw_Events!$G:$G,"DATE")</f>
        <v/>
      </c>
      <c r="P124" s="3">
        <f>COUNTIFS(Raw_Events!$C:$C,$A124,Raw_Events!$G:$G,"NEW_ACTIVITY")</f>
        <v/>
      </c>
      <c r="Q124" s="3">
        <f>SUMIFS(Raw_Events!$H:$H,Raw_Events!$C:$C,$A124,Raw_Events!$G:$G,"TRAVEL_NIGHT")</f>
        <v/>
      </c>
      <c r="R124" s="3" t="n"/>
    </row>
    <row r="125" ht="15" customHeight="1">
      <c r="A125" s="14" t="n">
        <v>46145</v>
      </c>
      <c r="B125" s="27">
        <f>SUMIFS(Raw_Events!$H:$H,Raw_Events!$C:$C,$A125,Raw_Events!$G:$G,"SLEEP_HOURS")</f>
        <v/>
      </c>
      <c r="C125" s="16">
        <f>COUNTIFS(Raw_Events!$C:$C,$A125,Raw_Events!$G:$G,"WORKOUT")</f>
        <v/>
      </c>
      <c r="D125" s="28">
        <f>SUMIFS(Raw_Events!$H:$H,Raw_Events!$C:$C,$A125,Raw_Events!$G:$G,"POSTURE_SESSION")</f>
        <v/>
      </c>
      <c r="E125" s="8">
        <f>IF($D125="","",IF($D125&gt;=Settings!$C$17,1,0))</f>
        <v/>
      </c>
      <c r="F125" s="28">
        <f>SUMIFS(Raw_Events!$H:$H,Raw_Events!$C:$C,$A125,Raw_Events!$G:$G,"MINDFULNESS_MIN")</f>
        <v/>
      </c>
      <c r="G125" s="8">
        <f>IF($F125="","",IF($F125&gt;0,1,0))</f>
        <v/>
      </c>
      <c r="H125" s="16">
        <f>SUMIFS(Raw_Events!$H:$H,Raw_Events!$C:$C,$A125,Raw_Events!$G:$G,"CIGARETTES")</f>
        <v/>
      </c>
      <c r="I125" s="29">
        <f>SUMIFS(Raw_Events!$L:$L,Raw_Events!$C:$C,$A125,Raw_Events!$G:$G,"ALCOHOL")</f>
        <v/>
      </c>
      <c r="J125" s="16">
        <f>SUMIFS(Raw_Events!$H:$H,Raw_Events!$C:$C,$A125,Raw_Events!$G:$G,"UNHEALTHY_MEAL")</f>
        <v/>
      </c>
      <c r="K125" s="28">
        <f>SUMIFS(Raw_Events!$H:$H,Raw_Events!$C:$C,$A125,Raw_Events!$G:$G,"TRAINING_MIN")+SUMIFS(Raw_Events!$H:$H,Raw_Events!$C:$C,$A125,Raw_Events!$G:$G,"DICTION_TRAINING_MIN")</f>
        <v/>
      </c>
      <c r="L125" s="28" t="n"/>
      <c r="M125" s="16">
        <f>SUMIFS(Raw_Events!$H:$H,Raw_Events!$C:$C,$A125,Raw_Events!$G:$G,"IDEA")</f>
        <v/>
      </c>
      <c r="N125" s="16">
        <f>COUNTIFS(Raw_Events!$C:$C,$A125,Raw_Events!$G:$G,"SOCIAL_MEET")</f>
        <v/>
      </c>
      <c r="O125" s="16">
        <f>COUNTIFS(Raw_Events!$C:$C,$A125,Raw_Events!$G:$G,"DATE")</f>
        <v/>
      </c>
      <c r="P125" s="3">
        <f>COUNTIFS(Raw_Events!$C:$C,$A125,Raw_Events!$G:$G,"NEW_ACTIVITY")</f>
        <v/>
      </c>
      <c r="Q125" s="3">
        <f>SUMIFS(Raw_Events!$H:$H,Raw_Events!$C:$C,$A125,Raw_Events!$G:$G,"TRAVEL_NIGHT")</f>
        <v/>
      </c>
      <c r="R125" s="3" t="n"/>
    </row>
    <row r="126" ht="15" customHeight="1">
      <c r="A126" s="14" t="n">
        <v>46146</v>
      </c>
      <c r="B126" s="27">
        <f>SUMIFS(Raw_Events!$H:$H,Raw_Events!$C:$C,$A126,Raw_Events!$G:$G,"SLEEP_HOURS")</f>
        <v/>
      </c>
      <c r="C126" s="16">
        <f>COUNTIFS(Raw_Events!$C:$C,$A126,Raw_Events!$G:$G,"WORKOUT")</f>
        <v/>
      </c>
      <c r="D126" s="28">
        <f>SUMIFS(Raw_Events!$H:$H,Raw_Events!$C:$C,$A126,Raw_Events!$G:$G,"POSTURE_SESSION")</f>
        <v/>
      </c>
      <c r="E126" s="8">
        <f>IF($D126="","",IF($D126&gt;=Settings!$C$17,1,0))</f>
        <v/>
      </c>
      <c r="F126" s="28">
        <f>SUMIFS(Raw_Events!$H:$H,Raw_Events!$C:$C,$A126,Raw_Events!$G:$G,"MINDFULNESS_MIN")</f>
        <v/>
      </c>
      <c r="G126" s="8">
        <f>IF($F126="","",IF($F126&gt;0,1,0))</f>
        <v/>
      </c>
      <c r="H126" s="16">
        <f>SUMIFS(Raw_Events!$H:$H,Raw_Events!$C:$C,$A126,Raw_Events!$G:$G,"CIGARETTES")</f>
        <v/>
      </c>
      <c r="I126" s="29">
        <f>SUMIFS(Raw_Events!$L:$L,Raw_Events!$C:$C,$A126,Raw_Events!$G:$G,"ALCOHOL")</f>
        <v/>
      </c>
      <c r="J126" s="16">
        <f>SUMIFS(Raw_Events!$H:$H,Raw_Events!$C:$C,$A126,Raw_Events!$G:$G,"UNHEALTHY_MEAL")</f>
        <v/>
      </c>
      <c r="K126" s="28">
        <f>SUMIFS(Raw_Events!$H:$H,Raw_Events!$C:$C,$A126,Raw_Events!$G:$G,"TRAINING_MIN")+SUMIFS(Raw_Events!$H:$H,Raw_Events!$C:$C,$A126,Raw_Events!$G:$G,"DICTION_TRAINING_MIN")</f>
        <v/>
      </c>
      <c r="L126" s="28" t="n"/>
      <c r="M126" s="16">
        <f>SUMIFS(Raw_Events!$H:$H,Raw_Events!$C:$C,$A126,Raw_Events!$G:$G,"IDEA")</f>
        <v/>
      </c>
      <c r="N126" s="16">
        <f>COUNTIFS(Raw_Events!$C:$C,$A126,Raw_Events!$G:$G,"SOCIAL_MEET")</f>
        <v/>
      </c>
      <c r="O126" s="16">
        <f>COUNTIFS(Raw_Events!$C:$C,$A126,Raw_Events!$G:$G,"DATE")</f>
        <v/>
      </c>
      <c r="P126" s="3">
        <f>COUNTIFS(Raw_Events!$C:$C,$A126,Raw_Events!$G:$G,"NEW_ACTIVITY")</f>
        <v/>
      </c>
      <c r="Q126" s="3">
        <f>SUMIFS(Raw_Events!$H:$H,Raw_Events!$C:$C,$A126,Raw_Events!$G:$G,"TRAVEL_NIGHT")</f>
        <v/>
      </c>
      <c r="R126" s="3" t="n"/>
    </row>
    <row r="127" ht="15" customHeight="1">
      <c r="A127" s="14" t="n">
        <v>46147</v>
      </c>
      <c r="B127" s="27">
        <f>SUMIFS(Raw_Events!$H:$H,Raw_Events!$C:$C,$A127,Raw_Events!$G:$G,"SLEEP_HOURS")</f>
        <v/>
      </c>
      <c r="C127" s="16">
        <f>COUNTIFS(Raw_Events!$C:$C,$A127,Raw_Events!$G:$G,"WORKOUT")</f>
        <v/>
      </c>
      <c r="D127" s="28">
        <f>SUMIFS(Raw_Events!$H:$H,Raw_Events!$C:$C,$A127,Raw_Events!$G:$G,"POSTURE_SESSION")</f>
        <v/>
      </c>
      <c r="E127" s="8">
        <f>IF($D127="","",IF($D127&gt;=Settings!$C$17,1,0))</f>
        <v/>
      </c>
      <c r="F127" s="28">
        <f>SUMIFS(Raw_Events!$H:$H,Raw_Events!$C:$C,$A127,Raw_Events!$G:$G,"MINDFULNESS_MIN")</f>
        <v/>
      </c>
      <c r="G127" s="8">
        <f>IF($F127="","",IF($F127&gt;0,1,0))</f>
        <v/>
      </c>
      <c r="H127" s="16">
        <f>SUMIFS(Raw_Events!$H:$H,Raw_Events!$C:$C,$A127,Raw_Events!$G:$G,"CIGARETTES")</f>
        <v/>
      </c>
      <c r="I127" s="29">
        <f>SUMIFS(Raw_Events!$L:$L,Raw_Events!$C:$C,$A127,Raw_Events!$G:$G,"ALCOHOL")</f>
        <v/>
      </c>
      <c r="J127" s="16">
        <f>SUMIFS(Raw_Events!$H:$H,Raw_Events!$C:$C,$A127,Raw_Events!$G:$G,"UNHEALTHY_MEAL")</f>
        <v/>
      </c>
      <c r="K127" s="28">
        <f>SUMIFS(Raw_Events!$H:$H,Raw_Events!$C:$C,$A127,Raw_Events!$G:$G,"TRAINING_MIN")+SUMIFS(Raw_Events!$H:$H,Raw_Events!$C:$C,$A127,Raw_Events!$G:$G,"DICTION_TRAINING_MIN")</f>
        <v/>
      </c>
      <c r="L127" s="28" t="n"/>
      <c r="M127" s="16">
        <f>SUMIFS(Raw_Events!$H:$H,Raw_Events!$C:$C,$A127,Raw_Events!$G:$G,"IDEA")</f>
        <v/>
      </c>
      <c r="N127" s="16">
        <f>COUNTIFS(Raw_Events!$C:$C,$A127,Raw_Events!$G:$G,"SOCIAL_MEET")</f>
        <v/>
      </c>
      <c r="O127" s="16">
        <f>COUNTIFS(Raw_Events!$C:$C,$A127,Raw_Events!$G:$G,"DATE")</f>
        <v/>
      </c>
      <c r="P127" s="3">
        <f>COUNTIFS(Raw_Events!$C:$C,$A127,Raw_Events!$G:$G,"NEW_ACTIVITY")</f>
        <v/>
      </c>
      <c r="Q127" s="3">
        <f>SUMIFS(Raw_Events!$H:$H,Raw_Events!$C:$C,$A127,Raw_Events!$G:$G,"TRAVEL_NIGHT")</f>
        <v/>
      </c>
      <c r="R127" s="3" t="n"/>
    </row>
    <row r="128" ht="15" customHeight="1">
      <c r="A128" s="14" t="n">
        <v>46148</v>
      </c>
      <c r="B128" s="27">
        <f>SUMIFS(Raw_Events!$H:$H,Raw_Events!$C:$C,$A128,Raw_Events!$G:$G,"SLEEP_HOURS")</f>
        <v/>
      </c>
      <c r="C128" s="16">
        <f>COUNTIFS(Raw_Events!$C:$C,$A128,Raw_Events!$G:$G,"WORKOUT")</f>
        <v/>
      </c>
      <c r="D128" s="28">
        <f>SUMIFS(Raw_Events!$H:$H,Raw_Events!$C:$C,$A128,Raw_Events!$G:$G,"POSTURE_SESSION")</f>
        <v/>
      </c>
      <c r="E128" s="8">
        <f>IF($D128="","",IF($D128&gt;=Settings!$C$17,1,0))</f>
        <v/>
      </c>
      <c r="F128" s="28">
        <f>SUMIFS(Raw_Events!$H:$H,Raw_Events!$C:$C,$A128,Raw_Events!$G:$G,"MINDFULNESS_MIN")</f>
        <v/>
      </c>
      <c r="G128" s="8">
        <f>IF($F128="","",IF($F128&gt;0,1,0))</f>
        <v/>
      </c>
      <c r="H128" s="16">
        <f>SUMIFS(Raw_Events!$H:$H,Raw_Events!$C:$C,$A128,Raw_Events!$G:$G,"CIGARETTES")</f>
        <v/>
      </c>
      <c r="I128" s="29">
        <f>SUMIFS(Raw_Events!$L:$L,Raw_Events!$C:$C,$A128,Raw_Events!$G:$G,"ALCOHOL")</f>
        <v/>
      </c>
      <c r="J128" s="16">
        <f>SUMIFS(Raw_Events!$H:$H,Raw_Events!$C:$C,$A128,Raw_Events!$G:$G,"UNHEALTHY_MEAL")</f>
        <v/>
      </c>
      <c r="K128" s="28">
        <f>SUMIFS(Raw_Events!$H:$H,Raw_Events!$C:$C,$A128,Raw_Events!$G:$G,"TRAINING_MIN")+SUMIFS(Raw_Events!$H:$H,Raw_Events!$C:$C,$A128,Raw_Events!$G:$G,"DICTION_TRAINING_MIN")</f>
        <v/>
      </c>
      <c r="L128" s="28" t="n"/>
      <c r="M128" s="16">
        <f>SUMIFS(Raw_Events!$H:$H,Raw_Events!$C:$C,$A128,Raw_Events!$G:$G,"IDEA")</f>
        <v/>
      </c>
      <c r="N128" s="16">
        <f>COUNTIFS(Raw_Events!$C:$C,$A128,Raw_Events!$G:$G,"SOCIAL_MEET")</f>
        <v/>
      </c>
      <c r="O128" s="16">
        <f>COUNTIFS(Raw_Events!$C:$C,$A128,Raw_Events!$G:$G,"DATE")</f>
        <v/>
      </c>
      <c r="P128" s="3">
        <f>COUNTIFS(Raw_Events!$C:$C,$A128,Raw_Events!$G:$G,"NEW_ACTIVITY")</f>
        <v/>
      </c>
      <c r="Q128" s="3">
        <f>SUMIFS(Raw_Events!$H:$H,Raw_Events!$C:$C,$A128,Raw_Events!$G:$G,"TRAVEL_NIGHT")</f>
        <v/>
      </c>
      <c r="R128" s="3" t="n"/>
    </row>
    <row r="129" ht="15" customHeight="1">
      <c r="A129" s="14" t="n">
        <v>46149</v>
      </c>
      <c r="B129" s="27">
        <f>SUMIFS(Raw_Events!$H:$H,Raw_Events!$C:$C,$A129,Raw_Events!$G:$G,"SLEEP_HOURS")</f>
        <v/>
      </c>
      <c r="C129" s="16">
        <f>COUNTIFS(Raw_Events!$C:$C,$A129,Raw_Events!$G:$G,"WORKOUT")</f>
        <v/>
      </c>
      <c r="D129" s="28">
        <f>SUMIFS(Raw_Events!$H:$H,Raw_Events!$C:$C,$A129,Raw_Events!$G:$G,"POSTURE_SESSION")</f>
        <v/>
      </c>
      <c r="E129" s="8">
        <f>IF($D129="","",IF($D129&gt;=Settings!$C$17,1,0))</f>
        <v/>
      </c>
      <c r="F129" s="28">
        <f>SUMIFS(Raw_Events!$H:$H,Raw_Events!$C:$C,$A129,Raw_Events!$G:$G,"MINDFULNESS_MIN")</f>
        <v/>
      </c>
      <c r="G129" s="8">
        <f>IF($F129="","",IF($F129&gt;0,1,0))</f>
        <v/>
      </c>
      <c r="H129" s="16">
        <f>SUMIFS(Raw_Events!$H:$H,Raw_Events!$C:$C,$A129,Raw_Events!$G:$G,"CIGARETTES")</f>
        <v/>
      </c>
      <c r="I129" s="29">
        <f>SUMIFS(Raw_Events!$L:$L,Raw_Events!$C:$C,$A129,Raw_Events!$G:$G,"ALCOHOL")</f>
        <v/>
      </c>
      <c r="J129" s="16">
        <f>SUMIFS(Raw_Events!$H:$H,Raw_Events!$C:$C,$A129,Raw_Events!$G:$G,"UNHEALTHY_MEAL")</f>
        <v/>
      </c>
      <c r="K129" s="28">
        <f>SUMIFS(Raw_Events!$H:$H,Raw_Events!$C:$C,$A129,Raw_Events!$G:$G,"TRAINING_MIN")+SUMIFS(Raw_Events!$H:$H,Raw_Events!$C:$C,$A129,Raw_Events!$G:$G,"DICTION_TRAINING_MIN")</f>
        <v/>
      </c>
      <c r="L129" s="28" t="n"/>
      <c r="M129" s="16">
        <f>SUMIFS(Raw_Events!$H:$H,Raw_Events!$C:$C,$A129,Raw_Events!$G:$G,"IDEA")</f>
        <v/>
      </c>
      <c r="N129" s="16">
        <f>COUNTIFS(Raw_Events!$C:$C,$A129,Raw_Events!$G:$G,"SOCIAL_MEET")</f>
        <v/>
      </c>
      <c r="O129" s="16">
        <f>COUNTIFS(Raw_Events!$C:$C,$A129,Raw_Events!$G:$G,"DATE")</f>
        <v/>
      </c>
      <c r="P129" s="3">
        <f>COUNTIFS(Raw_Events!$C:$C,$A129,Raw_Events!$G:$G,"NEW_ACTIVITY")</f>
        <v/>
      </c>
      <c r="Q129" s="3">
        <f>SUMIFS(Raw_Events!$H:$H,Raw_Events!$C:$C,$A129,Raw_Events!$G:$G,"TRAVEL_NIGHT")</f>
        <v/>
      </c>
      <c r="R129" s="3" t="n"/>
    </row>
    <row r="130" ht="15" customHeight="1">
      <c r="A130" s="14" t="n">
        <v>46150</v>
      </c>
      <c r="B130" s="27">
        <f>SUMIFS(Raw_Events!$H:$H,Raw_Events!$C:$C,$A130,Raw_Events!$G:$G,"SLEEP_HOURS")</f>
        <v/>
      </c>
      <c r="C130" s="16">
        <f>COUNTIFS(Raw_Events!$C:$C,$A130,Raw_Events!$G:$G,"WORKOUT")</f>
        <v/>
      </c>
      <c r="D130" s="28">
        <f>SUMIFS(Raw_Events!$H:$H,Raw_Events!$C:$C,$A130,Raw_Events!$G:$G,"POSTURE_SESSION")</f>
        <v/>
      </c>
      <c r="E130" s="8">
        <f>IF($D130="","",IF($D130&gt;=Settings!$C$17,1,0))</f>
        <v/>
      </c>
      <c r="F130" s="28">
        <f>SUMIFS(Raw_Events!$H:$H,Raw_Events!$C:$C,$A130,Raw_Events!$G:$G,"MINDFULNESS_MIN")</f>
        <v/>
      </c>
      <c r="G130" s="8">
        <f>IF($F130="","",IF($F130&gt;0,1,0))</f>
        <v/>
      </c>
      <c r="H130" s="16">
        <f>SUMIFS(Raw_Events!$H:$H,Raw_Events!$C:$C,$A130,Raw_Events!$G:$G,"CIGARETTES")</f>
        <v/>
      </c>
      <c r="I130" s="29">
        <f>SUMIFS(Raw_Events!$L:$L,Raw_Events!$C:$C,$A130,Raw_Events!$G:$G,"ALCOHOL")</f>
        <v/>
      </c>
      <c r="J130" s="16">
        <f>SUMIFS(Raw_Events!$H:$H,Raw_Events!$C:$C,$A130,Raw_Events!$G:$G,"UNHEALTHY_MEAL")</f>
        <v/>
      </c>
      <c r="K130" s="28">
        <f>SUMIFS(Raw_Events!$H:$H,Raw_Events!$C:$C,$A130,Raw_Events!$G:$G,"TRAINING_MIN")+SUMIFS(Raw_Events!$H:$H,Raw_Events!$C:$C,$A130,Raw_Events!$G:$G,"DICTION_TRAINING_MIN")</f>
        <v/>
      </c>
      <c r="L130" s="28" t="n"/>
      <c r="M130" s="16">
        <f>SUMIFS(Raw_Events!$H:$H,Raw_Events!$C:$C,$A130,Raw_Events!$G:$G,"IDEA")</f>
        <v/>
      </c>
      <c r="N130" s="16">
        <f>COUNTIFS(Raw_Events!$C:$C,$A130,Raw_Events!$G:$G,"SOCIAL_MEET")</f>
        <v/>
      </c>
      <c r="O130" s="16">
        <f>COUNTIFS(Raw_Events!$C:$C,$A130,Raw_Events!$G:$G,"DATE")</f>
        <v/>
      </c>
      <c r="P130" s="3">
        <f>COUNTIFS(Raw_Events!$C:$C,$A130,Raw_Events!$G:$G,"NEW_ACTIVITY")</f>
        <v/>
      </c>
      <c r="Q130" s="3">
        <f>SUMIFS(Raw_Events!$H:$H,Raw_Events!$C:$C,$A130,Raw_Events!$G:$G,"TRAVEL_NIGHT")</f>
        <v/>
      </c>
      <c r="R130" s="3" t="n"/>
    </row>
    <row r="131" ht="15" customHeight="1">
      <c r="A131" s="14" t="n">
        <v>46151</v>
      </c>
      <c r="B131" s="27">
        <f>SUMIFS(Raw_Events!$H:$H,Raw_Events!$C:$C,$A131,Raw_Events!$G:$G,"SLEEP_HOURS")</f>
        <v/>
      </c>
      <c r="C131" s="16">
        <f>COUNTIFS(Raw_Events!$C:$C,$A131,Raw_Events!$G:$G,"WORKOUT")</f>
        <v/>
      </c>
      <c r="D131" s="28">
        <f>SUMIFS(Raw_Events!$H:$H,Raw_Events!$C:$C,$A131,Raw_Events!$G:$G,"POSTURE_SESSION")</f>
        <v/>
      </c>
      <c r="E131" s="8">
        <f>IF($D131="","",IF($D131&gt;=Settings!$C$17,1,0))</f>
        <v/>
      </c>
      <c r="F131" s="28">
        <f>SUMIFS(Raw_Events!$H:$H,Raw_Events!$C:$C,$A131,Raw_Events!$G:$G,"MINDFULNESS_MIN")</f>
        <v/>
      </c>
      <c r="G131" s="8">
        <f>IF($F131="","",IF($F131&gt;0,1,0))</f>
        <v/>
      </c>
      <c r="H131" s="16">
        <f>SUMIFS(Raw_Events!$H:$H,Raw_Events!$C:$C,$A131,Raw_Events!$G:$G,"CIGARETTES")</f>
        <v/>
      </c>
      <c r="I131" s="29">
        <f>SUMIFS(Raw_Events!$L:$L,Raw_Events!$C:$C,$A131,Raw_Events!$G:$G,"ALCOHOL")</f>
        <v/>
      </c>
      <c r="J131" s="16">
        <f>SUMIFS(Raw_Events!$H:$H,Raw_Events!$C:$C,$A131,Raw_Events!$G:$G,"UNHEALTHY_MEAL")</f>
        <v/>
      </c>
      <c r="K131" s="28">
        <f>SUMIFS(Raw_Events!$H:$H,Raw_Events!$C:$C,$A131,Raw_Events!$G:$G,"TRAINING_MIN")+SUMIFS(Raw_Events!$H:$H,Raw_Events!$C:$C,$A131,Raw_Events!$G:$G,"DICTION_TRAINING_MIN")</f>
        <v/>
      </c>
      <c r="L131" s="28" t="n"/>
      <c r="M131" s="16">
        <f>SUMIFS(Raw_Events!$H:$H,Raw_Events!$C:$C,$A131,Raw_Events!$G:$G,"IDEA")</f>
        <v/>
      </c>
      <c r="N131" s="16">
        <f>COUNTIFS(Raw_Events!$C:$C,$A131,Raw_Events!$G:$G,"SOCIAL_MEET")</f>
        <v/>
      </c>
      <c r="O131" s="16">
        <f>COUNTIFS(Raw_Events!$C:$C,$A131,Raw_Events!$G:$G,"DATE")</f>
        <v/>
      </c>
      <c r="P131" s="3">
        <f>COUNTIFS(Raw_Events!$C:$C,$A131,Raw_Events!$G:$G,"NEW_ACTIVITY")</f>
        <v/>
      </c>
      <c r="Q131" s="3">
        <f>SUMIFS(Raw_Events!$H:$H,Raw_Events!$C:$C,$A131,Raw_Events!$G:$G,"TRAVEL_NIGHT")</f>
        <v/>
      </c>
      <c r="R131" s="3" t="n"/>
    </row>
    <row r="132" ht="15" customHeight="1">
      <c r="A132" s="14" t="n">
        <v>46152</v>
      </c>
      <c r="B132" s="27">
        <f>SUMIFS(Raw_Events!$H:$H,Raw_Events!$C:$C,$A132,Raw_Events!$G:$G,"SLEEP_HOURS")</f>
        <v/>
      </c>
      <c r="C132" s="16">
        <f>COUNTIFS(Raw_Events!$C:$C,$A132,Raw_Events!$G:$G,"WORKOUT")</f>
        <v/>
      </c>
      <c r="D132" s="28">
        <f>SUMIFS(Raw_Events!$H:$H,Raw_Events!$C:$C,$A132,Raw_Events!$G:$G,"POSTURE_SESSION")</f>
        <v/>
      </c>
      <c r="E132" s="8">
        <f>IF($D132="","",IF($D132&gt;=Settings!$C$17,1,0))</f>
        <v/>
      </c>
      <c r="F132" s="28">
        <f>SUMIFS(Raw_Events!$H:$H,Raw_Events!$C:$C,$A132,Raw_Events!$G:$G,"MINDFULNESS_MIN")</f>
        <v/>
      </c>
      <c r="G132" s="8">
        <f>IF($F132="","",IF($F132&gt;0,1,0))</f>
        <v/>
      </c>
      <c r="H132" s="16">
        <f>SUMIFS(Raw_Events!$H:$H,Raw_Events!$C:$C,$A132,Raw_Events!$G:$G,"CIGARETTES")</f>
        <v/>
      </c>
      <c r="I132" s="29">
        <f>SUMIFS(Raw_Events!$L:$L,Raw_Events!$C:$C,$A132,Raw_Events!$G:$G,"ALCOHOL")</f>
        <v/>
      </c>
      <c r="J132" s="16">
        <f>SUMIFS(Raw_Events!$H:$H,Raw_Events!$C:$C,$A132,Raw_Events!$G:$G,"UNHEALTHY_MEAL")</f>
        <v/>
      </c>
      <c r="K132" s="28">
        <f>SUMIFS(Raw_Events!$H:$H,Raw_Events!$C:$C,$A132,Raw_Events!$G:$G,"TRAINING_MIN")+SUMIFS(Raw_Events!$H:$H,Raw_Events!$C:$C,$A132,Raw_Events!$G:$G,"DICTION_TRAINING_MIN")</f>
        <v/>
      </c>
      <c r="L132" s="28" t="n"/>
      <c r="M132" s="16">
        <f>SUMIFS(Raw_Events!$H:$H,Raw_Events!$C:$C,$A132,Raw_Events!$G:$G,"IDEA")</f>
        <v/>
      </c>
      <c r="N132" s="16">
        <f>COUNTIFS(Raw_Events!$C:$C,$A132,Raw_Events!$G:$G,"SOCIAL_MEET")</f>
        <v/>
      </c>
      <c r="O132" s="16">
        <f>COUNTIFS(Raw_Events!$C:$C,$A132,Raw_Events!$G:$G,"DATE")</f>
        <v/>
      </c>
      <c r="P132" s="3">
        <f>COUNTIFS(Raw_Events!$C:$C,$A132,Raw_Events!$G:$G,"NEW_ACTIVITY")</f>
        <v/>
      </c>
      <c r="Q132" s="3">
        <f>SUMIFS(Raw_Events!$H:$H,Raw_Events!$C:$C,$A132,Raw_Events!$G:$G,"TRAVEL_NIGHT")</f>
        <v/>
      </c>
      <c r="R132" s="3" t="n"/>
    </row>
    <row r="133" ht="15" customHeight="1">
      <c r="A133" s="14" t="n">
        <v>46153</v>
      </c>
      <c r="B133" s="27">
        <f>SUMIFS(Raw_Events!$H:$H,Raw_Events!$C:$C,$A133,Raw_Events!$G:$G,"SLEEP_HOURS")</f>
        <v/>
      </c>
      <c r="C133" s="16">
        <f>COUNTIFS(Raw_Events!$C:$C,$A133,Raw_Events!$G:$G,"WORKOUT")</f>
        <v/>
      </c>
      <c r="D133" s="28">
        <f>SUMIFS(Raw_Events!$H:$H,Raw_Events!$C:$C,$A133,Raw_Events!$G:$G,"POSTURE_SESSION")</f>
        <v/>
      </c>
      <c r="E133" s="8">
        <f>IF($D133="","",IF($D133&gt;=Settings!$C$17,1,0))</f>
        <v/>
      </c>
      <c r="F133" s="28">
        <f>SUMIFS(Raw_Events!$H:$H,Raw_Events!$C:$C,$A133,Raw_Events!$G:$G,"MINDFULNESS_MIN")</f>
        <v/>
      </c>
      <c r="G133" s="8">
        <f>IF($F133="","",IF($F133&gt;0,1,0))</f>
        <v/>
      </c>
      <c r="H133" s="16">
        <f>SUMIFS(Raw_Events!$H:$H,Raw_Events!$C:$C,$A133,Raw_Events!$G:$G,"CIGARETTES")</f>
        <v/>
      </c>
      <c r="I133" s="29">
        <f>SUMIFS(Raw_Events!$L:$L,Raw_Events!$C:$C,$A133,Raw_Events!$G:$G,"ALCOHOL")</f>
        <v/>
      </c>
      <c r="J133" s="16">
        <f>SUMIFS(Raw_Events!$H:$H,Raw_Events!$C:$C,$A133,Raw_Events!$G:$G,"UNHEALTHY_MEAL")</f>
        <v/>
      </c>
      <c r="K133" s="28">
        <f>SUMIFS(Raw_Events!$H:$H,Raw_Events!$C:$C,$A133,Raw_Events!$G:$G,"TRAINING_MIN")+SUMIFS(Raw_Events!$H:$H,Raw_Events!$C:$C,$A133,Raw_Events!$G:$G,"DICTION_TRAINING_MIN")</f>
        <v/>
      </c>
      <c r="L133" s="28" t="n"/>
      <c r="M133" s="16">
        <f>SUMIFS(Raw_Events!$H:$H,Raw_Events!$C:$C,$A133,Raw_Events!$G:$G,"IDEA")</f>
        <v/>
      </c>
      <c r="N133" s="16">
        <f>COUNTIFS(Raw_Events!$C:$C,$A133,Raw_Events!$G:$G,"SOCIAL_MEET")</f>
        <v/>
      </c>
      <c r="O133" s="16">
        <f>COUNTIFS(Raw_Events!$C:$C,$A133,Raw_Events!$G:$G,"DATE")</f>
        <v/>
      </c>
      <c r="P133" s="3">
        <f>COUNTIFS(Raw_Events!$C:$C,$A133,Raw_Events!$G:$G,"NEW_ACTIVITY")</f>
        <v/>
      </c>
      <c r="Q133" s="3">
        <f>SUMIFS(Raw_Events!$H:$H,Raw_Events!$C:$C,$A133,Raw_Events!$G:$G,"TRAVEL_NIGHT")</f>
        <v/>
      </c>
      <c r="R133" s="3" t="n"/>
    </row>
    <row r="134" ht="15" customHeight="1">
      <c r="A134" s="14" t="n">
        <v>46154</v>
      </c>
      <c r="B134" s="27">
        <f>SUMIFS(Raw_Events!$H:$H,Raw_Events!$C:$C,$A134,Raw_Events!$G:$G,"SLEEP_HOURS")</f>
        <v/>
      </c>
      <c r="C134" s="16">
        <f>COUNTIFS(Raw_Events!$C:$C,$A134,Raw_Events!$G:$G,"WORKOUT")</f>
        <v/>
      </c>
      <c r="D134" s="28">
        <f>SUMIFS(Raw_Events!$H:$H,Raw_Events!$C:$C,$A134,Raw_Events!$G:$G,"POSTURE_SESSION")</f>
        <v/>
      </c>
      <c r="E134" s="8">
        <f>IF($D134="","",IF($D134&gt;=Settings!$C$17,1,0))</f>
        <v/>
      </c>
      <c r="F134" s="28">
        <f>SUMIFS(Raw_Events!$H:$H,Raw_Events!$C:$C,$A134,Raw_Events!$G:$G,"MINDFULNESS_MIN")</f>
        <v/>
      </c>
      <c r="G134" s="8">
        <f>IF($F134="","",IF($F134&gt;0,1,0))</f>
        <v/>
      </c>
      <c r="H134" s="16">
        <f>SUMIFS(Raw_Events!$H:$H,Raw_Events!$C:$C,$A134,Raw_Events!$G:$G,"CIGARETTES")</f>
        <v/>
      </c>
      <c r="I134" s="29">
        <f>SUMIFS(Raw_Events!$L:$L,Raw_Events!$C:$C,$A134,Raw_Events!$G:$G,"ALCOHOL")</f>
        <v/>
      </c>
      <c r="J134" s="16">
        <f>SUMIFS(Raw_Events!$H:$H,Raw_Events!$C:$C,$A134,Raw_Events!$G:$G,"UNHEALTHY_MEAL")</f>
        <v/>
      </c>
      <c r="K134" s="28">
        <f>SUMIFS(Raw_Events!$H:$H,Raw_Events!$C:$C,$A134,Raw_Events!$G:$G,"TRAINING_MIN")+SUMIFS(Raw_Events!$H:$H,Raw_Events!$C:$C,$A134,Raw_Events!$G:$G,"DICTION_TRAINING_MIN")</f>
        <v/>
      </c>
      <c r="L134" s="28" t="n"/>
      <c r="M134" s="16">
        <f>SUMIFS(Raw_Events!$H:$H,Raw_Events!$C:$C,$A134,Raw_Events!$G:$G,"IDEA")</f>
        <v/>
      </c>
      <c r="N134" s="16">
        <f>COUNTIFS(Raw_Events!$C:$C,$A134,Raw_Events!$G:$G,"SOCIAL_MEET")</f>
        <v/>
      </c>
      <c r="O134" s="16">
        <f>COUNTIFS(Raw_Events!$C:$C,$A134,Raw_Events!$G:$G,"DATE")</f>
        <v/>
      </c>
      <c r="P134" s="3">
        <f>COUNTIFS(Raw_Events!$C:$C,$A134,Raw_Events!$G:$G,"NEW_ACTIVITY")</f>
        <v/>
      </c>
      <c r="Q134" s="3">
        <f>SUMIFS(Raw_Events!$H:$H,Raw_Events!$C:$C,$A134,Raw_Events!$G:$G,"TRAVEL_NIGHT")</f>
        <v/>
      </c>
      <c r="R134" s="3" t="n"/>
    </row>
    <row r="135" ht="15" customHeight="1">
      <c r="A135" s="14" t="n">
        <v>46155</v>
      </c>
      <c r="B135" s="27">
        <f>SUMIFS(Raw_Events!$H:$H,Raw_Events!$C:$C,$A135,Raw_Events!$G:$G,"SLEEP_HOURS")</f>
        <v/>
      </c>
      <c r="C135" s="16">
        <f>COUNTIFS(Raw_Events!$C:$C,$A135,Raw_Events!$G:$G,"WORKOUT")</f>
        <v/>
      </c>
      <c r="D135" s="28">
        <f>SUMIFS(Raw_Events!$H:$H,Raw_Events!$C:$C,$A135,Raw_Events!$G:$G,"POSTURE_SESSION")</f>
        <v/>
      </c>
      <c r="E135" s="8">
        <f>IF($D135="","",IF($D135&gt;=Settings!$C$17,1,0))</f>
        <v/>
      </c>
      <c r="F135" s="28">
        <f>SUMIFS(Raw_Events!$H:$H,Raw_Events!$C:$C,$A135,Raw_Events!$G:$G,"MINDFULNESS_MIN")</f>
        <v/>
      </c>
      <c r="G135" s="8">
        <f>IF($F135="","",IF($F135&gt;0,1,0))</f>
        <v/>
      </c>
      <c r="H135" s="16">
        <f>SUMIFS(Raw_Events!$H:$H,Raw_Events!$C:$C,$A135,Raw_Events!$G:$G,"CIGARETTES")</f>
        <v/>
      </c>
      <c r="I135" s="29">
        <f>SUMIFS(Raw_Events!$L:$L,Raw_Events!$C:$C,$A135,Raw_Events!$G:$G,"ALCOHOL")</f>
        <v/>
      </c>
      <c r="J135" s="16">
        <f>SUMIFS(Raw_Events!$H:$H,Raw_Events!$C:$C,$A135,Raw_Events!$G:$G,"UNHEALTHY_MEAL")</f>
        <v/>
      </c>
      <c r="K135" s="28">
        <f>SUMIFS(Raw_Events!$H:$H,Raw_Events!$C:$C,$A135,Raw_Events!$G:$G,"TRAINING_MIN")+SUMIFS(Raw_Events!$H:$H,Raw_Events!$C:$C,$A135,Raw_Events!$G:$G,"DICTION_TRAINING_MIN")</f>
        <v/>
      </c>
      <c r="L135" s="28" t="n"/>
      <c r="M135" s="16">
        <f>SUMIFS(Raw_Events!$H:$H,Raw_Events!$C:$C,$A135,Raw_Events!$G:$G,"IDEA")</f>
        <v/>
      </c>
      <c r="N135" s="16">
        <f>COUNTIFS(Raw_Events!$C:$C,$A135,Raw_Events!$G:$G,"SOCIAL_MEET")</f>
        <v/>
      </c>
      <c r="O135" s="16">
        <f>COUNTIFS(Raw_Events!$C:$C,$A135,Raw_Events!$G:$G,"DATE")</f>
        <v/>
      </c>
      <c r="P135" s="3">
        <f>COUNTIFS(Raw_Events!$C:$C,$A135,Raw_Events!$G:$G,"NEW_ACTIVITY")</f>
        <v/>
      </c>
      <c r="Q135" s="3">
        <f>SUMIFS(Raw_Events!$H:$H,Raw_Events!$C:$C,$A135,Raw_Events!$G:$G,"TRAVEL_NIGHT")</f>
        <v/>
      </c>
      <c r="R135" s="3" t="n"/>
    </row>
    <row r="136" ht="15" customHeight="1">
      <c r="A136" s="14" t="n">
        <v>46156</v>
      </c>
      <c r="B136" s="27">
        <f>SUMIFS(Raw_Events!$H:$H,Raw_Events!$C:$C,$A136,Raw_Events!$G:$G,"SLEEP_HOURS")</f>
        <v/>
      </c>
      <c r="C136" s="16">
        <f>COUNTIFS(Raw_Events!$C:$C,$A136,Raw_Events!$G:$G,"WORKOUT")</f>
        <v/>
      </c>
      <c r="D136" s="28">
        <f>SUMIFS(Raw_Events!$H:$H,Raw_Events!$C:$C,$A136,Raw_Events!$G:$G,"POSTURE_SESSION")</f>
        <v/>
      </c>
      <c r="E136" s="8">
        <f>IF($D136="","",IF($D136&gt;=Settings!$C$17,1,0))</f>
        <v/>
      </c>
      <c r="F136" s="28">
        <f>SUMIFS(Raw_Events!$H:$H,Raw_Events!$C:$C,$A136,Raw_Events!$G:$G,"MINDFULNESS_MIN")</f>
        <v/>
      </c>
      <c r="G136" s="8">
        <f>IF($F136="","",IF($F136&gt;0,1,0))</f>
        <v/>
      </c>
      <c r="H136" s="16">
        <f>SUMIFS(Raw_Events!$H:$H,Raw_Events!$C:$C,$A136,Raw_Events!$G:$G,"CIGARETTES")</f>
        <v/>
      </c>
      <c r="I136" s="29">
        <f>SUMIFS(Raw_Events!$L:$L,Raw_Events!$C:$C,$A136,Raw_Events!$G:$G,"ALCOHOL")</f>
        <v/>
      </c>
      <c r="J136" s="16">
        <f>SUMIFS(Raw_Events!$H:$H,Raw_Events!$C:$C,$A136,Raw_Events!$G:$G,"UNHEALTHY_MEAL")</f>
        <v/>
      </c>
      <c r="K136" s="28">
        <f>SUMIFS(Raw_Events!$H:$H,Raw_Events!$C:$C,$A136,Raw_Events!$G:$G,"TRAINING_MIN")+SUMIFS(Raw_Events!$H:$H,Raw_Events!$C:$C,$A136,Raw_Events!$G:$G,"DICTION_TRAINING_MIN")</f>
        <v/>
      </c>
      <c r="L136" s="28" t="n"/>
      <c r="M136" s="16">
        <f>SUMIFS(Raw_Events!$H:$H,Raw_Events!$C:$C,$A136,Raw_Events!$G:$G,"IDEA")</f>
        <v/>
      </c>
      <c r="N136" s="16">
        <f>COUNTIFS(Raw_Events!$C:$C,$A136,Raw_Events!$G:$G,"SOCIAL_MEET")</f>
        <v/>
      </c>
      <c r="O136" s="16">
        <f>COUNTIFS(Raw_Events!$C:$C,$A136,Raw_Events!$G:$G,"DATE")</f>
        <v/>
      </c>
      <c r="P136" s="3">
        <f>COUNTIFS(Raw_Events!$C:$C,$A136,Raw_Events!$G:$G,"NEW_ACTIVITY")</f>
        <v/>
      </c>
      <c r="Q136" s="3">
        <f>SUMIFS(Raw_Events!$H:$H,Raw_Events!$C:$C,$A136,Raw_Events!$G:$G,"TRAVEL_NIGHT")</f>
        <v/>
      </c>
      <c r="R136" s="3" t="n"/>
    </row>
    <row r="137" ht="15" customHeight="1">
      <c r="A137" s="14" t="n">
        <v>46157</v>
      </c>
      <c r="B137" s="27">
        <f>SUMIFS(Raw_Events!$H:$H,Raw_Events!$C:$C,$A137,Raw_Events!$G:$G,"SLEEP_HOURS")</f>
        <v/>
      </c>
      <c r="C137" s="16">
        <f>COUNTIFS(Raw_Events!$C:$C,$A137,Raw_Events!$G:$G,"WORKOUT")</f>
        <v/>
      </c>
      <c r="D137" s="28">
        <f>SUMIFS(Raw_Events!$H:$H,Raw_Events!$C:$C,$A137,Raw_Events!$G:$G,"POSTURE_SESSION")</f>
        <v/>
      </c>
      <c r="E137" s="8">
        <f>IF($D137="","",IF($D137&gt;=Settings!$C$17,1,0))</f>
        <v/>
      </c>
      <c r="F137" s="28">
        <f>SUMIFS(Raw_Events!$H:$H,Raw_Events!$C:$C,$A137,Raw_Events!$G:$G,"MINDFULNESS_MIN")</f>
        <v/>
      </c>
      <c r="G137" s="8">
        <f>IF($F137="","",IF($F137&gt;0,1,0))</f>
        <v/>
      </c>
      <c r="H137" s="16">
        <f>SUMIFS(Raw_Events!$H:$H,Raw_Events!$C:$C,$A137,Raw_Events!$G:$G,"CIGARETTES")</f>
        <v/>
      </c>
      <c r="I137" s="29">
        <f>SUMIFS(Raw_Events!$L:$L,Raw_Events!$C:$C,$A137,Raw_Events!$G:$G,"ALCOHOL")</f>
        <v/>
      </c>
      <c r="J137" s="16">
        <f>SUMIFS(Raw_Events!$H:$H,Raw_Events!$C:$C,$A137,Raw_Events!$G:$G,"UNHEALTHY_MEAL")</f>
        <v/>
      </c>
      <c r="K137" s="28">
        <f>SUMIFS(Raw_Events!$H:$H,Raw_Events!$C:$C,$A137,Raw_Events!$G:$G,"TRAINING_MIN")+SUMIFS(Raw_Events!$H:$H,Raw_Events!$C:$C,$A137,Raw_Events!$G:$G,"DICTION_TRAINING_MIN")</f>
        <v/>
      </c>
      <c r="L137" s="28" t="n"/>
      <c r="M137" s="16">
        <f>SUMIFS(Raw_Events!$H:$H,Raw_Events!$C:$C,$A137,Raw_Events!$G:$G,"IDEA")</f>
        <v/>
      </c>
      <c r="N137" s="16">
        <f>COUNTIFS(Raw_Events!$C:$C,$A137,Raw_Events!$G:$G,"SOCIAL_MEET")</f>
        <v/>
      </c>
      <c r="O137" s="16">
        <f>COUNTIFS(Raw_Events!$C:$C,$A137,Raw_Events!$G:$G,"DATE")</f>
        <v/>
      </c>
      <c r="P137" s="3">
        <f>COUNTIFS(Raw_Events!$C:$C,$A137,Raw_Events!$G:$G,"NEW_ACTIVITY")</f>
        <v/>
      </c>
      <c r="Q137" s="3">
        <f>SUMIFS(Raw_Events!$H:$H,Raw_Events!$C:$C,$A137,Raw_Events!$G:$G,"TRAVEL_NIGHT")</f>
        <v/>
      </c>
      <c r="R137" s="3" t="n"/>
    </row>
    <row r="138" ht="15" customHeight="1">
      <c r="A138" s="14" t="n">
        <v>46158</v>
      </c>
      <c r="B138" s="27">
        <f>SUMIFS(Raw_Events!$H:$H,Raw_Events!$C:$C,$A138,Raw_Events!$G:$G,"SLEEP_HOURS")</f>
        <v/>
      </c>
      <c r="C138" s="16">
        <f>COUNTIFS(Raw_Events!$C:$C,$A138,Raw_Events!$G:$G,"WORKOUT")</f>
        <v/>
      </c>
      <c r="D138" s="28">
        <f>SUMIFS(Raw_Events!$H:$H,Raw_Events!$C:$C,$A138,Raw_Events!$G:$G,"POSTURE_SESSION")</f>
        <v/>
      </c>
      <c r="E138" s="8">
        <f>IF($D138="","",IF($D138&gt;=Settings!$C$17,1,0))</f>
        <v/>
      </c>
      <c r="F138" s="28">
        <f>SUMIFS(Raw_Events!$H:$H,Raw_Events!$C:$C,$A138,Raw_Events!$G:$G,"MINDFULNESS_MIN")</f>
        <v/>
      </c>
      <c r="G138" s="8">
        <f>IF($F138="","",IF($F138&gt;0,1,0))</f>
        <v/>
      </c>
      <c r="H138" s="16">
        <f>SUMIFS(Raw_Events!$H:$H,Raw_Events!$C:$C,$A138,Raw_Events!$G:$G,"CIGARETTES")</f>
        <v/>
      </c>
      <c r="I138" s="29">
        <f>SUMIFS(Raw_Events!$L:$L,Raw_Events!$C:$C,$A138,Raw_Events!$G:$G,"ALCOHOL")</f>
        <v/>
      </c>
      <c r="J138" s="16">
        <f>SUMIFS(Raw_Events!$H:$H,Raw_Events!$C:$C,$A138,Raw_Events!$G:$G,"UNHEALTHY_MEAL")</f>
        <v/>
      </c>
      <c r="K138" s="28">
        <f>SUMIFS(Raw_Events!$H:$H,Raw_Events!$C:$C,$A138,Raw_Events!$G:$G,"TRAINING_MIN")+SUMIFS(Raw_Events!$H:$H,Raw_Events!$C:$C,$A138,Raw_Events!$G:$G,"DICTION_TRAINING_MIN")</f>
        <v/>
      </c>
      <c r="L138" s="28" t="n"/>
      <c r="M138" s="16">
        <f>SUMIFS(Raw_Events!$H:$H,Raw_Events!$C:$C,$A138,Raw_Events!$G:$G,"IDEA")</f>
        <v/>
      </c>
      <c r="N138" s="16">
        <f>COUNTIFS(Raw_Events!$C:$C,$A138,Raw_Events!$G:$G,"SOCIAL_MEET")</f>
        <v/>
      </c>
      <c r="O138" s="16">
        <f>COUNTIFS(Raw_Events!$C:$C,$A138,Raw_Events!$G:$G,"DATE")</f>
        <v/>
      </c>
      <c r="P138" s="3">
        <f>COUNTIFS(Raw_Events!$C:$C,$A138,Raw_Events!$G:$G,"NEW_ACTIVITY")</f>
        <v/>
      </c>
      <c r="Q138" s="3">
        <f>SUMIFS(Raw_Events!$H:$H,Raw_Events!$C:$C,$A138,Raw_Events!$G:$G,"TRAVEL_NIGHT")</f>
        <v/>
      </c>
      <c r="R138" s="3" t="n"/>
    </row>
    <row r="139" ht="15" customHeight="1">
      <c r="A139" s="14" t="n">
        <v>46159</v>
      </c>
      <c r="B139" s="27">
        <f>SUMIFS(Raw_Events!$H:$H,Raw_Events!$C:$C,$A139,Raw_Events!$G:$G,"SLEEP_HOURS")</f>
        <v/>
      </c>
      <c r="C139" s="16">
        <f>COUNTIFS(Raw_Events!$C:$C,$A139,Raw_Events!$G:$G,"WORKOUT")</f>
        <v/>
      </c>
      <c r="D139" s="28">
        <f>SUMIFS(Raw_Events!$H:$H,Raw_Events!$C:$C,$A139,Raw_Events!$G:$G,"POSTURE_SESSION")</f>
        <v/>
      </c>
      <c r="E139" s="8">
        <f>IF($D139="","",IF($D139&gt;=Settings!$C$17,1,0))</f>
        <v/>
      </c>
      <c r="F139" s="28">
        <f>SUMIFS(Raw_Events!$H:$H,Raw_Events!$C:$C,$A139,Raw_Events!$G:$G,"MINDFULNESS_MIN")</f>
        <v/>
      </c>
      <c r="G139" s="8">
        <f>IF($F139="","",IF($F139&gt;0,1,0))</f>
        <v/>
      </c>
      <c r="H139" s="16">
        <f>SUMIFS(Raw_Events!$H:$H,Raw_Events!$C:$C,$A139,Raw_Events!$G:$G,"CIGARETTES")</f>
        <v/>
      </c>
      <c r="I139" s="29">
        <f>SUMIFS(Raw_Events!$L:$L,Raw_Events!$C:$C,$A139,Raw_Events!$G:$G,"ALCOHOL")</f>
        <v/>
      </c>
      <c r="J139" s="16">
        <f>SUMIFS(Raw_Events!$H:$H,Raw_Events!$C:$C,$A139,Raw_Events!$G:$G,"UNHEALTHY_MEAL")</f>
        <v/>
      </c>
      <c r="K139" s="28">
        <f>SUMIFS(Raw_Events!$H:$H,Raw_Events!$C:$C,$A139,Raw_Events!$G:$G,"TRAINING_MIN")+SUMIFS(Raw_Events!$H:$H,Raw_Events!$C:$C,$A139,Raw_Events!$G:$G,"DICTION_TRAINING_MIN")</f>
        <v/>
      </c>
      <c r="L139" s="28" t="n"/>
      <c r="M139" s="16">
        <f>SUMIFS(Raw_Events!$H:$H,Raw_Events!$C:$C,$A139,Raw_Events!$G:$G,"IDEA")</f>
        <v/>
      </c>
      <c r="N139" s="16">
        <f>COUNTIFS(Raw_Events!$C:$C,$A139,Raw_Events!$G:$G,"SOCIAL_MEET")</f>
        <v/>
      </c>
      <c r="O139" s="16">
        <f>COUNTIFS(Raw_Events!$C:$C,$A139,Raw_Events!$G:$G,"DATE")</f>
        <v/>
      </c>
      <c r="P139" s="3">
        <f>COUNTIFS(Raw_Events!$C:$C,$A139,Raw_Events!$G:$G,"NEW_ACTIVITY")</f>
        <v/>
      </c>
      <c r="Q139" s="3">
        <f>SUMIFS(Raw_Events!$H:$H,Raw_Events!$C:$C,$A139,Raw_Events!$G:$G,"TRAVEL_NIGHT")</f>
        <v/>
      </c>
      <c r="R139" s="3" t="n"/>
    </row>
    <row r="140" ht="15" customHeight="1">
      <c r="A140" s="14" t="n">
        <v>46160</v>
      </c>
      <c r="B140" s="27">
        <f>SUMIFS(Raw_Events!$H:$H,Raw_Events!$C:$C,$A140,Raw_Events!$G:$G,"SLEEP_HOURS")</f>
        <v/>
      </c>
      <c r="C140" s="16">
        <f>COUNTIFS(Raw_Events!$C:$C,$A140,Raw_Events!$G:$G,"WORKOUT")</f>
        <v/>
      </c>
      <c r="D140" s="28">
        <f>SUMIFS(Raw_Events!$H:$H,Raw_Events!$C:$C,$A140,Raw_Events!$G:$G,"POSTURE_SESSION")</f>
        <v/>
      </c>
      <c r="E140" s="8">
        <f>IF($D140="","",IF($D140&gt;=Settings!$C$17,1,0))</f>
        <v/>
      </c>
      <c r="F140" s="28">
        <f>SUMIFS(Raw_Events!$H:$H,Raw_Events!$C:$C,$A140,Raw_Events!$G:$G,"MINDFULNESS_MIN")</f>
        <v/>
      </c>
      <c r="G140" s="8">
        <f>IF($F140="","",IF($F140&gt;0,1,0))</f>
        <v/>
      </c>
      <c r="H140" s="16">
        <f>SUMIFS(Raw_Events!$H:$H,Raw_Events!$C:$C,$A140,Raw_Events!$G:$G,"CIGARETTES")</f>
        <v/>
      </c>
      <c r="I140" s="29">
        <f>SUMIFS(Raw_Events!$L:$L,Raw_Events!$C:$C,$A140,Raw_Events!$G:$G,"ALCOHOL")</f>
        <v/>
      </c>
      <c r="J140" s="16">
        <f>SUMIFS(Raw_Events!$H:$H,Raw_Events!$C:$C,$A140,Raw_Events!$G:$G,"UNHEALTHY_MEAL")</f>
        <v/>
      </c>
      <c r="K140" s="28">
        <f>SUMIFS(Raw_Events!$H:$H,Raw_Events!$C:$C,$A140,Raw_Events!$G:$G,"TRAINING_MIN")+SUMIFS(Raw_Events!$H:$H,Raw_Events!$C:$C,$A140,Raw_Events!$G:$G,"DICTION_TRAINING_MIN")</f>
        <v/>
      </c>
      <c r="L140" s="28" t="n"/>
      <c r="M140" s="16">
        <f>SUMIFS(Raw_Events!$H:$H,Raw_Events!$C:$C,$A140,Raw_Events!$G:$G,"IDEA")</f>
        <v/>
      </c>
      <c r="N140" s="16">
        <f>COUNTIFS(Raw_Events!$C:$C,$A140,Raw_Events!$G:$G,"SOCIAL_MEET")</f>
        <v/>
      </c>
      <c r="O140" s="16">
        <f>COUNTIFS(Raw_Events!$C:$C,$A140,Raw_Events!$G:$G,"DATE")</f>
        <v/>
      </c>
      <c r="P140" s="3">
        <f>COUNTIFS(Raw_Events!$C:$C,$A140,Raw_Events!$G:$G,"NEW_ACTIVITY")</f>
        <v/>
      </c>
      <c r="Q140" s="3">
        <f>SUMIFS(Raw_Events!$H:$H,Raw_Events!$C:$C,$A140,Raw_Events!$G:$G,"TRAVEL_NIGHT")</f>
        <v/>
      </c>
      <c r="R140" s="3" t="n"/>
    </row>
    <row r="141" ht="15" customHeight="1">
      <c r="A141" s="14" t="n">
        <v>46161</v>
      </c>
      <c r="B141" s="27">
        <f>SUMIFS(Raw_Events!$H:$H,Raw_Events!$C:$C,$A141,Raw_Events!$G:$G,"SLEEP_HOURS")</f>
        <v/>
      </c>
      <c r="C141" s="16">
        <f>COUNTIFS(Raw_Events!$C:$C,$A141,Raw_Events!$G:$G,"WORKOUT")</f>
        <v/>
      </c>
      <c r="D141" s="28">
        <f>SUMIFS(Raw_Events!$H:$H,Raw_Events!$C:$C,$A141,Raw_Events!$G:$G,"POSTURE_SESSION")</f>
        <v/>
      </c>
      <c r="E141" s="8">
        <f>IF($D141="","",IF($D141&gt;=Settings!$C$17,1,0))</f>
        <v/>
      </c>
      <c r="F141" s="28">
        <f>SUMIFS(Raw_Events!$H:$H,Raw_Events!$C:$C,$A141,Raw_Events!$G:$G,"MINDFULNESS_MIN")</f>
        <v/>
      </c>
      <c r="G141" s="8">
        <f>IF($F141="","",IF($F141&gt;0,1,0))</f>
        <v/>
      </c>
      <c r="H141" s="16">
        <f>SUMIFS(Raw_Events!$H:$H,Raw_Events!$C:$C,$A141,Raw_Events!$G:$G,"CIGARETTES")</f>
        <v/>
      </c>
      <c r="I141" s="29">
        <f>SUMIFS(Raw_Events!$L:$L,Raw_Events!$C:$C,$A141,Raw_Events!$G:$G,"ALCOHOL")</f>
        <v/>
      </c>
      <c r="J141" s="16">
        <f>SUMIFS(Raw_Events!$H:$H,Raw_Events!$C:$C,$A141,Raw_Events!$G:$G,"UNHEALTHY_MEAL")</f>
        <v/>
      </c>
      <c r="K141" s="28">
        <f>SUMIFS(Raw_Events!$H:$H,Raw_Events!$C:$C,$A141,Raw_Events!$G:$G,"TRAINING_MIN")+SUMIFS(Raw_Events!$H:$H,Raw_Events!$C:$C,$A141,Raw_Events!$G:$G,"DICTION_TRAINING_MIN")</f>
        <v/>
      </c>
      <c r="L141" s="28" t="n"/>
      <c r="M141" s="16">
        <f>SUMIFS(Raw_Events!$H:$H,Raw_Events!$C:$C,$A141,Raw_Events!$G:$G,"IDEA")</f>
        <v/>
      </c>
      <c r="N141" s="16">
        <f>COUNTIFS(Raw_Events!$C:$C,$A141,Raw_Events!$G:$G,"SOCIAL_MEET")</f>
        <v/>
      </c>
      <c r="O141" s="16">
        <f>COUNTIFS(Raw_Events!$C:$C,$A141,Raw_Events!$G:$G,"DATE")</f>
        <v/>
      </c>
      <c r="P141" s="3">
        <f>COUNTIFS(Raw_Events!$C:$C,$A141,Raw_Events!$G:$G,"NEW_ACTIVITY")</f>
        <v/>
      </c>
      <c r="Q141" s="3">
        <f>SUMIFS(Raw_Events!$H:$H,Raw_Events!$C:$C,$A141,Raw_Events!$G:$G,"TRAVEL_NIGHT")</f>
        <v/>
      </c>
      <c r="R141" s="3" t="n"/>
    </row>
    <row r="142" ht="15" customHeight="1">
      <c r="A142" s="14" t="n">
        <v>46162</v>
      </c>
      <c r="B142" s="27">
        <f>SUMIFS(Raw_Events!$H:$H,Raw_Events!$C:$C,$A142,Raw_Events!$G:$G,"SLEEP_HOURS")</f>
        <v/>
      </c>
      <c r="C142" s="16">
        <f>COUNTIFS(Raw_Events!$C:$C,$A142,Raw_Events!$G:$G,"WORKOUT")</f>
        <v/>
      </c>
      <c r="D142" s="28">
        <f>SUMIFS(Raw_Events!$H:$H,Raw_Events!$C:$C,$A142,Raw_Events!$G:$G,"POSTURE_SESSION")</f>
        <v/>
      </c>
      <c r="E142" s="8">
        <f>IF($D142="","",IF($D142&gt;=Settings!$C$17,1,0))</f>
        <v/>
      </c>
      <c r="F142" s="28">
        <f>SUMIFS(Raw_Events!$H:$H,Raw_Events!$C:$C,$A142,Raw_Events!$G:$G,"MINDFULNESS_MIN")</f>
        <v/>
      </c>
      <c r="G142" s="8">
        <f>IF($F142="","",IF($F142&gt;0,1,0))</f>
        <v/>
      </c>
      <c r="H142" s="16">
        <f>SUMIFS(Raw_Events!$H:$H,Raw_Events!$C:$C,$A142,Raw_Events!$G:$G,"CIGARETTES")</f>
        <v/>
      </c>
      <c r="I142" s="29">
        <f>SUMIFS(Raw_Events!$L:$L,Raw_Events!$C:$C,$A142,Raw_Events!$G:$G,"ALCOHOL")</f>
        <v/>
      </c>
      <c r="J142" s="16">
        <f>SUMIFS(Raw_Events!$H:$H,Raw_Events!$C:$C,$A142,Raw_Events!$G:$G,"UNHEALTHY_MEAL")</f>
        <v/>
      </c>
      <c r="K142" s="28">
        <f>SUMIFS(Raw_Events!$H:$H,Raw_Events!$C:$C,$A142,Raw_Events!$G:$G,"TRAINING_MIN")+SUMIFS(Raw_Events!$H:$H,Raw_Events!$C:$C,$A142,Raw_Events!$G:$G,"DICTION_TRAINING_MIN")</f>
        <v/>
      </c>
      <c r="L142" s="28" t="n"/>
      <c r="M142" s="16">
        <f>SUMIFS(Raw_Events!$H:$H,Raw_Events!$C:$C,$A142,Raw_Events!$G:$G,"IDEA")</f>
        <v/>
      </c>
      <c r="N142" s="16">
        <f>COUNTIFS(Raw_Events!$C:$C,$A142,Raw_Events!$G:$G,"SOCIAL_MEET")</f>
        <v/>
      </c>
      <c r="O142" s="16">
        <f>COUNTIFS(Raw_Events!$C:$C,$A142,Raw_Events!$G:$G,"DATE")</f>
        <v/>
      </c>
      <c r="P142" s="3">
        <f>COUNTIFS(Raw_Events!$C:$C,$A142,Raw_Events!$G:$G,"NEW_ACTIVITY")</f>
        <v/>
      </c>
      <c r="Q142" s="3">
        <f>SUMIFS(Raw_Events!$H:$H,Raw_Events!$C:$C,$A142,Raw_Events!$G:$G,"TRAVEL_NIGHT")</f>
        <v/>
      </c>
      <c r="R142" s="3" t="n"/>
    </row>
    <row r="143" ht="15" customHeight="1">
      <c r="A143" s="14" t="n">
        <v>46163</v>
      </c>
      <c r="B143" s="27">
        <f>SUMIFS(Raw_Events!$H:$H,Raw_Events!$C:$C,$A143,Raw_Events!$G:$G,"SLEEP_HOURS")</f>
        <v/>
      </c>
      <c r="C143" s="16">
        <f>COUNTIFS(Raw_Events!$C:$C,$A143,Raw_Events!$G:$G,"WORKOUT")</f>
        <v/>
      </c>
      <c r="D143" s="28">
        <f>SUMIFS(Raw_Events!$H:$H,Raw_Events!$C:$C,$A143,Raw_Events!$G:$G,"POSTURE_SESSION")</f>
        <v/>
      </c>
      <c r="E143" s="8">
        <f>IF($D143="","",IF($D143&gt;=Settings!$C$17,1,0))</f>
        <v/>
      </c>
      <c r="F143" s="28">
        <f>SUMIFS(Raw_Events!$H:$H,Raw_Events!$C:$C,$A143,Raw_Events!$G:$G,"MINDFULNESS_MIN")</f>
        <v/>
      </c>
      <c r="G143" s="8">
        <f>IF($F143="","",IF($F143&gt;0,1,0))</f>
        <v/>
      </c>
      <c r="H143" s="16">
        <f>SUMIFS(Raw_Events!$H:$H,Raw_Events!$C:$C,$A143,Raw_Events!$G:$G,"CIGARETTES")</f>
        <v/>
      </c>
      <c r="I143" s="29">
        <f>SUMIFS(Raw_Events!$L:$L,Raw_Events!$C:$C,$A143,Raw_Events!$G:$G,"ALCOHOL")</f>
        <v/>
      </c>
      <c r="J143" s="16">
        <f>SUMIFS(Raw_Events!$H:$H,Raw_Events!$C:$C,$A143,Raw_Events!$G:$G,"UNHEALTHY_MEAL")</f>
        <v/>
      </c>
      <c r="K143" s="28">
        <f>SUMIFS(Raw_Events!$H:$H,Raw_Events!$C:$C,$A143,Raw_Events!$G:$G,"TRAINING_MIN")+SUMIFS(Raw_Events!$H:$H,Raw_Events!$C:$C,$A143,Raw_Events!$G:$G,"DICTION_TRAINING_MIN")</f>
        <v/>
      </c>
      <c r="L143" s="28" t="n"/>
      <c r="M143" s="16">
        <f>SUMIFS(Raw_Events!$H:$H,Raw_Events!$C:$C,$A143,Raw_Events!$G:$G,"IDEA")</f>
        <v/>
      </c>
      <c r="N143" s="16">
        <f>COUNTIFS(Raw_Events!$C:$C,$A143,Raw_Events!$G:$G,"SOCIAL_MEET")</f>
        <v/>
      </c>
      <c r="O143" s="16">
        <f>COUNTIFS(Raw_Events!$C:$C,$A143,Raw_Events!$G:$G,"DATE")</f>
        <v/>
      </c>
      <c r="P143" s="3">
        <f>COUNTIFS(Raw_Events!$C:$C,$A143,Raw_Events!$G:$G,"NEW_ACTIVITY")</f>
        <v/>
      </c>
      <c r="Q143" s="3">
        <f>SUMIFS(Raw_Events!$H:$H,Raw_Events!$C:$C,$A143,Raw_Events!$G:$G,"TRAVEL_NIGHT")</f>
        <v/>
      </c>
      <c r="R143" s="3" t="n"/>
    </row>
    <row r="144" ht="15" customHeight="1">
      <c r="A144" s="14" t="n">
        <v>46164</v>
      </c>
      <c r="B144" s="27">
        <f>SUMIFS(Raw_Events!$H:$H,Raw_Events!$C:$C,$A144,Raw_Events!$G:$G,"SLEEP_HOURS")</f>
        <v/>
      </c>
      <c r="C144" s="16">
        <f>COUNTIFS(Raw_Events!$C:$C,$A144,Raw_Events!$G:$G,"WORKOUT")</f>
        <v/>
      </c>
      <c r="D144" s="28">
        <f>SUMIFS(Raw_Events!$H:$H,Raw_Events!$C:$C,$A144,Raw_Events!$G:$G,"POSTURE_SESSION")</f>
        <v/>
      </c>
      <c r="E144" s="8">
        <f>IF($D144="","",IF($D144&gt;=Settings!$C$17,1,0))</f>
        <v/>
      </c>
      <c r="F144" s="28">
        <f>SUMIFS(Raw_Events!$H:$H,Raw_Events!$C:$C,$A144,Raw_Events!$G:$G,"MINDFULNESS_MIN")</f>
        <v/>
      </c>
      <c r="G144" s="8">
        <f>IF($F144="","",IF($F144&gt;0,1,0))</f>
        <v/>
      </c>
      <c r="H144" s="16">
        <f>SUMIFS(Raw_Events!$H:$H,Raw_Events!$C:$C,$A144,Raw_Events!$G:$G,"CIGARETTES")</f>
        <v/>
      </c>
      <c r="I144" s="29">
        <f>SUMIFS(Raw_Events!$L:$L,Raw_Events!$C:$C,$A144,Raw_Events!$G:$G,"ALCOHOL")</f>
        <v/>
      </c>
      <c r="J144" s="16">
        <f>SUMIFS(Raw_Events!$H:$H,Raw_Events!$C:$C,$A144,Raw_Events!$G:$G,"UNHEALTHY_MEAL")</f>
        <v/>
      </c>
      <c r="K144" s="28">
        <f>SUMIFS(Raw_Events!$H:$H,Raw_Events!$C:$C,$A144,Raw_Events!$G:$G,"TRAINING_MIN")+SUMIFS(Raw_Events!$H:$H,Raw_Events!$C:$C,$A144,Raw_Events!$G:$G,"DICTION_TRAINING_MIN")</f>
        <v/>
      </c>
      <c r="L144" s="28" t="n"/>
      <c r="M144" s="16">
        <f>SUMIFS(Raw_Events!$H:$H,Raw_Events!$C:$C,$A144,Raw_Events!$G:$G,"IDEA")</f>
        <v/>
      </c>
      <c r="N144" s="16">
        <f>COUNTIFS(Raw_Events!$C:$C,$A144,Raw_Events!$G:$G,"SOCIAL_MEET")</f>
        <v/>
      </c>
      <c r="O144" s="16">
        <f>COUNTIFS(Raw_Events!$C:$C,$A144,Raw_Events!$G:$G,"DATE")</f>
        <v/>
      </c>
      <c r="P144" s="3">
        <f>COUNTIFS(Raw_Events!$C:$C,$A144,Raw_Events!$G:$G,"NEW_ACTIVITY")</f>
        <v/>
      </c>
      <c r="Q144" s="3">
        <f>SUMIFS(Raw_Events!$H:$H,Raw_Events!$C:$C,$A144,Raw_Events!$G:$G,"TRAVEL_NIGHT")</f>
        <v/>
      </c>
      <c r="R144" s="3" t="n"/>
    </row>
    <row r="145" ht="15" customHeight="1">
      <c r="A145" s="14" t="n">
        <v>46165</v>
      </c>
      <c r="B145" s="27">
        <f>SUMIFS(Raw_Events!$H:$H,Raw_Events!$C:$C,$A145,Raw_Events!$G:$G,"SLEEP_HOURS")</f>
        <v/>
      </c>
      <c r="C145" s="16">
        <f>COUNTIFS(Raw_Events!$C:$C,$A145,Raw_Events!$G:$G,"WORKOUT")</f>
        <v/>
      </c>
      <c r="D145" s="28">
        <f>SUMIFS(Raw_Events!$H:$H,Raw_Events!$C:$C,$A145,Raw_Events!$G:$G,"POSTURE_SESSION")</f>
        <v/>
      </c>
      <c r="E145" s="8">
        <f>IF($D145="","",IF($D145&gt;=Settings!$C$17,1,0))</f>
        <v/>
      </c>
      <c r="F145" s="28">
        <f>SUMIFS(Raw_Events!$H:$H,Raw_Events!$C:$C,$A145,Raw_Events!$G:$G,"MINDFULNESS_MIN")</f>
        <v/>
      </c>
      <c r="G145" s="8">
        <f>IF($F145="","",IF($F145&gt;0,1,0))</f>
        <v/>
      </c>
      <c r="H145" s="16">
        <f>SUMIFS(Raw_Events!$H:$H,Raw_Events!$C:$C,$A145,Raw_Events!$G:$G,"CIGARETTES")</f>
        <v/>
      </c>
      <c r="I145" s="29">
        <f>SUMIFS(Raw_Events!$L:$L,Raw_Events!$C:$C,$A145,Raw_Events!$G:$G,"ALCOHOL")</f>
        <v/>
      </c>
      <c r="J145" s="16">
        <f>SUMIFS(Raw_Events!$H:$H,Raw_Events!$C:$C,$A145,Raw_Events!$G:$G,"UNHEALTHY_MEAL")</f>
        <v/>
      </c>
      <c r="K145" s="28">
        <f>SUMIFS(Raw_Events!$H:$H,Raw_Events!$C:$C,$A145,Raw_Events!$G:$G,"TRAINING_MIN")+SUMIFS(Raw_Events!$H:$H,Raw_Events!$C:$C,$A145,Raw_Events!$G:$G,"DICTION_TRAINING_MIN")</f>
        <v/>
      </c>
      <c r="L145" s="28" t="n"/>
      <c r="M145" s="16">
        <f>SUMIFS(Raw_Events!$H:$H,Raw_Events!$C:$C,$A145,Raw_Events!$G:$G,"IDEA")</f>
        <v/>
      </c>
      <c r="N145" s="16">
        <f>COUNTIFS(Raw_Events!$C:$C,$A145,Raw_Events!$G:$G,"SOCIAL_MEET")</f>
        <v/>
      </c>
      <c r="O145" s="16">
        <f>COUNTIFS(Raw_Events!$C:$C,$A145,Raw_Events!$G:$G,"DATE")</f>
        <v/>
      </c>
      <c r="P145" s="3">
        <f>COUNTIFS(Raw_Events!$C:$C,$A145,Raw_Events!$G:$G,"NEW_ACTIVITY")</f>
        <v/>
      </c>
      <c r="Q145" s="3">
        <f>SUMIFS(Raw_Events!$H:$H,Raw_Events!$C:$C,$A145,Raw_Events!$G:$G,"TRAVEL_NIGHT")</f>
        <v/>
      </c>
      <c r="R145" s="3" t="n"/>
    </row>
    <row r="146" ht="15" customHeight="1">
      <c r="A146" s="14" t="n">
        <v>46166</v>
      </c>
      <c r="B146" s="27">
        <f>SUMIFS(Raw_Events!$H:$H,Raw_Events!$C:$C,$A146,Raw_Events!$G:$G,"SLEEP_HOURS")</f>
        <v/>
      </c>
      <c r="C146" s="16">
        <f>COUNTIFS(Raw_Events!$C:$C,$A146,Raw_Events!$G:$G,"WORKOUT")</f>
        <v/>
      </c>
      <c r="D146" s="28">
        <f>SUMIFS(Raw_Events!$H:$H,Raw_Events!$C:$C,$A146,Raw_Events!$G:$G,"POSTURE_SESSION")</f>
        <v/>
      </c>
      <c r="E146" s="8">
        <f>IF($D146="","",IF($D146&gt;=Settings!$C$17,1,0))</f>
        <v/>
      </c>
      <c r="F146" s="28">
        <f>SUMIFS(Raw_Events!$H:$H,Raw_Events!$C:$C,$A146,Raw_Events!$G:$G,"MINDFULNESS_MIN")</f>
        <v/>
      </c>
      <c r="G146" s="8">
        <f>IF($F146="","",IF($F146&gt;0,1,0))</f>
        <v/>
      </c>
      <c r="H146" s="16">
        <f>SUMIFS(Raw_Events!$H:$H,Raw_Events!$C:$C,$A146,Raw_Events!$G:$G,"CIGARETTES")</f>
        <v/>
      </c>
      <c r="I146" s="29">
        <f>SUMIFS(Raw_Events!$L:$L,Raw_Events!$C:$C,$A146,Raw_Events!$G:$G,"ALCOHOL")</f>
        <v/>
      </c>
      <c r="J146" s="16">
        <f>SUMIFS(Raw_Events!$H:$H,Raw_Events!$C:$C,$A146,Raw_Events!$G:$G,"UNHEALTHY_MEAL")</f>
        <v/>
      </c>
      <c r="K146" s="28">
        <f>SUMIFS(Raw_Events!$H:$H,Raw_Events!$C:$C,$A146,Raw_Events!$G:$G,"TRAINING_MIN")+SUMIFS(Raw_Events!$H:$H,Raw_Events!$C:$C,$A146,Raw_Events!$G:$G,"DICTION_TRAINING_MIN")</f>
        <v/>
      </c>
      <c r="L146" s="28" t="n"/>
      <c r="M146" s="16">
        <f>SUMIFS(Raw_Events!$H:$H,Raw_Events!$C:$C,$A146,Raw_Events!$G:$G,"IDEA")</f>
        <v/>
      </c>
      <c r="N146" s="16">
        <f>COUNTIFS(Raw_Events!$C:$C,$A146,Raw_Events!$G:$G,"SOCIAL_MEET")</f>
        <v/>
      </c>
      <c r="O146" s="16">
        <f>COUNTIFS(Raw_Events!$C:$C,$A146,Raw_Events!$G:$G,"DATE")</f>
        <v/>
      </c>
      <c r="P146" s="3">
        <f>COUNTIFS(Raw_Events!$C:$C,$A146,Raw_Events!$G:$G,"NEW_ACTIVITY")</f>
        <v/>
      </c>
      <c r="Q146" s="3">
        <f>SUMIFS(Raw_Events!$H:$H,Raw_Events!$C:$C,$A146,Raw_Events!$G:$G,"TRAVEL_NIGHT")</f>
        <v/>
      </c>
      <c r="R146" s="3" t="n"/>
    </row>
    <row r="147" ht="15" customHeight="1">
      <c r="A147" s="14" t="n">
        <v>46167</v>
      </c>
      <c r="B147" s="27">
        <f>SUMIFS(Raw_Events!$H:$H,Raw_Events!$C:$C,$A147,Raw_Events!$G:$G,"SLEEP_HOURS")</f>
        <v/>
      </c>
      <c r="C147" s="16">
        <f>COUNTIFS(Raw_Events!$C:$C,$A147,Raw_Events!$G:$G,"WORKOUT")</f>
        <v/>
      </c>
      <c r="D147" s="28">
        <f>SUMIFS(Raw_Events!$H:$H,Raw_Events!$C:$C,$A147,Raw_Events!$G:$G,"POSTURE_SESSION")</f>
        <v/>
      </c>
      <c r="E147" s="8">
        <f>IF($D147="","",IF($D147&gt;=Settings!$C$17,1,0))</f>
        <v/>
      </c>
      <c r="F147" s="28">
        <f>SUMIFS(Raw_Events!$H:$H,Raw_Events!$C:$C,$A147,Raw_Events!$G:$G,"MINDFULNESS_MIN")</f>
        <v/>
      </c>
      <c r="G147" s="8">
        <f>IF($F147="","",IF($F147&gt;0,1,0))</f>
        <v/>
      </c>
      <c r="H147" s="16">
        <f>SUMIFS(Raw_Events!$H:$H,Raw_Events!$C:$C,$A147,Raw_Events!$G:$G,"CIGARETTES")</f>
        <v/>
      </c>
      <c r="I147" s="29">
        <f>SUMIFS(Raw_Events!$L:$L,Raw_Events!$C:$C,$A147,Raw_Events!$G:$G,"ALCOHOL")</f>
        <v/>
      </c>
      <c r="J147" s="16">
        <f>SUMIFS(Raw_Events!$H:$H,Raw_Events!$C:$C,$A147,Raw_Events!$G:$G,"UNHEALTHY_MEAL")</f>
        <v/>
      </c>
      <c r="K147" s="28">
        <f>SUMIFS(Raw_Events!$H:$H,Raw_Events!$C:$C,$A147,Raw_Events!$G:$G,"TRAINING_MIN")+SUMIFS(Raw_Events!$H:$H,Raw_Events!$C:$C,$A147,Raw_Events!$G:$G,"DICTION_TRAINING_MIN")</f>
        <v/>
      </c>
      <c r="L147" s="28" t="n"/>
      <c r="M147" s="16">
        <f>SUMIFS(Raw_Events!$H:$H,Raw_Events!$C:$C,$A147,Raw_Events!$G:$G,"IDEA")</f>
        <v/>
      </c>
      <c r="N147" s="16">
        <f>COUNTIFS(Raw_Events!$C:$C,$A147,Raw_Events!$G:$G,"SOCIAL_MEET")</f>
        <v/>
      </c>
      <c r="O147" s="16">
        <f>COUNTIFS(Raw_Events!$C:$C,$A147,Raw_Events!$G:$G,"DATE")</f>
        <v/>
      </c>
      <c r="P147" s="3">
        <f>COUNTIFS(Raw_Events!$C:$C,$A147,Raw_Events!$G:$G,"NEW_ACTIVITY")</f>
        <v/>
      </c>
      <c r="Q147" s="3">
        <f>SUMIFS(Raw_Events!$H:$H,Raw_Events!$C:$C,$A147,Raw_Events!$G:$G,"TRAVEL_NIGHT")</f>
        <v/>
      </c>
      <c r="R147" s="3" t="n"/>
    </row>
    <row r="148" ht="15" customHeight="1">
      <c r="A148" s="14" t="n">
        <v>46168</v>
      </c>
      <c r="B148" s="27">
        <f>SUMIFS(Raw_Events!$H:$H,Raw_Events!$C:$C,$A148,Raw_Events!$G:$G,"SLEEP_HOURS")</f>
        <v/>
      </c>
      <c r="C148" s="16">
        <f>COUNTIFS(Raw_Events!$C:$C,$A148,Raw_Events!$G:$G,"WORKOUT")</f>
        <v/>
      </c>
      <c r="D148" s="28">
        <f>SUMIFS(Raw_Events!$H:$H,Raw_Events!$C:$C,$A148,Raw_Events!$G:$G,"POSTURE_SESSION")</f>
        <v/>
      </c>
      <c r="E148" s="8">
        <f>IF($D148="","",IF($D148&gt;=Settings!$C$17,1,0))</f>
        <v/>
      </c>
      <c r="F148" s="28">
        <f>SUMIFS(Raw_Events!$H:$H,Raw_Events!$C:$C,$A148,Raw_Events!$G:$G,"MINDFULNESS_MIN")</f>
        <v/>
      </c>
      <c r="G148" s="8">
        <f>IF($F148="","",IF($F148&gt;0,1,0))</f>
        <v/>
      </c>
      <c r="H148" s="16">
        <f>SUMIFS(Raw_Events!$H:$H,Raw_Events!$C:$C,$A148,Raw_Events!$G:$G,"CIGARETTES")</f>
        <v/>
      </c>
      <c r="I148" s="29">
        <f>SUMIFS(Raw_Events!$L:$L,Raw_Events!$C:$C,$A148,Raw_Events!$G:$G,"ALCOHOL")</f>
        <v/>
      </c>
      <c r="J148" s="16">
        <f>SUMIFS(Raw_Events!$H:$H,Raw_Events!$C:$C,$A148,Raw_Events!$G:$G,"UNHEALTHY_MEAL")</f>
        <v/>
      </c>
      <c r="K148" s="28">
        <f>SUMIFS(Raw_Events!$H:$H,Raw_Events!$C:$C,$A148,Raw_Events!$G:$G,"TRAINING_MIN")+SUMIFS(Raw_Events!$H:$H,Raw_Events!$C:$C,$A148,Raw_Events!$G:$G,"DICTION_TRAINING_MIN")</f>
        <v/>
      </c>
      <c r="L148" s="28" t="n"/>
      <c r="M148" s="16">
        <f>SUMIFS(Raw_Events!$H:$H,Raw_Events!$C:$C,$A148,Raw_Events!$G:$G,"IDEA")</f>
        <v/>
      </c>
      <c r="N148" s="16">
        <f>COUNTIFS(Raw_Events!$C:$C,$A148,Raw_Events!$G:$G,"SOCIAL_MEET")</f>
        <v/>
      </c>
      <c r="O148" s="16">
        <f>COUNTIFS(Raw_Events!$C:$C,$A148,Raw_Events!$G:$G,"DATE")</f>
        <v/>
      </c>
      <c r="P148" s="3">
        <f>COUNTIFS(Raw_Events!$C:$C,$A148,Raw_Events!$G:$G,"NEW_ACTIVITY")</f>
        <v/>
      </c>
      <c r="Q148" s="3">
        <f>SUMIFS(Raw_Events!$H:$H,Raw_Events!$C:$C,$A148,Raw_Events!$G:$G,"TRAVEL_NIGHT")</f>
        <v/>
      </c>
      <c r="R148" s="3" t="n"/>
    </row>
    <row r="149" ht="15" customHeight="1">
      <c r="A149" s="14" t="n">
        <v>46169</v>
      </c>
      <c r="B149" s="27">
        <f>SUMIFS(Raw_Events!$H:$H,Raw_Events!$C:$C,$A149,Raw_Events!$G:$G,"SLEEP_HOURS")</f>
        <v/>
      </c>
      <c r="C149" s="16">
        <f>COUNTIFS(Raw_Events!$C:$C,$A149,Raw_Events!$G:$G,"WORKOUT")</f>
        <v/>
      </c>
      <c r="D149" s="28">
        <f>SUMIFS(Raw_Events!$H:$H,Raw_Events!$C:$C,$A149,Raw_Events!$G:$G,"POSTURE_SESSION")</f>
        <v/>
      </c>
      <c r="E149" s="8">
        <f>IF($D149="","",IF($D149&gt;=Settings!$C$17,1,0))</f>
        <v/>
      </c>
      <c r="F149" s="28">
        <f>SUMIFS(Raw_Events!$H:$H,Raw_Events!$C:$C,$A149,Raw_Events!$G:$G,"MINDFULNESS_MIN")</f>
        <v/>
      </c>
      <c r="G149" s="8">
        <f>IF($F149="","",IF($F149&gt;0,1,0))</f>
        <v/>
      </c>
      <c r="H149" s="16">
        <f>SUMIFS(Raw_Events!$H:$H,Raw_Events!$C:$C,$A149,Raw_Events!$G:$G,"CIGARETTES")</f>
        <v/>
      </c>
      <c r="I149" s="29">
        <f>SUMIFS(Raw_Events!$L:$L,Raw_Events!$C:$C,$A149,Raw_Events!$G:$G,"ALCOHOL")</f>
        <v/>
      </c>
      <c r="J149" s="16">
        <f>SUMIFS(Raw_Events!$H:$H,Raw_Events!$C:$C,$A149,Raw_Events!$G:$G,"UNHEALTHY_MEAL")</f>
        <v/>
      </c>
      <c r="K149" s="28">
        <f>SUMIFS(Raw_Events!$H:$H,Raw_Events!$C:$C,$A149,Raw_Events!$G:$G,"TRAINING_MIN")+SUMIFS(Raw_Events!$H:$H,Raw_Events!$C:$C,$A149,Raw_Events!$G:$G,"DICTION_TRAINING_MIN")</f>
        <v/>
      </c>
      <c r="L149" s="28" t="n"/>
      <c r="M149" s="16">
        <f>SUMIFS(Raw_Events!$H:$H,Raw_Events!$C:$C,$A149,Raw_Events!$G:$G,"IDEA")</f>
        <v/>
      </c>
      <c r="N149" s="16">
        <f>COUNTIFS(Raw_Events!$C:$C,$A149,Raw_Events!$G:$G,"SOCIAL_MEET")</f>
        <v/>
      </c>
      <c r="O149" s="16">
        <f>COUNTIFS(Raw_Events!$C:$C,$A149,Raw_Events!$G:$G,"DATE")</f>
        <v/>
      </c>
      <c r="P149" s="3">
        <f>COUNTIFS(Raw_Events!$C:$C,$A149,Raw_Events!$G:$G,"NEW_ACTIVITY")</f>
        <v/>
      </c>
      <c r="Q149" s="3">
        <f>SUMIFS(Raw_Events!$H:$H,Raw_Events!$C:$C,$A149,Raw_Events!$G:$G,"TRAVEL_NIGHT")</f>
        <v/>
      </c>
      <c r="R149" s="3" t="n"/>
    </row>
    <row r="150" ht="15" customHeight="1">
      <c r="A150" s="14" t="n">
        <v>46170</v>
      </c>
      <c r="B150" s="27">
        <f>SUMIFS(Raw_Events!$H:$H,Raw_Events!$C:$C,$A150,Raw_Events!$G:$G,"SLEEP_HOURS")</f>
        <v/>
      </c>
      <c r="C150" s="16">
        <f>COUNTIFS(Raw_Events!$C:$C,$A150,Raw_Events!$G:$G,"WORKOUT")</f>
        <v/>
      </c>
      <c r="D150" s="28">
        <f>SUMIFS(Raw_Events!$H:$H,Raw_Events!$C:$C,$A150,Raw_Events!$G:$G,"POSTURE_SESSION")</f>
        <v/>
      </c>
      <c r="E150" s="8">
        <f>IF($D150="","",IF($D150&gt;=Settings!$C$17,1,0))</f>
        <v/>
      </c>
      <c r="F150" s="28">
        <f>SUMIFS(Raw_Events!$H:$H,Raw_Events!$C:$C,$A150,Raw_Events!$G:$G,"MINDFULNESS_MIN")</f>
        <v/>
      </c>
      <c r="G150" s="8">
        <f>IF($F150="","",IF($F150&gt;0,1,0))</f>
        <v/>
      </c>
      <c r="H150" s="16">
        <f>SUMIFS(Raw_Events!$H:$H,Raw_Events!$C:$C,$A150,Raw_Events!$G:$G,"CIGARETTES")</f>
        <v/>
      </c>
      <c r="I150" s="29">
        <f>SUMIFS(Raw_Events!$L:$L,Raw_Events!$C:$C,$A150,Raw_Events!$G:$G,"ALCOHOL")</f>
        <v/>
      </c>
      <c r="J150" s="16">
        <f>SUMIFS(Raw_Events!$H:$H,Raw_Events!$C:$C,$A150,Raw_Events!$G:$G,"UNHEALTHY_MEAL")</f>
        <v/>
      </c>
      <c r="K150" s="28">
        <f>SUMIFS(Raw_Events!$H:$H,Raw_Events!$C:$C,$A150,Raw_Events!$G:$G,"TRAINING_MIN")+SUMIFS(Raw_Events!$H:$H,Raw_Events!$C:$C,$A150,Raw_Events!$G:$G,"DICTION_TRAINING_MIN")</f>
        <v/>
      </c>
      <c r="L150" s="28" t="n"/>
      <c r="M150" s="16">
        <f>SUMIFS(Raw_Events!$H:$H,Raw_Events!$C:$C,$A150,Raw_Events!$G:$G,"IDEA")</f>
        <v/>
      </c>
      <c r="N150" s="16">
        <f>COUNTIFS(Raw_Events!$C:$C,$A150,Raw_Events!$G:$G,"SOCIAL_MEET")</f>
        <v/>
      </c>
      <c r="O150" s="16">
        <f>COUNTIFS(Raw_Events!$C:$C,$A150,Raw_Events!$G:$G,"DATE")</f>
        <v/>
      </c>
      <c r="P150" s="3">
        <f>COUNTIFS(Raw_Events!$C:$C,$A150,Raw_Events!$G:$G,"NEW_ACTIVITY")</f>
        <v/>
      </c>
      <c r="Q150" s="3">
        <f>SUMIFS(Raw_Events!$H:$H,Raw_Events!$C:$C,$A150,Raw_Events!$G:$G,"TRAVEL_NIGHT")</f>
        <v/>
      </c>
      <c r="R150" s="3" t="n"/>
    </row>
    <row r="151" ht="15" customHeight="1">
      <c r="A151" s="14" t="n">
        <v>46171</v>
      </c>
      <c r="B151" s="27">
        <f>SUMIFS(Raw_Events!$H:$H,Raw_Events!$C:$C,$A151,Raw_Events!$G:$G,"SLEEP_HOURS")</f>
        <v/>
      </c>
      <c r="C151" s="16">
        <f>COUNTIFS(Raw_Events!$C:$C,$A151,Raw_Events!$G:$G,"WORKOUT")</f>
        <v/>
      </c>
      <c r="D151" s="28">
        <f>SUMIFS(Raw_Events!$H:$H,Raw_Events!$C:$C,$A151,Raw_Events!$G:$G,"POSTURE_SESSION")</f>
        <v/>
      </c>
      <c r="E151" s="8">
        <f>IF($D151="","",IF($D151&gt;=Settings!$C$17,1,0))</f>
        <v/>
      </c>
      <c r="F151" s="28">
        <f>SUMIFS(Raw_Events!$H:$H,Raw_Events!$C:$C,$A151,Raw_Events!$G:$G,"MINDFULNESS_MIN")</f>
        <v/>
      </c>
      <c r="G151" s="8">
        <f>IF($F151="","",IF($F151&gt;0,1,0))</f>
        <v/>
      </c>
      <c r="H151" s="16">
        <f>SUMIFS(Raw_Events!$H:$H,Raw_Events!$C:$C,$A151,Raw_Events!$G:$G,"CIGARETTES")</f>
        <v/>
      </c>
      <c r="I151" s="29">
        <f>SUMIFS(Raw_Events!$L:$L,Raw_Events!$C:$C,$A151,Raw_Events!$G:$G,"ALCOHOL")</f>
        <v/>
      </c>
      <c r="J151" s="16">
        <f>SUMIFS(Raw_Events!$H:$H,Raw_Events!$C:$C,$A151,Raw_Events!$G:$G,"UNHEALTHY_MEAL")</f>
        <v/>
      </c>
      <c r="K151" s="28">
        <f>SUMIFS(Raw_Events!$H:$H,Raw_Events!$C:$C,$A151,Raw_Events!$G:$G,"TRAINING_MIN")+SUMIFS(Raw_Events!$H:$H,Raw_Events!$C:$C,$A151,Raw_Events!$G:$G,"DICTION_TRAINING_MIN")</f>
        <v/>
      </c>
      <c r="L151" s="28" t="n"/>
      <c r="M151" s="16">
        <f>SUMIFS(Raw_Events!$H:$H,Raw_Events!$C:$C,$A151,Raw_Events!$G:$G,"IDEA")</f>
        <v/>
      </c>
      <c r="N151" s="16">
        <f>COUNTIFS(Raw_Events!$C:$C,$A151,Raw_Events!$G:$G,"SOCIAL_MEET")</f>
        <v/>
      </c>
      <c r="O151" s="16">
        <f>COUNTIFS(Raw_Events!$C:$C,$A151,Raw_Events!$G:$G,"DATE")</f>
        <v/>
      </c>
      <c r="P151" s="3">
        <f>COUNTIFS(Raw_Events!$C:$C,$A151,Raw_Events!$G:$G,"NEW_ACTIVITY")</f>
        <v/>
      </c>
      <c r="Q151" s="3">
        <f>SUMIFS(Raw_Events!$H:$H,Raw_Events!$C:$C,$A151,Raw_Events!$G:$G,"TRAVEL_NIGHT")</f>
        <v/>
      </c>
      <c r="R151" s="3" t="n"/>
    </row>
    <row r="152" ht="15" customHeight="1">
      <c r="A152" s="14" t="n">
        <v>46172</v>
      </c>
      <c r="B152" s="27">
        <f>SUMIFS(Raw_Events!$H:$H,Raw_Events!$C:$C,$A152,Raw_Events!$G:$G,"SLEEP_HOURS")</f>
        <v/>
      </c>
      <c r="C152" s="16">
        <f>COUNTIFS(Raw_Events!$C:$C,$A152,Raw_Events!$G:$G,"WORKOUT")</f>
        <v/>
      </c>
      <c r="D152" s="28">
        <f>SUMIFS(Raw_Events!$H:$H,Raw_Events!$C:$C,$A152,Raw_Events!$G:$G,"POSTURE_SESSION")</f>
        <v/>
      </c>
      <c r="E152" s="8">
        <f>IF($D152="","",IF($D152&gt;=Settings!$C$17,1,0))</f>
        <v/>
      </c>
      <c r="F152" s="28">
        <f>SUMIFS(Raw_Events!$H:$H,Raw_Events!$C:$C,$A152,Raw_Events!$G:$G,"MINDFULNESS_MIN")</f>
        <v/>
      </c>
      <c r="G152" s="8">
        <f>IF($F152="","",IF($F152&gt;0,1,0))</f>
        <v/>
      </c>
      <c r="H152" s="16">
        <f>SUMIFS(Raw_Events!$H:$H,Raw_Events!$C:$C,$A152,Raw_Events!$G:$G,"CIGARETTES")</f>
        <v/>
      </c>
      <c r="I152" s="29">
        <f>SUMIFS(Raw_Events!$L:$L,Raw_Events!$C:$C,$A152,Raw_Events!$G:$G,"ALCOHOL")</f>
        <v/>
      </c>
      <c r="J152" s="16">
        <f>SUMIFS(Raw_Events!$H:$H,Raw_Events!$C:$C,$A152,Raw_Events!$G:$G,"UNHEALTHY_MEAL")</f>
        <v/>
      </c>
      <c r="K152" s="28">
        <f>SUMIFS(Raw_Events!$H:$H,Raw_Events!$C:$C,$A152,Raw_Events!$G:$G,"TRAINING_MIN")+SUMIFS(Raw_Events!$H:$H,Raw_Events!$C:$C,$A152,Raw_Events!$G:$G,"DICTION_TRAINING_MIN")</f>
        <v/>
      </c>
      <c r="L152" s="28" t="n"/>
      <c r="M152" s="16">
        <f>SUMIFS(Raw_Events!$H:$H,Raw_Events!$C:$C,$A152,Raw_Events!$G:$G,"IDEA")</f>
        <v/>
      </c>
      <c r="N152" s="16">
        <f>COUNTIFS(Raw_Events!$C:$C,$A152,Raw_Events!$G:$G,"SOCIAL_MEET")</f>
        <v/>
      </c>
      <c r="O152" s="16">
        <f>COUNTIFS(Raw_Events!$C:$C,$A152,Raw_Events!$G:$G,"DATE")</f>
        <v/>
      </c>
      <c r="P152" s="3">
        <f>COUNTIFS(Raw_Events!$C:$C,$A152,Raw_Events!$G:$G,"NEW_ACTIVITY")</f>
        <v/>
      </c>
      <c r="Q152" s="3">
        <f>SUMIFS(Raw_Events!$H:$H,Raw_Events!$C:$C,$A152,Raw_Events!$G:$G,"TRAVEL_NIGHT")</f>
        <v/>
      </c>
      <c r="R152" s="3" t="n"/>
    </row>
    <row r="153" ht="15" customHeight="1">
      <c r="A153" s="14" t="n">
        <v>46173</v>
      </c>
      <c r="B153" s="27">
        <f>SUMIFS(Raw_Events!$H:$H,Raw_Events!$C:$C,$A153,Raw_Events!$G:$G,"SLEEP_HOURS")</f>
        <v/>
      </c>
      <c r="C153" s="16">
        <f>COUNTIFS(Raw_Events!$C:$C,$A153,Raw_Events!$G:$G,"WORKOUT")</f>
        <v/>
      </c>
      <c r="D153" s="28">
        <f>SUMIFS(Raw_Events!$H:$H,Raw_Events!$C:$C,$A153,Raw_Events!$G:$G,"POSTURE_SESSION")</f>
        <v/>
      </c>
      <c r="E153" s="8">
        <f>IF($D153="","",IF($D153&gt;=Settings!$C$17,1,0))</f>
        <v/>
      </c>
      <c r="F153" s="28">
        <f>SUMIFS(Raw_Events!$H:$H,Raw_Events!$C:$C,$A153,Raw_Events!$G:$G,"MINDFULNESS_MIN")</f>
        <v/>
      </c>
      <c r="G153" s="8">
        <f>IF($F153="","",IF($F153&gt;0,1,0))</f>
        <v/>
      </c>
      <c r="H153" s="16">
        <f>SUMIFS(Raw_Events!$H:$H,Raw_Events!$C:$C,$A153,Raw_Events!$G:$G,"CIGARETTES")</f>
        <v/>
      </c>
      <c r="I153" s="29">
        <f>SUMIFS(Raw_Events!$L:$L,Raw_Events!$C:$C,$A153,Raw_Events!$G:$G,"ALCOHOL")</f>
        <v/>
      </c>
      <c r="J153" s="16">
        <f>SUMIFS(Raw_Events!$H:$H,Raw_Events!$C:$C,$A153,Raw_Events!$G:$G,"UNHEALTHY_MEAL")</f>
        <v/>
      </c>
      <c r="K153" s="28">
        <f>SUMIFS(Raw_Events!$H:$H,Raw_Events!$C:$C,$A153,Raw_Events!$G:$G,"TRAINING_MIN")+SUMIFS(Raw_Events!$H:$H,Raw_Events!$C:$C,$A153,Raw_Events!$G:$G,"DICTION_TRAINING_MIN")</f>
        <v/>
      </c>
      <c r="L153" s="28" t="n"/>
      <c r="M153" s="16">
        <f>SUMIFS(Raw_Events!$H:$H,Raw_Events!$C:$C,$A153,Raw_Events!$G:$G,"IDEA")</f>
        <v/>
      </c>
      <c r="N153" s="16">
        <f>COUNTIFS(Raw_Events!$C:$C,$A153,Raw_Events!$G:$G,"SOCIAL_MEET")</f>
        <v/>
      </c>
      <c r="O153" s="16">
        <f>COUNTIFS(Raw_Events!$C:$C,$A153,Raw_Events!$G:$G,"DATE")</f>
        <v/>
      </c>
      <c r="P153" s="3">
        <f>COUNTIFS(Raw_Events!$C:$C,$A153,Raw_Events!$G:$G,"NEW_ACTIVITY")</f>
        <v/>
      </c>
      <c r="Q153" s="3">
        <f>SUMIFS(Raw_Events!$H:$H,Raw_Events!$C:$C,$A153,Raw_Events!$G:$G,"TRAVEL_NIGHT")</f>
        <v/>
      </c>
      <c r="R153" s="3" t="n"/>
    </row>
    <row r="154" ht="15" customHeight="1">
      <c r="A154" s="14" t="n">
        <v>46174</v>
      </c>
      <c r="B154" s="27">
        <f>SUMIFS(Raw_Events!$H:$H,Raw_Events!$C:$C,$A154,Raw_Events!$G:$G,"SLEEP_HOURS")</f>
        <v/>
      </c>
      <c r="C154" s="16">
        <f>COUNTIFS(Raw_Events!$C:$C,$A154,Raw_Events!$G:$G,"WORKOUT")</f>
        <v/>
      </c>
      <c r="D154" s="28">
        <f>SUMIFS(Raw_Events!$H:$H,Raw_Events!$C:$C,$A154,Raw_Events!$G:$G,"POSTURE_SESSION")</f>
        <v/>
      </c>
      <c r="E154" s="8">
        <f>IF($D154="","",IF($D154&gt;=Settings!$C$17,1,0))</f>
        <v/>
      </c>
      <c r="F154" s="28">
        <f>SUMIFS(Raw_Events!$H:$H,Raw_Events!$C:$C,$A154,Raw_Events!$G:$G,"MINDFULNESS_MIN")</f>
        <v/>
      </c>
      <c r="G154" s="8">
        <f>IF($F154="","",IF($F154&gt;0,1,0))</f>
        <v/>
      </c>
      <c r="H154" s="16">
        <f>SUMIFS(Raw_Events!$H:$H,Raw_Events!$C:$C,$A154,Raw_Events!$G:$G,"CIGARETTES")</f>
        <v/>
      </c>
      <c r="I154" s="29">
        <f>SUMIFS(Raw_Events!$L:$L,Raw_Events!$C:$C,$A154,Raw_Events!$G:$G,"ALCOHOL")</f>
        <v/>
      </c>
      <c r="J154" s="16">
        <f>SUMIFS(Raw_Events!$H:$H,Raw_Events!$C:$C,$A154,Raw_Events!$G:$G,"UNHEALTHY_MEAL")</f>
        <v/>
      </c>
      <c r="K154" s="28">
        <f>SUMIFS(Raw_Events!$H:$H,Raw_Events!$C:$C,$A154,Raw_Events!$G:$G,"TRAINING_MIN")+SUMIFS(Raw_Events!$H:$H,Raw_Events!$C:$C,$A154,Raw_Events!$G:$G,"DICTION_TRAINING_MIN")</f>
        <v/>
      </c>
      <c r="L154" s="28" t="n"/>
      <c r="M154" s="16">
        <f>SUMIFS(Raw_Events!$H:$H,Raw_Events!$C:$C,$A154,Raw_Events!$G:$G,"IDEA")</f>
        <v/>
      </c>
      <c r="N154" s="16">
        <f>COUNTIFS(Raw_Events!$C:$C,$A154,Raw_Events!$G:$G,"SOCIAL_MEET")</f>
        <v/>
      </c>
      <c r="O154" s="16">
        <f>COUNTIFS(Raw_Events!$C:$C,$A154,Raw_Events!$G:$G,"DATE")</f>
        <v/>
      </c>
      <c r="P154" s="3">
        <f>COUNTIFS(Raw_Events!$C:$C,$A154,Raw_Events!$G:$G,"NEW_ACTIVITY")</f>
        <v/>
      </c>
      <c r="Q154" s="3">
        <f>SUMIFS(Raw_Events!$H:$H,Raw_Events!$C:$C,$A154,Raw_Events!$G:$G,"TRAVEL_NIGHT")</f>
        <v/>
      </c>
      <c r="R154" s="3" t="n"/>
    </row>
    <row r="155" ht="15" customHeight="1">
      <c r="A155" s="14" t="n">
        <v>46175</v>
      </c>
      <c r="B155" s="27">
        <f>SUMIFS(Raw_Events!$H:$H,Raw_Events!$C:$C,$A155,Raw_Events!$G:$G,"SLEEP_HOURS")</f>
        <v/>
      </c>
      <c r="C155" s="16">
        <f>COUNTIFS(Raw_Events!$C:$C,$A155,Raw_Events!$G:$G,"WORKOUT")</f>
        <v/>
      </c>
      <c r="D155" s="28">
        <f>SUMIFS(Raw_Events!$H:$H,Raw_Events!$C:$C,$A155,Raw_Events!$G:$G,"POSTURE_SESSION")</f>
        <v/>
      </c>
      <c r="E155" s="8">
        <f>IF($D155="","",IF($D155&gt;=Settings!$C$17,1,0))</f>
        <v/>
      </c>
      <c r="F155" s="28">
        <f>SUMIFS(Raw_Events!$H:$H,Raw_Events!$C:$C,$A155,Raw_Events!$G:$G,"MINDFULNESS_MIN")</f>
        <v/>
      </c>
      <c r="G155" s="8">
        <f>IF($F155="","",IF($F155&gt;0,1,0))</f>
        <v/>
      </c>
      <c r="H155" s="16">
        <f>SUMIFS(Raw_Events!$H:$H,Raw_Events!$C:$C,$A155,Raw_Events!$G:$G,"CIGARETTES")</f>
        <v/>
      </c>
      <c r="I155" s="29">
        <f>SUMIFS(Raw_Events!$L:$L,Raw_Events!$C:$C,$A155,Raw_Events!$G:$G,"ALCOHOL")</f>
        <v/>
      </c>
      <c r="J155" s="16">
        <f>SUMIFS(Raw_Events!$H:$H,Raw_Events!$C:$C,$A155,Raw_Events!$G:$G,"UNHEALTHY_MEAL")</f>
        <v/>
      </c>
      <c r="K155" s="28">
        <f>SUMIFS(Raw_Events!$H:$H,Raw_Events!$C:$C,$A155,Raw_Events!$G:$G,"TRAINING_MIN")+SUMIFS(Raw_Events!$H:$H,Raw_Events!$C:$C,$A155,Raw_Events!$G:$G,"DICTION_TRAINING_MIN")</f>
        <v/>
      </c>
      <c r="L155" s="28" t="n"/>
      <c r="M155" s="16">
        <f>SUMIFS(Raw_Events!$H:$H,Raw_Events!$C:$C,$A155,Raw_Events!$G:$G,"IDEA")</f>
        <v/>
      </c>
      <c r="N155" s="16">
        <f>COUNTIFS(Raw_Events!$C:$C,$A155,Raw_Events!$G:$G,"SOCIAL_MEET")</f>
        <v/>
      </c>
      <c r="O155" s="16">
        <f>COUNTIFS(Raw_Events!$C:$C,$A155,Raw_Events!$G:$G,"DATE")</f>
        <v/>
      </c>
      <c r="P155" s="3">
        <f>COUNTIFS(Raw_Events!$C:$C,$A155,Raw_Events!$G:$G,"NEW_ACTIVITY")</f>
        <v/>
      </c>
      <c r="Q155" s="3">
        <f>SUMIFS(Raw_Events!$H:$H,Raw_Events!$C:$C,$A155,Raw_Events!$G:$G,"TRAVEL_NIGHT")</f>
        <v/>
      </c>
      <c r="R155" s="3" t="n"/>
    </row>
    <row r="156" ht="15" customHeight="1">
      <c r="A156" s="14" t="n">
        <v>46176</v>
      </c>
      <c r="B156" s="27">
        <f>SUMIFS(Raw_Events!$H:$H,Raw_Events!$C:$C,$A156,Raw_Events!$G:$G,"SLEEP_HOURS")</f>
        <v/>
      </c>
      <c r="C156" s="16">
        <f>COUNTIFS(Raw_Events!$C:$C,$A156,Raw_Events!$G:$G,"WORKOUT")</f>
        <v/>
      </c>
      <c r="D156" s="28">
        <f>SUMIFS(Raw_Events!$H:$H,Raw_Events!$C:$C,$A156,Raw_Events!$G:$G,"POSTURE_SESSION")</f>
        <v/>
      </c>
      <c r="E156" s="8">
        <f>IF($D156="","",IF($D156&gt;=Settings!$C$17,1,0))</f>
        <v/>
      </c>
      <c r="F156" s="28">
        <f>SUMIFS(Raw_Events!$H:$H,Raw_Events!$C:$C,$A156,Raw_Events!$G:$G,"MINDFULNESS_MIN")</f>
        <v/>
      </c>
      <c r="G156" s="8">
        <f>IF($F156="","",IF($F156&gt;0,1,0))</f>
        <v/>
      </c>
      <c r="H156" s="16">
        <f>SUMIFS(Raw_Events!$H:$H,Raw_Events!$C:$C,$A156,Raw_Events!$G:$G,"CIGARETTES")</f>
        <v/>
      </c>
      <c r="I156" s="29">
        <f>SUMIFS(Raw_Events!$L:$L,Raw_Events!$C:$C,$A156,Raw_Events!$G:$G,"ALCOHOL")</f>
        <v/>
      </c>
      <c r="J156" s="16">
        <f>SUMIFS(Raw_Events!$H:$H,Raw_Events!$C:$C,$A156,Raw_Events!$G:$G,"UNHEALTHY_MEAL")</f>
        <v/>
      </c>
      <c r="K156" s="28">
        <f>SUMIFS(Raw_Events!$H:$H,Raw_Events!$C:$C,$A156,Raw_Events!$G:$G,"TRAINING_MIN")+SUMIFS(Raw_Events!$H:$H,Raw_Events!$C:$C,$A156,Raw_Events!$G:$G,"DICTION_TRAINING_MIN")</f>
        <v/>
      </c>
      <c r="L156" s="28" t="n"/>
      <c r="M156" s="16">
        <f>SUMIFS(Raw_Events!$H:$H,Raw_Events!$C:$C,$A156,Raw_Events!$G:$G,"IDEA")</f>
        <v/>
      </c>
      <c r="N156" s="16">
        <f>COUNTIFS(Raw_Events!$C:$C,$A156,Raw_Events!$G:$G,"SOCIAL_MEET")</f>
        <v/>
      </c>
      <c r="O156" s="16">
        <f>COUNTIFS(Raw_Events!$C:$C,$A156,Raw_Events!$G:$G,"DATE")</f>
        <v/>
      </c>
      <c r="P156" s="3">
        <f>COUNTIFS(Raw_Events!$C:$C,$A156,Raw_Events!$G:$G,"NEW_ACTIVITY")</f>
        <v/>
      </c>
      <c r="Q156" s="3">
        <f>SUMIFS(Raw_Events!$H:$H,Raw_Events!$C:$C,$A156,Raw_Events!$G:$G,"TRAVEL_NIGHT")</f>
        <v/>
      </c>
      <c r="R156" s="3" t="n"/>
    </row>
    <row r="157" ht="15" customHeight="1">
      <c r="A157" s="14" t="n">
        <v>46177</v>
      </c>
      <c r="B157" s="27">
        <f>SUMIFS(Raw_Events!$H:$H,Raw_Events!$C:$C,$A157,Raw_Events!$G:$G,"SLEEP_HOURS")</f>
        <v/>
      </c>
      <c r="C157" s="16">
        <f>COUNTIFS(Raw_Events!$C:$C,$A157,Raw_Events!$G:$G,"WORKOUT")</f>
        <v/>
      </c>
      <c r="D157" s="28">
        <f>SUMIFS(Raw_Events!$H:$H,Raw_Events!$C:$C,$A157,Raw_Events!$G:$G,"POSTURE_SESSION")</f>
        <v/>
      </c>
      <c r="E157" s="8">
        <f>IF($D157="","",IF($D157&gt;=Settings!$C$17,1,0))</f>
        <v/>
      </c>
      <c r="F157" s="28">
        <f>SUMIFS(Raw_Events!$H:$H,Raw_Events!$C:$C,$A157,Raw_Events!$G:$G,"MINDFULNESS_MIN")</f>
        <v/>
      </c>
      <c r="G157" s="8">
        <f>IF($F157="","",IF($F157&gt;0,1,0))</f>
        <v/>
      </c>
      <c r="H157" s="16">
        <f>SUMIFS(Raw_Events!$H:$H,Raw_Events!$C:$C,$A157,Raw_Events!$G:$G,"CIGARETTES")</f>
        <v/>
      </c>
      <c r="I157" s="29">
        <f>SUMIFS(Raw_Events!$L:$L,Raw_Events!$C:$C,$A157,Raw_Events!$G:$G,"ALCOHOL")</f>
        <v/>
      </c>
      <c r="J157" s="16">
        <f>SUMIFS(Raw_Events!$H:$H,Raw_Events!$C:$C,$A157,Raw_Events!$G:$G,"UNHEALTHY_MEAL")</f>
        <v/>
      </c>
      <c r="K157" s="28">
        <f>SUMIFS(Raw_Events!$H:$H,Raw_Events!$C:$C,$A157,Raw_Events!$G:$G,"TRAINING_MIN")+SUMIFS(Raw_Events!$H:$H,Raw_Events!$C:$C,$A157,Raw_Events!$G:$G,"DICTION_TRAINING_MIN")</f>
        <v/>
      </c>
      <c r="L157" s="28" t="n"/>
      <c r="M157" s="16">
        <f>SUMIFS(Raw_Events!$H:$H,Raw_Events!$C:$C,$A157,Raw_Events!$G:$G,"IDEA")</f>
        <v/>
      </c>
      <c r="N157" s="16">
        <f>COUNTIFS(Raw_Events!$C:$C,$A157,Raw_Events!$G:$G,"SOCIAL_MEET")</f>
        <v/>
      </c>
      <c r="O157" s="16">
        <f>COUNTIFS(Raw_Events!$C:$C,$A157,Raw_Events!$G:$G,"DATE")</f>
        <v/>
      </c>
      <c r="P157" s="3">
        <f>COUNTIFS(Raw_Events!$C:$C,$A157,Raw_Events!$G:$G,"NEW_ACTIVITY")</f>
        <v/>
      </c>
      <c r="Q157" s="3">
        <f>SUMIFS(Raw_Events!$H:$H,Raw_Events!$C:$C,$A157,Raw_Events!$G:$G,"TRAVEL_NIGHT")</f>
        <v/>
      </c>
      <c r="R157" s="3" t="n"/>
    </row>
    <row r="158" ht="15" customHeight="1">
      <c r="A158" s="14" t="n">
        <v>46178</v>
      </c>
      <c r="B158" s="27">
        <f>SUMIFS(Raw_Events!$H:$H,Raw_Events!$C:$C,$A158,Raw_Events!$G:$G,"SLEEP_HOURS")</f>
        <v/>
      </c>
      <c r="C158" s="16">
        <f>COUNTIFS(Raw_Events!$C:$C,$A158,Raw_Events!$G:$G,"WORKOUT")</f>
        <v/>
      </c>
      <c r="D158" s="28">
        <f>SUMIFS(Raw_Events!$H:$H,Raw_Events!$C:$C,$A158,Raw_Events!$G:$G,"POSTURE_SESSION")</f>
        <v/>
      </c>
      <c r="E158" s="8">
        <f>IF($D158="","",IF($D158&gt;=Settings!$C$17,1,0))</f>
        <v/>
      </c>
      <c r="F158" s="28">
        <f>SUMIFS(Raw_Events!$H:$H,Raw_Events!$C:$C,$A158,Raw_Events!$G:$G,"MINDFULNESS_MIN")</f>
        <v/>
      </c>
      <c r="G158" s="8">
        <f>IF($F158="","",IF($F158&gt;0,1,0))</f>
        <v/>
      </c>
      <c r="H158" s="16">
        <f>SUMIFS(Raw_Events!$H:$H,Raw_Events!$C:$C,$A158,Raw_Events!$G:$G,"CIGARETTES")</f>
        <v/>
      </c>
      <c r="I158" s="29">
        <f>SUMIFS(Raw_Events!$L:$L,Raw_Events!$C:$C,$A158,Raw_Events!$G:$G,"ALCOHOL")</f>
        <v/>
      </c>
      <c r="J158" s="16">
        <f>SUMIFS(Raw_Events!$H:$H,Raw_Events!$C:$C,$A158,Raw_Events!$G:$G,"UNHEALTHY_MEAL")</f>
        <v/>
      </c>
      <c r="K158" s="28">
        <f>SUMIFS(Raw_Events!$H:$H,Raw_Events!$C:$C,$A158,Raw_Events!$G:$G,"TRAINING_MIN")+SUMIFS(Raw_Events!$H:$H,Raw_Events!$C:$C,$A158,Raw_Events!$G:$G,"DICTION_TRAINING_MIN")</f>
        <v/>
      </c>
      <c r="L158" s="28" t="n"/>
      <c r="M158" s="16">
        <f>SUMIFS(Raw_Events!$H:$H,Raw_Events!$C:$C,$A158,Raw_Events!$G:$G,"IDEA")</f>
        <v/>
      </c>
      <c r="N158" s="16">
        <f>COUNTIFS(Raw_Events!$C:$C,$A158,Raw_Events!$G:$G,"SOCIAL_MEET")</f>
        <v/>
      </c>
      <c r="O158" s="16">
        <f>COUNTIFS(Raw_Events!$C:$C,$A158,Raw_Events!$G:$G,"DATE")</f>
        <v/>
      </c>
      <c r="P158" s="3">
        <f>COUNTIFS(Raw_Events!$C:$C,$A158,Raw_Events!$G:$G,"NEW_ACTIVITY")</f>
        <v/>
      </c>
      <c r="Q158" s="3">
        <f>SUMIFS(Raw_Events!$H:$H,Raw_Events!$C:$C,$A158,Raw_Events!$G:$G,"TRAVEL_NIGHT")</f>
        <v/>
      </c>
      <c r="R158" s="3" t="n"/>
    </row>
    <row r="159" ht="15" customHeight="1">
      <c r="A159" s="14" t="n">
        <v>46179</v>
      </c>
      <c r="B159" s="27">
        <f>SUMIFS(Raw_Events!$H:$H,Raw_Events!$C:$C,$A159,Raw_Events!$G:$G,"SLEEP_HOURS")</f>
        <v/>
      </c>
      <c r="C159" s="16">
        <f>COUNTIFS(Raw_Events!$C:$C,$A159,Raw_Events!$G:$G,"WORKOUT")</f>
        <v/>
      </c>
      <c r="D159" s="28">
        <f>SUMIFS(Raw_Events!$H:$H,Raw_Events!$C:$C,$A159,Raw_Events!$G:$G,"POSTURE_SESSION")</f>
        <v/>
      </c>
      <c r="E159" s="8">
        <f>IF($D159="","",IF($D159&gt;=Settings!$C$17,1,0))</f>
        <v/>
      </c>
      <c r="F159" s="28">
        <f>SUMIFS(Raw_Events!$H:$H,Raw_Events!$C:$C,$A159,Raw_Events!$G:$G,"MINDFULNESS_MIN")</f>
        <v/>
      </c>
      <c r="G159" s="8">
        <f>IF($F159="","",IF($F159&gt;0,1,0))</f>
        <v/>
      </c>
      <c r="H159" s="16">
        <f>SUMIFS(Raw_Events!$H:$H,Raw_Events!$C:$C,$A159,Raw_Events!$G:$G,"CIGARETTES")</f>
        <v/>
      </c>
      <c r="I159" s="29">
        <f>SUMIFS(Raw_Events!$L:$L,Raw_Events!$C:$C,$A159,Raw_Events!$G:$G,"ALCOHOL")</f>
        <v/>
      </c>
      <c r="J159" s="16">
        <f>SUMIFS(Raw_Events!$H:$H,Raw_Events!$C:$C,$A159,Raw_Events!$G:$G,"UNHEALTHY_MEAL")</f>
        <v/>
      </c>
      <c r="K159" s="28">
        <f>SUMIFS(Raw_Events!$H:$H,Raw_Events!$C:$C,$A159,Raw_Events!$G:$G,"TRAINING_MIN")+SUMIFS(Raw_Events!$H:$H,Raw_Events!$C:$C,$A159,Raw_Events!$G:$G,"DICTION_TRAINING_MIN")</f>
        <v/>
      </c>
      <c r="L159" s="28" t="n"/>
      <c r="M159" s="16">
        <f>SUMIFS(Raw_Events!$H:$H,Raw_Events!$C:$C,$A159,Raw_Events!$G:$G,"IDEA")</f>
        <v/>
      </c>
      <c r="N159" s="16">
        <f>COUNTIFS(Raw_Events!$C:$C,$A159,Raw_Events!$G:$G,"SOCIAL_MEET")</f>
        <v/>
      </c>
      <c r="O159" s="16">
        <f>COUNTIFS(Raw_Events!$C:$C,$A159,Raw_Events!$G:$G,"DATE")</f>
        <v/>
      </c>
      <c r="P159" s="3">
        <f>COUNTIFS(Raw_Events!$C:$C,$A159,Raw_Events!$G:$G,"NEW_ACTIVITY")</f>
        <v/>
      </c>
      <c r="Q159" s="3">
        <f>SUMIFS(Raw_Events!$H:$H,Raw_Events!$C:$C,$A159,Raw_Events!$G:$G,"TRAVEL_NIGHT")</f>
        <v/>
      </c>
      <c r="R159" s="3" t="n"/>
    </row>
    <row r="160" ht="15" customHeight="1">
      <c r="A160" s="14" t="n">
        <v>46180</v>
      </c>
      <c r="B160" s="27">
        <f>SUMIFS(Raw_Events!$H:$H,Raw_Events!$C:$C,$A160,Raw_Events!$G:$G,"SLEEP_HOURS")</f>
        <v/>
      </c>
      <c r="C160" s="16">
        <f>COUNTIFS(Raw_Events!$C:$C,$A160,Raw_Events!$G:$G,"WORKOUT")</f>
        <v/>
      </c>
      <c r="D160" s="28">
        <f>SUMIFS(Raw_Events!$H:$H,Raw_Events!$C:$C,$A160,Raw_Events!$G:$G,"POSTURE_SESSION")</f>
        <v/>
      </c>
      <c r="E160" s="8">
        <f>IF($D160="","",IF($D160&gt;=Settings!$C$17,1,0))</f>
        <v/>
      </c>
      <c r="F160" s="28">
        <f>SUMIFS(Raw_Events!$H:$H,Raw_Events!$C:$C,$A160,Raw_Events!$G:$G,"MINDFULNESS_MIN")</f>
        <v/>
      </c>
      <c r="G160" s="8">
        <f>IF($F160="","",IF($F160&gt;0,1,0))</f>
        <v/>
      </c>
      <c r="H160" s="16">
        <f>SUMIFS(Raw_Events!$H:$H,Raw_Events!$C:$C,$A160,Raw_Events!$G:$G,"CIGARETTES")</f>
        <v/>
      </c>
      <c r="I160" s="29">
        <f>SUMIFS(Raw_Events!$L:$L,Raw_Events!$C:$C,$A160,Raw_Events!$G:$G,"ALCOHOL")</f>
        <v/>
      </c>
      <c r="J160" s="16">
        <f>SUMIFS(Raw_Events!$H:$H,Raw_Events!$C:$C,$A160,Raw_Events!$G:$G,"UNHEALTHY_MEAL")</f>
        <v/>
      </c>
      <c r="K160" s="28">
        <f>SUMIFS(Raw_Events!$H:$H,Raw_Events!$C:$C,$A160,Raw_Events!$G:$G,"TRAINING_MIN")+SUMIFS(Raw_Events!$H:$H,Raw_Events!$C:$C,$A160,Raw_Events!$G:$G,"DICTION_TRAINING_MIN")</f>
        <v/>
      </c>
      <c r="L160" s="28" t="n"/>
      <c r="M160" s="16">
        <f>SUMIFS(Raw_Events!$H:$H,Raw_Events!$C:$C,$A160,Raw_Events!$G:$G,"IDEA")</f>
        <v/>
      </c>
      <c r="N160" s="16">
        <f>COUNTIFS(Raw_Events!$C:$C,$A160,Raw_Events!$G:$G,"SOCIAL_MEET")</f>
        <v/>
      </c>
      <c r="O160" s="16">
        <f>COUNTIFS(Raw_Events!$C:$C,$A160,Raw_Events!$G:$G,"DATE")</f>
        <v/>
      </c>
      <c r="P160" s="3">
        <f>COUNTIFS(Raw_Events!$C:$C,$A160,Raw_Events!$G:$G,"NEW_ACTIVITY")</f>
        <v/>
      </c>
      <c r="Q160" s="3">
        <f>SUMIFS(Raw_Events!$H:$H,Raw_Events!$C:$C,$A160,Raw_Events!$G:$G,"TRAVEL_NIGHT")</f>
        <v/>
      </c>
      <c r="R160" s="3" t="n"/>
    </row>
    <row r="161" ht="15" customHeight="1">
      <c r="A161" s="14" t="n">
        <v>46181</v>
      </c>
      <c r="B161" s="27">
        <f>SUMIFS(Raw_Events!$H:$H,Raw_Events!$C:$C,$A161,Raw_Events!$G:$G,"SLEEP_HOURS")</f>
        <v/>
      </c>
      <c r="C161" s="16">
        <f>COUNTIFS(Raw_Events!$C:$C,$A161,Raw_Events!$G:$G,"WORKOUT")</f>
        <v/>
      </c>
      <c r="D161" s="28">
        <f>SUMIFS(Raw_Events!$H:$H,Raw_Events!$C:$C,$A161,Raw_Events!$G:$G,"POSTURE_SESSION")</f>
        <v/>
      </c>
      <c r="E161" s="8">
        <f>IF($D161="","",IF($D161&gt;=Settings!$C$17,1,0))</f>
        <v/>
      </c>
      <c r="F161" s="28">
        <f>SUMIFS(Raw_Events!$H:$H,Raw_Events!$C:$C,$A161,Raw_Events!$G:$G,"MINDFULNESS_MIN")</f>
        <v/>
      </c>
      <c r="G161" s="8">
        <f>IF($F161="","",IF($F161&gt;0,1,0))</f>
        <v/>
      </c>
      <c r="H161" s="16">
        <f>SUMIFS(Raw_Events!$H:$H,Raw_Events!$C:$C,$A161,Raw_Events!$G:$G,"CIGARETTES")</f>
        <v/>
      </c>
      <c r="I161" s="29">
        <f>SUMIFS(Raw_Events!$L:$L,Raw_Events!$C:$C,$A161,Raw_Events!$G:$G,"ALCOHOL")</f>
        <v/>
      </c>
      <c r="J161" s="16">
        <f>SUMIFS(Raw_Events!$H:$H,Raw_Events!$C:$C,$A161,Raw_Events!$G:$G,"UNHEALTHY_MEAL")</f>
        <v/>
      </c>
      <c r="K161" s="28">
        <f>SUMIFS(Raw_Events!$H:$H,Raw_Events!$C:$C,$A161,Raw_Events!$G:$G,"TRAINING_MIN")+SUMIFS(Raw_Events!$H:$H,Raw_Events!$C:$C,$A161,Raw_Events!$G:$G,"DICTION_TRAINING_MIN")</f>
        <v/>
      </c>
      <c r="L161" s="28" t="n"/>
      <c r="M161" s="16">
        <f>SUMIFS(Raw_Events!$H:$H,Raw_Events!$C:$C,$A161,Raw_Events!$G:$G,"IDEA")</f>
        <v/>
      </c>
      <c r="N161" s="16">
        <f>COUNTIFS(Raw_Events!$C:$C,$A161,Raw_Events!$G:$G,"SOCIAL_MEET")</f>
        <v/>
      </c>
      <c r="O161" s="16">
        <f>COUNTIFS(Raw_Events!$C:$C,$A161,Raw_Events!$G:$G,"DATE")</f>
        <v/>
      </c>
      <c r="P161" s="3">
        <f>COUNTIFS(Raw_Events!$C:$C,$A161,Raw_Events!$G:$G,"NEW_ACTIVITY")</f>
        <v/>
      </c>
      <c r="Q161" s="3">
        <f>SUMIFS(Raw_Events!$H:$H,Raw_Events!$C:$C,$A161,Raw_Events!$G:$G,"TRAVEL_NIGHT")</f>
        <v/>
      </c>
      <c r="R161" s="3" t="n"/>
    </row>
    <row r="162" ht="15" customHeight="1">
      <c r="A162" s="14" t="n">
        <v>46182</v>
      </c>
      <c r="B162" s="27">
        <f>SUMIFS(Raw_Events!$H:$H,Raw_Events!$C:$C,$A162,Raw_Events!$G:$G,"SLEEP_HOURS")</f>
        <v/>
      </c>
      <c r="C162" s="16">
        <f>COUNTIFS(Raw_Events!$C:$C,$A162,Raw_Events!$G:$G,"WORKOUT")</f>
        <v/>
      </c>
      <c r="D162" s="28">
        <f>SUMIFS(Raw_Events!$H:$H,Raw_Events!$C:$C,$A162,Raw_Events!$G:$G,"POSTURE_SESSION")</f>
        <v/>
      </c>
      <c r="E162" s="8">
        <f>IF($D162="","",IF($D162&gt;=Settings!$C$17,1,0))</f>
        <v/>
      </c>
      <c r="F162" s="28">
        <f>SUMIFS(Raw_Events!$H:$H,Raw_Events!$C:$C,$A162,Raw_Events!$G:$G,"MINDFULNESS_MIN")</f>
        <v/>
      </c>
      <c r="G162" s="8">
        <f>IF($F162="","",IF($F162&gt;0,1,0))</f>
        <v/>
      </c>
      <c r="H162" s="16">
        <f>SUMIFS(Raw_Events!$H:$H,Raw_Events!$C:$C,$A162,Raw_Events!$G:$G,"CIGARETTES")</f>
        <v/>
      </c>
      <c r="I162" s="29">
        <f>SUMIFS(Raw_Events!$L:$L,Raw_Events!$C:$C,$A162,Raw_Events!$G:$G,"ALCOHOL")</f>
        <v/>
      </c>
      <c r="J162" s="16">
        <f>SUMIFS(Raw_Events!$H:$H,Raw_Events!$C:$C,$A162,Raw_Events!$G:$G,"UNHEALTHY_MEAL")</f>
        <v/>
      </c>
      <c r="K162" s="28">
        <f>SUMIFS(Raw_Events!$H:$H,Raw_Events!$C:$C,$A162,Raw_Events!$G:$G,"TRAINING_MIN")+SUMIFS(Raw_Events!$H:$H,Raw_Events!$C:$C,$A162,Raw_Events!$G:$G,"DICTION_TRAINING_MIN")</f>
        <v/>
      </c>
      <c r="L162" s="28" t="n"/>
      <c r="M162" s="16">
        <f>SUMIFS(Raw_Events!$H:$H,Raw_Events!$C:$C,$A162,Raw_Events!$G:$G,"IDEA")</f>
        <v/>
      </c>
      <c r="N162" s="16">
        <f>COUNTIFS(Raw_Events!$C:$C,$A162,Raw_Events!$G:$G,"SOCIAL_MEET")</f>
        <v/>
      </c>
      <c r="O162" s="16">
        <f>COUNTIFS(Raw_Events!$C:$C,$A162,Raw_Events!$G:$G,"DATE")</f>
        <v/>
      </c>
      <c r="P162" s="3">
        <f>COUNTIFS(Raw_Events!$C:$C,$A162,Raw_Events!$G:$G,"NEW_ACTIVITY")</f>
        <v/>
      </c>
      <c r="Q162" s="3">
        <f>SUMIFS(Raw_Events!$H:$H,Raw_Events!$C:$C,$A162,Raw_Events!$G:$G,"TRAVEL_NIGHT")</f>
        <v/>
      </c>
      <c r="R162" s="3" t="n"/>
    </row>
    <row r="163" ht="15" customHeight="1">
      <c r="A163" s="14" t="n">
        <v>46183</v>
      </c>
      <c r="B163" s="27">
        <f>SUMIFS(Raw_Events!$H:$H,Raw_Events!$C:$C,$A163,Raw_Events!$G:$G,"SLEEP_HOURS")</f>
        <v/>
      </c>
      <c r="C163" s="16">
        <f>COUNTIFS(Raw_Events!$C:$C,$A163,Raw_Events!$G:$G,"WORKOUT")</f>
        <v/>
      </c>
      <c r="D163" s="28">
        <f>SUMIFS(Raw_Events!$H:$H,Raw_Events!$C:$C,$A163,Raw_Events!$G:$G,"POSTURE_SESSION")</f>
        <v/>
      </c>
      <c r="E163" s="8">
        <f>IF($D163="","",IF($D163&gt;=Settings!$C$17,1,0))</f>
        <v/>
      </c>
      <c r="F163" s="28">
        <f>SUMIFS(Raw_Events!$H:$H,Raw_Events!$C:$C,$A163,Raw_Events!$G:$G,"MINDFULNESS_MIN")</f>
        <v/>
      </c>
      <c r="G163" s="8">
        <f>IF($F163="","",IF($F163&gt;0,1,0))</f>
        <v/>
      </c>
      <c r="H163" s="16">
        <f>SUMIFS(Raw_Events!$H:$H,Raw_Events!$C:$C,$A163,Raw_Events!$G:$G,"CIGARETTES")</f>
        <v/>
      </c>
      <c r="I163" s="29">
        <f>SUMIFS(Raw_Events!$L:$L,Raw_Events!$C:$C,$A163,Raw_Events!$G:$G,"ALCOHOL")</f>
        <v/>
      </c>
      <c r="J163" s="16">
        <f>SUMIFS(Raw_Events!$H:$H,Raw_Events!$C:$C,$A163,Raw_Events!$G:$G,"UNHEALTHY_MEAL")</f>
        <v/>
      </c>
      <c r="K163" s="28">
        <f>SUMIFS(Raw_Events!$H:$H,Raw_Events!$C:$C,$A163,Raw_Events!$G:$G,"TRAINING_MIN")+SUMIFS(Raw_Events!$H:$H,Raw_Events!$C:$C,$A163,Raw_Events!$G:$G,"DICTION_TRAINING_MIN")</f>
        <v/>
      </c>
      <c r="L163" s="28" t="n"/>
      <c r="M163" s="16">
        <f>SUMIFS(Raw_Events!$H:$H,Raw_Events!$C:$C,$A163,Raw_Events!$G:$G,"IDEA")</f>
        <v/>
      </c>
      <c r="N163" s="16">
        <f>COUNTIFS(Raw_Events!$C:$C,$A163,Raw_Events!$G:$G,"SOCIAL_MEET")</f>
        <v/>
      </c>
      <c r="O163" s="16">
        <f>COUNTIFS(Raw_Events!$C:$C,$A163,Raw_Events!$G:$G,"DATE")</f>
        <v/>
      </c>
      <c r="P163" s="3">
        <f>COUNTIFS(Raw_Events!$C:$C,$A163,Raw_Events!$G:$G,"NEW_ACTIVITY")</f>
        <v/>
      </c>
      <c r="Q163" s="3">
        <f>SUMIFS(Raw_Events!$H:$H,Raw_Events!$C:$C,$A163,Raw_Events!$G:$G,"TRAVEL_NIGHT")</f>
        <v/>
      </c>
      <c r="R163" s="3" t="n"/>
    </row>
    <row r="164" ht="15" customHeight="1">
      <c r="A164" s="14" t="n">
        <v>46184</v>
      </c>
      <c r="B164" s="27">
        <f>SUMIFS(Raw_Events!$H:$H,Raw_Events!$C:$C,$A164,Raw_Events!$G:$G,"SLEEP_HOURS")</f>
        <v/>
      </c>
      <c r="C164" s="16">
        <f>COUNTIFS(Raw_Events!$C:$C,$A164,Raw_Events!$G:$G,"WORKOUT")</f>
        <v/>
      </c>
      <c r="D164" s="28">
        <f>SUMIFS(Raw_Events!$H:$H,Raw_Events!$C:$C,$A164,Raw_Events!$G:$G,"POSTURE_SESSION")</f>
        <v/>
      </c>
      <c r="E164" s="8">
        <f>IF($D164="","",IF($D164&gt;=Settings!$C$17,1,0))</f>
        <v/>
      </c>
      <c r="F164" s="28">
        <f>SUMIFS(Raw_Events!$H:$H,Raw_Events!$C:$C,$A164,Raw_Events!$G:$G,"MINDFULNESS_MIN")</f>
        <v/>
      </c>
      <c r="G164" s="8">
        <f>IF($F164="","",IF($F164&gt;0,1,0))</f>
        <v/>
      </c>
      <c r="H164" s="16">
        <f>SUMIFS(Raw_Events!$H:$H,Raw_Events!$C:$C,$A164,Raw_Events!$G:$G,"CIGARETTES")</f>
        <v/>
      </c>
      <c r="I164" s="29">
        <f>SUMIFS(Raw_Events!$L:$L,Raw_Events!$C:$C,$A164,Raw_Events!$G:$G,"ALCOHOL")</f>
        <v/>
      </c>
      <c r="J164" s="16">
        <f>SUMIFS(Raw_Events!$H:$H,Raw_Events!$C:$C,$A164,Raw_Events!$G:$G,"UNHEALTHY_MEAL")</f>
        <v/>
      </c>
      <c r="K164" s="28">
        <f>SUMIFS(Raw_Events!$H:$H,Raw_Events!$C:$C,$A164,Raw_Events!$G:$G,"TRAINING_MIN")+SUMIFS(Raw_Events!$H:$H,Raw_Events!$C:$C,$A164,Raw_Events!$G:$G,"DICTION_TRAINING_MIN")</f>
        <v/>
      </c>
      <c r="L164" s="28" t="n"/>
      <c r="M164" s="16">
        <f>SUMIFS(Raw_Events!$H:$H,Raw_Events!$C:$C,$A164,Raw_Events!$G:$G,"IDEA")</f>
        <v/>
      </c>
      <c r="N164" s="16">
        <f>COUNTIFS(Raw_Events!$C:$C,$A164,Raw_Events!$G:$G,"SOCIAL_MEET")</f>
        <v/>
      </c>
      <c r="O164" s="16">
        <f>COUNTIFS(Raw_Events!$C:$C,$A164,Raw_Events!$G:$G,"DATE")</f>
        <v/>
      </c>
      <c r="P164" s="3">
        <f>COUNTIFS(Raw_Events!$C:$C,$A164,Raw_Events!$G:$G,"NEW_ACTIVITY")</f>
        <v/>
      </c>
      <c r="Q164" s="3">
        <f>SUMIFS(Raw_Events!$H:$H,Raw_Events!$C:$C,$A164,Raw_Events!$G:$G,"TRAVEL_NIGHT")</f>
        <v/>
      </c>
      <c r="R164" s="3" t="n"/>
    </row>
    <row r="165" ht="15" customHeight="1">
      <c r="A165" s="14" t="n">
        <v>46185</v>
      </c>
      <c r="B165" s="27">
        <f>SUMIFS(Raw_Events!$H:$H,Raw_Events!$C:$C,$A165,Raw_Events!$G:$G,"SLEEP_HOURS")</f>
        <v/>
      </c>
      <c r="C165" s="16">
        <f>COUNTIFS(Raw_Events!$C:$C,$A165,Raw_Events!$G:$G,"WORKOUT")</f>
        <v/>
      </c>
      <c r="D165" s="28">
        <f>SUMIFS(Raw_Events!$H:$H,Raw_Events!$C:$C,$A165,Raw_Events!$G:$G,"POSTURE_SESSION")</f>
        <v/>
      </c>
      <c r="E165" s="8">
        <f>IF($D165="","",IF($D165&gt;=Settings!$C$17,1,0))</f>
        <v/>
      </c>
      <c r="F165" s="28">
        <f>SUMIFS(Raw_Events!$H:$H,Raw_Events!$C:$C,$A165,Raw_Events!$G:$G,"MINDFULNESS_MIN")</f>
        <v/>
      </c>
      <c r="G165" s="8">
        <f>IF($F165="","",IF($F165&gt;0,1,0))</f>
        <v/>
      </c>
      <c r="H165" s="16">
        <f>SUMIFS(Raw_Events!$H:$H,Raw_Events!$C:$C,$A165,Raw_Events!$G:$G,"CIGARETTES")</f>
        <v/>
      </c>
      <c r="I165" s="29">
        <f>SUMIFS(Raw_Events!$L:$L,Raw_Events!$C:$C,$A165,Raw_Events!$G:$G,"ALCOHOL")</f>
        <v/>
      </c>
      <c r="J165" s="16">
        <f>SUMIFS(Raw_Events!$H:$H,Raw_Events!$C:$C,$A165,Raw_Events!$G:$G,"UNHEALTHY_MEAL")</f>
        <v/>
      </c>
      <c r="K165" s="28">
        <f>SUMIFS(Raw_Events!$H:$H,Raw_Events!$C:$C,$A165,Raw_Events!$G:$G,"TRAINING_MIN")+SUMIFS(Raw_Events!$H:$H,Raw_Events!$C:$C,$A165,Raw_Events!$G:$G,"DICTION_TRAINING_MIN")</f>
        <v/>
      </c>
      <c r="L165" s="28" t="n"/>
      <c r="M165" s="16">
        <f>SUMIFS(Raw_Events!$H:$H,Raw_Events!$C:$C,$A165,Raw_Events!$G:$G,"IDEA")</f>
        <v/>
      </c>
      <c r="N165" s="16">
        <f>COUNTIFS(Raw_Events!$C:$C,$A165,Raw_Events!$G:$G,"SOCIAL_MEET")</f>
        <v/>
      </c>
      <c r="O165" s="16">
        <f>COUNTIFS(Raw_Events!$C:$C,$A165,Raw_Events!$G:$G,"DATE")</f>
        <v/>
      </c>
      <c r="P165" s="3">
        <f>COUNTIFS(Raw_Events!$C:$C,$A165,Raw_Events!$G:$G,"NEW_ACTIVITY")</f>
        <v/>
      </c>
      <c r="Q165" s="3">
        <f>SUMIFS(Raw_Events!$H:$H,Raw_Events!$C:$C,$A165,Raw_Events!$G:$G,"TRAVEL_NIGHT")</f>
        <v/>
      </c>
      <c r="R165" s="3" t="n"/>
    </row>
    <row r="166" ht="15" customHeight="1">
      <c r="A166" s="14" t="n">
        <v>46186</v>
      </c>
      <c r="B166" s="27">
        <f>SUMIFS(Raw_Events!$H:$H,Raw_Events!$C:$C,$A166,Raw_Events!$G:$G,"SLEEP_HOURS")</f>
        <v/>
      </c>
      <c r="C166" s="16">
        <f>COUNTIFS(Raw_Events!$C:$C,$A166,Raw_Events!$G:$G,"WORKOUT")</f>
        <v/>
      </c>
      <c r="D166" s="28">
        <f>SUMIFS(Raw_Events!$H:$H,Raw_Events!$C:$C,$A166,Raw_Events!$G:$G,"POSTURE_SESSION")</f>
        <v/>
      </c>
      <c r="E166" s="8">
        <f>IF($D166="","",IF($D166&gt;=Settings!$C$17,1,0))</f>
        <v/>
      </c>
      <c r="F166" s="28">
        <f>SUMIFS(Raw_Events!$H:$H,Raw_Events!$C:$C,$A166,Raw_Events!$G:$G,"MINDFULNESS_MIN")</f>
        <v/>
      </c>
      <c r="G166" s="8">
        <f>IF($F166="","",IF($F166&gt;0,1,0))</f>
        <v/>
      </c>
      <c r="H166" s="16">
        <f>SUMIFS(Raw_Events!$H:$H,Raw_Events!$C:$C,$A166,Raw_Events!$G:$G,"CIGARETTES")</f>
        <v/>
      </c>
      <c r="I166" s="29">
        <f>SUMIFS(Raw_Events!$L:$L,Raw_Events!$C:$C,$A166,Raw_Events!$G:$G,"ALCOHOL")</f>
        <v/>
      </c>
      <c r="J166" s="16">
        <f>SUMIFS(Raw_Events!$H:$H,Raw_Events!$C:$C,$A166,Raw_Events!$G:$G,"UNHEALTHY_MEAL")</f>
        <v/>
      </c>
      <c r="K166" s="28">
        <f>SUMIFS(Raw_Events!$H:$H,Raw_Events!$C:$C,$A166,Raw_Events!$G:$G,"TRAINING_MIN")+SUMIFS(Raw_Events!$H:$H,Raw_Events!$C:$C,$A166,Raw_Events!$G:$G,"DICTION_TRAINING_MIN")</f>
        <v/>
      </c>
      <c r="L166" s="28" t="n"/>
      <c r="M166" s="16">
        <f>SUMIFS(Raw_Events!$H:$H,Raw_Events!$C:$C,$A166,Raw_Events!$G:$G,"IDEA")</f>
        <v/>
      </c>
      <c r="N166" s="16">
        <f>COUNTIFS(Raw_Events!$C:$C,$A166,Raw_Events!$G:$G,"SOCIAL_MEET")</f>
        <v/>
      </c>
      <c r="O166" s="16">
        <f>COUNTIFS(Raw_Events!$C:$C,$A166,Raw_Events!$G:$G,"DATE")</f>
        <v/>
      </c>
      <c r="P166" s="3">
        <f>COUNTIFS(Raw_Events!$C:$C,$A166,Raw_Events!$G:$G,"NEW_ACTIVITY")</f>
        <v/>
      </c>
      <c r="Q166" s="3">
        <f>SUMIFS(Raw_Events!$H:$H,Raw_Events!$C:$C,$A166,Raw_Events!$G:$G,"TRAVEL_NIGHT")</f>
        <v/>
      </c>
      <c r="R166" s="3" t="n"/>
    </row>
    <row r="167" ht="15" customHeight="1">
      <c r="A167" s="14" t="n">
        <v>46187</v>
      </c>
      <c r="B167" s="27">
        <f>SUMIFS(Raw_Events!$H:$H,Raw_Events!$C:$C,$A167,Raw_Events!$G:$G,"SLEEP_HOURS")</f>
        <v/>
      </c>
      <c r="C167" s="16">
        <f>COUNTIFS(Raw_Events!$C:$C,$A167,Raw_Events!$G:$G,"WORKOUT")</f>
        <v/>
      </c>
      <c r="D167" s="28">
        <f>SUMIFS(Raw_Events!$H:$H,Raw_Events!$C:$C,$A167,Raw_Events!$G:$G,"POSTURE_SESSION")</f>
        <v/>
      </c>
      <c r="E167" s="8">
        <f>IF($D167="","",IF($D167&gt;=Settings!$C$17,1,0))</f>
        <v/>
      </c>
      <c r="F167" s="28">
        <f>SUMIFS(Raw_Events!$H:$H,Raw_Events!$C:$C,$A167,Raw_Events!$G:$G,"MINDFULNESS_MIN")</f>
        <v/>
      </c>
      <c r="G167" s="8">
        <f>IF($F167="","",IF($F167&gt;0,1,0))</f>
        <v/>
      </c>
      <c r="H167" s="16">
        <f>SUMIFS(Raw_Events!$H:$H,Raw_Events!$C:$C,$A167,Raw_Events!$G:$G,"CIGARETTES")</f>
        <v/>
      </c>
      <c r="I167" s="29">
        <f>SUMIFS(Raw_Events!$L:$L,Raw_Events!$C:$C,$A167,Raw_Events!$G:$G,"ALCOHOL")</f>
        <v/>
      </c>
      <c r="J167" s="16">
        <f>SUMIFS(Raw_Events!$H:$H,Raw_Events!$C:$C,$A167,Raw_Events!$G:$G,"UNHEALTHY_MEAL")</f>
        <v/>
      </c>
      <c r="K167" s="28">
        <f>SUMIFS(Raw_Events!$H:$H,Raw_Events!$C:$C,$A167,Raw_Events!$G:$G,"TRAINING_MIN")+SUMIFS(Raw_Events!$H:$H,Raw_Events!$C:$C,$A167,Raw_Events!$G:$G,"DICTION_TRAINING_MIN")</f>
        <v/>
      </c>
      <c r="L167" s="28" t="n"/>
      <c r="M167" s="16">
        <f>SUMIFS(Raw_Events!$H:$H,Raw_Events!$C:$C,$A167,Raw_Events!$G:$G,"IDEA")</f>
        <v/>
      </c>
      <c r="N167" s="16">
        <f>COUNTIFS(Raw_Events!$C:$C,$A167,Raw_Events!$G:$G,"SOCIAL_MEET")</f>
        <v/>
      </c>
      <c r="O167" s="16">
        <f>COUNTIFS(Raw_Events!$C:$C,$A167,Raw_Events!$G:$G,"DATE")</f>
        <v/>
      </c>
      <c r="P167" s="3">
        <f>COUNTIFS(Raw_Events!$C:$C,$A167,Raw_Events!$G:$G,"NEW_ACTIVITY")</f>
        <v/>
      </c>
      <c r="Q167" s="3">
        <f>SUMIFS(Raw_Events!$H:$H,Raw_Events!$C:$C,$A167,Raw_Events!$G:$G,"TRAVEL_NIGHT")</f>
        <v/>
      </c>
      <c r="R167" s="3" t="n"/>
    </row>
    <row r="168" ht="15" customHeight="1">
      <c r="A168" s="14" t="n">
        <v>46188</v>
      </c>
      <c r="B168" s="27">
        <f>SUMIFS(Raw_Events!$H:$H,Raw_Events!$C:$C,$A168,Raw_Events!$G:$G,"SLEEP_HOURS")</f>
        <v/>
      </c>
      <c r="C168" s="16">
        <f>COUNTIFS(Raw_Events!$C:$C,$A168,Raw_Events!$G:$G,"WORKOUT")</f>
        <v/>
      </c>
      <c r="D168" s="28">
        <f>SUMIFS(Raw_Events!$H:$H,Raw_Events!$C:$C,$A168,Raw_Events!$G:$G,"POSTURE_SESSION")</f>
        <v/>
      </c>
      <c r="E168" s="8">
        <f>IF($D168="","",IF($D168&gt;=Settings!$C$17,1,0))</f>
        <v/>
      </c>
      <c r="F168" s="28">
        <f>SUMIFS(Raw_Events!$H:$H,Raw_Events!$C:$C,$A168,Raw_Events!$G:$G,"MINDFULNESS_MIN")</f>
        <v/>
      </c>
      <c r="G168" s="8">
        <f>IF($F168="","",IF($F168&gt;0,1,0))</f>
        <v/>
      </c>
      <c r="H168" s="16">
        <f>SUMIFS(Raw_Events!$H:$H,Raw_Events!$C:$C,$A168,Raw_Events!$G:$G,"CIGARETTES")</f>
        <v/>
      </c>
      <c r="I168" s="29">
        <f>SUMIFS(Raw_Events!$L:$L,Raw_Events!$C:$C,$A168,Raw_Events!$G:$G,"ALCOHOL")</f>
        <v/>
      </c>
      <c r="J168" s="16">
        <f>SUMIFS(Raw_Events!$H:$H,Raw_Events!$C:$C,$A168,Raw_Events!$G:$G,"UNHEALTHY_MEAL")</f>
        <v/>
      </c>
      <c r="K168" s="28">
        <f>SUMIFS(Raw_Events!$H:$H,Raw_Events!$C:$C,$A168,Raw_Events!$G:$G,"TRAINING_MIN")+SUMIFS(Raw_Events!$H:$H,Raw_Events!$C:$C,$A168,Raw_Events!$G:$G,"DICTION_TRAINING_MIN")</f>
        <v/>
      </c>
      <c r="L168" s="28" t="n"/>
      <c r="M168" s="16">
        <f>SUMIFS(Raw_Events!$H:$H,Raw_Events!$C:$C,$A168,Raw_Events!$G:$G,"IDEA")</f>
        <v/>
      </c>
      <c r="N168" s="16">
        <f>COUNTIFS(Raw_Events!$C:$C,$A168,Raw_Events!$G:$G,"SOCIAL_MEET")</f>
        <v/>
      </c>
      <c r="O168" s="16">
        <f>COUNTIFS(Raw_Events!$C:$C,$A168,Raw_Events!$G:$G,"DATE")</f>
        <v/>
      </c>
      <c r="P168" s="3">
        <f>COUNTIFS(Raw_Events!$C:$C,$A168,Raw_Events!$G:$G,"NEW_ACTIVITY")</f>
        <v/>
      </c>
      <c r="Q168" s="3">
        <f>SUMIFS(Raw_Events!$H:$H,Raw_Events!$C:$C,$A168,Raw_Events!$G:$G,"TRAVEL_NIGHT")</f>
        <v/>
      </c>
      <c r="R168" s="3" t="n"/>
    </row>
    <row r="169" ht="15" customHeight="1">
      <c r="A169" s="14" t="n">
        <v>46189</v>
      </c>
      <c r="B169" s="27">
        <f>SUMIFS(Raw_Events!$H:$H,Raw_Events!$C:$C,$A169,Raw_Events!$G:$G,"SLEEP_HOURS")</f>
        <v/>
      </c>
      <c r="C169" s="16">
        <f>COUNTIFS(Raw_Events!$C:$C,$A169,Raw_Events!$G:$G,"WORKOUT")</f>
        <v/>
      </c>
      <c r="D169" s="28">
        <f>SUMIFS(Raw_Events!$H:$H,Raw_Events!$C:$C,$A169,Raw_Events!$G:$G,"POSTURE_SESSION")</f>
        <v/>
      </c>
      <c r="E169" s="8">
        <f>IF($D169="","",IF($D169&gt;=Settings!$C$17,1,0))</f>
        <v/>
      </c>
      <c r="F169" s="28">
        <f>SUMIFS(Raw_Events!$H:$H,Raw_Events!$C:$C,$A169,Raw_Events!$G:$G,"MINDFULNESS_MIN")</f>
        <v/>
      </c>
      <c r="G169" s="8">
        <f>IF($F169="","",IF($F169&gt;0,1,0))</f>
        <v/>
      </c>
      <c r="H169" s="16">
        <f>SUMIFS(Raw_Events!$H:$H,Raw_Events!$C:$C,$A169,Raw_Events!$G:$G,"CIGARETTES")</f>
        <v/>
      </c>
      <c r="I169" s="29">
        <f>SUMIFS(Raw_Events!$L:$L,Raw_Events!$C:$C,$A169,Raw_Events!$G:$G,"ALCOHOL")</f>
        <v/>
      </c>
      <c r="J169" s="16">
        <f>SUMIFS(Raw_Events!$H:$H,Raw_Events!$C:$C,$A169,Raw_Events!$G:$G,"UNHEALTHY_MEAL")</f>
        <v/>
      </c>
      <c r="K169" s="28">
        <f>SUMIFS(Raw_Events!$H:$H,Raw_Events!$C:$C,$A169,Raw_Events!$G:$G,"TRAINING_MIN")+SUMIFS(Raw_Events!$H:$H,Raw_Events!$C:$C,$A169,Raw_Events!$G:$G,"DICTION_TRAINING_MIN")</f>
        <v/>
      </c>
      <c r="L169" s="28" t="n"/>
      <c r="M169" s="16">
        <f>SUMIFS(Raw_Events!$H:$H,Raw_Events!$C:$C,$A169,Raw_Events!$G:$G,"IDEA")</f>
        <v/>
      </c>
      <c r="N169" s="16">
        <f>COUNTIFS(Raw_Events!$C:$C,$A169,Raw_Events!$G:$G,"SOCIAL_MEET")</f>
        <v/>
      </c>
      <c r="O169" s="16">
        <f>COUNTIFS(Raw_Events!$C:$C,$A169,Raw_Events!$G:$G,"DATE")</f>
        <v/>
      </c>
      <c r="P169" s="3">
        <f>COUNTIFS(Raw_Events!$C:$C,$A169,Raw_Events!$G:$G,"NEW_ACTIVITY")</f>
        <v/>
      </c>
      <c r="Q169" s="3">
        <f>SUMIFS(Raw_Events!$H:$H,Raw_Events!$C:$C,$A169,Raw_Events!$G:$G,"TRAVEL_NIGHT")</f>
        <v/>
      </c>
      <c r="R169" s="3" t="n"/>
    </row>
    <row r="170" ht="15" customHeight="1">
      <c r="A170" s="14" t="n">
        <v>46190</v>
      </c>
      <c r="B170" s="27">
        <f>SUMIFS(Raw_Events!$H:$H,Raw_Events!$C:$C,$A170,Raw_Events!$G:$G,"SLEEP_HOURS")</f>
        <v/>
      </c>
      <c r="C170" s="16">
        <f>COUNTIFS(Raw_Events!$C:$C,$A170,Raw_Events!$G:$G,"WORKOUT")</f>
        <v/>
      </c>
      <c r="D170" s="28">
        <f>SUMIFS(Raw_Events!$H:$H,Raw_Events!$C:$C,$A170,Raw_Events!$G:$G,"POSTURE_SESSION")</f>
        <v/>
      </c>
      <c r="E170" s="8">
        <f>IF($D170="","",IF($D170&gt;=Settings!$C$17,1,0))</f>
        <v/>
      </c>
      <c r="F170" s="28">
        <f>SUMIFS(Raw_Events!$H:$H,Raw_Events!$C:$C,$A170,Raw_Events!$G:$G,"MINDFULNESS_MIN")</f>
        <v/>
      </c>
      <c r="G170" s="8">
        <f>IF($F170="","",IF($F170&gt;0,1,0))</f>
        <v/>
      </c>
      <c r="H170" s="16">
        <f>SUMIFS(Raw_Events!$H:$H,Raw_Events!$C:$C,$A170,Raw_Events!$G:$G,"CIGARETTES")</f>
        <v/>
      </c>
      <c r="I170" s="29">
        <f>SUMIFS(Raw_Events!$L:$L,Raw_Events!$C:$C,$A170,Raw_Events!$G:$G,"ALCOHOL")</f>
        <v/>
      </c>
      <c r="J170" s="16">
        <f>SUMIFS(Raw_Events!$H:$H,Raw_Events!$C:$C,$A170,Raw_Events!$G:$G,"UNHEALTHY_MEAL")</f>
        <v/>
      </c>
      <c r="K170" s="28">
        <f>SUMIFS(Raw_Events!$H:$H,Raw_Events!$C:$C,$A170,Raw_Events!$G:$G,"TRAINING_MIN")+SUMIFS(Raw_Events!$H:$H,Raw_Events!$C:$C,$A170,Raw_Events!$G:$G,"DICTION_TRAINING_MIN")</f>
        <v/>
      </c>
      <c r="L170" s="28" t="n"/>
      <c r="M170" s="16">
        <f>SUMIFS(Raw_Events!$H:$H,Raw_Events!$C:$C,$A170,Raw_Events!$G:$G,"IDEA")</f>
        <v/>
      </c>
      <c r="N170" s="16">
        <f>COUNTIFS(Raw_Events!$C:$C,$A170,Raw_Events!$G:$G,"SOCIAL_MEET")</f>
        <v/>
      </c>
      <c r="O170" s="16">
        <f>COUNTIFS(Raw_Events!$C:$C,$A170,Raw_Events!$G:$G,"DATE")</f>
        <v/>
      </c>
      <c r="P170" s="3">
        <f>COUNTIFS(Raw_Events!$C:$C,$A170,Raw_Events!$G:$G,"NEW_ACTIVITY")</f>
        <v/>
      </c>
      <c r="Q170" s="3">
        <f>SUMIFS(Raw_Events!$H:$H,Raw_Events!$C:$C,$A170,Raw_Events!$G:$G,"TRAVEL_NIGHT")</f>
        <v/>
      </c>
      <c r="R170" s="3" t="n"/>
    </row>
    <row r="171" ht="15" customHeight="1">
      <c r="A171" s="14" t="n">
        <v>46191</v>
      </c>
      <c r="B171" s="27">
        <f>SUMIFS(Raw_Events!$H:$H,Raw_Events!$C:$C,$A171,Raw_Events!$G:$G,"SLEEP_HOURS")</f>
        <v/>
      </c>
      <c r="C171" s="16">
        <f>COUNTIFS(Raw_Events!$C:$C,$A171,Raw_Events!$G:$G,"WORKOUT")</f>
        <v/>
      </c>
      <c r="D171" s="28">
        <f>SUMIFS(Raw_Events!$H:$H,Raw_Events!$C:$C,$A171,Raw_Events!$G:$G,"POSTURE_SESSION")</f>
        <v/>
      </c>
      <c r="E171" s="8">
        <f>IF($D171="","",IF($D171&gt;=Settings!$C$17,1,0))</f>
        <v/>
      </c>
      <c r="F171" s="28">
        <f>SUMIFS(Raw_Events!$H:$H,Raw_Events!$C:$C,$A171,Raw_Events!$G:$G,"MINDFULNESS_MIN")</f>
        <v/>
      </c>
      <c r="G171" s="8">
        <f>IF($F171="","",IF($F171&gt;0,1,0))</f>
        <v/>
      </c>
      <c r="H171" s="16">
        <f>SUMIFS(Raw_Events!$H:$H,Raw_Events!$C:$C,$A171,Raw_Events!$G:$G,"CIGARETTES")</f>
        <v/>
      </c>
      <c r="I171" s="29">
        <f>SUMIFS(Raw_Events!$L:$L,Raw_Events!$C:$C,$A171,Raw_Events!$G:$G,"ALCOHOL")</f>
        <v/>
      </c>
      <c r="J171" s="16">
        <f>SUMIFS(Raw_Events!$H:$H,Raw_Events!$C:$C,$A171,Raw_Events!$G:$G,"UNHEALTHY_MEAL")</f>
        <v/>
      </c>
      <c r="K171" s="28">
        <f>SUMIFS(Raw_Events!$H:$H,Raw_Events!$C:$C,$A171,Raw_Events!$G:$G,"TRAINING_MIN")+SUMIFS(Raw_Events!$H:$H,Raw_Events!$C:$C,$A171,Raw_Events!$G:$G,"DICTION_TRAINING_MIN")</f>
        <v/>
      </c>
      <c r="L171" s="28" t="n"/>
      <c r="M171" s="16">
        <f>SUMIFS(Raw_Events!$H:$H,Raw_Events!$C:$C,$A171,Raw_Events!$G:$G,"IDEA")</f>
        <v/>
      </c>
      <c r="N171" s="16">
        <f>COUNTIFS(Raw_Events!$C:$C,$A171,Raw_Events!$G:$G,"SOCIAL_MEET")</f>
        <v/>
      </c>
      <c r="O171" s="16">
        <f>COUNTIFS(Raw_Events!$C:$C,$A171,Raw_Events!$G:$G,"DATE")</f>
        <v/>
      </c>
      <c r="P171" s="3">
        <f>COUNTIFS(Raw_Events!$C:$C,$A171,Raw_Events!$G:$G,"NEW_ACTIVITY")</f>
        <v/>
      </c>
      <c r="Q171" s="3">
        <f>SUMIFS(Raw_Events!$H:$H,Raw_Events!$C:$C,$A171,Raw_Events!$G:$G,"TRAVEL_NIGHT")</f>
        <v/>
      </c>
      <c r="R171" s="3" t="n"/>
    </row>
    <row r="172" ht="15" customHeight="1">
      <c r="A172" s="14" t="n">
        <v>46192</v>
      </c>
      <c r="B172" s="27">
        <f>SUMIFS(Raw_Events!$H:$H,Raw_Events!$C:$C,$A172,Raw_Events!$G:$G,"SLEEP_HOURS")</f>
        <v/>
      </c>
      <c r="C172" s="16">
        <f>COUNTIFS(Raw_Events!$C:$C,$A172,Raw_Events!$G:$G,"WORKOUT")</f>
        <v/>
      </c>
      <c r="D172" s="28">
        <f>SUMIFS(Raw_Events!$H:$H,Raw_Events!$C:$C,$A172,Raw_Events!$G:$G,"POSTURE_SESSION")</f>
        <v/>
      </c>
      <c r="E172" s="8">
        <f>IF($D172="","",IF($D172&gt;=Settings!$C$17,1,0))</f>
        <v/>
      </c>
      <c r="F172" s="28">
        <f>SUMIFS(Raw_Events!$H:$H,Raw_Events!$C:$C,$A172,Raw_Events!$G:$G,"MINDFULNESS_MIN")</f>
        <v/>
      </c>
      <c r="G172" s="8">
        <f>IF($F172="","",IF($F172&gt;0,1,0))</f>
        <v/>
      </c>
      <c r="H172" s="16">
        <f>SUMIFS(Raw_Events!$H:$H,Raw_Events!$C:$C,$A172,Raw_Events!$G:$G,"CIGARETTES")</f>
        <v/>
      </c>
      <c r="I172" s="29">
        <f>SUMIFS(Raw_Events!$L:$L,Raw_Events!$C:$C,$A172,Raw_Events!$G:$G,"ALCOHOL")</f>
        <v/>
      </c>
      <c r="J172" s="16">
        <f>SUMIFS(Raw_Events!$H:$H,Raw_Events!$C:$C,$A172,Raw_Events!$G:$G,"UNHEALTHY_MEAL")</f>
        <v/>
      </c>
      <c r="K172" s="28">
        <f>SUMIFS(Raw_Events!$H:$H,Raw_Events!$C:$C,$A172,Raw_Events!$G:$G,"TRAINING_MIN")+SUMIFS(Raw_Events!$H:$H,Raw_Events!$C:$C,$A172,Raw_Events!$G:$G,"DICTION_TRAINING_MIN")</f>
        <v/>
      </c>
      <c r="L172" s="28" t="n"/>
      <c r="M172" s="16">
        <f>SUMIFS(Raw_Events!$H:$H,Raw_Events!$C:$C,$A172,Raw_Events!$G:$G,"IDEA")</f>
        <v/>
      </c>
      <c r="N172" s="16">
        <f>COUNTIFS(Raw_Events!$C:$C,$A172,Raw_Events!$G:$G,"SOCIAL_MEET")</f>
        <v/>
      </c>
      <c r="O172" s="16">
        <f>COUNTIFS(Raw_Events!$C:$C,$A172,Raw_Events!$G:$G,"DATE")</f>
        <v/>
      </c>
      <c r="P172" s="3">
        <f>COUNTIFS(Raw_Events!$C:$C,$A172,Raw_Events!$G:$G,"NEW_ACTIVITY")</f>
        <v/>
      </c>
      <c r="Q172" s="3">
        <f>SUMIFS(Raw_Events!$H:$H,Raw_Events!$C:$C,$A172,Raw_Events!$G:$G,"TRAVEL_NIGHT")</f>
        <v/>
      </c>
      <c r="R172" s="3" t="n"/>
    </row>
    <row r="173" ht="15" customHeight="1">
      <c r="A173" s="14" t="n">
        <v>46193</v>
      </c>
      <c r="B173" s="27">
        <f>SUMIFS(Raw_Events!$H:$H,Raw_Events!$C:$C,$A173,Raw_Events!$G:$G,"SLEEP_HOURS")</f>
        <v/>
      </c>
      <c r="C173" s="16">
        <f>COUNTIFS(Raw_Events!$C:$C,$A173,Raw_Events!$G:$G,"WORKOUT")</f>
        <v/>
      </c>
      <c r="D173" s="28">
        <f>SUMIFS(Raw_Events!$H:$H,Raw_Events!$C:$C,$A173,Raw_Events!$G:$G,"POSTURE_SESSION")</f>
        <v/>
      </c>
      <c r="E173" s="8">
        <f>IF($D173="","",IF($D173&gt;=Settings!$C$17,1,0))</f>
        <v/>
      </c>
      <c r="F173" s="28">
        <f>SUMIFS(Raw_Events!$H:$H,Raw_Events!$C:$C,$A173,Raw_Events!$G:$G,"MINDFULNESS_MIN")</f>
        <v/>
      </c>
      <c r="G173" s="8">
        <f>IF($F173="","",IF($F173&gt;0,1,0))</f>
        <v/>
      </c>
      <c r="H173" s="16">
        <f>SUMIFS(Raw_Events!$H:$H,Raw_Events!$C:$C,$A173,Raw_Events!$G:$G,"CIGARETTES")</f>
        <v/>
      </c>
      <c r="I173" s="29">
        <f>SUMIFS(Raw_Events!$L:$L,Raw_Events!$C:$C,$A173,Raw_Events!$G:$G,"ALCOHOL")</f>
        <v/>
      </c>
      <c r="J173" s="16">
        <f>SUMIFS(Raw_Events!$H:$H,Raw_Events!$C:$C,$A173,Raw_Events!$G:$G,"UNHEALTHY_MEAL")</f>
        <v/>
      </c>
      <c r="K173" s="28">
        <f>SUMIFS(Raw_Events!$H:$H,Raw_Events!$C:$C,$A173,Raw_Events!$G:$G,"TRAINING_MIN")+SUMIFS(Raw_Events!$H:$H,Raw_Events!$C:$C,$A173,Raw_Events!$G:$G,"DICTION_TRAINING_MIN")</f>
        <v/>
      </c>
      <c r="L173" s="28" t="n"/>
      <c r="M173" s="16">
        <f>SUMIFS(Raw_Events!$H:$H,Raw_Events!$C:$C,$A173,Raw_Events!$G:$G,"IDEA")</f>
        <v/>
      </c>
      <c r="N173" s="16">
        <f>COUNTIFS(Raw_Events!$C:$C,$A173,Raw_Events!$G:$G,"SOCIAL_MEET")</f>
        <v/>
      </c>
      <c r="O173" s="16">
        <f>COUNTIFS(Raw_Events!$C:$C,$A173,Raw_Events!$G:$G,"DATE")</f>
        <v/>
      </c>
      <c r="P173" s="3">
        <f>COUNTIFS(Raw_Events!$C:$C,$A173,Raw_Events!$G:$G,"NEW_ACTIVITY")</f>
        <v/>
      </c>
      <c r="Q173" s="3">
        <f>SUMIFS(Raw_Events!$H:$H,Raw_Events!$C:$C,$A173,Raw_Events!$G:$G,"TRAVEL_NIGHT")</f>
        <v/>
      </c>
      <c r="R173" s="3" t="n"/>
    </row>
    <row r="174" ht="15" customHeight="1">
      <c r="A174" s="14" t="n">
        <v>46194</v>
      </c>
      <c r="B174" s="27">
        <f>SUMIFS(Raw_Events!$H:$H,Raw_Events!$C:$C,$A174,Raw_Events!$G:$G,"SLEEP_HOURS")</f>
        <v/>
      </c>
      <c r="C174" s="16">
        <f>COUNTIFS(Raw_Events!$C:$C,$A174,Raw_Events!$G:$G,"WORKOUT")</f>
        <v/>
      </c>
      <c r="D174" s="28">
        <f>SUMIFS(Raw_Events!$H:$H,Raw_Events!$C:$C,$A174,Raw_Events!$G:$G,"POSTURE_SESSION")</f>
        <v/>
      </c>
      <c r="E174" s="8">
        <f>IF($D174="","",IF($D174&gt;=Settings!$C$17,1,0))</f>
        <v/>
      </c>
      <c r="F174" s="28">
        <f>SUMIFS(Raw_Events!$H:$H,Raw_Events!$C:$C,$A174,Raw_Events!$G:$G,"MINDFULNESS_MIN")</f>
        <v/>
      </c>
      <c r="G174" s="8">
        <f>IF($F174="","",IF($F174&gt;0,1,0))</f>
        <v/>
      </c>
      <c r="H174" s="16">
        <f>SUMIFS(Raw_Events!$H:$H,Raw_Events!$C:$C,$A174,Raw_Events!$G:$G,"CIGARETTES")</f>
        <v/>
      </c>
      <c r="I174" s="29">
        <f>SUMIFS(Raw_Events!$L:$L,Raw_Events!$C:$C,$A174,Raw_Events!$G:$G,"ALCOHOL")</f>
        <v/>
      </c>
      <c r="J174" s="16">
        <f>SUMIFS(Raw_Events!$H:$H,Raw_Events!$C:$C,$A174,Raw_Events!$G:$G,"UNHEALTHY_MEAL")</f>
        <v/>
      </c>
      <c r="K174" s="28">
        <f>SUMIFS(Raw_Events!$H:$H,Raw_Events!$C:$C,$A174,Raw_Events!$G:$G,"TRAINING_MIN")+SUMIFS(Raw_Events!$H:$H,Raw_Events!$C:$C,$A174,Raw_Events!$G:$G,"DICTION_TRAINING_MIN")</f>
        <v/>
      </c>
      <c r="L174" s="28" t="n"/>
      <c r="M174" s="16">
        <f>SUMIFS(Raw_Events!$H:$H,Raw_Events!$C:$C,$A174,Raw_Events!$G:$G,"IDEA")</f>
        <v/>
      </c>
      <c r="N174" s="16">
        <f>COUNTIFS(Raw_Events!$C:$C,$A174,Raw_Events!$G:$G,"SOCIAL_MEET")</f>
        <v/>
      </c>
      <c r="O174" s="16">
        <f>COUNTIFS(Raw_Events!$C:$C,$A174,Raw_Events!$G:$G,"DATE")</f>
        <v/>
      </c>
      <c r="P174" s="3">
        <f>COUNTIFS(Raw_Events!$C:$C,$A174,Raw_Events!$G:$G,"NEW_ACTIVITY")</f>
        <v/>
      </c>
      <c r="Q174" s="3">
        <f>SUMIFS(Raw_Events!$H:$H,Raw_Events!$C:$C,$A174,Raw_Events!$G:$G,"TRAVEL_NIGHT")</f>
        <v/>
      </c>
      <c r="R174" s="3" t="n"/>
    </row>
    <row r="175" ht="15" customHeight="1">
      <c r="A175" s="14" t="n">
        <v>46195</v>
      </c>
      <c r="B175" s="27">
        <f>SUMIFS(Raw_Events!$H:$H,Raw_Events!$C:$C,$A175,Raw_Events!$G:$G,"SLEEP_HOURS")</f>
        <v/>
      </c>
      <c r="C175" s="16">
        <f>COUNTIFS(Raw_Events!$C:$C,$A175,Raw_Events!$G:$G,"WORKOUT")</f>
        <v/>
      </c>
      <c r="D175" s="28">
        <f>SUMIFS(Raw_Events!$H:$H,Raw_Events!$C:$C,$A175,Raw_Events!$G:$G,"POSTURE_SESSION")</f>
        <v/>
      </c>
      <c r="E175" s="8">
        <f>IF($D175="","",IF($D175&gt;=Settings!$C$17,1,0))</f>
        <v/>
      </c>
      <c r="F175" s="28">
        <f>SUMIFS(Raw_Events!$H:$H,Raw_Events!$C:$C,$A175,Raw_Events!$G:$G,"MINDFULNESS_MIN")</f>
        <v/>
      </c>
      <c r="G175" s="8">
        <f>IF($F175="","",IF($F175&gt;0,1,0))</f>
        <v/>
      </c>
      <c r="H175" s="16">
        <f>SUMIFS(Raw_Events!$H:$H,Raw_Events!$C:$C,$A175,Raw_Events!$G:$G,"CIGARETTES")</f>
        <v/>
      </c>
      <c r="I175" s="29">
        <f>SUMIFS(Raw_Events!$L:$L,Raw_Events!$C:$C,$A175,Raw_Events!$G:$G,"ALCOHOL")</f>
        <v/>
      </c>
      <c r="J175" s="16">
        <f>SUMIFS(Raw_Events!$H:$H,Raw_Events!$C:$C,$A175,Raw_Events!$G:$G,"UNHEALTHY_MEAL")</f>
        <v/>
      </c>
      <c r="K175" s="28">
        <f>SUMIFS(Raw_Events!$H:$H,Raw_Events!$C:$C,$A175,Raw_Events!$G:$G,"TRAINING_MIN")+SUMIFS(Raw_Events!$H:$H,Raw_Events!$C:$C,$A175,Raw_Events!$G:$G,"DICTION_TRAINING_MIN")</f>
        <v/>
      </c>
      <c r="L175" s="28" t="n"/>
      <c r="M175" s="16">
        <f>SUMIFS(Raw_Events!$H:$H,Raw_Events!$C:$C,$A175,Raw_Events!$G:$G,"IDEA")</f>
        <v/>
      </c>
      <c r="N175" s="16">
        <f>COUNTIFS(Raw_Events!$C:$C,$A175,Raw_Events!$G:$G,"SOCIAL_MEET")</f>
        <v/>
      </c>
      <c r="O175" s="16">
        <f>COUNTIFS(Raw_Events!$C:$C,$A175,Raw_Events!$G:$G,"DATE")</f>
        <v/>
      </c>
      <c r="P175" s="3">
        <f>COUNTIFS(Raw_Events!$C:$C,$A175,Raw_Events!$G:$G,"NEW_ACTIVITY")</f>
        <v/>
      </c>
      <c r="Q175" s="3">
        <f>SUMIFS(Raw_Events!$H:$H,Raw_Events!$C:$C,$A175,Raw_Events!$G:$G,"TRAVEL_NIGHT")</f>
        <v/>
      </c>
      <c r="R175" s="3" t="n"/>
    </row>
    <row r="176" ht="15" customHeight="1">
      <c r="A176" s="14" t="n">
        <v>46196</v>
      </c>
      <c r="B176" s="27">
        <f>SUMIFS(Raw_Events!$H:$H,Raw_Events!$C:$C,$A176,Raw_Events!$G:$G,"SLEEP_HOURS")</f>
        <v/>
      </c>
      <c r="C176" s="16">
        <f>COUNTIFS(Raw_Events!$C:$C,$A176,Raw_Events!$G:$G,"WORKOUT")</f>
        <v/>
      </c>
      <c r="D176" s="28">
        <f>SUMIFS(Raw_Events!$H:$H,Raw_Events!$C:$C,$A176,Raw_Events!$G:$G,"POSTURE_SESSION")</f>
        <v/>
      </c>
      <c r="E176" s="8">
        <f>IF($D176="","",IF($D176&gt;=Settings!$C$17,1,0))</f>
        <v/>
      </c>
      <c r="F176" s="28">
        <f>SUMIFS(Raw_Events!$H:$H,Raw_Events!$C:$C,$A176,Raw_Events!$G:$G,"MINDFULNESS_MIN")</f>
        <v/>
      </c>
      <c r="G176" s="8">
        <f>IF($F176="","",IF($F176&gt;0,1,0))</f>
        <v/>
      </c>
      <c r="H176" s="16">
        <f>SUMIFS(Raw_Events!$H:$H,Raw_Events!$C:$C,$A176,Raw_Events!$G:$G,"CIGARETTES")</f>
        <v/>
      </c>
      <c r="I176" s="29">
        <f>SUMIFS(Raw_Events!$L:$L,Raw_Events!$C:$C,$A176,Raw_Events!$G:$G,"ALCOHOL")</f>
        <v/>
      </c>
      <c r="J176" s="16">
        <f>SUMIFS(Raw_Events!$H:$H,Raw_Events!$C:$C,$A176,Raw_Events!$G:$G,"UNHEALTHY_MEAL")</f>
        <v/>
      </c>
      <c r="K176" s="28">
        <f>SUMIFS(Raw_Events!$H:$H,Raw_Events!$C:$C,$A176,Raw_Events!$G:$G,"TRAINING_MIN")+SUMIFS(Raw_Events!$H:$H,Raw_Events!$C:$C,$A176,Raw_Events!$G:$G,"DICTION_TRAINING_MIN")</f>
        <v/>
      </c>
      <c r="L176" s="28" t="n"/>
      <c r="M176" s="16">
        <f>SUMIFS(Raw_Events!$H:$H,Raw_Events!$C:$C,$A176,Raw_Events!$G:$G,"IDEA")</f>
        <v/>
      </c>
      <c r="N176" s="16">
        <f>COUNTIFS(Raw_Events!$C:$C,$A176,Raw_Events!$G:$G,"SOCIAL_MEET")</f>
        <v/>
      </c>
      <c r="O176" s="16">
        <f>COUNTIFS(Raw_Events!$C:$C,$A176,Raw_Events!$G:$G,"DATE")</f>
        <v/>
      </c>
      <c r="P176" s="3">
        <f>COUNTIFS(Raw_Events!$C:$C,$A176,Raw_Events!$G:$G,"NEW_ACTIVITY")</f>
        <v/>
      </c>
      <c r="Q176" s="3">
        <f>SUMIFS(Raw_Events!$H:$H,Raw_Events!$C:$C,$A176,Raw_Events!$G:$G,"TRAVEL_NIGHT")</f>
        <v/>
      </c>
      <c r="R176" s="3" t="n"/>
    </row>
    <row r="177" ht="15" customHeight="1">
      <c r="A177" s="14" t="n">
        <v>46197</v>
      </c>
      <c r="B177" s="27">
        <f>SUMIFS(Raw_Events!$H:$H,Raw_Events!$C:$C,$A177,Raw_Events!$G:$G,"SLEEP_HOURS")</f>
        <v/>
      </c>
      <c r="C177" s="16">
        <f>COUNTIFS(Raw_Events!$C:$C,$A177,Raw_Events!$G:$G,"WORKOUT")</f>
        <v/>
      </c>
      <c r="D177" s="28">
        <f>SUMIFS(Raw_Events!$H:$H,Raw_Events!$C:$C,$A177,Raw_Events!$G:$G,"POSTURE_SESSION")</f>
        <v/>
      </c>
      <c r="E177" s="8">
        <f>IF($D177="","",IF($D177&gt;=Settings!$C$17,1,0))</f>
        <v/>
      </c>
      <c r="F177" s="28">
        <f>SUMIFS(Raw_Events!$H:$H,Raw_Events!$C:$C,$A177,Raw_Events!$G:$G,"MINDFULNESS_MIN")</f>
        <v/>
      </c>
      <c r="G177" s="8">
        <f>IF($F177="","",IF($F177&gt;0,1,0))</f>
        <v/>
      </c>
      <c r="H177" s="16">
        <f>SUMIFS(Raw_Events!$H:$H,Raw_Events!$C:$C,$A177,Raw_Events!$G:$G,"CIGARETTES")</f>
        <v/>
      </c>
      <c r="I177" s="29">
        <f>SUMIFS(Raw_Events!$L:$L,Raw_Events!$C:$C,$A177,Raw_Events!$G:$G,"ALCOHOL")</f>
        <v/>
      </c>
      <c r="J177" s="16">
        <f>SUMIFS(Raw_Events!$H:$H,Raw_Events!$C:$C,$A177,Raw_Events!$G:$G,"UNHEALTHY_MEAL")</f>
        <v/>
      </c>
      <c r="K177" s="28">
        <f>SUMIFS(Raw_Events!$H:$H,Raw_Events!$C:$C,$A177,Raw_Events!$G:$G,"TRAINING_MIN")+SUMIFS(Raw_Events!$H:$H,Raw_Events!$C:$C,$A177,Raw_Events!$G:$G,"DICTION_TRAINING_MIN")</f>
        <v/>
      </c>
      <c r="L177" s="28" t="n"/>
      <c r="M177" s="16">
        <f>SUMIFS(Raw_Events!$H:$H,Raw_Events!$C:$C,$A177,Raw_Events!$G:$G,"IDEA")</f>
        <v/>
      </c>
      <c r="N177" s="16">
        <f>COUNTIFS(Raw_Events!$C:$C,$A177,Raw_Events!$G:$G,"SOCIAL_MEET")</f>
        <v/>
      </c>
      <c r="O177" s="16">
        <f>COUNTIFS(Raw_Events!$C:$C,$A177,Raw_Events!$G:$G,"DATE")</f>
        <v/>
      </c>
      <c r="P177" s="3">
        <f>COUNTIFS(Raw_Events!$C:$C,$A177,Raw_Events!$G:$G,"NEW_ACTIVITY")</f>
        <v/>
      </c>
      <c r="Q177" s="3">
        <f>SUMIFS(Raw_Events!$H:$H,Raw_Events!$C:$C,$A177,Raw_Events!$G:$G,"TRAVEL_NIGHT")</f>
        <v/>
      </c>
      <c r="R177" s="3" t="n"/>
    </row>
    <row r="178" ht="15" customHeight="1">
      <c r="A178" s="14" t="n">
        <v>46198</v>
      </c>
      <c r="B178" s="27">
        <f>SUMIFS(Raw_Events!$H:$H,Raw_Events!$C:$C,$A178,Raw_Events!$G:$G,"SLEEP_HOURS")</f>
        <v/>
      </c>
      <c r="C178" s="16">
        <f>COUNTIFS(Raw_Events!$C:$C,$A178,Raw_Events!$G:$G,"WORKOUT")</f>
        <v/>
      </c>
      <c r="D178" s="28">
        <f>SUMIFS(Raw_Events!$H:$H,Raw_Events!$C:$C,$A178,Raw_Events!$G:$G,"POSTURE_SESSION")</f>
        <v/>
      </c>
      <c r="E178" s="8">
        <f>IF($D178="","",IF($D178&gt;=Settings!$C$17,1,0))</f>
        <v/>
      </c>
      <c r="F178" s="28">
        <f>SUMIFS(Raw_Events!$H:$H,Raw_Events!$C:$C,$A178,Raw_Events!$G:$G,"MINDFULNESS_MIN")</f>
        <v/>
      </c>
      <c r="G178" s="8">
        <f>IF($F178="","",IF($F178&gt;0,1,0))</f>
        <v/>
      </c>
      <c r="H178" s="16">
        <f>SUMIFS(Raw_Events!$H:$H,Raw_Events!$C:$C,$A178,Raw_Events!$G:$G,"CIGARETTES")</f>
        <v/>
      </c>
      <c r="I178" s="29">
        <f>SUMIFS(Raw_Events!$L:$L,Raw_Events!$C:$C,$A178,Raw_Events!$G:$G,"ALCOHOL")</f>
        <v/>
      </c>
      <c r="J178" s="16">
        <f>SUMIFS(Raw_Events!$H:$H,Raw_Events!$C:$C,$A178,Raw_Events!$G:$G,"UNHEALTHY_MEAL")</f>
        <v/>
      </c>
      <c r="K178" s="28">
        <f>SUMIFS(Raw_Events!$H:$H,Raw_Events!$C:$C,$A178,Raw_Events!$G:$G,"TRAINING_MIN")+SUMIFS(Raw_Events!$H:$H,Raw_Events!$C:$C,$A178,Raw_Events!$G:$G,"DICTION_TRAINING_MIN")</f>
        <v/>
      </c>
      <c r="L178" s="28" t="n"/>
      <c r="M178" s="16">
        <f>SUMIFS(Raw_Events!$H:$H,Raw_Events!$C:$C,$A178,Raw_Events!$G:$G,"IDEA")</f>
        <v/>
      </c>
      <c r="N178" s="16">
        <f>COUNTIFS(Raw_Events!$C:$C,$A178,Raw_Events!$G:$G,"SOCIAL_MEET")</f>
        <v/>
      </c>
      <c r="O178" s="16">
        <f>COUNTIFS(Raw_Events!$C:$C,$A178,Raw_Events!$G:$G,"DATE")</f>
        <v/>
      </c>
      <c r="P178" s="3">
        <f>COUNTIFS(Raw_Events!$C:$C,$A178,Raw_Events!$G:$G,"NEW_ACTIVITY")</f>
        <v/>
      </c>
      <c r="Q178" s="3">
        <f>SUMIFS(Raw_Events!$H:$H,Raw_Events!$C:$C,$A178,Raw_Events!$G:$G,"TRAVEL_NIGHT")</f>
        <v/>
      </c>
      <c r="R178" s="3" t="n"/>
    </row>
    <row r="179" ht="15" customHeight="1">
      <c r="A179" s="14" t="n">
        <v>46199</v>
      </c>
      <c r="B179" s="27">
        <f>SUMIFS(Raw_Events!$H:$H,Raw_Events!$C:$C,$A179,Raw_Events!$G:$G,"SLEEP_HOURS")</f>
        <v/>
      </c>
      <c r="C179" s="16">
        <f>COUNTIFS(Raw_Events!$C:$C,$A179,Raw_Events!$G:$G,"WORKOUT")</f>
        <v/>
      </c>
      <c r="D179" s="28">
        <f>SUMIFS(Raw_Events!$H:$H,Raw_Events!$C:$C,$A179,Raw_Events!$G:$G,"POSTURE_SESSION")</f>
        <v/>
      </c>
      <c r="E179" s="8">
        <f>IF($D179="","",IF($D179&gt;=Settings!$C$17,1,0))</f>
        <v/>
      </c>
      <c r="F179" s="28">
        <f>SUMIFS(Raw_Events!$H:$H,Raw_Events!$C:$C,$A179,Raw_Events!$G:$G,"MINDFULNESS_MIN")</f>
        <v/>
      </c>
      <c r="G179" s="8">
        <f>IF($F179="","",IF($F179&gt;0,1,0))</f>
        <v/>
      </c>
      <c r="H179" s="16">
        <f>SUMIFS(Raw_Events!$H:$H,Raw_Events!$C:$C,$A179,Raw_Events!$G:$G,"CIGARETTES")</f>
        <v/>
      </c>
      <c r="I179" s="29">
        <f>SUMIFS(Raw_Events!$L:$L,Raw_Events!$C:$C,$A179,Raw_Events!$G:$G,"ALCOHOL")</f>
        <v/>
      </c>
      <c r="J179" s="16">
        <f>SUMIFS(Raw_Events!$H:$H,Raw_Events!$C:$C,$A179,Raw_Events!$G:$G,"UNHEALTHY_MEAL")</f>
        <v/>
      </c>
      <c r="K179" s="28">
        <f>SUMIFS(Raw_Events!$H:$H,Raw_Events!$C:$C,$A179,Raw_Events!$G:$G,"TRAINING_MIN")+SUMIFS(Raw_Events!$H:$H,Raw_Events!$C:$C,$A179,Raw_Events!$G:$G,"DICTION_TRAINING_MIN")</f>
        <v/>
      </c>
      <c r="L179" s="28" t="n"/>
      <c r="M179" s="16">
        <f>SUMIFS(Raw_Events!$H:$H,Raw_Events!$C:$C,$A179,Raw_Events!$G:$G,"IDEA")</f>
        <v/>
      </c>
      <c r="N179" s="16">
        <f>COUNTIFS(Raw_Events!$C:$C,$A179,Raw_Events!$G:$G,"SOCIAL_MEET")</f>
        <v/>
      </c>
      <c r="O179" s="16">
        <f>COUNTIFS(Raw_Events!$C:$C,$A179,Raw_Events!$G:$G,"DATE")</f>
        <v/>
      </c>
      <c r="P179" s="3">
        <f>COUNTIFS(Raw_Events!$C:$C,$A179,Raw_Events!$G:$G,"NEW_ACTIVITY")</f>
        <v/>
      </c>
      <c r="Q179" s="3">
        <f>SUMIFS(Raw_Events!$H:$H,Raw_Events!$C:$C,$A179,Raw_Events!$G:$G,"TRAVEL_NIGHT")</f>
        <v/>
      </c>
      <c r="R179" s="3" t="n"/>
    </row>
    <row r="180" ht="15" customHeight="1">
      <c r="A180" s="14" t="n">
        <v>46200</v>
      </c>
      <c r="B180" s="27">
        <f>SUMIFS(Raw_Events!$H:$H,Raw_Events!$C:$C,$A180,Raw_Events!$G:$G,"SLEEP_HOURS")</f>
        <v/>
      </c>
      <c r="C180" s="16">
        <f>COUNTIFS(Raw_Events!$C:$C,$A180,Raw_Events!$G:$G,"WORKOUT")</f>
        <v/>
      </c>
      <c r="D180" s="28">
        <f>SUMIFS(Raw_Events!$H:$H,Raw_Events!$C:$C,$A180,Raw_Events!$G:$G,"POSTURE_SESSION")</f>
        <v/>
      </c>
      <c r="E180" s="8">
        <f>IF($D180="","",IF($D180&gt;=Settings!$C$17,1,0))</f>
        <v/>
      </c>
      <c r="F180" s="28">
        <f>SUMIFS(Raw_Events!$H:$H,Raw_Events!$C:$C,$A180,Raw_Events!$G:$G,"MINDFULNESS_MIN")</f>
        <v/>
      </c>
      <c r="G180" s="8">
        <f>IF($F180="","",IF($F180&gt;0,1,0))</f>
        <v/>
      </c>
      <c r="H180" s="16">
        <f>SUMIFS(Raw_Events!$H:$H,Raw_Events!$C:$C,$A180,Raw_Events!$G:$G,"CIGARETTES")</f>
        <v/>
      </c>
      <c r="I180" s="29">
        <f>SUMIFS(Raw_Events!$L:$L,Raw_Events!$C:$C,$A180,Raw_Events!$G:$G,"ALCOHOL")</f>
        <v/>
      </c>
      <c r="J180" s="16">
        <f>SUMIFS(Raw_Events!$H:$H,Raw_Events!$C:$C,$A180,Raw_Events!$G:$G,"UNHEALTHY_MEAL")</f>
        <v/>
      </c>
      <c r="K180" s="28">
        <f>SUMIFS(Raw_Events!$H:$H,Raw_Events!$C:$C,$A180,Raw_Events!$G:$G,"TRAINING_MIN")+SUMIFS(Raw_Events!$H:$H,Raw_Events!$C:$C,$A180,Raw_Events!$G:$G,"DICTION_TRAINING_MIN")</f>
        <v/>
      </c>
      <c r="L180" s="28" t="n"/>
      <c r="M180" s="16">
        <f>SUMIFS(Raw_Events!$H:$H,Raw_Events!$C:$C,$A180,Raw_Events!$G:$G,"IDEA")</f>
        <v/>
      </c>
      <c r="N180" s="16">
        <f>COUNTIFS(Raw_Events!$C:$C,$A180,Raw_Events!$G:$G,"SOCIAL_MEET")</f>
        <v/>
      </c>
      <c r="O180" s="16">
        <f>COUNTIFS(Raw_Events!$C:$C,$A180,Raw_Events!$G:$G,"DATE")</f>
        <v/>
      </c>
      <c r="P180" s="3">
        <f>COUNTIFS(Raw_Events!$C:$C,$A180,Raw_Events!$G:$G,"NEW_ACTIVITY")</f>
        <v/>
      </c>
      <c r="Q180" s="3">
        <f>SUMIFS(Raw_Events!$H:$H,Raw_Events!$C:$C,$A180,Raw_Events!$G:$G,"TRAVEL_NIGHT")</f>
        <v/>
      </c>
      <c r="R180" s="3" t="n"/>
    </row>
    <row r="181" ht="15" customHeight="1">
      <c r="A181" s="14" t="n">
        <v>46201</v>
      </c>
      <c r="B181" s="27">
        <f>SUMIFS(Raw_Events!$H:$H,Raw_Events!$C:$C,$A181,Raw_Events!$G:$G,"SLEEP_HOURS")</f>
        <v/>
      </c>
      <c r="C181" s="16">
        <f>COUNTIFS(Raw_Events!$C:$C,$A181,Raw_Events!$G:$G,"WORKOUT")</f>
        <v/>
      </c>
      <c r="D181" s="28">
        <f>SUMIFS(Raw_Events!$H:$H,Raw_Events!$C:$C,$A181,Raw_Events!$G:$G,"POSTURE_SESSION")</f>
        <v/>
      </c>
      <c r="E181" s="8">
        <f>IF($D181="","",IF($D181&gt;=Settings!$C$17,1,0))</f>
        <v/>
      </c>
      <c r="F181" s="28">
        <f>SUMIFS(Raw_Events!$H:$H,Raw_Events!$C:$C,$A181,Raw_Events!$G:$G,"MINDFULNESS_MIN")</f>
        <v/>
      </c>
      <c r="G181" s="8">
        <f>IF($F181="","",IF($F181&gt;0,1,0))</f>
        <v/>
      </c>
      <c r="H181" s="16">
        <f>SUMIFS(Raw_Events!$H:$H,Raw_Events!$C:$C,$A181,Raw_Events!$G:$G,"CIGARETTES")</f>
        <v/>
      </c>
      <c r="I181" s="29">
        <f>SUMIFS(Raw_Events!$L:$L,Raw_Events!$C:$C,$A181,Raw_Events!$G:$G,"ALCOHOL")</f>
        <v/>
      </c>
      <c r="J181" s="16">
        <f>SUMIFS(Raw_Events!$H:$H,Raw_Events!$C:$C,$A181,Raw_Events!$G:$G,"UNHEALTHY_MEAL")</f>
        <v/>
      </c>
      <c r="K181" s="28">
        <f>SUMIFS(Raw_Events!$H:$H,Raw_Events!$C:$C,$A181,Raw_Events!$G:$G,"TRAINING_MIN")+SUMIFS(Raw_Events!$H:$H,Raw_Events!$C:$C,$A181,Raw_Events!$G:$G,"DICTION_TRAINING_MIN")</f>
        <v/>
      </c>
      <c r="L181" s="28" t="n"/>
      <c r="M181" s="16">
        <f>SUMIFS(Raw_Events!$H:$H,Raw_Events!$C:$C,$A181,Raw_Events!$G:$G,"IDEA")</f>
        <v/>
      </c>
      <c r="N181" s="16">
        <f>COUNTIFS(Raw_Events!$C:$C,$A181,Raw_Events!$G:$G,"SOCIAL_MEET")</f>
        <v/>
      </c>
      <c r="O181" s="16">
        <f>COUNTIFS(Raw_Events!$C:$C,$A181,Raw_Events!$G:$G,"DATE")</f>
        <v/>
      </c>
      <c r="P181" s="3">
        <f>COUNTIFS(Raw_Events!$C:$C,$A181,Raw_Events!$G:$G,"NEW_ACTIVITY")</f>
        <v/>
      </c>
      <c r="Q181" s="3">
        <f>SUMIFS(Raw_Events!$H:$H,Raw_Events!$C:$C,$A181,Raw_Events!$G:$G,"TRAVEL_NIGHT")</f>
        <v/>
      </c>
      <c r="R181" s="3" t="n"/>
    </row>
    <row r="182" ht="15" customHeight="1">
      <c r="A182" s="14" t="n">
        <v>46202</v>
      </c>
      <c r="B182" s="27">
        <f>SUMIFS(Raw_Events!$H:$H,Raw_Events!$C:$C,$A182,Raw_Events!$G:$G,"SLEEP_HOURS")</f>
        <v/>
      </c>
      <c r="C182" s="16">
        <f>COUNTIFS(Raw_Events!$C:$C,$A182,Raw_Events!$G:$G,"WORKOUT")</f>
        <v/>
      </c>
      <c r="D182" s="28">
        <f>SUMIFS(Raw_Events!$H:$H,Raw_Events!$C:$C,$A182,Raw_Events!$G:$G,"POSTURE_SESSION")</f>
        <v/>
      </c>
      <c r="E182" s="8">
        <f>IF($D182="","",IF($D182&gt;=Settings!$C$17,1,0))</f>
        <v/>
      </c>
      <c r="F182" s="28">
        <f>SUMIFS(Raw_Events!$H:$H,Raw_Events!$C:$C,$A182,Raw_Events!$G:$G,"MINDFULNESS_MIN")</f>
        <v/>
      </c>
      <c r="G182" s="8">
        <f>IF($F182="","",IF($F182&gt;0,1,0))</f>
        <v/>
      </c>
      <c r="H182" s="16">
        <f>SUMIFS(Raw_Events!$H:$H,Raw_Events!$C:$C,$A182,Raw_Events!$G:$G,"CIGARETTES")</f>
        <v/>
      </c>
      <c r="I182" s="29">
        <f>SUMIFS(Raw_Events!$L:$L,Raw_Events!$C:$C,$A182,Raw_Events!$G:$G,"ALCOHOL")</f>
        <v/>
      </c>
      <c r="J182" s="16">
        <f>SUMIFS(Raw_Events!$H:$H,Raw_Events!$C:$C,$A182,Raw_Events!$G:$G,"UNHEALTHY_MEAL")</f>
        <v/>
      </c>
      <c r="K182" s="28">
        <f>SUMIFS(Raw_Events!$H:$H,Raw_Events!$C:$C,$A182,Raw_Events!$G:$G,"TRAINING_MIN")+SUMIFS(Raw_Events!$H:$H,Raw_Events!$C:$C,$A182,Raw_Events!$G:$G,"DICTION_TRAINING_MIN")</f>
        <v/>
      </c>
      <c r="L182" s="28" t="n"/>
      <c r="M182" s="16">
        <f>SUMIFS(Raw_Events!$H:$H,Raw_Events!$C:$C,$A182,Raw_Events!$G:$G,"IDEA")</f>
        <v/>
      </c>
      <c r="N182" s="16">
        <f>COUNTIFS(Raw_Events!$C:$C,$A182,Raw_Events!$G:$G,"SOCIAL_MEET")</f>
        <v/>
      </c>
      <c r="O182" s="16">
        <f>COUNTIFS(Raw_Events!$C:$C,$A182,Raw_Events!$G:$G,"DATE")</f>
        <v/>
      </c>
      <c r="P182" s="3">
        <f>COUNTIFS(Raw_Events!$C:$C,$A182,Raw_Events!$G:$G,"NEW_ACTIVITY")</f>
        <v/>
      </c>
      <c r="Q182" s="3">
        <f>SUMIFS(Raw_Events!$H:$H,Raw_Events!$C:$C,$A182,Raw_Events!$G:$G,"TRAVEL_NIGHT")</f>
        <v/>
      </c>
      <c r="R182" s="3" t="n"/>
    </row>
    <row r="183" ht="15" customHeight="1">
      <c r="A183" s="14" t="n">
        <v>46203</v>
      </c>
      <c r="B183" s="27">
        <f>SUMIFS(Raw_Events!$H:$H,Raw_Events!$C:$C,$A183,Raw_Events!$G:$G,"SLEEP_HOURS")</f>
        <v/>
      </c>
      <c r="C183" s="16">
        <f>COUNTIFS(Raw_Events!$C:$C,$A183,Raw_Events!$G:$G,"WORKOUT")</f>
        <v/>
      </c>
      <c r="D183" s="28">
        <f>SUMIFS(Raw_Events!$H:$H,Raw_Events!$C:$C,$A183,Raw_Events!$G:$G,"POSTURE_SESSION")</f>
        <v/>
      </c>
      <c r="E183" s="8">
        <f>IF($D183="","",IF($D183&gt;=Settings!$C$17,1,0))</f>
        <v/>
      </c>
      <c r="F183" s="28">
        <f>SUMIFS(Raw_Events!$H:$H,Raw_Events!$C:$C,$A183,Raw_Events!$G:$G,"MINDFULNESS_MIN")</f>
        <v/>
      </c>
      <c r="G183" s="8">
        <f>IF($F183="","",IF($F183&gt;0,1,0))</f>
        <v/>
      </c>
      <c r="H183" s="16">
        <f>SUMIFS(Raw_Events!$H:$H,Raw_Events!$C:$C,$A183,Raw_Events!$G:$G,"CIGARETTES")</f>
        <v/>
      </c>
      <c r="I183" s="29">
        <f>SUMIFS(Raw_Events!$L:$L,Raw_Events!$C:$C,$A183,Raw_Events!$G:$G,"ALCOHOL")</f>
        <v/>
      </c>
      <c r="J183" s="16">
        <f>SUMIFS(Raw_Events!$H:$H,Raw_Events!$C:$C,$A183,Raw_Events!$G:$G,"UNHEALTHY_MEAL")</f>
        <v/>
      </c>
      <c r="K183" s="28">
        <f>SUMIFS(Raw_Events!$H:$H,Raw_Events!$C:$C,$A183,Raw_Events!$G:$G,"TRAINING_MIN")+SUMIFS(Raw_Events!$H:$H,Raw_Events!$C:$C,$A183,Raw_Events!$G:$G,"DICTION_TRAINING_MIN")</f>
        <v/>
      </c>
      <c r="L183" s="28" t="n"/>
      <c r="M183" s="16">
        <f>SUMIFS(Raw_Events!$H:$H,Raw_Events!$C:$C,$A183,Raw_Events!$G:$G,"IDEA")</f>
        <v/>
      </c>
      <c r="N183" s="16">
        <f>COUNTIFS(Raw_Events!$C:$C,$A183,Raw_Events!$G:$G,"SOCIAL_MEET")</f>
        <v/>
      </c>
      <c r="O183" s="16">
        <f>COUNTIFS(Raw_Events!$C:$C,$A183,Raw_Events!$G:$G,"DATE")</f>
        <v/>
      </c>
      <c r="P183" s="3">
        <f>COUNTIFS(Raw_Events!$C:$C,$A183,Raw_Events!$G:$G,"NEW_ACTIVITY")</f>
        <v/>
      </c>
      <c r="Q183" s="3">
        <f>SUMIFS(Raw_Events!$H:$H,Raw_Events!$C:$C,$A183,Raw_Events!$G:$G,"TRAVEL_NIGHT")</f>
        <v/>
      </c>
      <c r="R183" s="3" t="n"/>
    </row>
    <row r="184" ht="15" customHeight="1">
      <c r="A184" s="14" t="n">
        <v>46204</v>
      </c>
      <c r="B184" s="27">
        <f>SUMIFS(Raw_Events!$H:$H,Raw_Events!$C:$C,$A184,Raw_Events!$G:$G,"SLEEP_HOURS")</f>
        <v/>
      </c>
      <c r="C184" s="16">
        <f>COUNTIFS(Raw_Events!$C:$C,$A184,Raw_Events!$G:$G,"WORKOUT")</f>
        <v/>
      </c>
      <c r="D184" s="28">
        <f>SUMIFS(Raw_Events!$H:$H,Raw_Events!$C:$C,$A184,Raw_Events!$G:$G,"POSTURE_SESSION")</f>
        <v/>
      </c>
      <c r="E184" s="8">
        <f>IF($D184="","",IF($D184&gt;=Settings!$C$17,1,0))</f>
        <v/>
      </c>
      <c r="F184" s="28">
        <f>SUMIFS(Raw_Events!$H:$H,Raw_Events!$C:$C,$A184,Raw_Events!$G:$G,"MINDFULNESS_MIN")</f>
        <v/>
      </c>
      <c r="G184" s="8">
        <f>IF($F184="","",IF($F184&gt;0,1,0))</f>
        <v/>
      </c>
      <c r="H184" s="16">
        <f>SUMIFS(Raw_Events!$H:$H,Raw_Events!$C:$C,$A184,Raw_Events!$G:$G,"CIGARETTES")</f>
        <v/>
      </c>
      <c r="I184" s="29">
        <f>SUMIFS(Raw_Events!$L:$L,Raw_Events!$C:$C,$A184,Raw_Events!$G:$G,"ALCOHOL")</f>
        <v/>
      </c>
      <c r="J184" s="16">
        <f>SUMIFS(Raw_Events!$H:$H,Raw_Events!$C:$C,$A184,Raw_Events!$G:$G,"UNHEALTHY_MEAL")</f>
        <v/>
      </c>
      <c r="K184" s="28">
        <f>SUMIFS(Raw_Events!$H:$H,Raw_Events!$C:$C,$A184,Raw_Events!$G:$G,"TRAINING_MIN")+SUMIFS(Raw_Events!$H:$H,Raw_Events!$C:$C,$A184,Raw_Events!$G:$G,"DICTION_TRAINING_MIN")</f>
        <v/>
      </c>
      <c r="L184" s="28" t="n"/>
      <c r="M184" s="16">
        <f>SUMIFS(Raw_Events!$H:$H,Raw_Events!$C:$C,$A184,Raw_Events!$G:$G,"IDEA")</f>
        <v/>
      </c>
      <c r="N184" s="16">
        <f>COUNTIFS(Raw_Events!$C:$C,$A184,Raw_Events!$G:$G,"SOCIAL_MEET")</f>
        <v/>
      </c>
      <c r="O184" s="16">
        <f>COUNTIFS(Raw_Events!$C:$C,$A184,Raw_Events!$G:$G,"DATE")</f>
        <v/>
      </c>
      <c r="P184" s="3">
        <f>COUNTIFS(Raw_Events!$C:$C,$A184,Raw_Events!$G:$G,"NEW_ACTIVITY")</f>
        <v/>
      </c>
      <c r="Q184" s="3">
        <f>SUMIFS(Raw_Events!$H:$H,Raw_Events!$C:$C,$A184,Raw_Events!$G:$G,"TRAVEL_NIGHT")</f>
        <v/>
      </c>
      <c r="R184" s="3" t="n"/>
    </row>
    <row r="185" ht="15" customHeight="1">
      <c r="A185" s="14" t="n">
        <v>46205</v>
      </c>
      <c r="B185" s="27">
        <f>SUMIFS(Raw_Events!$H:$H,Raw_Events!$C:$C,$A185,Raw_Events!$G:$G,"SLEEP_HOURS")</f>
        <v/>
      </c>
      <c r="C185" s="16">
        <f>COUNTIFS(Raw_Events!$C:$C,$A185,Raw_Events!$G:$G,"WORKOUT")</f>
        <v/>
      </c>
      <c r="D185" s="28">
        <f>SUMIFS(Raw_Events!$H:$H,Raw_Events!$C:$C,$A185,Raw_Events!$G:$G,"POSTURE_SESSION")</f>
        <v/>
      </c>
      <c r="E185" s="8">
        <f>IF($D185="","",IF($D185&gt;=Settings!$C$17,1,0))</f>
        <v/>
      </c>
      <c r="F185" s="28">
        <f>SUMIFS(Raw_Events!$H:$H,Raw_Events!$C:$C,$A185,Raw_Events!$G:$G,"MINDFULNESS_MIN")</f>
        <v/>
      </c>
      <c r="G185" s="8">
        <f>IF($F185="","",IF($F185&gt;0,1,0))</f>
        <v/>
      </c>
      <c r="H185" s="16">
        <f>SUMIFS(Raw_Events!$H:$H,Raw_Events!$C:$C,$A185,Raw_Events!$G:$G,"CIGARETTES")</f>
        <v/>
      </c>
      <c r="I185" s="29">
        <f>SUMIFS(Raw_Events!$L:$L,Raw_Events!$C:$C,$A185,Raw_Events!$G:$G,"ALCOHOL")</f>
        <v/>
      </c>
      <c r="J185" s="16">
        <f>SUMIFS(Raw_Events!$H:$H,Raw_Events!$C:$C,$A185,Raw_Events!$G:$G,"UNHEALTHY_MEAL")</f>
        <v/>
      </c>
      <c r="K185" s="28">
        <f>SUMIFS(Raw_Events!$H:$H,Raw_Events!$C:$C,$A185,Raw_Events!$G:$G,"TRAINING_MIN")+SUMIFS(Raw_Events!$H:$H,Raw_Events!$C:$C,$A185,Raw_Events!$G:$G,"DICTION_TRAINING_MIN")</f>
        <v/>
      </c>
      <c r="L185" s="28" t="n"/>
      <c r="M185" s="16">
        <f>SUMIFS(Raw_Events!$H:$H,Raw_Events!$C:$C,$A185,Raw_Events!$G:$G,"IDEA")</f>
        <v/>
      </c>
      <c r="N185" s="16">
        <f>COUNTIFS(Raw_Events!$C:$C,$A185,Raw_Events!$G:$G,"SOCIAL_MEET")</f>
        <v/>
      </c>
      <c r="O185" s="16">
        <f>COUNTIFS(Raw_Events!$C:$C,$A185,Raw_Events!$G:$G,"DATE")</f>
        <v/>
      </c>
      <c r="P185" s="3">
        <f>COUNTIFS(Raw_Events!$C:$C,$A185,Raw_Events!$G:$G,"NEW_ACTIVITY")</f>
        <v/>
      </c>
      <c r="Q185" s="3">
        <f>SUMIFS(Raw_Events!$H:$H,Raw_Events!$C:$C,$A185,Raw_Events!$G:$G,"TRAVEL_NIGHT")</f>
        <v/>
      </c>
      <c r="R185" s="3" t="n"/>
    </row>
    <row r="186" ht="15" customHeight="1">
      <c r="A186" s="14" t="n">
        <v>46206</v>
      </c>
      <c r="B186" s="27">
        <f>SUMIFS(Raw_Events!$H:$H,Raw_Events!$C:$C,$A186,Raw_Events!$G:$G,"SLEEP_HOURS")</f>
        <v/>
      </c>
      <c r="C186" s="16">
        <f>COUNTIFS(Raw_Events!$C:$C,$A186,Raw_Events!$G:$G,"WORKOUT")</f>
        <v/>
      </c>
      <c r="D186" s="28">
        <f>SUMIFS(Raw_Events!$H:$H,Raw_Events!$C:$C,$A186,Raw_Events!$G:$G,"POSTURE_SESSION")</f>
        <v/>
      </c>
      <c r="E186" s="8">
        <f>IF($D186="","",IF($D186&gt;=Settings!$C$17,1,0))</f>
        <v/>
      </c>
      <c r="F186" s="28">
        <f>SUMIFS(Raw_Events!$H:$H,Raw_Events!$C:$C,$A186,Raw_Events!$G:$G,"MINDFULNESS_MIN")</f>
        <v/>
      </c>
      <c r="G186" s="8">
        <f>IF($F186="","",IF($F186&gt;0,1,0))</f>
        <v/>
      </c>
      <c r="H186" s="16">
        <f>SUMIFS(Raw_Events!$H:$H,Raw_Events!$C:$C,$A186,Raw_Events!$G:$G,"CIGARETTES")</f>
        <v/>
      </c>
      <c r="I186" s="29">
        <f>SUMIFS(Raw_Events!$L:$L,Raw_Events!$C:$C,$A186,Raw_Events!$G:$G,"ALCOHOL")</f>
        <v/>
      </c>
      <c r="J186" s="16">
        <f>SUMIFS(Raw_Events!$H:$H,Raw_Events!$C:$C,$A186,Raw_Events!$G:$G,"UNHEALTHY_MEAL")</f>
        <v/>
      </c>
      <c r="K186" s="28">
        <f>SUMIFS(Raw_Events!$H:$H,Raw_Events!$C:$C,$A186,Raw_Events!$G:$G,"TRAINING_MIN")+SUMIFS(Raw_Events!$H:$H,Raw_Events!$C:$C,$A186,Raw_Events!$G:$G,"DICTION_TRAINING_MIN")</f>
        <v/>
      </c>
      <c r="L186" s="28" t="n"/>
      <c r="M186" s="16">
        <f>SUMIFS(Raw_Events!$H:$H,Raw_Events!$C:$C,$A186,Raw_Events!$G:$G,"IDEA")</f>
        <v/>
      </c>
      <c r="N186" s="16">
        <f>COUNTIFS(Raw_Events!$C:$C,$A186,Raw_Events!$G:$G,"SOCIAL_MEET")</f>
        <v/>
      </c>
      <c r="O186" s="16">
        <f>COUNTIFS(Raw_Events!$C:$C,$A186,Raw_Events!$G:$G,"DATE")</f>
        <v/>
      </c>
      <c r="P186" s="3">
        <f>COUNTIFS(Raw_Events!$C:$C,$A186,Raw_Events!$G:$G,"NEW_ACTIVITY")</f>
        <v/>
      </c>
      <c r="Q186" s="3">
        <f>SUMIFS(Raw_Events!$H:$H,Raw_Events!$C:$C,$A186,Raw_Events!$G:$G,"TRAVEL_NIGHT")</f>
        <v/>
      </c>
      <c r="R186" s="3" t="n"/>
    </row>
    <row r="187" ht="15" customHeight="1">
      <c r="A187" s="14" t="n">
        <v>46207</v>
      </c>
      <c r="B187" s="27">
        <f>SUMIFS(Raw_Events!$H:$H,Raw_Events!$C:$C,$A187,Raw_Events!$G:$G,"SLEEP_HOURS")</f>
        <v/>
      </c>
      <c r="C187" s="16">
        <f>COUNTIFS(Raw_Events!$C:$C,$A187,Raw_Events!$G:$G,"WORKOUT")</f>
        <v/>
      </c>
      <c r="D187" s="28">
        <f>SUMIFS(Raw_Events!$H:$H,Raw_Events!$C:$C,$A187,Raw_Events!$G:$G,"POSTURE_SESSION")</f>
        <v/>
      </c>
      <c r="E187" s="8">
        <f>IF($D187="","",IF($D187&gt;=Settings!$C$17,1,0))</f>
        <v/>
      </c>
      <c r="F187" s="28">
        <f>SUMIFS(Raw_Events!$H:$H,Raw_Events!$C:$C,$A187,Raw_Events!$G:$G,"MINDFULNESS_MIN")</f>
        <v/>
      </c>
      <c r="G187" s="8">
        <f>IF($F187="","",IF($F187&gt;0,1,0))</f>
        <v/>
      </c>
      <c r="H187" s="16">
        <f>SUMIFS(Raw_Events!$H:$H,Raw_Events!$C:$C,$A187,Raw_Events!$G:$G,"CIGARETTES")</f>
        <v/>
      </c>
      <c r="I187" s="29">
        <f>SUMIFS(Raw_Events!$L:$L,Raw_Events!$C:$C,$A187,Raw_Events!$G:$G,"ALCOHOL")</f>
        <v/>
      </c>
      <c r="J187" s="16">
        <f>SUMIFS(Raw_Events!$H:$H,Raw_Events!$C:$C,$A187,Raw_Events!$G:$G,"UNHEALTHY_MEAL")</f>
        <v/>
      </c>
      <c r="K187" s="28">
        <f>SUMIFS(Raw_Events!$H:$H,Raw_Events!$C:$C,$A187,Raw_Events!$G:$G,"TRAINING_MIN")+SUMIFS(Raw_Events!$H:$H,Raw_Events!$C:$C,$A187,Raw_Events!$G:$G,"DICTION_TRAINING_MIN")</f>
        <v/>
      </c>
      <c r="L187" s="28" t="n"/>
      <c r="M187" s="16">
        <f>SUMIFS(Raw_Events!$H:$H,Raw_Events!$C:$C,$A187,Raw_Events!$G:$G,"IDEA")</f>
        <v/>
      </c>
      <c r="N187" s="16">
        <f>COUNTIFS(Raw_Events!$C:$C,$A187,Raw_Events!$G:$G,"SOCIAL_MEET")</f>
        <v/>
      </c>
      <c r="O187" s="16">
        <f>COUNTIFS(Raw_Events!$C:$C,$A187,Raw_Events!$G:$G,"DATE")</f>
        <v/>
      </c>
      <c r="P187" s="3">
        <f>COUNTIFS(Raw_Events!$C:$C,$A187,Raw_Events!$G:$G,"NEW_ACTIVITY")</f>
        <v/>
      </c>
      <c r="Q187" s="3">
        <f>SUMIFS(Raw_Events!$H:$H,Raw_Events!$C:$C,$A187,Raw_Events!$G:$G,"TRAVEL_NIGHT")</f>
        <v/>
      </c>
      <c r="R187" s="3" t="n"/>
    </row>
    <row r="188" ht="15" customHeight="1">
      <c r="A188" s="14" t="n">
        <v>46208</v>
      </c>
      <c r="B188" s="27">
        <f>SUMIFS(Raw_Events!$H:$H,Raw_Events!$C:$C,$A188,Raw_Events!$G:$G,"SLEEP_HOURS")</f>
        <v/>
      </c>
      <c r="C188" s="16">
        <f>COUNTIFS(Raw_Events!$C:$C,$A188,Raw_Events!$G:$G,"WORKOUT")</f>
        <v/>
      </c>
      <c r="D188" s="28">
        <f>SUMIFS(Raw_Events!$H:$H,Raw_Events!$C:$C,$A188,Raw_Events!$G:$G,"POSTURE_SESSION")</f>
        <v/>
      </c>
      <c r="E188" s="8">
        <f>IF($D188="","",IF($D188&gt;=Settings!$C$17,1,0))</f>
        <v/>
      </c>
      <c r="F188" s="28">
        <f>SUMIFS(Raw_Events!$H:$H,Raw_Events!$C:$C,$A188,Raw_Events!$G:$G,"MINDFULNESS_MIN")</f>
        <v/>
      </c>
      <c r="G188" s="8">
        <f>IF($F188="","",IF($F188&gt;0,1,0))</f>
        <v/>
      </c>
      <c r="H188" s="16">
        <f>SUMIFS(Raw_Events!$H:$H,Raw_Events!$C:$C,$A188,Raw_Events!$G:$G,"CIGARETTES")</f>
        <v/>
      </c>
      <c r="I188" s="29">
        <f>SUMIFS(Raw_Events!$L:$L,Raw_Events!$C:$C,$A188,Raw_Events!$G:$G,"ALCOHOL")</f>
        <v/>
      </c>
      <c r="J188" s="16">
        <f>SUMIFS(Raw_Events!$H:$H,Raw_Events!$C:$C,$A188,Raw_Events!$G:$G,"UNHEALTHY_MEAL")</f>
        <v/>
      </c>
      <c r="K188" s="28">
        <f>SUMIFS(Raw_Events!$H:$H,Raw_Events!$C:$C,$A188,Raw_Events!$G:$G,"TRAINING_MIN")+SUMIFS(Raw_Events!$H:$H,Raw_Events!$C:$C,$A188,Raw_Events!$G:$G,"DICTION_TRAINING_MIN")</f>
        <v/>
      </c>
      <c r="L188" s="28" t="n"/>
      <c r="M188" s="16">
        <f>SUMIFS(Raw_Events!$H:$H,Raw_Events!$C:$C,$A188,Raw_Events!$G:$G,"IDEA")</f>
        <v/>
      </c>
      <c r="N188" s="16">
        <f>COUNTIFS(Raw_Events!$C:$C,$A188,Raw_Events!$G:$G,"SOCIAL_MEET")</f>
        <v/>
      </c>
      <c r="O188" s="16">
        <f>COUNTIFS(Raw_Events!$C:$C,$A188,Raw_Events!$G:$G,"DATE")</f>
        <v/>
      </c>
      <c r="P188" s="3">
        <f>COUNTIFS(Raw_Events!$C:$C,$A188,Raw_Events!$G:$G,"NEW_ACTIVITY")</f>
        <v/>
      </c>
      <c r="Q188" s="3">
        <f>SUMIFS(Raw_Events!$H:$H,Raw_Events!$C:$C,$A188,Raw_Events!$G:$G,"TRAVEL_NIGHT")</f>
        <v/>
      </c>
      <c r="R188" s="3" t="n"/>
    </row>
    <row r="189" ht="15" customHeight="1">
      <c r="A189" s="14" t="n">
        <v>46209</v>
      </c>
      <c r="B189" s="27">
        <f>SUMIFS(Raw_Events!$H:$H,Raw_Events!$C:$C,$A189,Raw_Events!$G:$G,"SLEEP_HOURS")</f>
        <v/>
      </c>
      <c r="C189" s="16">
        <f>COUNTIFS(Raw_Events!$C:$C,$A189,Raw_Events!$G:$G,"WORKOUT")</f>
        <v/>
      </c>
      <c r="D189" s="28">
        <f>SUMIFS(Raw_Events!$H:$H,Raw_Events!$C:$C,$A189,Raw_Events!$G:$G,"POSTURE_SESSION")</f>
        <v/>
      </c>
      <c r="E189" s="8">
        <f>IF($D189="","",IF($D189&gt;=Settings!$C$17,1,0))</f>
        <v/>
      </c>
      <c r="F189" s="28">
        <f>SUMIFS(Raw_Events!$H:$H,Raw_Events!$C:$C,$A189,Raw_Events!$G:$G,"MINDFULNESS_MIN")</f>
        <v/>
      </c>
      <c r="G189" s="8">
        <f>IF($F189="","",IF($F189&gt;0,1,0))</f>
        <v/>
      </c>
      <c r="H189" s="16">
        <f>SUMIFS(Raw_Events!$H:$H,Raw_Events!$C:$C,$A189,Raw_Events!$G:$G,"CIGARETTES")</f>
        <v/>
      </c>
      <c r="I189" s="29">
        <f>SUMIFS(Raw_Events!$L:$L,Raw_Events!$C:$C,$A189,Raw_Events!$G:$G,"ALCOHOL")</f>
        <v/>
      </c>
      <c r="J189" s="16">
        <f>SUMIFS(Raw_Events!$H:$H,Raw_Events!$C:$C,$A189,Raw_Events!$G:$G,"UNHEALTHY_MEAL")</f>
        <v/>
      </c>
      <c r="K189" s="28">
        <f>SUMIFS(Raw_Events!$H:$H,Raw_Events!$C:$C,$A189,Raw_Events!$G:$G,"TRAINING_MIN")+SUMIFS(Raw_Events!$H:$H,Raw_Events!$C:$C,$A189,Raw_Events!$G:$G,"DICTION_TRAINING_MIN")</f>
        <v/>
      </c>
      <c r="L189" s="28" t="n"/>
      <c r="M189" s="16">
        <f>SUMIFS(Raw_Events!$H:$H,Raw_Events!$C:$C,$A189,Raw_Events!$G:$G,"IDEA")</f>
        <v/>
      </c>
      <c r="N189" s="16">
        <f>COUNTIFS(Raw_Events!$C:$C,$A189,Raw_Events!$G:$G,"SOCIAL_MEET")</f>
        <v/>
      </c>
      <c r="O189" s="16">
        <f>COUNTIFS(Raw_Events!$C:$C,$A189,Raw_Events!$G:$G,"DATE")</f>
        <v/>
      </c>
      <c r="P189" s="3">
        <f>COUNTIFS(Raw_Events!$C:$C,$A189,Raw_Events!$G:$G,"NEW_ACTIVITY")</f>
        <v/>
      </c>
      <c r="Q189" s="3">
        <f>SUMIFS(Raw_Events!$H:$H,Raw_Events!$C:$C,$A189,Raw_Events!$G:$G,"TRAVEL_NIGHT")</f>
        <v/>
      </c>
      <c r="R189" s="3" t="n"/>
    </row>
    <row r="190" ht="15" customHeight="1">
      <c r="A190" s="14" t="n">
        <v>46210</v>
      </c>
      <c r="B190" s="27">
        <f>SUMIFS(Raw_Events!$H:$H,Raw_Events!$C:$C,$A190,Raw_Events!$G:$G,"SLEEP_HOURS")</f>
        <v/>
      </c>
      <c r="C190" s="16">
        <f>COUNTIFS(Raw_Events!$C:$C,$A190,Raw_Events!$G:$G,"WORKOUT")</f>
        <v/>
      </c>
      <c r="D190" s="28">
        <f>SUMIFS(Raw_Events!$H:$H,Raw_Events!$C:$C,$A190,Raw_Events!$G:$G,"POSTURE_SESSION")</f>
        <v/>
      </c>
      <c r="E190" s="8">
        <f>IF($D190="","",IF($D190&gt;=Settings!$C$17,1,0))</f>
        <v/>
      </c>
      <c r="F190" s="28">
        <f>SUMIFS(Raw_Events!$H:$H,Raw_Events!$C:$C,$A190,Raw_Events!$G:$G,"MINDFULNESS_MIN")</f>
        <v/>
      </c>
      <c r="G190" s="8">
        <f>IF($F190="","",IF($F190&gt;0,1,0))</f>
        <v/>
      </c>
      <c r="H190" s="16">
        <f>SUMIFS(Raw_Events!$H:$H,Raw_Events!$C:$C,$A190,Raw_Events!$G:$G,"CIGARETTES")</f>
        <v/>
      </c>
      <c r="I190" s="29">
        <f>SUMIFS(Raw_Events!$L:$L,Raw_Events!$C:$C,$A190,Raw_Events!$G:$G,"ALCOHOL")</f>
        <v/>
      </c>
      <c r="J190" s="16">
        <f>SUMIFS(Raw_Events!$H:$H,Raw_Events!$C:$C,$A190,Raw_Events!$G:$G,"UNHEALTHY_MEAL")</f>
        <v/>
      </c>
      <c r="K190" s="28">
        <f>SUMIFS(Raw_Events!$H:$H,Raw_Events!$C:$C,$A190,Raw_Events!$G:$G,"TRAINING_MIN")+SUMIFS(Raw_Events!$H:$H,Raw_Events!$C:$C,$A190,Raw_Events!$G:$G,"DICTION_TRAINING_MIN")</f>
        <v/>
      </c>
      <c r="L190" s="28" t="n"/>
      <c r="M190" s="16">
        <f>SUMIFS(Raw_Events!$H:$H,Raw_Events!$C:$C,$A190,Raw_Events!$G:$G,"IDEA")</f>
        <v/>
      </c>
      <c r="N190" s="16">
        <f>COUNTIFS(Raw_Events!$C:$C,$A190,Raw_Events!$G:$G,"SOCIAL_MEET")</f>
        <v/>
      </c>
      <c r="O190" s="16">
        <f>COUNTIFS(Raw_Events!$C:$C,$A190,Raw_Events!$G:$G,"DATE")</f>
        <v/>
      </c>
      <c r="P190" s="3">
        <f>COUNTIFS(Raw_Events!$C:$C,$A190,Raw_Events!$G:$G,"NEW_ACTIVITY")</f>
        <v/>
      </c>
      <c r="Q190" s="3">
        <f>SUMIFS(Raw_Events!$H:$H,Raw_Events!$C:$C,$A190,Raw_Events!$G:$G,"TRAVEL_NIGHT")</f>
        <v/>
      </c>
      <c r="R190" s="3" t="n"/>
    </row>
    <row r="191" ht="15" customHeight="1">
      <c r="A191" s="14" t="n">
        <v>46211</v>
      </c>
      <c r="B191" s="27">
        <f>SUMIFS(Raw_Events!$H:$H,Raw_Events!$C:$C,$A191,Raw_Events!$G:$G,"SLEEP_HOURS")</f>
        <v/>
      </c>
      <c r="C191" s="16">
        <f>COUNTIFS(Raw_Events!$C:$C,$A191,Raw_Events!$G:$G,"WORKOUT")</f>
        <v/>
      </c>
      <c r="D191" s="28">
        <f>SUMIFS(Raw_Events!$H:$H,Raw_Events!$C:$C,$A191,Raw_Events!$G:$G,"POSTURE_SESSION")</f>
        <v/>
      </c>
      <c r="E191" s="8">
        <f>IF($D191="","",IF($D191&gt;=Settings!$C$17,1,0))</f>
        <v/>
      </c>
      <c r="F191" s="28">
        <f>SUMIFS(Raw_Events!$H:$H,Raw_Events!$C:$C,$A191,Raw_Events!$G:$G,"MINDFULNESS_MIN")</f>
        <v/>
      </c>
      <c r="G191" s="8">
        <f>IF($F191="","",IF($F191&gt;0,1,0))</f>
        <v/>
      </c>
      <c r="H191" s="16">
        <f>SUMIFS(Raw_Events!$H:$H,Raw_Events!$C:$C,$A191,Raw_Events!$G:$G,"CIGARETTES")</f>
        <v/>
      </c>
      <c r="I191" s="29">
        <f>SUMIFS(Raw_Events!$L:$L,Raw_Events!$C:$C,$A191,Raw_Events!$G:$G,"ALCOHOL")</f>
        <v/>
      </c>
      <c r="J191" s="16">
        <f>SUMIFS(Raw_Events!$H:$H,Raw_Events!$C:$C,$A191,Raw_Events!$G:$G,"UNHEALTHY_MEAL")</f>
        <v/>
      </c>
      <c r="K191" s="28">
        <f>SUMIFS(Raw_Events!$H:$H,Raw_Events!$C:$C,$A191,Raw_Events!$G:$G,"TRAINING_MIN")+SUMIFS(Raw_Events!$H:$H,Raw_Events!$C:$C,$A191,Raw_Events!$G:$G,"DICTION_TRAINING_MIN")</f>
        <v/>
      </c>
      <c r="L191" s="28" t="n"/>
      <c r="M191" s="16">
        <f>SUMIFS(Raw_Events!$H:$H,Raw_Events!$C:$C,$A191,Raw_Events!$G:$G,"IDEA")</f>
        <v/>
      </c>
      <c r="N191" s="16">
        <f>COUNTIFS(Raw_Events!$C:$C,$A191,Raw_Events!$G:$G,"SOCIAL_MEET")</f>
        <v/>
      </c>
      <c r="O191" s="16">
        <f>COUNTIFS(Raw_Events!$C:$C,$A191,Raw_Events!$G:$G,"DATE")</f>
        <v/>
      </c>
      <c r="P191" s="3">
        <f>COUNTIFS(Raw_Events!$C:$C,$A191,Raw_Events!$G:$G,"NEW_ACTIVITY")</f>
        <v/>
      </c>
      <c r="Q191" s="3">
        <f>SUMIFS(Raw_Events!$H:$H,Raw_Events!$C:$C,$A191,Raw_Events!$G:$G,"TRAVEL_NIGHT")</f>
        <v/>
      </c>
      <c r="R191" s="3" t="n"/>
    </row>
    <row r="192" ht="15" customHeight="1">
      <c r="A192" s="14" t="n">
        <v>46212</v>
      </c>
      <c r="B192" s="27">
        <f>SUMIFS(Raw_Events!$H:$H,Raw_Events!$C:$C,$A192,Raw_Events!$G:$G,"SLEEP_HOURS")</f>
        <v/>
      </c>
      <c r="C192" s="16">
        <f>COUNTIFS(Raw_Events!$C:$C,$A192,Raw_Events!$G:$G,"WORKOUT")</f>
        <v/>
      </c>
      <c r="D192" s="28">
        <f>SUMIFS(Raw_Events!$H:$H,Raw_Events!$C:$C,$A192,Raw_Events!$G:$G,"POSTURE_SESSION")</f>
        <v/>
      </c>
      <c r="E192" s="8">
        <f>IF($D192="","",IF($D192&gt;=Settings!$C$17,1,0))</f>
        <v/>
      </c>
      <c r="F192" s="28">
        <f>SUMIFS(Raw_Events!$H:$H,Raw_Events!$C:$C,$A192,Raw_Events!$G:$G,"MINDFULNESS_MIN")</f>
        <v/>
      </c>
      <c r="G192" s="8">
        <f>IF($F192="","",IF($F192&gt;0,1,0))</f>
        <v/>
      </c>
      <c r="H192" s="16">
        <f>SUMIFS(Raw_Events!$H:$H,Raw_Events!$C:$C,$A192,Raw_Events!$G:$G,"CIGARETTES")</f>
        <v/>
      </c>
      <c r="I192" s="29">
        <f>SUMIFS(Raw_Events!$L:$L,Raw_Events!$C:$C,$A192,Raw_Events!$G:$G,"ALCOHOL")</f>
        <v/>
      </c>
      <c r="J192" s="16">
        <f>SUMIFS(Raw_Events!$H:$H,Raw_Events!$C:$C,$A192,Raw_Events!$G:$G,"UNHEALTHY_MEAL")</f>
        <v/>
      </c>
      <c r="K192" s="28">
        <f>SUMIFS(Raw_Events!$H:$H,Raw_Events!$C:$C,$A192,Raw_Events!$G:$G,"TRAINING_MIN")+SUMIFS(Raw_Events!$H:$H,Raw_Events!$C:$C,$A192,Raw_Events!$G:$G,"DICTION_TRAINING_MIN")</f>
        <v/>
      </c>
      <c r="L192" s="28" t="n"/>
      <c r="M192" s="16">
        <f>SUMIFS(Raw_Events!$H:$H,Raw_Events!$C:$C,$A192,Raw_Events!$G:$G,"IDEA")</f>
        <v/>
      </c>
      <c r="N192" s="16">
        <f>COUNTIFS(Raw_Events!$C:$C,$A192,Raw_Events!$G:$G,"SOCIAL_MEET")</f>
        <v/>
      </c>
      <c r="O192" s="16">
        <f>COUNTIFS(Raw_Events!$C:$C,$A192,Raw_Events!$G:$G,"DATE")</f>
        <v/>
      </c>
      <c r="P192" s="3">
        <f>COUNTIFS(Raw_Events!$C:$C,$A192,Raw_Events!$G:$G,"NEW_ACTIVITY")</f>
        <v/>
      </c>
      <c r="Q192" s="3">
        <f>SUMIFS(Raw_Events!$H:$H,Raw_Events!$C:$C,$A192,Raw_Events!$G:$G,"TRAVEL_NIGHT")</f>
        <v/>
      </c>
      <c r="R192" s="3" t="n"/>
    </row>
    <row r="193" ht="15" customHeight="1">
      <c r="A193" s="14" t="n">
        <v>46213</v>
      </c>
      <c r="B193" s="27">
        <f>SUMIFS(Raw_Events!$H:$H,Raw_Events!$C:$C,$A193,Raw_Events!$G:$G,"SLEEP_HOURS")</f>
        <v/>
      </c>
      <c r="C193" s="16">
        <f>COUNTIFS(Raw_Events!$C:$C,$A193,Raw_Events!$G:$G,"WORKOUT")</f>
        <v/>
      </c>
      <c r="D193" s="28">
        <f>SUMIFS(Raw_Events!$H:$H,Raw_Events!$C:$C,$A193,Raw_Events!$G:$G,"POSTURE_SESSION")</f>
        <v/>
      </c>
      <c r="E193" s="8">
        <f>IF($D193="","",IF($D193&gt;=Settings!$C$17,1,0))</f>
        <v/>
      </c>
      <c r="F193" s="28">
        <f>SUMIFS(Raw_Events!$H:$H,Raw_Events!$C:$C,$A193,Raw_Events!$G:$G,"MINDFULNESS_MIN")</f>
        <v/>
      </c>
      <c r="G193" s="8">
        <f>IF($F193="","",IF($F193&gt;0,1,0))</f>
        <v/>
      </c>
      <c r="H193" s="16">
        <f>SUMIFS(Raw_Events!$H:$H,Raw_Events!$C:$C,$A193,Raw_Events!$G:$G,"CIGARETTES")</f>
        <v/>
      </c>
      <c r="I193" s="29">
        <f>SUMIFS(Raw_Events!$L:$L,Raw_Events!$C:$C,$A193,Raw_Events!$G:$G,"ALCOHOL")</f>
        <v/>
      </c>
      <c r="J193" s="16">
        <f>SUMIFS(Raw_Events!$H:$H,Raw_Events!$C:$C,$A193,Raw_Events!$G:$G,"UNHEALTHY_MEAL")</f>
        <v/>
      </c>
      <c r="K193" s="28">
        <f>SUMIFS(Raw_Events!$H:$H,Raw_Events!$C:$C,$A193,Raw_Events!$G:$G,"TRAINING_MIN")+SUMIFS(Raw_Events!$H:$H,Raw_Events!$C:$C,$A193,Raw_Events!$G:$G,"DICTION_TRAINING_MIN")</f>
        <v/>
      </c>
      <c r="L193" s="28" t="n"/>
      <c r="M193" s="16">
        <f>SUMIFS(Raw_Events!$H:$H,Raw_Events!$C:$C,$A193,Raw_Events!$G:$G,"IDEA")</f>
        <v/>
      </c>
      <c r="N193" s="16">
        <f>COUNTIFS(Raw_Events!$C:$C,$A193,Raw_Events!$G:$G,"SOCIAL_MEET")</f>
        <v/>
      </c>
      <c r="O193" s="16">
        <f>COUNTIFS(Raw_Events!$C:$C,$A193,Raw_Events!$G:$G,"DATE")</f>
        <v/>
      </c>
      <c r="P193" s="3">
        <f>COUNTIFS(Raw_Events!$C:$C,$A193,Raw_Events!$G:$G,"NEW_ACTIVITY")</f>
        <v/>
      </c>
      <c r="Q193" s="3">
        <f>SUMIFS(Raw_Events!$H:$H,Raw_Events!$C:$C,$A193,Raw_Events!$G:$G,"TRAVEL_NIGHT")</f>
        <v/>
      </c>
      <c r="R193" s="3" t="n"/>
    </row>
    <row r="194" ht="15" customHeight="1">
      <c r="A194" s="14" t="n">
        <v>46214</v>
      </c>
      <c r="B194" s="27">
        <f>SUMIFS(Raw_Events!$H:$H,Raw_Events!$C:$C,$A194,Raw_Events!$G:$G,"SLEEP_HOURS")</f>
        <v/>
      </c>
      <c r="C194" s="16">
        <f>COUNTIFS(Raw_Events!$C:$C,$A194,Raw_Events!$G:$G,"WORKOUT")</f>
        <v/>
      </c>
      <c r="D194" s="28">
        <f>SUMIFS(Raw_Events!$H:$H,Raw_Events!$C:$C,$A194,Raw_Events!$G:$G,"POSTURE_SESSION")</f>
        <v/>
      </c>
      <c r="E194" s="8">
        <f>IF($D194="","",IF($D194&gt;=Settings!$C$17,1,0))</f>
        <v/>
      </c>
      <c r="F194" s="28">
        <f>SUMIFS(Raw_Events!$H:$H,Raw_Events!$C:$C,$A194,Raw_Events!$G:$G,"MINDFULNESS_MIN")</f>
        <v/>
      </c>
      <c r="G194" s="8">
        <f>IF($F194="","",IF($F194&gt;0,1,0))</f>
        <v/>
      </c>
      <c r="H194" s="16">
        <f>SUMIFS(Raw_Events!$H:$H,Raw_Events!$C:$C,$A194,Raw_Events!$G:$G,"CIGARETTES")</f>
        <v/>
      </c>
      <c r="I194" s="29">
        <f>SUMIFS(Raw_Events!$L:$L,Raw_Events!$C:$C,$A194,Raw_Events!$G:$G,"ALCOHOL")</f>
        <v/>
      </c>
      <c r="J194" s="16">
        <f>SUMIFS(Raw_Events!$H:$H,Raw_Events!$C:$C,$A194,Raw_Events!$G:$G,"UNHEALTHY_MEAL")</f>
        <v/>
      </c>
      <c r="K194" s="28">
        <f>SUMIFS(Raw_Events!$H:$H,Raw_Events!$C:$C,$A194,Raw_Events!$G:$G,"TRAINING_MIN")+SUMIFS(Raw_Events!$H:$H,Raw_Events!$C:$C,$A194,Raw_Events!$G:$G,"DICTION_TRAINING_MIN")</f>
        <v/>
      </c>
      <c r="L194" s="28" t="n"/>
      <c r="M194" s="16">
        <f>SUMIFS(Raw_Events!$H:$H,Raw_Events!$C:$C,$A194,Raw_Events!$G:$G,"IDEA")</f>
        <v/>
      </c>
      <c r="N194" s="16">
        <f>COUNTIFS(Raw_Events!$C:$C,$A194,Raw_Events!$G:$G,"SOCIAL_MEET")</f>
        <v/>
      </c>
      <c r="O194" s="16">
        <f>COUNTIFS(Raw_Events!$C:$C,$A194,Raw_Events!$G:$G,"DATE")</f>
        <v/>
      </c>
      <c r="P194" s="3">
        <f>COUNTIFS(Raw_Events!$C:$C,$A194,Raw_Events!$G:$G,"NEW_ACTIVITY")</f>
        <v/>
      </c>
      <c r="Q194" s="3">
        <f>SUMIFS(Raw_Events!$H:$H,Raw_Events!$C:$C,$A194,Raw_Events!$G:$G,"TRAVEL_NIGHT")</f>
        <v/>
      </c>
      <c r="R194" s="3" t="n"/>
    </row>
    <row r="195" ht="15" customHeight="1">
      <c r="A195" s="14" t="n">
        <v>46215</v>
      </c>
      <c r="B195" s="27">
        <f>SUMIFS(Raw_Events!$H:$H,Raw_Events!$C:$C,$A195,Raw_Events!$G:$G,"SLEEP_HOURS")</f>
        <v/>
      </c>
      <c r="C195" s="16">
        <f>COUNTIFS(Raw_Events!$C:$C,$A195,Raw_Events!$G:$G,"WORKOUT")</f>
        <v/>
      </c>
      <c r="D195" s="28">
        <f>SUMIFS(Raw_Events!$H:$H,Raw_Events!$C:$C,$A195,Raw_Events!$G:$G,"POSTURE_SESSION")</f>
        <v/>
      </c>
      <c r="E195" s="8">
        <f>IF($D195="","",IF($D195&gt;=Settings!$C$17,1,0))</f>
        <v/>
      </c>
      <c r="F195" s="28">
        <f>SUMIFS(Raw_Events!$H:$H,Raw_Events!$C:$C,$A195,Raw_Events!$G:$G,"MINDFULNESS_MIN")</f>
        <v/>
      </c>
      <c r="G195" s="8">
        <f>IF($F195="","",IF($F195&gt;0,1,0))</f>
        <v/>
      </c>
      <c r="H195" s="16">
        <f>SUMIFS(Raw_Events!$H:$H,Raw_Events!$C:$C,$A195,Raw_Events!$G:$G,"CIGARETTES")</f>
        <v/>
      </c>
      <c r="I195" s="29">
        <f>SUMIFS(Raw_Events!$L:$L,Raw_Events!$C:$C,$A195,Raw_Events!$G:$G,"ALCOHOL")</f>
        <v/>
      </c>
      <c r="J195" s="16">
        <f>SUMIFS(Raw_Events!$H:$H,Raw_Events!$C:$C,$A195,Raw_Events!$G:$G,"UNHEALTHY_MEAL")</f>
        <v/>
      </c>
      <c r="K195" s="28">
        <f>SUMIFS(Raw_Events!$H:$H,Raw_Events!$C:$C,$A195,Raw_Events!$G:$G,"TRAINING_MIN")+SUMIFS(Raw_Events!$H:$H,Raw_Events!$C:$C,$A195,Raw_Events!$G:$G,"DICTION_TRAINING_MIN")</f>
        <v/>
      </c>
      <c r="L195" s="28" t="n"/>
      <c r="M195" s="16">
        <f>SUMIFS(Raw_Events!$H:$H,Raw_Events!$C:$C,$A195,Raw_Events!$G:$G,"IDEA")</f>
        <v/>
      </c>
      <c r="N195" s="16">
        <f>COUNTIFS(Raw_Events!$C:$C,$A195,Raw_Events!$G:$G,"SOCIAL_MEET")</f>
        <v/>
      </c>
      <c r="O195" s="16">
        <f>COUNTIFS(Raw_Events!$C:$C,$A195,Raw_Events!$G:$G,"DATE")</f>
        <v/>
      </c>
      <c r="P195" s="3">
        <f>COUNTIFS(Raw_Events!$C:$C,$A195,Raw_Events!$G:$G,"NEW_ACTIVITY")</f>
        <v/>
      </c>
      <c r="Q195" s="3">
        <f>SUMIFS(Raw_Events!$H:$H,Raw_Events!$C:$C,$A195,Raw_Events!$G:$G,"TRAVEL_NIGHT")</f>
        <v/>
      </c>
      <c r="R195" s="3" t="n"/>
    </row>
    <row r="196" ht="15" customHeight="1">
      <c r="A196" s="14" t="n">
        <v>46216</v>
      </c>
      <c r="B196" s="27">
        <f>SUMIFS(Raw_Events!$H:$H,Raw_Events!$C:$C,$A196,Raw_Events!$G:$G,"SLEEP_HOURS")</f>
        <v/>
      </c>
      <c r="C196" s="16">
        <f>COUNTIFS(Raw_Events!$C:$C,$A196,Raw_Events!$G:$G,"WORKOUT")</f>
        <v/>
      </c>
      <c r="D196" s="28">
        <f>SUMIFS(Raw_Events!$H:$H,Raw_Events!$C:$C,$A196,Raw_Events!$G:$G,"POSTURE_SESSION")</f>
        <v/>
      </c>
      <c r="E196" s="8">
        <f>IF($D196="","",IF($D196&gt;=Settings!$C$17,1,0))</f>
        <v/>
      </c>
      <c r="F196" s="28">
        <f>SUMIFS(Raw_Events!$H:$H,Raw_Events!$C:$C,$A196,Raw_Events!$G:$G,"MINDFULNESS_MIN")</f>
        <v/>
      </c>
      <c r="G196" s="8">
        <f>IF($F196="","",IF($F196&gt;0,1,0))</f>
        <v/>
      </c>
      <c r="H196" s="16">
        <f>SUMIFS(Raw_Events!$H:$H,Raw_Events!$C:$C,$A196,Raw_Events!$G:$G,"CIGARETTES")</f>
        <v/>
      </c>
      <c r="I196" s="29">
        <f>SUMIFS(Raw_Events!$L:$L,Raw_Events!$C:$C,$A196,Raw_Events!$G:$G,"ALCOHOL")</f>
        <v/>
      </c>
      <c r="J196" s="16">
        <f>SUMIFS(Raw_Events!$H:$H,Raw_Events!$C:$C,$A196,Raw_Events!$G:$G,"UNHEALTHY_MEAL")</f>
        <v/>
      </c>
      <c r="K196" s="28">
        <f>SUMIFS(Raw_Events!$H:$H,Raw_Events!$C:$C,$A196,Raw_Events!$G:$G,"TRAINING_MIN")+SUMIFS(Raw_Events!$H:$H,Raw_Events!$C:$C,$A196,Raw_Events!$G:$G,"DICTION_TRAINING_MIN")</f>
        <v/>
      </c>
      <c r="L196" s="28" t="n"/>
      <c r="M196" s="16">
        <f>SUMIFS(Raw_Events!$H:$H,Raw_Events!$C:$C,$A196,Raw_Events!$G:$G,"IDEA")</f>
        <v/>
      </c>
      <c r="N196" s="16">
        <f>COUNTIFS(Raw_Events!$C:$C,$A196,Raw_Events!$G:$G,"SOCIAL_MEET")</f>
        <v/>
      </c>
      <c r="O196" s="16">
        <f>COUNTIFS(Raw_Events!$C:$C,$A196,Raw_Events!$G:$G,"DATE")</f>
        <v/>
      </c>
      <c r="P196" s="3">
        <f>COUNTIFS(Raw_Events!$C:$C,$A196,Raw_Events!$G:$G,"NEW_ACTIVITY")</f>
        <v/>
      </c>
      <c r="Q196" s="3">
        <f>SUMIFS(Raw_Events!$H:$H,Raw_Events!$C:$C,$A196,Raw_Events!$G:$G,"TRAVEL_NIGHT")</f>
        <v/>
      </c>
      <c r="R196" s="3" t="n"/>
    </row>
    <row r="197" ht="15" customHeight="1">
      <c r="A197" s="14" t="n">
        <v>46217</v>
      </c>
      <c r="B197" s="27">
        <f>SUMIFS(Raw_Events!$H:$H,Raw_Events!$C:$C,$A197,Raw_Events!$G:$G,"SLEEP_HOURS")</f>
        <v/>
      </c>
      <c r="C197" s="16">
        <f>COUNTIFS(Raw_Events!$C:$C,$A197,Raw_Events!$G:$G,"WORKOUT")</f>
        <v/>
      </c>
      <c r="D197" s="28">
        <f>SUMIFS(Raw_Events!$H:$H,Raw_Events!$C:$C,$A197,Raw_Events!$G:$G,"POSTURE_SESSION")</f>
        <v/>
      </c>
      <c r="E197" s="8">
        <f>IF($D197="","",IF($D197&gt;=Settings!$C$17,1,0))</f>
        <v/>
      </c>
      <c r="F197" s="28">
        <f>SUMIFS(Raw_Events!$H:$H,Raw_Events!$C:$C,$A197,Raw_Events!$G:$G,"MINDFULNESS_MIN")</f>
        <v/>
      </c>
      <c r="G197" s="8">
        <f>IF($F197="","",IF($F197&gt;0,1,0))</f>
        <v/>
      </c>
      <c r="H197" s="16">
        <f>SUMIFS(Raw_Events!$H:$H,Raw_Events!$C:$C,$A197,Raw_Events!$G:$G,"CIGARETTES")</f>
        <v/>
      </c>
      <c r="I197" s="29">
        <f>SUMIFS(Raw_Events!$L:$L,Raw_Events!$C:$C,$A197,Raw_Events!$G:$G,"ALCOHOL")</f>
        <v/>
      </c>
      <c r="J197" s="16">
        <f>SUMIFS(Raw_Events!$H:$H,Raw_Events!$C:$C,$A197,Raw_Events!$G:$G,"UNHEALTHY_MEAL")</f>
        <v/>
      </c>
      <c r="K197" s="28">
        <f>SUMIFS(Raw_Events!$H:$H,Raw_Events!$C:$C,$A197,Raw_Events!$G:$G,"TRAINING_MIN")+SUMIFS(Raw_Events!$H:$H,Raw_Events!$C:$C,$A197,Raw_Events!$G:$G,"DICTION_TRAINING_MIN")</f>
        <v/>
      </c>
      <c r="L197" s="28" t="n"/>
      <c r="M197" s="16">
        <f>SUMIFS(Raw_Events!$H:$H,Raw_Events!$C:$C,$A197,Raw_Events!$G:$G,"IDEA")</f>
        <v/>
      </c>
      <c r="N197" s="16">
        <f>COUNTIFS(Raw_Events!$C:$C,$A197,Raw_Events!$G:$G,"SOCIAL_MEET")</f>
        <v/>
      </c>
      <c r="O197" s="16">
        <f>COUNTIFS(Raw_Events!$C:$C,$A197,Raw_Events!$G:$G,"DATE")</f>
        <v/>
      </c>
      <c r="P197" s="3">
        <f>COUNTIFS(Raw_Events!$C:$C,$A197,Raw_Events!$G:$G,"NEW_ACTIVITY")</f>
        <v/>
      </c>
      <c r="Q197" s="3">
        <f>SUMIFS(Raw_Events!$H:$H,Raw_Events!$C:$C,$A197,Raw_Events!$G:$G,"TRAVEL_NIGHT")</f>
        <v/>
      </c>
      <c r="R197" s="3" t="n"/>
    </row>
    <row r="198" ht="15" customHeight="1">
      <c r="A198" s="14" t="n">
        <v>46218</v>
      </c>
      <c r="B198" s="27">
        <f>SUMIFS(Raw_Events!$H:$H,Raw_Events!$C:$C,$A198,Raw_Events!$G:$G,"SLEEP_HOURS")</f>
        <v/>
      </c>
      <c r="C198" s="16">
        <f>COUNTIFS(Raw_Events!$C:$C,$A198,Raw_Events!$G:$G,"WORKOUT")</f>
        <v/>
      </c>
      <c r="D198" s="28">
        <f>SUMIFS(Raw_Events!$H:$H,Raw_Events!$C:$C,$A198,Raw_Events!$G:$G,"POSTURE_SESSION")</f>
        <v/>
      </c>
      <c r="E198" s="8">
        <f>IF($D198="","",IF($D198&gt;=Settings!$C$17,1,0))</f>
        <v/>
      </c>
      <c r="F198" s="28">
        <f>SUMIFS(Raw_Events!$H:$H,Raw_Events!$C:$C,$A198,Raw_Events!$G:$G,"MINDFULNESS_MIN")</f>
        <v/>
      </c>
      <c r="G198" s="8">
        <f>IF($F198="","",IF($F198&gt;0,1,0))</f>
        <v/>
      </c>
      <c r="H198" s="16">
        <f>SUMIFS(Raw_Events!$H:$H,Raw_Events!$C:$C,$A198,Raw_Events!$G:$G,"CIGARETTES")</f>
        <v/>
      </c>
      <c r="I198" s="29">
        <f>SUMIFS(Raw_Events!$L:$L,Raw_Events!$C:$C,$A198,Raw_Events!$G:$G,"ALCOHOL")</f>
        <v/>
      </c>
      <c r="J198" s="16">
        <f>SUMIFS(Raw_Events!$H:$H,Raw_Events!$C:$C,$A198,Raw_Events!$G:$G,"UNHEALTHY_MEAL")</f>
        <v/>
      </c>
      <c r="K198" s="28">
        <f>SUMIFS(Raw_Events!$H:$H,Raw_Events!$C:$C,$A198,Raw_Events!$G:$G,"TRAINING_MIN")+SUMIFS(Raw_Events!$H:$H,Raw_Events!$C:$C,$A198,Raw_Events!$G:$G,"DICTION_TRAINING_MIN")</f>
        <v/>
      </c>
      <c r="L198" s="28" t="n"/>
      <c r="M198" s="16">
        <f>SUMIFS(Raw_Events!$H:$H,Raw_Events!$C:$C,$A198,Raw_Events!$G:$G,"IDEA")</f>
        <v/>
      </c>
      <c r="N198" s="16">
        <f>COUNTIFS(Raw_Events!$C:$C,$A198,Raw_Events!$G:$G,"SOCIAL_MEET")</f>
        <v/>
      </c>
      <c r="O198" s="16">
        <f>COUNTIFS(Raw_Events!$C:$C,$A198,Raw_Events!$G:$G,"DATE")</f>
        <v/>
      </c>
      <c r="P198" s="3">
        <f>COUNTIFS(Raw_Events!$C:$C,$A198,Raw_Events!$G:$G,"NEW_ACTIVITY")</f>
        <v/>
      </c>
      <c r="Q198" s="3">
        <f>SUMIFS(Raw_Events!$H:$H,Raw_Events!$C:$C,$A198,Raw_Events!$G:$G,"TRAVEL_NIGHT")</f>
        <v/>
      </c>
      <c r="R198" s="3" t="n"/>
    </row>
    <row r="199" ht="15" customHeight="1">
      <c r="A199" s="14" t="n">
        <v>46219</v>
      </c>
      <c r="B199" s="27">
        <f>SUMIFS(Raw_Events!$H:$H,Raw_Events!$C:$C,$A199,Raw_Events!$G:$G,"SLEEP_HOURS")</f>
        <v/>
      </c>
      <c r="C199" s="16">
        <f>COUNTIFS(Raw_Events!$C:$C,$A199,Raw_Events!$G:$G,"WORKOUT")</f>
        <v/>
      </c>
      <c r="D199" s="28">
        <f>SUMIFS(Raw_Events!$H:$H,Raw_Events!$C:$C,$A199,Raw_Events!$G:$G,"POSTURE_SESSION")</f>
        <v/>
      </c>
      <c r="E199" s="8">
        <f>IF($D199="","",IF($D199&gt;=Settings!$C$17,1,0))</f>
        <v/>
      </c>
      <c r="F199" s="28">
        <f>SUMIFS(Raw_Events!$H:$H,Raw_Events!$C:$C,$A199,Raw_Events!$G:$G,"MINDFULNESS_MIN")</f>
        <v/>
      </c>
      <c r="G199" s="8">
        <f>IF($F199="","",IF($F199&gt;0,1,0))</f>
        <v/>
      </c>
      <c r="H199" s="16">
        <f>SUMIFS(Raw_Events!$H:$H,Raw_Events!$C:$C,$A199,Raw_Events!$G:$G,"CIGARETTES")</f>
        <v/>
      </c>
      <c r="I199" s="29">
        <f>SUMIFS(Raw_Events!$L:$L,Raw_Events!$C:$C,$A199,Raw_Events!$G:$G,"ALCOHOL")</f>
        <v/>
      </c>
      <c r="J199" s="16">
        <f>SUMIFS(Raw_Events!$H:$H,Raw_Events!$C:$C,$A199,Raw_Events!$G:$G,"UNHEALTHY_MEAL")</f>
        <v/>
      </c>
      <c r="K199" s="28">
        <f>SUMIFS(Raw_Events!$H:$H,Raw_Events!$C:$C,$A199,Raw_Events!$G:$G,"TRAINING_MIN")+SUMIFS(Raw_Events!$H:$H,Raw_Events!$C:$C,$A199,Raw_Events!$G:$G,"DICTION_TRAINING_MIN")</f>
        <v/>
      </c>
      <c r="L199" s="28" t="n"/>
      <c r="M199" s="16">
        <f>SUMIFS(Raw_Events!$H:$H,Raw_Events!$C:$C,$A199,Raw_Events!$G:$G,"IDEA")</f>
        <v/>
      </c>
      <c r="N199" s="16">
        <f>COUNTIFS(Raw_Events!$C:$C,$A199,Raw_Events!$G:$G,"SOCIAL_MEET")</f>
        <v/>
      </c>
      <c r="O199" s="16">
        <f>COUNTIFS(Raw_Events!$C:$C,$A199,Raw_Events!$G:$G,"DATE")</f>
        <v/>
      </c>
      <c r="P199" s="3">
        <f>COUNTIFS(Raw_Events!$C:$C,$A199,Raw_Events!$G:$G,"NEW_ACTIVITY")</f>
        <v/>
      </c>
      <c r="Q199" s="3">
        <f>SUMIFS(Raw_Events!$H:$H,Raw_Events!$C:$C,$A199,Raw_Events!$G:$G,"TRAVEL_NIGHT")</f>
        <v/>
      </c>
      <c r="R199" s="3" t="n"/>
    </row>
    <row r="200" ht="15" customHeight="1">
      <c r="A200" s="14" t="n">
        <v>46220</v>
      </c>
      <c r="B200" s="27">
        <f>SUMIFS(Raw_Events!$H:$H,Raw_Events!$C:$C,$A200,Raw_Events!$G:$G,"SLEEP_HOURS")</f>
        <v/>
      </c>
      <c r="C200" s="16">
        <f>COUNTIFS(Raw_Events!$C:$C,$A200,Raw_Events!$G:$G,"WORKOUT")</f>
        <v/>
      </c>
      <c r="D200" s="28">
        <f>SUMIFS(Raw_Events!$H:$H,Raw_Events!$C:$C,$A200,Raw_Events!$G:$G,"POSTURE_SESSION")</f>
        <v/>
      </c>
      <c r="E200" s="8">
        <f>IF($D200="","",IF($D200&gt;=Settings!$C$17,1,0))</f>
        <v/>
      </c>
      <c r="F200" s="28">
        <f>SUMIFS(Raw_Events!$H:$H,Raw_Events!$C:$C,$A200,Raw_Events!$G:$G,"MINDFULNESS_MIN")</f>
        <v/>
      </c>
      <c r="G200" s="8">
        <f>IF($F200="","",IF($F200&gt;0,1,0))</f>
        <v/>
      </c>
      <c r="H200" s="16">
        <f>SUMIFS(Raw_Events!$H:$H,Raw_Events!$C:$C,$A200,Raw_Events!$G:$G,"CIGARETTES")</f>
        <v/>
      </c>
      <c r="I200" s="29">
        <f>SUMIFS(Raw_Events!$L:$L,Raw_Events!$C:$C,$A200,Raw_Events!$G:$G,"ALCOHOL")</f>
        <v/>
      </c>
      <c r="J200" s="16">
        <f>SUMIFS(Raw_Events!$H:$H,Raw_Events!$C:$C,$A200,Raw_Events!$G:$G,"UNHEALTHY_MEAL")</f>
        <v/>
      </c>
      <c r="K200" s="28">
        <f>SUMIFS(Raw_Events!$H:$H,Raw_Events!$C:$C,$A200,Raw_Events!$G:$G,"TRAINING_MIN")+SUMIFS(Raw_Events!$H:$H,Raw_Events!$C:$C,$A200,Raw_Events!$G:$G,"DICTION_TRAINING_MIN")</f>
        <v/>
      </c>
      <c r="L200" s="28" t="n"/>
      <c r="M200" s="16">
        <f>SUMIFS(Raw_Events!$H:$H,Raw_Events!$C:$C,$A200,Raw_Events!$G:$G,"IDEA")</f>
        <v/>
      </c>
      <c r="N200" s="16">
        <f>COUNTIFS(Raw_Events!$C:$C,$A200,Raw_Events!$G:$G,"SOCIAL_MEET")</f>
        <v/>
      </c>
      <c r="O200" s="16">
        <f>COUNTIFS(Raw_Events!$C:$C,$A200,Raw_Events!$G:$G,"DATE")</f>
        <v/>
      </c>
      <c r="P200" s="3">
        <f>COUNTIFS(Raw_Events!$C:$C,$A200,Raw_Events!$G:$G,"NEW_ACTIVITY")</f>
        <v/>
      </c>
      <c r="Q200" s="3">
        <f>SUMIFS(Raw_Events!$H:$H,Raw_Events!$C:$C,$A200,Raw_Events!$G:$G,"TRAVEL_NIGHT")</f>
        <v/>
      </c>
      <c r="R200" s="3" t="n"/>
    </row>
    <row r="201" ht="15" customHeight="1">
      <c r="A201" s="14" t="n">
        <v>46221</v>
      </c>
      <c r="B201" s="27">
        <f>SUMIFS(Raw_Events!$H:$H,Raw_Events!$C:$C,$A201,Raw_Events!$G:$G,"SLEEP_HOURS")</f>
        <v/>
      </c>
      <c r="C201" s="16">
        <f>COUNTIFS(Raw_Events!$C:$C,$A201,Raw_Events!$G:$G,"WORKOUT")</f>
        <v/>
      </c>
      <c r="D201" s="28">
        <f>SUMIFS(Raw_Events!$H:$H,Raw_Events!$C:$C,$A201,Raw_Events!$G:$G,"POSTURE_SESSION")</f>
        <v/>
      </c>
      <c r="E201" s="8">
        <f>IF($D201="","",IF($D201&gt;=Settings!$C$17,1,0))</f>
        <v/>
      </c>
      <c r="F201" s="28">
        <f>SUMIFS(Raw_Events!$H:$H,Raw_Events!$C:$C,$A201,Raw_Events!$G:$G,"MINDFULNESS_MIN")</f>
        <v/>
      </c>
      <c r="G201" s="8">
        <f>IF($F201="","",IF($F201&gt;0,1,0))</f>
        <v/>
      </c>
      <c r="H201" s="16">
        <f>SUMIFS(Raw_Events!$H:$H,Raw_Events!$C:$C,$A201,Raw_Events!$G:$G,"CIGARETTES")</f>
        <v/>
      </c>
      <c r="I201" s="29">
        <f>SUMIFS(Raw_Events!$L:$L,Raw_Events!$C:$C,$A201,Raw_Events!$G:$G,"ALCOHOL")</f>
        <v/>
      </c>
      <c r="J201" s="16">
        <f>SUMIFS(Raw_Events!$H:$H,Raw_Events!$C:$C,$A201,Raw_Events!$G:$G,"UNHEALTHY_MEAL")</f>
        <v/>
      </c>
      <c r="K201" s="28">
        <f>SUMIFS(Raw_Events!$H:$H,Raw_Events!$C:$C,$A201,Raw_Events!$G:$G,"TRAINING_MIN")+SUMIFS(Raw_Events!$H:$H,Raw_Events!$C:$C,$A201,Raw_Events!$G:$G,"DICTION_TRAINING_MIN")</f>
        <v/>
      </c>
      <c r="L201" s="28" t="n"/>
      <c r="M201" s="16">
        <f>SUMIFS(Raw_Events!$H:$H,Raw_Events!$C:$C,$A201,Raw_Events!$G:$G,"IDEA")</f>
        <v/>
      </c>
      <c r="N201" s="16">
        <f>COUNTIFS(Raw_Events!$C:$C,$A201,Raw_Events!$G:$G,"SOCIAL_MEET")</f>
        <v/>
      </c>
      <c r="O201" s="16">
        <f>COUNTIFS(Raw_Events!$C:$C,$A201,Raw_Events!$G:$G,"DATE")</f>
        <v/>
      </c>
      <c r="P201" s="3">
        <f>COUNTIFS(Raw_Events!$C:$C,$A201,Raw_Events!$G:$G,"NEW_ACTIVITY")</f>
        <v/>
      </c>
      <c r="Q201" s="3">
        <f>SUMIFS(Raw_Events!$H:$H,Raw_Events!$C:$C,$A201,Raw_Events!$G:$G,"TRAVEL_NIGHT")</f>
        <v/>
      </c>
      <c r="R201" s="3" t="n"/>
    </row>
    <row r="202" ht="15" customHeight="1">
      <c r="A202" s="14" t="n">
        <v>46222</v>
      </c>
      <c r="B202" s="27">
        <f>SUMIFS(Raw_Events!$H:$H,Raw_Events!$C:$C,$A202,Raw_Events!$G:$G,"SLEEP_HOURS")</f>
        <v/>
      </c>
      <c r="C202" s="16">
        <f>COUNTIFS(Raw_Events!$C:$C,$A202,Raw_Events!$G:$G,"WORKOUT")</f>
        <v/>
      </c>
      <c r="D202" s="28">
        <f>SUMIFS(Raw_Events!$H:$H,Raw_Events!$C:$C,$A202,Raw_Events!$G:$G,"POSTURE_SESSION")</f>
        <v/>
      </c>
      <c r="E202" s="8">
        <f>IF($D202="","",IF($D202&gt;=Settings!$C$17,1,0))</f>
        <v/>
      </c>
      <c r="F202" s="28">
        <f>SUMIFS(Raw_Events!$H:$H,Raw_Events!$C:$C,$A202,Raw_Events!$G:$G,"MINDFULNESS_MIN")</f>
        <v/>
      </c>
      <c r="G202" s="8">
        <f>IF($F202="","",IF($F202&gt;0,1,0))</f>
        <v/>
      </c>
      <c r="H202" s="16">
        <f>SUMIFS(Raw_Events!$H:$H,Raw_Events!$C:$C,$A202,Raw_Events!$G:$G,"CIGARETTES")</f>
        <v/>
      </c>
      <c r="I202" s="29">
        <f>SUMIFS(Raw_Events!$L:$L,Raw_Events!$C:$C,$A202,Raw_Events!$G:$G,"ALCOHOL")</f>
        <v/>
      </c>
      <c r="J202" s="16">
        <f>SUMIFS(Raw_Events!$H:$H,Raw_Events!$C:$C,$A202,Raw_Events!$G:$G,"UNHEALTHY_MEAL")</f>
        <v/>
      </c>
      <c r="K202" s="28">
        <f>SUMIFS(Raw_Events!$H:$H,Raw_Events!$C:$C,$A202,Raw_Events!$G:$G,"TRAINING_MIN")+SUMIFS(Raw_Events!$H:$H,Raw_Events!$C:$C,$A202,Raw_Events!$G:$G,"DICTION_TRAINING_MIN")</f>
        <v/>
      </c>
      <c r="L202" s="28" t="n"/>
      <c r="M202" s="16">
        <f>SUMIFS(Raw_Events!$H:$H,Raw_Events!$C:$C,$A202,Raw_Events!$G:$G,"IDEA")</f>
        <v/>
      </c>
      <c r="N202" s="16">
        <f>COUNTIFS(Raw_Events!$C:$C,$A202,Raw_Events!$G:$G,"SOCIAL_MEET")</f>
        <v/>
      </c>
      <c r="O202" s="16">
        <f>COUNTIFS(Raw_Events!$C:$C,$A202,Raw_Events!$G:$G,"DATE")</f>
        <v/>
      </c>
      <c r="P202" s="3">
        <f>COUNTIFS(Raw_Events!$C:$C,$A202,Raw_Events!$G:$G,"NEW_ACTIVITY")</f>
        <v/>
      </c>
      <c r="Q202" s="3">
        <f>SUMIFS(Raw_Events!$H:$H,Raw_Events!$C:$C,$A202,Raw_Events!$G:$G,"TRAVEL_NIGHT")</f>
        <v/>
      </c>
      <c r="R202" s="3" t="n"/>
    </row>
    <row r="203" ht="15" customHeight="1">
      <c r="A203" s="14" t="n">
        <v>46223</v>
      </c>
      <c r="B203" s="27">
        <f>SUMIFS(Raw_Events!$H:$H,Raw_Events!$C:$C,$A203,Raw_Events!$G:$G,"SLEEP_HOURS")</f>
        <v/>
      </c>
      <c r="C203" s="16">
        <f>COUNTIFS(Raw_Events!$C:$C,$A203,Raw_Events!$G:$G,"WORKOUT")</f>
        <v/>
      </c>
      <c r="D203" s="28">
        <f>SUMIFS(Raw_Events!$H:$H,Raw_Events!$C:$C,$A203,Raw_Events!$G:$G,"POSTURE_SESSION")</f>
        <v/>
      </c>
      <c r="E203" s="8">
        <f>IF($D203="","",IF($D203&gt;=Settings!$C$17,1,0))</f>
        <v/>
      </c>
      <c r="F203" s="28">
        <f>SUMIFS(Raw_Events!$H:$H,Raw_Events!$C:$C,$A203,Raw_Events!$G:$G,"MINDFULNESS_MIN")</f>
        <v/>
      </c>
      <c r="G203" s="8">
        <f>IF($F203="","",IF($F203&gt;0,1,0))</f>
        <v/>
      </c>
      <c r="H203" s="16">
        <f>SUMIFS(Raw_Events!$H:$H,Raw_Events!$C:$C,$A203,Raw_Events!$G:$G,"CIGARETTES")</f>
        <v/>
      </c>
      <c r="I203" s="29">
        <f>SUMIFS(Raw_Events!$L:$L,Raw_Events!$C:$C,$A203,Raw_Events!$G:$G,"ALCOHOL")</f>
        <v/>
      </c>
      <c r="J203" s="16">
        <f>SUMIFS(Raw_Events!$H:$H,Raw_Events!$C:$C,$A203,Raw_Events!$G:$G,"UNHEALTHY_MEAL")</f>
        <v/>
      </c>
      <c r="K203" s="28">
        <f>SUMIFS(Raw_Events!$H:$H,Raw_Events!$C:$C,$A203,Raw_Events!$G:$G,"TRAINING_MIN")+SUMIFS(Raw_Events!$H:$H,Raw_Events!$C:$C,$A203,Raw_Events!$G:$G,"DICTION_TRAINING_MIN")</f>
        <v/>
      </c>
      <c r="L203" s="28" t="n"/>
      <c r="M203" s="16">
        <f>SUMIFS(Raw_Events!$H:$H,Raw_Events!$C:$C,$A203,Raw_Events!$G:$G,"IDEA")</f>
        <v/>
      </c>
      <c r="N203" s="16">
        <f>COUNTIFS(Raw_Events!$C:$C,$A203,Raw_Events!$G:$G,"SOCIAL_MEET")</f>
        <v/>
      </c>
      <c r="O203" s="16">
        <f>COUNTIFS(Raw_Events!$C:$C,$A203,Raw_Events!$G:$G,"DATE")</f>
        <v/>
      </c>
      <c r="P203" s="3">
        <f>COUNTIFS(Raw_Events!$C:$C,$A203,Raw_Events!$G:$G,"NEW_ACTIVITY")</f>
        <v/>
      </c>
      <c r="Q203" s="3">
        <f>SUMIFS(Raw_Events!$H:$H,Raw_Events!$C:$C,$A203,Raw_Events!$G:$G,"TRAVEL_NIGHT")</f>
        <v/>
      </c>
      <c r="R203" s="3" t="n"/>
    </row>
    <row r="204" ht="15" customHeight="1">
      <c r="A204" s="14" t="n">
        <v>46224</v>
      </c>
      <c r="B204" s="27">
        <f>SUMIFS(Raw_Events!$H:$H,Raw_Events!$C:$C,$A204,Raw_Events!$G:$G,"SLEEP_HOURS")</f>
        <v/>
      </c>
      <c r="C204" s="16">
        <f>COUNTIFS(Raw_Events!$C:$C,$A204,Raw_Events!$G:$G,"WORKOUT")</f>
        <v/>
      </c>
      <c r="D204" s="28">
        <f>SUMIFS(Raw_Events!$H:$H,Raw_Events!$C:$C,$A204,Raw_Events!$G:$G,"POSTURE_SESSION")</f>
        <v/>
      </c>
      <c r="E204" s="8">
        <f>IF($D204="","",IF($D204&gt;=Settings!$C$17,1,0))</f>
        <v/>
      </c>
      <c r="F204" s="28">
        <f>SUMIFS(Raw_Events!$H:$H,Raw_Events!$C:$C,$A204,Raw_Events!$G:$G,"MINDFULNESS_MIN")</f>
        <v/>
      </c>
      <c r="G204" s="8">
        <f>IF($F204="","",IF($F204&gt;0,1,0))</f>
        <v/>
      </c>
      <c r="H204" s="16">
        <f>SUMIFS(Raw_Events!$H:$H,Raw_Events!$C:$C,$A204,Raw_Events!$G:$G,"CIGARETTES")</f>
        <v/>
      </c>
      <c r="I204" s="29">
        <f>SUMIFS(Raw_Events!$L:$L,Raw_Events!$C:$C,$A204,Raw_Events!$G:$G,"ALCOHOL")</f>
        <v/>
      </c>
      <c r="J204" s="16">
        <f>SUMIFS(Raw_Events!$H:$H,Raw_Events!$C:$C,$A204,Raw_Events!$G:$G,"UNHEALTHY_MEAL")</f>
        <v/>
      </c>
      <c r="K204" s="28">
        <f>SUMIFS(Raw_Events!$H:$H,Raw_Events!$C:$C,$A204,Raw_Events!$G:$G,"TRAINING_MIN")+SUMIFS(Raw_Events!$H:$H,Raw_Events!$C:$C,$A204,Raw_Events!$G:$G,"DICTION_TRAINING_MIN")</f>
        <v/>
      </c>
      <c r="L204" s="28" t="n"/>
      <c r="M204" s="16">
        <f>SUMIFS(Raw_Events!$H:$H,Raw_Events!$C:$C,$A204,Raw_Events!$G:$G,"IDEA")</f>
        <v/>
      </c>
      <c r="N204" s="16">
        <f>COUNTIFS(Raw_Events!$C:$C,$A204,Raw_Events!$G:$G,"SOCIAL_MEET")</f>
        <v/>
      </c>
      <c r="O204" s="16">
        <f>COUNTIFS(Raw_Events!$C:$C,$A204,Raw_Events!$G:$G,"DATE")</f>
        <v/>
      </c>
      <c r="P204" s="3">
        <f>COUNTIFS(Raw_Events!$C:$C,$A204,Raw_Events!$G:$G,"NEW_ACTIVITY")</f>
        <v/>
      </c>
      <c r="Q204" s="3">
        <f>SUMIFS(Raw_Events!$H:$H,Raw_Events!$C:$C,$A204,Raw_Events!$G:$G,"TRAVEL_NIGHT")</f>
        <v/>
      </c>
      <c r="R204" s="3" t="n"/>
    </row>
    <row r="205" ht="15" customHeight="1">
      <c r="A205" s="14" t="n">
        <v>46225</v>
      </c>
      <c r="B205" s="27">
        <f>SUMIFS(Raw_Events!$H:$H,Raw_Events!$C:$C,$A205,Raw_Events!$G:$G,"SLEEP_HOURS")</f>
        <v/>
      </c>
      <c r="C205" s="16">
        <f>COUNTIFS(Raw_Events!$C:$C,$A205,Raw_Events!$G:$G,"WORKOUT")</f>
        <v/>
      </c>
      <c r="D205" s="28">
        <f>SUMIFS(Raw_Events!$H:$H,Raw_Events!$C:$C,$A205,Raw_Events!$G:$G,"POSTURE_SESSION")</f>
        <v/>
      </c>
      <c r="E205" s="8">
        <f>IF($D205="","",IF($D205&gt;=Settings!$C$17,1,0))</f>
        <v/>
      </c>
      <c r="F205" s="28">
        <f>SUMIFS(Raw_Events!$H:$H,Raw_Events!$C:$C,$A205,Raw_Events!$G:$G,"MINDFULNESS_MIN")</f>
        <v/>
      </c>
      <c r="G205" s="8">
        <f>IF($F205="","",IF($F205&gt;0,1,0))</f>
        <v/>
      </c>
      <c r="H205" s="16">
        <f>SUMIFS(Raw_Events!$H:$H,Raw_Events!$C:$C,$A205,Raw_Events!$G:$G,"CIGARETTES")</f>
        <v/>
      </c>
      <c r="I205" s="29">
        <f>SUMIFS(Raw_Events!$L:$L,Raw_Events!$C:$C,$A205,Raw_Events!$G:$G,"ALCOHOL")</f>
        <v/>
      </c>
      <c r="J205" s="16">
        <f>SUMIFS(Raw_Events!$H:$H,Raw_Events!$C:$C,$A205,Raw_Events!$G:$G,"UNHEALTHY_MEAL")</f>
        <v/>
      </c>
      <c r="K205" s="28">
        <f>SUMIFS(Raw_Events!$H:$H,Raw_Events!$C:$C,$A205,Raw_Events!$G:$G,"TRAINING_MIN")+SUMIFS(Raw_Events!$H:$H,Raw_Events!$C:$C,$A205,Raw_Events!$G:$G,"DICTION_TRAINING_MIN")</f>
        <v/>
      </c>
      <c r="L205" s="28" t="n"/>
      <c r="M205" s="16">
        <f>SUMIFS(Raw_Events!$H:$H,Raw_Events!$C:$C,$A205,Raw_Events!$G:$G,"IDEA")</f>
        <v/>
      </c>
      <c r="N205" s="16">
        <f>COUNTIFS(Raw_Events!$C:$C,$A205,Raw_Events!$G:$G,"SOCIAL_MEET")</f>
        <v/>
      </c>
      <c r="O205" s="16">
        <f>COUNTIFS(Raw_Events!$C:$C,$A205,Raw_Events!$G:$G,"DATE")</f>
        <v/>
      </c>
      <c r="P205" s="3">
        <f>COUNTIFS(Raw_Events!$C:$C,$A205,Raw_Events!$G:$G,"NEW_ACTIVITY")</f>
        <v/>
      </c>
      <c r="Q205" s="3">
        <f>SUMIFS(Raw_Events!$H:$H,Raw_Events!$C:$C,$A205,Raw_Events!$G:$G,"TRAVEL_NIGHT")</f>
        <v/>
      </c>
      <c r="R205" s="3" t="n"/>
    </row>
    <row r="206" ht="15" customHeight="1">
      <c r="A206" s="14" t="n">
        <v>46226</v>
      </c>
      <c r="B206" s="27">
        <f>SUMIFS(Raw_Events!$H:$H,Raw_Events!$C:$C,$A206,Raw_Events!$G:$G,"SLEEP_HOURS")</f>
        <v/>
      </c>
      <c r="C206" s="16">
        <f>COUNTIFS(Raw_Events!$C:$C,$A206,Raw_Events!$G:$G,"WORKOUT")</f>
        <v/>
      </c>
      <c r="D206" s="28">
        <f>SUMIFS(Raw_Events!$H:$H,Raw_Events!$C:$C,$A206,Raw_Events!$G:$G,"POSTURE_SESSION")</f>
        <v/>
      </c>
      <c r="E206" s="8">
        <f>IF($D206="","",IF($D206&gt;=Settings!$C$17,1,0))</f>
        <v/>
      </c>
      <c r="F206" s="28">
        <f>SUMIFS(Raw_Events!$H:$H,Raw_Events!$C:$C,$A206,Raw_Events!$G:$G,"MINDFULNESS_MIN")</f>
        <v/>
      </c>
      <c r="G206" s="8">
        <f>IF($F206="","",IF($F206&gt;0,1,0))</f>
        <v/>
      </c>
      <c r="H206" s="16">
        <f>SUMIFS(Raw_Events!$H:$H,Raw_Events!$C:$C,$A206,Raw_Events!$G:$G,"CIGARETTES")</f>
        <v/>
      </c>
      <c r="I206" s="29">
        <f>SUMIFS(Raw_Events!$L:$L,Raw_Events!$C:$C,$A206,Raw_Events!$G:$G,"ALCOHOL")</f>
        <v/>
      </c>
      <c r="J206" s="16">
        <f>SUMIFS(Raw_Events!$H:$H,Raw_Events!$C:$C,$A206,Raw_Events!$G:$G,"UNHEALTHY_MEAL")</f>
        <v/>
      </c>
      <c r="K206" s="28">
        <f>SUMIFS(Raw_Events!$H:$H,Raw_Events!$C:$C,$A206,Raw_Events!$G:$G,"TRAINING_MIN")+SUMIFS(Raw_Events!$H:$H,Raw_Events!$C:$C,$A206,Raw_Events!$G:$G,"DICTION_TRAINING_MIN")</f>
        <v/>
      </c>
      <c r="L206" s="28" t="n"/>
      <c r="M206" s="16">
        <f>SUMIFS(Raw_Events!$H:$H,Raw_Events!$C:$C,$A206,Raw_Events!$G:$G,"IDEA")</f>
        <v/>
      </c>
      <c r="N206" s="16">
        <f>COUNTIFS(Raw_Events!$C:$C,$A206,Raw_Events!$G:$G,"SOCIAL_MEET")</f>
        <v/>
      </c>
      <c r="O206" s="16">
        <f>COUNTIFS(Raw_Events!$C:$C,$A206,Raw_Events!$G:$G,"DATE")</f>
        <v/>
      </c>
      <c r="P206" s="3">
        <f>COUNTIFS(Raw_Events!$C:$C,$A206,Raw_Events!$G:$G,"NEW_ACTIVITY")</f>
        <v/>
      </c>
      <c r="Q206" s="3">
        <f>SUMIFS(Raw_Events!$H:$H,Raw_Events!$C:$C,$A206,Raw_Events!$G:$G,"TRAVEL_NIGHT")</f>
        <v/>
      </c>
      <c r="R206" s="3" t="n"/>
    </row>
    <row r="207" ht="15" customHeight="1">
      <c r="A207" s="14" t="n">
        <v>46227</v>
      </c>
      <c r="B207" s="27">
        <f>SUMIFS(Raw_Events!$H:$H,Raw_Events!$C:$C,$A207,Raw_Events!$G:$G,"SLEEP_HOURS")</f>
        <v/>
      </c>
      <c r="C207" s="16">
        <f>COUNTIFS(Raw_Events!$C:$C,$A207,Raw_Events!$G:$G,"WORKOUT")</f>
        <v/>
      </c>
      <c r="D207" s="28">
        <f>SUMIFS(Raw_Events!$H:$H,Raw_Events!$C:$C,$A207,Raw_Events!$G:$G,"POSTURE_SESSION")</f>
        <v/>
      </c>
      <c r="E207" s="8">
        <f>IF($D207="","",IF($D207&gt;=Settings!$C$17,1,0))</f>
        <v/>
      </c>
      <c r="F207" s="28">
        <f>SUMIFS(Raw_Events!$H:$H,Raw_Events!$C:$C,$A207,Raw_Events!$G:$G,"MINDFULNESS_MIN")</f>
        <v/>
      </c>
      <c r="G207" s="8">
        <f>IF($F207="","",IF($F207&gt;0,1,0))</f>
        <v/>
      </c>
      <c r="H207" s="16">
        <f>SUMIFS(Raw_Events!$H:$H,Raw_Events!$C:$C,$A207,Raw_Events!$G:$G,"CIGARETTES")</f>
        <v/>
      </c>
      <c r="I207" s="29">
        <f>SUMIFS(Raw_Events!$L:$L,Raw_Events!$C:$C,$A207,Raw_Events!$G:$G,"ALCOHOL")</f>
        <v/>
      </c>
      <c r="J207" s="16">
        <f>SUMIFS(Raw_Events!$H:$H,Raw_Events!$C:$C,$A207,Raw_Events!$G:$G,"UNHEALTHY_MEAL")</f>
        <v/>
      </c>
      <c r="K207" s="28">
        <f>SUMIFS(Raw_Events!$H:$H,Raw_Events!$C:$C,$A207,Raw_Events!$G:$G,"TRAINING_MIN")+SUMIFS(Raw_Events!$H:$H,Raw_Events!$C:$C,$A207,Raw_Events!$G:$G,"DICTION_TRAINING_MIN")</f>
        <v/>
      </c>
      <c r="L207" s="28" t="n"/>
      <c r="M207" s="16">
        <f>SUMIFS(Raw_Events!$H:$H,Raw_Events!$C:$C,$A207,Raw_Events!$G:$G,"IDEA")</f>
        <v/>
      </c>
      <c r="N207" s="16">
        <f>COUNTIFS(Raw_Events!$C:$C,$A207,Raw_Events!$G:$G,"SOCIAL_MEET")</f>
        <v/>
      </c>
      <c r="O207" s="16">
        <f>COUNTIFS(Raw_Events!$C:$C,$A207,Raw_Events!$G:$G,"DATE")</f>
        <v/>
      </c>
      <c r="P207" s="3">
        <f>COUNTIFS(Raw_Events!$C:$C,$A207,Raw_Events!$G:$G,"NEW_ACTIVITY")</f>
        <v/>
      </c>
      <c r="Q207" s="3">
        <f>SUMIFS(Raw_Events!$H:$H,Raw_Events!$C:$C,$A207,Raw_Events!$G:$G,"TRAVEL_NIGHT")</f>
        <v/>
      </c>
      <c r="R207" s="3" t="n"/>
    </row>
    <row r="208" ht="15" customHeight="1">
      <c r="A208" s="14" t="n">
        <v>46228</v>
      </c>
      <c r="B208" s="27">
        <f>SUMIFS(Raw_Events!$H:$H,Raw_Events!$C:$C,$A208,Raw_Events!$G:$G,"SLEEP_HOURS")</f>
        <v/>
      </c>
      <c r="C208" s="16">
        <f>COUNTIFS(Raw_Events!$C:$C,$A208,Raw_Events!$G:$G,"WORKOUT")</f>
        <v/>
      </c>
      <c r="D208" s="28">
        <f>SUMIFS(Raw_Events!$H:$H,Raw_Events!$C:$C,$A208,Raw_Events!$G:$G,"POSTURE_SESSION")</f>
        <v/>
      </c>
      <c r="E208" s="8">
        <f>IF($D208="","",IF($D208&gt;=Settings!$C$17,1,0))</f>
        <v/>
      </c>
      <c r="F208" s="28">
        <f>SUMIFS(Raw_Events!$H:$H,Raw_Events!$C:$C,$A208,Raw_Events!$G:$G,"MINDFULNESS_MIN")</f>
        <v/>
      </c>
      <c r="G208" s="8">
        <f>IF($F208="","",IF($F208&gt;0,1,0))</f>
        <v/>
      </c>
      <c r="H208" s="16">
        <f>SUMIFS(Raw_Events!$H:$H,Raw_Events!$C:$C,$A208,Raw_Events!$G:$G,"CIGARETTES")</f>
        <v/>
      </c>
      <c r="I208" s="29">
        <f>SUMIFS(Raw_Events!$L:$L,Raw_Events!$C:$C,$A208,Raw_Events!$G:$G,"ALCOHOL")</f>
        <v/>
      </c>
      <c r="J208" s="16">
        <f>SUMIFS(Raw_Events!$H:$H,Raw_Events!$C:$C,$A208,Raw_Events!$G:$G,"UNHEALTHY_MEAL")</f>
        <v/>
      </c>
      <c r="K208" s="28">
        <f>SUMIFS(Raw_Events!$H:$H,Raw_Events!$C:$C,$A208,Raw_Events!$G:$G,"TRAINING_MIN")+SUMIFS(Raw_Events!$H:$H,Raw_Events!$C:$C,$A208,Raw_Events!$G:$G,"DICTION_TRAINING_MIN")</f>
        <v/>
      </c>
      <c r="L208" s="28" t="n"/>
      <c r="M208" s="16">
        <f>SUMIFS(Raw_Events!$H:$H,Raw_Events!$C:$C,$A208,Raw_Events!$G:$G,"IDEA")</f>
        <v/>
      </c>
      <c r="N208" s="16">
        <f>COUNTIFS(Raw_Events!$C:$C,$A208,Raw_Events!$G:$G,"SOCIAL_MEET")</f>
        <v/>
      </c>
      <c r="O208" s="16">
        <f>COUNTIFS(Raw_Events!$C:$C,$A208,Raw_Events!$G:$G,"DATE")</f>
        <v/>
      </c>
      <c r="P208" s="3">
        <f>COUNTIFS(Raw_Events!$C:$C,$A208,Raw_Events!$G:$G,"NEW_ACTIVITY")</f>
        <v/>
      </c>
      <c r="Q208" s="3">
        <f>SUMIFS(Raw_Events!$H:$H,Raw_Events!$C:$C,$A208,Raw_Events!$G:$G,"TRAVEL_NIGHT")</f>
        <v/>
      </c>
      <c r="R208" s="3" t="n"/>
    </row>
    <row r="209" ht="15" customHeight="1">
      <c r="A209" s="14" t="n">
        <v>46229</v>
      </c>
      <c r="B209" s="27">
        <f>SUMIFS(Raw_Events!$H:$H,Raw_Events!$C:$C,$A209,Raw_Events!$G:$G,"SLEEP_HOURS")</f>
        <v/>
      </c>
      <c r="C209" s="16">
        <f>COUNTIFS(Raw_Events!$C:$C,$A209,Raw_Events!$G:$G,"WORKOUT")</f>
        <v/>
      </c>
      <c r="D209" s="28">
        <f>SUMIFS(Raw_Events!$H:$H,Raw_Events!$C:$C,$A209,Raw_Events!$G:$G,"POSTURE_SESSION")</f>
        <v/>
      </c>
      <c r="E209" s="8">
        <f>IF($D209="","",IF($D209&gt;=Settings!$C$17,1,0))</f>
        <v/>
      </c>
      <c r="F209" s="28">
        <f>SUMIFS(Raw_Events!$H:$H,Raw_Events!$C:$C,$A209,Raw_Events!$G:$G,"MINDFULNESS_MIN")</f>
        <v/>
      </c>
      <c r="G209" s="8">
        <f>IF($F209="","",IF($F209&gt;0,1,0))</f>
        <v/>
      </c>
      <c r="H209" s="16">
        <f>SUMIFS(Raw_Events!$H:$H,Raw_Events!$C:$C,$A209,Raw_Events!$G:$G,"CIGARETTES")</f>
        <v/>
      </c>
      <c r="I209" s="29">
        <f>SUMIFS(Raw_Events!$L:$L,Raw_Events!$C:$C,$A209,Raw_Events!$G:$G,"ALCOHOL")</f>
        <v/>
      </c>
      <c r="J209" s="16">
        <f>SUMIFS(Raw_Events!$H:$H,Raw_Events!$C:$C,$A209,Raw_Events!$G:$G,"UNHEALTHY_MEAL")</f>
        <v/>
      </c>
      <c r="K209" s="28">
        <f>SUMIFS(Raw_Events!$H:$H,Raw_Events!$C:$C,$A209,Raw_Events!$G:$G,"TRAINING_MIN")+SUMIFS(Raw_Events!$H:$H,Raw_Events!$C:$C,$A209,Raw_Events!$G:$G,"DICTION_TRAINING_MIN")</f>
        <v/>
      </c>
      <c r="L209" s="28" t="n"/>
      <c r="M209" s="16">
        <f>SUMIFS(Raw_Events!$H:$H,Raw_Events!$C:$C,$A209,Raw_Events!$G:$G,"IDEA")</f>
        <v/>
      </c>
      <c r="N209" s="16">
        <f>COUNTIFS(Raw_Events!$C:$C,$A209,Raw_Events!$G:$G,"SOCIAL_MEET")</f>
        <v/>
      </c>
      <c r="O209" s="16">
        <f>COUNTIFS(Raw_Events!$C:$C,$A209,Raw_Events!$G:$G,"DATE")</f>
        <v/>
      </c>
      <c r="P209" s="3">
        <f>COUNTIFS(Raw_Events!$C:$C,$A209,Raw_Events!$G:$G,"NEW_ACTIVITY")</f>
        <v/>
      </c>
      <c r="Q209" s="3">
        <f>SUMIFS(Raw_Events!$H:$H,Raw_Events!$C:$C,$A209,Raw_Events!$G:$G,"TRAVEL_NIGHT")</f>
        <v/>
      </c>
      <c r="R209" s="3" t="n"/>
    </row>
    <row r="210" ht="15" customHeight="1">
      <c r="A210" s="14" t="n">
        <v>46230</v>
      </c>
      <c r="B210" s="27">
        <f>SUMIFS(Raw_Events!$H:$H,Raw_Events!$C:$C,$A210,Raw_Events!$G:$G,"SLEEP_HOURS")</f>
        <v/>
      </c>
      <c r="C210" s="16">
        <f>COUNTIFS(Raw_Events!$C:$C,$A210,Raw_Events!$G:$G,"WORKOUT")</f>
        <v/>
      </c>
      <c r="D210" s="28">
        <f>SUMIFS(Raw_Events!$H:$H,Raw_Events!$C:$C,$A210,Raw_Events!$G:$G,"POSTURE_SESSION")</f>
        <v/>
      </c>
      <c r="E210" s="8">
        <f>IF($D210="","",IF($D210&gt;=Settings!$C$17,1,0))</f>
        <v/>
      </c>
      <c r="F210" s="28">
        <f>SUMIFS(Raw_Events!$H:$H,Raw_Events!$C:$C,$A210,Raw_Events!$G:$G,"MINDFULNESS_MIN")</f>
        <v/>
      </c>
      <c r="G210" s="8">
        <f>IF($F210="","",IF($F210&gt;0,1,0))</f>
        <v/>
      </c>
      <c r="H210" s="16">
        <f>SUMIFS(Raw_Events!$H:$H,Raw_Events!$C:$C,$A210,Raw_Events!$G:$G,"CIGARETTES")</f>
        <v/>
      </c>
      <c r="I210" s="29">
        <f>SUMIFS(Raw_Events!$L:$L,Raw_Events!$C:$C,$A210,Raw_Events!$G:$G,"ALCOHOL")</f>
        <v/>
      </c>
      <c r="J210" s="16">
        <f>SUMIFS(Raw_Events!$H:$H,Raw_Events!$C:$C,$A210,Raw_Events!$G:$G,"UNHEALTHY_MEAL")</f>
        <v/>
      </c>
      <c r="K210" s="28">
        <f>SUMIFS(Raw_Events!$H:$H,Raw_Events!$C:$C,$A210,Raw_Events!$G:$G,"TRAINING_MIN")+SUMIFS(Raw_Events!$H:$H,Raw_Events!$C:$C,$A210,Raw_Events!$G:$G,"DICTION_TRAINING_MIN")</f>
        <v/>
      </c>
      <c r="L210" s="28" t="n"/>
      <c r="M210" s="16">
        <f>SUMIFS(Raw_Events!$H:$H,Raw_Events!$C:$C,$A210,Raw_Events!$G:$G,"IDEA")</f>
        <v/>
      </c>
      <c r="N210" s="16">
        <f>COUNTIFS(Raw_Events!$C:$C,$A210,Raw_Events!$G:$G,"SOCIAL_MEET")</f>
        <v/>
      </c>
      <c r="O210" s="16">
        <f>COUNTIFS(Raw_Events!$C:$C,$A210,Raw_Events!$G:$G,"DATE")</f>
        <v/>
      </c>
      <c r="P210" s="3">
        <f>COUNTIFS(Raw_Events!$C:$C,$A210,Raw_Events!$G:$G,"NEW_ACTIVITY")</f>
        <v/>
      </c>
      <c r="Q210" s="3">
        <f>SUMIFS(Raw_Events!$H:$H,Raw_Events!$C:$C,$A210,Raw_Events!$G:$G,"TRAVEL_NIGHT")</f>
        <v/>
      </c>
      <c r="R210" s="3" t="n"/>
    </row>
    <row r="211" ht="15" customHeight="1">
      <c r="A211" s="14" t="n">
        <v>46231</v>
      </c>
      <c r="B211" s="27">
        <f>SUMIFS(Raw_Events!$H:$H,Raw_Events!$C:$C,$A211,Raw_Events!$G:$G,"SLEEP_HOURS")</f>
        <v/>
      </c>
      <c r="C211" s="16">
        <f>COUNTIFS(Raw_Events!$C:$C,$A211,Raw_Events!$G:$G,"WORKOUT")</f>
        <v/>
      </c>
      <c r="D211" s="28">
        <f>SUMIFS(Raw_Events!$H:$H,Raw_Events!$C:$C,$A211,Raw_Events!$G:$G,"POSTURE_SESSION")</f>
        <v/>
      </c>
      <c r="E211" s="8">
        <f>IF($D211="","",IF($D211&gt;=Settings!$C$17,1,0))</f>
        <v/>
      </c>
      <c r="F211" s="28">
        <f>SUMIFS(Raw_Events!$H:$H,Raw_Events!$C:$C,$A211,Raw_Events!$G:$G,"MINDFULNESS_MIN")</f>
        <v/>
      </c>
      <c r="G211" s="8">
        <f>IF($F211="","",IF($F211&gt;0,1,0))</f>
        <v/>
      </c>
      <c r="H211" s="16">
        <f>SUMIFS(Raw_Events!$H:$H,Raw_Events!$C:$C,$A211,Raw_Events!$G:$G,"CIGARETTES")</f>
        <v/>
      </c>
      <c r="I211" s="29">
        <f>SUMIFS(Raw_Events!$L:$L,Raw_Events!$C:$C,$A211,Raw_Events!$G:$G,"ALCOHOL")</f>
        <v/>
      </c>
      <c r="J211" s="16">
        <f>SUMIFS(Raw_Events!$H:$H,Raw_Events!$C:$C,$A211,Raw_Events!$G:$G,"UNHEALTHY_MEAL")</f>
        <v/>
      </c>
      <c r="K211" s="28">
        <f>SUMIFS(Raw_Events!$H:$H,Raw_Events!$C:$C,$A211,Raw_Events!$G:$G,"TRAINING_MIN")+SUMIFS(Raw_Events!$H:$H,Raw_Events!$C:$C,$A211,Raw_Events!$G:$G,"DICTION_TRAINING_MIN")</f>
        <v/>
      </c>
      <c r="L211" s="28" t="n"/>
      <c r="M211" s="16">
        <f>SUMIFS(Raw_Events!$H:$H,Raw_Events!$C:$C,$A211,Raw_Events!$G:$G,"IDEA")</f>
        <v/>
      </c>
      <c r="N211" s="16">
        <f>COUNTIFS(Raw_Events!$C:$C,$A211,Raw_Events!$G:$G,"SOCIAL_MEET")</f>
        <v/>
      </c>
      <c r="O211" s="16">
        <f>COUNTIFS(Raw_Events!$C:$C,$A211,Raw_Events!$G:$G,"DATE")</f>
        <v/>
      </c>
      <c r="P211" s="3">
        <f>COUNTIFS(Raw_Events!$C:$C,$A211,Raw_Events!$G:$G,"NEW_ACTIVITY")</f>
        <v/>
      </c>
      <c r="Q211" s="3">
        <f>SUMIFS(Raw_Events!$H:$H,Raw_Events!$C:$C,$A211,Raw_Events!$G:$G,"TRAVEL_NIGHT")</f>
        <v/>
      </c>
      <c r="R211" s="3" t="n"/>
    </row>
    <row r="212" ht="15" customHeight="1">
      <c r="A212" s="14" t="n">
        <v>46232</v>
      </c>
      <c r="B212" s="27">
        <f>SUMIFS(Raw_Events!$H:$H,Raw_Events!$C:$C,$A212,Raw_Events!$G:$G,"SLEEP_HOURS")</f>
        <v/>
      </c>
      <c r="C212" s="16">
        <f>COUNTIFS(Raw_Events!$C:$C,$A212,Raw_Events!$G:$G,"WORKOUT")</f>
        <v/>
      </c>
      <c r="D212" s="28">
        <f>SUMIFS(Raw_Events!$H:$H,Raw_Events!$C:$C,$A212,Raw_Events!$G:$G,"POSTURE_SESSION")</f>
        <v/>
      </c>
      <c r="E212" s="8">
        <f>IF($D212="","",IF($D212&gt;=Settings!$C$17,1,0))</f>
        <v/>
      </c>
      <c r="F212" s="28">
        <f>SUMIFS(Raw_Events!$H:$H,Raw_Events!$C:$C,$A212,Raw_Events!$G:$G,"MINDFULNESS_MIN")</f>
        <v/>
      </c>
      <c r="G212" s="8">
        <f>IF($F212="","",IF($F212&gt;0,1,0))</f>
        <v/>
      </c>
      <c r="H212" s="16">
        <f>SUMIFS(Raw_Events!$H:$H,Raw_Events!$C:$C,$A212,Raw_Events!$G:$G,"CIGARETTES")</f>
        <v/>
      </c>
      <c r="I212" s="29">
        <f>SUMIFS(Raw_Events!$L:$L,Raw_Events!$C:$C,$A212,Raw_Events!$G:$G,"ALCOHOL")</f>
        <v/>
      </c>
      <c r="J212" s="16">
        <f>SUMIFS(Raw_Events!$H:$H,Raw_Events!$C:$C,$A212,Raw_Events!$G:$G,"UNHEALTHY_MEAL")</f>
        <v/>
      </c>
      <c r="K212" s="28">
        <f>SUMIFS(Raw_Events!$H:$H,Raw_Events!$C:$C,$A212,Raw_Events!$G:$G,"TRAINING_MIN")+SUMIFS(Raw_Events!$H:$H,Raw_Events!$C:$C,$A212,Raw_Events!$G:$G,"DICTION_TRAINING_MIN")</f>
        <v/>
      </c>
      <c r="L212" s="28" t="n"/>
      <c r="M212" s="16">
        <f>SUMIFS(Raw_Events!$H:$H,Raw_Events!$C:$C,$A212,Raw_Events!$G:$G,"IDEA")</f>
        <v/>
      </c>
      <c r="N212" s="16">
        <f>COUNTIFS(Raw_Events!$C:$C,$A212,Raw_Events!$G:$G,"SOCIAL_MEET")</f>
        <v/>
      </c>
      <c r="O212" s="16">
        <f>COUNTIFS(Raw_Events!$C:$C,$A212,Raw_Events!$G:$G,"DATE")</f>
        <v/>
      </c>
      <c r="P212" s="3">
        <f>COUNTIFS(Raw_Events!$C:$C,$A212,Raw_Events!$G:$G,"NEW_ACTIVITY")</f>
        <v/>
      </c>
      <c r="Q212" s="3">
        <f>SUMIFS(Raw_Events!$H:$H,Raw_Events!$C:$C,$A212,Raw_Events!$G:$G,"TRAVEL_NIGHT")</f>
        <v/>
      </c>
      <c r="R212" s="3" t="n"/>
    </row>
    <row r="213" ht="15" customHeight="1">
      <c r="A213" s="14" t="n">
        <v>46233</v>
      </c>
      <c r="B213" s="27">
        <f>SUMIFS(Raw_Events!$H:$H,Raw_Events!$C:$C,$A213,Raw_Events!$G:$G,"SLEEP_HOURS")</f>
        <v/>
      </c>
      <c r="C213" s="16">
        <f>COUNTIFS(Raw_Events!$C:$C,$A213,Raw_Events!$G:$G,"WORKOUT")</f>
        <v/>
      </c>
      <c r="D213" s="28">
        <f>SUMIFS(Raw_Events!$H:$H,Raw_Events!$C:$C,$A213,Raw_Events!$G:$G,"POSTURE_SESSION")</f>
        <v/>
      </c>
      <c r="E213" s="8">
        <f>IF($D213="","",IF($D213&gt;=Settings!$C$17,1,0))</f>
        <v/>
      </c>
      <c r="F213" s="28">
        <f>SUMIFS(Raw_Events!$H:$H,Raw_Events!$C:$C,$A213,Raw_Events!$G:$G,"MINDFULNESS_MIN")</f>
        <v/>
      </c>
      <c r="G213" s="8">
        <f>IF($F213="","",IF($F213&gt;0,1,0))</f>
        <v/>
      </c>
      <c r="H213" s="16">
        <f>SUMIFS(Raw_Events!$H:$H,Raw_Events!$C:$C,$A213,Raw_Events!$G:$G,"CIGARETTES")</f>
        <v/>
      </c>
      <c r="I213" s="29">
        <f>SUMIFS(Raw_Events!$L:$L,Raw_Events!$C:$C,$A213,Raw_Events!$G:$G,"ALCOHOL")</f>
        <v/>
      </c>
      <c r="J213" s="16">
        <f>SUMIFS(Raw_Events!$H:$H,Raw_Events!$C:$C,$A213,Raw_Events!$G:$G,"UNHEALTHY_MEAL")</f>
        <v/>
      </c>
      <c r="K213" s="28">
        <f>SUMIFS(Raw_Events!$H:$H,Raw_Events!$C:$C,$A213,Raw_Events!$G:$G,"TRAINING_MIN")+SUMIFS(Raw_Events!$H:$H,Raw_Events!$C:$C,$A213,Raw_Events!$G:$G,"DICTION_TRAINING_MIN")</f>
        <v/>
      </c>
      <c r="L213" s="28" t="n"/>
      <c r="M213" s="16">
        <f>SUMIFS(Raw_Events!$H:$H,Raw_Events!$C:$C,$A213,Raw_Events!$G:$G,"IDEA")</f>
        <v/>
      </c>
      <c r="N213" s="16">
        <f>COUNTIFS(Raw_Events!$C:$C,$A213,Raw_Events!$G:$G,"SOCIAL_MEET")</f>
        <v/>
      </c>
      <c r="O213" s="16">
        <f>COUNTIFS(Raw_Events!$C:$C,$A213,Raw_Events!$G:$G,"DATE")</f>
        <v/>
      </c>
      <c r="P213" s="3">
        <f>COUNTIFS(Raw_Events!$C:$C,$A213,Raw_Events!$G:$G,"NEW_ACTIVITY")</f>
        <v/>
      </c>
      <c r="Q213" s="3">
        <f>SUMIFS(Raw_Events!$H:$H,Raw_Events!$C:$C,$A213,Raw_Events!$G:$G,"TRAVEL_NIGHT")</f>
        <v/>
      </c>
      <c r="R213" s="3" t="n"/>
    </row>
    <row r="214" ht="15" customHeight="1">
      <c r="A214" s="14" t="n">
        <v>46234</v>
      </c>
      <c r="B214" s="27">
        <f>SUMIFS(Raw_Events!$H:$H,Raw_Events!$C:$C,$A214,Raw_Events!$G:$G,"SLEEP_HOURS")</f>
        <v/>
      </c>
      <c r="C214" s="16">
        <f>COUNTIFS(Raw_Events!$C:$C,$A214,Raw_Events!$G:$G,"WORKOUT")</f>
        <v/>
      </c>
      <c r="D214" s="28">
        <f>SUMIFS(Raw_Events!$H:$H,Raw_Events!$C:$C,$A214,Raw_Events!$G:$G,"POSTURE_SESSION")</f>
        <v/>
      </c>
      <c r="E214" s="8">
        <f>IF($D214="","",IF($D214&gt;=Settings!$C$17,1,0))</f>
        <v/>
      </c>
      <c r="F214" s="28">
        <f>SUMIFS(Raw_Events!$H:$H,Raw_Events!$C:$C,$A214,Raw_Events!$G:$G,"MINDFULNESS_MIN")</f>
        <v/>
      </c>
      <c r="G214" s="8">
        <f>IF($F214="","",IF($F214&gt;0,1,0))</f>
        <v/>
      </c>
      <c r="H214" s="16">
        <f>SUMIFS(Raw_Events!$H:$H,Raw_Events!$C:$C,$A214,Raw_Events!$G:$G,"CIGARETTES")</f>
        <v/>
      </c>
      <c r="I214" s="29">
        <f>SUMIFS(Raw_Events!$L:$L,Raw_Events!$C:$C,$A214,Raw_Events!$G:$G,"ALCOHOL")</f>
        <v/>
      </c>
      <c r="J214" s="16">
        <f>SUMIFS(Raw_Events!$H:$H,Raw_Events!$C:$C,$A214,Raw_Events!$G:$G,"UNHEALTHY_MEAL")</f>
        <v/>
      </c>
      <c r="K214" s="28">
        <f>SUMIFS(Raw_Events!$H:$H,Raw_Events!$C:$C,$A214,Raw_Events!$G:$G,"TRAINING_MIN")+SUMIFS(Raw_Events!$H:$H,Raw_Events!$C:$C,$A214,Raw_Events!$G:$G,"DICTION_TRAINING_MIN")</f>
        <v/>
      </c>
      <c r="L214" s="28" t="n"/>
      <c r="M214" s="16">
        <f>SUMIFS(Raw_Events!$H:$H,Raw_Events!$C:$C,$A214,Raw_Events!$G:$G,"IDEA")</f>
        <v/>
      </c>
      <c r="N214" s="16">
        <f>COUNTIFS(Raw_Events!$C:$C,$A214,Raw_Events!$G:$G,"SOCIAL_MEET")</f>
        <v/>
      </c>
      <c r="O214" s="16">
        <f>COUNTIFS(Raw_Events!$C:$C,$A214,Raw_Events!$G:$G,"DATE")</f>
        <v/>
      </c>
      <c r="P214" s="3">
        <f>COUNTIFS(Raw_Events!$C:$C,$A214,Raw_Events!$G:$G,"NEW_ACTIVITY")</f>
        <v/>
      </c>
      <c r="Q214" s="3">
        <f>SUMIFS(Raw_Events!$H:$H,Raw_Events!$C:$C,$A214,Raw_Events!$G:$G,"TRAVEL_NIGHT")</f>
        <v/>
      </c>
      <c r="R214" s="3" t="n"/>
    </row>
    <row r="215" ht="15" customHeight="1">
      <c r="A215" s="14" t="n">
        <v>46235</v>
      </c>
      <c r="B215" s="27">
        <f>SUMIFS(Raw_Events!$H:$H,Raw_Events!$C:$C,$A215,Raw_Events!$G:$G,"SLEEP_HOURS")</f>
        <v/>
      </c>
      <c r="C215" s="16">
        <f>COUNTIFS(Raw_Events!$C:$C,$A215,Raw_Events!$G:$G,"WORKOUT")</f>
        <v/>
      </c>
      <c r="D215" s="28">
        <f>SUMIFS(Raw_Events!$H:$H,Raw_Events!$C:$C,$A215,Raw_Events!$G:$G,"POSTURE_SESSION")</f>
        <v/>
      </c>
      <c r="E215" s="8">
        <f>IF($D215="","",IF($D215&gt;=Settings!$C$17,1,0))</f>
        <v/>
      </c>
      <c r="F215" s="28">
        <f>SUMIFS(Raw_Events!$H:$H,Raw_Events!$C:$C,$A215,Raw_Events!$G:$G,"MINDFULNESS_MIN")</f>
        <v/>
      </c>
      <c r="G215" s="8">
        <f>IF($F215="","",IF($F215&gt;0,1,0))</f>
        <v/>
      </c>
      <c r="H215" s="16">
        <f>SUMIFS(Raw_Events!$H:$H,Raw_Events!$C:$C,$A215,Raw_Events!$G:$G,"CIGARETTES")</f>
        <v/>
      </c>
      <c r="I215" s="29">
        <f>SUMIFS(Raw_Events!$L:$L,Raw_Events!$C:$C,$A215,Raw_Events!$G:$G,"ALCOHOL")</f>
        <v/>
      </c>
      <c r="J215" s="16">
        <f>SUMIFS(Raw_Events!$H:$H,Raw_Events!$C:$C,$A215,Raw_Events!$G:$G,"UNHEALTHY_MEAL")</f>
        <v/>
      </c>
      <c r="K215" s="28">
        <f>SUMIFS(Raw_Events!$H:$H,Raw_Events!$C:$C,$A215,Raw_Events!$G:$G,"TRAINING_MIN")+SUMIFS(Raw_Events!$H:$H,Raw_Events!$C:$C,$A215,Raw_Events!$G:$G,"DICTION_TRAINING_MIN")</f>
        <v/>
      </c>
      <c r="L215" s="28" t="n"/>
      <c r="M215" s="16">
        <f>SUMIFS(Raw_Events!$H:$H,Raw_Events!$C:$C,$A215,Raw_Events!$G:$G,"IDEA")</f>
        <v/>
      </c>
      <c r="N215" s="16">
        <f>COUNTIFS(Raw_Events!$C:$C,$A215,Raw_Events!$G:$G,"SOCIAL_MEET")</f>
        <v/>
      </c>
      <c r="O215" s="16">
        <f>COUNTIFS(Raw_Events!$C:$C,$A215,Raw_Events!$G:$G,"DATE")</f>
        <v/>
      </c>
      <c r="P215" s="3">
        <f>COUNTIFS(Raw_Events!$C:$C,$A215,Raw_Events!$G:$G,"NEW_ACTIVITY")</f>
        <v/>
      </c>
      <c r="Q215" s="3">
        <f>SUMIFS(Raw_Events!$H:$H,Raw_Events!$C:$C,$A215,Raw_Events!$G:$G,"TRAVEL_NIGHT")</f>
        <v/>
      </c>
      <c r="R215" s="3" t="n"/>
    </row>
    <row r="216" ht="15" customHeight="1">
      <c r="A216" s="14" t="n">
        <v>46236</v>
      </c>
      <c r="B216" s="27">
        <f>SUMIFS(Raw_Events!$H:$H,Raw_Events!$C:$C,$A216,Raw_Events!$G:$G,"SLEEP_HOURS")</f>
        <v/>
      </c>
      <c r="C216" s="16">
        <f>COUNTIFS(Raw_Events!$C:$C,$A216,Raw_Events!$G:$G,"WORKOUT")</f>
        <v/>
      </c>
      <c r="D216" s="28">
        <f>SUMIFS(Raw_Events!$H:$H,Raw_Events!$C:$C,$A216,Raw_Events!$G:$G,"POSTURE_SESSION")</f>
        <v/>
      </c>
      <c r="E216" s="8">
        <f>IF($D216="","",IF($D216&gt;=Settings!$C$17,1,0))</f>
        <v/>
      </c>
      <c r="F216" s="28">
        <f>SUMIFS(Raw_Events!$H:$H,Raw_Events!$C:$C,$A216,Raw_Events!$G:$G,"MINDFULNESS_MIN")</f>
        <v/>
      </c>
      <c r="G216" s="8">
        <f>IF($F216="","",IF($F216&gt;0,1,0))</f>
        <v/>
      </c>
      <c r="H216" s="16">
        <f>SUMIFS(Raw_Events!$H:$H,Raw_Events!$C:$C,$A216,Raw_Events!$G:$G,"CIGARETTES")</f>
        <v/>
      </c>
      <c r="I216" s="29">
        <f>SUMIFS(Raw_Events!$L:$L,Raw_Events!$C:$C,$A216,Raw_Events!$G:$G,"ALCOHOL")</f>
        <v/>
      </c>
      <c r="J216" s="16">
        <f>SUMIFS(Raw_Events!$H:$H,Raw_Events!$C:$C,$A216,Raw_Events!$G:$G,"UNHEALTHY_MEAL")</f>
        <v/>
      </c>
      <c r="K216" s="28">
        <f>SUMIFS(Raw_Events!$H:$H,Raw_Events!$C:$C,$A216,Raw_Events!$G:$G,"TRAINING_MIN")+SUMIFS(Raw_Events!$H:$H,Raw_Events!$C:$C,$A216,Raw_Events!$G:$G,"DICTION_TRAINING_MIN")</f>
        <v/>
      </c>
      <c r="L216" s="28" t="n"/>
      <c r="M216" s="16">
        <f>SUMIFS(Raw_Events!$H:$H,Raw_Events!$C:$C,$A216,Raw_Events!$G:$G,"IDEA")</f>
        <v/>
      </c>
      <c r="N216" s="16">
        <f>COUNTIFS(Raw_Events!$C:$C,$A216,Raw_Events!$G:$G,"SOCIAL_MEET")</f>
        <v/>
      </c>
      <c r="O216" s="16">
        <f>COUNTIFS(Raw_Events!$C:$C,$A216,Raw_Events!$G:$G,"DATE")</f>
        <v/>
      </c>
      <c r="P216" s="3">
        <f>COUNTIFS(Raw_Events!$C:$C,$A216,Raw_Events!$G:$G,"NEW_ACTIVITY")</f>
        <v/>
      </c>
      <c r="Q216" s="3">
        <f>SUMIFS(Raw_Events!$H:$H,Raw_Events!$C:$C,$A216,Raw_Events!$G:$G,"TRAVEL_NIGHT")</f>
        <v/>
      </c>
      <c r="R216" s="3" t="n"/>
    </row>
    <row r="217" ht="15" customHeight="1">
      <c r="A217" s="14" t="n">
        <v>46237</v>
      </c>
      <c r="B217" s="27">
        <f>SUMIFS(Raw_Events!$H:$H,Raw_Events!$C:$C,$A217,Raw_Events!$G:$G,"SLEEP_HOURS")</f>
        <v/>
      </c>
      <c r="C217" s="16">
        <f>COUNTIFS(Raw_Events!$C:$C,$A217,Raw_Events!$G:$G,"WORKOUT")</f>
        <v/>
      </c>
      <c r="D217" s="28">
        <f>SUMIFS(Raw_Events!$H:$H,Raw_Events!$C:$C,$A217,Raw_Events!$G:$G,"POSTURE_SESSION")</f>
        <v/>
      </c>
      <c r="E217" s="8">
        <f>IF($D217="","",IF($D217&gt;=Settings!$C$17,1,0))</f>
        <v/>
      </c>
      <c r="F217" s="28">
        <f>SUMIFS(Raw_Events!$H:$H,Raw_Events!$C:$C,$A217,Raw_Events!$G:$G,"MINDFULNESS_MIN")</f>
        <v/>
      </c>
      <c r="G217" s="8">
        <f>IF($F217="","",IF($F217&gt;0,1,0))</f>
        <v/>
      </c>
      <c r="H217" s="16">
        <f>SUMIFS(Raw_Events!$H:$H,Raw_Events!$C:$C,$A217,Raw_Events!$G:$G,"CIGARETTES")</f>
        <v/>
      </c>
      <c r="I217" s="29">
        <f>SUMIFS(Raw_Events!$L:$L,Raw_Events!$C:$C,$A217,Raw_Events!$G:$G,"ALCOHOL")</f>
        <v/>
      </c>
      <c r="J217" s="16">
        <f>SUMIFS(Raw_Events!$H:$H,Raw_Events!$C:$C,$A217,Raw_Events!$G:$G,"UNHEALTHY_MEAL")</f>
        <v/>
      </c>
      <c r="K217" s="28">
        <f>SUMIFS(Raw_Events!$H:$H,Raw_Events!$C:$C,$A217,Raw_Events!$G:$G,"TRAINING_MIN")+SUMIFS(Raw_Events!$H:$H,Raw_Events!$C:$C,$A217,Raw_Events!$G:$G,"DICTION_TRAINING_MIN")</f>
        <v/>
      </c>
      <c r="L217" s="28" t="n"/>
      <c r="M217" s="16">
        <f>SUMIFS(Raw_Events!$H:$H,Raw_Events!$C:$C,$A217,Raw_Events!$G:$G,"IDEA")</f>
        <v/>
      </c>
      <c r="N217" s="16">
        <f>COUNTIFS(Raw_Events!$C:$C,$A217,Raw_Events!$G:$G,"SOCIAL_MEET")</f>
        <v/>
      </c>
      <c r="O217" s="16">
        <f>COUNTIFS(Raw_Events!$C:$C,$A217,Raw_Events!$G:$G,"DATE")</f>
        <v/>
      </c>
      <c r="P217" s="3">
        <f>COUNTIFS(Raw_Events!$C:$C,$A217,Raw_Events!$G:$G,"NEW_ACTIVITY")</f>
        <v/>
      </c>
      <c r="Q217" s="3">
        <f>SUMIFS(Raw_Events!$H:$H,Raw_Events!$C:$C,$A217,Raw_Events!$G:$G,"TRAVEL_NIGHT")</f>
        <v/>
      </c>
      <c r="R217" s="3" t="n"/>
    </row>
    <row r="218" ht="15" customHeight="1">
      <c r="A218" s="14" t="n">
        <v>46238</v>
      </c>
      <c r="B218" s="27">
        <f>SUMIFS(Raw_Events!$H:$H,Raw_Events!$C:$C,$A218,Raw_Events!$G:$G,"SLEEP_HOURS")</f>
        <v/>
      </c>
      <c r="C218" s="16">
        <f>COUNTIFS(Raw_Events!$C:$C,$A218,Raw_Events!$G:$G,"WORKOUT")</f>
        <v/>
      </c>
      <c r="D218" s="28">
        <f>SUMIFS(Raw_Events!$H:$H,Raw_Events!$C:$C,$A218,Raw_Events!$G:$G,"POSTURE_SESSION")</f>
        <v/>
      </c>
      <c r="E218" s="8">
        <f>IF($D218="","",IF($D218&gt;=Settings!$C$17,1,0))</f>
        <v/>
      </c>
      <c r="F218" s="28">
        <f>SUMIFS(Raw_Events!$H:$H,Raw_Events!$C:$C,$A218,Raw_Events!$G:$G,"MINDFULNESS_MIN")</f>
        <v/>
      </c>
      <c r="G218" s="8">
        <f>IF($F218="","",IF($F218&gt;0,1,0))</f>
        <v/>
      </c>
      <c r="H218" s="16">
        <f>SUMIFS(Raw_Events!$H:$H,Raw_Events!$C:$C,$A218,Raw_Events!$G:$G,"CIGARETTES")</f>
        <v/>
      </c>
      <c r="I218" s="29">
        <f>SUMIFS(Raw_Events!$L:$L,Raw_Events!$C:$C,$A218,Raw_Events!$G:$G,"ALCOHOL")</f>
        <v/>
      </c>
      <c r="J218" s="16">
        <f>SUMIFS(Raw_Events!$H:$H,Raw_Events!$C:$C,$A218,Raw_Events!$G:$G,"UNHEALTHY_MEAL")</f>
        <v/>
      </c>
      <c r="K218" s="28">
        <f>SUMIFS(Raw_Events!$H:$H,Raw_Events!$C:$C,$A218,Raw_Events!$G:$G,"TRAINING_MIN")+SUMIFS(Raw_Events!$H:$H,Raw_Events!$C:$C,$A218,Raw_Events!$G:$G,"DICTION_TRAINING_MIN")</f>
        <v/>
      </c>
      <c r="L218" s="28" t="n"/>
      <c r="M218" s="16">
        <f>SUMIFS(Raw_Events!$H:$H,Raw_Events!$C:$C,$A218,Raw_Events!$G:$G,"IDEA")</f>
        <v/>
      </c>
      <c r="N218" s="16">
        <f>COUNTIFS(Raw_Events!$C:$C,$A218,Raw_Events!$G:$G,"SOCIAL_MEET")</f>
        <v/>
      </c>
      <c r="O218" s="16">
        <f>COUNTIFS(Raw_Events!$C:$C,$A218,Raw_Events!$G:$G,"DATE")</f>
        <v/>
      </c>
      <c r="P218" s="3">
        <f>COUNTIFS(Raw_Events!$C:$C,$A218,Raw_Events!$G:$G,"NEW_ACTIVITY")</f>
        <v/>
      </c>
      <c r="Q218" s="3">
        <f>SUMIFS(Raw_Events!$H:$H,Raw_Events!$C:$C,$A218,Raw_Events!$G:$G,"TRAVEL_NIGHT")</f>
        <v/>
      </c>
      <c r="R218" s="3" t="n"/>
    </row>
    <row r="219" ht="15" customHeight="1">
      <c r="A219" s="14" t="n">
        <v>46239</v>
      </c>
      <c r="B219" s="27">
        <f>SUMIFS(Raw_Events!$H:$H,Raw_Events!$C:$C,$A219,Raw_Events!$G:$G,"SLEEP_HOURS")</f>
        <v/>
      </c>
      <c r="C219" s="16">
        <f>COUNTIFS(Raw_Events!$C:$C,$A219,Raw_Events!$G:$G,"WORKOUT")</f>
        <v/>
      </c>
      <c r="D219" s="28">
        <f>SUMIFS(Raw_Events!$H:$H,Raw_Events!$C:$C,$A219,Raw_Events!$G:$G,"POSTURE_SESSION")</f>
        <v/>
      </c>
      <c r="E219" s="8">
        <f>IF($D219="","",IF($D219&gt;=Settings!$C$17,1,0))</f>
        <v/>
      </c>
      <c r="F219" s="28">
        <f>SUMIFS(Raw_Events!$H:$H,Raw_Events!$C:$C,$A219,Raw_Events!$G:$G,"MINDFULNESS_MIN")</f>
        <v/>
      </c>
      <c r="G219" s="8">
        <f>IF($F219="","",IF($F219&gt;0,1,0))</f>
        <v/>
      </c>
      <c r="H219" s="16">
        <f>SUMIFS(Raw_Events!$H:$H,Raw_Events!$C:$C,$A219,Raw_Events!$G:$G,"CIGARETTES")</f>
        <v/>
      </c>
      <c r="I219" s="29">
        <f>SUMIFS(Raw_Events!$L:$L,Raw_Events!$C:$C,$A219,Raw_Events!$G:$G,"ALCOHOL")</f>
        <v/>
      </c>
      <c r="J219" s="16">
        <f>SUMIFS(Raw_Events!$H:$H,Raw_Events!$C:$C,$A219,Raw_Events!$G:$G,"UNHEALTHY_MEAL")</f>
        <v/>
      </c>
      <c r="K219" s="28">
        <f>SUMIFS(Raw_Events!$H:$H,Raw_Events!$C:$C,$A219,Raw_Events!$G:$G,"TRAINING_MIN")+SUMIFS(Raw_Events!$H:$H,Raw_Events!$C:$C,$A219,Raw_Events!$G:$G,"DICTION_TRAINING_MIN")</f>
        <v/>
      </c>
      <c r="L219" s="28" t="n"/>
      <c r="M219" s="16">
        <f>SUMIFS(Raw_Events!$H:$H,Raw_Events!$C:$C,$A219,Raw_Events!$G:$G,"IDEA")</f>
        <v/>
      </c>
      <c r="N219" s="16">
        <f>COUNTIFS(Raw_Events!$C:$C,$A219,Raw_Events!$G:$G,"SOCIAL_MEET")</f>
        <v/>
      </c>
      <c r="O219" s="16">
        <f>COUNTIFS(Raw_Events!$C:$C,$A219,Raw_Events!$G:$G,"DATE")</f>
        <v/>
      </c>
      <c r="P219" s="3">
        <f>COUNTIFS(Raw_Events!$C:$C,$A219,Raw_Events!$G:$G,"NEW_ACTIVITY")</f>
        <v/>
      </c>
      <c r="Q219" s="3">
        <f>SUMIFS(Raw_Events!$H:$H,Raw_Events!$C:$C,$A219,Raw_Events!$G:$G,"TRAVEL_NIGHT")</f>
        <v/>
      </c>
      <c r="R219" s="3" t="n"/>
    </row>
    <row r="220" ht="15" customHeight="1">
      <c r="A220" s="14" t="n">
        <v>46240</v>
      </c>
      <c r="B220" s="27">
        <f>SUMIFS(Raw_Events!$H:$H,Raw_Events!$C:$C,$A220,Raw_Events!$G:$G,"SLEEP_HOURS")</f>
        <v/>
      </c>
      <c r="C220" s="16">
        <f>COUNTIFS(Raw_Events!$C:$C,$A220,Raw_Events!$G:$G,"WORKOUT")</f>
        <v/>
      </c>
      <c r="D220" s="28">
        <f>SUMIFS(Raw_Events!$H:$H,Raw_Events!$C:$C,$A220,Raw_Events!$G:$G,"POSTURE_SESSION")</f>
        <v/>
      </c>
      <c r="E220" s="8">
        <f>IF($D220="","",IF($D220&gt;=Settings!$C$17,1,0))</f>
        <v/>
      </c>
      <c r="F220" s="28">
        <f>SUMIFS(Raw_Events!$H:$H,Raw_Events!$C:$C,$A220,Raw_Events!$G:$G,"MINDFULNESS_MIN")</f>
        <v/>
      </c>
      <c r="G220" s="8">
        <f>IF($F220="","",IF($F220&gt;0,1,0))</f>
        <v/>
      </c>
      <c r="H220" s="16">
        <f>SUMIFS(Raw_Events!$H:$H,Raw_Events!$C:$C,$A220,Raw_Events!$G:$G,"CIGARETTES")</f>
        <v/>
      </c>
      <c r="I220" s="29">
        <f>SUMIFS(Raw_Events!$L:$L,Raw_Events!$C:$C,$A220,Raw_Events!$G:$G,"ALCOHOL")</f>
        <v/>
      </c>
      <c r="J220" s="16">
        <f>SUMIFS(Raw_Events!$H:$H,Raw_Events!$C:$C,$A220,Raw_Events!$G:$G,"UNHEALTHY_MEAL")</f>
        <v/>
      </c>
      <c r="K220" s="28">
        <f>SUMIFS(Raw_Events!$H:$H,Raw_Events!$C:$C,$A220,Raw_Events!$G:$G,"TRAINING_MIN")+SUMIFS(Raw_Events!$H:$H,Raw_Events!$C:$C,$A220,Raw_Events!$G:$G,"DICTION_TRAINING_MIN")</f>
        <v/>
      </c>
      <c r="L220" s="28" t="n"/>
      <c r="M220" s="16">
        <f>SUMIFS(Raw_Events!$H:$H,Raw_Events!$C:$C,$A220,Raw_Events!$G:$G,"IDEA")</f>
        <v/>
      </c>
      <c r="N220" s="16">
        <f>COUNTIFS(Raw_Events!$C:$C,$A220,Raw_Events!$G:$G,"SOCIAL_MEET")</f>
        <v/>
      </c>
      <c r="O220" s="16">
        <f>COUNTIFS(Raw_Events!$C:$C,$A220,Raw_Events!$G:$G,"DATE")</f>
        <v/>
      </c>
      <c r="P220" s="3">
        <f>COUNTIFS(Raw_Events!$C:$C,$A220,Raw_Events!$G:$G,"NEW_ACTIVITY")</f>
        <v/>
      </c>
      <c r="Q220" s="3">
        <f>SUMIFS(Raw_Events!$H:$H,Raw_Events!$C:$C,$A220,Raw_Events!$G:$G,"TRAVEL_NIGHT")</f>
        <v/>
      </c>
      <c r="R220" s="3" t="n"/>
    </row>
    <row r="221" ht="15" customHeight="1">
      <c r="A221" s="14" t="n">
        <v>46241</v>
      </c>
      <c r="B221" s="27">
        <f>SUMIFS(Raw_Events!$H:$H,Raw_Events!$C:$C,$A221,Raw_Events!$G:$G,"SLEEP_HOURS")</f>
        <v/>
      </c>
      <c r="C221" s="16">
        <f>COUNTIFS(Raw_Events!$C:$C,$A221,Raw_Events!$G:$G,"WORKOUT")</f>
        <v/>
      </c>
      <c r="D221" s="28">
        <f>SUMIFS(Raw_Events!$H:$H,Raw_Events!$C:$C,$A221,Raw_Events!$G:$G,"POSTURE_SESSION")</f>
        <v/>
      </c>
      <c r="E221" s="8">
        <f>IF($D221="","",IF($D221&gt;=Settings!$C$17,1,0))</f>
        <v/>
      </c>
      <c r="F221" s="28">
        <f>SUMIFS(Raw_Events!$H:$H,Raw_Events!$C:$C,$A221,Raw_Events!$G:$G,"MINDFULNESS_MIN")</f>
        <v/>
      </c>
      <c r="G221" s="8">
        <f>IF($F221="","",IF($F221&gt;0,1,0))</f>
        <v/>
      </c>
      <c r="H221" s="16">
        <f>SUMIFS(Raw_Events!$H:$H,Raw_Events!$C:$C,$A221,Raw_Events!$G:$G,"CIGARETTES")</f>
        <v/>
      </c>
      <c r="I221" s="29">
        <f>SUMIFS(Raw_Events!$L:$L,Raw_Events!$C:$C,$A221,Raw_Events!$G:$G,"ALCOHOL")</f>
        <v/>
      </c>
      <c r="J221" s="16">
        <f>SUMIFS(Raw_Events!$H:$H,Raw_Events!$C:$C,$A221,Raw_Events!$G:$G,"UNHEALTHY_MEAL")</f>
        <v/>
      </c>
      <c r="K221" s="28">
        <f>SUMIFS(Raw_Events!$H:$H,Raw_Events!$C:$C,$A221,Raw_Events!$G:$G,"TRAINING_MIN")+SUMIFS(Raw_Events!$H:$H,Raw_Events!$C:$C,$A221,Raw_Events!$G:$G,"DICTION_TRAINING_MIN")</f>
        <v/>
      </c>
      <c r="L221" s="28" t="n"/>
      <c r="M221" s="16">
        <f>SUMIFS(Raw_Events!$H:$H,Raw_Events!$C:$C,$A221,Raw_Events!$G:$G,"IDEA")</f>
        <v/>
      </c>
      <c r="N221" s="16">
        <f>COUNTIFS(Raw_Events!$C:$C,$A221,Raw_Events!$G:$G,"SOCIAL_MEET")</f>
        <v/>
      </c>
      <c r="O221" s="16">
        <f>COUNTIFS(Raw_Events!$C:$C,$A221,Raw_Events!$G:$G,"DATE")</f>
        <v/>
      </c>
      <c r="P221" s="3">
        <f>COUNTIFS(Raw_Events!$C:$C,$A221,Raw_Events!$G:$G,"NEW_ACTIVITY")</f>
        <v/>
      </c>
      <c r="Q221" s="3">
        <f>SUMIFS(Raw_Events!$H:$H,Raw_Events!$C:$C,$A221,Raw_Events!$G:$G,"TRAVEL_NIGHT")</f>
        <v/>
      </c>
      <c r="R221" s="3" t="n"/>
    </row>
    <row r="222" ht="15" customHeight="1">
      <c r="A222" s="14" t="n">
        <v>46242</v>
      </c>
      <c r="B222" s="27">
        <f>SUMIFS(Raw_Events!$H:$H,Raw_Events!$C:$C,$A222,Raw_Events!$G:$G,"SLEEP_HOURS")</f>
        <v/>
      </c>
      <c r="C222" s="16">
        <f>COUNTIFS(Raw_Events!$C:$C,$A222,Raw_Events!$G:$G,"WORKOUT")</f>
        <v/>
      </c>
      <c r="D222" s="28">
        <f>SUMIFS(Raw_Events!$H:$H,Raw_Events!$C:$C,$A222,Raw_Events!$G:$G,"POSTURE_SESSION")</f>
        <v/>
      </c>
      <c r="E222" s="8">
        <f>IF($D222="","",IF($D222&gt;=Settings!$C$17,1,0))</f>
        <v/>
      </c>
      <c r="F222" s="28">
        <f>SUMIFS(Raw_Events!$H:$H,Raw_Events!$C:$C,$A222,Raw_Events!$G:$G,"MINDFULNESS_MIN")</f>
        <v/>
      </c>
      <c r="G222" s="8">
        <f>IF($F222="","",IF($F222&gt;0,1,0))</f>
        <v/>
      </c>
      <c r="H222" s="16">
        <f>SUMIFS(Raw_Events!$H:$H,Raw_Events!$C:$C,$A222,Raw_Events!$G:$G,"CIGARETTES")</f>
        <v/>
      </c>
      <c r="I222" s="29">
        <f>SUMIFS(Raw_Events!$L:$L,Raw_Events!$C:$C,$A222,Raw_Events!$G:$G,"ALCOHOL")</f>
        <v/>
      </c>
      <c r="J222" s="16">
        <f>SUMIFS(Raw_Events!$H:$H,Raw_Events!$C:$C,$A222,Raw_Events!$G:$G,"UNHEALTHY_MEAL")</f>
        <v/>
      </c>
      <c r="K222" s="28">
        <f>SUMIFS(Raw_Events!$H:$H,Raw_Events!$C:$C,$A222,Raw_Events!$G:$G,"TRAINING_MIN")+SUMIFS(Raw_Events!$H:$H,Raw_Events!$C:$C,$A222,Raw_Events!$G:$G,"DICTION_TRAINING_MIN")</f>
        <v/>
      </c>
      <c r="L222" s="28" t="n"/>
      <c r="M222" s="16">
        <f>SUMIFS(Raw_Events!$H:$H,Raw_Events!$C:$C,$A222,Raw_Events!$G:$G,"IDEA")</f>
        <v/>
      </c>
      <c r="N222" s="16">
        <f>COUNTIFS(Raw_Events!$C:$C,$A222,Raw_Events!$G:$G,"SOCIAL_MEET")</f>
        <v/>
      </c>
      <c r="O222" s="16">
        <f>COUNTIFS(Raw_Events!$C:$C,$A222,Raw_Events!$G:$G,"DATE")</f>
        <v/>
      </c>
      <c r="P222" s="3">
        <f>COUNTIFS(Raw_Events!$C:$C,$A222,Raw_Events!$G:$G,"NEW_ACTIVITY")</f>
        <v/>
      </c>
      <c r="Q222" s="3">
        <f>SUMIFS(Raw_Events!$H:$H,Raw_Events!$C:$C,$A222,Raw_Events!$G:$G,"TRAVEL_NIGHT")</f>
        <v/>
      </c>
      <c r="R222" s="3" t="n"/>
    </row>
    <row r="223" ht="15" customHeight="1">
      <c r="A223" s="14" t="n">
        <v>46243</v>
      </c>
      <c r="B223" s="27">
        <f>SUMIFS(Raw_Events!$H:$H,Raw_Events!$C:$C,$A223,Raw_Events!$G:$G,"SLEEP_HOURS")</f>
        <v/>
      </c>
      <c r="C223" s="16">
        <f>COUNTIFS(Raw_Events!$C:$C,$A223,Raw_Events!$G:$G,"WORKOUT")</f>
        <v/>
      </c>
      <c r="D223" s="28">
        <f>SUMIFS(Raw_Events!$H:$H,Raw_Events!$C:$C,$A223,Raw_Events!$G:$G,"POSTURE_SESSION")</f>
        <v/>
      </c>
      <c r="E223" s="8">
        <f>IF($D223="","",IF($D223&gt;=Settings!$C$17,1,0))</f>
        <v/>
      </c>
      <c r="F223" s="28">
        <f>SUMIFS(Raw_Events!$H:$H,Raw_Events!$C:$C,$A223,Raw_Events!$G:$G,"MINDFULNESS_MIN")</f>
        <v/>
      </c>
      <c r="G223" s="8">
        <f>IF($F223="","",IF($F223&gt;0,1,0))</f>
        <v/>
      </c>
      <c r="H223" s="16">
        <f>SUMIFS(Raw_Events!$H:$H,Raw_Events!$C:$C,$A223,Raw_Events!$G:$G,"CIGARETTES")</f>
        <v/>
      </c>
      <c r="I223" s="29">
        <f>SUMIFS(Raw_Events!$L:$L,Raw_Events!$C:$C,$A223,Raw_Events!$G:$G,"ALCOHOL")</f>
        <v/>
      </c>
      <c r="J223" s="16">
        <f>SUMIFS(Raw_Events!$H:$H,Raw_Events!$C:$C,$A223,Raw_Events!$G:$G,"UNHEALTHY_MEAL")</f>
        <v/>
      </c>
      <c r="K223" s="28">
        <f>SUMIFS(Raw_Events!$H:$H,Raw_Events!$C:$C,$A223,Raw_Events!$G:$G,"TRAINING_MIN")+SUMIFS(Raw_Events!$H:$H,Raw_Events!$C:$C,$A223,Raw_Events!$G:$G,"DICTION_TRAINING_MIN")</f>
        <v/>
      </c>
      <c r="L223" s="28" t="n"/>
      <c r="M223" s="16">
        <f>SUMIFS(Raw_Events!$H:$H,Raw_Events!$C:$C,$A223,Raw_Events!$G:$G,"IDEA")</f>
        <v/>
      </c>
      <c r="N223" s="16">
        <f>COUNTIFS(Raw_Events!$C:$C,$A223,Raw_Events!$G:$G,"SOCIAL_MEET")</f>
        <v/>
      </c>
      <c r="O223" s="16">
        <f>COUNTIFS(Raw_Events!$C:$C,$A223,Raw_Events!$G:$G,"DATE")</f>
        <v/>
      </c>
      <c r="P223" s="3">
        <f>COUNTIFS(Raw_Events!$C:$C,$A223,Raw_Events!$G:$G,"NEW_ACTIVITY")</f>
        <v/>
      </c>
      <c r="Q223" s="3">
        <f>SUMIFS(Raw_Events!$H:$H,Raw_Events!$C:$C,$A223,Raw_Events!$G:$G,"TRAVEL_NIGHT")</f>
        <v/>
      </c>
      <c r="R223" s="3" t="n"/>
    </row>
    <row r="224" ht="15" customHeight="1">
      <c r="A224" s="14" t="n">
        <v>46244</v>
      </c>
      <c r="B224" s="27">
        <f>SUMIFS(Raw_Events!$H:$H,Raw_Events!$C:$C,$A224,Raw_Events!$G:$G,"SLEEP_HOURS")</f>
        <v/>
      </c>
      <c r="C224" s="16">
        <f>COUNTIFS(Raw_Events!$C:$C,$A224,Raw_Events!$G:$G,"WORKOUT")</f>
        <v/>
      </c>
      <c r="D224" s="28">
        <f>SUMIFS(Raw_Events!$H:$H,Raw_Events!$C:$C,$A224,Raw_Events!$G:$G,"POSTURE_SESSION")</f>
        <v/>
      </c>
      <c r="E224" s="8">
        <f>IF($D224="","",IF($D224&gt;=Settings!$C$17,1,0))</f>
        <v/>
      </c>
      <c r="F224" s="28">
        <f>SUMIFS(Raw_Events!$H:$H,Raw_Events!$C:$C,$A224,Raw_Events!$G:$G,"MINDFULNESS_MIN")</f>
        <v/>
      </c>
      <c r="G224" s="8">
        <f>IF($F224="","",IF($F224&gt;0,1,0))</f>
        <v/>
      </c>
      <c r="H224" s="16">
        <f>SUMIFS(Raw_Events!$H:$H,Raw_Events!$C:$C,$A224,Raw_Events!$G:$G,"CIGARETTES")</f>
        <v/>
      </c>
      <c r="I224" s="29">
        <f>SUMIFS(Raw_Events!$L:$L,Raw_Events!$C:$C,$A224,Raw_Events!$G:$G,"ALCOHOL")</f>
        <v/>
      </c>
      <c r="J224" s="16">
        <f>SUMIFS(Raw_Events!$H:$H,Raw_Events!$C:$C,$A224,Raw_Events!$G:$G,"UNHEALTHY_MEAL")</f>
        <v/>
      </c>
      <c r="K224" s="28">
        <f>SUMIFS(Raw_Events!$H:$H,Raw_Events!$C:$C,$A224,Raw_Events!$G:$G,"TRAINING_MIN")+SUMIFS(Raw_Events!$H:$H,Raw_Events!$C:$C,$A224,Raw_Events!$G:$G,"DICTION_TRAINING_MIN")</f>
        <v/>
      </c>
      <c r="L224" s="28" t="n"/>
      <c r="M224" s="16">
        <f>SUMIFS(Raw_Events!$H:$H,Raw_Events!$C:$C,$A224,Raw_Events!$G:$G,"IDEA")</f>
        <v/>
      </c>
      <c r="N224" s="16">
        <f>COUNTIFS(Raw_Events!$C:$C,$A224,Raw_Events!$G:$G,"SOCIAL_MEET")</f>
        <v/>
      </c>
      <c r="O224" s="16">
        <f>COUNTIFS(Raw_Events!$C:$C,$A224,Raw_Events!$G:$G,"DATE")</f>
        <v/>
      </c>
      <c r="P224" s="3">
        <f>COUNTIFS(Raw_Events!$C:$C,$A224,Raw_Events!$G:$G,"NEW_ACTIVITY")</f>
        <v/>
      </c>
      <c r="Q224" s="3">
        <f>SUMIFS(Raw_Events!$H:$H,Raw_Events!$C:$C,$A224,Raw_Events!$G:$G,"TRAVEL_NIGHT")</f>
        <v/>
      </c>
      <c r="R224" s="3" t="n"/>
    </row>
    <row r="225" ht="15" customHeight="1">
      <c r="A225" s="14" t="n">
        <v>46245</v>
      </c>
      <c r="B225" s="27">
        <f>SUMIFS(Raw_Events!$H:$H,Raw_Events!$C:$C,$A225,Raw_Events!$G:$G,"SLEEP_HOURS")</f>
        <v/>
      </c>
      <c r="C225" s="16">
        <f>COUNTIFS(Raw_Events!$C:$C,$A225,Raw_Events!$G:$G,"WORKOUT")</f>
        <v/>
      </c>
      <c r="D225" s="28">
        <f>SUMIFS(Raw_Events!$H:$H,Raw_Events!$C:$C,$A225,Raw_Events!$G:$G,"POSTURE_SESSION")</f>
        <v/>
      </c>
      <c r="E225" s="8">
        <f>IF($D225="","",IF($D225&gt;=Settings!$C$17,1,0))</f>
        <v/>
      </c>
      <c r="F225" s="28">
        <f>SUMIFS(Raw_Events!$H:$H,Raw_Events!$C:$C,$A225,Raw_Events!$G:$G,"MINDFULNESS_MIN")</f>
        <v/>
      </c>
      <c r="G225" s="8">
        <f>IF($F225="","",IF($F225&gt;0,1,0))</f>
        <v/>
      </c>
      <c r="H225" s="16">
        <f>SUMIFS(Raw_Events!$H:$H,Raw_Events!$C:$C,$A225,Raw_Events!$G:$G,"CIGARETTES")</f>
        <v/>
      </c>
      <c r="I225" s="29">
        <f>SUMIFS(Raw_Events!$L:$L,Raw_Events!$C:$C,$A225,Raw_Events!$G:$G,"ALCOHOL")</f>
        <v/>
      </c>
      <c r="J225" s="16">
        <f>SUMIFS(Raw_Events!$H:$H,Raw_Events!$C:$C,$A225,Raw_Events!$G:$G,"UNHEALTHY_MEAL")</f>
        <v/>
      </c>
      <c r="K225" s="28">
        <f>SUMIFS(Raw_Events!$H:$H,Raw_Events!$C:$C,$A225,Raw_Events!$G:$G,"TRAINING_MIN")+SUMIFS(Raw_Events!$H:$H,Raw_Events!$C:$C,$A225,Raw_Events!$G:$G,"DICTION_TRAINING_MIN")</f>
        <v/>
      </c>
      <c r="L225" s="28" t="n"/>
      <c r="M225" s="16">
        <f>SUMIFS(Raw_Events!$H:$H,Raw_Events!$C:$C,$A225,Raw_Events!$G:$G,"IDEA")</f>
        <v/>
      </c>
      <c r="N225" s="16">
        <f>COUNTIFS(Raw_Events!$C:$C,$A225,Raw_Events!$G:$G,"SOCIAL_MEET")</f>
        <v/>
      </c>
      <c r="O225" s="16">
        <f>COUNTIFS(Raw_Events!$C:$C,$A225,Raw_Events!$G:$G,"DATE")</f>
        <v/>
      </c>
      <c r="P225" s="3">
        <f>COUNTIFS(Raw_Events!$C:$C,$A225,Raw_Events!$G:$G,"NEW_ACTIVITY")</f>
        <v/>
      </c>
      <c r="Q225" s="3">
        <f>SUMIFS(Raw_Events!$H:$H,Raw_Events!$C:$C,$A225,Raw_Events!$G:$G,"TRAVEL_NIGHT")</f>
        <v/>
      </c>
      <c r="R225" s="3" t="n"/>
    </row>
    <row r="226" ht="15" customHeight="1">
      <c r="A226" s="14" t="n">
        <v>46246</v>
      </c>
      <c r="B226" s="27">
        <f>SUMIFS(Raw_Events!$H:$H,Raw_Events!$C:$C,$A226,Raw_Events!$G:$G,"SLEEP_HOURS")</f>
        <v/>
      </c>
      <c r="C226" s="16">
        <f>COUNTIFS(Raw_Events!$C:$C,$A226,Raw_Events!$G:$G,"WORKOUT")</f>
        <v/>
      </c>
      <c r="D226" s="28">
        <f>SUMIFS(Raw_Events!$H:$H,Raw_Events!$C:$C,$A226,Raw_Events!$G:$G,"POSTURE_SESSION")</f>
        <v/>
      </c>
      <c r="E226" s="8">
        <f>IF($D226="","",IF($D226&gt;=Settings!$C$17,1,0))</f>
        <v/>
      </c>
      <c r="F226" s="28">
        <f>SUMIFS(Raw_Events!$H:$H,Raw_Events!$C:$C,$A226,Raw_Events!$G:$G,"MINDFULNESS_MIN")</f>
        <v/>
      </c>
      <c r="G226" s="8">
        <f>IF($F226="","",IF($F226&gt;0,1,0))</f>
        <v/>
      </c>
      <c r="H226" s="16">
        <f>SUMIFS(Raw_Events!$H:$H,Raw_Events!$C:$C,$A226,Raw_Events!$G:$G,"CIGARETTES")</f>
        <v/>
      </c>
      <c r="I226" s="29">
        <f>SUMIFS(Raw_Events!$L:$L,Raw_Events!$C:$C,$A226,Raw_Events!$G:$G,"ALCOHOL")</f>
        <v/>
      </c>
      <c r="J226" s="16">
        <f>SUMIFS(Raw_Events!$H:$H,Raw_Events!$C:$C,$A226,Raw_Events!$G:$G,"UNHEALTHY_MEAL")</f>
        <v/>
      </c>
      <c r="K226" s="28">
        <f>SUMIFS(Raw_Events!$H:$H,Raw_Events!$C:$C,$A226,Raw_Events!$G:$G,"TRAINING_MIN")+SUMIFS(Raw_Events!$H:$H,Raw_Events!$C:$C,$A226,Raw_Events!$G:$G,"DICTION_TRAINING_MIN")</f>
        <v/>
      </c>
      <c r="L226" s="28" t="n"/>
      <c r="M226" s="16">
        <f>SUMIFS(Raw_Events!$H:$H,Raw_Events!$C:$C,$A226,Raw_Events!$G:$G,"IDEA")</f>
        <v/>
      </c>
      <c r="N226" s="16">
        <f>COUNTIFS(Raw_Events!$C:$C,$A226,Raw_Events!$G:$G,"SOCIAL_MEET")</f>
        <v/>
      </c>
      <c r="O226" s="16">
        <f>COUNTIFS(Raw_Events!$C:$C,$A226,Raw_Events!$G:$G,"DATE")</f>
        <v/>
      </c>
      <c r="P226" s="3">
        <f>COUNTIFS(Raw_Events!$C:$C,$A226,Raw_Events!$G:$G,"NEW_ACTIVITY")</f>
        <v/>
      </c>
      <c r="Q226" s="3">
        <f>SUMIFS(Raw_Events!$H:$H,Raw_Events!$C:$C,$A226,Raw_Events!$G:$G,"TRAVEL_NIGHT")</f>
        <v/>
      </c>
      <c r="R226" s="3" t="n"/>
    </row>
    <row r="227" ht="15" customHeight="1">
      <c r="A227" s="14" t="n">
        <v>46247</v>
      </c>
      <c r="B227" s="27">
        <f>SUMIFS(Raw_Events!$H:$H,Raw_Events!$C:$C,$A227,Raw_Events!$G:$G,"SLEEP_HOURS")</f>
        <v/>
      </c>
      <c r="C227" s="16">
        <f>COUNTIFS(Raw_Events!$C:$C,$A227,Raw_Events!$G:$G,"WORKOUT")</f>
        <v/>
      </c>
      <c r="D227" s="28">
        <f>SUMIFS(Raw_Events!$H:$H,Raw_Events!$C:$C,$A227,Raw_Events!$G:$G,"POSTURE_SESSION")</f>
        <v/>
      </c>
      <c r="E227" s="8">
        <f>IF($D227="","",IF($D227&gt;=Settings!$C$17,1,0))</f>
        <v/>
      </c>
      <c r="F227" s="28">
        <f>SUMIFS(Raw_Events!$H:$H,Raw_Events!$C:$C,$A227,Raw_Events!$G:$G,"MINDFULNESS_MIN")</f>
        <v/>
      </c>
      <c r="G227" s="8">
        <f>IF($F227="","",IF($F227&gt;0,1,0))</f>
        <v/>
      </c>
      <c r="H227" s="16">
        <f>SUMIFS(Raw_Events!$H:$H,Raw_Events!$C:$C,$A227,Raw_Events!$G:$G,"CIGARETTES")</f>
        <v/>
      </c>
      <c r="I227" s="29">
        <f>SUMIFS(Raw_Events!$L:$L,Raw_Events!$C:$C,$A227,Raw_Events!$G:$G,"ALCOHOL")</f>
        <v/>
      </c>
      <c r="J227" s="16">
        <f>SUMIFS(Raw_Events!$H:$H,Raw_Events!$C:$C,$A227,Raw_Events!$G:$G,"UNHEALTHY_MEAL")</f>
        <v/>
      </c>
      <c r="K227" s="28">
        <f>SUMIFS(Raw_Events!$H:$H,Raw_Events!$C:$C,$A227,Raw_Events!$G:$G,"TRAINING_MIN")+SUMIFS(Raw_Events!$H:$H,Raw_Events!$C:$C,$A227,Raw_Events!$G:$G,"DICTION_TRAINING_MIN")</f>
        <v/>
      </c>
      <c r="L227" s="28" t="n"/>
      <c r="M227" s="16">
        <f>SUMIFS(Raw_Events!$H:$H,Raw_Events!$C:$C,$A227,Raw_Events!$G:$G,"IDEA")</f>
        <v/>
      </c>
      <c r="N227" s="16">
        <f>COUNTIFS(Raw_Events!$C:$C,$A227,Raw_Events!$G:$G,"SOCIAL_MEET")</f>
        <v/>
      </c>
      <c r="O227" s="16">
        <f>COUNTIFS(Raw_Events!$C:$C,$A227,Raw_Events!$G:$G,"DATE")</f>
        <v/>
      </c>
      <c r="P227" s="3">
        <f>COUNTIFS(Raw_Events!$C:$C,$A227,Raw_Events!$G:$G,"NEW_ACTIVITY")</f>
        <v/>
      </c>
      <c r="Q227" s="3">
        <f>SUMIFS(Raw_Events!$H:$H,Raw_Events!$C:$C,$A227,Raw_Events!$G:$G,"TRAVEL_NIGHT")</f>
        <v/>
      </c>
      <c r="R227" s="3" t="n"/>
    </row>
    <row r="228" ht="15" customHeight="1">
      <c r="A228" s="14" t="n">
        <v>46248</v>
      </c>
      <c r="B228" s="27">
        <f>SUMIFS(Raw_Events!$H:$H,Raw_Events!$C:$C,$A228,Raw_Events!$G:$G,"SLEEP_HOURS")</f>
        <v/>
      </c>
      <c r="C228" s="16">
        <f>COUNTIFS(Raw_Events!$C:$C,$A228,Raw_Events!$G:$G,"WORKOUT")</f>
        <v/>
      </c>
      <c r="D228" s="28">
        <f>SUMIFS(Raw_Events!$H:$H,Raw_Events!$C:$C,$A228,Raw_Events!$G:$G,"POSTURE_SESSION")</f>
        <v/>
      </c>
      <c r="E228" s="8">
        <f>IF($D228="","",IF($D228&gt;=Settings!$C$17,1,0))</f>
        <v/>
      </c>
      <c r="F228" s="28">
        <f>SUMIFS(Raw_Events!$H:$H,Raw_Events!$C:$C,$A228,Raw_Events!$G:$G,"MINDFULNESS_MIN")</f>
        <v/>
      </c>
      <c r="G228" s="8">
        <f>IF($F228="","",IF($F228&gt;0,1,0))</f>
        <v/>
      </c>
      <c r="H228" s="16">
        <f>SUMIFS(Raw_Events!$H:$H,Raw_Events!$C:$C,$A228,Raw_Events!$G:$G,"CIGARETTES")</f>
        <v/>
      </c>
      <c r="I228" s="29">
        <f>SUMIFS(Raw_Events!$L:$L,Raw_Events!$C:$C,$A228,Raw_Events!$G:$G,"ALCOHOL")</f>
        <v/>
      </c>
      <c r="J228" s="16">
        <f>SUMIFS(Raw_Events!$H:$H,Raw_Events!$C:$C,$A228,Raw_Events!$G:$G,"UNHEALTHY_MEAL")</f>
        <v/>
      </c>
      <c r="K228" s="28">
        <f>SUMIFS(Raw_Events!$H:$H,Raw_Events!$C:$C,$A228,Raw_Events!$G:$G,"TRAINING_MIN")+SUMIFS(Raw_Events!$H:$H,Raw_Events!$C:$C,$A228,Raw_Events!$G:$G,"DICTION_TRAINING_MIN")</f>
        <v/>
      </c>
      <c r="L228" s="28" t="n"/>
      <c r="M228" s="16">
        <f>SUMIFS(Raw_Events!$H:$H,Raw_Events!$C:$C,$A228,Raw_Events!$G:$G,"IDEA")</f>
        <v/>
      </c>
      <c r="N228" s="16">
        <f>COUNTIFS(Raw_Events!$C:$C,$A228,Raw_Events!$G:$G,"SOCIAL_MEET")</f>
        <v/>
      </c>
      <c r="O228" s="16">
        <f>COUNTIFS(Raw_Events!$C:$C,$A228,Raw_Events!$G:$G,"DATE")</f>
        <v/>
      </c>
      <c r="P228" s="3">
        <f>COUNTIFS(Raw_Events!$C:$C,$A228,Raw_Events!$G:$G,"NEW_ACTIVITY")</f>
        <v/>
      </c>
      <c r="Q228" s="3">
        <f>SUMIFS(Raw_Events!$H:$H,Raw_Events!$C:$C,$A228,Raw_Events!$G:$G,"TRAVEL_NIGHT")</f>
        <v/>
      </c>
      <c r="R228" s="3" t="n"/>
    </row>
    <row r="229" ht="15" customHeight="1">
      <c r="A229" s="14" t="n">
        <v>46249</v>
      </c>
      <c r="B229" s="27">
        <f>SUMIFS(Raw_Events!$H:$H,Raw_Events!$C:$C,$A229,Raw_Events!$G:$G,"SLEEP_HOURS")</f>
        <v/>
      </c>
      <c r="C229" s="16">
        <f>COUNTIFS(Raw_Events!$C:$C,$A229,Raw_Events!$G:$G,"WORKOUT")</f>
        <v/>
      </c>
      <c r="D229" s="28">
        <f>SUMIFS(Raw_Events!$H:$H,Raw_Events!$C:$C,$A229,Raw_Events!$G:$G,"POSTURE_SESSION")</f>
        <v/>
      </c>
      <c r="E229" s="8">
        <f>IF($D229="","",IF($D229&gt;=Settings!$C$17,1,0))</f>
        <v/>
      </c>
      <c r="F229" s="28">
        <f>SUMIFS(Raw_Events!$H:$H,Raw_Events!$C:$C,$A229,Raw_Events!$G:$G,"MINDFULNESS_MIN")</f>
        <v/>
      </c>
      <c r="G229" s="8">
        <f>IF($F229="","",IF($F229&gt;0,1,0))</f>
        <v/>
      </c>
      <c r="H229" s="16">
        <f>SUMIFS(Raw_Events!$H:$H,Raw_Events!$C:$C,$A229,Raw_Events!$G:$G,"CIGARETTES")</f>
        <v/>
      </c>
      <c r="I229" s="29">
        <f>SUMIFS(Raw_Events!$L:$L,Raw_Events!$C:$C,$A229,Raw_Events!$G:$G,"ALCOHOL")</f>
        <v/>
      </c>
      <c r="J229" s="16">
        <f>SUMIFS(Raw_Events!$H:$H,Raw_Events!$C:$C,$A229,Raw_Events!$G:$G,"UNHEALTHY_MEAL")</f>
        <v/>
      </c>
      <c r="K229" s="28">
        <f>SUMIFS(Raw_Events!$H:$H,Raw_Events!$C:$C,$A229,Raw_Events!$G:$G,"TRAINING_MIN")+SUMIFS(Raw_Events!$H:$H,Raw_Events!$C:$C,$A229,Raw_Events!$G:$G,"DICTION_TRAINING_MIN")</f>
        <v/>
      </c>
      <c r="L229" s="28" t="n"/>
      <c r="M229" s="16">
        <f>SUMIFS(Raw_Events!$H:$H,Raw_Events!$C:$C,$A229,Raw_Events!$G:$G,"IDEA")</f>
        <v/>
      </c>
      <c r="N229" s="16">
        <f>COUNTIFS(Raw_Events!$C:$C,$A229,Raw_Events!$G:$G,"SOCIAL_MEET")</f>
        <v/>
      </c>
      <c r="O229" s="16">
        <f>COUNTIFS(Raw_Events!$C:$C,$A229,Raw_Events!$G:$G,"DATE")</f>
        <v/>
      </c>
      <c r="P229" s="3">
        <f>COUNTIFS(Raw_Events!$C:$C,$A229,Raw_Events!$G:$G,"NEW_ACTIVITY")</f>
        <v/>
      </c>
      <c r="Q229" s="3">
        <f>SUMIFS(Raw_Events!$H:$H,Raw_Events!$C:$C,$A229,Raw_Events!$G:$G,"TRAVEL_NIGHT")</f>
        <v/>
      </c>
      <c r="R229" s="3" t="n"/>
    </row>
    <row r="230" ht="15" customHeight="1">
      <c r="A230" s="14" t="n">
        <v>46250</v>
      </c>
      <c r="B230" s="27">
        <f>SUMIFS(Raw_Events!$H:$H,Raw_Events!$C:$C,$A230,Raw_Events!$G:$G,"SLEEP_HOURS")</f>
        <v/>
      </c>
      <c r="C230" s="16">
        <f>COUNTIFS(Raw_Events!$C:$C,$A230,Raw_Events!$G:$G,"WORKOUT")</f>
        <v/>
      </c>
      <c r="D230" s="28">
        <f>SUMIFS(Raw_Events!$H:$H,Raw_Events!$C:$C,$A230,Raw_Events!$G:$G,"POSTURE_SESSION")</f>
        <v/>
      </c>
      <c r="E230" s="8">
        <f>IF($D230="","",IF($D230&gt;=Settings!$C$17,1,0))</f>
        <v/>
      </c>
      <c r="F230" s="28">
        <f>SUMIFS(Raw_Events!$H:$H,Raw_Events!$C:$C,$A230,Raw_Events!$G:$G,"MINDFULNESS_MIN")</f>
        <v/>
      </c>
      <c r="G230" s="8">
        <f>IF($F230="","",IF($F230&gt;0,1,0))</f>
        <v/>
      </c>
      <c r="H230" s="16">
        <f>SUMIFS(Raw_Events!$H:$H,Raw_Events!$C:$C,$A230,Raw_Events!$G:$G,"CIGARETTES")</f>
        <v/>
      </c>
      <c r="I230" s="29">
        <f>SUMIFS(Raw_Events!$L:$L,Raw_Events!$C:$C,$A230,Raw_Events!$G:$G,"ALCOHOL")</f>
        <v/>
      </c>
      <c r="J230" s="16">
        <f>SUMIFS(Raw_Events!$H:$H,Raw_Events!$C:$C,$A230,Raw_Events!$G:$G,"UNHEALTHY_MEAL")</f>
        <v/>
      </c>
      <c r="K230" s="28">
        <f>SUMIFS(Raw_Events!$H:$H,Raw_Events!$C:$C,$A230,Raw_Events!$G:$G,"TRAINING_MIN")+SUMIFS(Raw_Events!$H:$H,Raw_Events!$C:$C,$A230,Raw_Events!$G:$G,"DICTION_TRAINING_MIN")</f>
        <v/>
      </c>
      <c r="L230" s="28" t="n"/>
      <c r="M230" s="16">
        <f>SUMIFS(Raw_Events!$H:$H,Raw_Events!$C:$C,$A230,Raw_Events!$G:$G,"IDEA")</f>
        <v/>
      </c>
      <c r="N230" s="16">
        <f>COUNTIFS(Raw_Events!$C:$C,$A230,Raw_Events!$G:$G,"SOCIAL_MEET")</f>
        <v/>
      </c>
      <c r="O230" s="16">
        <f>COUNTIFS(Raw_Events!$C:$C,$A230,Raw_Events!$G:$G,"DATE")</f>
        <v/>
      </c>
      <c r="P230" s="3">
        <f>COUNTIFS(Raw_Events!$C:$C,$A230,Raw_Events!$G:$G,"NEW_ACTIVITY")</f>
        <v/>
      </c>
      <c r="Q230" s="3">
        <f>SUMIFS(Raw_Events!$H:$H,Raw_Events!$C:$C,$A230,Raw_Events!$G:$G,"TRAVEL_NIGHT")</f>
        <v/>
      </c>
      <c r="R230" s="3" t="n"/>
    </row>
    <row r="231" ht="15" customHeight="1">
      <c r="A231" s="14" t="n">
        <v>46251</v>
      </c>
      <c r="B231" s="27">
        <f>SUMIFS(Raw_Events!$H:$H,Raw_Events!$C:$C,$A231,Raw_Events!$G:$G,"SLEEP_HOURS")</f>
        <v/>
      </c>
      <c r="C231" s="16">
        <f>COUNTIFS(Raw_Events!$C:$C,$A231,Raw_Events!$G:$G,"WORKOUT")</f>
        <v/>
      </c>
      <c r="D231" s="28">
        <f>SUMIFS(Raw_Events!$H:$H,Raw_Events!$C:$C,$A231,Raw_Events!$G:$G,"POSTURE_SESSION")</f>
        <v/>
      </c>
      <c r="E231" s="8">
        <f>IF($D231="","",IF($D231&gt;=Settings!$C$17,1,0))</f>
        <v/>
      </c>
      <c r="F231" s="28">
        <f>SUMIFS(Raw_Events!$H:$H,Raw_Events!$C:$C,$A231,Raw_Events!$G:$G,"MINDFULNESS_MIN")</f>
        <v/>
      </c>
      <c r="G231" s="8">
        <f>IF($F231="","",IF($F231&gt;0,1,0))</f>
        <v/>
      </c>
      <c r="H231" s="16">
        <f>SUMIFS(Raw_Events!$H:$H,Raw_Events!$C:$C,$A231,Raw_Events!$G:$G,"CIGARETTES")</f>
        <v/>
      </c>
      <c r="I231" s="29">
        <f>SUMIFS(Raw_Events!$L:$L,Raw_Events!$C:$C,$A231,Raw_Events!$G:$G,"ALCOHOL")</f>
        <v/>
      </c>
      <c r="J231" s="16">
        <f>SUMIFS(Raw_Events!$H:$H,Raw_Events!$C:$C,$A231,Raw_Events!$G:$G,"UNHEALTHY_MEAL")</f>
        <v/>
      </c>
      <c r="K231" s="28">
        <f>SUMIFS(Raw_Events!$H:$H,Raw_Events!$C:$C,$A231,Raw_Events!$G:$G,"TRAINING_MIN")+SUMIFS(Raw_Events!$H:$H,Raw_Events!$C:$C,$A231,Raw_Events!$G:$G,"DICTION_TRAINING_MIN")</f>
        <v/>
      </c>
      <c r="L231" s="28" t="n"/>
      <c r="M231" s="16">
        <f>SUMIFS(Raw_Events!$H:$H,Raw_Events!$C:$C,$A231,Raw_Events!$G:$G,"IDEA")</f>
        <v/>
      </c>
      <c r="N231" s="16">
        <f>COUNTIFS(Raw_Events!$C:$C,$A231,Raw_Events!$G:$G,"SOCIAL_MEET")</f>
        <v/>
      </c>
      <c r="O231" s="16">
        <f>COUNTIFS(Raw_Events!$C:$C,$A231,Raw_Events!$G:$G,"DATE")</f>
        <v/>
      </c>
      <c r="P231" s="3">
        <f>COUNTIFS(Raw_Events!$C:$C,$A231,Raw_Events!$G:$G,"NEW_ACTIVITY")</f>
        <v/>
      </c>
      <c r="Q231" s="3">
        <f>SUMIFS(Raw_Events!$H:$H,Raw_Events!$C:$C,$A231,Raw_Events!$G:$G,"TRAVEL_NIGHT")</f>
        <v/>
      </c>
      <c r="R231" s="3" t="n"/>
    </row>
    <row r="232" ht="15" customHeight="1">
      <c r="A232" s="14" t="n">
        <v>46252</v>
      </c>
      <c r="B232" s="27">
        <f>SUMIFS(Raw_Events!$H:$H,Raw_Events!$C:$C,$A232,Raw_Events!$G:$G,"SLEEP_HOURS")</f>
        <v/>
      </c>
      <c r="C232" s="16">
        <f>COUNTIFS(Raw_Events!$C:$C,$A232,Raw_Events!$G:$G,"WORKOUT")</f>
        <v/>
      </c>
      <c r="D232" s="28">
        <f>SUMIFS(Raw_Events!$H:$H,Raw_Events!$C:$C,$A232,Raw_Events!$G:$G,"POSTURE_SESSION")</f>
        <v/>
      </c>
      <c r="E232" s="8">
        <f>IF($D232="","",IF($D232&gt;=Settings!$C$17,1,0))</f>
        <v/>
      </c>
      <c r="F232" s="28">
        <f>SUMIFS(Raw_Events!$H:$H,Raw_Events!$C:$C,$A232,Raw_Events!$G:$G,"MINDFULNESS_MIN")</f>
        <v/>
      </c>
      <c r="G232" s="8">
        <f>IF($F232="","",IF($F232&gt;0,1,0))</f>
        <v/>
      </c>
      <c r="H232" s="16">
        <f>SUMIFS(Raw_Events!$H:$H,Raw_Events!$C:$C,$A232,Raw_Events!$G:$G,"CIGARETTES")</f>
        <v/>
      </c>
      <c r="I232" s="29">
        <f>SUMIFS(Raw_Events!$L:$L,Raw_Events!$C:$C,$A232,Raw_Events!$G:$G,"ALCOHOL")</f>
        <v/>
      </c>
      <c r="J232" s="16">
        <f>SUMIFS(Raw_Events!$H:$H,Raw_Events!$C:$C,$A232,Raw_Events!$G:$G,"UNHEALTHY_MEAL")</f>
        <v/>
      </c>
      <c r="K232" s="28">
        <f>SUMIFS(Raw_Events!$H:$H,Raw_Events!$C:$C,$A232,Raw_Events!$G:$G,"TRAINING_MIN")+SUMIFS(Raw_Events!$H:$H,Raw_Events!$C:$C,$A232,Raw_Events!$G:$G,"DICTION_TRAINING_MIN")</f>
        <v/>
      </c>
      <c r="L232" s="28" t="n"/>
      <c r="M232" s="16">
        <f>SUMIFS(Raw_Events!$H:$H,Raw_Events!$C:$C,$A232,Raw_Events!$G:$G,"IDEA")</f>
        <v/>
      </c>
      <c r="N232" s="16">
        <f>COUNTIFS(Raw_Events!$C:$C,$A232,Raw_Events!$G:$G,"SOCIAL_MEET")</f>
        <v/>
      </c>
      <c r="O232" s="16">
        <f>COUNTIFS(Raw_Events!$C:$C,$A232,Raw_Events!$G:$G,"DATE")</f>
        <v/>
      </c>
      <c r="P232" s="3">
        <f>COUNTIFS(Raw_Events!$C:$C,$A232,Raw_Events!$G:$G,"NEW_ACTIVITY")</f>
        <v/>
      </c>
      <c r="Q232" s="3">
        <f>SUMIFS(Raw_Events!$H:$H,Raw_Events!$C:$C,$A232,Raw_Events!$G:$G,"TRAVEL_NIGHT")</f>
        <v/>
      </c>
      <c r="R232" s="3" t="n"/>
    </row>
    <row r="233" ht="15" customHeight="1">
      <c r="A233" s="14" t="n">
        <v>46253</v>
      </c>
      <c r="B233" s="27">
        <f>SUMIFS(Raw_Events!$H:$H,Raw_Events!$C:$C,$A233,Raw_Events!$G:$G,"SLEEP_HOURS")</f>
        <v/>
      </c>
      <c r="C233" s="16">
        <f>COUNTIFS(Raw_Events!$C:$C,$A233,Raw_Events!$G:$G,"WORKOUT")</f>
        <v/>
      </c>
      <c r="D233" s="28">
        <f>SUMIFS(Raw_Events!$H:$H,Raw_Events!$C:$C,$A233,Raw_Events!$G:$G,"POSTURE_SESSION")</f>
        <v/>
      </c>
      <c r="E233" s="8">
        <f>IF($D233="","",IF($D233&gt;=Settings!$C$17,1,0))</f>
        <v/>
      </c>
      <c r="F233" s="28">
        <f>SUMIFS(Raw_Events!$H:$H,Raw_Events!$C:$C,$A233,Raw_Events!$G:$G,"MINDFULNESS_MIN")</f>
        <v/>
      </c>
      <c r="G233" s="8">
        <f>IF($F233="","",IF($F233&gt;0,1,0))</f>
        <v/>
      </c>
      <c r="H233" s="16">
        <f>SUMIFS(Raw_Events!$H:$H,Raw_Events!$C:$C,$A233,Raw_Events!$G:$G,"CIGARETTES")</f>
        <v/>
      </c>
      <c r="I233" s="29">
        <f>SUMIFS(Raw_Events!$L:$L,Raw_Events!$C:$C,$A233,Raw_Events!$G:$G,"ALCOHOL")</f>
        <v/>
      </c>
      <c r="J233" s="16">
        <f>SUMIFS(Raw_Events!$H:$H,Raw_Events!$C:$C,$A233,Raw_Events!$G:$G,"UNHEALTHY_MEAL")</f>
        <v/>
      </c>
      <c r="K233" s="28">
        <f>SUMIFS(Raw_Events!$H:$H,Raw_Events!$C:$C,$A233,Raw_Events!$G:$G,"TRAINING_MIN")+SUMIFS(Raw_Events!$H:$H,Raw_Events!$C:$C,$A233,Raw_Events!$G:$G,"DICTION_TRAINING_MIN")</f>
        <v/>
      </c>
      <c r="L233" s="28" t="n"/>
      <c r="M233" s="16">
        <f>SUMIFS(Raw_Events!$H:$H,Raw_Events!$C:$C,$A233,Raw_Events!$G:$G,"IDEA")</f>
        <v/>
      </c>
      <c r="N233" s="16">
        <f>COUNTIFS(Raw_Events!$C:$C,$A233,Raw_Events!$G:$G,"SOCIAL_MEET")</f>
        <v/>
      </c>
      <c r="O233" s="16">
        <f>COUNTIFS(Raw_Events!$C:$C,$A233,Raw_Events!$G:$G,"DATE")</f>
        <v/>
      </c>
      <c r="P233" s="3">
        <f>COUNTIFS(Raw_Events!$C:$C,$A233,Raw_Events!$G:$G,"NEW_ACTIVITY")</f>
        <v/>
      </c>
      <c r="Q233" s="3">
        <f>SUMIFS(Raw_Events!$H:$H,Raw_Events!$C:$C,$A233,Raw_Events!$G:$G,"TRAVEL_NIGHT")</f>
        <v/>
      </c>
      <c r="R233" s="3" t="n"/>
    </row>
    <row r="234" ht="15" customHeight="1">
      <c r="A234" s="14" t="n">
        <v>46254</v>
      </c>
      <c r="B234" s="27">
        <f>SUMIFS(Raw_Events!$H:$H,Raw_Events!$C:$C,$A234,Raw_Events!$G:$G,"SLEEP_HOURS")</f>
        <v/>
      </c>
      <c r="C234" s="16">
        <f>COUNTIFS(Raw_Events!$C:$C,$A234,Raw_Events!$G:$G,"WORKOUT")</f>
        <v/>
      </c>
      <c r="D234" s="28">
        <f>SUMIFS(Raw_Events!$H:$H,Raw_Events!$C:$C,$A234,Raw_Events!$G:$G,"POSTURE_SESSION")</f>
        <v/>
      </c>
      <c r="E234" s="8">
        <f>IF($D234="","",IF($D234&gt;=Settings!$C$17,1,0))</f>
        <v/>
      </c>
      <c r="F234" s="28">
        <f>SUMIFS(Raw_Events!$H:$H,Raw_Events!$C:$C,$A234,Raw_Events!$G:$G,"MINDFULNESS_MIN")</f>
        <v/>
      </c>
      <c r="G234" s="8">
        <f>IF($F234="","",IF($F234&gt;0,1,0))</f>
        <v/>
      </c>
      <c r="H234" s="16">
        <f>SUMIFS(Raw_Events!$H:$H,Raw_Events!$C:$C,$A234,Raw_Events!$G:$G,"CIGARETTES")</f>
        <v/>
      </c>
      <c r="I234" s="29">
        <f>SUMIFS(Raw_Events!$L:$L,Raw_Events!$C:$C,$A234,Raw_Events!$G:$G,"ALCOHOL")</f>
        <v/>
      </c>
      <c r="J234" s="16">
        <f>SUMIFS(Raw_Events!$H:$H,Raw_Events!$C:$C,$A234,Raw_Events!$G:$G,"UNHEALTHY_MEAL")</f>
        <v/>
      </c>
      <c r="K234" s="28">
        <f>SUMIFS(Raw_Events!$H:$H,Raw_Events!$C:$C,$A234,Raw_Events!$G:$G,"TRAINING_MIN")+SUMIFS(Raw_Events!$H:$H,Raw_Events!$C:$C,$A234,Raw_Events!$G:$G,"DICTION_TRAINING_MIN")</f>
        <v/>
      </c>
      <c r="L234" s="28" t="n"/>
      <c r="M234" s="16">
        <f>SUMIFS(Raw_Events!$H:$H,Raw_Events!$C:$C,$A234,Raw_Events!$G:$G,"IDEA")</f>
        <v/>
      </c>
      <c r="N234" s="16">
        <f>COUNTIFS(Raw_Events!$C:$C,$A234,Raw_Events!$G:$G,"SOCIAL_MEET")</f>
        <v/>
      </c>
      <c r="O234" s="16">
        <f>COUNTIFS(Raw_Events!$C:$C,$A234,Raw_Events!$G:$G,"DATE")</f>
        <v/>
      </c>
      <c r="P234" s="3">
        <f>COUNTIFS(Raw_Events!$C:$C,$A234,Raw_Events!$G:$G,"NEW_ACTIVITY")</f>
        <v/>
      </c>
      <c r="Q234" s="3">
        <f>SUMIFS(Raw_Events!$H:$H,Raw_Events!$C:$C,$A234,Raw_Events!$G:$G,"TRAVEL_NIGHT")</f>
        <v/>
      </c>
      <c r="R234" s="3" t="n"/>
    </row>
    <row r="235" ht="15" customHeight="1">
      <c r="A235" s="14" t="n">
        <v>46255</v>
      </c>
      <c r="B235" s="27">
        <f>SUMIFS(Raw_Events!$H:$H,Raw_Events!$C:$C,$A235,Raw_Events!$G:$G,"SLEEP_HOURS")</f>
        <v/>
      </c>
      <c r="C235" s="16">
        <f>COUNTIFS(Raw_Events!$C:$C,$A235,Raw_Events!$G:$G,"WORKOUT")</f>
        <v/>
      </c>
      <c r="D235" s="28">
        <f>SUMIFS(Raw_Events!$H:$H,Raw_Events!$C:$C,$A235,Raw_Events!$G:$G,"POSTURE_SESSION")</f>
        <v/>
      </c>
      <c r="E235" s="8">
        <f>IF($D235="","",IF($D235&gt;=Settings!$C$17,1,0))</f>
        <v/>
      </c>
      <c r="F235" s="28">
        <f>SUMIFS(Raw_Events!$H:$H,Raw_Events!$C:$C,$A235,Raw_Events!$G:$G,"MINDFULNESS_MIN")</f>
        <v/>
      </c>
      <c r="G235" s="8">
        <f>IF($F235="","",IF($F235&gt;0,1,0))</f>
        <v/>
      </c>
      <c r="H235" s="16">
        <f>SUMIFS(Raw_Events!$H:$H,Raw_Events!$C:$C,$A235,Raw_Events!$G:$G,"CIGARETTES")</f>
        <v/>
      </c>
      <c r="I235" s="29">
        <f>SUMIFS(Raw_Events!$L:$L,Raw_Events!$C:$C,$A235,Raw_Events!$G:$G,"ALCOHOL")</f>
        <v/>
      </c>
      <c r="J235" s="16">
        <f>SUMIFS(Raw_Events!$H:$H,Raw_Events!$C:$C,$A235,Raw_Events!$G:$G,"UNHEALTHY_MEAL")</f>
        <v/>
      </c>
      <c r="K235" s="28">
        <f>SUMIFS(Raw_Events!$H:$H,Raw_Events!$C:$C,$A235,Raw_Events!$G:$G,"TRAINING_MIN")+SUMIFS(Raw_Events!$H:$H,Raw_Events!$C:$C,$A235,Raw_Events!$G:$G,"DICTION_TRAINING_MIN")</f>
        <v/>
      </c>
      <c r="L235" s="28" t="n"/>
      <c r="M235" s="16">
        <f>SUMIFS(Raw_Events!$H:$H,Raw_Events!$C:$C,$A235,Raw_Events!$G:$G,"IDEA")</f>
        <v/>
      </c>
      <c r="N235" s="16">
        <f>COUNTIFS(Raw_Events!$C:$C,$A235,Raw_Events!$G:$G,"SOCIAL_MEET")</f>
        <v/>
      </c>
      <c r="O235" s="16">
        <f>COUNTIFS(Raw_Events!$C:$C,$A235,Raw_Events!$G:$G,"DATE")</f>
        <v/>
      </c>
      <c r="P235" s="3">
        <f>COUNTIFS(Raw_Events!$C:$C,$A235,Raw_Events!$G:$G,"NEW_ACTIVITY")</f>
        <v/>
      </c>
      <c r="Q235" s="3">
        <f>SUMIFS(Raw_Events!$H:$H,Raw_Events!$C:$C,$A235,Raw_Events!$G:$G,"TRAVEL_NIGHT")</f>
        <v/>
      </c>
      <c r="R235" s="3" t="n"/>
    </row>
    <row r="236" ht="15" customHeight="1">
      <c r="A236" s="14" t="n">
        <v>46256</v>
      </c>
      <c r="B236" s="27">
        <f>SUMIFS(Raw_Events!$H:$H,Raw_Events!$C:$C,$A236,Raw_Events!$G:$G,"SLEEP_HOURS")</f>
        <v/>
      </c>
      <c r="C236" s="16">
        <f>COUNTIFS(Raw_Events!$C:$C,$A236,Raw_Events!$G:$G,"WORKOUT")</f>
        <v/>
      </c>
      <c r="D236" s="28">
        <f>SUMIFS(Raw_Events!$H:$H,Raw_Events!$C:$C,$A236,Raw_Events!$G:$G,"POSTURE_SESSION")</f>
        <v/>
      </c>
      <c r="E236" s="8">
        <f>IF($D236="","",IF($D236&gt;=Settings!$C$17,1,0))</f>
        <v/>
      </c>
      <c r="F236" s="28">
        <f>SUMIFS(Raw_Events!$H:$H,Raw_Events!$C:$C,$A236,Raw_Events!$G:$G,"MINDFULNESS_MIN")</f>
        <v/>
      </c>
      <c r="G236" s="8">
        <f>IF($F236="","",IF($F236&gt;0,1,0))</f>
        <v/>
      </c>
      <c r="H236" s="16">
        <f>SUMIFS(Raw_Events!$H:$H,Raw_Events!$C:$C,$A236,Raw_Events!$G:$G,"CIGARETTES")</f>
        <v/>
      </c>
      <c r="I236" s="29">
        <f>SUMIFS(Raw_Events!$L:$L,Raw_Events!$C:$C,$A236,Raw_Events!$G:$G,"ALCOHOL")</f>
        <v/>
      </c>
      <c r="J236" s="16">
        <f>SUMIFS(Raw_Events!$H:$H,Raw_Events!$C:$C,$A236,Raw_Events!$G:$G,"UNHEALTHY_MEAL")</f>
        <v/>
      </c>
      <c r="K236" s="28">
        <f>SUMIFS(Raw_Events!$H:$H,Raw_Events!$C:$C,$A236,Raw_Events!$G:$G,"TRAINING_MIN")+SUMIFS(Raw_Events!$H:$H,Raw_Events!$C:$C,$A236,Raw_Events!$G:$G,"DICTION_TRAINING_MIN")</f>
        <v/>
      </c>
      <c r="L236" s="28" t="n"/>
      <c r="M236" s="16">
        <f>SUMIFS(Raw_Events!$H:$H,Raw_Events!$C:$C,$A236,Raw_Events!$G:$G,"IDEA")</f>
        <v/>
      </c>
      <c r="N236" s="16">
        <f>COUNTIFS(Raw_Events!$C:$C,$A236,Raw_Events!$G:$G,"SOCIAL_MEET")</f>
        <v/>
      </c>
      <c r="O236" s="16">
        <f>COUNTIFS(Raw_Events!$C:$C,$A236,Raw_Events!$G:$G,"DATE")</f>
        <v/>
      </c>
      <c r="P236" s="3">
        <f>COUNTIFS(Raw_Events!$C:$C,$A236,Raw_Events!$G:$G,"NEW_ACTIVITY")</f>
        <v/>
      </c>
      <c r="Q236" s="3">
        <f>SUMIFS(Raw_Events!$H:$H,Raw_Events!$C:$C,$A236,Raw_Events!$G:$G,"TRAVEL_NIGHT")</f>
        <v/>
      </c>
      <c r="R236" s="3" t="n"/>
    </row>
    <row r="237" ht="15" customHeight="1">
      <c r="A237" s="14" t="n">
        <v>46257</v>
      </c>
      <c r="B237" s="27">
        <f>SUMIFS(Raw_Events!$H:$H,Raw_Events!$C:$C,$A237,Raw_Events!$G:$G,"SLEEP_HOURS")</f>
        <v/>
      </c>
      <c r="C237" s="16">
        <f>COUNTIFS(Raw_Events!$C:$C,$A237,Raw_Events!$G:$G,"WORKOUT")</f>
        <v/>
      </c>
      <c r="D237" s="28">
        <f>SUMIFS(Raw_Events!$H:$H,Raw_Events!$C:$C,$A237,Raw_Events!$G:$G,"POSTURE_SESSION")</f>
        <v/>
      </c>
      <c r="E237" s="8">
        <f>IF($D237="","",IF($D237&gt;=Settings!$C$17,1,0))</f>
        <v/>
      </c>
      <c r="F237" s="28">
        <f>SUMIFS(Raw_Events!$H:$H,Raw_Events!$C:$C,$A237,Raw_Events!$G:$G,"MINDFULNESS_MIN")</f>
        <v/>
      </c>
      <c r="G237" s="8">
        <f>IF($F237="","",IF($F237&gt;0,1,0))</f>
        <v/>
      </c>
      <c r="H237" s="16">
        <f>SUMIFS(Raw_Events!$H:$H,Raw_Events!$C:$C,$A237,Raw_Events!$G:$G,"CIGARETTES")</f>
        <v/>
      </c>
      <c r="I237" s="29">
        <f>SUMIFS(Raw_Events!$L:$L,Raw_Events!$C:$C,$A237,Raw_Events!$G:$G,"ALCOHOL")</f>
        <v/>
      </c>
      <c r="J237" s="16">
        <f>SUMIFS(Raw_Events!$H:$H,Raw_Events!$C:$C,$A237,Raw_Events!$G:$G,"UNHEALTHY_MEAL")</f>
        <v/>
      </c>
      <c r="K237" s="28">
        <f>SUMIFS(Raw_Events!$H:$H,Raw_Events!$C:$C,$A237,Raw_Events!$G:$G,"TRAINING_MIN")+SUMIFS(Raw_Events!$H:$H,Raw_Events!$C:$C,$A237,Raw_Events!$G:$G,"DICTION_TRAINING_MIN")</f>
        <v/>
      </c>
      <c r="L237" s="28" t="n"/>
      <c r="M237" s="16">
        <f>SUMIFS(Raw_Events!$H:$H,Raw_Events!$C:$C,$A237,Raw_Events!$G:$G,"IDEA")</f>
        <v/>
      </c>
      <c r="N237" s="16">
        <f>COUNTIFS(Raw_Events!$C:$C,$A237,Raw_Events!$G:$G,"SOCIAL_MEET")</f>
        <v/>
      </c>
      <c r="O237" s="16">
        <f>COUNTIFS(Raw_Events!$C:$C,$A237,Raw_Events!$G:$G,"DATE")</f>
        <v/>
      </c>
      <c r="P237" s="3">
        <f>COUNTIFS(Raw_Events!$C:$C,$A237,Raw_Events!$G:$G,"NEW_ACTIVITY")</f>
        <v/>
      </c>
      <c r="Q237" s="3">
        <f>SUMIFS(Raw_Events!$H:$H,Raw_Events!$C:$C,$A237,Raw_Events!$G:$G,"TRAVEL_NIGHT")</f>
        <v/>
      </c>
      <c r="R237" s="3" t="n"/>
    </row>
    <row r="238" ht="15" customHeight="1">
      <c r="A238" s="14" t="n">
        <v>46258</v>
      </c>
      <c r="B238" s="27">
        <f>SUMIFS(Raw_Events!$H:$H,Raw_Events!$C:$C,$A238,Raw_Events!$G:$G,"SLEEP_HOURS")</f>
        <v/>
      </c>
      <c r="C238" s="16">
        <f>COUNTIFS(Raw_Events!$C:$C,$A238,Raw_Events!$G:$G,"WORKOUT")</f>
        <v/>
      </c>
      <c r="D238" s="28">
        <f>SUMIFS(Raw_Events!$H:$H,Raw_Events!$C:$C,$A238,Raw_Events!$G:$G,"POSTURE_SESSION")</f>
        <v/>
      </c>
      <c r="E238" s="8">
        <f>IF($D238="","",IF($D238&gt;=Settings!$C$17,1,0))</f>
        <v/>
      </c>
      <c r="F238" s="28">
        <f>SUMIFS(Raw_Events!$H:$H,Raw_Events!$C:$C,$A238,Raw_Events!$G:$G,"MINDFULNESS_MIN")</f>
        <v/>
      </c>
      <c r="G238" s="8">
        <f>IF($F238="","",IF($F238&gt;0,1,0))</f>
        <v/>
      </c>
      <c r="H238" s="16">
        <f>SUMIFS(Raw_Events!$H:$H,Raw_Events!$C:$C,$A238,Raw_Events!$G:$G,"CIGARETTES")</f>
        <v/>
      </c>
      <c r="I238" s="29">
        <f>SUMIFS(Raw_Events!$L:$L,Raw_Events!$C:$C,$A238,Raw_Events!$G:$G,"ALCOHOL")</f>
        <v/>
      </c>
      <c r="J238" s="16">
        <f>SUMIFS(Raw_Events!$H:$H,Raw_Events!$C:$C,$A238,Raw_Events!$G:$G,"UNHEALTHY_MEAL")</f>
        <v/>
      </c>
      <c r="K238" s="28">
        <f>SUMIFS(Raw_Events!$H:$H,Raw_Events!$C:$C,$A238,Raw_Events!$G:$G,"TRAINING_MIN")+SUMIFS(Raw_Events!$H:$H,Raw_Events!$C:$C,$A238,Raw_Events!$G:$G,"DICTION_TRAINING_MIN")</f>
        <v/>
      </c>
      <c r="L238" s="28" t="n"/>
      <c r="M238" s="16">
        <f>SUMIFS(Raw_Events!$H:$H,Raw_Events!$C:$C,$A238,Raw_Events!$G:$G,"IDEA")</f>
        <v/>
      </c>
      <c r="N238" s="16">
        <f>COUNTIFS(Raw_Events!$C:$C,$A238,Raw_Events!$G:$G,"SOCIAL_MEET")</f>
        <v/>
      </c>
      <c r="O238" s="16">
        <f>COUNTIFS(Raw_Events!$C:$C,$A238,Raw_Events!$G:$G,"DATE")</f>
        <v/>
      </c>
      <c r="P238" s="3">
        <f>COUNTIFS(Raw_Events!$C:$C,$A238,Raw_Events!$G:$G,"NEW_ACTIVITY")</f>
        <v/>
      </c>
      <c r="Q238" s="3">
        <f>SUMIFS(Raw_Events!$H:$H,Raw_Events!$C:$C,$A238,Raw_Events!$G:$G,"TRAVEL_NIGHT")</f>
        <v/>
      </c>
      <c r="R238" s="3" t="n"/>
    </row>
    <row r="239" ht="15" customHeight="1">
      <c r="A239" s="14" t="n">
        <v>46259</v>
      </c>
      <c r="B239" s="27">
        <f>SUMIFS(Raw_Events!$H:$H,Raw_Events!$C:$C,$A239,Raw_Events!$G:$G,"SLEEP_HOURS")</f>
        <v/>
      </c>
      <c r="C239" s="16">
        <f>COUNTIFS(Raw_Events!$C:$C,$A239,Raw_Events!$G:$G,"WORKOUT")</f>
        <v/>
      </c>
      <c r="D239" s="28">
        <f>SUMIFS(Raw_Events!$H:$H,Raw_Events!$C:$C,$A239,Raw_Events!$G:$G,"POSTURE_SESSION")</f>
        <v/>
      </c>
      <c r="E239" s="8">
        <f>IF($D239="","",IF($D239&gt;=Settings!$C$17,1,0))</f>
        <v/>
      </c>
      <c r="F239" s="28">
        <f>SUMIFS(Raw_Events!$H:$H,Raw_Events!$C:$C,$A239,Raw_Events!$G:$G,"MINDFULNESS_MIN")</f>
        <v/>
      </c>
      <c r="G239" s="8">
        <f>IF($F239="","",IF($F239&gt;0,1,0))</f>
        <v/>
      </c>
      <c r="H239" s="16">
        <f>SUMIFS(Raw_Events!$H:$H,Raw_Events!$C:$C,$A239,Raw_Events!$G:$G,"CIGARETTES")</f>
        <v/>
      </c>
      <c r="I239" s="29">
        <f>SUMIFS(Raw_Events!$L:$L,Raw_Events!$C:$C,$A239,Raw_Events!$G:$G,"ALCOHOL")</f>
        <v/>
      </c>
      <c r="J239" s="16">
        <f>SUMIFS(Raw_Events!$H:$H,Raw_Events!$C:$C,$A239,Raw_Events!$G:$G,"UNHEALTHY_MEAL")</f>
        <v/>
      </c>
      <c r="K239" s="28">
        <f>SUMIFS(Raw_Events!$H:$H,Raw_Events!$C:$C,$A239,Raw_Events!$G:$G,"TRAINING_MIN")+SUMIFS(Raw_Events!$H:$H,Raw_Events!$C:$C,$A239,Raw_Events!$G:$G,"DICTION_TRAINING_MIN")</f>
        <v/>
      </c>
      <c r="L239" s="28" t="n"/>
      <c r="M239" s="16">
        <f>SUMIFS(Raw_Events!$H:$H,Raw_Events!$C:$C,$A239,Raw_Events!$G:$G,"IDEA")</f>
        <v/>
      </c>
      <c r="N239" s="16">
        <f>COUNTIFS(Raw_Events!$C:$C,$A239,Raw_Events!$G:$G,"SOCIAL_MEET")</f>
        <v/>
      </c>
      <c r="O239" s="16">
        <f>COUNTIFS(Raw_Events!$C:$C,$A239,Raw_Events!$G:$G,"DATE")</f>
        <v/>
      </c>
      <c r="P239" s="3">
        <f>COUNTIFS(Raw_Events!$C:$C,$A239,Raw_Events!$G:$G,"NEW_ACTIVITY")</f>
        <v/>
      </c>
      <c r="Q239" s="3">
        <f>SUMIFS(Raw_Events!$H:$H,Raw_Events!$C:$C,$A239,Raw_Events!$G:$G,"TRAVEL_NIGHT")</f>
        <v/>
      </c>
      <c r="R239" s="3" t="n"/>
    </row>
    <row r="240" ht="15" customHeight="1">
      <c r="A240" s="14" t="n">
        <v>46260</v>
      </c>
      <c r="B240" s="27">
        <f>SUMIFS(Raw_Events!$H:$H,Raw_Events!$C:$C,$A240,Raw_Events!$G:$G,"SLEEP_HOURS")</f>
        <v/>
      </c>
      <c r="C240" s="16">
        <f>COUNTIFS(Raw_Events!$C:$C,$A240,Raw_Events!$G:$G,"WORKOUT")</f>
        <v/>
      </c>
      <c r="D240" s="28">
        <f>SUMIFS(Raw_Events!$H:$H,Raw_Events!$C:$C,$A240,Raw_Events!$G:$G,"POSTURE_SESSION")</f>
        <v/>
      </c>
      <c r="E240" s="8">
        <f>IF($D240="","",IF($D240&gt;=Settings!$C$17,1,0))</f>
        <v/>
      </c>
      <c r="F240" s="28">
        <f>SUMIFS(Raw_Events!$H:$H,Raw_Events!$C:$C,$A240,Raw_Events!$G:$G,"MINDFULNESS_MIN")</f>
        <v/>
      </c>
      <c r="G240" s="8">
        <f>IF($F240="","",IF($F240&gt;0,1,0))</f>
        <v/>
      </c>
      <c r="H240" s="16">
        <f>SUMIFS(Raw_Events!$H:$H,Raw_Events!$C:$C,$A240,Raw_Events!$G:$G,"CIGARETTES")</f>
        <v/>
      </c>
      <c r="I240" s="29">
        <f>SUMIFS(Raw_Events!$L:$L,Raw_Events!$C:$C,$A240,Raw_Events!$G:$G,"ALCOHOL")</f>
        <v/>
      </c>
      <c r="J240" s="16">
        <f>SUMIFS(Raw_Events!$H:$H,Raw_Events!$C:$C,$A240,Raw_Events!$G:$G,"UNHEALTHY_MEAL")</f>
        <v/>
      </c>
      <c r="K240" s="28">
        <f>SUMIFS(Raw_Events!$H:$H,Raw_Events!$C:$C,$A240,Raw_Events!$G:$G,"TRAINING_MIN")+SUMIFS(Raw_Events!$H:$H,Raw_Events!$C:$C,$A240,Raw_Events!$G:$G,"DICTION_TRAINING_MIN")</f>
        <v/>
      </c>
      <c r="L240" s="28" t="n"/>
      <c r="M240" s="16">
        <f>SUMIFS(Raw_Events!$H:$H,Raw_Events!$C:$C,$A240,Raw_Events!$G:$G,"IDEA")</f>
        <v/>
      </c>
      <c r="N240" s="16">
        <f>COUNTIFS(Raw_Events!$C:$C,$A240,Raw_Events!$G:$G,"SOCIAL_MEET")</f>
        <v/>
      </c>
      <c r="O240" s="16">
        <f>COUNTIFS(Raw_Events!$C:$C,$A240,Raw_Events!$G:$G,"DATE")</f>
        <v/>
      </c>
      <c r="P240" s="3">
        <f>COUNTIFS(Raw_Events!$C:$C,$A240,Raw_Events!$G:$G,"NEW_ACTIVITY")</f>
        <v/>
      </c>
      <c r="Q240" s="3">
        <f>SUMIFS(Raw_Events!$H:$H,Raw_Events!$C:$C,$A240,Raw_Events!$G:$G,"TRAVEL_NIGHT")</f>
        <v/>
      </c>
      <c r="R240" s="3" t="n"/>
    </row>
    <row r="241" ht="15" customHeight="1">
      <c r="A241" s="14" t="n">
        <v>46261</v>
      </c>
      <c r="B241" s="27">
        <f>SUMIFS(Raw_Events!$H:$H,Raw_Events!$C:$C,$A241,Raw_Events!$G:$G,"SLEEP_HOURS")</f>
        <v/>
      </c>
      <c r="C241" s="16">
        <f>COUNTIFS(Raw_Events!$C:$C,$A241,Raw_Events!$G:$G,"WORKOUT")</f>
        <v/>
      </c>
      <c r="D241" s="28">
        <f>SUMIFS(Raw_Events!$H:$H,Raw_Events!$C:$C,$A241,Raw_Events!$G:$G,"POSTURE_SESSION")</f>
        <v/>
      </c>
      <c r="E241" s="8">
        <f>IF($D241="","",IF($D241&gt;=Settings!$C$17,1,0))</f>
        <v/>
      </c>
      <c r="F241" s="28">
        <f>SUMIFS(Raw_Events!$H:$H,Raw_Events!$C:$C,$A241,Raw_Events!$G:$G,"MINDFULNESS_MIN")</f>
        <v/>
      </c>
      <c r="G241" s="8">
        <f>IF($F241="","",IF($F241&gt;0,1,0))</f>
        <v/>
      </c>
      <c r="H241" s="16">
        <f>SUMIFS(Raw_Events!$H:$H,Raw_Events!$C:$C,$A241,Raw_Events!$G:$G,"CIGARETTES")</f>
        <v/>
      </c>
      <c r="I241" s="29">
        <f>SUMIFS(Raw_Events!$L:$L,Raw_Events!$C:$C,$A241,Raw_Events!$G:$G,"ALCOHOL")</f>
        <v/>
      </c>
      <c r="J241" s="16">
        <f>SUMIFS(Raw_Events!$H:$H,Raw_Events!$C:$C,$A241,Raw_Events!$G:$G,"UNHEALTHY_MEAL")</f>
        <v/>
      </c>
      <c r="K241" s="28">
        <f>SUMIFS(Raw_Events!$H:$H,Raw_Events!$C:$C,$A241,Raw_Events!$G:$G,"TRAINING_MIN")+SUMIFS(Raw_Events!$H:$H,Raw_Events!$C:$C,$A241,Raw_Events!$G:$G,"DICTION_TRAINING_MIN")</f>
        <v/>
      </c>
      <c r="L241" s="28" t="n"/>
      <c r="M241" s="16">
        <f>SUMIFS(Raw_Events!$H:$H,Raw_Events!$C:$C,$A241,Raw_Events!$G:$G,"IDEA")</f>
        <v/>
      </c>
      <c r="N241" s="16">
        <f>COUNTIFS(Raw_Events!$C:$C,$A241,Raw_Events!$G:$G,"SOCIAL_MEET")</f>
        <v/>
      </c>
      <c r="O241" s="16">
        <f>COUNTIFS(Raw_Events!$C:$C,$A241,Raw_Events!$G:$G,"DATE")</f>
        <v/>
      </c>
      <c r="P241" s="3">
        <f>COUNTIFS(Raw_Events!$C:$C,$A241,Raw_Events!$G:$G,"NEW_ACTIVITY")</f>
        <v/>
      </c>
      <c r="Q241" s="3">
        <f>SUMIFS(Raw_Events!$H:$H,Raw_Events!$C:$C,$A241,Raw_Events!$G:$G,"TRAVEL_NIGHT")</f>
        <v/>
      </c>
      <c r="R241" s="3" t="n"/>
    </row>
    <row r="242" ht="15" customHeight="1">
      <c r="A242" s="14" t="n">
        <v>46262</v>
      </c>
      <c r="B242" s="27">
        <f>SUMIFS(Raw_Events!$H:$H,Raw_Events!$C:$C,$A242,Raw_Events!$G:$G,"SLEEP_HOURS")</f>
        <v/>
      </c>
      <c r="C242" s="16">
        <f>COUNTIFS(Raw_Events!$C:$C,$A242,Raw_Events!$G:$G,"WORKOUT")</f>
        <v/>
      </c>
      <c r="D242" s="28">
        <f>SUMIFS(Raw_Events!$H:$H,Raw_Events!$C:$C,$A242,Raw_Events!$G:$G,"POSTURE_SESSION")</f>
        <v/>
      </c>
      <c r="E242" s="8">
        <f>IF($D242="","",IF($D242&gt;=Settings!$C$17,1,0))</f>
        <v/>
      </c>
      <c r="F242" s="28">
        <f>SUMIFS(Raw_Events!$H:$H,Raw_Events!$C:$C,$A242,Raw_Events!$G:$G,"MINDFULNESS_MIN")</f>
        <v/>
      </c>
      <c r="G242" s="8">
        <f>IF($F242="","",IF($F242&gt;0,1,0))</f>
        <v/>
      </c>
      <c r="H242" s="16">
        <f>SUMIFS(Raw_Events!$H:$H,Raw_Events!$C:$C,$A242,Raw_Events!$G:$G,"CIGARETTES")</f>
        <v/>
      </c>
      <c r="I242" s="29">
        <f>SUMIFS(Raw_Events!$L:$L,Raw_Events!$C:$C,$A242,Raw_Events!$G:$G,"ALCOHOL")</f>
        <v/>
      </c>
      <c r="J242" s="16">
        <f>SUMIFS(Raw_Events!$H:$H,Raw_Events!$C:$C,$A242,Raw_Events!$G:$G,"UNHEALTHY_MEAL")</f>
        <v/>
      </c>
      <c r="K242" s="28">
        <f>SUMIFS(Raw_Events!$H:$H,Raw_Events!$C:$C,$A242,Raw_Events!$G:$G,"TRAINING_MIN")+SUMIFS(Raw_Events!$H:$H,Raw_Events!$C:$C,$A242,Raw_Events!$G:$G,"DICTION_TRAINING_MIN")</f>
        <v/>
      </c>
      <c r="L242" s="28" t="n"/>
      <c r="M242" s="16">
        <f>SUMIFS(Raw_Events!$H:$H,Raw_Events!$C:$C,$A242,Raw_Events!$G:$G,"IDEA")</f>
        <v/>
      </c>
      <c r="N242" s="16">
        <f>COUNTIFS(Raw_Events!$C:$C,$A242,Raw_Events!$G:$G,"SOCIAL_MEET")</f>
        <v/>
      </c>
      <c r="O242" s="16">
        <f>COUNTIFS(Raw_Events!$C:$C,$A242,Raw_Events!$G:$G,"DATE")</f>
        <v/>
      </c>
      <c r="P242" s="3">
        <f>COUNTIFS(Raw_Events!$C:$C,$A242,Raw_Events!$G:$G,"NEW_ACTIVITY")</f>
        <v/>
      </c>
      <c r="Q242" s="3">
        <f>SUMIFS(Raw_Events!$H:$H,Raw_Events!$C:$C,$A242,Raw_Events!$G:$G,"TRAVEL_NIGHT")</f>
        <v/>
      </c>
      <c r="R242" s="3" t="n"/>
    </row>
    <row r="243" ht="15" customHeight="1">
      <c r="A243" s="14" t="n">
        <v>46263</v>
      </c>
      <c r="B243" s="27">
        <f>SUMIFS(Raw_Events!$H:$H,Raw_Events!$C:$C,$A243,Raw_Events!$G:$G,"SLEEP_HOURS")</f>
        <v/>
      </c>
      <c r="C243" s="16">
        <f>COUNTIFS(Raw_Events!$C:$C,$A243,Raw_Events!$G:$G,"WORKOUT")</f>
        <v/>
      </c>
      <c r="D243" s="28">
        <f>SUMIFS(Raw_Events!$H:$H,Raw_Events!$C:$C,$A243,Raw_Events!$G:$G,"POSTURE_SESSION")</f>
        <v/>
      </c>
      <c r="E243" s="8">
        <f>IF($D243="","",IF($D243&gt;=Settings!$C$17,1,0))</f>
        <v/>
      </c>
      <c r="F243" s="28">
        <f>SUMIFS(Raw_Events!$H:$H,Raw_Events!$C:$C,$A243,Raw_Events!$G:$G,"MINDFULNESS_MIN")</f>
        <v/>
      </c>
      <c r="G243" s="8">
        <f>IF($F243="","",IF($F243&gt;0,1,0))</f>
        <v/>
      </c>
      <c r="H243" s="16">
        <f>SUMIFS(Raw_Events!$H:$H,Raw_Events!$C:$C,$A243,Raw_Events!$G:$G,"CIGARETTES")</f>
        <v/>
      </c>
      <c r="I243" s="29">
        <f>SUMIFS(Raw_Events!$L:$L,Raw_Events!$C:$C,$A243,Raw_Events!$G:$G,"ALCOHOL")</f>
        <v/>
      </c>
      <c r="J243" s="16">
        <f>SUMIFS(Raw_Events!$H:$H,Raw_Events!$C:$C,$A243,Raw_Events!$G:$G,"UNHEALTHY_MEAL")</f>
        <v/>
      </c>
      <c r="K243" s="28">
        <f>SUMIFS(Raw_Events!$H:$H,Raw_Events!$C:$C,$A243,Raw_Events!$G:$G,"TRAINING_MIN")+SUMIFS(Raw_Events!$H:$H,Raw_Events!$C:$C,$A243,Raw_Events!$G:$G,"DICTION_TRAINING_MIN")</f>
        <v/>
      </c>
      <c r="L243" s="28" t="n"/>
      <c r="M243" s="16">
        <f>SUMIFS(Raw_Events!$H:$H,Raw_Events!$C:$C,$A243,Raw_Events!$G:$G,"IDEA")</f>
        <v/>
      </c>
      <c r="N243" s="16">
        <f>COUNTIFS(Raw_Events!$C:$C,$A243,Raw_Events!$G:$G,"SOCIAL_MEET")</f>
        <v/>
      </c>
      <c r="O243" s="16">
        <f>COUNTIFS(Raw_Events!$C:$C,$A243,Raw_Events!$G:$G,"DATE")</f>
        <v/>
      </c>
      <c r="P243" s="3">
        <f>COUNTIFS(Raw_Events!$C:$C,$A243,Raw_Events!$G:$G,"NEW_ACTIVITY")</f>
        <v/>
      </c>
      <c r="Q243" s="3">
        <f>SUMIFS(Raw_Events!$H:$H,Raw_Events!$C:$C,$A243,Raw_Events!$G:$G,"TRAVEL_NIGHT")</f>
        <v/>
      </c>
      <c r="R243" s="3" t="n"/>
    </row>
    <row r="244" ht="15" customHeight="1">
      <c r="A244" s="14" t="n">
        <v>46264</v>
      </c>
      <c r="B244" s="27">
        <f>SUMIFS(Raw_Events!$H:$H,Raw_Events!$C:$C,$A244,Raw_Events!$G:$G,"SLEEP_HOURS")</f>
        <v/>
      </c>
      <c r="C244" s="16">
        <f>COUNTIFS(Raw_Events!$C:$C,$A244,Raw_Events!$G:$G,"WORKOUT")</f>
        <v/>
      </c>
      <c r="D244" s="28">
        <f>SUMIFS(Raw_Events!$H:$H,Raw_Events!$C:$C,$A244,Raw_Events!$G:$G,"POSTURE_SESSION")</f>
        <v/>
      </c>
      <c r="E244" s="8">
        <f>IF($D244="","",IF($D244&gt;=Settings!$C$17,1,0))</f>
        <v/>
      </c>
      <c r="F244" s="28">
        <f>SUMIFS(Raw_Events!$H:$H,Raw_Events!$C:$C,$A244,Raw_Events!$G:$G,"MINDFULNESS_MIN")</f>
        <v/>
      </c>
      <c r="G244" s="8">
        <f>IF($F244="","",IF($F244&gt;0,1,0))</f>
        <v/>
      </c>
      <c r="H244" s="16">
        <f>SUMIFS(Raw_Events!$H:$H,Raw_Events!$C:$C,$A244,Raw_Events!$G:$G,"CIGARETTES")</f>
        <v/>
      </c>
      <c r="I244" s="29">
        <f>SUMIFS(Raw_Events!$L:$L,Raw_Events!$C:$C,$A244,Raw_Events!$G:$G,"ALCOHOL")</f>
        <v/>
      </c>
      <c r="J244" s="16">
        <f>SUMIFS(Raw_Events!$H:$H,Raw_Events!$C:$C,$A244,Raw_Events!$G:$G,"UNHEALTHY_MEAL")</f>
        <v/>
      </c>
      <c r="K244" s="28">
        <f>SUMIFS(Raw_Events!$H:$H,Raw_Events!$C:$C,$A244,Raw_Events!$G:$G,"TRAINING_MIN")+SUMIFS(Raw_Events!$H:$H,Raw_Events!$C:$C,$A244,Raw_Events!$G:$G,"DICTION_TRAINING_MIN")</f>
        <v/>
      </c>
      <c r="L244" s="28" t="n"/>
      <c r="M244" s="16">
        <f>SUMIFS(Raw_Events!$H:$H,Raw_Events!$C:$C,$A244,Raw_Events!$G:$G,"IDEA")</f>
        <v/>
      </c>
      <c r="N244" s="16">
        <f>COUNTIFS(Raw_Events!$C:$C,$A244,Raw_Events!$G:$G,"SOCIAL_MEET")</f>
        <v/>
      </c>
      <c r="O244" s="16">
        <f>COUNTIFS(Raw_Events!$C:$C,$A244,Raw_Events!$G:$G,"DATE")</f>
        <v/>
      </c>
      <c r="P244" s="3">
        <f>COUNTIFS(Raw_Events!$C:$C,$A244,Raw_Events!$G:$G,"NEW_ACTIVITY")</f>
        <v/>
      </c>
      <c r="Q244" s="3">
        <f>SUMIFS(Raw_Events!$H:$H,Raw_Events!$C:$C,$A244,Raw_Events!$G:$G,"TRAVEL_NIGHT")</f>
        <v/>
      </c>
      <c r="R244" s="3" t="n"/>
    </row>
    <row r="245" ht="15" customHeight="1">
      <c r="A245" s="14" t="n">
        <v>46265</v>
      </c>
      <c r="B245" s="27">
        <f>SUMIFS(Raw_Events!$H:$H,Raw_Events!$C:$C,$A245,Raw_Events!$G:$G,"SLEEP_HOURS")</f>
        <v/>
      </c>
      <c r="C245" s="16">
        <f>COUNTIFS(Raw_Events!$C:$C,$A245,Raw_Events!$G:$G,"WORKOUT")</f>
        <v/>
      </c>
      <c r="D245" s="28">
        <f>SUMIFS(Raw_Events!$H:$H,Raw_Events!$C:$C,$A245,Raw_Events!$G:$G,"POSTURE_SESSION")</f>
        <v/>
      </c>
      <c r="E245" s="8">
        <f>IF($D245="","",IF($D245&gt;=Settings!$C$17,1,0))</f>
        <v/>
      </c>
      <c r="F245" s="28">
        <f>SUMIFS(Raw_Events!$H:$H,Raw_Events!$C:$C,$A245,Raw_Events!$G:$G,"MINDFULNESS_MIN")</f>
        <v/>
      </c>
      <c r="G245" s="8">
        <f>IF($F245="","",IF($F245&gt;0,1,0))</f>
        <v/>
      </c>
      <c r="H245" s="16">
        <f>SUMIFS(Raw_Events!$H:$H,Raw_Events!$C:$C,$A245,Raw_Events!$G:$G,"CIGARETTES")</f>
        <v/>
      </c>
      <c r="I245" s="29">
        <f>SUMIFS(Raw_Events!$L:$L,Raw_Events!$C:$C,$A245,Raw_Events!$G:$G,"ALCOHOL")</f>
        <v/>
      </c>
      <c r="J245" s="16">
        <f>SUMIFS(Raw_Events!$H:$H,Raw_Events!$C:$C,$A245,Raw_Events!$G:$G,"UNHEALTHY_MEAL")</f>
        <v/>
      </c>
      <c r="K245" s="28">
        <f>SUMIFS(Raw_Events!$H:$H,Raw_Events!$C:$C,$A245,Raw_Events!$G:$G,"TRAINING_MIN")+SUMIFS(Raw_Events!$H:$H,Raw_Events!$C:$C,$A245,Raw_Events!$G:$G,"DICTION_TRAINING_MIN")</f>
        <v/>
      </c>
      <c r="L245" s="28" t="n"/>
      <c r="M245" s="16">
        <f>SUMIFS(Raw_Events!$H:$H,Raw_Events!$C:$C,$A245,Raw_Events!$G:$G,"IDEA")</f>
        <v/>
      </c>
      <c r="N245" s="16">
        <f>COUNTIFS(Raw_Events!$C:$C,$A245,Raw_Events!$G:$G,"SOCIAL_MEET")</f>
        <v/>
      </c>
      <c r="O245" s="16">
        <f>COUNTIFS(Raw_Events!$C:$C,$A245,Raw_Events!$G:$G,"DATE")</f>
        <v/>
      </c>
      <c r="P245" s="3">
        <f>COUNTIFS(Raw_Events!$C:$C,$A245,Raw_Events!$G:$G,"NEW_ACTIVITY")</f>
        <v/>
      </c>
      <c r="Q245" s="3">
        <f>SUMIFS(Raw_Events!$H:$H,Raw_Events!$C:$C,$A245,Raw_Events!$G:$G,"TRAVEL_NIGHT")</f>
        <v/>
      </c>
      <c r="R245" s="3" t="n"/>
    </row>
    <row r="246" ht="15" customHeight="1">
      <c r="A246" s="14" t="n">
        <v>46266</v>
      </c>
      <c r="B246" s="27">
        <f>SUMIFS(Raw_Events!$H:$H,Raw_Events!$C:$C,$A246,Raw_Events!$G:$G,"SLEEP_HOURS")</f>
        <v/>
      </c>
      <c r="C246" s="16">
        <f>COUNTIFS(Raw_Events!$C:$C,$A246,Raw_Events!$G:$G,"WORKOUT")</f>
        <v/>
      </c>
      <c r="D246" s="28">
        <f>SUMIFS(Raw_Events!$H:$H,Raw_Events!$C:$C,$A246,Raw_Events!$G:$G,"POSTURE_SESSION")</f>
        <v/>
      </c>
      <c r="E246" s="8">
        <f>IF($D246="","",IF($D246&gt;=Settings!$C$17,1,0))</f>
        <v/>
      </c>
      <c r="F246" s="28">
        <f>SUMIFS(Raw_Events!$H:$H,Raw_Events!$C:$C,$A246,Raw_Events!$G:$G,"MINDFULNESS_MIN")</f>
        <v/>
      </c>
      <c r="G246" s="8">
        <f>IF($F246="","",IF($F246&gt;0,1,0))</f>
        <v/>
      </c>
      <c r="H246" s="16">
        <f>SUMIFS(Raw_Events!$H:$H,Raw_Events!$C:$C,$A246,Raw_Events!$G:$G,"CIGARETTES")</f>
        <v/>
      </c>
      <c r="I246" s="29">
        <f>SUMIFS(Raw_Events!$L:$L,Raw_Events!$C:$C,$A246,Raw_Events!$G:$G,"ALCOHOL")</f>
        <v/>
      </c>
      <c r="J246" s="16">
        <f>SUMIFS(Raw_Events!$H:$H,Raw_Events!$C:$C,$A246,Raw_Events!$G:$G,"UNHEALTHY_MEAL")</f>
        <v/>
      </c>
      <c r="K246" s="28">
        <f>SUMIFS(Raw_Events!$H:$H,Raw_Events!$C:$C,$A246,Raw_Events!$G:$G,"TRAINING_MIN")+SUMIFS(Raw_Events!$H:$H,Raw_Events!$C:$C,$A246,Raw_Events!$G:$G,"DICTION_TRAINING_MIN")</f>
        <v/>
      </c>
      <c r="L246" s="28" t="n"/>
      <c r="M246" s="16">
        <f>SUMIFS(Raw_Events!$H:$H,Raw_Events!$C:$C,$A246,Raw_Events!$G:$G,"IDEA")</f>
        <v/>
      </c>
      <c r="N246" s="16">
        <f>COUNTIFS(Raw_Events!$C:$C,$A246,Raw_Events!$G:$G,"SOCIAL_MEET")</f>
        <v/>
      </c>
      <c r="O246" s="16">
        <f>COUNTIFS(Raw_Events!$C:$C,$A246,Raw_Events!$G:$G,"DATE")</f>
        <v/>
      </c>
      <c r="P246" s="3">
        <f>COUNTIFS(Raw_Events!$C:$C,$A246,Raw_Events!$G:$G,"NEW_ACTIVITY")</f>
        <v/>
      </c>
      <c r="Q246" s="3">
        <f>SUMIFS(Raw_Events!$H:$H,Raw_Events!$C:$C,$A246,Raw_Events!$G:$G,"TRAVEL_NIGHT")</f>
        <v/>
      </c>
      <c r="R246" s="3" t="n"/>
    </row>
    <row r="247" ht="15" customHeight="1">
      <c r="A247" s="14" t="n">
        <v>46267</v>
      </c>
      <c r="B247" s="27">
        <f>SUMIFS(Raw_Events!$H:$H,Raw_Events!$C:$C,$A247,Raw_Events!$G:$G,"SLEEP_HOURS")</f>
        <v/>
      </c>
      <c r="C247" s="16">
        <f>COUNTIFS(Raw_Events!$C:$C,$A247,Raw_Events!$G:$G,"WORKOUT")</f>
        <v/>
      </c>
      <c r="D247" s="28">
        <f>SUMIFS(Raw_Events!$H:$H,Raw_Events!$C:$C,$A247,Raw_Events!$G:$G,"POSTURE_SESSION")</f>
        <v/>
      </c>
      <c r="E247" s="8">
        <f>IF($D247="","",IF($D247&gt;=Settings!$C$17,1,0))</f>
        <v/>
      </c>
      <c r="F247" s="28">
        <f>SUMIFS(Raw_Events!$H:$H,Raw_Events!$C:$C,$A247,Raw_Events!$G:$G,"MINDFULNESS_MIN")</f>
        <v/>
      </c>
      <c r="G247" s="8">
        <f>IF($F247="","",IF($F247&gt;0,1,0))</f>
        <v/>
      </c>
      <c r="H247" s="16">
        <f>SUMIFS(Raw_Events!$H:$H,Raw_Events!$C:$C,$A247,Raw_Events!$G:$G,"CIGARETTES")</f>
        <v/>
      </c>
      <c r="I247" s="29">
        <f>SUMIFS(Raw_Events!$L:$L,Raw_Events!$C:$C,$A247,Raw_Events!$G:$G,"ALCOHOL")</f>
        <v/>
      </c>
      <c r="J247" s="16">
        <f>SUMIFS(Raw_Events!$H:$H,Raw_Events!$C:$C,$A247,Raw_Events!$G:$G,"UNHEALTHY_MEAL")</f>
        <v/>
      </c>
      <c r="K247" s="28">
        <f>SUMIFS(Raw_Events!$H:$H,Raw_Events!$C:$C,$A247,Raw_Events!$G:$G,"TRAINING_MIN")+SUMIFS(Raw_Events!$H:$H,Raw_Events!$C:$C,$A247,Raw_Events!$G:$G,"DICTION_TRAINING_MIN")</f>
        <v/>
      </c>
      <c r="L247" s="28" t="n"/>
      <c r="M247" s="16">
        <f>SUMIFS(Raw_Events!$H:$H,Raw_Events!$C:$C,$A247,Raw_Events!$G:$G,"IDEA")</f>
        <v/>
      </c>
      <c r="N247" s="16">
        <f>COUNTIFS(Raw_Events!$C:$C,$A247,Raw_Events!$G:$G,"SOCIAL_MEET")</f>
        <v/>
      </c>
      <c r="O247" s="16">
        <f>COUNTIFS(Raw_Events!$C:$C,$A247,Raw_Events!$G:$G,"DATE")</f>
        <v/>
      </c>
      <c r="P247" s="3">
        <f>COUNTIFS(Raw_Events!$C:$C,$A247,Raw_Events!$G:$G,"NEW_ACTIVITY")</f>
        <v/>
      </c>
      <c r="Q247" s="3">
        <f>SUMIFS(Raw_Events!$H:$H,Raw_Events!$C:$C,$A247,Raw_Events!$G:$G,"TRAVEL_NIGHT")</f>
        <v/>
      </c>
      <c r="R247" s="3" t="n"/>
    </row>
    <row r="248" ht="15" customHeight="1">
      <c r="A248" s="14" t="n">
        <v>46268</v>
      </c>
      <c r="B248" s="27">
        <f>SUMIFS(Raw_Events!$H:$H,Raw_Events!$C:$C,$A248,Raw_Events!$G:$G,"SLEEP_HOURS")</f>
        <v/>
      </c>
      <c r="C248" s="16">
        <f>COUNTIFS(Raw_Events!$C:$C,$A248,Raw_Events!$G:$G,"WORKOUT")</f>
        <v/>
      </c>
      <c r="D248" s="28">
        <f>SUMIFS(Raw_Events!$H:$H,Raw_Events!$C:$C,$A248,Raw_Events!$G:$G,"POSTURE_SESSION")</f>
        <v/>
      </c>
      <c r="E248" s="8">
        <f>IF($D248="","",IF($D248&gt;=Settings!$C$17,1,0))</f>
        <v/>
      </c>
      <c r="F248" s="28">
        <f>SUMIFS(Raw_Events!$H:$H,Raw_Events!$C:$C,$A248,Raw_Events!$G:$G,"MINDFULNESS_MIN")</f>
        <v/>
      </c>
      <c r="G248" s="8">
        <f>IF($F248="","",IF($F248&gt;0,1,0))</f>
        <v/>
      </c>
      <c r="H248" s="16">
        <f>SUMIFS(Raw_Events!$H:$H,Raw_Events!$C:$C,$A248,Raw_Events!$G:$G,"CIGARETTES")</f>
        <v/>
      </c>
      <c r="I248" s="29">
        <f>SUMIFS(Raw_Events!$L:$L,Raw_Events!$C:$C,$A248,Raw_Events!$G:$G,"ALCOHOL")</f>
        <v/>
      </c>
      <c r="J248" s="16">
        <f>SUMIFS(Raw_Events!$H:$H,Raw_Events!$C:$C,$A248,Raw_Events!$G:$G,"UNHEALTHY_MEAL")</f>
        <v/>
      </c>
      <c r="K248" s="28">
        <f>SUMIFS(Raw_Events!$H:$H,Raw_Events!$C:$C,$A248,Raw_Events!$G:$G,"TRAINING_MIN")+SUMIFS(Raw_Events!$H:$H,Raw_Events!$C:$C,$A248,Raw_Events!$G:$G,"DICTION_TRAINING_MIN")</f>
        <v/>
      </c>
      <c r="L248" s="28" t="n"/>
      <c r="M248" s="16">
        <f>SUMIFS(Raw_Events!$H:$H,Raw_Events!$C:$C,$A248,Raw_Events!$G:$G,"IDEA")</f>
        <v/>
      </c>
      <c r="N248" s="16">
        <f>COUNTIFS(Raw_Events!$C:$C,$A248,Raw_Events!$G:$G,"SOCIAL_MEET")</f>
        <v/>
      </c>
      <c r="O248" s="16">
        <f>COUNTIFS(Raw_Events!$C:$C,$A248,Raw_Events!$G:$G,"DATE")</f>
        <v/>
      </c>
      <c r="P248" s="3">
        <f>COUNTIFS(Raw_Events!$C:$C,$A248,Raw_Events!$G:$G,"NEW_ACTIVITY")</f>
        <v/>
      </c>
      <c r="Q248" s="3">
        <f>SUMIFS(Raw_Events!$H:$H,Raw_Events!$C:$C,$A248,Raw_Events!$G:$G,"TRAVEL_NIGHT")</f>
        <v/>
      </c>
      <c r="R248" s="3" t="n"/>
    </row>
    <row r="249" ht="15" customHeight="1">
      <c r="A249" s="14" t="n">
        <v>46269</v>
      </c>
      <c r="B249" s="27">
        <f>SUMIFS(Raw_Events!$H:$H,Raw_Events!$C:$C,$A249,Raw_Events!$G:$G,"SLEEP_HOURS")</f>
        <v/>
      </c>
      <c r="C249" s="16">
        <f>COUNTIFS(Raw_Events!$C:$C,$A249,Raw_Events!$G:$G,"WORKOUT")</f>
        <v/>
      </c>
      <c r="D249" s="28">
        <f>SUMIFS(Raw_Events!$H:$H,Raw_Events!$C:$C,$A249,Raw_Events!$G:$G,"POSTURE_SESSION")</f>
        <v/>
      </c>
      <c r="E249" s="8">
        <f>IF($D249="","",IF($D249&gt;=Settings!$C$17,1,0))</f>
        <v/>
      </c>
      <c r="F249" s="28">
        <f>SUMIFS(Raw_Events!$H:$H,Raw_Events!$C:$C,$A249,Raw_Events!$G:$G,"MINDFULNESS_MIN")</f>
        <v/>
      </c>
      <c r="G249" s="8">
        <f>IF($F249="","",IF($F249&gt;0,1,0))</f>
        <v/>
      </c>
      <c r="H249" s="16">
        <f>SUMIFS(Raw_Events!$H:$H,Raw_Events!$C:$C,$A249,Raw_Events!$G:$G,"CIGARETTES")</f>
        <v/>
      </c>
      <c r="I249" s="29">
        <f>SUMIFS(Raw_Events!$L:$L,Raw_Events!$C:$C,$A249,Raw_Events!$G:$G,"ALCOHOL")</f>
        <v/>
      </c>
      <c r="J249" s="16">
        <f>SUMIFS(Raw_Events!$H:$H,Raw_Events!$C:$C,$A249,Raw_Events!$G:$G,"UNHEALTHY_MEAL")</f>
        <v/>
      </c>
      <c r="K249" s="28">
        <f>SUMIFS(Raw_Events!$H:$H,Raw_Events!$C:$C,$A249,Raw_Events!$G:$G,"TRAINING_MIN")+SUMIFS(Raw_Events!$H:$H,Raw_Events!$C:$C,$A249,Raw_Events!$G:$G,"DICTION_TRAINING_MIN")</f>
        <v/>
      </c>
      <c r="L249" s="28" t="n"/>
      <c r="M249" s="16">
        <f>SUMIFS(Raw_Events!$H:$H,Raw_Events!$C:$C,$A249,Raw_Events!$G:$G,"IDEA")</f>
        <v/>
      </c>
      <c r="N249" s="16">
        <f>COUNTIFS(Raw_Events!$C:$C,$A249,Raw_Events!$G:$G,"SOCIAL_MEET")</f>
        <v/>
      </c>
      <c r="O249" s="16">
        <f>COUNTIFS(Raw_Events!$C:$C,$A249,Raw_Events!$G:$G,"DATE")</f>
        <v/>
      </c>
      <c r="P249" s="3">
        <f>COUNTIFS(Raw_Events!$C:$C,$A249,Raw_Events!$G:$G,"NEW_ACTIVITY")</f>
        <v/>
      </c>
      <c r="Q249" s="3">
        <f>SUMIFS(Raw_Events!$H:$H,Raw_Events!$C:$C,$A249,Raw_Events!$G:$G,"TRAVEL_NIGHT")</f>
        <v/>
      </c>
      <c r="R249" s="3" t="n"/>
    </row>
    <row r="250" ht="15" customHeight="1">
      <c r="A250" s="14" t="n">
        <v>46270</v>
      </c>
      <c r="B250" s="27">
        <f>SUMIFS(Raw_Events!$H:$H,Raw_Events!$C:$C,$A250,Raw_Events!$G:$G,"SLEEP_HOURS")</f>
        <v/>
      </c>
      <c r="C250" s="16">
        <f>COUNTIFS(Raw_Events!$C:$C,$A250,Raw_Events!$G:$G,"WORKOUT")</f>
        <v/>
      </c>
      <c r="D250" s="28">
        <f>SUMIFS(Raw_Events!$H:$H,Raw_Events!$C:$C,$A250,Raw_Events!$G:$G,"POSTURE_SESSION")</f>
        <v/>
      </c>
      <c r="E250" s="8">
        <f>IF($D250="","",IF($D250&gt;=Settings!$C$17,1,0))</f>
        <v/>
      </c>
      <c r="F250" s="28">
        <f>SUMIFS(Raw_Events!$H:$H,Raw_Events!$C:$C,$A250,Raw_Events!$G:$G,"MINDFULNESS_MIN")</f>
        <v/>
      </c>
      <c r="G250" s="8">
        <f>IF($F250="","",IF($F250&gt;0,1,0))</f>
        <v/>
      </c>
      <c r="H250" s="16">
        <f>SUMIFS(Raw_Events!$H:$H,Raw_Events!$C:$C,$A250,Raw_Events!$G:$G,"CIGARETTES")</f>
        <v/>
      </c>
      <c r="I250" s="29">
        <f>SUMIFS(Raw_Events!$L:$L,Raw_Events!$C:$C,$A250,Raw_Events!$G:$G,"ALCOHOL")</f>
        <v/>
      </c>
      <c r="J250" s="16">
        <f>SUMIFS(Raw_Events!$H:$H,Raw_Events!$C:$C,$A250,Raw_Events!$G:$G,"UNHEALTHY_MEAL")</f>
        <v/>
      </c>
      <c r="K250" s="28">
        <f>SUMIFS(Raw_Events!$H:$H,Raw_Events!$C:$C,$A250,Raw_Events!$G:$G,"TRAINING_MIN")+SUMIFS(Raw_Events!$H:$H,Raw_Events!$C:$C,$A250,Raw_Events!$G:$G,"DICTION_TRAINING_MIN")</f>
        <v/>
      </c>
      <c r="L250" s="28" t="n"/>
      <c r="M250" s="16">
        <f>SUMIFS(Raw_Events!$H:$H,Raw_Events!$C:$C,$A250,Raw_Events!$G:$G,"IDEA")</f>
        <v/>
      </c>
      <c r="N250" s="16">
        <f>COUNTIFS(Raw_Events!$C:$C,$A250,Raw_Events!$G:$G,"SOCIAL_MEET")</f>
        <v/>
      </c>
      <c r="O250" s="16">
        <f>COUNTIFS(Raw_Events!$C:$C,$A250,Raw_Events!$G:$G,"DATE")</f>
        <v/>
      </c>
      <c r="P250" s="3">
        <f>COUNTIFS(Raw_Events!$C:$C,$A250,Raw_Events!$G:$G,"NEW_ACTIVITY")</f>
        <v/>
      </c>
      <c r="Q250" s="3">
        <f>SUMIFS(Raw_Events!$H:$H,Raw_Events!$C:$C,$A250,Raw_Events!$G:$G,"TRAVEL_NIGHT")</f>
        <v/>
      </c>
      <c r="R250" s="3" t="n"/>
    </row>
    <row r="251" ht="15" customHeight="1">
      <c r="A251" s="14" t="n">
        <v>46271</v>
      </c>
      <c r="B251" s="27">
        <f>SUMIFS(Raw_Events!$H:$H,Raw_Events!$C:$C,$A251,Raw_Events!$G:$G,"SLEEP_HOURS")</f>
        <v/>
      </c>
      <c r="C251" s="16">
        <f>COUNTIFS(Raw_Events!$C:$C,$A251,Raw_Events!$G:$G,"WORKOUT")</f>
        <v/>
      </c>
      <c r="D251" s="28">
        <f>SUMIFS(Raw_Events!$H:$H,Raw_Events!$C:$C,$A251,Raw_Events!$G:$G,"POSTURE_SESSION")</f>
        <v/>
      </c>
      <c r="E251" s="8">
        <f>IF($D251="","",IF($D251&gt;=Settings!$C$17,1,0))</f>
        <v/>
      </c>
      <c r="F251" s="28">
        <f>SUMIFS(Raw_Events!$H:$H,Raw_Events!$C:$C,$A251,Raw_Events!$G:$G,"MINDFULNESS_MIN")</f>
        <v/>
      </c>
      <c r="G251" s="8">
        <f>IF($F251="","",IF($F251&gt;0,1,0))</f>
        <v/>
      </c>
      <c r="H251" s="16">
        <f>SUMIFS(Raw_Events!$H:$H,Raw_Events!$C:$C,$A251,Raw_Events!$G:$G,"CIGARETTES")</f>
        <v/>
      </c>
      <c r="I251" s="29">
        <f>SUMIFS(Raw_Events!$L:$L,Raw_Events!$C:$C,$A251,Raw_Events!$G:$G,"ALCOHOL")</f>
        <v/>
      </c>
      <c r="J251" s="16">
        <f>SUMIFS(Raw_Events!$H:$H,Raw_Events!$C:$C,$A251,Raw_Events!$G:$G,"UNHEALTHY_MEAL")</f>
        <v/>
      </c>
      <c r="K251" s="28">
        <f>SUMIFS(Raw_Events!$H:$H,Raw_Events!$C:$C,$A251,Raw_Events!$G:$G,"TRAINING_MIN")+SUMIFS(Raw_Events!$H:$H,Raw_Events!$C:$C,$A251,Raw_Events!$G:$G,"DICTION_TRAINING_MIN")</f>
        <v/>
      </c>
      <c r="L251" s="28" t="n"/>
      <c r="M251" s="16">
        <f>SUMIFS(Raw_Events!$H:$H,Raw_Events!$C:$C,$A251,Raw_Events!$G:$G,"IDEA")</f>
        <v/>
      </c>
      <c r="N251" s="16">
        <f>COUNTIFS(Raw_Events!$C:$C,$A251,Raw_Events!$G:$G,"SOCIAL_MEET")</f>
        <v/>
      </c>
      <c r="O251" s="16">
        <f>COUNTIFS(Raw_Events!$C:$C,$A251,Raw_Events!$G:$G,"DATE")</f>
        <v/>
      </c>
      <c r="P251" s="3">
        <f>COUNTIFS(Raw_Events!$C:$C,$A251,Raw_Events!$G:$G,"NEW_ACTIVITY")</f>
        <v/>
      </c>
      <c r="Q251" s="3">
        <f>SUMIFS(Raw_Events!$H:$H,Raw_Events!$C:$C,$A251,Raw_Events!$G:$G,"TRAVEL_NIGHT")</f>
        <v/>
      </c>
      <c r="R251" s="3" t="n"/>
    </row>
    <row r="252" ht="15" customHeight="1">
      <c r="A252" s="14" t="n">
        <v>46272</v>
      </c>
      <c r="B252" s="27">
        <f>SUMIFS(Raw_Events!$H:$H,Raw_Events!$C:$C,$A252,Raw_Events!$G:$G,"SLEEP_HOURS")</f>
        <v/>
      </c>
      <c r="C252" s="16">
        <f>COUNTIFS(Raw_Events!$C:$C,$A252,Raw_Events!$G:$G,"WORKOUT")</f>
        <v/>
      </c>
      <c r="D252" s="28">
        <f>SUMIFS(Raw_Events!$H:$H,Raw_Events!$C:$C,$A252,Raw_Events!$G:$G,"POSTURE_SESSION")</f>
        <v/>
      </c>
      <c r="E252" s="8">
        <f>IF($D252="","",IF($D252&gt;=Settings!$C$17,1,0))</f>
        <v/>
      </c>
      <c r="F252" s="28">
        <f>SUMIFS(Raw_Events!$H:$H,Raw_Events!$C:$C,$A252,Raw_Events!$G:$G,"MINDFULNESS_MIN")</f>
        <v/>
      </c>
      <c r="G252" s="8">
        <f>IF($F252="","",IF($F252&gt;0,1,0))</f>
        <v/>
      </c>
      <c r="H252" s="16">
        <f>SUMIFS(Raw_Events!$H:$H,Raw_Events!$C:$C,$A252,Raw_Events!$G:$G,"CIGARETTES")</f>
        <v/>
      </c>
      <c r="I252" s="29">
        <f>SUMIFS(Raw_Events!$L:$L,Raw_Events!$C:$C,$A252,Raw_Events!$G:$G,"ALCOHOL")</f>
        <v/>
      </c>
      <c r="J252" s="16">
        <f>SUMIFS(Raw_Events!$H:$H,Raw_Events!$C:$C,$A252,Raw_Events!$G:$G,"UNHEALTHY_MEAL")</f>
        <v/>
      </c>
      <c r="K252" s="28">
        <f>SUMIFS(Raw_Events!$H:$H,Raw_Events!$C:$C,$A252,Raw_Events!$G:$G,"TRAINING_MIN")+SUMIFS(Raw_Events!$H:$H,Raw_Events!$C:$C,$A252,Raw_Events!$G:$G,"DICTION_TRAINING_MIN")</f>
        <v/>
      </c>
      <c r="L252" s="28" t="n"/>
      <c r="M252" s="16">
        <f>SUMIFS(Raw_Events!$H:$H,Raw_Events!$C:$C,$A252,Raw_Events!$G:$G,"IDEA")</f>
        <v/>
      </c>
      <c r="N252" s="16">
        <f>COUNTIFS(Raw_Events!$C:$C,$A252,Raw_Events!$G:$G,"SOCIAL_MEET")</f>
        <v/>
      </c>
      <c r="O252" s="16">
        <f>COUNTIFS(Raw_Events!$C:$C,$A252,Raw_Events!$G:$G,"DATE")</f>
        <v/>
      </c>
      <c r="P252" s="3">
        <f>COUNTIFS(Raw_Events!$C:$C,$A252,Raw_Events!$G:$G,"NEW_ACTIVITY")</f>
        <v/>
      </c>
      <c r="Q252" s="3">
        <f>SUMIFS(Raw_Events!$H:$H,Raw_Events!$C:$C,$A252,Raw_Events!$G:$G,"TRAVEL_NIGHT")</f>
        <v/>
      </c>
      <c r="R252" s="3" t="n"/>
    </row>
    <row r="253" ht="15" customHeight="1">
      <c r="A253" s="14" t="n">
        <v>46273</v>
      </c>
      <c r="B253" s="27">
        <f>SUMIFS(Raw_Events!$H:$H,Raw_Events!$C:$C,$A253,Raw_Events!$G:$G,"SLEEP_HOURS")</f>
        <v/>
      </c>
      <c r="C253" s="16">
        <f>COUNTIFS(Raw_Events!$C:$C,$A253,Raw_Events!$G:$G,"WORKOUT")</f>
        <v/>
      </c>
      <c r="D253" s="28">
        <f>SUMIFS(Raw_Events!$H:$H,Raw_Events!$C:$C,$A253,Raw_Events!$G:$G,"POSTURE_SESSION")</f>
        <v/>
      </c>
      <c r="E253" s="8">
        <f>IF($D253="","",IF($D253&gt;=Settings!$C$17,1,0))</f>
        <v/>
      </c>
      <c r="F253" s="28">
        <f>SUMIFS(Raw_Events!$H:$H,Raw_Events!$C:$C,$A253,Raw_Events!$G:$G,"MINDFULNESS_MIN")</f>
        <v/>
      </c>
      <c r="G253" s="8">
        <f>IF($F253="","",IF($F253&gt;0,1,0))</f>
        <v/>
      </c>
      <c r="H253" s="16">
        <f>SUMIFS(Raw_Events!$H:$H,Raw_Events!$C:$C,$A253,Raw_Events!$G:$G,"CIGARETTES")</f>
        <v/>
      </c>
      <c r="I253" s="29">
        <f>SUMIFS(Raw_Events!$L:$L,Raw_Events!$C:$C,$A253,Raw_Events!$G:$G,"ALCOHOL")</f>
        <v/>
      </c>
      <c r="J253" s="16">
        <f>SUMIFS(Raw_Events!$H:$H,Raw_Events!$C:$C,$A253,Raw_Events!$G:$G,"UNHEALTHY_MEAL")</f>
        <v/>
      </c>
      <c r="K253" s="28">
        <f>SUMIFS(Raw_Events!$H:$H,Raw_Events!$C:$C,$A253,Raw_Events!$G:$G,"TRAINING_MIN")+SUMIFS(Raw_Events!$H:$H,Raw_Events!$C:$C,$A253,Raw_Events!$G:$G,"DICTION_TRAINING_MIN")</f>
        <v/>
      </c>
      <c r="L253" s="28" t="n"/>
      <c r="M253" s="16">
        <f>SUMIFS(Raw_Events!$H:$H,Raw_Events!$C:$C,$A253,Raw_Events!$G:$G,"IDEA")</f>
        <v/>
      </c>
      <c r="N253" s="16">
        <f>COUNTIFS(Raw_Events!$C:$C,$A253,Raw_Events!$G:$G,"SOCIAL_MEET")</f>
        <v/>
      </c>
      <c r="O253" s="16">
        <f>COUNTIFS(Raw_Events!$C:$C,$A253,Raw_Events!$G:$G,"DATE")</f>
        <v/>
      </c>
      <c r="P253" s="3">
        <f>COUNTIFS(Raw_Events!$C:$C,$A253,Raw_Events!$G:$G,"NEW_ACTIVITY")</f>
        <v/>
      </c>
      <c r="Q253" s="3">
        <f>SUMIFS(Raw_Events!$H:$H,Raw_Events!$C:$C,$A253,Raw_Events!$G:$G,"TRAVEL_NIGHT")</f>
        <v/>
      </c>
      <c r="R253" s="3" t="n"/>
    </row>
    <row r="254" ht="15" customHeight="1">
      <c r="A254" s="14" t="n">
        <v>46274</v>
      </c>
      <c r="B254" s="27">
        <f>SUMIFS(Raw_Events!$H:$H,Raw_Events!$C:$C,$A254,Raw_Events!$G:$G,"SLEEP_HOURS")</f>
        <v/>
      </c>
      <c r="C254" s="16">
        <f>COUNTIFS(Raw_Events!$C:$C,$A254,Raw_Events!$G:$G,"WORKOUT")</f>
        <v/>
      </c>
      <c r="D254" s="28">
        <f>SUMIFS(Raw_Events!$H:$H,Raw_Events!$C:$C,$A254,Raw_Events!$G:$G,"POSTURE_SESSION")</f>
        <v/>
      </c>
      <c r="E254" s="8">
        <f>IF($D254="","",IF($D254&gt;=Settings!$C$17,1,0))</f>
        <v/>
      </c>
      <c r="F254" s="28">
        <f>SUMIFS(Raw_Events!$H:$H,Raw_Events!$C:$C,$A254,Raw_Events!$G:$G,"MINDFULNESS_MIN")</f>
        <v/>
      </c>
      <c r="G254" s="8">
        <f>IF($F254="","",IF($F254&gt;0,1,0))</f>
        <v/>
      </c>
      <c r="H254" s="16">
        <f>SUMIFS(Raw_Events!$H:$H,Raw_Events!$C:$C,$A254,Raw_Events!$G:$G,"CIGARETTES")</f>
        <v/>
      </c>
      <c r="I254" s="29">
        <f>SUMIFS(Raw_Events!$L:$L,Raw_Events!$C:$C,$A254,Raw_Events!$G:$G,"ALCOHOL")</f>
        <v/>
      </c>
      <c r="J254" s="16">
        <f>SUMIFS(Raw_Events!$H:$H,Raw_Events!$C:$C,$A254,Raw_Events!$G:$G,"UNHEALTHY_MEAL")</f>
        <v/>
      </c>
      <c r="K254" s="28">
        <f>SUMIFS(Raw_Events!$H:$H,Raw_Events!$C:$C,$A254,Raw_Events!$G:$G,"TRAINING_MIN")+SUMIFS(Raw_Events!$H:$H,Raw_Events!$C:$C,$A254,Raw_Events!$G:$G,"DICTION_TRAINING_MIN")</f>
        <v/>
      </c>
      <c r="L254" s="28" t="n"/>
      <c r="M254" s="16">
        <f>SUMIFS(Raw_Events!$H:$H,Raw_Events!$C:$C,$A254,Raw_Events!$G:$G,"IDEA")</f>
        <v/>
      </c>
      <c r="N254" s="16">
        <f>COUNTIFS(Raw_Events!$C:$C,$A254,Raw_Events!$G:$G,"SOCIAL_MEET")</f>
        <v/>
      </c>
      <c r="O254" s="16">
        <f>COUNTIFS(Raw_Events!$C:$C,$A254,Raw_Events!$G:$G,"DATE")</f>
        <v/>
      </c>
      <c r="P254" s="3">
        <f>COUNTIFS(Raw_Events!$C:$C,$A254,Raw_Events!$G:$G,"NEW_ACTIVITY")</f>
        <v/>
      </c>
      <c r="Q254" s="3">
        <f>SUMIFS(Raw_Events!$H:$H,Raw_Events!$C:$C,$A254,Raw_Events!$G:$G,"TRAVEL_NIGHT")</f>
        <v/>
      </c>
      <c r="R254" s="3" t="n"/>
    </row>
    <row r="255" ht="15" customHeight="1">
      <c r="A255" s="14" t="n">
        <v>46275</v>
      </c>
      <c r="B255" s="27">
        <f>SUMIFS(Raw_Events!$H:$H,Raw_Events!$C:$C,$A255,Raw_Events!$G:$G,"SLEEP_HOURS")</f>
        <v/>
      </c>
      <c r="C255" s="16">
        <f>COUNTIFS(Raw_Events!$C:$C,$A255,Raw_Events!$G:$G,"WORKOUT")</f>
        <v/>
      </c>
      <c r="D255" s="28">
        <f>SUMIFS(Raw_Events!$H:$H,Raw_Events!$C:$C,$A255,Raw_Events!$G:$G,"POSTURE_SESSION")</f>
        <v/>
      </c>
      <c r="E255" s="8">
        <f>IF($D255="","",IF($D255&gt;=Settings!$C$17,1,0))</f>
        <v/>
      </c>
      <c r="F255" s="28">
        <f>SUMIFS(Raw_Events!$H:$H,Raw_Events!$C:$C,$A255,Raw_Events!$G:$G,"MINDFULNESS_MIN")</f>
        <v/>
      </c>
      <c r="G255" s="8">
        <f>IF($F255="","",IF($F255&gt;0,1,0))</f>
        <v/>
      </c>
      <c r="H255" s="16">
        <f>SUMIFS(Raw_Events!$H:$H,Raw_Events!$C:$C,$A255,Raw_Events!$G:$G,"CIGARETTES")</f>
        <v/>
      </c>
      <c r="I255" s="29">
        <f>SUMIFS(Raw_Events!$L:$L,Raw_Events!$C:$C,$A255,Raw_Events!$G:$G,"ALCOHOL")</f>
        <v/>
      </c>
      <c r="J255" s="16">
        <f>SUMIFS(Raw_Events!$H:$H,Raw_Events!$C:$C,$A255,Raw_Events!$G:$G,"UNHEALTHY_MEAL")</f>
        <v/>
      </c>
      <c r="K255" s="28">
        <f>SUMIFS(Raw_Events!$H:$H,Raw_Events!$C:$C,$A255,Raw_Events!$G:$G,"TRAINING_MIN")+SUMIFS(Raw_Events!$H:$H,Raw_Events!$C:$C,$A255,Raw_Events!$G:$G,"DICTION_TRAINING_MIN")</f>
        <v/>
      </c>
      <c r="L255" s="28" t="n"/>
      <c r="M255" s="16">
        <f>SUMIFS(Raw_Events!$H:$H,Raw_Events!$C:$C,$A255,Raw_Events!$G:$G,"IDEA")</f>
        <v/>
      </c>
      <c r="N255" s="16">
        <f>COUNTIFS(Raw_Events!$C:$C,$A255,Raw_Events!$G:$G,"SOCIAL_MEET")</f>
        <v/>
      </c>
      <c r="O255" s="16">
        <f>COUNTIFS(Raw_Events!$C:$C,$A255,Raw_Events!$G:$G,"DATE")</f>
        <v/>
      </c>
      <c r="P255" s="3">
        <f>COUNTIFS(Raw_Events!$C:$C,$A255,Raw_Events!$G:$G,"NEW_ACTIVITY")</f>
        <v/>
      </c>
      <c r="Q255" s="3">
        <f>SUMIFS(Raw_Events!$H:$H,Raw_Events!$C:$C,$A255,Raw_Events!$G:$G,"TRAVEL_NIGHT")</f>
        <v/>
      </c>
      <c r="R255" s="3" t="n"/>
    </row>
    <row r="256" ht="15" customHeight="1">
      <c r="A256" s="14" t="n">
        <v>46276</v>
      </c>
      <c r="B256" s="27">
        <f>SUMIFS(Raw_Events!$H:$H,Raw_Events!$C:$C,$A256,Raw_Events!$G:$G,"SLEEP_HOURS")</f>
        <v/>
      </c>
      <c r="C256" s="16">
        <f>COUNTIFS(Raw_Events!$C:$C,$A256,Raw_Events!$G:$G,"WORKOUT")</f>
        <v/>
      </c>
      <c r="D256" s="28">
        <f>SUMIFS(Raw_Events!$H:$H,Raw_Events!$C:$C,$A256,Raw_Events!$G:$G,"POSTURE_SESSION")</f>
        <v/>
      </c>
      <c r="E256" s="8">
        <f>IF($D256="","",IF($D256&gt;=Settings!$C$17,1,0))</f>
        <v/>
      </c>
      <c r="F256" s="28">
        <f>SUMIFS(Raw_Events!$H:$H,Raw_Events!$C:$C,$A256,Raw_Events!$G:$G,"MINDFULNESS_MIN")</f>
        <v/>
      </c>
      <c r="G256" s="8">
        <f>IF($F256="","",IF($F256&gt;0,1,0))</f>
        <v/>
      </c>
      <c r="H256" s="16">
        <f>SUMIFS(Raw_Events!$H:$H,Raw_Events!$C:$C,$A256,Raw_Events!$G:$G,"CIGARETTES")</f>
        <v/>
      </c>
      <c r="I256" s="29">
        <f>SUMIFS(Raw_Events!$L:$L,Raw_Events!$C:$C,$A256,Raw_Events!$G:$G,"ALCOHOL")</f>
        <v/>
      </c>
      <c r="J256" s="16">
        <f>SUMIFS(Raw_Events!$H:$H,Raw_Events!$C:$C,$A256,Raw_Events!$G:$G,"UNHEALTHY_MEAL")</f>
        <v/>
      </c>
      <c r="K256" s="28">
        <f>SUMIFS(Raw_Events!$H:$H,Raw_Events!$C:$C,$A256,Raw_Events!$G:$G,"TRAINING_MIN")+SUMIFS(Raw_Events!$H:$H,Raw_Events!$C:$C,$A256,Raw_Events!$G:$G,"DICTION_TRAINING_MIN")</f>
        <v/>
      </c>
      <c r="L256" s="28" t="n"/>
      <c r="M256" s="16">
        <f>SUMIFS(Raw_Events!$H:$H,Raw_Events!$C:$C,$A256,Raw_Events!$G:$G,"IDEA")</f>
        <v/>
      </c>
      <c r="N256" s="16">
        <f>COUNTIFS(Raw_Events!$C:$C,$A256,Raw_Events!$G:$G,"SOCIAL_MEET")</f>
        <v/>
      </c>
      <c r="O256" s="16">
        <f>COUNTIFS(Raw_Events!$C:$C,$A256,Raw_Events!$G:$G,"DATE")</f>
        <v/>
      </c>
      <c r="P256" s="3">
        <f>COUNTIFS(Raw_Events!$C:$C,$A256,Raw_Events!$G:$G,"NEW_ACTIVITY")</f>
        <v/>
      </c>
      <c r="Q256" s="3">
        <f>SUMIFS(Raw_Events!$H:$H,Raw_Events!$C:$C,$A256,Raw_Events!$G:$G,"TRAVEL_NIGHT")</f>
        <v/>
      </c>
      <c r="R256" s="3" t="n"/>
    </row>
    <row r="257" ht="15" customHeight="1">
      <c r="A257" s="14" t="n">
        <v>46277</v>
      </c>
      <c r="B257" s="27">
        <f>SUMIFS(Raw_Events!$H:$H,Raw_Events!$C:$C,$A257,Raw_Events!$G:$G,"SLEEP_HOURS")</f>
        <v/>
      </c>
      <c r="C257" s="16">
        <f>COUNTIFS(Raw_Events!$C:$C,$A257,Raw_Events!$G:$G,"WORKOUT")</f>
        <v/>
      </c>
      <c r="D257" s="28">
        <f>SUMIFS(Raw_Events!$H:$H,Raw_Events!$C:$C,$A257,Raw_Events!$G:$G,"POSTURE_SESSION")</f>
        <v/>
      </c>
      <c r="E257" s="8">
        <f>IF($D257="","",IF($D257&gt;=Settings!$C$17,1,0))</f>
        <v/>
      </c>
      <c r="F257" s="28">
        <f>SUMIFS(Raw_Events!$H:$H,Raw_Events!$C:$C,$A257,Raw_Events!$G:$G,"MINDFULNESS_MIN")</f>
        <v/>
      </c>
      <c r="G257" s="8">
        <f>IF($F257="","",IF($F257&gt;0,1,0))</f>
        <v/>
      </c>
      <c r="H257" s="16">
        <f>SUMIFS(Raw_Events!$H:$H,Raw_Events!$C:$C,$A257,Raw_Events!$G:$G,"CIGARETTES")</f>
        <v/>
      </c>
      <c r="I257" s="29">
        <f>SUMIFS(Raw_Events!$L:$L,Raw_Events!$C:$C,$A257,Raw_Events!$G:$G,"ALCOHOL")</f>
        <v/>
      </c>
      <c r="J257" s="16">
        <f>SUMIFS(Raw_Events!$H:$H,Raw_Events!$C:$C,$A257,Raw_Events!$G:$G,"UNHEALTHY_MEAL")</f>
        <v/>
      </c>
      <c r="K257" s="28">
        <f>SUMIFS(Raw_Events!$H:$H,Raw_Events!$C:$C,$A257,Raw_Events!$G:$G,"TRAINING_MIN")+SUMIFS(Raw_Events!$H:$H,Raw_Events!$C:$C,$A257,Raw_Events!$G:$G,"DICTION_TRAINING_MIN")</f>
        <v/>
      </c>
      <c r="L257" s="28" t="n"/>
      <c r="M257" s="16">
        <f>SUMIFS(Raw_Events!$H:$H,Raw_Events!$C:$C,$A257,Raw_Events!$G:$G,"IDEA")</f>
        <v/>
      </c>
      <c r="N257" s="16">
        <f>COUNTIFS(Raw_Events!$C:$C,$A257,Raw_Events!$G:$G,"SOCIAL_MEET")</f>
        <v/>
      </c>
      <c r="O257" s="16">
        <f>COUNTIFS(Raw_Events!$C:$C,$A257,Raw_Events!$G:$G,"DATE")</f>
        <v/>
      </c>
      <c r="P257" s="3">
        <f>COUNTIFS(Raw_Events!$C:$C,$A257,Raw_Events!$G:$G,"NEW_ACTIVITY")</f>
        <v/>
      </c>
      <c r="Q257" s="3">
        <f>SUMIFS(Raw_Events!$H:$H,Raw_Events!$C:$C,$A257,Raw_Events!$G:$G,"TRAVEL_NIGHT")</f>
        <v/>
      </c>
      <c r="R257" s="3" t="n"/>
    </row>
    <row r="258" ht="15" customHeight="1">
      <c r="A258" s="14" t="n">
        <v>46278</v>
      </c>
      <c r="B258" s="27">
        <f>SUMIFS(Raw_Events!$H:$H,Raw_Events!$C:$C,$A258,Raw_Events!$G:$G,"SLEEP_HOURS")</f>
        <v/>
      </c>
      <c r="C258" s="16">
        <f>COUNTIFS(Raw_Events!$C:$C,$A258,Raw_Events!$G:$G,"WORKOUT")</f>
        <v/>
      </c>
      <c r="D258" s="28">
        <f>SUMIFS(Raw_Events!$H:$H,Raw_Events!$C:$C,$A258,Raw_Events!$G:$G,"POSTURE_SESSION")</f>
        <v/>
      </c>
      <c r="E258" s="8">
        <f>IF($D258="","",IF($D258&gt;=Settings!$C$17,1,0))</f>
        <v/>
      </c>
      <c r="F258" s="28">
        <f>SUMIFS(Raw_Events!$H:$H,Raw_Events!$C:$C,$A258,Raw_Events!$G:$G,"MINDFULNESS_MIN")</f>
        <v/>
      </c>
      <c r="G258" s="8">
        <f>IF($F258="","",IF($F258&gt;0,1,0))</f>
        <v/>
      </c>
      <c r="H258" s="16">
        <f>SUMIFS(Raw_Events!$H:$H,Raw_Events!$C:$C,$A258,Raw_Events!$G:$G,"CIGARETTES")</f>
        <v/>
      </c>
      <c r="I258" s="29">
        <f>SUMIFS(Raw_Events!$L:$L,Raw_Events!$C:$C,$A258,Raw_Events!$G:$G,"ALCOHOL")</f>
        <v/>
      </c>
      <c r="J258" s="16">
        <f>SUMIFS(Raw_Events!$H:$H,Raw_Events!$C:$C,$A258,Raw_Events!$G:$G,"UNHEALTHY_MEAL")</f>
        <v/>
      </c>
      <c r="K258" s="28">
        <f>SUMIFS(Raw_Events!$H:$H,Raw_Events!$C:$C,$A258,Raw_Events!$G:$G,"TRAINING_MIN")+SUMIFS(Raw_Events!$H:$H,Raw_Events!$C:$C,$A258,Raw_Events!$G:$G,"DICTION_TRAINING_MIN")</f>
        <v/>
      </c>
      <c r="L258" s="28" t="n"/>
      <c r="M258" s="16">
        <f>SUMIFS(Raw_Events!$H:$H,Raw_Events!$C:$C,$A258,Raw_Events!$G:$G,"IDEA")</f>
        <v/>
      </c>
      <c r="N258" s="16">
        <f>COUNTIFS(Raw_Events!$C:$C,$A258,Raw_Events!$G:$G,"SOCIAL_MEET")</f>
        <v/>
      </c>
      <c r="O258" s="16">
        <f>COUNTIFS(Raw_Events!$C:$C,$A258,Raw_Events!$G:$G,"DATE")</f>
        <v/>
      </c>
      <c r="P258" s="3">
        <f>COUNTIFS(Raw_Events!$C:$C,$A258,Raw_Events!$G:$G,"NEW_ACTIVITY")</f>
        <v/>
      </c>
      <c r="Q258" s="3">
        <f>SUMIFS(Raw_Events!$H:$H,Raw_Events!$C:$C,$A258,Raw_Events!$G:$G,"TRAVEL_NIGHT")</f>
        <v/>
      </c>
      <c r="R258" s="3" t="n"/>
    </row>
    <row r="259" ht="15" customHeight="1">
      <c r="A259" s="14" t="n">
        <v>46279</v>
      </c>
      <c r="B259" s="27">
        <f>SUMIFS(Raw_Events!$H:$H,Raw_Events!$C:$C,$A259,Raw_Events!$G:$G,"SLEEP_HOURS")</f>
        <v/>
      </c>
      <c r="C259" s="16">
        <f>COUNTIFS(Raw_Events!$C:$C,$A259,Raw_Events!$G:$G,"WORKOUT")</f>
        <v/>
      </c>
      <c r="D259" s="28">
        <f>SUMIFS(Raw_Events!$H:$H,Raw_Events!$C:$C,$A259,Raw_Events!$G:$G,"POSTURE_SESSION")</f>
        <v/>
      </c>
      <c r="E259" s="8">
        <f>IF($D259="","",IF($D259&gt;=Settings!$C$17,1,0))</f>
        <v/>
      </c>
      <c r="F259" s="28">
        <f>SUMIFS(Raw_Events!$H:$H,Raw_Events!$C:$C,$A259,Raw_Events!$G:$G,"MINDFULNESS_MIN")</f>
        <v/>
      </c>
      <c r="G259" s="8">
        <f>IF($F259="","",IF($F259&gt;0,1,0))</f>
        <v/>
      </c>
      <c r="H259" s="16">
        <f>SUMIFS(Raw_Events!$H:$H,Raw_Events!$C:$C,$A259,Raw_Events!$G:$G,"CIGARETTES")</f>
        <v/>
      </c>
      <c r="I259" s="29">
        <f>SUMIFS(Raw_Events!$L:$L,Raw_Events!$C:$C,$A259,Raw_Events!$G:$G,"ALCOHOL")</f>
        <v/>
      </c>
      <c r="J259" s="16">
        <f>SUMIFS(Raw_Events!$H:$H,Raw_Events!$C:$C,$A259,Raw_Events!$G:$G,"UNHEALTHY_MEAL")</f>
        <v/>
      </c>
      <c r="K259" s="28">
        <f>SUMIFS(Raw_Events!$H:$H,Raw_Events!$C:$C,$A259,Raw_Events!$G:$G,"TRAINING_MIN")+SUMIFS(Raw_Events!$H:$H,Raw_Events!$C:$C,$A259,Raw_Events!$G:$G,"DICTION_TRAINING_MIN")</f>
        <v/>
      </c>
      <c r="L259" s="28" t="n"/>
      <c r="M259" s="16">
        <f>SUMIFS(Raw_Events!$H:$H,Raw_Events!$C:$C,$A259,Raw_Events!$G:$G,"IDEA")</f>
        <v/>
      </c>
      <c r="N259" s="16">
        <f>COUNTIFS(Raw_Events!$C:$C,$A259,Raw_Events!$G:$G,"SOCIAL_MEET")</f>
        <v/>
      </c>
      <c r="O259" s="16">
        <f>COUNTIFS(Raw_Events!$C:$C,$A259,Raw_Events!$G:$G,"DATE")</f>
        <v/>
      </c>
      <c r="P259" s="3">
        <f>COUNTIFS(Raw_Events!$C:$C,$A259,Raw_Events!$G:$G,"NEW_ACTIVITY")</f>
        <v/>
      </c>
      <c r="Q259" s="3">
        <f>SUMIFS(Raw_Events!$H:$H,Raw_Events!$C:$C,$A259,Raw_Events!$G:$G,"TRAVEL_NIGHT")</f>
        <v/>
      </c>
      <c r="R259" s="3" t="n"/>
    </row>
    <row r="260" ht="15" customHeight="1">
      <c r="A260" s="14" t="n">
        <v>46280</v>
      </c>
      <c r="B260" s="27">
        <f>SUMIFS(Raw_Events!$H:$H,Raw_Events!$C:$C,$A260,Raw_Events!$G:$G,"SLEEP_HOURS")</f>
        <v/>
      </c>
      <c r="C260" s="16">
        <f>COUNTIFS(Raw_Events!$C:$C,$A260,Raw_Events!$G:$G,"WORKOUT")</f>
        <v/>
      </c>
      <c r="D260" s="28">
        <f>SUMIFS(Raw_Events!$H:$H,Raw_Events!$C:$C,$A260,Raw_Events!$G:$G,"POSTURE_SESSION")</f>
        <v/>
      </c>
      <c r="E260" s="8">
        <f>IF($D260="","",IF($D260&gt;=Settings!$C$17,1,0))</f>
        <v/>
      </c>
      <c r="F260" s="28">
        <f>SUMIFS(Raw_Events!$H:$H,Raw_Events!$C:$C,$A260,Raw_Events!$G:$G,"MINDFULNESS_MIN")</f>
        <v/>
      </c>
      <c r="G260" s="8">
        <f>IF($F260="","",IF($F260&gt;0,1,0))</f>
        <v/>
      </c>
      <c r="H260" s="16">
        <f>SUMIFS(Raw_Events!$H:$H,Raw_Events!$C:$C,$A260,Raw_Events!$G:$G,"CIGARETTES")</f>
        <v/>
      </c>
      <c r="I260" s="29">
        <f>SUMIFS(Raw_Events!$L:$L,Raw_Events!$C:$C,$A260,Raw_Events!$G:$G,"ALCOHOL")</f>
        <v/>
      </c>
      <c r="J260" s="16">
        <f>SUMIFS(Raw_Events!$H:$H,Raw_Events!$C:$C,$A260,Raw_Events!$G:$G,"UNHEALTHY_MEAL")</f>
        <v/>
      </c>
      <c r="K260" s="28">
        <f>SUMIFS(Raw_Events!$H:$H,Raw_Events!$C:$C,$A260,Raw_Events!$G:$G,"TRAINING_MIN")+SUMIFS(Raw_Events!$H:$H,Raw_Events!$C:$C,$A260,Raw_Events!$G:$G,"DICTION_TRAINING_MIN")</f>
        <v/>
      </c>
      <c r="L260" s="28" t="n"/>
      <c r="M260" s="16">
        <f>SUMIFS(Raw_Events!$H:$H,Raw_Events!$C:$C,$A260,Raw_Events!$G:$G,"IDEA")</f>
        <v/>
      </c>
      <c r="N260" s="16">
        <f>COUNTIFS(Raw_Events!$C:$C,$A260,Raw_Events!$G:$G,"SOCIAL_MEET")</f>
        <v/>
      </c>
      <c r="O260" s="16">
        <f>COUNTIFS(Raw_Events!$C:$C,$A260,Raw_Events!$G:$G,"DATE")</f>
        <v/>
      </c>
      <c r="P260" s="3">
        <f>COUNTIFS(Raw_Events!$C:$C,$A260,Raw_Events!$G:$G,"NEW_ACTIVITY")</f>
        <v/>
      </c>
      <c r="Q260" s="3">
        <f>SUMIFS(Raw_Events!$H:$H,Raw_Events!$C:$C,$A260,Raw_Events!$G:$G,"TRAVEL_NIGHT")</f>
        <v/>
      </c>
      <c r="R260" s="3" t="n"/>
    </row>
    <row r="261" ht="15" customHeight="1">
      <c r="A261" s="14" t="n">
        <v>46281</v>
      </c>
      <c r="B261" s="27">
        <f>SUMIFS(Raw_Events!$H:$H,Raw_Events!$C:$C,$A261,Raw_Events!$G:$G,"SLEEP_HOURS")</f>
        <v/>
      </c>
      <c r="C261" s="16">
        <f>COUNTIFS(Raw_Events!$C:$C,$A261,Raw_Events!$G:$G,"WORKOUT")</f>
        <v/>
      </c>
      <c r="D261" s="28">
        <f>SUMIFS(Raw_Events!$H:$H,Raw_Events!$C:$C,$A261,Raw_Events!$G:$G,"POSTURE_SESSION")</f>
        <v/>
      </c>
      <c r="E261" s="8">
        <f>IF($D261="","",IF($D261&gt;=Settings!$C$17,1,0))</f>
        <v/>
      </c>
      <c r="F261" s="28">
        <f>SUMIFS(Raw_Events!$H:$H,Raw_Events!$C:$C,$A261,Raw_Events!$G:$G,"MINDFULNESS_MIN")</f>
        <v/>
      </c>
      <c r="G261" s="8">
        <f>IF($F261="","",IF($F261&gt;0,1,0))</f>
        <v/>
      </c>
      <c r="H261" s="16">
        <f>SUMIFS(Raw_Events!$H:$H,Raw_Events!$C:$C,$A261,Raw_Events!$G:$G,"CIGARETTES")</f>
        <v/>
      </c>
      <c r="I261" s="29">
        <f>SUMIFS(Raw_Events!$L:$L,Raw_Events!$C:$C,$A261,Raw_Events!$G:$G,"ALCOHOL")</f>
        <v/>
      </c>
      <c r="J261" s="16">
        <f>SUMIFS(Raw_Events!$H:$H,Raw_Events!$C:$C,$A261,Raw_Events!$G:$G,"UNHEALTHY_MEAL")</f>
        <v/>
      </c>
      <c r="K261" s="28">
        <f>SUMIFS(Raw_Events!$H:$H,Raw_Events!$C:$C,$A261,Raw_Events!$G:$G,"TRAINING_MIN")+SUMIFS(Raw_Events!$H:$H,Raw_Events!$C:$C,$A261,Raw_Events!$G:$G,"DICTION_TRAINING_MIN")</f>
        <v/>
      </c>
      <c r="L261" s="28" t="n"/>
      <c r="M261" s="16">
        <f>SUMIFS(Raw_Events!$H:$H,Raw_Events!$C:$C,$A261,Raw_Events!$G:$G,"IDEA")</f>
        <v/>
      </c>
      <c r="N261" s="16">
        <f>COUNTIFS(Raw_Events!$C:$C,$A261,Raw_Events!$G:$G,"SOCIAL_MEET")</f>
        <v/>
      </c>
      <c r="O261" s="16">
        <f>COUNTIFS(Raw_Events!$C:$C,$A261,Raw_Events!$G:$G,"DATE")</f>
        <v/>
      </c>
      <c r="P261" s="3">
        <f>COUNTIFS(Raw_Events!$C:$C,$A261,Raw_Events!$G:$G,"NEW_ACTIVITY")</f>
        <v/>
      </c>
      <c r="Q261" s="3">
        <f>SUMIFS(Raw_Events!$H:$H,Raw_Events!$C:$C,$A261,Raw_Events!$G:$G,"TRAVEL_NIGHT")</f>
        <v/>
      </c>
      <c r="R261" s="3" t="n"/>
    </row>
    <row r="262" ht="15" customHeight="1">
      <c r="A262" s="14" t="n">
        <v>46282</v>
      </c>
      <c r="B262" s="27">
        <f>SUMIFS(Raw_Events!$H:$H,Raw_Events!$C:$C,$A262,Raw_Events!$G:$G,"SLEEP_HOURS")</f>
        <v/>
      </c>
      <c r="C262" s="16">
        <f>COUNTIFS(Raw_Events!$C:$C,$A262,Raw_Events!$G:$G,"WORKOUT")</f>
        <v/>
      </c>
      <c r="D262" s="28">
        <f>SUMIFS(Raw_Events!$H:$H,Raw_Events!$C:$C,$A262,Raw_Events!$G:$G,"POSTURE_SESSION")</f>
        <v/>
      </c>
      <c r="E262" s="8">
        <f>IF($D262="","",IF($D262&gt;=Settings!$C$17,1,0))</f>
        <v/>
      </c>
      <c r="F262" s="28">
        <f>SUMIFS(Raw_Events!$H:$H,Raw_Events!$C:$C,$A262,Raw_Events!$G:$G,"MINDFULNESS_MIN")</f>
        <v/>
      </c>
      <c r="G262" s="8">
        <f>IF($F262="","",IF($F262&gt;0,1,0))</f>
        <v/>
      </c>
      <c r="H262" s="16">
        <f>SUMIFS(Raw_Events!$H:$H,Raw_Events!$C:$C,$A262,Raw_Events!$G:$G,"CIGARETTES")</f>
        <v/>
      </c>
      <c r="I262" s="29">
        <f>SUMIFS(Raw_Events!$L:$L,Raw_Events!$C:$C,$A262,Raw_Events!$G:$G,"ALCOHOL")</f>
        <v/>
      </c>
      <c r="J262" s="16">
        <f>SUMIFS(Raw_Events!$H:$H,Raw_Events!$C:$C,$A262,Raw_Events!$G:$G,"UNHEALTHY_MEAL")</f>
        <v/>
      </c>
      <c r="K262" s="28">
        <f>SUMIFS(Raw_Events!$H:$H,Raw_Events!$C:$C,$A262,Raw_Events!$G:$G,"TRAINING_MIN")+SUMIFS(Raw_Events!$H:$H,Raw_Events!$C:$C,$A262,Raw_Events!$G:$G,"DICTION_TRAINING_MIN")</f>
        <v/>
      </c>
      <c r="L262" s="28" t="n"/>
      <c r="M262" s="16">
        <f>SUMIFS(Raw_Events!$H:$H,Raw_Events!$C:$C,$A262,Raw_Events!$G:$G,"IDEA")</f>
        <v/>
      </c>
      <c r="N262" s="16">
        <f>COUNTIFS(Raw_Events!$C:$C,$A262,Raw_Events!$G:$G,"SOCIAL_MEET")</f>
        <v/>
      </c>
      <c r="O262" s="16">
        <f>COUNTIFS(Raw_Events!$C:$C,$A262,Raw_Events!$G:$G,"DATE")</f>
        <v/>
      </c>
      <c r="P262" s="3">
        <f>COUNTIFS(Raw_Events!$C:$C,$A262,Raw_Events!$G:$G,"NEW_ACTIVITY")</f>
        <v/>
      </c>
      <c r="Q262" s="3">
        <f>SUMIFS(Raw_Events!$H:$H,Raw_Events!$C:$C,$A262,Raw_Events!$G:$G,"TRAVEL_NIGHT")</f>
        <v/>
      </c>
      <c r="R262" s="3" t="n"/>
    </row>
    <row r="263" ht="15" customHeight="1">
      <c r="A263" s="14" t="n">
        <v>46283</v>
      </c>
      <c r="B263" s="27">
        <f>SUMIFS(Raw_Events!$H:$H,Raw_Events!$C:$C,$A263,Raw_Events!$G:$G,"SLEEP_HOURS")</f>
        <v/>
      </c>
      <c r="C263" s="16">
        <f>COUNTIFS(Raw_Events!$C:$C,$A263,Raw_Events!$G:$G,"WORKOUT")</f>
        <v/>
      </c>
      <c r="D263" s="28">
        <f>SUMIFS(Raw_Events!$H:$H,Raw_Events!$C:$C,$A263,Raw_Events!$G:$G,"POSTURE_SESSION")</f>
        <v/>
      </c>
      <c r="E263" s="8">
        <f>IF($D263="","",IF($D263&gt;=Settings!$C$17,1,0))</f>
        <v/>
      </c>
      <c r="F263" s="28">
        <f>SUMIFS(Raw_Events!$H:$H,Raw_Events!$C:$C,$A263,Raw_Events!$G:$G,"MINDFULNESS_MIN")</f>
        <v/>
      </c>
      <c r="G263" s="8">
        <f>IF($F263="","",IF($F263&gt;0,1,0))</f>
        <v/>
      </c>
      <c r="H263" s="16">
        <f>SUMIFS(Raw_Events!$H:$H,Raw_Events!$C:$C,$A263,Raw_Events!$G:$G,"CIGARETTES")</f>
        <v/>
      </c>
      <c r="I263" s="29">
        <f>SUMIFS(Raw_Events!$L:$L,Raw_Events!$C:$C,$A263,Raw_Events!$G:$G,"ALCOHOL")</f>
        <v/>
      </c>
      <c r="J263" s="16">
        <f>SUMIFS(Raw_Events!$H:$H,Raw_Events!$C:$C,$A263,Raw_Events!$G:$G,"UNHEALTHY_MEAL")</f>
        <v/>
      </c>
      <c r="K263" s="28">
        <f>SUMIFS(Raw_Events!$H:$H,Raw_Events!$C:$C,$A263,Raw_Events!$G:$G,"TRAINING_MIN")+SUMIFS(Raw_Events!$H:$H,Raw_Events!$C:$C,$A263,Raw_Events!$G:$G,"DICTION_TRAINING_MIN")</f>
        <v/>
      </c>
      <c r="L263" s="28" t="n"/>
      <c r="M263" s="16">
        <f>SUMIFS(Raw_Events!$H:$H,Raw_Events!$C:$C,$A263,Raw_Events!$G:$G,"IDEA")</f>
        <v/>
      </c>
      <c r="N263" s="16">
        <f>COUNTIFS(Raw_Events!$C:$C,$A263,Raw_Events!$G:$G,"SOCIAL_MEET")</f>
        <v/>
      </c>
      <c r="O263" s="16">
        <f>COUNTIFS(Raw_Events!$C:$C,$A263,Raw_Events!$G:$G,"DATE")</f>
        <v/>
      </c>
      <c r="P263" s="3">
        <f>COUNTIFS(Raw_Events!$C:$C,$A263,Raw_Events!$G:$G,"NEW_ACTIVITY")</f>
        <v/>
      </c>
      <c r="Q263" s="3">
        <f>SUMIFS(Raw_Events!$H:$H,Raw_Events!$C:$C,$A263,Raw_Events!$G:$G,"TRAVEL_NIGHT")</f>
        <v/>
      </c>
      <c r="R263" s="3" t="n"/>
    </row>
    <row r="264" ht="15" customHeight="1">
      <c r="A264" s="14" t="n">
        <v>46284</v>
      </c>
      <c r="B264" s="27">
        <f>SUMIFS(Raw_Events!$H:$H,Raw_Events!$C:$C,$A264,Raw_Events!$G:$G,"SLEEP_HOURS")</f>
        <v/>
      </c>
      <c r="C264" s="16">
        <f>COUNTIFS(Raw_Events!$C:$C,$A264,Raw_Events!$G:$G,"WORKOUT")</f>
        <v/>
      </c>
      <c r="D264" s="28">
        <f>SUMIFS(Raw_Events!$H:$H,Raw_Events!$C:$C,$A264,Raw_Events!$G:$G,"POSTURE_SESSION")</f>
        <v/>
      </c>
      <c r="E264" s="8">
        <f>IF($D264="","",IF($D264&gt;=Settings!$C$17,1,0))</f>
        <v/>
      </c>
      <c r="F264" s="28">
        <f>SUMIFS(Raw_Events!$H:$H,Raw_Events!$C:$C,$A264,Raw_Events!$G:$G,"MINDFULNESS_MIN")</f>
        <v/>
      </c>
      <c r="G264" s="8">
        <f>IF($F264="","",IF($F264&gt;0,1,0))</f>
        <v/>
      </c>
      <c r="H264" s="16">
        <f>SUMIFS(Raw_Events!$H:$H,Raw_Events!$C:$C,$A264,Raw_Events!$G:$G,"CIGARETTES")</f>
        <v/>
      </c>
      <c r="I264" s="29">
        <f>SUMIFS(Raw_Events!$L:$L,Raw_Events!$C:$C,$A264,Raw_Events!$G:$G,"ALCOHOL")</f>
        <v/>
      </c>
      <c r="J264" s="16">
        <f>SUMIFS(Raw_Events!$H:$H,Raw_Events!$C:$C,$A264,Raw_Events!$G:$G,"UNHEALTHY_MEAL")</f>
        <v/>
      </c>
      <c r="K264" s="28">
        <f>SUMIFS(Raw_Events!$H:$H,Raw_Events!$C:$C,$A264,Raw_Events!$G:$G,"TRAINING_MIN")+SUMIFS(Raw_Events!$H:$H,Raw_Events!$C:$C,$A264,Raw_Events!$G:$G,"DICTION_TRAINING_MIN")</f>
        <v/>
      </c>
      <c r="L264" s="28" t="n"/>
      <c r="M264" s="16">
        <f>SUMIFS(Raw_Events!$H:$H,Raw_Events!$C:$C,$A264,Raw_Events!$G:$G,"IDEA")</f>
        <v/>
      </c>
      <c r="N264" s="16">
        <f>COUNTIFS(Raw_Events!$C:$C,$A264,Raw_Events!$G:$G,"SOCIAL_MEET")</f>
        <v/>
      </c>
      <c r="O264" s="16">
        <f>COUNTIFS(Raw_Events!$C:$C,$A264,Raw_Events!$G:$G,"DATE")</f>
        <v/>
      </c>
      <c r="P264" s="3">
        <f>COUNTIFS(Raw_Events!$C:$C,$A264,Raw_Events!$G:$G,"NEW_ACTIVITY")</f>
        <v/>
      </c>
      <c r="Q264" s="3">
        <f>SUMIFS(Raw_Events!$H:$H,Raw_Events!$C:$C,$A264,Raw_Events!$G:$G,"TRAVEL_NIGHT")</f>
        <v/>
      </c>
      <c r="R264" s="3" t="n"/>
    </row>
    <row r="265" ht="15" customHeight="1">
      <c r="A265" s="14" t="n">
        <v>46285</v>
      </c>
      <c r="B265" s="27">
        <f>SUMIFS(Raw_Events!$H:$H,Raw_Events!$C:$C,$A265,Raw_Events!$G:$G,"SLEEP_HOURS")</f>
        <v/>
      </c>
      <c r="C265" s="16">
        <f>COUNTIFS(Raw_Events!$C:$C,$A265,Raw_Events!$G:$G,"WORKOUT")</f>
        <v/>
      </c>
      <c r="D265" s="28">
        <f>SUMIFS(Raw_Events!$H:$H,Raw_Events!$C:$C,$A265,Raw_Events!$G:$G,"POSTURE_SESSION")</f>
        <v/>
      </c>
      <c r="E265" s="8">
        <f>IF($D265="","",IF($D265&gt;=Settings!$C$17,1,0))</f>
        <v/>
      </c>
      <c r="F265" s="28">
        <f>SUMIFS(Raw_Events!$H:$H,Raw_Events!$C:$C,$A265,Raw_Events!$G:$G,"MINDFULNESS_MIN")</f>
        <v/>
      </c>
      <c r="G265" s="8">
        <f>IF($F265="","",IF($F265&gt;0,1,0))</f>
        <v/>
      </c>
      <c r="H265" s="16">
        <f>SUMIFS(Raw_Events!$H:$H,Raw_Events!$C:$C,$A265,Raw_Events!$G:$G,"CIGARETTES")</f>
        <v/>
      </c>
      <c r="I265" s="29">
        <f>SUMIFS(Raw_Events!$L:$L,Raw_Events!$C:$C,$A265,Raw_Events!$G:$G,"ALCOHOL")</f>
        <v/>
      </c>
      <c r="J265" s="16">
        <f>SUMIFS(Raw_Events!$H:$H,Raw_Events!$C:$C,$A265,Raw_Events!$G:$G,"UNHEALTHY_MEAL")</f>
        <v/>
      </c>
      <c r="K265" s="28">
        <f>SUMIFS(Raw_Events!$H:$H,Raw_Events!$C:$C,$A265,Raw_Events!$G:$G,"TRAINING_MIN")+SUMIFS(Raw_Events!$H:$H,Raw_Events!$C:$C,$A265,Raw_Events!$G:$G,"DICTION_TRAINING_MIN")</f>
        <v/>
      </c>
      <c r="L265" s="28" t="n"/>
      <c r="M265" s="16">
        <f>SUMIFS(Raw_Events!$H:$H,Raw_Events!$C:$C,$A265,Raw_Events!$G:$G,"IDEA")</f>
        <v/>
      </c>
      <c r="N265" s="16">
        <f>COUNTIFS(Raw_Events!$C:$C,$A265,Raw_Events!$G:$G,"SOCIAL_MEET")</f>
        <v/>
      </c>
      <c r="O265" s="16">
        <f>COUNTIFS(Raw_Events!$C:$C,$A265,Raw_Events!$G:$G,"DATE")</f>
        <v/>
      </c>
      <c r="P265" s="3">
        <f>COUNTIFS(Raw_Events!$C:$C,$A265,Raw_Events!$G:$G,"NEW_ACTIVITY")</f>
        <v/>
      </c>
      <c r="Q265" s="3">
        <f>SUMIFS(Raw_Events!$H:$H,Raw_Events!$C:$C,$A265,Raw_Events!$G:$G,"TRAVEL_NIGHT")</f>
        <v/>
      </c>
      <c r="R265" s="3" t="n"/>
    </row>
    <row r="266" ht="15" customHeight="1">
      <c r="A266" s="14" t="n">
        <v>46286</v>
      </c>
      <c r="B266" s="27">
        <f>SUMIFS(Raw_Events!$H:$H,Raw_Events!$C:$C,$A266,Raw_Events!$G:$G,"SLEEP_HOURS")</f>
        <v/>
      </c>
      <c r="C266" s="16">
        <f>COUNTIFS(Raw_Events!$C:$C,$A266,Raw_Events!$G:$G,"WORKOUT")</f>
        <v/>
      </c>
      <c r="D266" s="28">
        <f>SUMIFS(Raw_Events!$H:$H,Raw_Events!$C:$C,$A266,Raw_Events!$G:$G,"POSTURE_SESSION")</f>
        <v/>
      </c>
      <c r="E266" s="8">
        <f>IF($D266="","",IF($D266&gt;=Settings!$C$17,1,0))</f>
        <v/>
      </c>
      <c r="F266" s="28">
        <f>SUMIFS(Raw_Events!$H:$H,Raw_Events!$C:$C,$A266,Raw_Events!$G:$G,"MINDFULNESS_MIN")</f>
        <v/>
      </c>
      <c r="G266" s="8">
        <f>IF($F266="","",IF($F266&gt;0,1,0))</f>
        <v/>
      </c>
      <c r="H266" s="16">
        <f>SUMIFS(Raw_Events!$H:$H,Raw_Events!$C:$C,$A266,Raw_Events!$G:$G,"CIGARETTES")</f>
        <v/>
      </c>
      <c r="I266" s="29">
        <f>SUMIFS(Raw_Events!$L:$L,Raw_Events!$C:$C,$A266,Raw_Events!$G:$G,"ALCOHOL")</f>
        <v/>
      </c>
      <c r="J266" s="16">
        <f>SUMIFS(Raw_Events!$H:$H,Raw_Events!$C:$C,$A266,Raw_Events!$G:$G,"UNHEALTHY_MEAL")</f>
        <v/>
      </c>
      <c r="K266" s="28">
        <f>SUMIFS(Raw_Events!$H:$H,Raw_Events!$C:$C,$A266,Raw_Events!$G:$G,"TRAINING_MIN")+SUMIFS(Raw_Events!$H:$H,Raw_Events!$C:$C,$A266,Raw_Events!$G:$G,"DICTION_TRAINING_MIN")</f>
        <v/>
      </c>
      <c r="L266" s="28" t="n"/>
      <c r="M266" s="16">
        <f>SUMIFS(Raw_Events!$H:$H,Raw_Events!$C:$C,$A266,Raw_Events!$G:$G,"IDEA")</f>
        <v/>
      </c>
      <c r="N266" s="16">
        <f>COUNTIFS(Raw_Events!$C:$C,$A266,Raw_Events!$G:$G,"SOCIAL_MEET")</f>
        <v/>
      </c>
      <c r="O266" s="16">
        <f>COUNTIFS(Raw_Events!$C:$C,$A266,Raw_Events!$G:$G,"DATE")</f>
        <v/>
      </c>
      <c r="P266" s="3">
        <f>COUNTIFS(Raw_Events!$C:$C,$A266,Raw_Events!$G:$G,"NEW_ACTIVITY")</f>
        <v/>
      </c>
      <c r="Q266" s="3">
        <f>SUMIFS(Raw_Events!$H:$H,Raw_Events!$C:$C,$A266,Raw_Events!$G:$G,"TRAVEL_NIGHT")</f>
        <v/>
      </c>
      <c r="R266" s="3" t="n"/>
    </row>
    <row r="267" ht="15" customHeight="1">
      <c r="A267" s="14" t="n">
        <v>46287</v>
      </c>
      <c r="B267" s="27">
        <f>SUMIFS(Raw_Events!$H:$H,Raw_Events!$C:$C,$A267,Raw_Events!$G:$G,"SLEEP_HOURS")</f>
        <v/>
      </c>
      <c r="C267" s="16">
        <f>COUNTIFS(Raw_Events!$C:$C,$A267,Raw_Events!$G:$G,"WORKOUT")</f>
        <v/>
      </c>
      <c r="D267" s="28">
        <f>SUMIFS(Raw_Events!$H:$H,Raw_Events!$C:$C,$A267,Raw_Events!$G:$G,"POSTURE_SESSION")</f>
        <v/>
      </c>
      <c r="E267" s="8">
        <f>IF($D267="","",IF($D267&gt;=Settings!$C$17,1,0))</f>
        <v/>
      </c>
      <c r="F267" s="28">
        <f>SUMIFS(Raw_Events!$H:$H,Raw_Events!$C:$C,$A267,Raw_Events!$G:$G,"MINDFULNESS_MIN")</f>
        <v/>
      </c>
      <c r="G267" s="8">
        <f>IF($F267="","",IF($F267&gt;0,1,0))</f>
        <v/>
      </c>
      <c r="H267" s="16">
        <f>SUMIFS(Raw_Events!$H:$H,Raw_Events!$C:$C,$A267,Raw_Events!$G:$G,"CIGARETTES")</f>
        <v/>
      </c>
      <c r="I267" s="29">
        <f>SUMIFS(Raw_Events!$L:$L,Raw_Events!$C:$C,$A267,Raw_Events!$G:$G,"ALCOHOL")</f>
        <v/>
      </c>
      <c r="J267" s="16">
        <f>SUMIFS(Raw_Events!$H:$H,Raw_Events!$C:$C,$A267,Raw_Events!$G:$G,"UNHEALTHY_MEAL")</f>
        <v/>
      </c>
      <c r="K267" s="28">
        <f>SUMIFS(Raw_Events!$H:$H,Raw_Events!$C:$C,$A267,Raw_Events!$G:$G,"TRAINING_MIN")+SUMIFS(Raw_Events!$H:$H,Raw_Events!$C:$C,$A267,Raw_Events!$G:$G,"DICTION_TRAINING_MIN")</f>
        <v/>
      </c>
      <c r="L267" s="28" t="n"/>
      <c r="M267" s="16">
        <f>SUMIFS(Raw_Events!$H:$H,Raw_Events!$C:$C,$A267,Raw_Events!$G:$G,"IDEA")</f>
        <v/>
      </c>
      <c r="N267" s="16">
        <f>COUNTIFS(Raw_Events!$C:$C,$A267,Raw_Events!$G:$G,"SOCIAL_MEET")</f>
        <v/>
      </c>
      <c r="O267" s="16">
        <f>COUNTIFS(Raw_Events!$C:$C,$A267,Raw_Events!$G:$G,"DATE")</f>
        <v/>
      </c>
      <c r="P267" s="3">
        <f>COUNTIFS(Raw_Events!$C:$C,$A267,Raw_Events!$G:$G,"NEW_ACTIVITY")</f>
        <v/>
      </c>
      <c r="Q267" s="3">
        <f>SUMIFS(Raw_Events!$H:$H,Raw_Events!$C:$C,$A267,Raw_Events!$G:$G,"TRAVEL_NIGHT")</f>
        <v/>
      </c>
      <c r="R267" s="3" t="n"/>
    </row>
    <row r="268" ht="15" customHeight="1">
      <c r="A268" s="14" t="n">
        <v>46288</v>
      </c>
      <c r="B268" s="27">
        <f>SUMIFS(Raw_Events!$H:$H,Raw_Events!$C:$C,$A268,Raw_Events!$G:$G,"SLEEP_HOURS")</f>
        <v/>
      </c>
      <c r="C268" s="16">
        <f>COUNTIFS(Raw_Events!$C:$C,$A268,Raw_Events!$G:$G,"WORKOUT")</f>
        <v/>
      </c>
      <c r="D268" s="28">
        <f>SUMIFS(Raw_Events!$H:$H,Raw_Events!$C:$C,$A268,Raw_Events!$G:$G,"POSTURE_SESSION")</f>
        <v/>
      </c>
      <c r="E268" s="8">
        <f>IF($D268="","",IF($D268&gt;=Settings!$C$17,1,0))</f>
        <v/>
      </c>
      <c r="F268" s="28">
        <f>SUMIFS(Raw_Events!$H:$H,Raw_Events!$C:$C,$A268,Raw_Events!$G:$G,"MINDFULNESS_MIN")</f>
        <v/>
      </c>
      <c r="G268" s="8">
        <f>IF($F268="","",IF($F268&gt;0,1,0))</f>
        <v/>
      </c>
      <c r="H268" s="16">
        <f>SUMIFS(Raw_Events!$H:$H,Raw_Events!$C:$C,$A268,Raw_Events!$G:$G,"CIGARETTES")</f>
        <v/>
      </c>
      <c r="I268" s="29">
        <f>SUMIFS(Raw_Events!$L:$L,Raw_Events!$C:$C,$A268,Raw_Events!$G:$G,"ALCOHOL")</f>
        <v/>
      </c>
      <c r="J268" s="16">
        <f>SUMIFS(Raw_Events!$H:$H,Raw_Events!$C:$C,$A268,Raw_Events!$G:$G,"UNHEALTHY_MEAL")</f>
        <v/>
      </c>
      <c r="K268" s="28">
        <f>SUMIFS(Raw_Events!$H:$H,Raw_Events!$C:$C,$A268,Raw_Events!$G:$G,"TRAINING_MIN")+SUMIFS(Raw_Events!$H:$H,Raw_Events!$C:$C,$A268,Raw_Events!$G:$G,"DICTION_TRAINING_MIN")</f>
        <v/>
      </c>
      <c r="L268" s="28" t="n"/>
      <c r="M268" s="16">
        <f>SUMIFS(Raw_Events!$H:$H,Raw_Events!$C:$C,$A268,Raw_Events!$G:$G,"IDEA")</f>
        <v/>
      </c>
      <c r="N268" s="16">
        <f>COUNTIFS(Raw_Events!$C:$C,$A268,Raw_Events!$G:$G,"SOCIAL_MEET")</f>
        <v/>
      </c>
      <c r="O268" s="16">
        <f>COUNTIFS(Raw_Events!$C:$C,$A268,Raw_Events!$G:$G,"DATE")</f>
        <v/>
      </c>
      <c r="P268" s="3">
        <f>COUNTIFS(Raw_Events!$C:$C,$A268,Raw_Events!$G:$G,"NEW_ACTIVITY")</f>
        <v/>
      </c>
      <c r="Q268" s="3">
        <f>SUMIFS(Raw_Events!$H:$H,Raw_Events!$C:$C,$A268,Raw_Events!$G:$G,"TRAVEL_NIGHT")</f>
        <v/>
      </c>
      <c r="R268" s="3" t="n"/>
    </row>
    <row r="269" ht="15" customHeight="1">
      <c r="A269" s="14" t="n">
        <v>46289</v>
      </c>
      <c r="B269" s="27">
        <f>SUMIFS(Raw_Events!$H:$H,Raw_Events!$C:$C,$A269,Raw_Events!$G:$G,"SLEEP_HOURS")</f>
        <v/>
      </c>
      <c r="C269" s="16">
        <f>COUNTIFS(Raw_Events!$C:$C,$A269,Raw_Events!$G:$G,"WORKOUT")</f>
        <v/>
      </c>
      <c r="D269" s="28">
        <f>SUMIFS(Raw_Events!$H:$H,Raw_Events!$C:$C,$A269,Raw_Events!$G:$G,"POSTURE_SESSION")</f>
        <v/>
      </c>
      <c r="E269" s="8">
        <f>IF($D269="","",IF($D269&gt;=Settings!$C$17,1,0))</f>
        <v/>
      </c>
      <c r="F269" s="28">
        <f>SUMIFS(Raw_Events!$H:$H,Raw_Events!$C:$C,$A269,Raw_Events!$G:$G,"MINDFULNESS_MIN")</f>
        <v/>
      </c>
      <c r="G269" s="8">
        <f>IF($F269="","",IF($F269&gt;0,1,0))</f>
        <v/>
      </c>
      <c r="H269" s="16">
        <f>SUMIFS(Raw_Events!$H:$H,Raw_Events!$C:$C,$A269,Raw_Events!$G:$G,"CIGARETTES")</f>
        <v/>
      </c>
      <c r="I269" s="29">
        <f>SUMIFS(Raw_Events!$L:$L,Raw_Events!$C:$C,$A269,Raw_Events!$G:$G,"ALCOHOL")</f>
        <v/>
      </c>
      <c r="J269" s="16">
        <f>SUMIFS(Raw_Events!$H:$H,Raw_Events!$C:$C,$A269,Raw_Events!$G:$G,"UNHEALTHY_MEAL")</f>
        <v/>
      </c>
      <c r="K269" s="28">
        <f>SUMIFS(Raw_Events!$H:$H,Raw_Events!$C:$C,$A269,Raw_Events!$G:$G,"TRAINING_MIN")+SUMIFS(Raw_Events!$H:$H,Raw_Events!$C:$C,$A269,Raw_Events!$G:$G,"DICTION_TRAINING_MIN")</f>
        <v/>
      </c>
      <c r="L269" s="28" t="n"/>
      <c r="M269" s="16">
        <f>SUMIFS(Raw_Events!$H:$H,Raw_Events!$C:$C,$A269,Raw_Events!$G:$G,"IDEA")</f>
        <v/>
      </c>
      <c r="N269" s="16">
        <f>COUNTIFS(Raw_Events!$C:$C,$A269,Raw_Events!$G:$G,"SOCIAL_MEET")</f>
        <v/>
      </c>
      <c r="O269" s="16">
        <f>COUNTIFS(Raw_Events!$C:$C,$A269,Raw_Events!$G:$G,"DATE")</f>
        <v/>
      </c>
      <c r="P269" s="3">
        <f>COUNTIFS(Raw_Events!$C:$C,$A269,Raw_Events!$G:$G,"NEW_ACTIVITY")</f>
        <v/>
      </c>
      <c r="Q269" s="3">
        <f>SUMIFS(Raw_Events!$H:$H,Raw_Events!$C:$C,$A269,Raw_Events!$G:$G,"TRAVEL_NIGHT")</f>
        <v/>
      </c>
      <c r="R269" s="3" t="n"/>
    </row>
    <row r="270" ht="15" customHeight="1">
      <c r="A270" s="14" t="n">
        <v>46290</v>
      </c>
      <c r="B270" s="27">
        <f>SUMIFS(Raw_Events!$H:$H,Raw_Events!$C:$C,$A270,Raw_Events!$G:$G,"SLEEP_HOURS")</f>
        <v/>
      </c>
      <c r="C270" s="16">
        <f>COUNTIFS(Raw_Events!$C:$C,$A270,Raw_Events!$G:$G,"WORKOUT")</f>
        <v/>
      </c>
      <c r="D270" s="28">
        <f>SUMIFS(Raw_Events!$H:$H,Raw_Events!$C:$C,$A270,Raw_Events!$G:$G,"POSTURE_SESSION")</f>
        <v/>
      </c>
      <c r="E270" s="8">
        <f>IF($D270="","",IF($D270&gt;=Settings!$C$17,1,0))</f>
        <v/>
      </c>
      <c r="F270" s="28">
        <f>SUMIFS(Raw_Events!$H:$H,Raw_Events!$C:$C,$A270,Raw_Events!$G:$G,"MINDFULNESS_MIN")</f>
        <v/>
      </c>
      <c r="G270" s="8">
        <f>IF($F270="","",IF($F270&gt;0,1,0))</f>
        <v/>
      </c>
      <c r="H270" s="16">
        <f>SUMIFS(Raw_Events!$H:$H,Raw_Events!$C:$C,$A270,Raw_Events!$G:$G,"CIGARETTES")</f>
        <v/>
      </c>
      <c r="I270" s="29">
        <f>SUMIFS(Raw_Events!$L:$L,Raw_Events!$C:$C,$A270,Raw_Events!$G:$G,"ALCOHOL")</f>
        <v/>
      </c>
      <c r="J270" s="16">
        <f>SUMIFS(Raw_Events!$H:$H,Raw_Events!$C:$C,$A270,Raw_Events!$G:$G,"UNHEALTHY_MEAL")</f>
        <v/>
      </c>
      <c r="K270" s="28">
        <f>SUMIFS(Raw_Events!$H:$H,Raw_Events!$C:$C,$A270,Raw_Events!$G:$G,"TRAINING_MIN")+SUMIFS(Raw_Events!$H:$H,Raw_Events!$C:$C,$A270,Raw_Events!$G:$G,"DICTION_TRAINING_MIN")</f>
        <v/>
      </c>
      <c r="L270" s="28" t="n"/>
      <c r="M270" s="16">
        <f>SUMIFS(Raw_Events!$H:$H,Raw_Events!$C:$C,$A270,Raw_Events!$G:$G,"IDEA")</f>
        <v/>
      </c>
      <c r="N270" s="16">
        <f>COUNTIFS(Raw_Events!$C:$C,$A270,Raw_Events!$G:$G,"SOCIAL_MEET")</f>
        <v/>
      </c>
      <c r="O270" s="16">
        <f>COUNTIFS(Raw_Events!$C:$C,$A270,Raw_Events!$G:$G,"DATE")</f>
        <v/>
      </c>
      <c r="P270" s="3">
        <f>COUNTIFS(Raw_Events!$C:$C,$A270,Raw_Events!$G:$G,"NEW_ACTIVITY")</f>
        <v/>
      </c>
      <c r="Q270" s="3">
        <f>SUMIFS(Raw_Events!$H:$H,Raw_Events!$C:$C,$A270,Raw_Events!$G:$G,"TRAVEL_NIGHT")</f>
        <v/>
      </c>
      <c r="R270" s="3" t="n"/>
    </row>
    <row r="271" ht="15" customHeight="1">
      <c r="A271" s="14" t="n">
        <v>46291</v>
      </c>
      <c r="B271" s="27">
        <f>SUMIFS(Raw_Events!$H:$H,Raw_Events!$C:$C,$A271,Raw_Events!$G:$G,"SLEEP_HOURS")</f>
        <v/>
      </c>
      <c r="C271" s="16">
        <f>COUNTIFS(Raw_Events!$C:$C,$A271,Raw_Events!$G:$G,"WORKOUT")</f>
        <v/>
      </c>
      <c r="D271" s="28">
        <f>SUMIFS(Raw_Events!$H:$H,Raw_Events!$C:$C,$A271,Raw_Events!$G:$G,"POSTURE_SESSION")</f>
        <v/>
      </c>
      <c r="E271" s="8">
        <f>IF($D271="","",IF($D271&gt;=Settings!$C$17,1,0))</f>
        <v/>
      </c>
      <c r="F271" s="28">
        <f>SUMIFS(Raw_Events!$H:$H,Raw_Events!$C:$C,$A271,Raw_Events!$G:$G,"MINDFULNESS_MIN")</f>
        <v/>
      </c>
      <c r="G271" s="8">
        <f>IF($F271="","",IF($F271&gt;0,1,0))</f>
        <v/>
      </c>
      <c r="H271" s="16">
        <f>SUMIFS(Raw_Events!$H:$H,Raw_Events!$C:$C,$A271,Raw_Events!$G:$G,"CIGARETTES")</f>
        <v/>
      </c>
      <c r="I271" s="29">
        <f>SUMIFS(Raw_Events!$L:$L,Raw_Events!$C:$C,$A271,Raw_Events!$G:$G,"ALCOHOL")</f>
        <v/>
      </c>
      <c r="J271" s="16">
        <f>SUMIFS(Raw_Events!$H:$H,Raw_Events!$C:$C,$A271,Raw_Events!$G:$G,"UNHEALTHY_MEAL")</f>
        <v/>
      </c>
      <c r="K271" s="28">
        <f>SUMIFS(Raw_Events!$H:$H,Raw_Events!$C:$C,$A271,Raw_Events!$G:$G,"TRAINING_MIN")+SUMIFS(Raw_Events!$H:$H,Raw_Events!$C:$C,$A271,Raw_Events!$G:$G,"DICTION_TRAINING_MIN")</f>
        <v/>
      </c>
      <c r="L271" s="28" t="n"/>
      <c r="M271" s="16">
        <f>SUMIFS(Raw_Events!$H:$H,Raw_Events!$C:$C,$A271,Raw_Events!$G:$G,"IDEA")</f>
        <v/>
      </c>
      <c r="N271" s="16">
        <f>COUNTIFS(Raw_Events!$C:$C,$A271,Raw_Events!$G:$G,"SOCIAL_MEET")</f>
        <v/>
      </c>
      <c r="O271" s="16">
        <f>COUNTIFS(Raw_Events!$C:$C,$A271,Raw_Events!$G:$G,"DATE")</f>
        <v/>
      </c>
      <c r="P271" s="3">
        <f>COUNTIFS(Raw_Events!$C:$C,$A271,Raw_Events!$G:$G,"NEW_ACTIVITY")</f>
        <v/>
      </c>
      <c r="Q271" s="3">
        <f>SUMIFS(Raw_Events!$H:$H,Raw_Events!$C:$C,$A271,Raw_Events!$G:$G,"TRAVEL_NIGHT")</f>
        <v/>
      </c>
      <c r="R271" s="3" t="n"/>
    </row>
    <row r="272" ht="15" customHeight="1">
      <c r="A272" s="14" t="n">
        <v>46292</v>
      </c>
      <c r="B272" s="27">
        <f>SUMIFS(Raw_Events!$H:$H,Raw_Events!$C:$C,$A272,Raw_Events!$G:$G,"SLEEP_HOURS")</f>
        <v/>
      </c>
      <c r="C272" s="16">
        <f>COUNTIFS(Raw_Events!$C:$C,$A272,Raw_Events!$G:$G,"WORKOUT")</f>
        <v/>
      </c>
      <c r="D272" s="28">
        <f>SUMIFS(Raw_Events!$H:$H,Raw_Events!$C:$C,$A272,Raw_Events!$G:$G,"POSTURE_SESSION")</f>
        <v/>
      </c>
      <c r="E272" s="8">
        <f>IF($D272="","",IF($D272&gt;=Settings!$C$17,1,0))</f>
        <v/>
      </c>
      <c r="F272" s="28">
        <f>SUMIFS(Raw_Events!$H:$H,Raw_Events!$C:$C,$A272,Raw_Events!$G:$G,"MINDFULNESS_MIN")</f>
        <v/>
      </c>
      <c r="G272" s="8">
        <f>IF($F272="","",IF($F272&gt;0,1,0))</f>
        <v/>
      </c>
      <c r="H272" s="16">
        <f>SUMIFS(Raw_Events!$H:$H,Raw_Events!$C:$C,$A272,Raw_Events!$G:$G,"CIGARETTES")</f>
        <v/>
      </c>
      <c r="I272" s="29">
        <f>SUMIFS(Raw_Events!$L:$L,Raw_Events!$C:$C,$A272,Raw_Events!$G:$G,"ALCOHOL")</f>
        <v/>
      </c>
      <c r="J272" s="16">
        <f>SUMIFS(Raw_Events!$H:$H,Raw_Events!$C:$C,$A272,Raw_Events!$G:$G,"UNHEALTHY_MEAL")</f>
        <v/>
      </c>
      <c r="K272" s="28">
        <f>SUMIFS(Raw_Events!$H:$H,Raw_Events!$C:$C,$A272,Raw_Events!$G:$G,"TRAINING_MIN")+SUMIFS(Raw_Events!$H:$H,Raw_Events!$C:$C,$A272,Raw_Events!$G:$G,"DICTION_TRAINING_MIN")</f>
        <v/>
      </c>
      <c r="L272" s="28" t="n"/>
      <c r="M272" s="16">
        <f>SUMIFS(Raw_Events!$H:$H,Raw_Events!$C:$C,$A272,Raw_Events!$G:$G,"IDEA")</f>
        <v/>
      </c>
      <c r="N272" s="16">
        <f>COUNTIFS(Raw_Events!$C:$C,$A272,Raw_Events!$G:$G,"SOCIAL_MEET")</f>
        <v/>
      </c>
      <c r="O272" s="16">
        <f>COUNTIFS(Raw_Events!$C:$C,$A272,Raw_Events!$G:$G,"DATE")</f>
        <v/>
      </c>
      <c r="P272" s="3">
        <f>COUNTIFS(Raw_Events!$C:$C,$A272,Raw_Events!$G:$G,"NEW_ACTIVITY")</f>
        <v/>
      </c>
      <c r="Q272" s="3">
        <f>SUMIFS(Raw_Events!$H:$H,Raw_Events!$C:$C,$A272,Raw_Events!$G:$G,"TRAVEL_NIGHT")</f>
        <v/>
      </c>
      <c r="R272" s="3" t="n"/>
    </row>
    <row r="273" ht="15" customHeight="1">
      <c r="A273" s="14" t="n">
        <v>46293</v>
      </c>
      <c r="B273" s="27">
        <f>SUMIFS(Raw_Events!$H:$H,Raw_Events!$C:$C,$A273,Raw_Events!$G:$G,"SLEEP_HOURS")</f>
        <v/>
      </c>
      <c r="C273" s="16">
        <f>COUNTIFS(Raw_Events!$C:$C,$A273,Raw_Events!$G:$G,"WORKOUT")</f>
        <v/>
      </c>
      <c r="D273" s="28">
        <f>SUMIFS(Raw_Events!$H:$H,Raw_Events!$C:$C,$A273,Raw_Events!$G:$G,"POSTURE_SESSION")</f>
        <v/>
      </c>
      <c r="E273" s="8">
        <f>IF($D273="","",IF($D273&gt;=Settings!$C$17,1,0))</f>
        <v/>
      </c>
      <c r="F273" s="28">
        <f>SUMIFS(Raw_Events!$H:$H,Raw_Events!$C:$C,$A273,Raw_Events!$G:$G,"MINDFULNESS_MIN")</f>
        <v/>
      </c>
      <c r="G273" s="8">
        <f>IF($F273="","",IF($F273&gt;0,1,0))</f>
        <v/>
      </c>
      <c r="H273" s="16">
        <f>SUMIFS(Raw_Events!$H:$H,Raw_Events!$C:$C,$A273,Raw_Events!$G:$G,"CIGARETTES")</f>
        <v/>
      </c>
      <c r="I273" s="29">
        <f>SUMIFS(Raw_Events!$L:$L,Raw_Events!$C:$C,$A273,Raw_Events!$G:$G,"ALCOHOL")</f>
        <v/>
      </c>
      <c r="J273" s="16">
        <f>SUMIFS(Raw_Events!$H:$H,Raw_Events!$C:$C,$A273,Raw_Events!$G:$G,"UNHEALTHY_MEAL")</f>
        <v/>
      </c>
      <c r="K273" s="28">
        <f>SUMIFS(Raw_Events!$H:$H,Raw_Events!$C:$C,$A273,Raw_Events!$G:$G,"TRAINING_MIN")+SUMIFS(Raw_Events!$H:$H,Raw_Events!$C:$C,$A273,Raw_Events!$G:$G,"DICTION_TRAINING_MIN")</f>
        <v/>
      </c>
      <c r="L273" s="28" t="n"/>
      <c r="M273" s="16">
        <f>SUMIFS(Raw_Events!$H:$H,Raw_Events!$C:$C,$A273,Raw_Events!$G:$G,"IDEA")</f>
        <v/>
      </c>
      <c r="N273" s="16">
        <f>COUNTIFS(Raw_Events!$C:$C,$A273,Raw_Events!$G:$G,"SOCIAL_MEET")</f>
        <v/>
      </c>
      <c r="O273" s="16">
        <f>COUNTIFS(Raw_Events!$C:$C,$A273,Raw_Events!$G:$G,"DATE")</f>
        <v/>
      </c>
      <c r="P273" s="3">
        <f>COUNTIFS(Raw_Events!$C:$C,$A273,Raw_Events!$G:$G,"NEW_ACTIVITY")</f>
        <v/>
      </c>
      <c r="Q273" s="3">
        <f>SUMIFS(Raw_Events!$H:$H,Raw_Events!$C:$C,$A273,Raw_Events!$G:$G,"TRAVEL_NIGHT")</f>
        <v/>
      </c>
      <c r="R273" s="3" t="n"/>
    </row>
    <row r="274" ht="15" customHeight="1">
      <c r="A274" s="14" t="n">
        <v>46294</v>
      </c>
      <c r="B274" s="27">
        <f>SUMIFS(Raw_Events!$H:$H,Raw_Events!$C:$C,$A274,Raw_Events!$G:$G,"SLEEP_HOURS")</f>
        <v/>
      </c>
      <c r="C274" s="16">
        <f>COUNTIFS(Raw_Events!$C:$C,$A274,Raw_Events!$G:$G,"WORKOUT")</f>
        <v/>
      </c>
      <c r="D274" s="28">
        <f>SUMIFS(Raw_Events!$H:$H,Raw_Events!$C:$C,$A274,Raw_Events!$G:$G,"POSTURE_SESSION")</f>
        <v/>
      </c>
      <c r="E274" s="8">
        <f>IF($D274="","",IF($D274&gt;=Settings!$C$17,1,0))</f>
        <v/>
      </c>
      <c r="F274" s="28">
        <f>SUMIFS(Raw_Events!$H:$H,Raw_Events!$C:$C,$A274,Raw_Events!$G:$G,"MINDFULNESS_MIN")</f>
        <v/>
      </c>
      <c r="G274" s="8">
        <f>IF($F274="","",IF($F274&gt;0,1,0))</f>
        <v/>
      </c>
      <c r="H274" s="16">
        <f>SUMIFS(Raw_Events!$H:$H,Raw_Events!$C:$C,$A274,Raw_Events!$G:$G,"CIGARETTES")</f>
        <v/>
      </c>
      <c r="I274" s="29">
        <f>SUMIFS(Raw_Events!$L:$L,Raw_Events!$C:$C,$A274,Raw_Events!$G:$G,"ALCOHOL")</f>
        <v/>
      </c>
      <c r="J274" s="16">
        <f>SUMIFS(Raw_Events!$H:$H,Raw_Events!$C:$C,$A274,Raw_Events!$G:$G,"UNHEALTHY_MEAL")</f>
        <v/>
      </c>
      <c r="K274" s="28">
        <f>SUMIFS(Raw_Events!$H:$H,Raw_Events!$C:$C,$A274,Raw_Events!$G:$G,"TRAINING_MIN")+SUMIFS(Raw_Events!$H:$H,Raw_Events!$C:$C,$A274,Raw_Events!$G:$G,"DICTION_TRAINING_MIN")</f>
        <v/>
      </c>
      <c r="L274" s="28" t="n"/>
      <c r="M274" s="16">
        <f>SUMIFS(Raw_Events!$H:$H,Raw_Events!$C:$C,$A274,Raw_Events!$G:$G,"IDEA")</f>
        <v/>
      </c>
      <c r="N274" s="16">
        <f>COUNTIFS(Raw_Events!$C:$C,$A274,Raw_Events!$G:$G,"SOCIAL_MEET")</f>
        <v/>
      </c>
      <c r="O274" s="16">
        <f>COUNTIFS(Raw_Events!$C:$C,$A274,Raw_Events!$G:$G,"DATE")</f>
        <v/>
      </c>
      <c r="P274" s="3">
        <f>COUNTIFS(Raw_Events!$C:$C,$A274,Raw_Events!$G:$G,"NEW_ACTIVITY")</f>
        <v/>
      </c>
      <c r="Q274" s="3">
        <f>SUMIFS(Raw_Events!$H:$H,Raw_Events!$C:$C,$A274,Raw_Events!$G:$G,"TRAVEL_NIGHT")</f>
        <v/>
      </c>
      <c r="R274" s="3" t="n"/>
    </row>
    <row r="275" ht="15" customHeight="1">
      <c r="A275" s="14" t="n">
        <v>46295</v>
      </c>
      <c r="B275" s="27">
        <f>SUMIFS(Raw_Events!$H:$H,Raw_Events!$C:$C,$A275,Raw_Events!$G:$G,"SLEEP_HOURS")</f>
        <v/>
      </c>
      <c r="C275" s="16">
        <f>COUNTIFS(Raw_Events!$C:$C,$A275,Raw_Events!$G:$G,"WORKOUT")</f>
        <v/>
      </c>
      <c r="D275" s="28">
        <f>SUMIFS(Raw_Events!$H:$H,Raw_Events!$C:$C,$A275,Raw_Events!$G:$G,"POSTURE_SESSION")</f>
        <v/>
      </c>
      <c r="E275" s="8">
        <f>IF($D275="","",IF($D275&gt;=Settings!$C$17,1,0))</f>
        <v/>
      </c>
      <c r="F275" s="28">
        <f>SUMIFS(Raw_Events!$H:$H,Raw_Events!$C:$C,$A275,Raw_Events!$G:$G,"MINDFULNESS_MIN")</f>
        <v/>
      </c>
      <c r="G275" s="8">
        <f>IF($F275="","",IF($F275&gt;0,1,0))</f>
        <v/>
      </c>
      <c r="H275" s="16">
        <f>SUMIFS(Raw_Events!$H:$H,Raw_Events!$C:$C,$A275,Raw_Events!$G:$G,"CIGARETTES")</f>
        <v/>
      </c>
      <c r="I275" s="29">
        <f>SUMIFS(Raw_Events!$L:$L,Raw_Events!$C:$C,$A275,Raw_Events!$G:$G,"ALCOHOL")</f>
        <v/>
      </c>
      <c r="J275" s="16">
        <f>SUMIFS(Raw_Events!$H:$H,Raw_Events!$C:$C,$A275,Raw_Events!$G:$G,"UNHEALTHY_MEAL")</f>
        <v/>
      </c>
      <c r="K275" s="28">
        <f>SUMIFS(Raw_Events!$H:$H,Raw_Events!$C:$C,$A275,Raw_Events!$G:$G,"TRAINING_MIN")+SUMIFS(Raw_Events!$H:$H,Raw_Events!$C:$C,$A275,Raw_Events!$G:$G,"DICTION_TRAINING_MIN")</f>
        <v/>
      </c>
      <c r="L275" s="28" t="n"/>
      <c r="M275" s="16">
        <f>SUMIFS(Raw_Events!$H:$H,Raw_Events!$C:$C,$A275,Raw_Events!$G:$G,"IDEA")</f>
        <v/>
      </c>
      <c r="N275" s="16">
        <f>COUNTIFS(Raw_Events!$C:$C,$A275,Raw_Events!$G:$G,"SOCIAL_MEET")</f>
        <v/>
      </c>
      <c r="O275" s="16">
        <f>COUNTIFS(Raw_Events!$C:$C,$A275,Raw_Events!$G:$G,"DATE")</f>
        <v/>
      </c>
      <c r="P275" s="3">
        <f>COUNTIFS(Raw_Events!$C:$C,$A275,Raw_Events!$G:$G,"NEW_ACTIVITY")</f>
        <v/>
      </c>
      <c r="Q275" s="3">
        <f>SUMIFS(Raw_Events!$H:$H,Raw_Events!$C:$C,$A275,Raw_Events!$G:$G,"TRAVEL_NIGHT")</f>
        <v/>
      </c>
      <c r="R275" s="3" t="n"/>
    </row>
    <row r="276" ht="15" customHeight="1">
      <c r="A276" s="14" t="n">
        <v>46296</v>
      </c>
      <c r="B276" s="27">
        <f>SUMIFS(Raw_Events!$H:$H,Raw_Events!$C:$C,$A276,Raw_Events!$G:$G,"SLEEP_HOURS")</f>
        <v/>
      </c>
      <c r="C276" s="16">
        <f>COUNTIFS(Raw_Events!$C:$C,$A276,Raw_Events!$G:$G,"WORKOUT")</f>
        <v/>
      </c>
      <c r="D276" s="28">
        <f>SUMIFS(Raw_Events!$H:$H,Raw_Events!$C:$C,$A276,Raw_Events!$G:$G,"POSTURE_SESSION")</f>
        <v/>
      </c>
      <c r="E276" s="8">
        <f>IF($D276="","",IF($D276&gt;=Settings!$C$17,1,0))</f>
        <v/>
      </c>
      <c r="F276" s="28">
        <f>SUMIFS(Raw_Events!$H:$H,Raw_Events!$C:$C,$A276,Raw_Events!$G:$G,"MINDFULNESS_MIN")</f>
        <v/>
      </c>
      <c r="G276" s="8">
        <f>IF($F276="","",IF($F276&gt;0,1,0))</f>
        <v/>
      </c>
      <c r="H276" s="16">
        <f>SUMIFS(Raw_Events!$H:$H,Raw_Events!$C:$C,$A276,Raw_Events!$G:$G,"CIGARETTES")</f>
        <v/>
      </c>
      <c r="I276" s="29">
        <f>SUMIFS(Raw_Events!$L:$L,Raw_Events!$C:$C,$A276,Raw_Events!$G:$G,"ALCOHOL")</f>
        <v/>
      </c>
      <c r="J276" s="16">
        <f>SUMIFS(Raw_Events!$H:$H,Raw_Events!$C:$C,$A276,Raw_Events!$G:$G,"UNHEALTHY_MEAL")</f>
        <v/>
      </c>
      <c r="K276" s="28">
        <f>SUMIFS(Raw_Events!$H:$H,Raw_Events!$C:$C,$A276,Raw_Events!$G:$G,"TRAINING_MIN")+SUMIFS(Raw_Events!$H:$H,Raw_Events!$C:$C,$A276,Raw_Events!$G:$G,"DICTION_TRAINING_MIN")</f>
        <v/>
      </c>
      <c r="L276" s="28" t="n"/>
      <c r="M276" s="16">
        <f>SUMIFS(Raw_Events!$H:$H,Raw_Events!$C:$C,$A276,Raw_Events!$G:$G,"IDEA")</f>
        <v/>
      </c>
      <c r="N276" s="16">
        <f>COUNTIFS(Raw_Events!$C:$C,$A276,Raw_Events!$G:$G,"SOCIAL_MEET")</f>
        <v/>
      </c>
      <c r="O276" s="16">
        <f>COUNTIFS(Raw_Events!$C:$C,$A276,Raw_Events!$G:$G,"DATE")</f>
        <v/>
      </c>
      <c r="P276" s="3">
        <f>COUNTIFS(Raw_Events!$C:$C,$A276,Raw_Events!$G:$G,"NEW_ACTIVITY")</f>
        <v/>
      </c>
      <c r="Q276" s="3">
        <f>SUMIFS(Raw_Events!$H:$H,Raw_Events!$C:$C,$A276,Raw_Events!$G:$G,"TRAVEL_NIGHT")</f>
        <v/>
      </c>
      <c r="R276" s="3" t="n"/>
    </row>
    <row r="277" ht="15" customHeight="1">
      <c r="A277" s="14" t="n">
        <v>46297</v>
      </c>
      <c r="B277" s="27">
        <f>SUMIFS(Raw_Events!$H:$H,Raw_Events!$C:$C,$A277,Raw_Events!$G:$G,"SLEEP_HOURS")</f>
        <v/>
      </c>
      <c r="C277" s="16">
        <f>COUNTIFS(Raw_Events!$C:$C,$A277,Raw_Events!$G:$G,"WORKOUT")</f>
        <v/>
      </c>
      <c r="D277" s="28">
        <f>SUMIFS(Raw_Events!$H:$H,Raw_Events!$C:$C,$A277,Raw_Events!$G:$G,"POSTURE_SESSION")</f>
        <v/>
      </c>
      <c r="E277" s="8">
        <f>IF($D277="","",IF($D277&gt;=Settings!$C$17,1,0))</f>
        <v/>
      </c>
      <c r="F277" s="28">
        <f>SUMIFS(Raw_Events!$H:$H,Raw_Events!$C:$C,$A277,Raw_Events!$G:$G,"MINDFULNESS_MIN")</f>
        <v/>
      </c>
      <c r="G277" s="8">
        <f>IF($F277="","",IF($F277&gt;0,1,0))</f>
        <v/>
      </c>
      <c r="H277" s="16">
        <f>SUMIFS(Raw_Events!$H:$H,Raw_Events!$C:$C,$A277,Raw_Events!$G:$G,"CIGARETTES")</f>
        <v/>
      </c>
      <c r="I277" s="29">
        <f>SUMIFS(Raw_Events!$L:$L,Raw_Events!$C:$C,$A277,Raw_Events!$G:$G,"ALCOHOL")</f>
        <v/>
      </c>
      <c r="J277" s="16">
        <f>SUMIFS(Raw_Events!$H:$H,Raw_Events!$C:$C,$A277,Raw_Events!$G:$G,"UNHEALTHY_MEAL")</f>
        <v/>
      </c>
      <c r="K277" s="28">
        <f>SUMIFS(Raw_Events!$H:$H,Raw_Events!$C:$C,$A277,Raw_Events!$G:$G,"TRAINING_MIN")+SUMIFS(Raw_Events!$H:$H,Raw_Events!$C:$C,$A277,Raw_Events!$G:$G,"DICTION_TRAINING_MIN")</f>
        <v/>
      </c>
      <c r="L277" s="28" t="n"/>
      <c r="M277" s="16">
        <f>SUMIFS(Raw_Events!$H:$H,Raw_Events!$C:$C,$A277,Raw_Events!$G:$G,"IDEA")</f>
        <v/>
      </c>
      <c r="N277" s="16">
        <f>COUNTIFS(Raw_Events!$C:$C,$A277,Raw_Events!$G:$G,"SOCIAL_MEET")</f>
        <v/>
      </c>
      <c r="O277" s="16">
        <f>COUNTIFS(Raw_Events!$C:$C,$A277,Raw_Events!$G:$G,"DATE")</f>
        <v/>
      </c>
      <c r="P277" s="3">
        <f>COUNTIFS(Raw_Events!$C:$C,$A277,Raw_Events!$G:$G,"NEW_ACTIVITY")</f>
        <v/>
      </c>
      <c r="Q277" s="3">
        <f>SUMIFS(Raw_Events!$H:$H,Raw_Events!$C:$C,$A277,Raw_Events!$G:$G,"TRAVEL_NIGHT")</f>
        <v/>
      </c>
      <c r="R277" s="3" t="n"/>
    </row>
    <row r="278" ht="15" customHeight="1">
      <c r="A278" s="14" t="n">
        <v>46298</v>
      </c>
      <c r="B278" s="27">
        <f>SUMIFS(Raw_Events!$H:$H,Raw_Events!$C:$C,$A278,Raw_Events!$G:$G,"SLEEP_HOURS")</f>
        <v/>
      </c>
      <c r="C278" s="16">
        <f>COUNTIFS(Raw_Events!$C:$C,$A278,Raw_Events!$G:$G,"WORKOUT")</f>
        <v/>
      </c>
      <c r="D278" s="28">
        <f>SUMIFS(Raw_Events!$H:$H,Raw_Events!$C:$C,$A278,Raw_Events!$G:$G,"POSTURE_SESSION")</f>
        <v/>
      </c>
      <c r="E278" s="8">
        <f>IF($D278="","",IF($D278&gt;=Settings!$C$17,1,0))</f>
        <v/>
      </c>
      <c r="F278" s="28">
        <f>SUMIFS(Raw_Events!$H:$H,Raw_Events!$C:$C,$A278,Raw_Events!$G:$G,"MINDFULNESS_MIN")</f>
        <v/>
      </c>
      <c r="G278" s="8">
        <f>IF($F278="","",IF($F278&gt;0,1,0))</f>
        <v/>
      </c>
      <c r="H278" s="16">
        <f>SUMIFS(Raw_Events!$H:$H,Raw_Events!$C:$C,$A278,Raw_Events!$G:$G,"CIGARETTES")</f>
        <v/>
      </c>
      <c r="I278" s="29">
        <f>SUMIFS(Raw_Events!$L:$L,Raw_Events!$C:$C,$A278,Raw_Events!$G:$G,"ALCOHOL")</f>
        <v/>
      </c>
      <c r="J278" s="16">
        <f>SUMIFS(Raw_Events!$H:$H,Raw_Events!$C:$C,$A278,Raw_Events!$G:$G,"UNHEALTHY_MEAL")</f>
        <v/>
      </c>
      <c r="K278" s="28">
        <f>SUMIFS(Raw_Events!$H:$H,Raw_Events!$C:$C,$A278,Raw_Events!$G:$G,"TRAINING_MIN")+SUMIFS(Raw_Events!$H:$H,Raw_Events!$C:$C,$A278,Raw_Events!$G:$G,"DICTION_TRAINING_MIN")</f>
        <v/>
      </c>
      <c r="L278" s="28" t="n"/>
      <c r="M278" s="16">
        <f>SUMIFS(Raw_Events!$H:$H,Raw_Events!$C:$C,$A278,Raw_Events!$G:$G,"IDEA")</f>
        <v/>
      </c>
      <c r="N278" s="16">
        <f>COUNTIFS(Raw_Events!$C:$C,$A278,Raw_Events!$G:$G,"SOCIAL_MEET")</f>
        <v/>
      </c>
      <c r="O278" s="16">
        <f>COUNTIFS(Raw_Events!$C:$C,$A278,Raw_Events!$G:$G,"DATE")</f>
        <v/>
      </c>
      <c r="P278" s="3">
        <f>COUNTIFS(Raw_Events!$C:$C,$A278,Raw_Events!$G:$G,"NEW_ACTIVITY")</f>
        <v/>
      </c>
      <c r="Q278" s="3">
        <f>SUMIFS(Raw_Events!$H:$H,Raw_Events!$C:$C,$A278,Raw_Events!$G:$G,"TRAVEL_NIGHT")</f>
        <v/>
      </c>
      <c r="R278" s="3" t="n"/>
    </row>
    <row r="279" ht="15" customHeight="1">
      <c r="A279" s="14" t="n">
        <v>46299</v>
      </c>
      <c r="B279" s="27">
        <f>SUMIFS(Raw_Events!$H:$H,Raw_Events!$C:$C,$A279,Raw_Events!$G:$G,"SLEEP_HOURS")</f>
        <v/>
      </c>
      <c r="C279" s="16">
        <f>COUNTIFS(Raw_Events!$C:$C,$A279,Raw_Events!$G:$G,"WORKOUT")</f>
        <v/>
      </c>
      <c r="D279" s="28">
        <f>SUMIFS(Raw_Events!$H:$H,Raw_Events!$C:$C,$A279,Raw_Events!$G:$G,"POSTURE_SESSION")</f>
        <v/>
      </c>
      <c r="E279" s="8">
        <f>IF($D279="","",IF($D279&gt;=Settings!$C$17,1,0))</f>
        <v/>
      </c>
      <c r="F279" s="28">
        <f>SUMIFS(Raw_Events!$H:$H,Raw_Events!$C:$C,$A279,Raw_Events!$G:$G,"MINDFULNESS_MIN")</f>
        <v/>
      </c>
      <c r="G279" s="8">
        <f>IF($F279="","",IF($F279&gt;0,1,0))</f>
        <v/>
      </c>
      <c r="H279" s="16">
        <f>SUMIFS(Raw_Events!$H:$H,Raw_Events!$C:$C,$A279,Raw_Events!$G:$G,"CIGARETTES")</f>
        <v/>
      </c>
      <c r="I279" s="29">
        <f>SUMIFS(Raw_Events!$L:$L,Raw_Events!$C:$C,$A279,Raw_Events!$G:$G,"ALCOHOL")</f>
        <v/>
      </c>
      <c r="J279" s="16">
        <f>SUMIFS(Raw_Events!$H:$H,Raw_Events!$C:$C,$A279,Raw_Events!$G:$G,"UNHEALTHY_MEAL")</f>
        <v/>
      </c>
      <c r="K279" s="28">
        <f>SUMIFS(Raw_Events!$H:$H,Raw_Events!$C:$C,$A279,Raw_Events!$G:$G,"TRAINING_MIN")+SUMIFS(Raw_Events!$H:$H,Raw_Events!$C:$C,$A279,Raw_Events!$G:$G,"DICTION_TRAINING_MIN")</f>
        <v/>
      </c>
      <c r="L279" s="28" t="n"/>
      <c r="M279" s="16">
        <f>SUMIFS(Raw_Events!$H:$H,Raw_Events!$C:$C,$A279,Raw_Events!$G:$G,"IDEA")</f>
        <v/>
      </c>
      <c r="N279" s="16">
        <f>COUNTIFS(Raw_Events!$C:$C,$A279,Raw_Events!$G:$G,"SOCIAL_MEET")</f>
        <v/>
      </c>
      <c r="O279" s="16">
        <f>COUNTIFS(Raw_Events!$C:$C,$A279,Raw_Events!$G:$G,"DATE")</f>
        <v/>
      </c>
      <c r="P279" s="3">
        <f>COUNTIFS(Raw_Events!$C:$C,$A279,Raw_Events!$G:$G,"NEW_ACTIVITY")</f>
        <v/>
      </c>
      <c r="Q279" s="3">
        <f>SUMIFS(Raw_Events!$H:$H,Raw_Events!$C:$C,$A279,Raw_Events!$G:$G,"TRAVEL_NIGHT")</f>
        <v/>
      </c>
      <c r="R279" s="3" t="n"/>
    </row>
    <row r="280" ht="15" customHeight="1">
      <c r="A280" s="14" t="n">
        <v>46300</v>
      </c>
      <c r="B280" s="27">
        <f>SUMIFS(Raw_Events!$H:$H,Raw_Events!$C:$C,$A280,Raw_Events!$G:$G,"SLEEP_HOURS")</f>
        <v/>
      </c>
      <c r="C280" s="16">
        <f>COUNTIFS(Raw_Events!$C:$C,$A280,Raw_Events!$G:$G,"WORKOUT")</f>
        <v/>
      </c>
      <c r="D280" s="28">
        <f>SUMIFS(Raw_Events!$H:$H,Raw_Events!$C:$C,$A280,Raw_Events!$G:$G,"POSTURE_SESSION")</f>
        <v/>
      </c>
      <c r="E280" s="8">
        <f>IF($D280="","",IF($D280&gt;=Settings!$C$17,1,0))</f>
        <v/>
      </c>
      <c r="F280" s="28">
        <f>SUMIFS(Raw_Events!$H:$H,Raw_Events!$C:$C,$A280,Raw_Events!$G:$G,"MINDFULNESS_MIN")</f>
        <v/>
      </c>
      <c r="G280" s="8">
        <f>IF($F280="","",IF($F280&gt;0,1,0))</f>
        <v/>
      </c>
      <c r="H280" s="16">
        <f>SUMIFS(Raw_Events!$H:$H,Raw_Events!$C:$C,$A280,Raw_Events!$G:$G,"CIGARETTES")</f>
        <v/>
      </c>
      <c r="I280" s="29">
        <f>SUMIFS(Raw_Events!$L:$L,Raw_Events!$C:$C,$A280,Raw_Events!$G:$G,"ALCOHOL")</f>
        <v/>
      </c>
      <c r="J280" s="16">
        <f>SUMIFS(Raw_Events!$H:$H,Raw_Events!$C:$C,$A280,Raw_Events!$G:$G,"UNHEALTHY_MEAL")</f>
        <v/>
      </c>
      <c r="K280" s="28">
        <f>SUMIFS(Raw_Events!$H:$H,Raw_Events!$C:$C,$A280,Raw_Events!$G:$G,"TRAINING_MIN")+SUMIFS(Raw_Events!$H:$H,Raw_Events!$C:$C,$A280,Raw_Events!$G:$G,"DICTION_TRAINING_MIN")</f>
        <v/>
      </c>
      <c r="L280" s="28" t="n"/>
      <c r="M280" s="16">
        <f>SUMIFS(Raw_Events!$H:$H,Raw_Events!$C:$C,$A280,Raw_Events!$G:$G,"IDEA")</f>
        <v/>
      </c>
      <c r="N280" s="16">
        <f>COUNTIFS(Raw_Events!$C:$C,$A280,Raw_Events!$G:$G,"SOCIAL_MEET")</f>
        <v/>
      </c>
      <c r="O280" s="16">
        <f>COUNTIFS(Raw_Events!$C:$C,$A280,Raw_Events!$G:$G,"DATE")</f>
        <v/>
      </c>
      <c r="P280" s="3">
        <f>COUNTIFS(Raw_Events!$C:$C,$A280,Raw_Events!$G:$G,"NEW_ACTIVITY")</f>
        <v/>
      </c>
      <c r="Q280" s="3">
        <f>SUMIFS(Raw_Events!$H:$H,Raw_Events!$C:$C,$A280,Raw_Events!$G:$G,"TRAVEL_NIGHT")</f>
        <v/>
      </c>
      <c r="R280" s="3" t="n"/>
    </row>
    <row r="281" ht="15" customHeight="1">
      <c r="A281" s="14" t="n">
        <v>46301</v>
      </c>
      <c r="B281" s="27">
        <f>SUMIFS(Raw_Events!$H:$H,Raw_Events!$C:$C,$A281,Raw_Events!$G:$G,"SLEEP_HOURS")</f>
        <v/>
      </c>
      <c r="C281" s="16">
        <f>COUNTIFS(Raw_Events!$C:$C,$A281,Raw_Events!$G:$G,"WORKOUT")</f>
        <v/>
      </c>
      <c r="D281" s="28">
        <f>SUMIFS(Raw_Events!$H:$H,Raw_Events!$C:$C,$A281,Raw_Events!$G:$G,"POSTURE_SESSION")</f>
        <v/>
      </c>
      <c r="E281" s="8">
        <f>IF($D281="","",IF($D281&gt;=Settings!$C$17,1,0))</f>
        <v/>
      </c>
      <c r="F281" s="28">
        <f>SUMIFS(Raw_Events!$H:$H,Raw_Events!$C:$C,$A281,Raw_Events!$G:$G,"MINDFULNESS_MIN")</f>
        <v/>
      </c>
      <c r="G281" s="8">
        <f>IF($F281="","",IF($F281&gt;0,1,0))</f>
        <v/>
      </c>
      <c r="H281" s="16">
        <f>SUMIFS(Raw_Events!$H:$H,Raw_Events!$C:$C,$A281,Raw_Events!$G:$G,"CIGARETTES")</f>
        <v/>
      </c>
      <c r="I281" s="29">
        <f>SUMIFS(Raw_Events!$L:$L,Raw_Events!$C:$C,$A281,Raw_Events!$G:$G,"ALCOHOL")</f>
        <v/>
      </c>
      <c r="J281" s="16">
        <f>SUMIFS(Raw_Events!$H:$H,Raw_Events!$C:$C,$A281,Raw_Events!$G:$G,"UNHEALTHY_MEAL")</f>
        <v/>
      </c>
      <c r="K281" s="28">
        <f>SUMIFS(Raw_Events!$H:$H,Raw_Events!$C:$C,$A281,Raw_Events!$G:$G,"TRAINING_MIN")+SUMIFS(Raw_Events!$H:$H,Raw_Events!$C:$C,$A281,Raw_Events!$G:$G,"DICTION_TRAINING_MIN")</f>
        <v/>
      </c>
      <c r="L281" s="28" t="n"/>
      <c r="M281" s="16">
        <f>SUMIFS(Raw_Events!$H:$H,Raw_Events!$C:$C,$A281,Raw_Events!$G:$G,"IDEA")</f>
        <v/>
      </c>
      <c r="N281" s="16">
        <f>COUNTIFS(Raw_Events!$C:$C,$A281,Raw_Events!$G:$G,"SOCIAL_MEET")</f>
        <v/>
      </c>
      <c r="O281" s="16">
        <f>COUNTIFS(Raw_Events!$C:$C,$A281,Raw_Events!$G:$G,"DATE")</f>
        <v/>
      </c>
      <c r="P281" s="3">
        <f>COUNTIFS(Raw_Events!$C:$C,$A281,Raw_Events!$G:$G,"NEW_ACTIVITY")</f>
        <v/>
      </c>
      <c r="Q281" s="3">
        <f>SUMIFS(Raw_Events!$H:$H,Raw_Events!$C:$C,$A281,Raw_Events!$G:$G,"TRAVEL_NIGHT")</f>
        <v/>
      </c>
      <c r="R281" s="3" t="n"/>
    </row>
    <row r="282" ht="15" customHeight="1">
      <c r="A282" s="14" t="n">
        <v>46302</v>
      </c>
      <c r="B282" s="27">
        <f>SUMIFS(Raw_Events!$H:$H,Raw_Events!$C:$C,$A282,Raw_Events!$G:$G,"SLEEP_HOURS")</f>
        <v/>
      </c>
      <c r="C282" s="16">
        <f>COUNTIFS(Raw_Events!$C:$C,$A282,Raw_Events!$G:$G,"WORKOUT")</f>
        <v/>
      </c>
      <c r="D282" s="28">
        <f>SUMIFS(Raw_Events!$H:$H,Raw_Events!$C:$C,$A282,Raw_Events!$G:$G,"POSTURE_SESSION")</f>
        <v/>
      </c>
      <c r="E282" s="8">
        <f>IF($D282="","",IF($D282&gt;=Settings!$C$17,1,0))</f>
        <v/>
      </c>
      <c r="F282" s="28">
        <f>SUMIFS(Raw_Events!$H:$H,Raw_Events!$C:$C,$A282,Raw_Events!$G:$G,"MINDFULNESS_MIN")</f>
        <v/>
      </c>
      <c r="G282" s="8">
        <f>IF($F282="","",IF($F282&gt;0,1,0))</f>
        <v/>
      </c>
      <c r="H282" s="16">
        <f>SUMIFS(Raw_Events!$H:$H,Raw_Events!$C:$C,$A282,Raw_Events!$G:$G,"CIGARETTES")</f>
        <v/>
      </c>
      <c r="I282" s="29">
        <f>SUMIFS(Raw_Events!$L:$L,Raw_Events!$C:$C,$A282,Raw_Events!$G:$G,"ALCOHOL")</f>
        <v/>
      </c>
      <c r="J282" s="16">
        <f>SUMIFS(Raw_Events!$H:$H,Raw_Events!$C:$C,$A282,Raw_Events!$G:$G,"UNHEALTHY_MEAL")</f>
        <v/>
      </c>
      <c r="K282" s="28">
        <f>SUMIFS(Raw_Events!$H:$H,Raw_Events!$C:$C,$A282,Raw_Events!$G:$G,"TRAINING_MIN")+SUMIFS(Raw_Events!$H:$H,Raw_Events!$C:$C,$A282,Raw_Events!$G:$G,"DICTION_TRAINING_MIN")</f>
        <v/>
      </c>
      <c r="L282" s="28" t="n"/>
      <c r="M282" s="16">
        <f>SUMIFS(Raw_Events!$H:$H,Raw_Events!$C:$C,$A282,Raw_Events!$G:$G,"IDEA")</f>
        <v/>
      </c>
      <c r="N282" s="16">
        <f>COUNTIFS(Raw_Events!$C:$C,$A282,Raw_Events!$G:$G,"SOCIAL_MEET")</f>
        <v/>
      </c>
      <c r="O282" s="16">
        <f>COUNTIFS(Raw_Events!$C:$C,$A282,Raw_Events!$G:$G,"DATE")</f>
        <v/>
      </c>
      <c r="P282" s="3">
        <f>COUNTIFS(Raw_Events!$C:$C,$A282,Raw_Events!$G:$G,"NEW_ACTIVITY")</f>
        <v/>
      </c>
      <c r="Q282" s="3">
        <f>SUMIFS(Raw_Events!$H:$H,Raw_Events!$C:$C,$A282,Raw_Events!$G:$G,"TRAVEL_NIGHT")</f>
        <v/>
      </c>
      <c r="R282" s="3" t="n"/>
    </row>
    <row r="283" ht="15" customHeight="1">
      <c r="A283" s="14" t="n">
        <v>46303</v>
      </c>
      <c r="B283" s="27">
        <f>SUMIFS(Raw_Events!$H:$H,Raw_Events!$C:$C,$A283,Raw_Events!$G:$G,"SLEEP_HOURS")</f>
        <v/>
      </c>
      <c r="C283" s="16">
        <f>COUNTIFS(Raw_Events!$C:$C,$A283,Raw_Events!$G:$G,"WORKOUT")</f>
        <v/>
      </c>
      <c r="D283" s="28">
        <f>SUMIFS(Raw_Events!$H:$H,Raw_Events!$C:$C,$A283,Raw_Events!$G:$G,"POSTURE_SESSION")</f>
        <v/>
      </c>
      <c r="E283" s="8">
        <f>IF($D283="","",IF($D283&gt;=Settings!$C$17,1,0))</f>
        <v/>
      </c>
      <c r="F283" s="28">
        <f>SUMIFS(Raw_Events!$H:$H,Raw_Events!$C:$C,$A283,Raw_Events!$G:$G,"MINDFULNESS_MIN")</f>
        <v/>
      </c>
      <c r="G283" s="8">
        <f>IF($F283="","",IF($F283&gt;0,1,0))</f>
        <v/>
      </c>
      <c r="H283" s="16">
        <f>SUMIFS(Raw_Events!$H:$H,Raw_Events!$C:$C,$A283,Raw_Events!$G:$G,"CIGARETTES")</f>
        <v/>
      </c>
      <c r="I283" s="29">
        <f>SUMIFS(Raw_Events!$L:$L,Raw_Events!$C:$C,$A283,Raw_Events!$G:$G,"ALCOHOL")</f>
        <v/>
      </c>
      <c r="J283" s="16">
        <f>SUMIFS(Raw_Events!$H:$H,Raw_Events!$C:$C,$A283,Raw_Events!$G:$G,"UNHEALTHY_MEAL")</f>
        <v/>
      </c>
      <c r="K283" s="28">
        <f>SUMIFS(Raw_Events!$H:$H,Raw_Events!$C:$C,$A283,Raw_Events!$G:$G,"TRAINING_MIN")+SUMIFS(Raw_Events!$H:$H,Raw_Events!$C:$C,$A283,Raw_Events!$G:$G,"DICTION_TRAINING_MIN")</f>
        <v/>
      </c>
      <c r="L283" s="28" t="n"/>
      <c r="M283" s="16">
        <f>SUMIFS(Raw_Events!$H:$H,Raw_Events!$C:$C,$A283,Raw_Events!$G:$G,"IDEA")</f>
        <v/>
      </c>
      <c r="N283" s="16">
        <f>COUNTIFS(Raw_Events!$C:$C,$A283,Raw_Events!$G:$G,"SOCIAL_MEET")</f>
        <v/>
      </c>
      <c r="O283" s="16">
        <f>COUNTIFS(Raw_Events!$C:$C,$A283,Raw_Events!$G:$G,"DATE")</f>
        <v/>
      </c>
      <c r="P283" s="3">
        <f>COUNTIFS(Raw_Events!$C:$C,$A283,Raw_Events!$G:$G,"NEW_ACTIVITY")</f>
        <v/>
      </c>
      <c r="Q283" s="3">
        <f>SUMIFS(Raw_Events!$H:$H,Raw_Events!$C:$C,$A283,Raw_Events!$G:$G,"TRAVEL_NIGHT")</f>
        <v/>
      </c>
      <c r="R283" s="3" t="n"/>
    </row>
    <row r="284" ht="15" customHeight="1">
      <c r="A284" s="14" t="n">
        <v>46304</v>
      </c>
      <c r="B284" s="27">
        <f>SUMIFS(Raw_Events!$H:$H,Raw_Events!$C:$C,$A284,Raw_Events!$G:$G,"SLEEP_HOURS")</f>
        <v/>
      </c>
      <c r="C284" s="16">
        <f>COUNTIFS(Raw_Events!$C:$C,$A284,Raw_Events!$G:$G,"WORKOUT")</f>
        <v/>
      </c>
      <c r="D284" s="28">
        <f>SUMIFS(Raw_Events!$H:$H,Raw_Events!$C:$C,$A284,Raw_Events!$G:$G,"POSTURE_SESSION")</f>
        <v/>
      </c>
      <c r="E284" s="8">
        <f>IF($D284="","",IF($D284&gt;=Settings!$C$17,1,0))</f>
        <v/>
      </c>
      <c r="F284" s="28">
        <f>SUMIFS(Raw_Events!$H:$H,Raw_Events!$C:$C,$A284,Raw_Events!$G:$G,"MINDFULNESS_MIN")</f>
        <v/>
      </c>
      <c r="G284" s="8">
        <f>IF($F284="","",IF($F284&gt;0,1,0))</f>
        <v/>
      </c>
      <c r="H284" s="16">
        <f>SUMIFS(Raw_Events!$H:$H,Raw_Events!$C:$C,$A284,Raw_Events!$G:$G,"CIGARETTES")</f>
        <v/>
      </c>
      <c r="I284" s="29">
        <f>SUMIFS(Raw_Events!$L:$L,Raw_Events!$C:$C,$A284,Raw_Events!$G:$G,"ALCOHOL")</f>
        <v/>
      </c>
      <c r="J284" s="16">
        <f>SUMIFS(Raw_Events!$H:$H,Raw_Events!$C:$C,$A284,Raw_Events!$G:$G,"UNHEALTHY_MEAL")</f>
        <v/>
      </c>
      <c r="K284" s="28">
        <f>SUMIFS(Raw_Events!$H:$H,Raw_Events!$C:$C,$A284,Raw_Events!$G:$G,"TRAINING_MIN")+SUMIFS(Raw_Events!$H:$H,Raw_Events!$C:$C,$A284,Raw_Events!$G:$G,"DICTION_TRAINING_MIN")</f>
        <v/>
      </c>
      <c r="L284" s="28" t="n"/>
      <c r="M284" s="16">
        <f>SUMIFS(Raw_Events!$H:$H,Raw_Events!$C:$C,$A284,Raw_Events!$G:$G,"IDEA")</f>
        <v/>
      </c>
      <c r="N284" s="16">
        <f>COUNTIFS(Raw_Events!$C:$C,$A284,Raw_Events!$G:$G,"SOCIAL_MEET")</f>
        <v/>
      </c>
      <c r="O284" s="16">
        <f>COUNTIFS(Raw_Events!$C:$C,$A284,Raw_Events!$G:$G,"DATE")</f>
        <v/>
      </c>
      <c r="P284" s="3">
        <f>COUNTIFS(Raw_Events!$C:$C,$A284,Raw_Events!$G:$G,"NEW_ACTIVITY")</f>
        <v/>
      </c>
      <c r="Q284" s="3">
        <f>SUMIFS(Raw_Events!$H:$H,Raw_Events!$C:$C,$A284,Raw_Events!$G:$G,"TRAVEL_NIGHT")</f>
        <v/>
      </c>
      <c r="R284" s="3" t="n"/>
    </row>
    <row r="285" ht="15" customHeight="1">
      <c r="A285" s="14" t="n">
        <v>46305</v>
      </c>
      <c r="B285" s="27">
        <f>SUMIFS(Raw_Events!$H:$H,Raw_Events!$C:$C,$A285,Raw_Events!$G:$G,"SLEEP_HOURS")</f>
        <v/>
      </c>
      <c r="C285" s="16">
        <f>COUNTIFS(Raw_Events!$C:$C,$A285,Raw_Events!$G:$G,"WORKOUT")</f>
        <v/>
      </c>
      <c r="D285" s="28">
        <f>SUMIFS(Raw_Events!$H:$H,Raw_Events!$C:$C,$A285,Raw_Events!$G:$G,"POSTURE_SESSION")</f>
        <v/>
      </c>
      <c r="E285" s="8">
        <f>IF($D285="","",IF($D285&gt;=Settings!$C$17,1,0))</f>
        <v/>
      </c>
      <c r="F285" s="28">
        <f>SUMIFS(Raw_Events!$H:$H,Raw_Events!$C:$C,$A285,Raw_Events!$G:$G,"MINDFULNESS_MIN")</f>
        <v/>
      </c>
      <c r="G285" s="8">
        <f>IF($F285="","",IF($F285&gt;0,1,0))</f>
        <v/>
      </c>
      <c r="H285" s="16">
        <f>SUMIFS(Raw_Events!$H:$H,Raw_Events!$C:$C,$A285,Raw_Events!$G:$G,"CIGARETTES")</f>
        <v/>
      </c>
      <c r="I285" s="29">
        <f>SUMIFS(Raw_Events!$L:$L,Raw_Events!$C:$C,$A285,Raw_Events!$G:$G,"ALCOHOL")</f>
        <v/>
      </c>
      <c r="J285" s="16">
        <f>SUMIFS(Raw_Events!$H:$H,Raw_Events!$C:$C,$A285,Raw_Events!$G:$G,"UNHEALTHY_MEAL")</f>
        <v/>
      </c>
      <c r="K285" s="28">
        <f>SUMIFS(Raw_Events!$H:$H,Raw_Events!$C:$C,$A285,Raw_Events!$G:$G,"TRAINING_MIN")+SUMIFS(Raw_Events!$H:$H,Raw_Events!$C:$C,$A285,Raw_Events!$G:$G,"DICTION_TRAINING_MIN")</f>
        <v/>
      </c>
      <c r="L285" s="28" t="n"/>
      <c r="M285" s="16">
        <f>SUMIFS(Raw_Events!$H:$H,Raw_Events!$C:$C,$A285,Raw_Events!$G:$G,"IDEA")</f>
        <v/>
      </c>
      <c r="N285" s="16">
        <f>COUNTIFS(Raw_Events!$C:$C,$A285,Raw_Events!$G:$G,"SOCIAL_MEET")</f>
        <v/>
      </c>
      <c r="O285" s="16">
        <f>COUNTIFS(Raw_Events!$C:$C,$A285,Raw_Events!$G:$G,"DATE")</f>
        <v/>
      </c>
      <c r="P285" s="3">
        <f>COUNTIFS(Raw_Events!$C:$C,$A285,Raw_Events!$G:$G,"NEW_ACTIVITY")</f>
        <v/>
      </c>
      <c r="Q285" s="3">
        <f>SUMIFS(Raw_Events!$H:$H,Raw_Events!$C:$C,$A285,Raw_Events!$G:$G,"TRAVEL_NIGHT")</f>
        <v/>
      </c>
      <c r="R285" s="3" t="n"/>
    </row>
    <row r="286" ht="15" customHeight="1">
      <c r="A286" s="14" t="n">
        <v>46306</v>
      </c>
      <c r="B286" s="27">
        <f>SUMIFS(Raw_Events!$H:$H,Raw_Events!$C:$C,$A286,Raw_Events!$G:$G,"SLEEP_HOURS")</f>
        <v/>
      </c>
      <c r="C286" s="16">
        <f>COUNTIFS(Raw_Events!$C:$C,$A286,Raw_Events!$G:$G,"WORKOUT")</f>
        <v/>
      </c>
      <c r="D286" s="28">
        <f>SUMIFS(Raw_Events!$H:$H,Raw_Events!$C:$C,$A286,Raw_Events!$G:$G,"POSTURE_SESSION")</f>
        <v/>
      </c>
      <c r="E286" s="8">
        <f>IF($D286="","",IF($D286&gt;=Settings!$C$17,1,0))</f>
        <v/>
      </c>
      <c r="F286" s="28">
        <f>SUMIFS(Raw_Events!$H:$H,Raw_Events!$C:$C,$A286,Raw_Events!$G:$G,"MINDFULNESS_MIN")</f>
        <v/>
      </c>
      <c r="G286" s="8">
        <f>IF($F286="","",IF($F286&gt;0,1,0))</f>
        <v/>
      </c>
      <c r="H286" s="16">
        <f>SUMIFS(Raw_Events!$H:$H,Raw_Events!$C:$C,$A286,Raw_Events!$G:$G,"CIGARETTES")</f>
        <v/>
      </c>
      <c r="I286" s="29">
        <f>SUMIFS(Raw_Events!$L:$L,Raw_Events!$C:$C,$A286,Raw_Events!$G:$G,"ALCOHOL")</f>
        <v/>
      </c>
      <c r="J286" s="16">
        <f>SUMIFS(Raw_Events!$H:$H,Raw_Events!$C:$C,$A286,Raw_Events!$G:$G,"UNHEALTHY_MEAL")</f>
        <v/>
      </c>
      <c r="K286" s="28">
        <f>SUMIFS(Raw_Events!$H:$H,Raw_Events!$C:$C,$A286,Raw_Events!$G:$G,"TRAINING_MIN")+SUMIFS(Raw_Events!$H:$H,Raw_Events!$C:$C,$A286,Raw_Events!$G:$G,"DICTION_TRAINING_MIN")</f>
        <v/>
      </c>
      <c r="L286" s="28" t="n"/>
      <c r="M286" s="16">
        <f>SUMIFS(Raw_Events!$H:$H,Raw_Events!$C:$C,$A286,Raw_Events!$G:$G,"IDEA")</f>
        <v/>
      </c>
      <c r="N286" s="16">
        <f>COUNTIFS(Raw_Events!$C:$C,$A286,Raw_Events!$G:$G,"SOCIAL_MEET")</f>
        <v/>
      </c>
      <c r="O286" s="16">
        <f>COUNTIFS(Raw_Events!$C:$C,$A286,Raw_Events!$G:$G,"DATE")</f>
        <v/>
      </c>
      <c r="P286" s="3">
        <f>COUNTIFS(Raw_Events!$C:$C,$A286,Raw_Events!$G:$G,"NEW_ACTIVITY")</f>
        <v/>
      </c>
      <c r="Q286" s="3">
        <f>SUMIFS(Raw_Events!$H:$H,Raw_Events!$C:$C,$A286,Raw_Events!$G:$G,"TRAVEL_NIGHT")</f>
        <v/>
      </c>
      <c r="R286" s="3" t="n"/>
    </row>
    <row r="287" ht="15" customHeight="1">
      <c r="A287" s="14" t="n">
        <v>46307</v>
      </c>
      <c r="B287" s="27">
        <f>SUMIFS(Raw_Events!$H:$H,Raw_Events!$C:$C,$A287,Raw_Events!$G:$G,"SLEEP_HOURS")</f>
        <v/>
      </c>
      <c r="C287" s="16">
        <f>COUNTIFS(Raw_Events!$C:$C,$A287,Raw_Events!$G:$G,"WORKOUT")</f>
        <v/>
      </c>
      <c r="D287" s="28">
        <f>SUMIFS(Raw_Events!$H:$H,Raw_Events!$C:$C,$A287,Raw_Events!$G:$G,"POSTURE_SESSION")</f>
        <v/>
      </c>
      <c r="E287" s="8">
        <f>IF($D287="","",IF($D287&gt;=Settings!$C$17,1,0))</f>
        <v/>
      </c>
      <c r="F287" s="28">
        <f>SUMIFS(Raw_Events!$H:$H,Raw_Events!$C:$C,$A287,Raw_Events!$G:$G,"MINDFULNESS_MIN")</f>
        <v/>
      </c>
      <c r="G287" s="8">
        <f>IF($F287="","",IF($F287&gt;0,1,0))</f>
        <v/>
      </c>
      <c r="H287" s="16">
        <f>SUMIFS(Raw_Events!$H:$H,Raw_Events!$C:$C,$A287,Raw_Events!$G:$G,"CIGARETTES")</f>
        <v/>
      </c>
      <c r="I287" s="29">
        <f>SUMIFS(Raw_Events!$L:$L,Raw_Events!$C:$C,$A287,Raw_Events!$G:$G,"ALCOHOL")</f>
        <v/>
      </c>
      <c r="J287" s="16">
        <f>SUMIFS(Raw_Events!$H:$H,Raw_Events!$C:$C,$A287,Raw_Events!$G:$G,"UNHEALTHY_MEAL")</f>
        <v/>
      </c>
      <c r="K287" s="28">
        <f>SUMIFS(Raw_Events!$H:$H,Raw_Events!$C:$C,$A287,Raw_Events!$G:$G,"TRAINING_MIN")+SUMIFS(Raw_Events!$H:$H,Raw_Events!$C:$C,$A287,Raw_Events!$G:$G,"DICTION_TRAINING_MIN")</f>
        <v/>
      </c>
      <c r="L287" s="28" t="n"/>
      <c r="M287" s="16">
        <f>SUMIFS(Raw_Events!$H:$H,Raw_Events!$C:$C,$A287,Raw_Events!$G:$G,"IDEA")</f>
        <v/>
      </c>
      <c r="N287" s="16">
        <f>COUNTIFS(Raw_Events!$C:$C,$A287,Raw_Events!$G:$G,"SOCIAL_MEET")</f>
        <v/>
      </c>
      <c r="O287" s="16">
        <f>COUNTIFS(Raw_Events!$C:$C,$A287,Raw_Events!$G:$G,"DATE")</f>
        <v/>
      </c>
      <c r="P287" s="3">
        <f>COUNTIFS(Raw_Events!$C:$C,$A287,Raw_Events!$G:$G,"NEW_ACTIVITY")</f>
        <v/>
      </c>
      <c r="Q287" s="3">
        <f>SUMIFS(Raw_Events!$H:$H,Raw_Events!$C:$C,$A287,Raw_Events!$G:$G,"TRAVEL_NIGHT")</f>
        <v/>
      </c>
      <c r="R287" s="3" t="n"/>
    </row>
    <row r="288" ht="15" customHeight="1">
      <c r="A288" s="14" t="n">
        <v>46308</v>
      </c>
      <c r="B288" s="27">
        <f>SUMIFS(Raw_Events!$H:$H,Raw_Events!$C:$C,$A288,Raw_Events!$G:$G,"SLEEP_HOURS")</f>
        <v/>
      </c>
      <c r="C288" s="16">
        <f>COUNTIFS(Raw_Events!$C:$C,$A288,Raw_Events!$G:$G,"WORKOUT")</f>
        <v/>
      </c>
      <c r="D288" s="28">
        <f>SUMIFS(Raw_Events!$H:$H,Raw_Events!$C:$C,$A288,Raw_Events!$G:$G,"POSTURE_SESSION")</f>
        <v/>
      </c>
      <c r="E288" s="8">
        <f>IF($D288="","",IF($D288&gt;=Settings!$C$17,1,0))</f>
        <v/>
      </c>
      <c r="F288" s="28">
        <f>SUMIFS(Raw_Events!$H:$H,Raw_Events!$C:$C,$A288,Raw_Events!$G:$G,"MINDFULNESS_MIN")</f>
        <v/>
      </c>
      <c r="G288" s="8">
        <f>IF($F288="","",IF($F288&gt;0,1,0))</f>
        <v/>
      </c>
      <c r="H288" s="16">
        <f>SUMIFS(Raw_Events!$H:$H,Raw_Events!$C:$C,$A288,Raw_Events!$G:$G,"CIGARETTES")</f>
        <v/>
      </c>
      <c r="I288" s="29">
        <f>SUMIFS(Raw_Events!$L:$L,Raw_Events!$C:$C,$A288,Raw_Events!$G:$G,"ALCOHOL")</f>
        <v/>
      </c>
      <c r="J288" s="16">
        <f>SUMIFS(Raw_Events!$H:$H,Raw_Events!$C:$C,$A288,Raw_Events!$G:$G,"UNHEALTHY_MEAL")</f>
        <v/>
      </c>
      <c r="K288" s="28">
        <f>SUMIFS(Raw_Events!$H:$H,Raw_Events!$C:$C,$A288,Raw_Events!$G:$G,"TRAINING_MIN")+SUMIFS(Raw_Events!$H:$H,Raw_Events!$C:$C,$A288,Raw_Events!$G:$G,"DICTION_TRAINING_MIN")</f>
        <v/>
      </c>
      <c r="L288" s="28" t="n"/>
      <c r="M288" s="16">
        <f>SUMIFS(Raw_Events!$H:$H,Raw_Events!$C:$C,$A288,Raw_Events!$G:$G,"IDEA")</f>
        <v/>
      </c>
      <c r="N288" s="16">
        <f>COUNTIFS(Raw_Events!$C:$C,$A288,Raw_Events!$G:$G,"SOCIAL_MEET")</f>
        <v/>
      </c>
      <c r="O288" s="16">
        <f>COUNTIFS(Raw_Events!$C:$C,$A288,Raw_Events!$G:$G,"DATE")</f>
        <v/>
      </c>
      <c r="P288" s="3">
        <f>COUNTIFS(Raw_Events!$C:$C,$A288,Raw_Events!$G:$G,"NEW_ACTIVITY")</f>
        <v/>
      </c>
      <c r="Q288" s="3">
        <f>SUMIFS(Raw_Events!$H:$H,Raw_Events!$C:$C,$A288,Raw_Events!$G:$G,"TRAVEL_NIGHT")</f>
        <v/>
      </c>
      <c r="R288" s="3" t="n"/>
    </row>
    <row r="289" ht="15" customHeight="1">
      <c r="A289" s="14" t="n">
        <v>46309</v>
      </c>
      <c r="B289" s="27">
        <f>SUMIFS(Raw_Events!$H:$H,Raw_Events!$C:$C,$A289,Raw_Events!$G:$G,"SLEEP_HOURS")</f>
        <v/>
      </c>
      <c r="C289" s="16">
        <f>COUNTIFS(Raw_Events!$C:$C,$A289,Raw_Events!$G:$G,"WORKOUT")</f>
        <v/>
      </c>
      <c r="D289" s="28">
        <f>SUMIFS(Raw_Events!$H:$H,Raw_Events!$C:$C,$A289,Raw_Events!$G:$G,"POSTURE_SESSION")</f>
        <v/>
      </c>
      <c r="E289" s="8">
        <f>IF($D289="","",IF($D289&gt;=Settings!$C$17,1,0))</f>
        <v/>
      </c>
      <c r="F289" s="28">
        <f>SUMIFS(Raw_Events!$H:$H,Raw_Events!$C:$C,$A289,Raw_Events!$G:$G,"MINDFULNESS_MIN")</f>
        <v/>
      </c>
      <c r="G289" s="8">
        <f>IF($F289="","",IF($F289&gt;0,1,0))</f>
        <v/>
      </c>
      <c r="H289" s="16">
        <f>SUMIFS(Raw_Events!$H:$H,Raw_Events!$C:$C,$A289,Raw_Events!$G:$G,"CIGARETTES")</f>
        <v/>
      </c>
      <c r="I289" s="29">
        <f>SUMIFS(Raw_Events!$L:$L,Raw_Events!$C:$C,$A289,Raw_Events!$G:$G,"ALCOHOL")</f>
        <v/>
      </c>
      <c r="J289" s="16">
        <f>SUMIFS(Raw_Events!$H:$H,Raw_Events!$C:$C,$A289,Raw_Events!$G:$G,"UNHEALTHY_MEAL")</f>
        <v/>
      </c>
      <c r="K289" s="28">
        <f>SUMIFS(Raw_Events!$H:$H,Raw_Events!$C:$C,$A289,Raw_Events!$G:$G,"TRAINING_MIN")+SUMIFS(Raw_Events!$H:$H,Raw_Events!$C:$C,$A289,Raw_Events!$G:$G,"DICTION_TRAINING_MIN")</f>
        <v/>
      </c>
      <c r="L289" s="28" t="n"/>
      <c r="M289" s="16">
        <f>SUMIFS(Raw_Events!$H:$H,Raw_Events!$C:$C,$A289,Raw_Events!$G:$G,"IDEA")</f>
        <v/>
      </c>
      <c r="N289" s="16">
        <f>COUNTIFS(Raw_Events!$C:$C,$A289,Raw_Events!$G:$G,"SOCIAL_MEET")</f>
        <v/>
      </c>
      <c r="O289" s="16">
        <f>COUNTIFS(Raw_Events!$C:$C,$A289,Raw_Events!$G:$G,"DATE")</f>
        <v/>
      </c>
      <c r="P289" s="3">
        <f>COUNTIFS(Raw_Events!$C:$C,$A289,Raw_Events!$G:$G,"NEW_ACTIVITY")</f>
        <v/>
      </c>
      <c r="Q289" s="3">
        <f>SUMIFS(Raw_Events!$H:$H,Raw_Events!$C:$C,$A289,Raw_Events!$G:$G,"TRAVEL_NIGHT")</f>
        <v/>
      </c>
      <c r="R289" s="3" t="n"/>
    </row>
    <row r="290" ht="15" customHeight="1">
      <c r="A290" s="14" t="n">
        <v>46310</v>
      </c>
      <c r="B290" s="27">
        <f>SUMIFS(Raw_Events!$H:$H,Raw_Events!$C:$C,$A290,Raw_Events!$G:$G,"SLEEP_HOURS")</f>
        <v/>
      </c>
      <c r="C290" s="16">
        <f>COUNTIFS(Raw_Events!$C:$C,$A290,Raw_Events!$G:$G,"WORKOUT")</f>
        <v/>
      </c>
      <c r="D290" s="28">
        <f>SUMIFS(Raw_Events!$H:$H,Raw_Events!$C:$C,$A290,Raw_Events!$G:$G,"POSTURE_SESSION")</f>
        <v/>
      </c>
      <c r="E290" s="8">
        <f>IF($D290="","",IF($D290&gt;=Settings!$C$17,1,0))</f>
        <v/>
      </c>
      <c r="F290" s="28">
        <f>SUMIFS(Raw_Events!$H:$H,Raw_Events!$C:$C,$A290,Raw_Events!$G:$G,"MINDFULNESS_MIN")</f>
        <v/>
      </c>
      <c r="G290" s="8">
        <f>IF($F290="","",IF($F290&gt;0,1,0))</f>
        <v/>
      </c>
      <c r="H290" s="16">
        <f>SUMIFS(Raw_Events!$H:$H,Raw_Events!$C:$C,$A290,Raw_Events!$G:$G,"CIGARETTES")</f>
        <v/>
      </c>
      <c r="I290" s="29">
        <f>SUMIFS(Raw_Events!$L:$L,Raw_Events!$C:$C,$A290,Raw_Events!$G:$G,"ALCOHOL")</f>
        <v/>
      </c>
      <c r="J290" s="16">
        <f>SUMIFS(Raw_Events!$H:$H,Raw_Events!$C:$C,$A290,Raw_Events!$G:$G,"UNHEALTHY_MEAL")</f>
        <v/>
      </c>
      <c r="K290" s="28">
        <f>SUMIFS(Raw_Events!$H:$H,Raw_Events!$C:$C,$A290,Raw_Events!$G:$G,"TRAINING_MIN")+SUMIFS(Raw_Events!$H:$H,Raw_Events!$C:$C,$A290,Raw_Events!$G:$G,"DICTION_TRAINING_MIN")</f>
        <v/>
      </c>
      <c r="L290" s="28" t="n"/>
      <c r="M290" s="16">
        <f>SUMIFS(Raw_Events!$H:$H,Raw_Events!$C:$C,$A290,Raw_Events!$G:$G,"IDEA")</f>
        <v/>
      </c>
      <c r="N290" s="16">
        <f>COUNTIFS(Raw_Events!$C:$C,$A290,Raw_Events!$G:$G,"SOCIAL_MEET")</f>
        <v/>
      </c>
      <c r="O290" s="16">
        <f>COUNTIFS(Raw_Events!$C:$C,$A290,Raw_Events!$G:$G,"DATE")</f>
        <v/>
      </c>
      <c r="P290" s="3">
        <f>COUNTIFS(Raw_Events!$C:$C,$A290,Raw_Events!$G:$G,"NEW_ACTIVITY")</f>
        <v/>
      </c>
      <c r="Q290" s="3">
        <f>SUMIFS(Raw_Events!$H:$H,Raw_Events!$C:$C,$A290,Raw_Events!$G:$G,"TRAVEL_NIGHT")</f>
        <v/>
      </c>
      <c r="R290" s="3" t="n"/>
    </row>
    <row r="291" ht="15" customHeight="1">
      <c r="A291" s="14" t="n">
        <v>46311</v>
      </c>
      <c r="B291" s="27">
        <f>SUMIFS(Raw_Events!$H:$H,Raw_Events!$C:$C,$A291,Raw_Events!$G:$G,"SLEEP_HOURS")</f>
        <v/>
      </c>
      <c r="C291" s="16">
        <f>COUNTIFS(Raw_Events!$C:$C,$A291,Raw_Events!$G:$G,"WORKOUT")</f>
        <v/>
      </c>
      <c r="D291" s="28">
        <f>SUMIFS(Raw_Events!$H:$H,Raw_Events!$C:$C,$A291,Raw_Events!$G:$G,"POSTURE_SESSION")</f>
        <v/>
      </c>
      <c r="E291" s="8">
        <f>IF($D291="","",IF($D291&gt;=Settings!$C$17,1,0))</f>
        <v/>
      </c>
      <c r="F291" s="28">
        <f>SUMIFS(Raw_Events!$H:$H,Raw_Events!$C:$C,$A291,Raw_Events!$G:$G,"MINDFULNESS_MIN")</f>
        <v/>
      </c>
      <c r="G291" s="8">
        <f>IF($F291="","",IF($F291&gt;0,1,0))</f>
        <v/>
      </c>
      <c r="H291" s="16">
        <f>SUMIFS(Raw_Events!$H:$H,Raw_Events!$C:$C,$A291,Raw_Events!$G:$G,"CIGARETTES")</f>
        <v/>
      </c>
      <c r="I291" s="29">
        <f>SUMIFS(Raw_Events!$L:$L,Raw_Events!$C:$C,$A291,Raw_Events!$G:$G,"ALCOHOL")</f>
        <v/>
      </c>
      <c r="J291" s="16">
        <f>SUMIFS(Raw_Events!$H:$H,Raw_Events!$C:$C,$A291,Raw_Events!$G:$G,"UNHEALTHY_MEAL")</f>
        <v/>
      </c>
      <c r="K291" s="28">
        <f>SUMIFS(Raw_Events!$H:$H,Raw_Events!$C:$C,$A291,Raw_Events!$G:$G,"TRAINING_MIN")+SUMIFS(Raw_Events!$H:$H,Raw_Events!$C:$C,$A291,Raw_Events!$G:$G,"DICTION_TRAINING_MIN")</f>
        <v/>
      </c>
      <c r="L291" s="28" t="n"/>
      <c r="M291" s="16">
        <f>SUMIFS(Raw_Events!$H:$H,Raw_Events!$C:$C,$A291,Raw_Events!$G:$G,"IDEA")</f>
        <v/>
      </c>
      <c r="N291" s="16">
        <f>COUNTIFS(Raw_Events!$C:$C,$A291,Raw_Events!$G:$G,"SOCIAL_MEET")</f>
        <v/>
      </c>
      <c r="O291" s="16">
        <f>COUNTIFS(Raw_Events!$C:$C,$A291,Raw_Events!$G:$G,"DATE")</f>
        <v/>
      </c>
      <c r="P291" s="3">
        <f>COUNTIFS(Raw_Events!$C:$C,$A291,Raw_Events!$G:$G,"NEW_ACTIVITY")</f>
        <v/>
      </c>
      <c r="Q291" s="3">
        <f>SUMIFS(Raw_Events!$H:$H,Raw_Events!$C:$C,$A291,Raw_Events!$G:$G,"TRAVEL_NIGHT")</f>
        <v/>
      </c>
      <c r="R291" s="3" t="n"/>
    </row>
    <row r="292" ht="15" customHeight="1">
      <c r="A292" s="14" t="n">
        <v>46312</v>
      </c>
      <c r="B292" s="27">
        <f>SUMIFS(Raw_Events!$H:$H,Raw_Events!$C:$C,$A292,Raw_Events!$G:$G,"SLEEP_HOURS")</f>
        <v/>
      </c>
      <c r="C292" s="16">
        <f>COUNTIFS(Raw_Events!$C:$C,$A292,Raw_Events!$G:$G,"WORKOUT")</f>
        <v/>
      </c>
      <c r="D292" s="28">
        <f>SUMIFS(Raw_Events!$H:$H,Raw_Events!$C:$C,$A292,Raw_Events!$G:$G,"POSTURE_SESSION")</f>
        <v/>
      </c>
      <c r="E292" s="8">
        <f>IF($D292="","",IF($D292&gt;=Settings!$C$17,1,0))</f>
        <v/>
      </c>
      <c r="F292" s="28">
        <f>SUMIFS(Raw_Events!$H:$H,Raw_Events!$C:$C,$A292,Raw_Events!$G:$G,"MINDFULNESS_MIN")</f>
        <v/>
      </c>
      <c r="G292" s="8">
        <f>IF($F292="","",IF($F292&gt;0,1,0))</f>
        <v/>
      </c>
      <c r="H292" s="16">
        <f>SUMIFS(Raw_Events!$H:$H,Raw_Events!$C:$C,$A292,Raw_Events!$G:$G,"CIGARETTES")</f>
        <v/>
      </c>
      <c r="I292" s="29">
        <f>SUMIFS(Raw_Events!$L:$L,Raw_Events!$C:$C,$A292,Raw_Events!$G:$G,"ALCOHOL")</f>
        <v/>
      </c>
      <c r="J292" s="16">
        <f>SUMIFS(Raw_Events!$H:$H,Raw_Events!$C:$C,$A292,Raw_Events!$G:$G,"UNHEALTHY_MEAL")</f>
        <v/>
      </c>
      <c r="K292" s="28">
        <f>SUMIFS(Raw_Events!$H:$H,Raw_Events!$C:$C,$A292,Raw_Events!$G:$G,"TRAINING_MIN")+SUMIFS(Raw_Events!$H:$H,Raw_Events!$C:$C,$A292,Raw_Events!$G:$G,"DICTION_TRAINING_MIN")</f>
        <v/>
      </c>
      <c r="L292" s="28" t="n"/>
      <c r="M292" s="16">
        <f>SUMIFS(Raw_Events!$H:$H,Raw_Events!$C:$C,$A292,Raw_Events!$G:$G,"IDEA")</f>
        <v/>
      </c>
      <c r="N292" s="16">
        <f>COUNTIFS(Raw_Events!$C:$C,$A292,Raw_Events!$G:$G,"SOCIAL_MEET")</f>
        <v/>
      </c>
      <c r="O292" s="16">
        <f>COUNTIFS(Raw_Events!$C:$C,$A292,Raw_Events!$G:$G,"DATE")</f>
        <v/>
      </c>
      <c r="P292" s="3">
        <f>COUNTIFS(Raw_Events!$C:$C,$A292,Raw_Events!$G:$G,"NEW_ACTIVITY")</f>
        <v/>
      </c>
      <c r="Q292" s="3">
        <f>SUMIFS(Raw_Events!$H:$H,Raw_Events!$C:$C,$A292,Raw_Events!$G:$G,"TRAVEL_NIGHT")</f>
        <v/>
      </c>
      <c r="R292" s="3" t="n"/>
    </row>
    <row r="293" ht="15" customHeight="1">
      <c r="A293" s="14" t="n">
        <v>46313</v>
      </c>
      <c r="B293" s="27">
        <f>SUMIFS(Raw_Events!$H:$H,Raw_Events!$C:$C,$A293,Raw_Events!$G:$G,"SLEEP_HOURS")</f>
        <v/>
      </c>
      <c r="C293" s="16">
        <f>COUNTIFS(Raw_Events!$C:$C,$A293,Raw_Events!$G:$G,"WORKOUT")</f>
        <v/>
      </c>
      <c r="D293" s="28">
        <f>SUMIFS(Raw_Events!$H:$H,Raw_Events!$C:$C,$A293,Raw_Events!$G:$G,"POSTURE_SESSION")</f>
        <v/>
      </c>
      <c r="E293" s="8">
        <f>IF($D293="","",IF($D293&gt;=Settings!$C$17,1,0))</f>
        <v/>
      </c>
      <c r="F293" s="28">
        <f>SUMIFS(Raw_Events!$H:$H,Raw_Events!$C:$C,$A293,Raw_Events!$G:$G,"MINDFULNESS_MIN")</f>
        <v/>
      </c>
      <c r="G293" s="8">
        <f>IF($F293="","",IF($F293&gt;0,1,0))</f>
        <v/>
      </c>
      <c r="H293" s="16">
        <f>SUMIFS(Raw_Events!$H:$H,Raw_Events!$C:$C,$A293,Raw_Events!$G:$G,"CIGARETTES")</f>
        <v/>
      </c>
      <c r="I293" s="29">
        <f>SUMIFS(Raw_Events!$L:$L,Raw_Events!$C:$C,$A293,Raw_Events!$G:$G,"ALCOHOL")</f>
        <v/>
      </c>
      <c r="J293" s="16">
        <f>SUMIFS(Raw_Events!$H:$H,Raw_Events!$C:$C,$A293,Raw_Events!$G:$G,"UNHEALTHY_MEAL")</f>
        <v/>
      </c>
      <c r="K293" s="28">
        <f>SUMIFS(Raw_Events!$H:$H,Raw_Events!$C:$C,$A293,Raw_Events!$G:$G,"TRAINING_MIN")+SUMIFS(Raw_Events!$H:$H,Raw_Events!$C:$C,$A293,Raw_Events!$G:$G,"DICTION_TRAINING_MIN")</f>
        <v/>
      </c>
      <c r="L293" s="28" t="n"/>
      <c r="M293" s="16">
        <f>SUMIFS(Raw_Events!$H:$H,Raw_Events!$C:$C,$A293,Raw_Events!$G:$G,"IDEA")</f>
        <v/>
      </c>
      <c r="N293" s="16">
        <f>COUNTIFS(Raw_Events!$C:$C,$A293,Raw_Events!$G:$G,"SOCIAL_MEET")</f>
        <v/>
      </c>
      <c r="O293" s="16">
        <f>COUNTIFS(Raw_Events!$C:$C,$A293,Raw_Events!$G:$G,"DATE")</f>
        <v/>
      </c>
      <c r="P293" s="3">
        <f>COUNTIFS(Raw_Events!$C:$C,$A293,Raw_Events!$G:$G,"NEW_ACTIVITY")</f>
        <v/>
      </c>
      <c r="Q293" s="3">
        <f>SUMIFS(Raw_Events!$H:$H,Raw_Events!$C:$C,$A293,Raw_Events!$G:$G,"TRAVEL_NIGHT")</f>
        <v/>
      </c>
      <c r="R293" s="3" t="n"/>
    </row>
    <row r="294" ht="15" customHeight="1">
      <c r="A294" s="14" t="n">
        <v>46314</v>
      </c>
      <c r="B294" s="27">
        <f>SUMIFS(Raw_Events!$H:$H,Raw_Events!$C:$C,$A294,Raw_Events!$G:$G,"SLEEP_HOURS")</f>
        <v/>
      </c>
      <c r="C294" s="16">
        <f>COUNTIFS(Raw_Events!$C:$C,$A294,Raw_Events!$G:$G,"WORKOUT")</f>
        <v/>
      </c>
      <c r="D294" s="28">
        <f>SUMIFS(Raw_Events!$H:$H,Raw_Events!$C:$C,$A294,Raw_Events!$G:$G,"POSTURE_SESSION")</f>
        <v/>
      </c>
      <c r="E294" s="8">
        <f>IF($D294="","",IF($D294&gt;=Settings!$C$17,1,0))</f>
        <v/>
      </c>
      <c r="F294" s="28">
        <f>SUMIFS(Raw_Events!$H:$H,Raw_Events!$C:$C,$A294,Raw_Events!$G:$G,"MINDFULNESS_MIN")</f>
        <v/>
      </c>
      <c r="G294" s="8">
        <f>IF($F294="","",IF($F294&gt;0,1,0))</f>
        <v/>
      </c>
      <c r="H294" s="16">
        <f>SUMIFS(Raw_Events!$H:$H,Raw_Events!$C:$C,$A294,Raw_Events!$G:$G,"CIGARETTES")</f>
        <v/>
      </c>
      <c r="I294" s="29">
        <f>SUMIFS(Raw_Events!$L:$L,Raw_Events!$C:$C,$A294,Raw_Events!$G:$G,"ALCOHOL")</f>
        <v/>
      </c>
      <c r="J294" s="16">
        <f>SUMIFS(Raw_Events!$H:$H,Raw_Events!$C:$C,$A294,Raw_Events!$G:$G,"UNHEALTHY_MEAL")</f>
        <v/>
      </c>
      <c r="K294" s="28">
        <f>SUMIFS(Raw_Events!$H:$H,Raw_Events!$C:$C,$A294,Raw_Events!$G:$G,"TRAINING_MIN")+SUMIFS(Raw_Events!$H:$H,Raw_Events!$C:$C,$A294,Raw_Events!$G:$G,"DICTION_TRAINING_MIN")</f>
        <v/>
      </c>
      <c r="L294" s="28" t="n"/>
      <c r="M294" s="16">
        <f>SUMIFS(Raw_Events!$H:$H,Raw_Events!$C:$C,$A294,Raw_Events!$G:$G,"IDEA")</f>
        <v/>
      </c>
      <c r="N294" s="16">
        <f>COUNTIFS(Raw_Events!$C:$C,$A294,Raw_Events!$G:$G,"SOCIAL_MEET")</f>
        <v/>
      </c>
      <c r="O294" s="16">
        <f>COUNTIFS(Raw_Events!$C:$C,$A294,Raw_Events!$G:$G,"DATE")</f>
        <v/>
      </c>
      <c r="P294" s="3">
        <f>COUNTIFS(Raw_Events!$C:$C,$A294,Raw_Events!$G:$G,"NEW_ACTIVITY")</f>
        <v/>
      </c>
      <c r="Q294" s="3">
        <f>SUMIFS(Raw_Events!$H:$H,Raw_Events!$C:$C,$A294,Raw_Events!$G:$G,"TRAVEL_NIGHT")</f>
        <v/>
      </c>
      <c r="R294" s="3" t="n"/>
    </row>
    <row r="295" ht="15" customHeight="1">
      <c r="A295" s="14" t="n">
        <v>46315</v>
      </c>
      <c r="B295" s="27">
        <f>SUMIFS(Raw_Events!$H:$H,Raw_Events!$C:$C,$A295,Raw_Events!$G:$G,"SLEEP_HOURS")</f>
        <v/>
      </c>
      <c r="C295" s="16">
        <f>COUNTIFS(Raw_Events!$C:$C,$A295,Raw_Events!$G:$G,"WORKOUT")</f>
        <v/>
      </c>
      <c r="D295" s="28">
        <f>SUMIFS(Raw_Events!$H:$H,Raw_Events!$C:$C,$A295,Raw_Events!$G:$G,"POSTURE_SESSION")</f>
        <v/>
      </c>
      <c r="E295" s="8">
        <f>IF($D295="","",IF($D295&gt;=Settings!$C$17,1,0))</f>
        <v/>
      </c>
      <c r="F295" s="28">
        <f>SUMIFS(Raw_Events!$H:$H,Raw_Events!$C:$C,$A295,Raw_Events!$G:$G,"MINDFULNESS_MIN")</f>
        <v/>
      </c>
      <c r="G295" s="8">
        <f>IF($F295="","",IF($F295&gt;0,1,0))</f>
        <v/>
      </c>
      <c r="H295" s="16">
        <f>SUMIFS(Raw_Events!$H:$H,Raw_Events!$C:$C,$A295,Raw_Events!$G:$G,"CIGARETTES")</f>
        <v/>
      </c>
      <c r="I295" s="29">
        <f>SUMIFS(Raw_Events!$L:$L,Raw_Events!$C:$C,$A295,Raw_Events!$G:$G,"ALCOHOL")</f>
        <v/>
      </c>
      <c r="J295" s="16">
        <f>SUMIFS(Raw_Events!$H:$H,Raw_Events!$C:$C,$A295,Raw_Events!$G:$G,"UNHEALTHY_MEAL")</f>
        <v/>
      </c>
      <c r="K295" s="28">
        <f>SUMIFS(Raw_Events!$H:$H,Raw_Events!$C:$C,$A295,Raw_Events!$G:$G,"TRAINING_MIN")+SUMIFS(Raw_Events!$H:$H,Raw_Events!$C:$C,$A295,Raw_Events!$G:$G,"DICTION_TRAINING_MIN")</f>
        <v/>
      </c>
      <c r="L295" s="28" t="n"/>
      <c r="M295" s="16">
        <f>SUMIFS(Raw_Events!$H:$H,Raw_Events!$C:$C,$A295,Raw_Events!$G:$G,"IDEA")</f>
        <v/>
      </c>
      <c r="N295" s="16">
        <f>COUNTIFS(Raw_Events!$C:$C,$A295,Raw_Events!$G:$G,"SOCIAL_MEET")</f>
        <v/>
      </c>
      <c r="O295" s="16">
        <f>COUNTIFS(Raw_Events!$C:$C,$A295,Raw_Events!$G:$G,"DATE")</f>
        <v/>
      </c>
      <c r="P295" s="3">
        <f>COUNTIFS(Raw_Events!$C:$C,$A295,Raw_Events!$G:$G,"NEW_ACTIVITY")</f>
        <v/>
      </c>
      <c r="Q295" s="3">
        <f>SUMIFS(Raw_Events!$H:$H,Raw_Events!$C:$C,$A295,Raw_Events!$G:$G,"TRAVEL_NIGHT")</f>
        <v/>
      </c>
      <c r="R295" s="3" t="n"/>
    </row>
    <row r="296" ht="15" customHeight="1">
      <c r="A296" s="14" t="n">
        <v>46316</v>
      </c>
      <c r="B296" s="27">
        <f>SUMIFS(Raw_Events!$H:$H,Raw_Events!$C:$C,$A296,Raw_Events!$G:$G,"SLEEP_HOURS")</f>
        <v/>
      </c>
      <c r="C296" s="16">
        <f>COUNTIFS(Raw_Events!$C:$C,$A296,Raw_Events!$G:$G,"WORKOUT")</f>
        <v/>
      </c>
      <c r="D296" s="28">
        <f>SUMIFS(Raw_Events!$H:$H,Raw_Events!$C:$C,$A296,Raw_Events!$G:$G,"POSTURE_SESSION")</f>
        <v/>
      </c>
      <c r="E296" s="8">
        <f>IF($D296="","",IF($D296&gt;=Settings!$C$17,1,0))</f>
        <v/>
      </c>
      <c r="F296" s="28">
        <f>SUMIFS(Raw_Events!$H:$H,Raw_Events!$C:$C,$A296,Raw_Events!$G:$G,"MINDFULNESS_MIN")</f>
        <v/>
      </c>
      <c r="G296" s="8">
        <f>IF($F296="","",IF($F296&gt;0,1,0))</f>
        <v/>
      </c>
      <c r="H296" s="16">
        <f>SUMIFS(Raw_Events!$H:$H,Raw_Events!$C:$C,$A296,Raw_Events!$G:$G,"CIGARETTES")</f>
        <v/>
      </c>
      <c r="I296" s="29">
        <f>SUMIFS(Raw_Events!$L:$L,Raw_Events!$C:$C,$A296,Raw_Events!$G:$G,"ALCOHOL")</f>
        <v/>
      </c>
      <c r="J296" s="16">
        <f>SUMIFS(Raw_Events!$H:$H,Raw_Events!$C:$C,$A296,Raw_Events!$G:$G,"UNHEALTHY_MEAL")</f>
        <v/>
      </c>
      <c r="K296" s="28">
        <f>SUMIFS(Raw_Events!$H:$H,Raw_Events!$C:$C,$A296,Raw_Events!$G:$G,"TRAINING_MIN")+SUMIFS(Raw_Events!$H:$H,Raw_Events!$C:$C,$A296,Raw_Events!$G:$G,"DICTION_TRAINING_MIN")</f>
        <v/>
      </c>
      <c r="L296" s="28" t="n"/>
      <c r="M296" s="16">
        <f>SUMIFS(Raw_Events!$H:$H,Raw_Events!$C:$C,$A296,Raw_Events!$G:$G,"IDEA")</f>
        <v/>
      </c>
      <c r="N296" s="16">
        <f>COUNTIFS(Raw_Events!$C:$C,$A296,Raw_Events!$G:$G,"SOCIAL_MEET")</f>
        <v/>
      </c>
      <c r="O296" s="16">
        <f>COUNTIFS(Raw_Events!$C:$C,$A296,Raw_Events!$G:$G,"DATE")</f>
        <v/>
      </c>
      <c r="P296" s="3">
        <f>COUNTIFS(Raw_Events!$C:$C,$A296,Raw_Events!$G:$G,"NEW_ACTIVITY")</f>
        <v/>
      </c>
      <c r="Q296" s="3">
        <f>SUMIFS(Raw_Events!$H:$H,Raw_Events!$C:$C,$A296,Raw_Events!$G:$G,"TRAVEL_NIGHT")</f>
        <v/>
      </c>
      <c r="R296" s="3" t="n"/>
    </row>
    <row r="297" ht="15" customHeight="1">
      <c r="A297" s="14" t="n">
        <v>46317</v>
      </c>
      <c r="B297" s="27">
        <f>SUMIFS(Raw_Events!$H:$H,Raw_Events!$C:$C,$A297,Raw_Events!$G:$G,"SLEEP_HOURS")</f>
        <v/>
      </c>
      <c r="C297" s="16">
        <f>COUNTIFS(Raw_Events!$C:$C,$A297,Raw_Events!$G:$G,"WORKOUT")</f>
        <v/>
      </c>
      <c r="D297" s="28">
        <f>SUMIFS(Raw_Events!$H:$H,Raw_Events!$C:$C,$A297,Raw_Events!$G:$G,"POSTURE_SESSION")</f>
        <v/>
      </c>
      <c r="E297" s="8">
        <f>IF($D297="","",IF($D297&gt;=Settings!$C$17,1,0))</f>
        <v/>
      </c>
      <c r="F297" s="28">
        <f>SUMIFS(Raw_Events!$H:$H,Raw_Events!$C:$C,$A297,Raw_Events!$G:$G,"MINDFULNESS_MIN")</f>
        <v/>
      </c>
      <c r="G297" s="8">
        <f>IF($F297="","",IF($F297&gt;0,1,0))</f>
        <v/>
      </c>
      <c r="H297" s="16">
        <f>SUMIFS(Raw_Events!$H:$H,Raw_Events!$C:$C,$A297,Raw_Events!$G:$G,"CIGARETTES")</f>
        <v/>
      </c>
      <c r="I297" s="29">
        <f>SUMIFS(Raw_Events!$L:$L,Raw_Events!$C:$C,$A297,Raw_Events!$G:$G,"ALCOHOL")</f>
        <v/>
      </c>
      <c r="J297" s="16">
        <f>SUMIFS(Raw_Events!$H:$H,Raw_Events!$C:$C,$A297,Raw_Events!$G:$G,"UNHEALTHY_MEAL")</f>
        <v/>
      </c>
      <c r="K297" s="28">
        <f>SUMIFS(Raw_Events!$H:$H,Raw_Events!$C:$C,$A297,Raw_Events!$G:$G,"TRAINING_MIN")+SUMIFS(Raw_Events!$H:$H,Raw_Events!$C:$C,$A297,Raw_Events!$G:$G,"DICTION_TRAINING_MIN")</f>
        <v/>
      </c>
      <c r="L297" s="28" t="n"/>
      <c r="M297" s="16">
        <f>SUMIFS(Raw_Events!$H:$H,Raw_Events!$C:$C,$A297,Raw_Events!$G:$G,"IDEA")</f>
        <v/>
      </c>
      <c r="N297" s="16">
        <f>COUNTIFS(Raw_Events!$C:$C,$A297,Raw_Events!$G:$G,"SOCIAL_MEET")</f>
        <v/>
      </c>
      <c r="O297" s="16">
        <f>COUNTIFS(Raw_Events!$C:$C,$A297,Raw_Events!$G:$G,"DATE")</f>
        <v/>
      </c>
      <c r="P297" s="3">
        <f>COUNTIFS(Raw_Events!$C:$C,$A297,Raw_Events!$G:$G,"NEW_ACTIVITY")</f>
        <v/>
      </c>
      <c r="Q297" s="3">
        <f>SUMIFS(Raw_Events!$H:$H,Raw_Events!$C:$C,$A297,Raw_Events!$G:$G,"TRAVEL_NIGHT")</f>
        <v/>
      </c>
      <c r="R297" s="3" t="n"/>
    </row>
    <row r="298" ht="15" customHeight="1">
      <c r="A298" s="14" t="n">
        <v>46318</v>
      </c>
      <c r="B298" s="27">
        <f>SUMIFS(Raw_Events!$H:$H,Raw_Events!$C:$C,$A298,Raw_Events!$G:$G,"SLEEP_HOURS")</f>
        <v/>
      </c>
      <c r="C298" s="16">
        <f>COUNTIFS(Raw_Events!$C:$C,$A298,Raw_Events!$G:$G,"WORKOUT")</f>
        <v/>
      </c>
      <c r="D298" s="28">
        <f>SUMIFS(Raw_Events!$H:$H,Raw_Events!$C:$C,$A298,Raw_Events!$G:$G,"POSTURE_SESSION")</f>
        <v/>
      </c>
      <c r="E298" s="8">
        <f>IF($D298="","",IF($D298&gt;=Settings!$C$17,1,0))</f>
        <v/>
      </c>
      <c r="F298" s="28">
        <f>SUMIFS(Raw_Events!$H:$H,Raw_Events!$C:$C,$A298,Raw_Events!$G:$G,"MINDFULNESS_MIN")</f>
        <v/>
      </c>
      <c r="G298" s="8">
        <f>IF($F298="","",IF($F298&gt;0,1,0))</f>
        <v/>
      </c>
      <c r="H298" s="16">
        <f>SUMIFS(Raw_Events!$H:$H,Raw_Events!$C:$C,$A298,Raw_Events!$G:$G,"CIGARETTES")</f>
        <v/>
      </c>
      <c r="I298" s="29">
        <f>SUMIFS(Raw_Events!$L:$L,Raw_Events!$C:$C,$A298,Raw_Events!$G:$G,"ALCOHOL")</f>
        <v/>
      </c>
      <c r="J298" s="16">
        <f>SUMIFS(Raw_Events!$H:$H,Raw_Events!$C:$C,$A298,Raw_Events!$G:$G,"UNHEALTHY_MEAL")</f>
        <v/>
      </c>
      <c r="K298" s="28">
        <f>SUMIFS(Raw_Events!$H:$H,Raw_Events!$C:$C,$A298,Raw_Events!$G:$G,"TRAINING_MIN")+SUMIFS(Raw_Events!$H:$H,Raw_Events!$C:$C,$A298,Raw_Events!$G:$G,"DICTION_TRAINING_MIN")</f>
        <v/>
      </c>
      <c r="L298" s="28" t="n"/>
      <c r="M298" s="16">
        <f>SUMIFS(Raw_Events!$H:$H,Raw_Events!$C:$C,$A298,Raw_Events!$G:$G,"IDEA")</f>
        <v/>
      </c>
      <c r="N298" s="16">
        <f>COUNTIFS(Raw_Events!$C:$C,$A298,Raw_Events!$G:$G,"SOCIAL_MEET")</f>
        <v/>
      </c>
      <c r="O298" s="16">
        <f>COUNTIFS(Raw_Events!$C:$C,$A298,Raw_Events!$G:$G,"DATE")</f>
        <v/>
      </c>
      <c r="P298" s="3">
        <f>COUNTIFS(Raw_Events!$C:$C,$A298,Raw_Events!$G:$G,"NEW_ACTIVITY")</f>
        <v/>
      </c>
      <c r="Q298" s="3">
        <f>SUMIFS(Raw_Events!$H:$H,Raw_Events!$C:$C,$A298,Raw_Events!$G:$G,"TRAVEL_NIGHT")</f>
        <v/>
      </c>
      <c r="R298" s="3" t="n"/>
    </row>
    <row r="299" ht="15" customHeight="1">
      <c r="A299" s="14" t="n">
        <v>46319</v>
      </c>
      <c r="B299" s="27">
        <f>SUMIFS(Raw_Events!$H:$H,Raw_Events!$C:$C,$A299,Raw_Events!$G:$G,"SLEEP_HOURS")</f>
        <v/>
      </c>
      <c r="C299" s="16">
        <f>COUNTIFS(Raw_Events!$C:$C,$A299,Raw_Events!$G:$G,"WORKOUT")</f>
        <v/>
      </c>
      <c r="D299" s="28">
        <f>SUMIFS(Raw_Events!$H:$H,Raw_Events!$C:$C,$A299,Raw_Events!$G:$G,"POSTURE_SESSION")</f>
        <v/>
      </c>
      <c r="E299" s="8">
        <f>IF($D299="","",IF($D299&gt;=Settings!$C$17,1,0))</f>
        <v/>
      </c>
      <c r="F299" s="28">
        <f>SUMIFS(Raw_Events!$H:$H,Raw_Events!$C:$C,$A299,Raw_Events!$G:$G,"MINDFULNESS_MIN")</f>
        <v/>
      </c>
      <c r="G299" s="8">
        <f>IF($F299="","",IF($F299&gt;0,1,0))</f>
        <v/>
      </c>
      <c r="H299" s="16">
        <f>SUMIFS(Raw_Events!$H:$H,Raw_Events!$C:$C,$A299,Raw_Events!$G:$G,"CIGARETTES")</f>
        <v/>
      </c>
      <c r="I299" s="29">
        <f>SUMIFS(Raw_Events!$L:$L,Raw_Events!$C:$C,$A299,Raw_Events!$G:$G,"ALCOHOL")</f>
        <v/>
      </c>
      <c r="J299" s="16">
        <f>SUMIFS(Raw_Events!$H:$H,Raw_Events!$C:$C,$A299,Raw_Events!$G:$G,"UNHEALTHY_MEAL")</f>
        <v/>
      </c>
      <c r="K299" s="28">
        <f>SUMIFS(Raw_Events!$H:$H,Raw_Events!$C:$C,$A299,Raw_Events!$G:$G,"TRAINING_MIN")+SUMIFS(Raw_Events!$H:$H,Raw_Events!$C:$C,$A299,Raw_Events!$G:$G,"DICTION_TRAINING_MIN")</f>
        <v/>
      </c>
      <c r="L299" s="28" t="n"/>
      <c r="M299" s="16">
        <f>SUMIFS(Raw_Events!$H:$H,Raw_Events!$C:$C,$A299,Raw_Events!$G:$G,"IDEA")</f>
        <v/>
      </c>
      <c r="N299" s="16">
        <f>COUNTIFS(Raw_Events!$C:$C,$A299,Raw_Events!$G:$G,"SOCIAL_MEET")</f>
        <v/>
      </c>
      <c r="O299" s="16">
        <f>COUNTIFS(Raw_Events!$C:$C,$A299,Raw_Events!$G:$G,"DATE")</f>
        <v/>
      </c>
      <c r="P299" s="3">
        <f>COUNTIFS(Raw_Events!$C:$C,$A299,Raw_Events!$G:$G,"NEW_ACTIVITY")</f>
        <v/>
      </c>
      <c r="Q299" s="3">
        <f>SUMIFS(Raw_Events!$H:$H,Raw_Events!$C:$C,$A299,Raw_Events!$G:$G,"TRAVEL_NIGHT")</f>
        <v/>
      </c>
      <c r="R299" s="3" t="n"/>
    </row>
    <row r="300" ht="15" customHeight="1">
      <c r="A300" s="14" t="n">
        <v>46320</v>
      </c>
      <c r="B300" s="27">
        <f>SUMIFS(Raw_Events!$H:$H,Raw_Events!$C:$C,$A300,Raw_Events!$G:$G,"SLEEP_HOURS")</f>
        <v/>
      </c>
      <c r="C300" s="16">
        <f>COUNTIFS(Raw_Events!$C:$C,$A300,Raw_Events!$G:$G,"WORKOUT")</f>
        <v/>
      </c>
      <c r="D300" s="28">
        <f>SUMIFS(Raw_Events!$H:$H,Raw_Events!$C:$C,$A300,Raw_Events!$G:$G,"POSTURE_SESSION")</f>
        <v/>
      </c>
      <c r="E300" s="8">
        <f>IF($D300="","",IF($D300&gt;=Settings!$C$17,1,0))</f>
        <v/>
      </c>
      <c r="F300" s="28">
        <f>SUMIFS(Raw_Events!$H:$H,Raw_Events!$C:$C,$A300,Raw_Events!$G:$G,"MINDFULNESS_MIN")</f>
        <v/>
      </c>
      <c r="G300" s="8">
        <f>IF($F300="","",IF($F300&gt;0,1,0))</f>
        <v/>
      </c>
      <c r="H300" s="16">
        <f>SUMIFS(Raw_Events!$H:$H,Raw_Events!$C:$C,$A300,Raw_Events!$G:$G,"CIGARETTES")</f>
        <v/>
      </c>
      <c r="I300" s="29">
        <f>SUMIFS(Raw_Events!$L:$L,Raw_Events!$C:$C,$A300,Raw_Events!$G:$G,"ALCOHOL")</f>
        <v/>
      </c>
      <c r="J300" s="16">
        <f>SUMIFS(Raw_Events!$H:$H,Raw_Events!$C:$C,$A300,Raw_Events!$G:$G,"UNHEALTHY_MEAL")</f>
        <v/>
      </c>
      <c r="K300" s="28">
        <f>SUMIFS(Raw_Events!$H:$H,Raw_Events!$C:$C,$A300,Raw_Events!$G:$G,"TRAINING_MIN")+SUMIFS(Raw_Events!$H:$H,Raw_Events!$C:$C,$A300,Raw_Events!$G:$G,"DICTION_TRAINING_MIN")</f>
        <v/>
      </c>
      <c r="L300" s="28" t="n"/>
      <c r="M300" s="16">
        <f>SUMIFS(Raw_Events!$H:$H,Raw_Events!$C:$C,$A300,Raw_Events!$G:$G,"IDEA")</f>
        <v/>
      </c>
      <c r="N300" s="16">
        <f>COUNTIFS(Raw_Events!$C:$C,$A300,Raw_Events!$G:$G,"SOCIAL_MEET")</f>
        <v/>
      </c>
      <c r="O300" s="16">
        <f>COUNTIFS(Raw_Events!$C:$C,$A300,Raw_Events!$G:$G,"DATE")</f>
        <v/>
      </c>
      <c r="P300" s="3">
        <f>COUNTIFS(Raw_Events!$C:$C,$A300,Raw_Events!$G:$G,"NEW_ACTIVITY")</f>
        <v/>
      </c>
      <c r="Q300" s="3">
        <f>SUMIFS(Raw_Events!$H:$H,Raw_Events!$C:$C,$A300,Raw_Events!$G:$G,"TRAVEL_NIGHT")</f>
        <v/>
      </c>
      <c r="R300" s="3" t="n"/>
    </row>
    <row r="301" ht="15" customHeight="1">
      <c r="A301" s="14" t="n">
        <v>46321</v>
      </c>
      <c r="B301" s="27">
        <f>SUMIFS(Raw_Events!$H:$H,Raw_Events!$C:$C,$A301,Raw_Events!$G:$G,"SLEEP_HOURS")</f>
        <v/>
      </c>
      <c r="C301" s="16">
        <f>COUNTIFS(Raw_Events!$C:$C,$A301,Raw_Events!$G:$G,"WORKOUT")</f>
        <v/>
      </c>
      <c r="D301" s="28">
        <f>SUMIFS(Raw_Events!$H:$H,Raw_Events!$C:$C,$A301,Raw_Events!$G:$G,"POSTURE_SESSION")</f>
        <v/>
      </c>
      <c r="E301" s="8">
        <f>IF($D301="","",IF($D301&gt;=Settings!$C$17,1,0))</f>
        <v/>
      </c>
      <c r="F301" s="28">
        <f>SUMIFS(Raw_Events!$H:$H,Raw_Events!$C:$C,$A301,Raw_Events!$G:$G,"MINDFULNESS_MIN")</f>
        <v/>
      </c>
      <c r="G301" s="8">
        <f>IF($F301="","",IF($F301&gt;0,1,0))</f>
        <v/>
      </c>
      <c r="H301" s="16">
        <f>SUMIFS(Raw_Events!$H:$H,Raw_Events!$C:$C,$A301,Raw_Events!$G:$G,"CIGARETTES")</f>
        <v/>
      </c>
      <c r="I301" s="29">
        <f>SUMIFS(Raw_Events!$L:$L,Raw_Events!$C:$C,$A301,Raw_Events!$G:$G,"ALCOHOL")</f>
        <v/>
      </c>
      <c r="J301" s="16">
        <f>SUMIFS(Raw_Events!$H:$H,Raw_Events!$C:$C,$A301,Raw_Events!$G:$G,"UNHEALTHY_MEAL")</f>
        <v/>
      </c>
      <c r="K301" s="28">
        <f>SUMIFS(Raw_Events!$H:$H,Raw_Events!$C:$C,$A301,Raw_Events!$G:$G,"TRAINING_MIN")+SUMIFS(Raw_Events!$H:$H,Raw_Events!$C:$C,$A301,Raw_Events!$G:$G,"DICTION_TRAINING_MIN")</f>
        <v/>
      </c>
      <c r="L301" s="28" t="n"/>
      <c r="M301" s="16">
        <f>SUMIFS(Raw_Events!$H:$H,Raw_Events!$C:$C,$A301,Raw_Events!$G:$G,"IDEA")</f>
        <v/>
      </c>
      <c r="N301" s="16">
        <f>COUNTIFS(Raw_Events!$C:$C,$A301,Raw_Events!$G:$G,"SOCIAL_MEET")</f>
        <v/>
      </c>
      <c r="O301" s="16">
        <f>COUNTIFS(Raw_Events!$C:$C,$A301,Raw_Events!$G:$G,"DATE")</f>
        <v/>
      </c>
      <c r="P301" s="3">
        <f>COUNTIFS(Raw_Events!$C:$C,$A301,Raw_Events!$G:$G,"NEW_ACTIVITY")</f>
        <v/>
      </c>
      <c r="Q301" s="3">
        <f>SUMIFS(Raw_Events!$H:$H,Raw_Events!$C:$C,$A301,Raw_Events!$G:$G,"TRAVEL_NIGHT")</f>
        <v/>
      </c>
      <c r="R301" s="3" t="n"/>
    </row>
    <row r="302" ht="15" customHeight="1">
      <c r="A302" s="14" t="n">
        <v>46322</v>
      </c>
      <c r="B302" s="27">
        <f>SUMIFS(Raw_Events!$H:$H,Raw_Events!$C:$C,$A302,Raw_Events!$G:$G,"SLEEP_HOURS")</f>
        <v/>
      </c>
      <c r="C302" s="16">
        <f>COUNTIFS(Raw_Events!$C:$C,$A302,Raw_Events!$G:$G,"WORKOUT")</f>
        <v/>
      </c>
      <c r="D302" s="28">
        <f>SUMIFS(Raw_Events!$H:$H,Raw_Events!$C:$C,$A302,Raw_Events!$G:$G,"POSTURE_SESSION")</f>
        <v/>
      </c>
      <c r="E302" s="8">
        <f>IF($D302="","",IF($D302&gt;=Settings!$C$17,1,0))</f>
        <v/>
      </c>
      <c r="F302" s="28">
        <f>SUMIFS(Raw_Events!$H:$H,Raw_Events!$C:$C,$A302,Raw_Events!$G:$G,"MINDFULNESS_MIN")</f>
        <v/>
      </c>
      <c r="G302" s="8">
        <f>IF($F302="","",IF($F302&gt;0,1,0))</f>
        <v/>
      </c>
      <c r="H302" s="16">
        <f>SUMIFS(Raw_Events!$H:$H,Raw_Events!$C:$C,$A302,Raw_Events!$G:$G,"CIGARETTES")</f>
        <v/>
      </c>
      <c r="I302" s="29">
        <f>SUMIFS(Raw_Events!$L:$L,Raw_Events!$C:$C,$A302,Raw_Events!$G:$G,"ALCOHOL")</f>
        <v/>
      </c>
      <c r="J302" s="16">
        <f>SUMIFS(Raw_Events!$H:$H,Raw_Events!$C:$C,$A302,Raw_Events!$G:$G,"UNHEALTHY_MEAL")</f>
        <v/>
      </c>
      <c r="K302" s="28">
        <f>SUMIFS(Raw_Events!$H:$H,Raw_Events!$C:$C,$A302,Raw_Events!$G:$G,"TRAINING_MIN")+SUMIFS(Raw_Events!$H:$H,Raw_Events!$C:$C,$A302,Raw_Events!$G:$G,"DICTION_TRAINING_MIN")</f>
        <v/>
      </c>
      <c r="L302" s="28" t="n"/>
      <c r="M302" s="16">
        <f>SUMIFS(Raw_Events!$H:$H,Raw_Events!$C:$C,$A302,Raw_Events!$G:$G,"IDEA")</f>
        <v/>
      </c>
      <c r="N302" s="16">
        <f>COUNTIFS(Raw_Events!$C:$C,$A302,Raw_Events!$G:$G,"SOCIAL_MEET")</f>
        <v/>
      </c>
      <c r="O302" s="16">
        <f>COUNTIFS(Raw_Events!$C:$C,$A302,Raw_Events!$G:$G,"DATE")</f>
        <v/>
      </c>
      <c r="P302" s="3">
        <f>COUNTIFS(Raw_Events!$C:$C,$A302,Raw_Events!$G:$G,"NEW_ACTIVITY")</f>
        <v/>
      </c>
      <c r="Q302" s="3">
        <f>SUMIFS(Raw_Events!$H:$H,Raw_Events!$C:$C,$A302,Raw_Events!$G:$G,"TRAVEL_NIGHT")</f>
        <v/>
      </c>
      <c r="R302" s="3" t="n"/>
    </row>
    <row r="303" ht="15" customHeight="1">
      <c r="A303" s="14" t="n">
        <v>46323</v>
      </c>
      <c r="B303" s="27">
        <f>SUMIFS(Raw_Events!$H:$H,Raw_Events!$C:$C,$A303,Raw_Events!$G:$G,"SLEEP_HOURS")</f>
        <v/>
      </c>
      <c r="C303" s="16">
        <f>COUNTIFS(Raw_Events!$C:$C,$A303,Raw_Events!$G:$G,"WORKOUT")</f>
        <v/>
      </c>
      <c r="D303" s="28">
        <f>SUMIFS(Raw_Events!$H:$H,Raw_Events!$C:$C,$A303,Raw_Events!$G:$G,"POSTURE_SESSION")</f>
        <v/>
      </c>
      <c r="E303" s="8">
        <f>IF($D303="","",IF($D303&gt;=Settings!$C$17,1,0))</f>
        <v/>
      </c>
      <c r="F303" s="28">
        <f>SUMIFS(Raw_Events!$H:$H,Raw_Events!$C:$C,$A303,Raw_Events!$G:$G,"MINDFULNESS_MIN")</f>
        <v/>
      </c>
      <c r="G303" s="8">
        <f>IF($F303="","",IF($F303&gt;0,1,0))</f>
        <v/>
      </c>
      <c r="H303" s="16">
        <f>SUMIFS(Raw_Events!$H:$H,Raw_Events!$C:$C,$A303,Raw_Events!$G:$G,"CIGARETTES")</f>
        <v/>
      </c>
      <c r="I303" s="29">
        <f>SUMIFS(Raw_Events!$L:$L,Raw_Events!$C:$C,$A303,Raw_Events!$G:$G,"ALCOHOL")</f>
        <v/>
      </c>
      <c r="J303" s="16">
        <f>SUMIFS(Raw_Events!$H:$H,Raw_Events!$C:$C,$A303,Raw_Events!$G:$G,"UNHEALTHY_MEAL")</f>
        <v/>
      </c>
      <c r="K303" s="28">
        <f>SUMIFS(Raw_Events!$H:$H,Raw_Events!$C:$C,$A303,Raw_Events!$G:$G,"TRAINING_MIN")+SUMIFS(Raw_Events!$H:$H,Raw_Events!$C:$C,$A303,Raw_Events!$G:$G,"DICTION_TRAINING_MIN")</f>
        <v/>
      </c>
      <c r="L303" s="28" t="n"/>
      <c r="M303" s="16">
        <f>SUMIFS(Raw_Events!$H:$H,Raw_Events!$C:$C,$A303,Raw_Events!$G:$G,"IDEA")</f>
        <v/>
      </c>
      <c r="N303" s="16">
        <f>COUNTIFS(Raw_Events!$C:$C,$A303,Raw_Events!$G:$G,"SOCIAL_MEET")</f>
        <v/>
      </c>
      <c r="O303" s="16">
        <f>COUNTIFS(Raw_Events!$C:$C,$A303,Raw_Events!$G:$G,"DATE")</f>
        <v/>
      </c>
      <c r="P303" s="3">
        <f>COUNTIFS(Raw_Events!$C:$C,$A303,Raw_Events!$G:$G,"NEW_ACTIVITY")</f>
        <v/>
      </c>
      <c r="Q303" s="3">
        <f>SUMIFS(Raw_Events!$H:$H,Raw_Events!$C:$C,$A303,Raw_Events!$G:$G,"TRAVEL_NIGHT")</f>
        <v/>
      </c>
      <c r="R303" s="3" t="n"/>
    </row>
    <row r="304" ht="15" customHeight="1">
      <c r="A304" s="14" t="n">
        <v>46324</v>
      </c>
      <c r="B304" s="27">
        <f>SUMIFS(Raw_Events!$H:$H,Raw_Events!$C:$C,$A304,Raw_Events!$G:$G,"SLEEP_HOURS")</f>
        <v/>
      </c>
      <c r="C304" s="16">
        <f>COUNTIFS(Raw_Events!$C:$C,$A304,Raw_Events!$G:$G,"WORKOUT")</f>
        <v/>
      </c>
      <c r="D304" s="28">
        <f>SUMIFS(Raw_Events!$H:$H,Raw_Events!$C:$C,$A304,Raw_Events!$G:$G,"POSTURE_SESSION")</f>
        <v/>
      </c>
      <c r="E304" s="8">
        <f>IF($D304="","",IF($D304&gt;=Settings!$C$17,1,0))</f>
        <v/>
      </c>
      <c r="F304" s="28">
        <f>SUMIFS(Raw_Events!$H:$H,Raw_Events!$C:$C,$A304,Raw_Events!$G:$G,"MINDFULNESS_MIN")</f>
        <v/>
      </c>
      <c r="G304" s="8">
        <f>IF($F304="","",IF($F304&gt;0,1,0))</f>
        <v/>
      </c>
      <c r="H304" s="16">
        <f>SUMIFS(Raw_Events!$H:$H,Raw_Events!$C:$C,$A304,Raw_Events!$G:$G,"CIGARETTES")</f>
        <v/>
      </c>
      <c r="I304" s="29">
        <f>SUMIFS(Raw_Events!$L:$L,Raw_Events!$C:$C,$A304,Raw_Events!$G:$G,"ALCOHOL")</f>
        <v/>
      </c>
      <c r="J304" s="16">
        <f>SUMIFS(Raw_Events!$H:$H,Raw_Events!$C:$C,$A304,Raw_Events!$G:$G,"UNHEALTHY_MEAL")</f>
        <v/>
      </c>
      <c r="K304" s="28">
        <f>SUMIFS(Raw_Events!$H:$H,Raw_Events!$C:$C,$A304,Raw_Events!$G:$G,"TRAINING_MIN")+SUMIFS(Raw_Events!$H:$H,Raw_Events!$C:$C,$A304,Raw_Events!$G:$G,"DICTION_TRAINING_MIN")</f>
        <v/>
      </c>
      <c r="L304" s="28" t="n"/>
      <c r="M304" s="16">
        <f>SUMIFS(Raw_Events!$H:$H,Raw_Events!$C:$C,$A304,Raw_Events!$G:$G,"IDEA")</f>
        <v/>
      </c>
      <c r="N304" s="16">
        <f>COUNTIFS(Raw_Events!$C:$C,$A304,Raw_Events!$G:$G,"SOCIAL_MEET")</f>
        <v/>
      </c>
      <c r="O304" s="16">
        <f>COUNTIFS(Raw_Events!$C:$C,$A304,Raw_Events!$G:$G,"DATE")</f>
        <v/>
      </c>
      <c r="P304" s="3">
        <f>COUNTIFS(Raw_Events!$C:$C,$A304,Raw_Events!$G:$G,"NEW_ACTIVITY")</f>
        <v/>
      </c>
      <c r="Q304" s="3">
        <f>SUMIFS(Raw_Events!$H:$H,Raw_Events!$C:$C,$A304,Raw_Events!$G:$G,"TRAVEL_NIGHT")</f>
        <v/>
      </c>
      <c r="R304" s="3" t="n"/>
    </row>
    <row r="305" ht="15" customHeight="1">
      <c r="A305" s="14" t="n">
        <v>46325</v>
      </c>
      <c r="B305" s="27">
        <f>SUMIFS(Raw_Events!$H:$H,Raw_Events!$C:$C,$A305,Raw_Events!$G:$G,"SLEEP_HOURS")</f>
        <v/>
      </c>
      <c r="C305" s="16">
        <f>COUNTIFS(Raw_Events!$C:$C,$A305,Raw_Events!$G:$G,"WORKOUT")</f>
        <v/>
      </c>
      <c r="D305" s="28">
        <f>SUMIFS(Raw_Events!$H:$H,Raw_Events!$C:$C,$A305,Raw_Events!$G:$G,"POSTURE_SESSION")</f>
        <v/>
      </c>
      <c r="E305" s="8">
        <f>IF($D305="","",IF($D305&gt;=Settings!$C$17,1,0))</f>
        <v/>
      </c>
      <c r="F305" s="28">
        <f>SUMIFS(Raw_Events!$H:$H,Raw_Events!$C:$C,$A305,Raw_Events!$G:$G,"MINDFULNESS_MIN")</f>
        <v/>
      </c>
      <c r="G305" s="8">
        <f>IF($F305="","",IF($F305&gt;0,1,0))</f>
        <v/>
      </c>
      <c r="H305" s="16">
        <f>SUMIFS(Raw_Events!$H:$H,Raw_Events!$C:$C,$A305,Raw_Events!$G:$G,"CIGARETTES")</f>
        <v/>
      </c>
      <c r="I305" s="29">
        <f>SUMIFS(Raw_Events!$L:$L,Raw_Events!$C:$C,$A305,Raw_Events!$G:$G,"ALCOHOL")</f>
        <v/>
      </c>
      <c r="J305" s="16">
        <f>SUMIFS(Raw_Events!$H:$H,Raw_Events!$C:$C,$A305,Raw_Events!$G:$G,"UNHEALTHY_MEAL")</f>
        <v/>
      </c>
      <c r="K305" s="28">
        <f>SUMIFS(Raw_Events!$H:$H,Raw_Events!$C:$C,$A305,Raw_Events!$G:$G,"TRAINING_MIN")+SUMIFS(Raw_Events!$H:$H,Raw_Events!$C:$C,$A305,Raw_Events!$G:$G,"DICTION_TRAINING_MIN")</f>
        <v/>
      </c>
      <c r="L305" s="28" t="n"/>
      <c r="M305" s="16">
        <f>SUMIFS(Raw_Events!$H:$H,Raw_Events!$C:$C,$A305,Raw_Events!$G:$G,"IDEA")</f>
        <v/>
      </c>
      <c r="N305" s="16">
        <f>COUNTIFS(Raw_Events!$C:$C,$A305,Raw_Events!$G:$G,"SOCIAL_MEET")</f>
        <v/>
      </c>
      <c r="O305" s="16">
        <f>COUNTIFS(Raw_Events!$C:$C,$A305,Raw_Events!$G:$G,"DATE")</f>
        <v/>
      </c>
      <c r="P305" s="3">
        <f>COUNTIFS(Raw_Events!$C:$C,$A305,Raw_Events!$G:$G,"NEW_ACTIVITY")</f>
        <v/>
      </c>
      <c r="Q305" s="3">
        <f>SUMIFS(Raw_Events!$H:$H,Raw_Events!$C:$C,$A305,Raw_Events!$G:$G,"TRAVEL_NIGHT")</f>
        <v/>
      </c>
      <c r="R305" s="3" t="n"/>
    </row>
    <row r="306" ht="15" customHeight="1">
      <c r="A306" s="14" t="n">
        <v>46326</v>
      </c>
      <c r="B306" s="27">
        <f>SUMIFS(Raw_Events!$H:$H,Raw_Events!$C:$C,$A306,Raw_Events!$G:$G,"SLEEP_HOURS")</f>
        <v/>
      </c>
      <c r="C306" s="16">
        <f>COUNTIFS(Raw_Events!$C:$C,$A306,Raw_Events!$G:$G,"WORKOUT")</f>
        <v/>
      </c>
      <c r="D306" s="28">
        <f>SUMIFS(Raw_Events!$H:$H,Raw_Events!$C:$C,$A306,Raw_Events!$G:$G,"POSTURE_SESSION")</f>
        <v/>
      </c>
      <c r="E306" s="8">
        <f>IF($D306="","",IF($D306&gt;=Settings!$C$17,1,0))</f>
        <v/>
      </c>
      <c r="F306" s="28">
        <f>SUMIFS(Raw_Events!$H:$H,Raw_Events!$C:$C,$A306,Raw_Events!$G:$G,"MINDFULNESS_MIN")</f>
        <v/>
      </c>
      <c r="G306" s="8">
        <f>IF($F306="","",IF($F306&gt;0,1,0))</f>
        <v/>
      </c>
      <c r="H306" s="16">
        <f>SUMIFS(Raw_Events!$H:$H,Raw_Events!$C:$C,$A306,Raw_Events!$G:$G,"CIGARETTES")</f>
        <v/>
      </c>
      <c r="I306" s="29">
        <f>SUMIFS(Raw_Events!$L:$L,Raw_Events!$C:$C,$A306,Raw_Events!$G:$G,"ALCOHOL")</f>
        <v/>
      </c>
      <c r="J306" s="16">
        <f>SUMIFS(Raw_Events!$H:$H,Raw_Events!$C:$C,$A306,Raw_Events!$G:$G,"UNHEALTHY_MEAL")</f>
        <v/>
      </c>
      <c r="K306" s="28">
        <f>SUMIFS(Raw_Events!$H:$H,Raw_Events!$C:$C,$A306,Raw_Events!$G:$G,"TRAINING_MIN")+SUMIFS(Raw_Events!$H:$H,Raw_Events!$C:$C,$A306,Raw_Events!$G:$G,"DICTION_TRAINING_MIN")</f>
        <v/>
      </c>
      <c r="L306" s="28" t="n"/>
      <c r="M306" s="16">
        <f>SUMIFS(Raw_Events!$H:$H,Raw_Events!$C:$C,$A306,Raw_Events!$G:$G,"IDEA")</f>
        <v/>
      </c>
      <c r="N306" s="16">
        <f>COUNTIFS(Raw_Events!$C:$C,$A306,Raw_Events!$G:$G,"SOCIAL_MEET")</f>
        <v/>
      </c>
      <c r="O306" s="16">
        <f>COUNTIFS(Raw_Events!$C:$C,$A306,Raw_Events!$G:$G,"DATE")</f>
        <v/>
      </c>
      <c r="P306" s="3">
        <f>COUNTIFS(Raw_Events!$C:$C,$A306,Raw_Events!$G:$G,"NEW_ACTIVITY")</f>
        <v/>
      </c>
      <c r="Q306" s="3">
        <f>SUMIFS(Raw_Events!$H:$H,Raw_Events!$C:$C,$A306,Raw_Events!$G:$G,"TRAVEL_NIGHT")</f>
        <v/>
      </c>
      <c r="R306" s="3" t="n"/>
    </row>
    <row r="307" ht="15" customHeight="1">
      <c r="A307" s="14" t="n">
        <v>46327</v>
      </c>
      <c r="B307" s="27">
        <f>SUMIFS(Raw_Events!$H:$H,Raw_Events!$C:$C,$A307,Raw_Events!$G:$G,"SLEEP_HOURS")</f>
        <v/>
      </c>
      <c r="C307" s="16">
        <f>COUNTIFS(Raw_Events!$C:$C,$A307,Raw_Events!$G:$G,"WORKOUT")</f>
        <v/>
      </c>
      <c r="D307" s="28">
        <f>SUMIFS(Raw_Events!$H:$H,Raw_Events!$C:$C,$A307,Raw_Events!$G:$G,"POSTURE_SESSION")</f>
        <v/>
      </c>
      <c r="E307" s="8">
        <f>IF($D307="","",IF($D307&gt;=Settings!$C$17,1,0))</f>
        <v/>
      </c>
      <c r="F307" s="28">
        <f>SUMIFS(Raw_Events!$H:$H,Raw_Events!$C:$C,$A307,Raw_Events!$G:$G,"MINDFULNESS_MIN")</f>
        <v/>
      </c>
      <c r="G307" s="8">
        <f>IF($F307="","",IF($F307&gt;0,1,0))</f>
        <v/>
      </c>
      <c r="H307" s="16">
        <f>SUMIFS(Raw_Events!$H:$H,Raw_Events!$C:$C,$A307,Raw_Events!$G:$G,"CIGARETTES")</f>
        <v/>
      </c>
      <c r="I307" s="29">
        <f>SUMIFS(Raw_Events!$L:$L,Raw_Events!$C:$C,$A307,Raw_Events!$G:$G,"ALCOHOL")</f>
        <v/>
      </c>
      <c r="J307" s="16">
        <f>SUMIFS(Raw_Events!$H:$H,Raw_Events!$C:$C,$A307,Raw_Events!$G:$G,"UNHEALTHY_MEAL")</f>
        <v/>
      </c>
      <c r="K307" s="28">
        <f>SUMIFS(Raw_Events!$H:$H,Raw_Events!$C:$C,$A307,Raw_Events!$G:$G,"TRAINING_MIN")+SUMIFS(Raw_Events!$H:$H,Raw_Events!$C:$C,$A307,Raw_Events!$G:$G,"DICTION_TRAINING_MIN")</f>
        <v/>
      </c>
      <c r="L307" s="28" t="n"/>
      <c r="M307" s="16">
        <f>SUMIFS(Raw_Events!$H:$H,Raw_Events!$C:$C,$A307,Raw_Events!$G:$G,"IDEA")</f>
        <v/>
      </c>
      <c r="N307" s="16">
        <f>COUNTIFS(Raw_Events!$C:$C,$A307,Raw_Events!$G:$G,"SOCIAL_MEET")</f>
        <v/>
      </c>
      <c r="O307" s="16">
        <f>COUNTIFS(Raw_Events!$C:$C,$A307,Raw_Events!$G:$G,"DATE")</f>
        <v/>
      </c>
      <c r="P307" s="3">
        <f>COUNTIFS(Raw_Events!$C:$C,$A307,Raw_Events!$G:$G,"NEW_ACTIVITY")</f>
        <v/>
      </c>
      <c r="Q307" s="3">
        <f>SUMIFS(Raw_Events!$H:$H,Raw_Events!$C:$C,$A307,Raw_Events!$G:$G,"TRAVEL_NIGHT")</f>
        <v/>
      </c>
      <c r="R307" s="3" t="n"/>
    </row>
    <row r="308" ht="15" customHeight="1">
      <c r="A308" s="14" t="n">
        <v>46328</v>
      </c>
      <c r="B308" s="27">
        <f>SUMIFS(Raw_Events!$H:$H,Raw_Events!$C:$C,$A308,Raw_Events!$G:$G,"SLEEP_HOURS")</f>
        <v/>
      </c>
      <c r="C308" s="16">
        <f>COUNTIFS(Raw_Events!$C:$C,$A308,Raw_Events!$G:$G,"WORKOUT")</f>
        <v/>
      </c>
      <c r="D308" s="28">
        <f>SUMIFS(Raw_Events!$H:$H,Raw_Events!$C:$C,$A308,Raw_Events!$G:$G,"POSTURE_SESSION")</f>
        <v/>
      </c>
      <c r="E308" s="8">
        <f>IF($D308="","",IF($D308&gt;=Settings!$C$17,1,0))</f>
        <v/>
      </c>
      <c r="F308" s="28">
        <f>SUMIFS(Raw_Events!$H:$H,Raw_Events!$C:$C,$A308,Raw_Events!$G:$G,"MINDFULNESS_MIN")</f>
        <v/>
      </c>
      <c r="G308" s="8">
        <f>IF($F308="","",IF($F308&gt;0,1,0))</f>
        <v/>
      </c>
      <c r="H308" s="16">
        <f>SUMIFS(Raw_Events!$H:$H,Raw_Events!$C:$C,$A308,Raw_Events!$G:$G,"CIGARETTES")</f>
        <v/>
      </c>
      <c r="I308" s="29">
        <f>SUMIFS(Raw_Events!$L:$L,Raw_Events!$C:$C,$A308,Raw_Events!$G:$G,"ALCOHOL")</f>
        <v/>
      </c>
      <c r="J308" s="16">
        <f>SUMIFS(Raw_Events!$H:$H,Raw_Events!$C:$C,$A308,Raw_Events!$G:$G,"UNHEALTHY_MEAL")</f>
        <v/>
      </c>
      <c r="K308" s="28">
        <f>SUMIFS(Raw_Events!$H:$H,Raw_Events!$C:$C,$A308,Raw_Events!$G:$G,"TRAINING_MIN")+SUMIFS(Raw_Events!$H:$H,Raw_Events!$C:$C,$A308,Raw_Events!$G:$G,"DICTION_TRAINING_MIN")</f>
        <v/>
      </c>
      <c r="L308" s="28" t="n"/>
      <c r="M308" s="16">
        <f>SUMIFS(Raw_Events!$H:$H,Raw_Events!$C:$C,$A308,Raw_Events!$G:$G,"IDEA")</f>
        <v/>
      </c>
      <c r="N308" s="16">
        <f>COUNTIFS(Raw_Events!$C:$C,$A308,Raw_Events!$G:$G,"SOCIAL_MEET")</f>
        <v/>
      </c>
      <c r="O308" s="16">
        <f>COUNTIFS(Raw_Events!$C:$C,$A308,Raw_Events!$G:$G,"DATE")</f>
        <v/>
      </c>
      <c r="P308" s="3">
        <f>COUNTIFS(Raw_Events!$C:$C,$A308,Raw_Events!$G:$G,"NEW_ACTIVITY")</f>
        <v/>
      </c>
      <c r="Q308" s="3">
        <f>SUMIFS(Raw_Events!$H:$H,Raw_Events!$C:$C,$A308,Raw_Events!$G:$G,"TRAVEL_NIGHT")</f>
        <v/>
      </c>
      <c r="R308" s="3" t="n"/>
    </row>
    <row r="309" ht="15" customHeight="1">
      <c r="A309" s="14" t="n">
        <v>46329</v>
      </c>
      <c r="B309" s="27">
        <f>SUMIFS(Raw_Events!$H:$H,Raw_Events!$C:$C,$A309,Raw_Events!$G:$G,"SLEEP_HOURS")</f>
        <v/>
      </c>
      <c r="C309" s="16">
        <f>COUNTIFS(Raw_Events!$C:$C,$A309,Raw_Events!$G:$G,"WORKOUT")</f>
        <v/>
      </c>
      <c r="D309" s="28">
        <f>SUMIFS(Raw_Events!$H:$H,Raw_Events!$C:$C,$A309,Raw_Events!$G:$G,"POSTURE_SESSION")</f>
        <v/>
      </c>
      <c r="E309" s="8">
        <f>IF($D309="","",IF($D309&gt;=Settings!$C$17,1,0))</f>
        <v/>
      </c>
      <c r="F309" s="28">
        <f>SUMIFS(Raw_Events!$H:$H,Raw_Events!$C:$C,$A309,Raw_Events!$G:$G,"MINDFULNESS_MIN")</f>
        <v/>
      </c>
      <c r="G309" s="8">
        <f>IF($F309="","",IF($F309&gt;0,1,0))</f>
        <v/>
      </c>
      <c r="H309" s="16">
        <f>SUMIFS(Raw_Events!$H:$H,Raw_Events!$C:$C,$A309,Raw_Events!$G:$G,"CIGARETTES")</f>
        <v/>
      </c>
      <c r="I309" s="29">
        <f>SUMIFS(Raw_Events!$L:$L,Raw_Events!$C:$C,$A309,Raw_Events!$G:$G,"ALCOHOL")</f>
        <v/>
      </c>
      <c r="J309" s="16">
        <f>SUMIFS(Raw_Events!$H:$H,Raw_Events!$C:$C,$A309,Raw_Events!$G:$G,"UNHEALTHY_MEAL")</f>
        <v/>
      </c>
      <c r="K309" s="28">
        <f>SUMIFS(Raw_Events!$H:$H,Raw_Events!$C:$C,$A309,Raw_Events!$G:$G,"TRAINING_MIN")+SUMIFS(Raw_Events!$H:$H,Raw_Events!$C:$C,$A309,Raw_Events!$G:$G,"DICTION_TRAINING_MIN")</f>
        <v/>
      </c>
      <c r="L309" s="28" t="n"/>
      <c r="M309" s="16">
        <f>SUMIFS(Raw_Events!$H:$H,Raw_Events!$C:$C,$A309,Raw_Events!$G:$G,"IDEA")</f>
        <v/>
      </c>
      <c r="N309" s="16">
        <f>COUNTIFS(Raw_Events!$C:$C,$A309,Raw_Events!$G:$G,"SOCIAL_MEET")</f>
        <v/>
      </c>
      <c r="O309" s="16">
        <f>COUNTIFS(Raw_Events!$C:$C,$A309,Raw_Events!$G:$G,"DATE")</f>
        <v/>
      </c>
      <c r="P309" s="3">
        <f>COUNTIFS(Raw_Events!$C:$C,$A309,Raw_Events!$G:$G,"NEW_ACTIVITY")</f>
        <v/>
      </c>
      <c r="Q309" s="3">
        <f>SUMIFS(Raw_Events!$H:$H,Raw_Events!$C:$C,$A309,Raw_Events!$G:$G,"TRAVEL_NIGHT")</f>
        <v/>
      </c>
      <c r="R309" s="3" t="n"/>
    </row>
    <row r="310" ht="15" customHeight="1">
      <c r="A310" s="14" t="n">
        <v>46330</v>
      </c>
      <c r="B310" s="27">
        <f>SUMIFS(Raw_Events!$H:$H,Raw_Events!$C:$C,$A310,Raw_Events!$G:$G,"SLEEP_HOURS")</f>
        <v/>
      </c>
      <c r="C310" s="16">
        <f>COUNTIFS(Raw_Events!$C:$C,$A310,Raw_Events!$G:$G,"WORKOUT")</f>
        <v/>
      </c>
      <c r="D310" s="28">
        <f>SUMIFS(Raw_Events!$H:$H,Raw_Events!$C:$C,$A310,Raw_Events!$G:$G,"POSTURE_SESSION")</f>
        <v/>
      </c>
      <c r="E310" s="8">
        <f>IF($D310="","",IF($D310&gt;=Settings!$C$17,1,0))</f>
        <v/>
      </c>
      <c r="F310" s="28">
        <f>SUMIFS(Raw_Events!$H:$H,Raw_Events!$C:$C,$A310,Raw_Events!$G:$G,"MINDFULNESS_MIN")</f>
        <v/>
      </c>
      <c r="G310" s="8">
        <f>IF($F310="","",IF($F310&gt;0,1,0))</f>
        <v/>
      </c>
      <c r="H310" s="16">
        <f>SUMIFS(Raw_Events!$H:$H,Raw_Events!$C:$C,$A310,Raw_Events!$G:$G,"CIGARETTES")</f>
        <v/>
      </c>
      <c r="I310" s="29">
        <f>SUMIFS(Raw_Events!$L:$L,Raw_Events!$C:$C,$A310,Raw_Events!$G:$G,"ALCOHOL")</f>
        <v/>
      </c>
      <c r="J310" s="16">
        <f>SUMIFS(Raw_Events!$H:$H,Raw_Events!$C:$C,$A310,Raw_Events!$G:$G,"UNHEALTHY_MEAL")</f>
        <v/>
      </c>
      <c r="K310" s="28">
        <f>SUMIFS(Raw_Events!$H:$H,Raw_Events!$C:$C,$A310,Raw_Events!$G:$G,"TRAINING_MIN")+SUMIFS(Raw_Events!$H:$H,Raw_Events!$C:$C,$A310,Raw_Events!$G:$G,"DICTION_TRAINING_MIN")</f>
        <v/>
      </c>
      <c r="L310" s="28" t="n"/>
      <c r="M310" s="16">
        <f>SUMIFS(Raw_Events!$H:$H,Raw_Events!$C:$C,$A310,Raw_Events!$G:$G,"IDEA")</f>
        <v/>
      </c>
      <c r="N310" s="16">
        <f>COUNTIFS(Raw_Events!$C:$C,$A310,Raw_Events!$G:$G,"SOCIAL_MEET")</f>
        <v/>
      </c>
      <c r="O310" s="16">
        <f>COUNTIFS(Raw_Events!$C:$C,$A310,Raw_Events!$G:$G,"DATE")</f>
        <v/>
      </c>
      <c r="P310" s="3">
        <f>COUNTIFS(Raw_Events!$C:$C,$A310,Raw_Events!$G:$G,"NEW_ACTIVITY")</f>
        <v/>
      </c>
      <c r="Q310" s="3">
        <f>SUMIFS(Raw_Events!$H:$H,Raw_Events!$C:$C,$A310,Raw_Events!$G:$G,"TRAVEL_NIGHT")</f>
        <v/>
      </c>
      <c r="R310" s="3" t="n"/>
    </row>
    <row r="311" ht="15" customHeight="1">
      <c r="A311" s="14" t="n">
        <v>46331</v>
      </c>
      <c r="B311" s="27">
        <f>SUMIFS(Raw_Events!$H:$H,Raw_Events!$C:$C,$A311,Raw_Events!$G:$G,"SLEEP_HOURS")</f>
        <v/>
      </c>
      <c r="C311" s="16">
        <f>COUNTIFS(Raw_Events!$C:$C,$A311,Raw_Events!$G:$G,"WORKOUT")</f>
        <v/>
      </c>
      <c r="D311" s="28">
        <f>SUMIFS(Raw_Events!$H:$H,Raw_Events!$C:$C,$A311,Raw_Events!$G:$G,"POSTURE_SESSION")</f>
        <v/>
      </c>
      <c r="E311" s="8">
        <f>IF($D311="","",IF($D311&gt;=Settings!$C$17,1,0))</f>
        <v/>
      </c>
      <c r="F311" s="28">
        <f>SUMIFS(Raw_Events!$H:$H,Raw_Events!$C:$C,$A311,Raw_Events!$G:$G,"MINDFULNESS_MIN")</f>
        <v/>
      </c>
      <c r="G311" s="8">
        <f>IF($F311="","",IF($F311&gt;0,1,0))</f>
        <v/>
      </c>
      <c r="H311" s="16">
        <f>SUMIFS(Raw_Events!$H:$H,Raw_Events!$C:$C,$A311,Raw_Events!$G:$G,"CIGARETTES")</f>
        <v/>
      </c>
      <c r="I311" s="29">
        <f>SUMIFS(Raw_Events!$L:$L,Raw_Events!$C:$C,$A311,Raw_Events!$G:$G,"ALCOHOL")</f>
        <v/>
      </c>
      <c r="J311" s="16">
        <f>SUMIFS(Raw_Events!$H:$H,Raw_Events!$C:$C,$A311,Raw_Events!$G:$G,"UNHEALTHY_MEAL")</f>
        <v/>
      </c>
      <c r="K311" s="28">
        <f>SUMIFS(Raw_Events!$H:$H,Raw_Events!$C:$C,$A311,Raw_Events!$G:$G,"TRAINING_MIN")+SUMIFS(Raw_Events!$H:$H,Raw_Events!$C:$C,$A311,Raw_Events!$G:$G,"DICTION_TRAINING_MIN")</f>
        <v/>
      </c>
      <c r="L311" s="28" t="n"/>
      <c r="M311" s="16">
        <f>SUMIFS(Raw_Events!$H:$H,Raw_Events!$C:$C,$A311,Raw_Events!$G:$G,"IDEA")</f>
        <v/>
      </c>
      <c r="N311" s="16">
        <f>COUNTIFS(Raw_Events!$C:$C,$A311,Raw_Events!$G:$G,"SOCIAL_MEET")</f>
        <v/>
      </c>
      <c r="O311" s="16">
        <f>COUNTIFS(Raw_Events!$C:$C,$A311,Raw_Events!$G:$G,"DATE")</f>
        <v/>
      </c>
      <c r="P311" s="3">
        <f>COUNTIFS(Raw_Events!$C:$C,$A311,Raw_Events!$G:$G,"NEW_ACTIVITY")</f>
        <v/>
      </c>
      <c r="Q311" s="3">
        <f>SUMIFS(Raw_Events!$H:$H,Raw_Events!$C:$C,$A311,Raw_Events!$G:$G,"TRAVEL_NIGHT")</f>
        <v/>
      </c>
      <c r="R311" s="3" t="n"/>
    </row>
    <row r="312" ht="15" customHeight="1">
      <c r="A312" s="14" t="n">
        <v>46332</v>
      </c>
      <c r="B312" s="27">
        <f>SUMIFS(Raw_Events!$H:$H,Raw_Events!$C:$C,$A312,Raw_Events!$G:$G,"SLEEP_HOURS")</f>
        <v/>
      </c>
      <c r="C312" s="16">
        <f>COUNTIFS(Raw_Events!$C:$C,$A312,Raw_Events!$G:$G,"WORKOUT")</f>
        <v/>
      </c>
      <c r="D312" s="28">
        <f>SUMIFS(Raw_Events!$H:$H,Raw_Events!$C:$C,$A312,Raw_Events!$G:$G,"POSTURE_SESSION")</f>
        <v/>
      </c>
      <c r="E312" s="8">
        <f>IF($D312="","",IF($D312&gt;=Settings!$C$17,1,0))</f>
        <v/>
      </c>
      <c r="F312" s="28">
        <f>SUMIFS(Raw_Events!$H:$H,Raw_Events!$C:$C,$A312,Raw_Events!$G:$G,"MINDFULNESS_MIN")</f>
        <v/>
      </c>
      <c r="G312" s="8">
        <f>IF($F312="","",IF($F312&gt;0,1,0))</f>
        <v/>
      </c>
      <c r="H312" s="16">
        <f>SUMIFS(Raw_Events!$H:$H,Raw_Events!$C:$C,$A312,Raw_Events!$G:$G,"CIGARETTES")</f>
        <v/>
      </c>
      <c r="I312" s="29">
        <f>SUMIFS(Raw_Events!$L:$L,Raw_Events!$C:$C,$A312,Raw_Events!$G:$G,"ALCOHOL")</f>
        <v/>
      </c>
      <c r="J312" s="16">
        <f>SUMIFS(Raw_Events!$H:$H,Raw_Events!$C:$C,$A312,Raw_Events!$G:$G,"UNHEALTHY_MEAL")</f>
        <v/>
      </c>
      <c r="K312" s="28">
        <f>SUMIFS(Raw_Events!$H:$H,Raw_Events!$C:$C,$A312,Raw_Events!$G:$G,"TRAINING_MIN")+SUMIFS(Raw_Events!$H:$H,Raw_Events!$C:$C,$A312,Raw_Events!$G:$G,"DICTION_TRAINING_MIN")</f>
        <v/>
      </c>
      <c r="L312" s="28" t="n"/>
      <c r="M312" s="16">
        <f>SUMIFS(Raw_Events!$H:$H,Raw_Events!$C:$C,$A312,Raw_Events!$G:$G,"IDEA")</f>
        <v/>
      </c>
      <c r="N312" s="16">
        <f>COUNTIFS(Raw_Events!$C:$C,$A312,Raw_Events!$G:$G,"SOCIAL_MEET")</f>
        <v/>
      </c>
      <c r="O312" s="16">
        <f>COUNTIFS(Raw_Events!$C:$C,$A312,Raw_Events!$G:$G,"DATE")</f>
        <v/>
      </c>
      <c r="P312" s="3">
        <f>COUNTIFS(Raw_Events!$C:$C,$A312,Raw_Events!$G:$G,"NEW_ACTIVITY")</f>
        <v/>
      </c>
      <c r="Q312" s="3">
        <f>SUMIFS(Raw_Events!$H:$H,Raw_Events!$C:$C,$A312,Raw_Events!$G:$G,"TRAVEL_NIGHT")</f>
        <v/>
      </c>
      <c r="R312" s="3" t="n"/>
    </row>
    <row r="313" ht="15" customHeight="1">
      <c r="A313" s="14" t="n">
        <v>46333</v>
      </c>
      <c r="B313" s="27">
        <f>SUMIFS(Raw_Events!$H:$H,Raw_Events!$C:$C,$A313,Raw_Events!$G:$G,"SLEEP_HOURS")</f>
        <v/>
      </c>
      <c r="C313" s="16">
        <f>COUNTIFS(Raw_Events!$C:$C,$A313,Raw_Events!$G:$G,"WORKOUT")</f>
        <v/>
      </c>
      <c r="D313" s="28">
        <f>SUMIFS(Raw_Events!$H:$H,Raw_Events!$C:$C,$A313,Raw_Events!$G:$G,"POSTURE_SESSION")</f>
        <v/>
      </c>
      <c r="E313" s="8">
        <f>IF($D313="","",IF($D313&gt;=Settings!$C$17,1,0))</f>
        <v/>
      </c>
      <c r="F313" s="28">
        <f>SUMIFS(Raw_Events!$H:$H,Raw_Events!$C:$C,$A313,Raw_Events!$G:$G,"MINDFULNESS_MIN")</f>
        <v/>
      </c>
      <c r="G313" s="8">
        <f>IF($F313="","",IF($F313&gt;0,1,0))</f>
        <v/>
      </c>
      <c r="H313" s="16">
        <f>SUMIFS(Raw_Events!$H:$H,Raw_Events!$C:$C,$A313,Raw_Events!$G:$G,"CIGARETTES")</f>
        <v/>
      </c>
      <c r="I313" s="29">
        <f>SUMIFS(Raw_Events!$L:$L,Raw_Events!$C:$C,$A313,Raw_Events!$G:$G,"ALCOHOL")</f>
        <v/>
      </c>
      <c r="J313" s="16">
        <f>SUMIFS(Raw_Events!$H:$H,Raw_Events!$C:$C,$A313,Raw_Events!$G:$G,"UNHEALTHY_MEAL")</f>
        <v/>
      </c>
      <c r="K313" s="28">
        <f>SUMIFS(Raw_Events!$H:$H,Raw_Events!$C:$C,$A313,Raw_Events!$G:$G,"TRAINING_MIN")+SUMIFS(Raw_Events!$H:$H,Raw_Events!$C:$C,$A313,Raw_Events!$G:$G,"DICTION_TRAINING_MIN")</f>
        <v/>
      </c>
      <c r="L313" s="28" t="n"/>
      <c r="M313" s="16">
        <f>SUMIFS(Raw_Events!$H:$H,Raw_Events!$C:$C,$A313,Raw_Events!$G:$G,"IDEA")</f>
        <v/>
      </c>
      <c r="N313" s="16">
        <f>COUNTIFS(Raw_Events!$C:$C,$A313,Raw_Events!$G:$G,"SOCIAL_MEET")</f>
        <v/>
      </c>
      <c r="O313" s="16">
        <f>COUNTIFS(Raw_Events!$C:$C,$A313,Raw_Events!$G:$G,"DATE")</f>
        <v/>
      </c>
      <c r="P313" s="3">
        <f>COUNTIFS(Raw_Events!$C:$C,$A313,Raw_Events!$G:$G,"NEW_ACTIVITY")</f>
        <v/>
      </c>
      <c r="Q313" s="3">
        <f>SUMIFS(Raw_Events!$H:$H,Raw_Events!$C:$C,$A313,Raw_Events!$G:$G,"TRAVEL_NIGHT")</f>
        <v/>
      </c>
      <c r="R313" s="3" t="n"/>
    </row>
    <row r="314" ht="15" customHeight="1">
      <c r="A314" s="14" t="n">
        <v>46334</v>
      </c>
      <c r="B314" s="27">
        <f>SUMIFS(Raw_Events!$H:$H,Raw_Events!$C:$C,$A314,Raw_Events!$G:$G,"SLEEP_HOURS")</f>
        <v/>
      </c>
      <c r="C314" s="16">
        <f>COUNTIFS(Raw_Events!$C:$C,$A314,Raw_Events!$G:$G,"WORKOUT")</f>
        <v/>
      </c>
      <c r="D314" s="28">
        <f>SUMIFS(Raw_Events!$H:$H,Raw_Events!$C:$C,$A314,Raw_Events!$G:$G,"POSTURE_SESSION")</f>
        <v/>
      </c>
      <c r="E314" s="8">
        <f>IF($D314="","",IF($D314&gt;=Settings!$C$17,1,0))</f>
        <v/>
      </c>
      <c r="F314" s="28">
        <f>SUMIFS(Raw_Events!$H:$H,Raw_Events!$C:$C,$A314,Raw_Events!$G:$G,"MINDFULNESS_MIN")</f>
        <v/>
      </c>
      <c r="G314" s="8">
        <f>IF($F314="","",IF($F314&gt;0,1,0))</f>
        <v/>
      </c>
      <c r="H314" s="16">
        <f>SUMIFS(Raw_Events!$H:$H,Raw_Events!$C:$C,$A314,Raw_Events!$G:$G,"CIGARETTES")</f>
        <v/>
      </c>
      <c r="I314" s="29">
        <f>SUMIFS(Raw_Events!$L:$L,Raw_Events!$C:$C,$A314,Raw_Events!$G:$G,"ALCOHOL")</f>
        <v/>
      </c>
      <c r="J314" s="16">
        <f>SUMIFS(Raw_Events!$H:$H,Raw_Events!$C:$C,$A314,Raw_Events!$G:$G,"UNHEALTHY_MEAL")</f>
        <v/>
      </c>
      <c r="K314" s="28">
        <f>SUMIFS(Raw_Events!$H:$H,Raw_Events!$C:$C,$A314,Raw_Events!$G:$G,"TRAINING_MIN")+SUMIFS(Raw_Events!$H:$H,Raw_Events!$C:$C,$A314,Raw_Events!$G:$G,"DICTION_TRAINING_MIN")</f>
        <v/>
      </c>
      <c r="L314" s="28" t="n"/>
      <c r="M314" s="16">
        <f>SUMIFS(Raw_Events!$H:$H,Raw_Events!$C:$C,$A314,Raw_Events!$G:$G,"IDEA")</f>
        <v/>
      </c>
      <c r="N314" s="16">
        <f>COUNTIFS(Raw_Events!$C:$C,$A314,Raw_Events!$G:$G,"SOCIAL_MEET")</f>
        <v/>
      </c>
      <c r="O314" s="16">
        <f>COUNTIFS(Raw_Events!$C:$C,$A314,Raw_Events!$G:$G,"DATE")</f>
        <v/>
      </c>
      <c r="P314" s="3">
        <f>COUNTIFS(Raw_Events!$C:$C,$A314,Raw_Events!$G:$G,"NEW_ACTIVITY")</f>
        <v/>
      </c>
      <c r="Q314" s="3">
        <f>SUMIFS(Raw_Events!$H:$H,Raw_Events!$C:$C,$A314,Raw_Events!$G:$G,"TRAVEL_NIGHT")</f>
        <v/>
      </c>
      <c r="R314" s="3" t="n"/>
    </row>
    <row r="315" ht="15" customHeight="1">
      <c r="A315" s="14" t="n">
        <v>46335</v>
      </c>
      <c r="B315" s="27">
        <f>SUMIFS(Raw_Events!$H:$H,Raw_Events!$C:$C,$A315,Raw_Events!$G:$G,"SLEEP_HOURS")</f>
        <v/>
      </c>
      <c r="C315" s="16">
        <f>COUNTIFS(Raw_Events!$C:$C,$A315,Raw_Events!$G:$G,"WORKOUT")</f>
        <v/>
      </c>
      <c r="D315" s="28">
        <f>SUMIFS(Raw_Events!$H:$H,Raw_Events!$C:$C,$A315,Raw_Events!$G:$G,"POSTURE_SESSION")</f>
        <v/>
      </c>
      <c r="E315" s="8">
        <f>IF($D315="","",IF($D315&gt;=Settings!$C$17,1,0))</f>
        <v/>
      </c>
      <c r="F315" s="28">
        <f>SUMIFS(Raw_Events!$H:$H,Raw_Events!$C:$C,$A315,Raw_Events!$G:$G,"MINDFULNESS_MIN")</f>
        <v/>
      </c>
      <c r="G315" s="8">
        <f>IF($F315="","",IF($F315&gt;0,1,0))</f>
        <v/>
      </c>
      <c r="H315" s="16">
        <f>SUMIFS(Raw_Events!$H:$H,Raw_Events!$C:$C,$A315,Raw_Events!$G:$G,"CIGARETTES")</f>
        <v/>
      </c>
      <c r="I315" s="29">
        <f>SUMIFS(Raw_Events!$L:$L,Raw_Events!$C:$C,$A315,Raw_Events!$G:$G,"ALCOHOL")</f>
        <v/>
      </c>
      <c r="J315" s="16">
        <f>SUMIFS(Raw_Events!$H:$H,Raw_Events!$C:$C,$A315,Raw_Events!$G:$G,"UNHEALTHY_MEAL")</f>
        <v/>
      </c>
      <c r="K315" s="28">
        <f>SUMIFS(Raw_Events!$H:$H,Raw_Events!$C:$C,$A315,Raw_Events!$G:$G,"TRAINING_MIN")+SUMIFS(Raw_Events!$H:$H,Raw_Events!$C:$C,$A315,Raw_Events!$G:$G,"DICTION_TRAINING_MIN")</f>
        <v/>
      </c>
      <c r="L315" s="28" t="n"/>
      <c r="M315" s="16">
        <f>SUMIFS(Raw_Events!$H:$H,Raw_Events!$C:$C,$A315,Raw_Events!$G:$G,"IDEA")</f>
        <v/>
      </c>
      <c r="N315" s="16">
        <f>COUNTIFS(Raw_Events!$C:$C,$A315,Raw_Events!$G:$G,"SOCIAL_MEET")</f>
        <v/>
      </c>
      <c r="O315" s="16">
        <f>COUNTIFS(Raw_Events!$C:$C,$A315,Raw_Events!$G:$G,"DATE")</f>
        <v/>
      </c>
      <c r="P315" s="3">
        <f>COUNTIFS(Raw_Events!$C:$C,$A315,Raw_Events!$G:$G,"NEW_ACTIVITY")</f>
        <v/>
      </c>
      <c r="Q315" s="3">
        <f>SUMIFS(Raw_Events!$H:$H,Raw_Events!$C:$C,$A315,Raw_Events!$G:$G,"TRAVEL_NIGHT")</f>
        <v/>
      </c>
      <c r="R315" s="3" t="n"/>
    </row>
    <row r="316" ht="15" customHeight="1">
      <c r="A316" s="14" t="n">
        <v>46336</v>
      </c>
      <c r="B316" s="27">
        <f>SUMIFS(Raw_Events!$H:$H,Raw_Events!$C:$C,$A316,Raw_Events!$G:$G,"SLEEP_HOURS")</f>
        <v/>
      </c>
      <c r="C316" s="16">
        <f>COUNTIFS(Raw_Events!$C:$C,$A316,Raw_Events!$G:$G,"WORKOUT")</f>
        <v/>
      </c>
      <c r="D316" s="28">
        <f>SUMIFS(Raw_Events!$H:$H,Raw_Events!$C:$C,$A316,Raw_Events!$G:$G,"POSTURE_SESSION")</f>
        <v/>
      </c>
      <c r="E316" s="8">
        <f>IF($D316="","",IF($D316&gt;=Settings!$C$17,1,0))</f>
        <v/>
      </c>
      <c r="F316" s="28">
        <f>SUMIFS(Raw_Events!$H:$H,Raw_Events!$C:$C,$A316,Raw_Events!$G:$G,"MINDFULNESS_MIN")</f>
        <v/>
      </c>
      <c r="G316" s="8">
        <f>IF($F316="","",IF($F316&gt;0,1,0))</f>
        <v/>
      </c>
      <c r="H316" s="16">
        <f>SUMIFS(Raw_Events!$H:$H,Raw_Events!$C:$C,$A316,Raw_Events!$G:$G,"CIGARETTES")</f>
        <v/>
      </c>
      <c r="I316" s="29">
        <f>SUMIFS(Raw_Events!$L:$L,Raw_Events!$C:$C,$A316,Raw_Events!$G:$G,"ALCOHOL")</f>
        <v/>
      </c>
      <c r="J316" s="16">
        <f>SUMIFS(Raw_Events!$H:$H,Raw_Events!$C:$C,$A316,Raw_Events!$G:$G,"UNHEALTHY_MEAL")</f>
        <v/>
      </c>
      <c r="K316" s="28">
        <f>SUMIFS(Raw_Events!$H:$H,Raw_Events!$C:$C,$A316,Raw_Events!$G:$G,"TRAINING_MIN")+SUMIFS(Raw_Events!$H:$H,Raw_Events!$C:$C,$A316,Raw_Events!$G:$G,"DICTION_TRAINING_MIN")</f>
        <v/>
      </c>
      <c r="L316" s="28" t="n"/>
      <c r="M316" s="16">
        <f>SUMIFS(Raw_Events!$H:$H,Raw_Events!$C:$C,$A316,Raw_Events!$G:$G,"IDEA")</f>
        <v/>
      </c>
      <c r="N316" s="16">
        <f>COUNTIFS(Raw_Events!$C:$C,$A316,Raw_Events!$G:$G,"SOCIAL_MEET")</f>
        <v/>
      </c>
      <c r="O316" s="16">
        <f>COUNTIFS(Raw_Events!$C:$C,$A316,Raw_Events!$G:$G,"DATE")</f>
        <v/>
      </c>
      <c r="P316" s="3">
        <f>COUNTIFS(Raw_Events!$C:$C,$A316,Raw_Events!$G:$G,"NEW_ACTIVITY")</f>
        <v/>
      </c>
      <c r="Q316" s="3">
        <f>SUMIFS(Raw_Events!$H:$H,Raw_Events!$C:$C,$A316,Raw_Events!$G:$G,"TRAVEL_NIGHT")</f>
        <v/>
      </c>
      <c r="R316" s="3" t="n"/>
    </row>
    <row r="317" ht="15" customHeight="1">
      <c r="A317" s="14" t="n">
        <v>46337</v>
      </c>
      <c r="B317" s="27">
        <f>SUMIFS(Raw_Events!$H:$H,Raw_Events!$C:$C,$A317,Raw_Events!$G:$G,"SLEEP_HOURS")</f>
        <v/>
      </c>
      <c r="C317" s="16">
        <f>COUNTIFS(Raw_Events!$C:$C,$A317,Raw_Events!$G:$G,"WORKOUT")</f>
        <v/>
      </c>
      <c r="D317" s="28">
        <f>SUMIFS(Raw_Events!$H:$H,Raw_Events!$C:$C,$A317,Raw_Events!$G:$G,"POSTURE_SESSION")</f>
        <v/>
      </c>
      <c r="E317" s="8">
        <f>IF($D317="","",IF($D317&gt;=Settings!$C$17,1,0))</f>
        <v/>
      </c>
      <c r="F317" s="28">
        <f>SUMIFS(Raw_Events!$H:$H,Raw_Events!$C:$C,$A317,Raw_Events!$G:$G,"MINDFULNESS_MIN")</f>
        <v/>
      </c>
      <c r="G317" s="8">
        <f>IF($F317="","",IF($F317&gt;0,1,0))</f>
        <v/>
      </c>
      <c r="H317" s="16">
        <f>SUMIFS(Raw_Events!$H:$H,Raw_Events!$C:$C,$A317,Raw_Events!$G:$G,"CIGARETTES")</f>
        <v/>
      </c>
      <c r="I317" s="29">
        <f>SUMIFS(Raw_Events!$L:$L,Raw_Events!$C:$C,$A317,Raw_Events!$G:$G,"ALCOHOL")</f>
        <v/>
      </c>
      <c r="J317" s="16">
        <f>SUMIFS(Raw_Events!$H:$H,Raw_Events!$C:$C,$A317,Raw_Events!$G:$G,"UNHEALTHY_MEAL")</f>
        <v/>
      </c>
      <c r="K317" s="28">
        <f>SUMIFS(Raw_Events!$H:$H,Raw_Events!$C:$C,$A317,Raw_Events!$G:$G,"TRAINING_MIN")+SUMIFS(Raw_Events!$H:$H,Raw_Events!$C:$C,$A317,Raw_Events!$G:$G,"DICTION_TRAINING_MIN")</f>
        <v/>
      </c>
      <c r="L317" s="28" t="n"/>
      <c r="M317" s="16">
        <f>SUMIFS(Raw_Events!$H:$H,Raw_Events!$C:$C,$A317,Raw_Events!$G:$G,"IDEA")</f>
        <v/>
      </c>
      <c r="N317" s="16">
        <f>COUNTIFS(Raw_Events!$C:$C,$A317,Raw_Events!$G:$G,"SOCIAL_MEET")</f>
        <v/>
      </c>
      <c r="O317" s="16">
        <f>COUNTIFS(Raw_Events!$C:$C,$A317,Raw_Events!$G:$G,"DATE")</f>
        <v/>
      </c>
      <c r="P317" s="3">
        <f>COUNTIFS(Raw_Events!$C:$C,$A317,Raw_Events!$G:$G,"NEW_ACTIVITY")</f>
        <v/>
      </c>
      <c r="Q317" s="3">
        <f>SUMIFS(Raw_Events!$H:$H,Raw_Events!$C:$C,$A317,Raw_Events!$G:$G,"TRAVEL_NIGHT")</f>
        <v/>
      </c>
      <c r="R317" s="3" t="n"/>
    </row>
    <row r="318" ht="15" customHeight="1">
      <c r="A318" s="14" t="n">
        <v>46338</v>
      </c>
      <c r="B318" s="27">
        <f>SUMIFS(Raw_Events!$H:$H,Raw_Events!$C:$C,$A318,Raw_Events!$G:$G,"SLEEP_HOURS")</f>
        <v/>
      </c>
      <c r="C318" s="16">
        <f>COUNTIFS(Raw_Events!$C:$C,$A318,Raw_Events!$G:$G,"WORKOUT")</f>
        <v/>
      </c>
      <c r="D318" s="28">
        <f>SUMIFS(Raw_Events!$H:$H,Raw_Events!$C:$C,$A318,Raw_Events!$G:$G,"POSTURE_SESSION")</f>
        <v/>
      </c>
      <c r="E318" s="8">
        <f>IF($D318="","",IF($D318&gt;=Settings!$C$17,1,0))</f>
        <v/>
      </c>
      <c r="F318" s="28">
        <f>SUMIFS(Raw_Events!$H:$H,Raw_Events!$C:$C,$A318,Raw_Events!$G:$G,"MINDFULNESS_MIN")</f>
        <v/>
      </c>
      <c r="G318" s="8">
        <f>IF($F318="","",IF($F318&gt;0,1,0))</f>
        <v/>
      </c>
      <c r="H318" s="16">
        <f>SUMIFS(Raw_Events!$H:$H,Raw_Events!$C:$C,$A318,Raw_Events!$G:$G,"CIGARETTES")</f>
        <v/>
      </c>
      <c r="I318" s="29">
        <f>SUMIFS(Raw_Events!$L:$L,Raw_Events!$C:$C,$A318,Raw_Events!$G:$G,"ALCOHOL")</f>
        <v/>
      </c>
      <c r="J318" s="16">
        <f>SUMIFS(Raw_Events!$H:$H,Raw_Events!$C:$C,$A318,Raw_Events!$G:$G,"UNHEALTHY_MEAL")</f>
        <v/>
      </c>
      <c r="K318" s="28">
        <f>SUMIFS(Raw_Events!$H:$H,Raw_Events!$C:$C,$A318,Raw_Events!$G:$G,"TRAINING_MIN")+SUMIFS(Raw_Events!$H:$H,Raw_Events!$C:$C,$A318,Raw_Events!$G:$G,"DICTION_TRAINING_MIN")</f>
        <v/>
      </c>
      <c r="L318" s="28" t="n"/>
      <c r="M318" s="16">
        <f>SUMIFS(Raw_Events!$H:$H,Raw_Events!$C:$C,$A318,Raw_Events!$G:$G,"IDEA")</f>
        <v/>
      </c>
      <c r="N318" s="16">
        <f>COUNTIFS(Raw_Events!$C:$C,$A318,Raw_Events!$G:$G,"SOCIAL_MEET")</f>
        <v/>
      </c>
      <c r="O318" s="16">
        <f>COUNTIFS(Raw_Events!$C:$C,$A318,Raw_Events!$G:$G,"DATE")</f>
        <v/>
      </c>
      <c r="P318" s="3">
        <f>COUNTIFS(Raw_Events!$C:$C,$A318,Raw_Events!$G:$G,"NEW_ACTIVITY")</f>
        <v/>
      </c>
      <c r="Q318" s="3">
        <f>SUMIFS(Raw_Events!$H:$H,Raw_Events!$C:$C,$A318,Raw_Events!$G:$G,"TRAVEL_NIGHT")</f>
        <v/>
      </c>
      <c r="R318" s="3" t="n"/>
    </row>
    <row r="319" ht="15" customHeight="1">
      <c r="A319" s="14" t="n">
        <v>46339</v>
      </c>
      <c r="B319" s="27">
        <f>SUMIFS(Raw_Events!$H:$H,Raw_Events!$C:$C,$A319,Raw_Events!$G:$G,"SLEEP_HOURS")</f>
        <v/>
      </c>
      <c r="C319" s="16">
        <f>COUNTIFS(Raw_Events!$C:$C,$A319,Raw_Events!$G:$G,"WORKOUT")</f>
        <v/>
      </c>
      <c r="D319" s="28">
        <f>SUMIFS(Raw_Events!$H:$H,Raw_Events!$C:$C,$A319,Raw_Events!$G:$G,"POSTURE_SESSION")</f>
        <v/>
      </c>
      <c r="E319" s="8">
        <f>IF($D319="","",IF($D319&gt;=Settings!$C$17,1,0))</f>
        <v/>
      </c>
      <c r="F319" s="28">
        <f>SUMIFS(Raw_Events!$H:$H,Raw_Events!$C:$C,$A319,Raw_Events!$G:$G,"MINDFULNESS_MIN")</f>
        <v/>
      </c>
      <c r="G319" s="8">
        <f>IF($F319="","",IF($F319&gt;0,1,0))</f>
        <v/>
      </c>
      <c r="H319" s="16">
        <f>SUMIFS(Raw_Events!$H:$H,Raw_Events!$C:$C,$A319,Raw_Events!$G:$G,"CIGARETTES")</f>
        <v/>
      </c>
      <c r="I319" s="29">
        <f>SUMIFS(Raw_Events!$L:$L,Raw_Events!$C:$C,$A319,Raw_Events!$G:$G,"ALCOHOL")</f>
        <v/>
      </c>
      <c r="J319" s="16">
        <f>SUMIFS(Raw_Events!$H:$H,Raw_Events!$C:$C,$A319,Raw_Events!$G:$G,"UNHEALTHY_MEAL")</f>
        <v/>
      </c>
      <c r="K319" s="28">
        <f>SUMIFS(Raw_Events!$H:$H,Raw_Events!$C:$C,$A319,Raw_Events!$G:$G,"TRAINING_MIN")+SUMIFS(Raw_Events!$H:$H,Raw_Events!$C:$C,$A319,Raw_Events!$G:$G,"DICTION_TRAINING_MIN")</f>
        <v/>
      </c>
      <c r="L319" s="28" t="n"/>
      <c r="M319" s="16">
        <f>SUMIFS(Raw_Events!$H:$H,Raw_Events!$C:$C,$A319,Raw_Events!$G:$G,"IDEA")</f>
        <v/>
      </c>
      <c r="N319" s="16">
        <f>COUNTIFS(Raw_Events!$C:$C,$A319,Raw_Events!$G:$G,"SOCIAL_MEET")</f>
        <v/>
      </c>
      <c r="O319" s="16">
        <f>COUNTIFS(Raw_Events!$C:$C,$A319,Raw_Events!$G:$G,"DATE")</f>
        <v/>
      </c>
      <c r="P319" s="3">
        <f>COUNTIFS(Raw_Events!$C:$C,$A319,Raw_Events!$G:$G,"NEW_ACTIVITY")</f>
        <v/>
      </c>
      <c r="Q319" s="3">
        <f>SUMIFS(Raw_Events!$H:$H,Raw_Events!$C:$C,$A319,Raw_Events!$G:$G,"TRAVEL_NIGHT")</f>
        <v/>
      </c>
      <c r="R319" s="3" t="n"/>
    </row>
    <row r="320" ht="15" customHeight="1">
      <c r="A320" s="14" t="n">
        <v>46340</v>
      </c>
      <c r="B320" s="27">
        <f>SUMIFS(Raw_Events!$H:$H,Raw_Events!$C:$C,$A320,Raw_Events!$G:$G,"SLEEP_HOURS")</f>
        <v/>
      </c>
      <c r="C320" s="16">
        <f>COUNTIFS(Raw_Events!$C:$C,$A320,Raw_Events!$G:$G,"WORKOUT")</f>
        <v/>
      </c>
      <c r="D320" s="28">
        <f>SUMIFS(Raw_Events!$H:$H,Raw_Events!$C:$C,$A320,Raw_Events!$G:$G,"POSTURE_SESSION")</f>
        <v/>
      </c>
      <c r="E320" s="8">
        <f>IF($D320="","",IF($D320&gt;=Settings!$C$17,1,0))</f>
        <v/>
      </c>
      <c r="F320" s="28">
        <f>SUMIFS(Raw_Events!$H:$H,Raw_Events!$C:$C,$A320,Raw_Events!$G:$G,"MINDFULNESS_MIN")</f>
        <v/>
      </c>
      <c r="G320" s="8">
        <f>IF($F320="","",IF($F320&gt;0,1,0))</f>
        <v/>
      </c>
      <c r="H320" s="16">
        <f>SUMIFS(Raw_Events!$H:$H,Raw_Events!$C:$C,$A320,Raw_Events!$G:$G,"CIGARETTES")</f>
        <v/>
      </c>
      <c r="I320" s="29">
        <f>SUMIFS(Raw_Events!$L:$L,Raw_Events!$C:$C,$A320,Raw_Events!$G:$G,"ALCOHOL")</f>
        <v/>
      </c>
      <c r="J320" s="16">
        <f>SUMIFS(Raw_Events!$H:$H,Raw_Events!$C:$C,$A320,Raw_Events!$G:$G,"UNHEALTHY_MEAL")</f>
        <v/>
      </c>
      <c r="K320" s="28">
        <f>SUMIFS(Raw_Events!$H:$H,Raw_Events!$C:$C,$A320,Raw_Events!$G:$G,"TRAINING_MIN")+SUMIFS(Raw_Events!$H:$H,Raw_Events!$C:$C,$A320,Raw_Events!$G:$G,"DICTION_TRAINING_MIN")</f>
        <v/>
      </c>
      <c r="L320" s="28" t="n"/>
      <c r="M320" s="16">
        <f>SUMIFS(Raw_Events!$H:$H,Raw_Events!$C:$C,$A320,Raw_Events!$G:$G,"IDEA")</f>
        <v/>
      </c>
      <c r="N320" s="16">
        <f>COUNTIFS(Raw_Events!$C:$C,$A320,Raw_Events!$G:$G,"SOCIAL_MEET")</f>
        <v/>
      </c>
      <c r="O320" s="16">
        <f>COUNTIFS(Raw_Events!$C:$C,$A320,Raw_Events!$G:$G,"DATE")</f>
        <v/>
      </c>
      <c r="P320" s="3">
        <f>COUNTIFS(Raw_Events!$C:$C,$A320,Raw_Events!$G:$G,"NEW_ACTIVITY")</f>
        <v/>
      </c>
      <c r="Q320" s="3">
        <f>SUMIFS(Raw_Events!$H:$H,Raw_Events!$C:$C,$A320,Raw_Events!$G:$G,"TRAVEL_NIGHT")</f>
        <v/>
      </c>
      <c r="R320" s="3" t="n"/>
    </row>
    <row r="321" ht="15" customHeight="1">
      <c r="A321" s="14" t="n">
        <v>46341</v>
      </c>
      <c r="B321" s="27">
        <f>SUMIFS(Raw_Events!$H:$H,Raw_Events!$C:$C,$A321,Raw_Events!$G:$G,"SLEEP_HOURS")</f>
        <v/>
      </c>
      <c r="C321" s="16">
        <f>COUNTIFS(Raw_Events!$C:$C,$A321,Raw_Events!$G:$G,"WORKOUT")</f>
        <v/>
      </c>
      <c r="D321" s="28">
        <f>SUMIFS(Raw_Events!$H:$H,Raw_Events!$C:$C,$A321,Raw_Events!$G:$G,"POSTURE_SESSION")</f>
        <v/>
      </c>
      <c r="E321" s="8">
        <f>IF($D321="","",IF($D321&gt;=Settings!$C$17,1,0))</f>
        <v/>
      </c>
      <c r="F321" s="28">
        <f>SUMIFS(Raw_Events!$H:$H,Raw_Events!$C:$C,$A321,Raw_Events!$G:$G,"MINDFULNESS_MIN")</f>
        <v/>
      </c>
      <c r="G321" s="8">
        <f>IF($F321="","",IF($F321&gt;0,1,0))</f>
        <v/>
      </c>
      <c r="H321" s="16">
        <f>SUMIFS(Raw_Events!$H:$H,Raw_Events!$C:$C,$A321,Raw_Events!$G:$G,"CIGARETTES")</f>
        <v/>
      </c>
      <c r="I321" s="29">
        <f>SUMIFS(Raw_Events!$L:$L,Raw_Events!$C:$C,$A321,Raw_Events!$G:$G,"ALCOHOL")</f>
        <v/>
      </c>
      <c r="J321" s="16">
        <f>SUMIFS(Raw_Events!$H:$H,Raw_Events!$C:$C,$A321,Raw_Events!$G:$G,"UNHEALTHY_MEAL")</f>
        <v/>
      </c>
      <c r="K321" s="28">
        <f>SUMIFS(Raw_Events!$H:$H,Raw_Events!$C:$C,$A321,Raw_Events!$G:$G,"TRAINING_MIN")+SUMIFS(Raw_Events!$H:$H,Raw_Events!$C:$C,$A321,Raw_Events!$G:$G,"DICTION_TRAINING_MIN")</f>
        <v/>
      </c>
      <c r="L321" s="28" t="n"/>
      <c r="M321" s="16">
        <f>SUMIFS(Raw_Events!$H:$H,Raw_Events!$C:$C,$A321,Raw_Events!$G:$G,"IDEA")</f>
        <v/>
      </c>
      <c r="N321" s="16">
        <f>COUNTIFS(Raw_Events!$C:$C,$A321,Raw_Events!$G:$G,"SOCIAL_MEET")</f>
        <v/>
      </c>
      <c r="O321" s="16">
        <f>COUNTIFS(Raw_Events!$C:$C,$A321,Raw_Events!$G:$G,"DATE")</f>
        <v/>
      </c>
      <c r="P321" s="3">
        <f>COUNTIFS(Raw_Events!$C:$C,$A321,Raw_Events!$G:$G,"NEW_ACTIVITY")</f>
        <v/>
      </c>
      <c r="Q321" s="3">
        <f>SUMIFS(Raw_Events!$H:$H,Raw_Events!$C:$C,$A321,Raw_Events!$G:$G,"TRAVEL_NIGHT")</f>
        <v/>
      </c>
      <c r="R321" s="3" t="n"/>
    </row>
    <row r="322" ht="15" customHeight="1">
      <c r="A322" s="14" t="n">
        <v>46342</v>
      </c>
      <c r="B322" s="27">
        <f>SUMIFS(Raw_Events!$H:$H,Raw_Events!$C:$C,$A322,Raw_Events!$G:$G,"SLEEP_HOURS")</f>
        <v/>
      </c>
      <c r="C322" s="16">
        <f>COUNTIFS(Raw_Events!$C:$C,$A322,Raw_Events!$G:$G,"WORKOUT")</f>
        <v/>
      </c>
      <c r="D322" s="28">
        <f>SUMIFS(Raw_Events!$H:$H,Raw_Events!$C:$C,$A322,Raw_Events!$G:$G,"POSTURE_SESSION")</f>
        <v/>
      </c>
      <c r="E322" s="8">
        <f>IF($D322="","",IF($D322&gt;=Settings!$C$17,1,0))</f>
        <v/>
      </c>
      <c r="F322" s="28">
        <f>SUMIFS(Raw_Events!$H:$H,Raw_Events!$C:$C,$A322,Raw_Events!$G:$G,"MINDFULNESS_MIN")</f>
        <v/>
      </c>
      <c r="G322" s="8">
        <f>IF($F322="","",IF($F322&gt;0,1,0))</f>
        <v/>
      </c>
      <c r="H322" s="16">
        <f>SUMIFS(Raw_Events!$H:$H,Raw_Events!$C:$C,$A322,Raw_Events!$G:$G,"CIGARETTES")</f>
        <v/>
      </c>
      <c r="I322" s="29">
        <f>SUMIFS(Raw_Events!$L:$L,Raw_Events!$C:$C,$A322,Raw_Events!$G:$G,"ALCOHOL")</f>
        <v/>
      </c>
      <c r="J322" s="16">
        <f>SUMIFS(Raw_Events!$H:$H,Raw_Events!$C:$C,$A322,Raw_Events!$G:$G,"UNHEALTHY_MEAL")</f>
        <v/>
      </c>
      <c r="K322" s="28">
        <f>SUMIFS(Raw_Events!$H:$H,Raw_Events!$C:$C,$A322,Raw_Events!$G:$G,"TRAINING_MIN")+SUMIFS(Raw_Events!$H:$H,Raw_Events!$C:$C,$A322,Raw_Events!$G:$G,"DICTION_TRAINING_MIN")</f>
        <v/>
      </c>
      <c r="L322" s="28" t="n"/>
      <c r="M322" s="16">
        <f>SUMIFS(Raw_Events!$H:$H,Raw_Events!$C:$C,$A322,Raw_Events!$G:$G,"IDEA")</f>
        <v/>
      </c>
      <c r="N322" s="16">
        <f>COUNTIFS(Raw_Events!$C:$C,$A322,Raw_Events!$G:$G,"SOCIAL_MEET")</f>
        <v/>
      </c>
      <c r="O322" s="16">
        <f>COUNTIFS(Raw_Events!$C:$C,$A322,Raw_Events!$G:$G,"DATE")</f>
        <v/>
      </c>
      <c r="P322" s="3">
        <f>COUNTIFS(Raw_Events!$C:$C,$A322,Raw_Events!$G:$G,"NEW_ACTIVITY")</f>
        <v/>
      </c>
      <c r="Q322" s="3">
        <f>SUMIFS(Raw_Events!$H:$H,Raw_Events!$C:$C,$A322,Raw_Events!$G:$G,"TRAVEL_NIGHT")</f>
        <v/>
      </c>
      <c r="R322" s="3" t="n"/>
    </row>
    <row r="323" ht="15" customHeight="1">
      <c r="A323" s="14" t="n">
        <v>46343</v>
      </c>
      <c r="B323" s="27">
        <f>SUMIFS(Raw_Events!$H:$H,Raw_Events!$C:$C,$A323,Raw_Events!$G:$G,"SLEEP_HOURS")</f>
        <v/>
      </c>
      <c r="C323" s="16">
        <f>COUNTIFS(Raw_Events!$C:$C,$A323,Raw_Events!$G:$G,"WORKOUT")</f>
        <v/>
      </c>
      <c r="D323" s="28">
        <f>SUMIFS(Raw_Events!$H:$H,Raw_Events!$C:$C,$A323,Raw_Events!$G:$G,"POSTURE_SESSION")</f>
        <v/>
      </c>
      <c r="E323" s="8">
        <f>IF($D323="","",IF($D323&gt;=Settings!$C$17,1,0))</f>
        <v/>
      </c>
      <c r="F323" s="28">
        <f>SUMIFS(Raw_Events!$H:$H,Raw_Events!$C:$C,$A323,Raw_Events!$G:$G,"MINDFULNESS_MIN")</f>
        <v/>
      </c>
      <c r="G323" s="8">
        <f>IF($F323="","",IF($F323&gt;0,1,0))</f>
        <v/>
      </c>
      <c r="H323" s="16">
        <f>SUMIFS(Raw_Events!$H:$H,Raw_Events!$C:$C,$A323,Raw_Events!$G:$G,"CIGARETTES")</f>
        <v/>
      </c>
      <c r="I323" s="29">
        <f>SUMIFS(Raw_Events!$L:$L,Raw_Events!$C:$C,$A323,Raw_Events!$G:$G,"ALCOHOL")</f>
        <v/>
      </c>
      <c r="J323" s="16">
        <f>SUMIFS(Raw_Events!$H:$H,Raw_Events!$C:$C,$A323,Raw_Events!$G:$G,"UNHEALTHY_MEAL")</f>
        <v/>
      </c>
      <c r="K323" s="28">
        <f>SUMIFS(Raw_Events!$H:$H,Raw_Events!$C:$C,$A323,Raw_Events!$G:$G,"TRAINING_MIN")+SUMIFS(Raw_Events!$H:$H,Raw_Events!$C:$C,$A323,Raw_Events!$G:$G,"DICTION_TRAINING_MIN")</f>
        <v/>
      </c>
      <c r="L323" s="28" t="n"/>
      <c r="M323" s="16">
        <f>SUMIFS(Raw_Events!$H:$H,Raw_Events!$C:$C,$A323,Raw_Events!$G:$G,"IDEA")</f>
        <v/>
      </c>
      <c r="N323" s="16">
        <f>COUNTIFS(Raw_Events!$C:$C,$A323,Raw_Events!$G:$G,"SOCIAL_MEET")</f>
        <v/>
      </c>
      <c r="O323" s="16">
        <f>COUNTIFS(Raw_Events!$C:$C,$A323,Raw_Events!$G:$G,"DATE")</f>
        <v/>
      </c>
      <c r="P323" s="3">
        <f>COUNTIFS(Raw_Events!$C:$C,$A323,Raw_Events!$G:$G,"NEW_ACTIVITY")</f>
        <v/>
      </c>
      <c r="Q323" s="3">
        <f>SUMIFS(Raw_Events!$H:$H,Raw_Events!$C:$C,$A323,Raw_Events!$G:$G,"TRAVEL_NIGHT")</f>
        <v/>
      </c>
      <c r="R323" s="3" t="n"/>
    </row>
    <row r="324" ht="15" customHeight="1">
      <c r="A324" s="14" t="n">
        <v>46344</v>
      </c>
      <c r="B324" s="27">
        <f>SUMIFS(Raw_Events!$H:$H,Raw_Events!$C:$C,$A324,Raw_Events!$G:$G,"SLEEP_HOURS")</f>
        <v/>
      </c>
      <c r="C324" s="16">
        <f>COUNTIFS(Raw_Events!$C:$C,$A324,Raw_Events!$G:$G,"WORKOUT")</f>
        <v/>
      </c>
      <c r="D324" s="28">
        <f>SUMIFS(Raw_Events!$H:$H,Raw_Events!$C:$C,$A324,Raw_Events!$G:$G,"POSTURE_SESSION")</f>
        <v/>
      </c>
      <c r="E324" s="8">
        <f>IF($D324="","",IF($D324&gt;=Settings!$C$17,1,0))</f>
        <v/>
      </c>
      <c r="F324" s="28">
        <f>SUMIFS(Raw_Events!$H:$H,Raw_Events!$C:$C,$A324,Raw_Events!$G:$G,"MINDFULNESS_MIN")</f>
        <v/>
      </c>
      <c r="G324" s="8">
        <f>IF($F324="","",IF($F324&gt;0,1,0))</f>
        <v/>
      </c>
      <c r="H324" s="16">
        <f>SUMIFS(Raw_Events!$H:$H,Raw_Events!$C:$C,$A324,Raw_Events!$G:$G,"CIGARETTES")</f>
        <v/>
      </c>
      <c r="I324" s="29">
        <f>SUMIFS(Raw_Events!$L:$L,Raw_Events!$C:$C,$A324,Raw_Events!$G:$G,"ALCOHOL")</f>
        <v/>
      </c>
      <c r="J324" s="16">
        <f>SUMIFS(Raw_Events!$H:$H,Raw_Events!$C:$C,$A324,Raw_Events!$G:$G,"UNHEALTHY_MEAL")</f>
        <v/>
      </c>
      <c r="K324" s="28">
        <f>SUMIFS(Raw_Events!$H:$H,Raw_Events!$C:$C,$A324,Raw_Events!$G:$G,"TRAINING_MIN")+SUMIFS(Raw_Events!$H:$H,Raw_Events!$C:$C,$A324,Raw_Events!$G:$G,"DICTION_TRAINING_MIN")</f>
        <v/>
      </c>
      <c r="L324" s="28" t="n"/>
      <c r="M324" s="16">
        <f>SUMIFS(Raw_Events!$H:$H,Raw_Events!$C:$C,$A324,Raw_Events!$G:$G,"IDEA")</f>
        <v/>
      </c>
      <c r="N324" s="16">
        <f>COUNTIFS(Raw_Events!$C:$C,$A324,Raw_Events!$G:$G,"SOCIAL_MEET")</f>
        <v/>
      </c>
      <c r="O324" s="16">
        <f>COUNTIFS(Raw_Events!$C:$C,$A324,Raw_Events!$G:$G,"DATE")</f>
        <v/>
      </c>
      <c r="P324" s="3">
        <f>COUNTIFS(Raw_Events!$C:$C,$A324,Raw_Events!$G:$G,"NEW_ACTIVITY")</f>
        <v/>
      </c>
      <c r="Q324" s="3">
        <f>SUMIFS(Raw_Events!$H:$H,Raw_Events!$C:$C,$A324,Raw_Events!$G:$G,"TRAVEL_NIGHT")</f>
        <v/>
      </c>
      <c r="R324" s="3" t="n"/>
    </row>
    <row r="325" ht="15" customHeight="1">
      <c r="A325" s="14" t="n">
        <v>46345</v>
      </c>
      <c r="B325" s="27">
        <f>SUMIFS(Raw_Events!$H:$H,Raw_Events!$C:$C,$A325,Raw_Events!$G:$G,"SLEEP_HOURS")</f>
        <v/>
      </c>
      <c r="C325" s="16">
        <f>COUNTIFS(Raw_Events!$C:$C,$A325,Raw_Events!$G:$G,"WORKOUT")</f>
        <v/>
      </c>
      <c r="D325" s="28">
        <f>SUMIFS(Raw_Events!$H:$H,Raw_Events!$C:$C,$A325,Raw_Events!$G:$G,"POSTURE_SESSION")</f>
        <v/>
      </c>
      <c r="E325" s="8">
        <f>IF($D325="","",IF($D325&gt;=Settings!$C$17,1,0))</f>
        <v/>
      </c>
      <c r="F325" s="28">
        <f>SUMIFS(Raw_Events!$H:$H,Raw_Events!$C:$C,$A325,Raw_Events!$G:$G,"MINDFULNESS_MIN")</f>
        <v/>
      </c>
      <c r="G325" s="8">
        <f>IF($F325="","",IF($F325&gt;0,1,0))</f>
        <v/>
      </c>
      <c r="H325" s="16">
        <f>SUMIFS(Raw_Events!$H:$H,Raw_Events!$C:$C,$A325,Raw_Events!$G:$G,"CIGARETTES")</f>
        <v/>
      </c>
      <c r="I325" s="29">
        <f>SUMIFS(Raw_Events!$L:$L,Raw_Events!$C:$C,$A325,Raw_Events!$G:$G,"ALCOHOL")</f>
        <v/>
      </c>
      <c r="J325" s="16">
        <f>SUMIFS(Raw_Events!$H:$H,Raw_Events!$C:$C,$A325,Raw_Events!$G:$G,"UNHEALTHY_MEAL")</f>
        <v/>
      </c>
      <c r="K325" s="28">
        <f>SUMIFS(Raw_Events!$H:$H,Raw_Events!$C:$C,$A325,Raw_Events!$G:$G,"TRAINING_MIN")+SUMIFS(Raw_Events!$H:$H,Raw_Events!$C:$C,$A325,Raw_Events!$G:$G,"DICTION_TRAINING_MIN")</f>
        <v/>
      </c>
      <c r="L325" s="28" t="n"/>
      <c r="M325" s="16">
        <f>SUMIFS(Raw_Events!$H:$H,Raw_Events!$C:$C,$A325,Raw_Events!$G:$G,"IDEA")</f>
        <v/>
      </c>
      <c r="N325" s="16">
        <f>COUNTIFS(Raw_Events!$C:$C,$A325,Raw_Events!$G:$G,"SOCIAL_MEET")</f>
        <v/>
      </c>
      <c r="O325" s="16">
        <f>COUNTIFS(Raw_Events!$C:$C,$A325,Raw_Events!$G:$G,"DATE")</f>
        <v/>
      </c>
      <c r="P325" s="3">
        <f>COUNTIFS(Raw_Events!$C:$C,$A325,Raw_Events!$G:$G,"NEW_ACTIVITY")</f>
        <v/>
      </c>
      <c r="Q325" s="3">
        <f>SUMIFS(Raw_Events!$H:$H,Raw_Events!$C:$C,$A325,Raw_Events!$G:$G,"TRAVEL_NIGHT")</f>
        <v/>
      </c>
      <c r="R325" s="3" t="n"/>
    </row>
    <row r="326" ht="15" customHeight="1">
      <c r="A326" s="14" t="n">
        <v>46346</v>
      </c>
      <c r="B326" s="27">
        <f>SUMIFS(Raw_Events!$H:$H,Raw_Events!$C:$C,$A326,Raw_Events!$G:$G,"SLEEP_HOURS")</f>
        <v/>
      </c>
      <c r="C326" s="16">
        <f>COUNTIFS(Raw_Events!$C:$C,$A326,Raw_Events!$G:$G,"WORKOUT")</f>
        <v/>
      </c>
      <c r="D326" s="28">
        <f>SUMIFS(Raw_Events!$H:$H,Raw_Events!$C:$C,$A326,Raw_Events!$G:$G,"POSTURE_SESSION")</f>
        <v/>
      </c>
      <c r="E326" s="8">
        <f>IF($D326="","",IF($D326&gt;=Settings!$C$17,1,0))</f>
        <v/>
      </c>
      <c r="F326" s="28">
        <f>SUMIFS(Raw_Events!$H:$H,Raw_Events!$C:$C,$A326,Raw_Events!$G:$G,"MINDFULNESS_MIN")</f>
        <v/>
      </c>
      <c r="G326" s="8">
        <f>IF($F326="","",IF($F326&gt;0,1,0))</f>
        <v/>
      </c>
      <c r="H326" s="16">
        <f>SUMIFS(Raw_Events!$H:$H,Raw_Events!$C:$C,$A326,Raw_Events!$G:$G,"CIGARETTES")</f>
        <v/>
      </c>
      <c r="I326" s="29">
        <f>SUMIFS(Raw_Events!$L:$L,Raw_Events!$C:$C,$A326,Raw_Events!$G:$G,"ALCOHOL")</f>
        <v/>
      </c>
      <c r="J326" s="16">
        <f>SUMIFS(Raw_Events!$H:$H,Raw_Events!$C:$C,$A326,Raw_Events!$G:$G,"UNHEALTHY_MEAL")</f>
        <v/>
      </c>
      <c r="K326" s="28">
        <f>SUMIFS(Raw_Events!$H:$H,Raw_Events!$C:$C,$A326,Raw_Events!$G:$G,"TRAINING_MIN")+SUMIFS(Raw_Events!$H:$H,Raw_Events!$C:$C,$A326,Raw_Events!$G:$G,"DICTION_TRAINING_MIN")</f>
        <v/>
      </c>
      <c r="L326" s="28" t="n"/>
      <c r="M326" s="16">
        <f>SUMIFS(Raw_Events!$H:$H,Raw_Events!$C:$C,$A326,Raw_Events!$G:$G,"IDEA")</f>
        <v/>
      </c>
      <c r="N326" s="16">
        <f>COUNTIFS(Raw_Events!$C:$C,$A326,Raw_Events!$G:$G,"SOCIAL_MEET")</f>
        <v/>
      </c>
      <c r="O326" s="16">
        <f>COUNTIFS(Raw_Events!$C:$C,$A326,Raw_Events!$G:$G,"DATE")</f>
        <v/>
      </c>
      <c r="P326" s="3">
        <f>COUNTIFS(Raw_Events!$C:$C,$A326,Raw_Events!$G:$G,"NEW_ACTIVITY")</f>
        <v/>
      </c>
      <c r="Q326" s="3">
        <f>SUMIFS(Raw_Events!$H:$H,Raw_Events!$C:$C,$A326,Raw_Events!$G:$G,"TRAVEL_NIGHT")</f>
        <v/>
      </c>
      <c r="R326" s="3" t="n"/>
    </row>
    <row r="327" ht="15" customHeight="1">
      <c r="A327" s="14" t="n">
        <v>46347</v>
      </c>
      <c r="B327" s="27">
        <f>SUMIFS(Raw_Events!$H:$H,Raw_Events!$C:$C,$A327,Raw_Events!$G:$G,"SLEEP_HOURS")</f>
        <v/>
      </c>
      <c r="C327" s="16">
        <f>COUNTIFS(Raw_Events!$C:$C,$A327,Raw_Events!$G:$G,"WORKOUT")</f>
        <v/>
      </c>
      <c r="D327" s="28">
        <f>SUMIFS(Raw_Events!$H:$H,Raw_Events!$C:$C,$A327,Raw_Events!$G:$G,"POSTURE_SESSION")</f>
        <v/>
      </c>
      <c r="E327" s="8">
        <f>IF($D327="","",IF($D327&gt;=Settings!$C$17,1,0))</f>
        <v/>
      </c>
      <c r="F327" s="28">
        <f>SUMIFS(Raw_Events!$H:$H,Raw_Events!$C:$C,$A327,Raw_Events!$G:$G,"MINDFULNESS_MIN")</f>
        <v/>
      </c>
      <c r="G327" s="8">
        <f>IF($F327="","",IF($F327&gt;0,1,0))</f>
        <v/>
      </c>
      <c r="H327" s="16">
        <f>SUMIFS(Raw_Events!$H:$H,Raw_Events!$C:$C,$A327,Raw_Events!$G:$G,"CIGARETTES")</f>
        <v/>
      </c>
      <c r="I327" s="29">
        <f>SUMIFS(Raw_Events!$L:$L,Raw_Events!$C:$C,$A327,Raw_Events!$G:$G,"ALCOHOL")</f>
        <v/>
      </c>
      <c r="J327" s="16">
        <f>SUMIFS(Raw_Events!$H:$H,Raw_Events!$C:$C,$A327,Raw_Events!$G:$G,"UNHEALTHY_MEAL")</f>
        <v/>
      </c>
      <c r="K327" s="28">
        <f>SUMIFS(Raw_Events!$H:$H,Raw_Events!$C:$C,$A327,Raw_Events!$G:$G,"TRAINING_MIN")+SUMIFS(Raw_Events!$H:$H,Raw_Events!$C:$C,$A327,Raw_Events!$G:$G,"DICTION_TRAINING_MIN")</f>
        <v/>
      </c>
      <c r="L327" s="28" t="n"/>
      <c r="M327" s="16">
        <f>SUMIFS(Raw_Events!$H:$H,Raw_Events!$C:$C,$A327,Raw_Events!$G:$G,"IDEA")</f>
        <v/>
      </c>
      <c r="N327" s="16">
        <f>COUNTIFS(Raw_Events!$C:$C,$A327,Raw_Events!$G:$G,"SOCIAL_MEET")</f>
        <v/>
      </c>
      <c r="O327" s="16">
        <f>COUNTIFS(Raw_Events!$C:$C,$A327,Raw_Events!$G:$G,"DATE")</f>
        <v/>
      </c>
      <c r="P327" s="3">
        <f>COUNTIFS(Raw_Events!$C:$C,$A327,Raw_Events!$G:$G,"NEW_ACTIVITY")</f>
        <v/>
      </c>
      <c r="Q327" s="3">
        <f>SUMIFS(Raw_Events!$H:$H,Raw_Events!$C:$C,$A327,Raw_Events!$G:$G,"TRAVEL_NIGHT")</f>
        <v/>
      </c>
      <c r="R327" s="3" t="n"/>
    </row>
    <row r="328" ht="15" customHeight="1">
      <c r="A328" s="14" t="n">
        <v>46348</v>
      </c>
      <c r="B328" s="27">
        <f>SUMIFS(Raw_Events!$H:$H,Raw_Events!$C:$C,$A328,Raw_Events!$G:$G,"SLEEP_HOURS")</f>
        <v/>
      </c>
      <c r="C328" s="16">
        <f>COUNTIFS(Raw_Events!$C:$C,$A328,Raw_Events!$G:$G,"WORKOUT")</f>
        <v/>
      </c>
      <c r="D328" s="28">
        <f>SUMIFS(Raw_Events!$H:$H,Raw_Events!$C:$C,$A328,Raw_Events!$G:$G,"POSTURE_SESSION")</f>
        <v/>
      </c>
      <c r="E328" s="8">
        <f>IF($D328="","",IF($D328&gt;=Settings!$C$17,1,0))</f>
        <v/>
      </c>
      <c r="F328" s="28">
        <f>SUMIFS(Raw_Events!$H:$H,Raw_Events!$C:$C,$A328,Raw_Events!$G:$G,"MINDFULNESS_MIN")</f>
        <v/>
      </c>
      <c r="G328" s="8">
        <f>IF($F328="","",IF($F328&gt;0,1,0))</f>
        <v/>
      </c>
      <c r="H328" s="16">
        <f>SUMIFS(Raw_Events!$H:$H,Raw_Events!$C:$C,$A328,Raw_Events!$G:$G,"CIGARETTES")</f>
        <v/>
      </c>
      <c r="I328" s="29">
        <f>SUMIFS(Raw_Events!$L:$L,Raw_Events!$C:$C,$A328,Raw_Events!$G:$G,"ALCOHOL")</f>
        <v/>
      </c>
      <c r="J328" s="16">
        <f>SUMIFS(Raw_Events!$H:$H,Raw_Events!$C:$C,$A328,Raw_Events!$G:$G,"UNHEALTHY_MEAL")</f>
        <v/>
      </c>
      <c r="K328" s="28">
        <f>SUMIFS(Raw_Events!$H:$H,Raw_Events!$C:$C,$A328,Raw_Events!$G:$G,"TRAINING_MIN")+SUMIFS(Raw_Events!$H:$H,Raw_Events!$C:$C,$A328,Raw_Events!$G:$G,"DICTION_TRAINING_MIN")</f>
        <v/>
      </c>
      <c r="L328" s="28" t="n"/>
      <c r="M328" s="16">
        <f>SUMIFS(Raw_Events!$H:$H,Raw_Events!$C:$C,$A328,Raw_Events!$G:$G,"IDEA")</f>
        <v/>
      </c>
      <c r="N328" s="16">
        <f>COUNTIFS(Raw_Events!$C:$C,$A328,Raw_Events!$G:$G,"SOCIAL_MEET")</f>
        <v/>
      </c>
      <c r="O328" s="16">
        <f>COUNTIFS(Raw_Events!$C:$C,$A328,Raw_Events!$G:$G,"DATE")</f>
        <v/>
      </c>
      <c r="P328" s="3">
        <f>COUNTIFS(Raw_Events!$C:$C,$A328,Raw_Events!$G:$G,"NEW_ACTIVITY")</f>
        <v/>
      </c>
      <c r="Q328" s="3">
        <f>SUMIFS(Raw_Events!$H:$H,Raw_Events!$C:$C,$A328,Raw_Events!$G:$G,"TRAVEL_NIGHT")</f>
        <v/>
      </c>
      <c r="R328" s="3" t="n"/>
    </row>
    <row r="329" ht="15" customHeight="1">
      <c r="A329" s="14" t="n">
        <v>46349</v>
      </c>
      <c r="B329" s="27">
        <f>SUMIFS(Raw_Events!$H:$H,Raw_Events!$C:$C,$A329,Raw_Events!$G:$G,"SLEEP_HOURS")</f>
        <v/>
      </c>
      <c r="C329" s="16">
        <f>COUNTIFS(Raw_Events!$C:$C,$A329,Raw_Events!$G:$G,"WORKOUT")</f>
        <v/>
      </c>
      <c r="D329" s="28">
        <f>SUMIFS(Raw_Events!$H:$H,Raw_Events!$C:$C,$A329,Raw_Events!$G:$G,"POSTURE_SESSION")</f>
        <v/>
      </c>
      <c r="E329" s="8">
        <f>IF($D329="","",IF($D329&gt;=Settings!$C$17,1,0))</f>
        <v/>
      </c>
      <c r="F329" s="28">
        <f>SUMIFS(Raw_Events!$H:$H,Raw_Events!$C:$C,$A329,Raw_Events!$G:$G,"MINDFULNESS_MIN")</f>
        <v/>
      </c>
      <c r="G329" s="8">
        <f>IF($F329="","",IF($F329&gt;0,1,0))</f>
        <v/>
      </c>
      <c r="H329" s="16">
        <f>SUMIFS(Raw_Events!$H:$H,Raw_Events!$C:$C,$A329,Raw_Events!$G:$G,"CIGARETTES")</f>
        <v/>
      </c>
      <c r="I329" s="29">
        <f>SUMIFS(Raw_Events!$L:$L,Raw_Events!$C:$C,$A329,Raw_Events!$G:$G,"ALCOHOL")</f>
        <v/>
      </c>
      <c r="J329" s="16">
        <f>SUMIFS(Raw_Events!$H:$H,Raw_Events!$C:$C,$A329,Raw_Events!$G:$G,"UNHEALTHY_MEAL")</f>
        <v/>
      </c>
      <c r="K329" s="28">
        <f>SUMIFS(Raw_Events!$H:$H,Raw_Events!$C:$C,$A329,Raw_Events!$G:$G,"TRAINING_MIN")+SUMIFS(Raw_Events!$H:$H,Raw_Events!$C:$C,$A329,Raw_Events!$G:$G,"DICTION_TRAINING_MIN")</f>
        <v/>
      </c>
      <c r="L329" s="28" t="n"/>
      <c r="M329" s="16">
        <f>SUMIFS(Raw_Events!$H:$H,Raw_Events!$C:$C,$A329,Raw_Events!$G:$G,"IDEA")</f>
        <v/>
      </c>
      <c r="N329" s="16">
        <f>COUNTIFS(Raw_Events!$C:$C,$A329,Raw_Events!$G:$G,"SOCIAL_MEET")</f>
        <v/>
      </c>
      <c r="O329" s="16">
        <f>COUNTIFS(Raw_Events!$C:$C,$A329,Raw_Events!$G:$G,"DATE")</f>
        <v/>
      </c>
      <c r="P329" s="3">
        <f>COUNTIFS(Raw_Events!$C:$C,$A329,Raw_Events!$G:$G,"NEW_ACTIVITY")</f>
        <v/>
      </c>
      <c r="Q329" s="3">
        <f>SUMIFS(Raw_Events!$H:$H,Raw_Events!$C:$C,$A329,Raw_Events!$G:$G,"TRAVEL_NIGHT")</f>
        <v/>
      </c>
      <c r="R329" s="3" t="n"/>
    </row>
    <row r="330" ht="15" customHeight="1">
      <c r="A330" s="14" t="n">
        <v>46350</v>
      </c>
      <c r="B330" s="27">
        <f>SUMIFS(Raw_Events!$H:$H,Raw_Events!$C:$C,$A330,Raw_Events!$G:$G,"SLEEP_HOURS")</f>
        <v/>
      </c>
      <c r="C330" s="16">
        <f>COUNTIFS(Raw_Events!$C:$C,$A330,Raw_Events!$G:$G,"WORKOUT")</f>
        <v/>
      </c>
      <c r="D330" s="28">
        <f>SUMIFS(Raw_Events!$H:$H,Raw_Events!$C:$C,$A330,Raw_Events!$G:$G,"POSTURE_SESSION")</f>
        <v/>
      </c>
      <c r="E330" s="8">
        <f>IF($D330="","",IF($D330&gt;=Settings!$C$17,1,0))</f>
        <v/>
      </c>
      <c r="F330" s="28">
        <f>SUMIFS(Raw_Events!$H:$H,Raw_Events!$C:$C,$A330,Raw_Events!$G:$G,"MINDFULNESS_MIN")</f>
        <v/>
      </c>
      <c r="G330" s="8">
        <f>IF($F330="","",IF($F330&gt;0,1,0))</f>
        <v/>
      </c>
      <c r="H330" s="16">
        <f>SUMIFS(Raw_Events!$H:$H,Raw_Events!$C:$C,$A330,Raw_Events!$G:$G,"CIGARETTES")</f>
        <v/>
      </c>
      <c r="I330" s="29">
        <f>SUMIFS(Raw_Events!$L:$L,Raw_Events!$C:$C,$A330,Raw_Events!$G:$G,"ALCOHOL")</f>
        <v/>
      </c>
      <c r="J330" s="16">
        <f>SUMIFS(Raw_Events!$H:$H,Raw_Events!$C:$C,$A330,Raw_Events!$G:$G,"UNHEALTHY_MEAL")</f>
        <v/>
      </c>
      <c r="K330" s="28">
        <f>SUMIFS(Raw_Events!$H:$H,Raw_Events!$C:$C,$A330,Raw_Events!$G:$G,"TRAINING_MIN")+SUMIFS(Raw_Events!$H:$H,Raw_Events!$C:$C,$A330,Raw_Events!$G:$G,"DICTION_TRAINING_MIN")</f>
        <v/>
      </c>
      <c r="L330" s="28" t="n"/>
      <c r="M330" s="16">
        <f>SUMIFS(Raw_Events!$H:$H,Raw_Events!$C:$C,$A330,Raw_Events!$G:$G,"IDEA")</f>
        <v/>
      </c>
      <c r="N330" s="16">
        <f>COUNTIFS(Raw_Events!$C:$C,$A330,Raw_Events!$G:$G,"SOCIAL_MEET")</f>
        <v/>
      </c>
      <c r="O330" s="16">
        <f>COUNTIFS(Raw_Events!$C:$C,$A330,Raw_Events!$G:$G,"DATE")</f>
        <v/>
      </c>
      <c r="P330" s="3">
        <f>COUNTIFS(Raw_Events!$C:$C,$A330,Raw_Events!$G:$G,"NEW_ACTIVITY")</f>
        <v/>
      </c>
      <c r="Q330" s="3">
        <f>SUMIFS(Raw_Events!$H:$H,Raw_Events!$C:$C,$A330,Raw_Events!$G:$G,"TRAVEL_NIGHT")</f>
        <v/>
      </c>
      <c r="R330" s="3" t="n"/>
    </row>
    <row r="331" ht="15" customHeight="1">
      <c r="A331" s="14" t="n">
        <v>46351</v>
      </c>
      <c r="B331" s="27">
        <f>SUMIFS(Raw_Events!$H:$H,Raw_Events!$C:$C,$A331,Raw_Events!$G:$G,"SLEEP_HOURS")</f>
        <v/>
      </c>
      <c r="C331" s="16">
        <f>COUNTIFS(Raw_Events!$C:$C,$A331,Raw_Events!$G:$G,"WORKOUT")</f>
        <v/>
      </c>
      <c r="D331" s="28">
        <f>SUMIFS(Raw_Events!$H:$H,Raw_Events!$C:$C,$A331,Raw_Events!$G:$G,"POSTURE_SESSION")</f>
        <v/>
      </c>
      <c r="E331" s="8">
        <f>IF($D331="","",IF($D331&gt;=Settings!$C$17,1,0))</f>
        <v/>
      </c>
      <c r="F331" s="28">
        <f>SUMIFS(Raw_Events!$H:$H,Raw_Events!$C:$C,$A331,Raw_Events!$G:$G,"MINDFULNESS_MIN")</f>
        <v/>
      </c>
      <c r="G331" s="8">
        <f>IF($F331="","",IF($F331&gt;0,1,0))</f>
        <v/>
      </c>
      <c r="H331" s="16">
        <f>SUMIFS(Raw_Events!$H:$H,Raw_Events!$C:$C,$A331,Raw_Events!$G:$G,"CIGARETTES")</f>
        <v/>
      </c>
      <c r="I331" s="29">
        <f>SUMIFS(Raw_Events!$L:$L,Raw_Events!$C:$C,$A331,Raw_Events!$G:$G,"ALCOHOL")</f>
        <v/>
      </c>
      <c r="J331" s="16">
        <f>SUMIFS(Raw_Events!$H:$H,Raw_Events!$C:$C,$A331,Raw_Events!$G:$G,"UNHEALTHY_MEAL")</f>
        <v/>
      </c>
      <c r="K331" s="28">
        <f>SUMIFS(Raw_Events!$H:$H,Raw_Events!$C:$C,$A331,Raw_Events!$G:$G,"TRAINING_MIN")+SUMIFS(Raw_Events!$H:$H,Raw_Events!$C:$C,$A331,Raw_Events!$G:$G,"DICTION_TRAINING_MIN")</f>
        <v/>
      </c>
      <c r="L331" s="28" t="n"/>
      <c r="M331" s="16">
        <f>SUMIFS(Raw_Events!$H:$H,Raw_Events!$C:$C,$A331,Raw_Events!$G:$G,"IDEA")</f>
        <v/>
      </c>
      <c r="N331" s="16">
        <f>COUNTIFS(Raw_Events!$C:$C,$A331,Raw_Events!$G:$G,"SOCIAL_MEET")</f>
        <v/>
      </c>
      <c r="O331" s="16">
        <f>COUNTIFS(Raw_Events!$C:$C,$A331,Raw_Events!$G:$G,"DATE")</f>
        <v/>
      </c>
      <c r="P331" s="3">
        <f>COUNTIFS(Raw_Events!$C:$C,$A331,Raw_Events!$G:$G,"NEW_ACTIVITY")</f>
        <v/>
      </c>
      <c r="Q331" s="3">
        <f>SUMIFS(Raw_Events!$H:$H,Raw_Events!$C:$C,$A331,Raw_Events!$G:$G,"TRAVEL_NIGHT")</f>
        <v/>
      </c>
      <c r="R331" s="3" t="n"/>
    </row>
    <row r="332" ht="15" customHeight="1">
      <c r="A332" s="14" t="n">
        <v>46352</v>
      </c>
      <c r="B332" s="27">
        <f>SUMIFS(Raw_Events!$H:$H,Raw_Events!$C:$C,$A332,Raw_Events!$G:$G,"SLEEP_HOURS")</f>
        <v/>
      </c>
      <c r="C332" s="16">
        <f>COUNTIFS(Raw_Events!$C:$C,$A332,Raw_Events!$G:$G,"WORKOUT")</f>
        <v/>
      </c>
      <c r="D332" s="28">
        <f>SUMIFS(Raw_Events!$H:$H,Raw_Events!$C:$C,$A332,Raw_Events!$G:$G,"POSTURE_SESSION")</f>
        <v/>
      </c>
      <c r="E332" s="8">
        <f>IF($D332="","",IF($D332&gt;=Settings!$C$17,1,0))</f>
        <v/>
      </c>
      <c r="F332" s="28">
        <f>SUMIFS(Raw_Events!$H:$H,Raw_Events!$C:$C,$A332,Raw_Events!$G:$G,"MINDFULNESS_MIN")</f>
        <v/>
      </c>
      <c r="G332" s="8">
        <f>IF($F332="","",IF($F332&gt;0,1,0))</f>
        <v/>
      </c>
      <c r="H332" s="16">
        <f>SUMIFS(Raw_Events!$H:$H,Raw_Events!$C:$C,$A332,Raw_Events!$G:$G,"CIGARETTES")</f>
        <v/>
      </c>
      <c r="I332" s="29">
        <f>SUMIFS(Raw_Events!$L:$L,Raw_Events!$C:$C,$A332,Raw_Events!$G:$G,"ALCOHOL")</f>
        <v/>
      </c>
      <c r="J332" s="16">
        <f>SUMIFS(Raw_Events!$H:$H,Raw_Events!$C:$C,$A332,Raw_Events!$G:$G,"UNHEALTHY_MEAL")</f>
        <v/>
      </c>
      <c r="K332" s="28">
        <f>SUMIFS(Raw_Events!$H:$H,Raw_Events!$C:$C,$A332,Raw_Events!$G:$G,"TRAINING_MIN")+SUMIFS(Raw_Events!$H:$H,Raw_Events!$C:$C,$A332,Raw_Events!$G:$G,"DICTION_TRAINING_MIN")</f>
        <v/>
      </c>
      <c r="L332" s="28" t="n"/>
      <c r="M332" s="16">
        <f>SUMIFS(Raw_Events!$H:$H,Raw_Events!$C:$C,$A332,Raw_Events!$G:$G,"IDEA")</f>
        <v/>
      </c>
      <c r="N332" s="16">
        <f>COUNTIFS(Raw_Events!$C:$C,$A332,Raw_Events!$G:$G,"SOCIAL_MEET")</f>
        <v/>
      </c>
      <c r="O332" s="16">
        <f>COUNTIFS(Raw_Events!$C:$C,$A332,Raw_Events!$G:$G,"DATE")</f>
        <v/>
      </c>
      <c r="P332" s="3">
        <f>COUNTIFS(Raw_Events!$C:$C,$A332,Raw_Events!$G:$G,"NEW_ACTIVITY")</f>
        <v/>
      </c>
      <c r="Q332" s="3">
        <f>SUMIFS(Raw_Events!$H:$H,Raw_Events!$C:$C,$A332,Raw_Events!$G:$G,"TRAVEL_NIGHT")</f>
        <v/>
      </c>
      <c r="R332" s="3" t="n"/>
    </row>
    <row r="333" ht="15" customHeight="1">
      <c r="A333" s="14" t="n">
        <v>46353</v>
      </c>
      <c r="B333" s="27">
        <f>SUMIFS(Raw_Events!$H:$H,Raw_Events!$C:$C,$A333,Raw_Events!$G:$G,"SLEEP_HOURS")</f>
        <v/>
      </c>
      <c r="C333" s="16">
        <f>COUNTIFS(Raw_Events!$C:$C,$A333,Raw_Events!$G:$G,"WORKOUT")</f>
        <v/>
      </c>
      <c r="D333" s="28">
        <f>SUMIFS(Raw_Events!$H:$H,Raw_Events!$C:$C,$A333,Raw_Events!$G:$G,"POSTURE_SESSION")</f>
        <v/>
      </c>
      <c r="E333" s="8">
        <f>IF($D333="","",IF($D333&gt;=Settings!$C$17,1,0))</f>
        <v/>
      </c>
      <c r="F333" s="28">
        <f>SUMIFS(Raw_Events!$H:$H,Raw_Events!$C:$C,$A333,Raw_Events!$G:$G,"MINDFULNESS_MIN")</f>
        <v/>
      </c>
      <c r="G333" s="8">
        <f>IF($F333="","",IF($F333&gt;0,1,0))</f>
        <v/>
      </c>
      <c r="H333" s="16">
        <f>SUMIFS(Raw_Events!$H:$H,Raw_Events!$C:$C,$A333,Raw_Events!$G:$G,"CIGARETTES")</f>
        <v/>
      </c>
      <c r="I333" s="29">
        <f>SUMIFS(Raw_Events!$L:$L,Raw_Events!$C:$C,$A333,Raw_Events!$G:$G,"ALCOHOL")</f>
        <v/>
      </c>
      <c r="J333" s="16">
        <f>SUMIFS(Raw_Events!$H:$H,Raw_Events!$C:$C,$A333,Raw_Events!$G:$G,"UNHEALTHY_MEAL")</f>
        <v/>
      </c>
      <c r="K333" s="28">
        <f>SUMIFS(Raw_Events!$H:$H,Raw_Events!$C:$C,$A333,Raw_Events!$G:$G,"TRAINING_MIN")+SUMIFS(Raw_Events!$H:$H,Raw_Events!$C:$C,$A333,Raw_Events!$G:$G,"DICTION_TRAINING_MIN")</f>
        <v/>
      </c>
      <c r="L333" s="28" t="n"/>
      <c r="M333" s="16">
        <f>SUMIFS(Raw_Events!$H:$H,Raw_Events!$C:$C,$A333,Raw_Events!$G:$G,"IDEA")</f>
        <v/>
      </c>
      <c r="N333" s="16">
        <f>COUNTIFS(Raw_Events!$C:$C,$A333,Raw_Events!$G:$G,"SOCIAL_MEET")</f>
        <v/>
      </c>
      <c r="O333" s="16">
        <f>COUNTIFS(Raw_Events!$C:$C,$A333,Raw_Events!$G:$G,"DATE")</f>
        <v/>
      </c>
      <c r="P333" s="3">
        <f>COUNTIFS(Raw_Events!$C:$C,$A333,Raw_Events!$G:$G,"NEW_ACTIVITY")</f>
        <v/>
      </c>
      <c r="Q333" s="3">
        <f>SUMIFS(Raw_Events!$H:$H,Raw_Events!$C:$C,$A333,Raw_Events!$G:$G,"TRAVEL_NIGHT")</f>
        <v/>
      </c>
      <c r="R333" s="3" t="n"/>
    </row>
    <row r="334" ht="15" customHeight="1">
      <c r="A334" s="14" t="n">
        <v>46354</v>
      </c>
      <c r="B334" s="27">
        <f>SUMIFS(Raw_Events!$H:$H,Raw_Events!$C:$C,$A334,Raw_Events!$G:$G,"SLEEP_HOURS")</f>
        <v/>
      </c>
      <c r="C334" s="16">
        <f>COUNTIFS(Raw_Events!$C:$C,$A334,Raw_Events!$G:$G,"WORKOUT")</f>
        <v/>
      </c>
      <c r="D334" s="28">
        <f>SUMIFS(Raw_Events!$H:$H,Raw_Events!$C:$C,$A334,Raw_Events!$G:$G,"POSTURE_SESSION")</f>
        <v/>
      </c>
      <c r="E334" s="8">
        <f>IF($D334="","",IF($D334&gt;=Settings!$C$17,1,0))</f>
        <v/>
      </c>
      <c r="F334" s="28">
        <f>SUMIFS(Raw_Events!$H:$H,Raw_Events!$C:$C,$A334,Raw_Events!$G:$G,"MINDFULNESS_MIN")</f>
        <v/>
      </c>
      <c r="G334" s="8">
        <f>IF($F334="","",IF($F334&gt;0,1,0))</f>
        <v/>
      </c>
      <c r="H334" s="16">
        <f>SUMIFS(Raw_Events!$H:$H,Raw_Events!$C:$C,$A334,Raw_Events!$G:$G,"CIGARETTES")</f>
        <v/>
      </c>
      <c r="I334" s="29">
        <f>SUMIFS(Raw_Events!$L:$L,Raw_Events!$C:$C,$A334,Raw_Events!$G:$G,"ALCOHOL")</f>
        <v/>
      </c>
      <c r="J334" s="16">
        <f>SUMIFS(Raw_Events!$H:$H,Raw_Events!$C:$C,$A334,Raw_Events!$G:$G,"UNHEALTHY_MEAL")</f>
        <v/>
      </c>
      <c r="K334" s="28">
        <f>SUMIFS(Raw_Events!$H:$H,Raw_Events!$C:$C,$A334,Raw_Events!$G:$G,"TRAINING_MIN")+SUMIFS(Raw_Events!$H:$H,Raw_Events!$C:$C,$A334,Raw_Events!$G:$G,"DICTION_TRAINING_MIN")</f>
        <v/>
      </c>
      <c r="L334" s="28" t="n"/>
      <c r="M334" s="16">
        <f>SUMIFS(Raw_Events!$H:$H,Raw_Events!$C:$C,$A334,Raw_Events!$G:$G,"IDEA")</f>
        <v/>
      </c>
      <c r="N334" s="16">
        <f>COUNTIFS(Raw_Events!$C:$C,$A334,Raw_Events!$G:$G,"SOCIAL_MEET")</f>
        <v/>
      </c>
      <c r="O334" s="16">
        <f>COUNTIFS(Raw_Events!$C:$C,$A334,Raw_Events!$G:$G,"DATE")</f>
        <v/>
      </c>
      <c r="P334" s="3">
        <f>COUNTIFS(Raw_Events!$C:$C,$A334,Raw_Events!$G:$G,"NEW_ACTIVITY")</f>
        <v/>
      </c>
      <c r="Q334" s="3">
        <f>SUMIFS(Raw_Events!$H:$H,Raw_Events!$C:$C,$A334,Raw_Events!$G:$G,"TRAVEL_NIGHT")</f>
        <v/>
      </c>
      <c r="R334" s="3" t="n"/>
    </row>
    <row r="335" ht="15" customHeight="1">
      <c r="A335" s="14" t="n">
        <v>46355</v>
      </c>
      <c r="B335" s="27">
        <f>SUMIFS(Raw_Events!$H:$H,Raw_Events!$C:$C,$A335,Raw_Events!$G:$G,"SLEEP_HOURS")</f>
        <v/>
      </c>
      <c r="C335" s="16">
        <f>COUNTIFS(Raw_Events!$C:$C,$A335,Raw_Events!$G:$G,"WORKOUT")</f>
        <v/>
      </c>
      <c r="D335" s="28">
        <f>SUMIFS(Raw_Events!$H:$H,Raw_Events!$C:$C,$A335,Raw_Events!$G:$G,"POSTURE_SESSION")</f>
        <v/>
      </c>
      <c r="E335" s="8">
        <f>IF($D335="","",IF($D335&gt;=Settings!$C$17,1,0))</f>
        <v/>
      </c>
      <c r="F335" s="28">
        <f>SUMIFS(Raw_Events!$H:$H,Raw_Events!$C:$C,$A335,Raw_Events!$G:$G,"MINDFULNESS_MIN")</f>
        <v/>
      </c>
      <c r="G335" s="8">
        <f>IF($F335="","",IF($F335&gt;0,1,0))</f>
        <v/>
      </c>
      <c r="H335" s="16">
        <f>SUMIFS(Raw_Events!$H:$H,Raw_Events!$C:$C,$A335,Raw_Events!$G:$G,"CIGARETTES")</f>
        <v/>
      </c>
      <c r="I335" s="29">
        <f>SUMIFS(Raw_Events!$L:$L,Raw_Events!$C:$C,$A335,Raw_Events!$G:$G,"ALCOHOL")</f>
        <v/>
      </c>
      <c r="J335" s="16">
        <f>SUMIFS(Raw_Events!$H:$H,Raw_Events!$C:$C,$A335,Raw_Events!$G:$G,"UNHEALTHY_MEAL")</f>
        <v/>
      </c>
      <c r="K335" s="28">
        <f>SUMIFS(Raw_Events!$H:$H,Raw_Events!$C:$C,$A335,Raw_Events!$G:$G,"TRAINING_MIN")+SUMIFS(Raw_Events!$H:$H,Raw_Events!$C:$C,$A335,Raw_Events!$G:$G,"DICTION_TRAINING_MIN")</f>
        <v/>
      </c>
      <c r="L335" s="28" t="n"/>
      <c r="M335" s="16">
        <f>SUMIFS(Raw_Events!$H:$H,Raw_Events!$C:$C,$A335,Raw_Events!$G:$G,"IDEA")</f>
        <v/>
      </c>
      <c r="N335" s="16">
        <f>COUNTIFS(Raw_Events!$C:$C,$A335,Raw_Events!$G:$G,"SOCIAL_MEET")</f>
        <v/>
      </c>
      <c r="O335" s="16">
        <f>COUNTIFS(Raw_Events!$C:$C,$A335,Raw_Events!$G:$G,"DATE")</f>
        <v/>
      </c>
      <c r="P335" s="3">
        <f>COUNTIFS(Raw_Events!$C:$C,$A335,Raw_Events!$G:$G,"NEW_ACTIVITY")</f>
        <v/>
      </c>
      <c r="Q335" s="3">
        <f>SUMIFS(Raw_Events!$H:$H,Raw_Events!$C:$C,$A335,Raw_Events!$G:$G,"TRAVEL_NIGHT")</f>
        <v/>
      </c>
      <c r="R335" s="3" t="n"/>
    </row>
    <row r="336" ht="15" customHeight="1">
      <c r="A336" s="14" t="n">
        <v>46356</v>
      </c>
      <c r="B336" s="27">
        <f>SUMIFS(Raw_Events!$H:$H,Raw_Events!$C:$C,$A336,Raw_Events!$G:$G,"SLEEP_HOURS")</f>
        <v/>
      </c>
      <c r="C336" s="16">
        <f>COUNTIFS(Raw_Events!$C:$C,$A336,Raw_Events!$G:$G,"WORKOUT")</f>
        <v/>
      </c>
      <c r="D336" s="28">
        <f>SUMIFS(Raw_Events!$H:$H,Raw_Events!$C:$C,$A336,Raw_Events!$G:$G,"POSTURE_SESSION")</f>
        <v/>
      </c>
      <c r="E336" s="8">
        <f>IF($D336="","",IF($D336&gt;=Settings!$C$17,1,0))</f>
        <v/>
      </c>
      <c r="F336" s="28">
        <f>SUMIFS(Raw_Events!$H:$H,Raw_Events!$C:$C,$A336,Raw_Events!$G:$G,"MINDFULNESS_MIN")</f>
        <v/>
      </c>
      <c r="G336" s="8">
        <f>IF($F336="","",IF($F336&gt;0,1,0))</f>
        <v/>
      </c>
      <c r="H336" s="16">
        <f>SUMIFS(Raw_Events!$H:$H,Raw_Events!$C:$C,$A336,Raw_Events!$G:$G,"CIGARETTES")</f>
        <v/>
      </c>
      <c r="I336" s="29">
        <f>SUMIFS(Raw_Events!$L:$L,Raw_Events!$C:$C,$A336,Raw_Events!$G:$G,"ALCOHOL")</f>
        <v/>
      </c>
      <c r="J336" s="16">
        <f>SUMIFS(Raw_Events!$H:$H,Raw_Events!$C:$C,$A336,Raw_Events!$G:$G,"UNHEALTHY_MEAL")</f>
        <v/>
      </c>
      <c r="K336" s="28">
        <f>SUMIFS(Raw_Events!$H:$H,Raw_Events!$C:$C,$A336,Raw_Events!$G:$G,"TRAINING_MIN")+SUMIFS(Raw_Events!$H:$H,Raw_Events!$C:$C,$A336,Raw_Events!$G:$G,"DICTION_TRAINING_MIN")</f>
        <v/>
      </c>
      <c r="L336" s="28" t="n"/>
      <c r="M336" s="16">
        <f>SUMIFS(Raw_Events!$H:$H,Raw_Events!$C:$C,$A336,Raw_Events!$G:$G,"IDEA")</f>
        <v/>
      </c>
      <c r="N336" s="16">
        <f>COUNTIFS(Raw_Events!$C:$C,$A336,Raw_Events!$G:$G,"SOCIAL_MEET")</f>
        <v/>
      </c>
      <c r="O336" s="16">
        <f>COUNTIFS(Raw_Events!$C:$C,$A336,Raw_Events!$G:$G,"DATE")</f>
        <v/>
      </c>
      <c r="P336" s="3">
        <f>COUNTIFS(Raw_Events!$C:$C,$A336,Raw_Events!$G:$G,"NEW_ACTIVITY")</f>
        <v/>
      </c>
      <c r="Q336" s="3">
        <f>SUMIFS(Raw_Events!$H:$H,Raw_Events!$C:$C,$A336,Raw_Events!$G:$G,"TRAVEL_NIGHT")</f>
        <v/>
      </c>
      <c r="R336" s="3" t="n"/>
    </row>
    <row r="337" ht="15" customHeight="1">
      <c r="A337" s="14" t="n">
        <v>46357</v>
      </c>
      <c r="B337" s="27">
        <f>SUMIFS(Raw_Events!$H:$H,Raw_Events!$C:$C,$A337,Raw_Events!$G:$G,"SLEEP_HOURS")</f>
        <v/>
      </c>
      <c r="C337" s="16">
        <f>COUNTIFS(Raw_Events!$C:$C,$A337,Raw_Events!$G:$G,"WORKOUT")</f>
        <v/>
      </c>
      <c r="D337" s="28">
        <f>SUMIFS(Raw_Events!$H:$H,Raw_Events!$C:$C,$A337,Raw_Events!$G:$G,"POSTURE_SESSION")</f>
        <v/>
      </c>
      <c r="E337" s="8">
        <f>IF($D337="","",IF($D337&gt;=Settings!$C$17,1,0))</f>
        <v/>
      </c>
      <c r="F337" s="28">
        <f>SUMIFS(Raw_Events!$H:$H,Raw_Events!$C:$C,$A337,Raw_Events!$G:$G,"MINDFULNESS_MIN")</f>
        <v/>
      </c>
      <c r="G337" s="8">
        <f>IF($F337="","",IF($F337&gt;0,1,0))</f>
        <v/>
      </c>
      <c r="H337" s="16">
        <f>SUMIFS(Raw_Events!$H:$H,Raw_Events!$C:$C,$A337,Raw_Events!$G:$G,"CIGARETTES")</f>
        <v/>
      </c>
      <c r="I337" s="29">
        <f>SUMIFS(Raw_Events!$L:$L,Raw_Events!$C:$C,$A337,Raw_Events!$G:$G,"ALCOHOL")</f>
        <v/>
      </c>
      <c r="J337" s="16">
        <f>SUMIFS(Raw_Events!$H:$H,Raw_Events!$C:$C,$A337,Raw_Events!$G:$G,"UNHEALTHY_MEAL")</f>
        <v/>
      </c>
      <c r="K337" s="28">
        <f>SUMIFS(Raw_Events!$H:$H,Raw_Events!$C:$C,$A337,Raw_Events!$G:$G,"TRAINING_MIN")+SUMIFS(Raw_Events!$H:$H,Raw_Events!$C:$C,$A337,Raw_Events!$G:$G,"DICTION_TRAINING_MIN")</f>
        <v/>
      </c>
      <c r="L337" s="28" t="n"/>
      <c r="M337" s="16">
        <f>SUMIFS(Raw_Events!$H:$H,Raw_Events!$C:$C,$A337,Raw_Events!$G:$G,"IDEA")</f>
        <v/>
      </c>
      <c r="N337" s="16">
        <f>COUNTIFS(Raw_Events!$C:$C,$A337,Raw_Events!$G:$G,"SOCIAL_MEET")</f>
        <v/>
      </c>
      <c r="O337" s="16">
        <f>COUNTIFS(Raw_Events!$C:$C,$A337,Raw_Events!$G:$G,"DATE")</f>
        <v/>
      </c>
      <c r="P337" s="3">
        <f>COUNTIFS(Raw_Events!$C:$C,$A337,Raw_Events!$G:$G,"NEW_ACTIVITY")</f>
        <v/>
      </c>
      <c r="Q337" s="3">
        <f>SUMIFS(Raw_Events!$H:$H,Raw_Events!$C:$C,$A337,Raw_Events!$G:$G,"TRAVEL_NIGHT")</f>
        <v/>
      </c>
      <c r="R337" s="3" t="n"/>
    </row>
    <row r="338" ht="15" customHeight="1">
      <c r="A338" s="14" t="n">
        <v>46358</v>
      </c>
      <c r="B338" s="27">
        <f>SUMIFS(Raw_Events!$H:$H,Raw_Events!$C:$C,$A338,Raw_Events!$G:$G,"SLEEP_HOURS")</f>
        <v/>
      </c>
      <c r="C338" s="16">
        <f>COUNTIFS(Raw_Events!$C:$C,$A338,Raw_Events!$G:$G,"WORKOUT")</f>
        <v/>
      </c>
      <c r="D338" s="28">
        <f>SUMIFS(Raw_Events!$H:$H,Raw_Events!$C:$C,$A338,Raw_Events!$G:$G,"POSTURE_SESSION")</f>
        <v/>
      </c>
      <c r="E338" s="8">
        <f>IF($D338="","",IF($D338&gt;=Settings!$C$17,1,0))</f>
        <v/>
      </c>
      <c r="F338" s="28">
        <f>SUMIFS(Raw_Events!$H:$H,Raw_Events!$C:$C,$A338,Raw_Events!$G:$G,"MINDFULNESS_MIN")</f>
        <v/>
      </c>
      <c r="G338" s="8">
        <f>IF($F338="","",IF($F338&gt;0,1,0))</f>
        <v/>
      </c>
      <c r="H338" s="16">
        <f>SUMIFS(Raw_Events!$H:$H,Raw_Events!$C:$C,$A338,Raw_Events!$G:$G,"CIGARETTES")</f>
        <v/>
      </c>
      <c r="I338" s="29">
        <f>SUMIFS(Raw_Events!$L:$L,Raw_Events!$C:$C,$A338,Raw_Events!$G:$G,"ALCOHOL")</f>
        <v/>
      </c>
      <c r="J338" s="16">
        <f>SUMIFS(Raw_Events!$H:$H,Raw_Events!$C:$C,$A338,Raw_Events!$G:$G,"UNHEALTHY_MEAL")</f>
        <v/>
      </c>
      <c r="K338" s="28">
        <f>SUMIFS(Raw_Events!$H:$H,Raw_Events!$C:$C,$A338,Raw_Events!$G:$G,"TRAINING_MIN")+SUMIFS(Raw_Events!$H:$H,Raw_Events!$C:$C,$A338,Raw_Events!$G:$G,"DICTION_TRAINING_MIN")</f>
        <v/>
      </c>
      <c r="L338" s="28" t="n"/>
      <c r="M338" s="16">
        <f>SUMIFS(Raw_Events!$H:$H,Raw_Events!$C:$C,$A338,Raw_Events!$G:$G,"IDEA")</f>
        <v/>
      </c>
      <c r="N338" s="16">
        <f>COUNTIFS(Raw_Events!$C:$C,$A338,Raw_Events!$G:$G,"SOCIAL_MEET")</f>
        <v/>
      </c>
      <c r="O338" s="16">
        <f>COUNTIFS(Raw_Events!$C:$C,$A338,Raw_Events!$G:$G,"DATE")</f>
        <v/>
      </c>
      <c r="P338" s="3">
        <f>COUNTIFS(Raw_Events!$C:$C,$A338,Raw_Events!$G:$G,"NEW_ACTIVITY")</f>
        <v/>
      </c>
      <c r="Q338" s="3">
        <f>SUMIFS(Raw_Events!$H:$H,Raw_Events!$C:$C,$A338,Raw_Events!$G:$G,"TRAVEL_NIGHT")</f>
        <v/>
      </c>
      <c r="R338" s="3" t="n"/>
    </row>
    <row r="339" ht="15" customHeight="1">
      <c r="A339" s="14" t="n">
        <v>46359</v>
      </c>
      <c r="B339" s="27">
        <f>SUMIFS(Raw_Events!$H:$H,Raw_Events!$C:$C,$A339,Raw_Events!$G:$G,"SLEEP_HOURS")</f>
        <v/>
      </c>
      <c r="C339" s="16">
        <f>COUNTIFS(Raw_Events!$C:$C,$A339,Raw_Events!$G:$G,"WORKOUT")</f>
        <v/>
      </c>
      <c r="D339" s="28">
        <f>SUMIFS(Raw_Events!$H:$H,Raw_Events!$C:$C,$A339,Raw_Events!$G:$G,"POSTURE_SESSION")</f>
        <v/>
      </c>
      <c r="E339" s="8">
        <f>IF($D339="","",IF($D339&gt;=Settings!$C$17,1,0))</f>
        <v/>
      </c>
      <c r="F339" s="28">
        <f>SUMIFS(Raw_Events!$H:$H,Raw_Events!$C:$C,$A339,Raw_Events!$G:$G,"MINDFULNESS_MIN")</f>
        <v/>
      </c>
      <c r="G339" s="8">
        <f>IF($F339="","",IF($F339&gt;0,1,0))</f>
        <v/>
      </c>
      <c r="H339" s="16">
        <f>SUMIFS(Raw_Events!$H:$H,Raw_Events!$C:$C,$A339,Raw_Events!$G:$G,"CIGARETTES")</f>
        <v/>
      </c>
      <c r="I339" s="29">
        <f>SUMIFS(Raw_Events!$L:$L,Raw_Events!$C:$C,$A339,Raw_Events!$G:$G,"ALCOHOL")</f>
        <v/>
      </c>
      <c r="J339" s="16">
        <f>SUMIFS(Raw_Events!$H:$H,Raw_Events!$C:$C,$A339,Raw_Events!$G:$G,"UNHEALTHY_MEAL")</f>
        <v/>
      </c>
      <c r="K339" s="28">
        <f>SUMIFS(Raw_Events!$H:$H,Raw_Events!$C:$C,$A339,Raw_Events!$G:$G,"TRAINING_MIN")+SUMIFS(Raw_Events!$H:$H,Raw_Events!$C:$C,$A339,Raw_Events!$G:$G,"DICTION_TRAINING_MIN")</f>
        <v/>
      </c>
      <c r="L339" s="28" t="n"/>
      <c r="M339" s="16">
        <f>SUMIFS(Raw_Events!$H:$H,Raw_Events!$C:$C,$A339,Raw_Events!$G:$G,"IDEA")</f>
        <v/>
      </c>
      <c r="N339" s="16">
        <f>COUNTIFS(Raw_Events!$C:$C,$A339,Raw_Events!$G:$G,"SOCIAL_MEET")</f>
        <v/>
      </c>
      <c r="O339" s="16">
        <f>COUNTIFS(Raw_Events!$C:$C,$A339,Raw_Events!$G:$G,"DATE")</f>
        <v/>
      </c>
      <c r="P339" s="3">
        <f>COUNTIFS(Raw_Events!$C:$C,$A339,Raw_Events!$G:$G,"NEW_ACTIVITY")</f>
        <v/>
      </c>
      <c r="Q339" s="3">
        <f>SUMIFS(Raw_Events!$H:$H,Raw_Events!$C:$C,$A339,Raw_Events!$G:$G,"TRAVEL_NIGHT")</f>
        <v/>
      </c>
      <c r="R339" s="3" t="n"/>
    </row>
    <row r="340" ht="15" customHeight="1">
      <c r="A340" s="14" t="n">
        <v>46360</v>
      </c>
      <c r="B340" s="27">
        <f>SUMIFS(Raw_Events!$H:$H,Raw_Events!$C:$C,$A340,Raw_Events!$G:$G,"SLEEP_HOURS")</f>
        <v/>
      </c>
      <c r="C340" s="16">
        <f>COUNTIFS(Raw_Events!$C:$C,$A340,Raw_Events!$G:$G,"WORKOUT")</f>
        <v/>
      </c>
      <c r="D340" s="28">
        <f>SUMIFS(Raw_Events!$H:$H,Raw_Events!$C:$C,$A340,Raw_Events!$G:$G,"POSTURE_SESSION")</f>
        <v/>
      </c>
      <c r="E340" s="8">
        <f>IF($D340="","",IF($D340&gt;=Settings!$C$17,1,0))</f>
        <v/>
      </c>
      <c r="F340" s="28">
        <f>SUMIFS(Raw_Events!$H:$H,Raw_Events!$C:$C,$A340,Raw_Events!$G:$G,"MINDFULNESS_MIN")</f>
        <v/>
      </c>
      <c r="G340" s="8">
        <f>IF($F340="","",IF($F340&gt;0,1,0))</f>
        <v/>
      </c>
      <c r="H340" s="16">
        <f>SUMIFS(Raw_Events!$H:$H,Raw_Events!$C:$C,$A340,Raw_Events!$G:$G,"CIGARETTES")</f>
        <v/>
      </c>
      <c r="I340" s="29">
        <f>SUMIFS(Raw_Events!$L:$L,Raw_Events!$C:$C,$A340,Raw_Events!$G:$G,"ALCOHOL")</f>
        <v/>
      </c>
      <c r="J340" s="16">
        <f>SUMIFS(Raw_Events!$H:$H,Raw_Events!$C:$C,$A340,Raw_Events!$G:$G,"UNHEALTHY_MEAL")</f>
        <v/>
      </c>
      <c r="K340" s="28">
        <f>SUMIFS(Raw_Events!$H:$H,Raw_Events!$C:$C,$A340,Raw_Events!$G:$G,"TRAINING_MIN")+SUMIFS(Raw_Events!$H:$H,Raw_Events!$C:$C,$A340,Raw_Events!$G:$G,"DICTION_TRAINING_MIN")</f>
        <v/>
      </c>
      <c r="L340" s="28" t="n"/>
      <c r="M340" s="16">
        <f>SUMIFS(Raw_Events!$H:$H,Raw_Events!$C:$C,$A340,Raw_Events!$G:$G,"IDEA")</f>
        <v/>
      </c>
      <c r="N340" s="16">
        <f>COUNTIFS(Raw_Events!$C:$C,$A340,Raw_Events!$G:$G,"SOCIAL_MEET")</f>
        <v/>
      </c>
      <c r="O340" s="16">
        <f>COUNTIFS(Raw_Events!$C:$C,$A340,Raw_Events!$G:$G,"DATE")</f>
        <v/>
      </c>
      <c r="P340" s="3">
        <f>COUNTIFS(Raw_Events!$C:$C,$A340,Raw_Events!$G:$G,"NEW_ACTIVITY")</f>
        <v/>
      </c>
      <c r="Q340" s="3">
        <f>SUMIFS(Raw_Events!$H:$H,Raw_Events!$C:$C,$A340,Raw_Events!$G:$G,"TRAVEL_NIGHT")</f>
        <v/>
      </c>
      <c r="R340" s="3" t="n"/>
    </row>
    <row r="341" ht="15" customHeight="1">
      <c r="A341" s="14" t="n">
        <v>46361</v>
      </c>
      <c r="B341" s="27">
        <f>SUMIFS(Raw_Events!$H:$H,Raw_Events!$C:$C,$A341,Raw_Events!$G:$G,"SLEEP_HOURS")</f>
        <v/>
      </c>
      <c r="C341" s="16">
        <f>COUNTIFS(Raw_Events!$C:$C,$A341,Raw_Events!$G:$G,"WORKOUT")</f>
        <v/>
      </c>
      <c r="D341" s="28">
        <f>SUMIFS(Raw_Events!$H:$H,Raw_Events!$C:$C,$A341,Raw_Events!$G:$G,"POSTURE_SESSION")</f>
        <v/>
      </c>
      <c r="E341" s="8">
        <f>IF($D341="","",IF($D341&gt;=Settings!$C$17,1,0))</f>
        <v/>
      </c>
      <c r="F341" s="28">
        <f>SUMIFS(Raw_Events!$H:$H,Raw_Events!$C:$C,$A341,Raw_Events!$G:$G,"MINDFULNESS_MIN")</f>
        <v/>
      </c>
      <c r="G341" s="8">
        <f>IF($F341="","",IF($F341&gt;0,1,0))</f>
        <v/>
      </c>
      <c r="H341" s="16">
        <f>SUMIFS(Raw_Events!$H:$H,Raw_Events!$C:$C,$A341,Raw_Events!$G:$G,"CIGARETTES")</f>
        <v/>
      </c>
      <c r="I341" s="29">
        <f>SUMIFS(Raw_Events!$L:$L,Raw_Events!$C:$C,$A341,Raw_Events!$G:$G,"ALCOHOL")</f>
        <v/>
      </c>
      <c r="J341" s="16">
        <f>SUMIFS(Raw_Events!$H:$H,Raw_Events!$C:$C,$A341,Raw_Events!$G:$G,"UNHEALTHY_MEAL")</f>
        <v/>
      </c>
      <c r="K341" s="28">
        <f>SUMIFS(Raw_Events!$H:$H,Raw_Events!$C:$C,$A341,Raw_Events!$G:$G,"TRAINING_MIN")+SUMIFS(Raw_Events!$H:$H,Raw_Events!$C:$C,$A341,Raw_Events!$G:$G,"DICTION_TRAINING_MIN")</f>
        <v/>
      </c>
      <c r="L341" s="28" t="n"/>
      <c r="M341" s="16">
        <f>SUMIFS(Raw_Events!$H:$H,Raw_Events!$C:$C,$A341,Raw_Events!$G:$G,"IDEA")</f>
        <v/>
      </c>
      <c r="N341" s="16">
        <f>COUNTIFS(Raw_Events!$C:$C,$A341,Raw_Events!$G:$G,"SOCIAL_MEET")</f>
        <v/>
      </c>
      <c r="O341" s="16">
        <f>COUNTIFS(Raw_Events!$C:$C,$A341,Raw_Events!$G:$G,"DATE")</f>
        <v/>
      </c>
      <c r="P341" s="3">
        <f>COUNTIFS(Raw_Events!$C:$C,$A341,Raw_Events!$G:$G,"NEW_ACTIVITY")</f>
        <v/>
      </c>
      <c r="Q341" s="3">
        <f>SUMIFS(Raw_Events!$H:$H,Raw_Events!$C:$C,$A341,Raw_Events!$G:$G,"TRAVEL_NIGHT")</f>
        <v/>
      </c>
      <c r="R341" s="3" t="n"/>
    </row>
    <row r="342" ht="15" customHeight="1">
      <c r="A342" s="14" t="n">
        <v>46362</v>
      </c>
      <c r="B342" s="27">
        <f>SUMIFS(Raw_Events!$H:$H,Raw_Events!$C:$C,$A342,Raw_Events!$G:$G,"SLEEP_HOURS")</f>
        <v/>
      </c>
      <c r="C342" s="16">
        <f>COUNTIFS(Raw_Events!$C:$C,$A342,Raw_Events!$G:$G,"WORKOUT")</f>
        <v/>
      </c>
      <c r="D342" s="28">
        <f>SUMIFS(Raw_Events!$H:$H,Raw_Events!$C:$C,$A342,Raw_Events!$G:$G,"POSTURE_SESSION")</f>
        <v/>
      </c>
      <c r="E342" s="8">
        <f>IF($D342="","",IF($D342&gt;=Settings!$C$17,1,0))</f>
        <v/>
      </c>
      <c r="F342" s="28">
        <f>SUMIFS(Raw_Events!$H:$H,Raw_Events!$C:$C,$A342,Raw_Events!$G:$G,"MINDFULNESS_MIN")</f>
        <v/>
      </c>
      <c r="G342" s="8">
        <f>IF($F342="","",IF($F342&gt;0,1,0))</f>
        <v/>
      </c>
      <c r="H342" s="16">
        <f>SUMIFS(Raw_Events!$H:$H,Raw_Events!$C:$C,$A342,Raw_Events!$G:$G,"CIGARETTES")</f>
        <v/>
      </c>
      <c r="I342" s="29">
        <f>SUMIFS(Raw_Events!$L:$L,Raw_Events!$C:$C,$A342,Raw_Events!$G:$G,"ALCOHOL")</f>
        <v/>
      </c>
      <c r="J342" s="16">
        <f>SUMIFS(Raw_Events!$H:$H,Raw_Events!$C:$C,$A342,Raw_Events!$G:$G,"UNHEALTHY_MEAL")</f>
        <v/>
      </c>
      <c r="K342" s="28">
        <f>SUMIFS(Raw_Events!$H:$H,Raw_Events!$C:$C,$A342,Raw_Events!$G:$G,"TRAINING_MIN")+SUMIFS(Raw_Events!$H:$H,Raw_Events!$C:$C,$A342,Raw_Events!$G:$G,"DICTION_TRAINING_MIN")</f>
        <v/>
      </c>
      <c r="L342" s="28" t="n"/>
      <c r="M342" s="16">
        <f>SUMIFS(Raw_Events!$H:$H,Raw_Events!$C:$C,$A342,Raw_Events!$G:$G,"IDEA")</f>
        <v/>
      </c>
      <c r="N342" s="16">
        <f>COUNTIFS(Raw_Events!$C:$C,$A342,Raw_Events!$G:$G,"SOCIAL_MEET")</f>
        <v/>
      </c>
      <c r="O342" s="16">
        <f>COUNTIFS(Raw_Events!$C:$C,$A342,Raw_Events!$G:$G,"DATE")</f>
        <v/>
      </c>
      <c r="P342" s="3">
        <f>COUNTIFS(Raw_Events!$C:$C,$A342,Raw_Events!$G:$G,"NEW_ACTIVITY")</f>
        <v/>
      </c>
      <c r="Q342" s="3">
        <f>SUMIFS(Raw_Events!$H:$H,Raw_Events!$C:$C,$A342,Raw_Events!$G:$G,"TRAVEL_NIGHT")</f>
        <v/>
      </c>
      <c r="R342" s="3" t="n"/>
    </row>
    <row r="343" ht="15" customHeight="1">
      <c r="A343" s="14" t="n">
        <v>46363</v>
      </c>
      <c r="B343" s="27">
        <f>SUMIFS(Raw_Events!$H:$H,Raw_Events!$C:$C,$A343,Raw_Events!$G:$G,"SLEEP_HOURS")</f>
        <v/>
      </c>
      <c r="C343" s="16">
        <f>COUNTIFS(Raw_Events!$C:$C,$A343,Raw_Events!$G:$G,"WORKOUT")</f>
        <v/>
      </c>
      <c r="D343" s="28">
        <f>SUMIFS(Raw_Events!$H:$H,Raw_Events!$C:$C,$A343,Raw_Events!$G:$G,"POSTURE_SESSION")</f>
        <v/>
      </c>
      <c r="E343" s="8">
        <f>IF($D343="","",IF($D343&gt;=Settings!$C$17,1,0))</f>
        <v/>
      </c>
      <c r="F343" s="28">
        <f>SUMIFS(Raw_Events!$H:$H,Raw_Events!$C:$C,$A343,Raw_Events!$G:$G,"MINDFULNESS_MIN")</f>
        <v/>
      </c>
      <c r="G343" s="8">
        <f>IF($F343="","",IF($F343&gt;0,1,0))</f>
        <v/>
      </c>
      <c r="H343" s="16">
        <f>SUMIFS(Raw_Events!$H:$H,Raw_Events!$C:$C,$A343,Raw_Events!$G:$G,"CIGARETTES")</f>
        <v/>
      </c>
      <c r="I343" s="29">
        <f>SUMIFS(Raw_Events!$L:$L,Raw_Events!$C:$C,$A343,Raw_Events!$G:$G,"ALCOHOL")</f>
        <v/>
      </c>
      <c r="J343" s="16">
        <f>SUMIFS(Raw_Events!$H:$H,Raw_Events!$C:$C,$A343,Raw_Events!$G:$G,"UNHEALTHY_MEAL")</f>
        <v/>
      </c>
      <c r="K343" s="28">
        <f>SUMIFS(Raw_Events!$H:$H,Raw_Events!$C:$C,$A343,Raw_Events!$G:$G,"TRAINING_MIN")+SUMIFS(Raw_Events!$H:$H,Raw_Events!$C:$C,$A343,Raw_Events!$G:$G,"DICTION_TRAINING_MIN")</f>
        <v/>
      </c>
      <c r="L343" s="28" t="n"/>
      <c r="M343" s="16">
        <f>SUMIFS(Raw_Events!$H:$H,Raw_Events!$C:$C,$A343,Raw_Events!$G:$G,"IDEA")</f>
        <v/>
      </c>
      <c r="N343" s="16">
        <f>COUNTIFS(Raw_Events!$C:$C,$A343,Raw_Events!$G:$G,"SOCIAL_MEET")</f>
        <v/>
      </c>
      <c r="O343" s="16">
        <f>COUNTIFS(Raw_Events!$C:$C,$A343,Raw_Events!$G:$G,"DATE")</f>
        <v/>
      </c>
      <c r="P343" s="3">
        <f>COUNTIFS(Raw_Events!$C:$C,$A343,Raw_Events!$G:$G,"NEW_ACTIVITY")</f>
        <v/>
      </c>
      <c r="Q343" s="3">
        <f>SUMIFS(Raw_Events!$H:$H,Raw_Events!$C:$C,$A343,Raw_Events!$G:$G,"TRAVEL_NIGHT")</f>
        <v/>
      </c>
      <c r="R343" s="3" t="n"/>
    </row>
    <row r="344" ht="15" customHeight="1">
      <c r="A344" s="14" t="n">
        <v>46364</v>
      </c>
      <c r="B344" s="27">
        <f>SUMIFS(Raw_Events!$H:$H,Raw_Events!$C:$C,$A344,Raw_Events!$G:$G,"SLEEP_HOURS")</f>
        <v/>
      </c>
      <c r="C344" s="16">
        <f>COUNTIFS(Raw_Events!$C:$C,$A344,Raw_Events!$G:$G,"WORKOUT")</f>
        <v/>
      </c>
      <c r="D344" s="28">
        <f>SUMIFS(Raw_Events!$H:$H,Raw_Events!$C:$C,$A344,Raw_Events!$G:$G,"POSTURE_SESSION")</f>
        <v/>
      </c>
      <c r="E344" s="8">
        <f>IF($D344="","",IF($D344&gt;=Settings!$C$17,1,0))</f>
        <v/>
      </c>
      <c r="F344" s="28">
        <f>SUMIFS(Raw_Events!$H:$H,Raw_Events!$C:$C,$A344,Raw_Events!$G:$G,"MINDFULNESS_MIN")</f>
        <v/>
      </c>
      <c r="G344" s="8">
        <f>IF($F344="","",IF($F344&gt;0,1,0))</f>
        <v/>
      </c>
      <c r="H344" s="16">
        <f>SUMIFS(Raw_Events!$H:$H,Raw_Events!$C:$C,$A344,Raw_Events!$G:$G,"CIGARETTES")</f>
        <v/>
      </c>
      <c r="I344" s="29">
        <f>SUMIFS(Raw_Events!$L:$L,Raw_Events!$C:$C,$A344,Raw_Events!$G:$G,"ALCOHOL")</f>
        <v/>
      </c>
      <c r="J344" s="16">
        <f>SUMIFS(Raw_Events!$H:$H,Raw_Events!$C:$C,$A344,Raw_Events!$G:$G,"UNHEALTHY_MEAL")</f>
        <v/>
      </c>
      <c r="K344" s="28">
        <f>SUMIFS(Raw_Events!$H:$H,Raw_Events!$C:$C,$A344,Raw_Events!$G:$G,"TRAINING_MIN")+SUMIFS(Raw_Events!$H:$H,Raw_Events!$C:$C,$A344,Raw_Events!$G:$G,"DICTION_TRAINING_MIN")</f>
        <v/>
      </c>
      <c r="L344" s="28" t="n"/>
      <c r="M344" s="16">
        <f>SUMIFS(Raw_Events!$H:$H,Raw_Events!$C:$C,$A344,Raw_Events!$G:$G,"IDEA")</f>
        <v/>
      </c>
      <c r="N344" s="16">
        <f>COUNTIFS(Raw_Events!$C:$C,$A344,Raw_Events!$G:$G,"SOCIAL_MEET")</f>
        <v/>
      </c>
      <c r="O344" s="16">
        <f>COUNTIFS(Raw_Events!$C:$C,$A344,Raw_Events!$G:$G,"DATE")</f>
        <v/>
      </c>
      <c r="P344" s="3">
        <f>COUNTIFS(Raw_Events!$C:$C,$A344,Raw_Events!$G:$G,"NEW_ACTIVITY")</f>
        <v/>
      </c>
      <c r="Q344" s="3">
        <f>SUMIFS(Raw_Events!$H:$H,Raw_Events!$C:$C,$A344,Raw_Events!$G:$G,"TRAVEL_NIGHT")</f>
        <v/>
      </c>
      <c r="R344" s="3" t="n"/>
    </row>
    <row r="345" ht="15" customHeight="1">
      <c r="A345" s="14" t="n">
        <v>46365</v>
      </c>
      <c r="B345" s="27">
        <f>SUMIFS(Raw_Events!$H:$H,Raw_Events!$C:$C,$A345,Raw_Events!$G:$G,"SLEEP_HOURS")</f>
        <v/>
      </c>
      <c r="C345" s="16">
        <f>COUNTIFS(Raw_Events!$C:$C,$A345,Raw_Events!$G:$G,"WORKOUT")</f>
        <v/>
      </c>
      <c r="D345" s="28">
        <f>SUMIFS(Raw_Events!$H:$H,Raw_Events!$C:$C,$A345,Raw_Events!$G:$G,"POSTURE_SESSION")</f>
        <v/>
      </c>
      <c r="E345" s="8">
        <f>IF($D345="","",IF($D345&gt;=Settings!$C$17,1,0))</f>
        <v/>
      </c>
      <c r="F345" s="28">
        <f>SUMIFS(Raw_Events!$H:$H,Raw_Events!$C:$C,$A345,Raw_Events!$G:$G,"MINDFULNESS_MIN")</f>
        <v/>
      </c>
      <c r="G345" s="8">
        <f>IF($F345="","",IF($F345&gt;0,1,0))</f>
        <v/>
      </c>
      <c r="H345" s="16">
        <f>SUMIFS(Raw_Events!$H:$H,Raw_Events!$C:$C,$A345,Raw_Events!$G:$G,"CIGARETTES")</f>
        <v/>
      </c>
      <c r="I345" s="29">
        <f>SUMIFS(Raw_Events!$L:$L,Raw_Events!$C:$C,$A345,Raw_Events!$G:$G,"ALCOHOL")</f>
        <v/>
      </c>
      <c r="J345" s="16">
        <f>SUMIFS(Raw_Events!$H:$H,Raw_Events!$C:$C,$A345,Raw_Events!$G:$G,"UNHEALTHY_MEAL")</f>
        <v/>
      </c>
      <c r="K345" s="28">
        <f>SUMIFS(Raw_Events!$H:$H,Raw_Events!$C:$C,$A345,Raw_Events!$G:$G,"TRAINING_MIN")+SUMIFS(Raw_Events!$H:$H,Raw_Events!$C:$C,$A345,Raw_Events!$G:$G,"DICTION_TRAINING_MIN")</f>
        <v/>
      </c>
      <c r="L345" s="28" t="n"/>
      <c r="M345" s="16">
        <f>SUMIFS(Raw_Events!$H:$H,Raw_Events!$C:$C,$A345,Raw_Events!$G:$G,"IDEA")</f>
        <v/>
      </c>
      <c r="N345" s="16">
        <f>COUNTIFS(Raw_Events!$C:$C,$A345,Raw_Events!$G:$G,"SOCIAL_MEET")</f>
        <v/>
      </c>
      <c r="O345" s="16">
        <f>COUNTIFS(Raw_Events!$C:$C,$A345,Raw_Events!$G:$G,"DATE")</f>
        <v/>
      </c>
      <c r="P345" s="3">
        <f>COUNTIFS(Raw_Events!$C:$C,$A345,Raw_Events!$G:$G,"NEW_ACTIVITY")</f>
        <v/>
      </c>
      <c r="Q345" s="3">
        <f>SUMIFS(Raw_Events!$H:$H,Raw_Events!$C:$C,$A345,Raw_Events!$G:$G,"TRAVEL_NIGHT")</f>
        <v/>
      </c>
      <c r="R345" s="3" t="n"/>
    </row>
    <row r="346" ht="15" customHeight="1">
      <c r="A346" s="14" t="n">
        <v>46366</v>
      </c>
      <c r="B346" s="27">
        <f>SUMIFS(Raw_Events!$H:$H,Raw_Events!$C:$C,$A346,Raw_Events!$G:$G,"SLEEP_HOURS")</f>
        <v/>
      </c>
      <c r="C346" s="16">
        <f>COUNTIFS(Raw_Events!$C:$C,$A346,Raw_Events!$G:$G,"WORKOUT")</f>
        <v/>
      </c>
      <c r="D346" s="28">
        <f>SUMIFS(Raw_Events!$H:$H,Raw_Events!$C:$C,$A346,Raw_Events!$G:$G,"POSTURE_SESSION")</f>
        <v/>
      </c>
      <c r="E346" s="8">
        <f>IF($D346="","",IF($D346&gt;=Settings!$C$17,1,0))</f>
        <v/>
      </c>
      <c r="F346" s="28">
        <f>SUMIFS(Raw_Events!$H:$H,Raw_Events!$C:$C,$A346,Raw_Events!$G:$G,"MINDFULNESS_MIN")</f>
        <v/>
      </c>
      <c r="G346" s="8">
        <f>IF($F346="","",IF($F346&gt;0,1,0))</f>
        <v/>
      </c>
      <c r="H346" s="16">
        <f>SUMIFS(Raw_Events!$H:$H,Raw_Events!$C:$C,$A346,Raw_Events!$G:$G,"CIGARETTES")</f>
        <v/>
      </c>
      <c r="I346" s="29">
        <f>SUMIFS(Raw_Events!$L:$L,Raw_Events!$C:$C,$A346,Raw_Events!$G:$G,"ALCOHOL")</f>
        <v/>
      </c>
      <c r="J346" s="16">
        <f>SUMIFS(Raw_Events!$H:$H,Raw_Events!$C:$C,$A346,Raw_Events!$G:$G,"UNHEALTHY_MEAL")</f>
        <v/>
      </c>
      <c r="K346" s="28">
        <f>SUMIFS(Raw_Events!$H:$H,Raw_Events!$C:$C,$A346,Raw_Events!$G:$G,"TRAINING_MIN")+SUMIFS(Raw_Events!$H:$H,Raw_Events!$C:$C,$A346,Raw_Events!$G:$G,"DICTION_TRAINING_MIN")</f>
        <v/>
      </c>
      <c r="L346" s="28" t="n"/>
      <c r="M346" s="16">
        <f>SUMIFS(Raw_Events!$H:$H,Raw_Events!$C:$C,$A346,Raw_Events!$G:$G,"IDEA")</f>
        <v/>
      </c>
      <c r="N346" s="16">
        <f>COUNTIFS(Raw_Events!$C:$C,$A346,Raw_Events!$G:$G,"SOCIAL_MEET")</f>
        <v/>
      </c>
      <c r="O346" s="16">
        <f>COUNTIFS(Raw_Events!$C:$C,$A346,Raw_Events!$G:$G,"DATE")</f>
        <v/>
      </c>
      <c r="P346" s="3">
        <f>COUNTIFS(Raw_Events!$C:$C,$A346,Raw_Events!$G:$G,"NEW_ACTIVITY")</f>
        <v/>
      </c>
      <c r="Q346" s="3">
        <f>SUMIFS(Raw_Events!$H:$H,Raw_Events!$C:$C,$A346,Raw_Events!$G:$G,"TRAVEL_NIGHT")</f>
        <v/>
      </c>
      <c r="R346" s="3" t="n"/>
    </row>
    <row r="347" ht="15" customHeight="1">
      <c r="A347" s="14" t="n">
        <v>46367</v>
      </c>
      <c r="B347" s="27">
        <f>SUMIFS(Raw_Events!$H:$H,Raw_Events!$C:$C,$A347,Raw_Events!$G:$G,"SLEEP_HOURS")</f>
        <v/>
      </c>
      <c r="C347" s="16">
        <f>COUNTIFS(Raw_Events!$C:$C,$A347,Raw_Events!$G:$G,"WORKOUT")</f>
        <v/>
      </c>
      <c r="D347" s="28">
        <f>SUMIFS(Raw_Events!$H:$H,Raw_Events!$C:$C,$A347,Raw_Events!$G:$G,"POSTURE_SESSION")</f>
        <v/>
      </c>
      <c r="E347" s="8">
        <f>IF($D347="","",IF($D347&gt;=Settings!$C$17,1,0))</f>
        <v/>
      </c>
      <c r="F347" s="28">
        <f>SUMIFS(Raw_Events!$H:$H,Raw_Events!$C:$C,$A347,Raw_Events!$G:$G,"MINDFULNESS_MIN")</f>
        <v/>
      </c>
      <c r="G347" s="8">
        <f>IF($F347="","",IF($F347&gt;0,1,0))</f>
        <v/>
      </c>
      <c r="H347" s="16">
        <f>SUMIFS(Raw_Events!$H:$H,Raw_Events!$C:$C,$A347,Raw_Events!$G:$G,"CIGARETTES")</f>
        <v/>
      </c>
      <c r="I347" s="29">
        <f>SUMIFS(Raw_Events!$L:$L,Raw_Events!$C:$C,$A347,Raw_Events!$G:$G,"ALCOHOL")</f>
        <v/>
      </c>
      <c r="J347" s="16">
        <f>SUMIFS(Raw_Events!$H:$H,Raw_Events!$C:$C,$A347,Raw_Events!$G:$G,"UNHEALTHY_MEAL")</f>
        <v/>
      </c>
      <c r="K347" s="28">
        <f>SUMIFS(Raw_Events!$H:$H,Raw_Events!$C:$C,$A347,Raw_Events!$G:$G,"TRAINING_MIN")+SUMIFS(Raw_Events!$H:$H,Raw_Events!$C:$C,$A347,Raw_Events!$G:$G,"DICTION_TRAINING_MIN")</f>
        <v/>
      </c>
      <c r="L347" s="28" t="n"/>
      <c r="M347" s="16">
        <f>SUMIFS(Raw_Events!$H:$H,Raw_Events!$C:$C,$A347,Raw_Events!$G:$G,"IDEA")</f>
        <v/>
      </c>
      <c r="N347" s="16">
        <f>COUNTIFS(Raw_Events!$C:$C,$A347,Raw_Events!$G:$G,"SOCIAL_MEET")</f>
        <v/>
      </c>
      <c r="O347" s="16">
        <f>COUNTIFS(Raw_Events!$C:$C,$A347,Raw_Events!$G:$G,"DATE")</f>
        <v/>
      </c>
      <c r="P347" s="3">
        <f>COUNTIFS(Raw_Events!$C:$C,$A347,Raw_Events!$G:$G,"NEW_ACTIVITY")</f>
        <v/>
      </c>
      <c r="Q347" s="3">
        <f>SUMIFS(Raw_Events!$H:$H,Raw_Events!$C:$C,$A347,Raw_Events!$G:$G,"TRAVEL_NIGHT")</f>
        <v/>
      </c>
      <c r="R347" s="3" t="n"/>
    </row>
    <row r="348" ht="15" customHeight="1">
      <c r="A348" s="14" t="n">
        <v>46368</v>
      </c>
      <c r="B348" s="27">
        <f>SUMIFS(Raw_Events!$H:$H,Raw_Events!$C:$C,$A348,Raw_Events!$G:$G,"SLEEP_HOURS")</f>
        <v/>
      </c>
      <c r="C348" s="16">
        <f>COUNTIFS(Raw_Events!$C:$C,$A348,Raw_Events!$G:$G,"WORKOUT")</f>
        <v/>
      </c>
      <c r="D348" s="28">
        <f>SUMIFS(Raw_Events!$H:$H,Raw_Events!$C:$C,$A348,Raw_Events!$G:$G,"POSTURE_SESSION")</f>
        <v/>
      </c>
      <c r="E348" s="8">
        <f>IF($D348="","",IF($D348&gt;=Settings!$C$17,1,0))</f>
        <v/>
      </c>
      <c r="F348" s="28">
        <f>SUMIFS(Raw_Events!$H:$H,Raw_Events!$C:$C,$A348,Raw_Events!$G:$G,"MINDFULNESS_MIN")</f>
        <v/>
      </c>
      <c r="G348" s="8">
        <f>IF($F348="","",IF($F348&gt;0,1,0))</f>
        <v/>
      </c>
      <c r="H348" s="16">
        <f>SUMIFS(Raw_Events!$H:$H,Raw_Events!$C:$C,$A348,Raw_Events!$G:$G,"CIGARETTES")</f>
        <v/>
      </c>
      <c r="I348" s="29">
        <f>SUMIFS(Raw_Events!$L:$L,Raw_Events!$C:$C,$A348,Raw_Events!$G:$G,"ALCOHOL")</f>
        <v/>
      </c>
      <c r="J348" s="16">
        <f>SUMIFS(Raw_Events!$H:$H,Raw_Events!$C:$C,$A348,Raw_Events!$G:$G,"UNHEALTHY_MEAL")</f>
        <v/>
      </c>
      <c r="K348" s="28">
        <f>SUMIFS(Raw_Events!$H:$H,Raw_Events!$C:$C,$A348,Raw_Events!$G:$G,"TRAINING_MIN")+SUMIFS(Raw_Events!$H:$H,Raw_Events!$C:$C,$A348,Raw_Events!$G:$G,"DICTION_TRAINING_MIN")</f>
        <v/>
      </c>
      <c r="L348" s="28" t="n"/>
      <c r="M348" s="16">
        <f>SUMIFS(Raw_Events!$H:$H,Raw_Events!$C:$C,$A348,Raw_Events!$G:$G,"IDEA")</f>
        <v/>
      </c>
      <c r="N348" s="16">
        <f>COUNTIFS(Raw_Events!$C:$C,$A348,Raw_Events!$G:$G,"SOCIAL_MEET")</f>
        <v/>
      </c>
      <c r="O348" s="16">
        <f>COUNTIFS(Raw_Events!$C:$C,$A348,Raw_Events!$G:$G,"DATE")</f>
        <v/>
      </c>
      <c r="P348" s="3">
        <f>COUNTIFS(Raw_Events!$C:$C,$A348,Raw_Events!$G:$G,"NEW_ACTIVITY")</f>
        <v/>
      </c>
      <c r="Q348" s="3">
        <f>SUMIFS(Raw_Events!$H:$H,Raw_Events!$C:$C,$A348,Raw_Events!$G:$G,"TRAVEL_NIGHT")</f>
        <v/>
      </c>
      <c r="R348" s="3" t="n"/>
    </row>
    <row r="349" ht="15" customHeight="1">
      <c r="A349" s="14" t="n">
        <v>46369</v>
      </c>
      <c r="B349" s="27">
        <f>SUMIFS(Raw_Events!$H:$H,Raw_Events!$C:$C,$A349,Raw_Events!$G:$G,"SLEEP_HOURS")</f>
        <v/>
      </c>
      <c r="C349" s="16">
        <f>COUNTIFS(Raw_Events!$C:$C,$A349,Raw_Events!$G:$G,"WORKOUT")</f>
        <v/>
      </c>
      <c r="D349" s="28">
        <f>SUMIFS(Raw_Events!$H:$H,Raw_Events!$C:$C,$A349,Raw_Events!$G:$G,"POSTURE_SESSION")</f>
        <v/>
      </c>
      <c r="E349" s="8">
        <f>IF($D349="","",IF($D349&gt;=Settings!$C$17,1,0))</f>
        <v/>
      </c>
      <c r="F349" s="28">
        <f>SUMIFS(Raw_Events!$H:$H,Raw_Events!$C:$C,$A349,Raw_Events!$G:$G,"MINDFULNESS_MIN")</f>
        <v/>
      </c>
      <c r="G349" s="8">
        <f>IF($F349="","",IF($F349&gt;0,1,0))</f>
        <v/>
      </c>
      <c r="H349" s="16">
        <f>SUMIFS(Raw_Events!$H:$H,Raw_Events!$C:$C,$A349,Raw_Events!$G:$G,"CIGARETTES")</f>
        <v/>
      </c>
      <c r="I349" s="29">
        <f>SUMIFS(Raw_Events!$L:$L,Raw_Events!$C:$C,$A349,Raw_Events!$G:$G,"ALCOHOL")</f>
        <v/>
      </c>
      <c r="J349" s="16">
        <f>SUMIFS(Raw_Events!$H:$H,Raw_Events!$C:$C,$A349,Raw_Events!$G:$G,"UNHEALTHY_MEAL")</f>
        <v/>
      </c>
      <c r="K349" s="28">
        <f>SUMIFS(Raw_Events!$H:$H,Raw_Events!$C:$C,$A349,Raw_Events!$G:$G,"TRAINING_MIN")+SUMIFS(Raw_Events!$H:$H,Raw_Events!$C:$C,$A349,Raw_Events!$G:$G,"DICTION_TRAINING_MIN")</f>
        <v/>
      </c>
      <c r="L349" s="28" t="n"/>
      <c r="M349" s="16">
        <f>SUMIFS(Raw_Events!$H:$H,Raw_Events!$C:$C,$A349,Raw_Events!$G:$G,"IDEA")</f>
        <v/>
      </c>
      <c r="N349" s="16">
        <f>COUNTIFS(Raw_Events!$C:$C,$A349,Raw_Events!$G:$G,"SOCIAL_MEET")</f>
        <v/>
      </c>
      <c r="O349" s="16">
        <f>COUNTIFS(Raw_Events!$C:$C,$A349,Raw_Events!$G:$G,"DATE")</f>
        <v/>
      </c>
      <c r="P349" s="3">
        <f>COUNTIFS(Raw_Events!$C:$C,$A349,Raw_Events!$G:$G,"NEW_ACTIVITY")</f>
        <v/>
      </c>
      <c r="Q349" s="3">
        <f>SUMIFS(Raw_Events!$H:$H,Raw_Events!$C:$C,$A349,Raw_Events!$G:$G,"TRAVEL_NIGHT")</f>
        <v/>
      </c>
      <c r="R349" s="3" t="n"/>
    </row>
    <row r="350" ht="15" customHeight="1">
      <c r="A350" s="14" t="n">
        <v>46370</v>
      </c>
      <c r="B350" s="27">
        <f>SUMIFS(Raw_Events!$H:$H,Raw_Events!$C:$C,$A350,Raw_Events!$G:$G,"SLEEP_HOURS")</f>
        <v/>
      </c>
      <c r="C350" s="16">
        <f>COUNTIFS(Raw_Events!$C:$C,$A350,Raw_Events!$G:$G,"WORKOUT")</f>
        <v/>
      </c>
      <c r="D350" s="28">
        <f>SUMIFS(Raw_Events!$H:$H,Raw_Events!$C:$C,$A350,Raw_Events!$G:$G,"POSTURE_SESSION")</f>
        <v/>
      </c>
      <c r="E350" s="8">
        <f>IF($D350="","",IF($D350&gt;=Settings!$C$17,1,0))</f>
        <v/>
      </c>
      <c r="F350" s="28">
        <f>SUMIFS(Raw_Events!$H:$H,Raw_Events!$C:$C,$A350,Raw_Events!$G:$G,"MINDFULNESS_MIN")</f>
        <v/>
      </c>
      <c r="G350" s="8">
        <f>IF($F350="","",IF($F350&gt;0,1,0))</f>
        <v/>
      </c>
      <c r="H350" s="16">
        <f>SUMIFS(Raw_Events!$H:$H,Raw_Events!$C:$C,$A350,Raw_Events!$G:$G,"CIGARETTES")</f>
        <v/>
      </c>
      <c r="I350" s="29">
        <f>SUMIFS(Raw_Events!$L:$L,Raw_Events!$C:$C,$A350,Raw_Events!$G:$G,"ALCOHOL")</f>
        <v/>
      </c>
      <c r="J350" s="16">
        <f>SUMIFS(Raw_Events!$H:$H,Raw_Events!$C:$C,$A350,Raw_Events!$G:$G,"UNHEALTHY_MEAL")</f>
        <v/>
      </c>
      <c r="K350" s="28">
        <f>SUMIFS(Raw_Events!$H:$H,Raw_Events!$C:$C,$A350,Raw_Events!$G:$G,"TRAINING_MIN")+SUMIFS(Raw_Events!$H:$H,Raw_Events!$C:$C,$A350,Raw_Events!$G:$G,"DICTION_TRAINING_MIN")</f>
        <v/>
      </c>
      <c r="L350" s="28" t="n"/>
      <c r="M350" s="16">
        <f>SUMIFS(Raw_Events!$H:$H,Raw_Events!$C:$C,$A350,Raw_Events!$G:$G,"IDEA")</f>
        <v/>
      </c>
      <c r="N350" s="16">
        <f>COUNTIFS(Raw_Events!$C:$C,$A350,Raw_Events!$G:$G,"SOCIAL_MEET")</f>
        <v/>
      </c>
      <c r="O350" s="16">
        <f>COUNTIFS(Raw_Events!$C:$C,$A350,Raw_Events!$G:$G,"DATE")</f>
        <v/>
      </c>
      <c r="P350" s="3">
        <f>COUNTIFS(Raw_Events!$C:$C,$A350,Raw_Events!$G:$G,"NEW_ACTIVITY")</f>
        <v/>
      </c>
      <c r="Q350" s="3">
        <f>SUMIFS(Raw_Events!$H:$H,Raw_Events!$C:$C,$A350,Raw_Events!$G:$G,"TRAVEL_NIGHT")</f>
        <v/>
      </c>
      <c r="R350" s="3" t="n"/>
    </row>
    <row r="351" ht="15" customHeight="1">
      <c r="A351" s="14" t="n">
        <v>46371</v>
      </c>
      <c r="B351" s="27">
        <f>SUMIFS(Raw_Events!$H:$H,Raw_Events!$C:$C,$A351,Raw_Events!$G:$G,"SLEEP_HOURS")</f>
        <v/>
      </c>
      <c r="C351" s="16">
        <f>COUNTIFS(Raw_Events!$C:$C,$A351,Raw_Events!$G:$G,"WORKOUT")</f>
        <v/>
      </c>
      <c r="D351" s="28">
        <f>SUMIFS(Raw_Events!$H:$H,Raw_Events!$C:$C,$A351,Raw_Events!$G:$G,"POSTURE_SESSION")</f>
        <v/>
      </c>
      <c r="E351" s="8">
        <f>IF($D351="","",IF($D351&gt;=Settings!$C$17,1,0))</f>
        <v/>
      </c>
      <c r="F351" s="28">
        <f>SUMIFS(Raw_Events!$H:$H,Raw_Events!$C:$C,$A351,Raw_Events!$G:$G,"MINDFULNESS_MIN")</f>
        <v/>
      </c>
      <c r="G351" s="8">
        <f>IF($F351="","",IF($F351&gt;0,1,0))</f>
        <v/>
      </c>
      <c r="H351" s="16">
        <f>SUMIFS(Raw_Events!$H:$H,Raw_Events!$C:$C,$A351,Raw_Events!$G:$G,"CIGARETTES")</f>
        <v/>
      </c>
      <c r="I351" s="29">
        <f>SUMIFS(Raw_Events!$L:$L,Raw_Events!$C:$C,$A351,Raw_Events!$G:$G,"ALCOHOL")</f>
        <v/>
      </c>
      <c r="J351" s="16">
        <f>SUMIFS(Raw_Events!$H:$H,Raw_Events!$C:$C,$A351,Raw_Events!$G:$G,"UNHEALTHY_MEAL")</f>
        <v/>
      </c>
      <c r="K351" s="28">
        <f>SUMIFS(Raw_Events!$H:$H,Raw_Events!$C:$C,$A351,Raw_Events!$G:$G,"TRAINING_MIN")+SUMIFS(Raw_Events!$H:$H,Raw_Events!$C:$C,$A351,Raw_Events!$G:$G,"DICTION_TRAINING_MIN")</f>
        <v/>
      </c>
      <c r="L351" s="28" t="n"/>
      <c r="M351" s="16">
        <f>SUMIFS(Raw_Events!$H:$H,Raw_Events!$C:$C,$A351,Raw_Events!$G:$G,"IDEA")</f>
        <v/>
      </c>
      <c r="N351" s="16">
        <f>COUNTIFS(Raw_Events!$C:$C,$A351,Raw_Events!$G:$G,"SOCIAL_MEET")</f>
        <v/>
      </c>
      <c r="O351" s="16">
        <f>COUNTIFS(Raw_Events!$C:$C,$A351,Raw_Events!$G:$G,"DATE")</f>
        <v/>
      </c>
      <c r="P351" s="3">
        <f>COUNTIFS(Raw_Events!$C:$C,$A351,Raw_Events!$G:$G,"NEW_ACTIVITY")</f>
        <v/>
      </c>
      <c r="Q351" s="3">
        <f>SUMIFS(Raw_Events!$H:$H,Raw_Events!$C:$C,$A351,Raw_Events!$G:$G,"TRAVEL_NIGHT")</f>
        <v/>
      </c>
      <c r="R351" s="3" t="n"/>
    </row>
    <row r="352" ht="15" customHeight="1">
      <c r="A352" s="14" t="n">
        <v>46372</v>
      </c>
      <c r="B352" s="27">
        <f>SUMIFS(Raw_Events!$H:$H,Raw_Events!$C:$C,$A352,Raw_Events!$G:$G,"SLEEP_HOURS")</f>
        <v/>
      </c>
      <c r="C352" s="16">
        <f>COUNTIFS(Raw_Events!$C:$C,$A352,Raw_Events!$G:$G,"WORKOUT")</f>
        <v/>
      </c>
      <c r="D352" s="28">
        <f>SUMIFS(Raw_Events!$H:$H,Raw_Events!$C:$C,$A352,Raw_Events!$G:$G,"POSTURE_SESSION")</f>
        <v/>
      </c>
      <c r="E352" s="8">
        <f>IF($D352="","",IF($D352&gt;=Settings!$C$17,1,0))</f>
        <v/>
      </c>
      <c r="F352" s="28">
        <f>SUMIFS(Raw_Events!$H:$H,Raw_Events!$C:$C,$A352,Raw_Events!$G:$G,"MINDFULNESS_MIN")</f>
        <v/>
      </c>
      <c r="G352" s="8">
        <f>IF($F352="","",IF($F352&gt;0,1,0))</f>
        <v/>
      </c>
      <c r="H352" s="16">
        <f>SUMIFS(Raw_Events!$H:$H,Raw_Events!$C:$C,$A352,Raw_Events!$G:$G,"CIGARETTES")</f>
        <v/>
      </c>
      <c r="I352" s="29">
        <f>SUMIFS(Raw_Events!$L:$L,Raw_Events!$C:$C,$A352,Raw_Events!$G:$G,"ALCOHOL")</f>
        <v/>
      </c>
      <c r="J352" s="16">
        <f>SUMIFS(Raw_Events!$H:$H,Raw_Events!$C:$C,$A352,Raw_Events!$G:$G,"UNHEALTHY_MEAL")</f>
        <v/>
      </c>
      <c r="K352" s="28">
        <f>SUMIFS(Raw_Events!$H:$H,Raw_Events!$C:$C,$A352,Raw_Events!$G:$G,"TRAINING_MIN")+SUMIFS(Raw_Events!$H:$H,Raw_Events!$C:$C,$A352,Raw_Events!$G:$G,"DICTION_TRAINING_MIN")</f>
        <v/>
      </c>
      <c r="L352" s="28" t="n"/>
      <c r="M352" s="16">
        <f>SUMIFS(Raw_Events!$H:$H,Raw_Events!$C:$C,$A352,Raw_Events!$G:$G,"IDEA")</f>
        <v/>
      </c>
      <c r="N352" s="16">
        <f>COUNTIFS(Raw_Events!$C:$C,$A352,Raw_Events!$G:$G,"SOCIAL_MEET")</f>
        <v/>
      </c>
      <c r="O352" s="16">
        <f>COUNTIFS(Raw_Events!$C:$C,$A352,Raw_Events!$G:$G,"DATE")</f>
        <v/>
      </c>
      <c r="P352" s="3">
        <f>COUNTIFS(Raw_Events!$C:$C,$A352,Raw_Events!$G:$G,"NEW_ACTIVITY")</f>
        <v/>
      </c>
      <c r="Q352" s="3">
        <f>SUMIFS(Raw_Events!$H:$H,Raw_Events!$C:$C,$A352,Raw_Events!$G:$G,"TRAVEL_NIGHT")</f>
        <v/>
      </c>
      <c r="R352" s="3" t="n"/>
    </row>
    <row r="353" ht="15" customHeight="1">
      <c r="A353" s="14" t="n">
        <v>46373</v>
      </c>
      <c r="B353" s="27">
        <f>SUMIFS(Raw_Events!$H:$H,Raw_Events!$C:$C,$A353,Raw_Events!$G:$G,"SLEEP_HOURS")</f>
        <v/>
      </c>
      <c r="C353" s="16">
        <f>COUNTIFS(Raw_Events!$C:$C,$A353,Raw_Events!$G:$G,"WORKOUT")</f>
        <v/>
      </c>
      <c r="D353" s="28">
        <f>SUMIFS(Raw_Events!$H:$H,Raw_Events!$C:$C,$A353,Raw_Events!$G:$G,"POSTURE_SESSION")</f>
        <v/>
      </c>
      <c r="E353" s="8">
        <f>IF($D353="","",IF($D353&gt;=Settings!$C$17,1,0))</f>
        <v/>
      </c>
      <c r="F353" s="28">
        <f>SUMIFS(Raw_Events!$H:$H,Raw_Events!$C:$C,$A353,Raw_Events!$G:$G,"MINDFULNESS_MIN")</f>
        <v/>
      </c>
      <c r="G353" s="8">
        <f>IF($F353="","",IF($F353&gt;0,1,0))</f>
        <v/>
      </c>
      <c r="H353" s="16">
        <f>SUMIFS(Raw_Events!$H:$H,Raw_Events!$C:$C,$A353,Raw_Events!$G:$G,"CIGARETTES")</f>
        <v/>
      </c>
      <c r="I353" s="29">
        <f>SUMIFS(Raw_Events!$L:$L,Raw_Events!$C:$C,$A353,Raw_Events!$G:$G,"ALCOHOL")</f>
        <v/>
      </c>
      <c r="J353" s="16">
        <f>SUMIFS(Raw_Events!$H:$H,Raw_Events!$C:$C,$A353,Raw_Events!$G:$G,"UNHEALTHY_MEAL")</f>
        <v/>
      </c>
      <c r="K353" s="28">
        <f>SUMIFS(Raw_Events!$H:$H,Raw_Events!$C:$C,$A353,Raw_Events!$G:$G,"TRAINING_MIN")+SUMIFS(Raw_Events!$H:$H,Raw_Events!$C:$C,$A353,Raw_Events!$G:$G,"DICTION_TRAINING_MIN")</f>
        <v/>
      </c>
      <c r="L353" s="28" t="n"/>
      <c r="M353" s="16">
        <f>SUMIFS(Raw_Events!$H:$H,Raw_Events!$C:$C,$A353,Raw_Events!$G:$G,"IDEA")</f>
        <v/>
      </c>
      <c r="N353" s="16">
        <f>COUNTIFS(Raw_Events!$C:$C,$A353,Raw_Events!$G:$G,"SOCIAL_MEET")</f>
        <v/>
      </c>
      <c r="O353" s="16">
        <f>COUNTIFS(Raw_Events!$C:$C,$A353,Raw_Events!$G:$G,"DATE")</f>
        <v/>
      </c>
      <c r="P353" s="3">
        <f>COUNTIFS(Raw_Events!$C:$C,$A353,Raw_Events!$G:$G,"NEW_ACTIVITY")</f>
        <v/>
      </c>
      <c r="Q353" s="3">
        <f>SUMIFS(Raw_Events!$H:$H,Raw_Events!$C:$C,$A353,Raw_Events!$G:$G,"TRAVEL_NIGHT")</f>
        <v/>
      </c>
      <c r="R353" s="3" t="n"/>
    </row>
    <row r="354" ht="15" customHeight="1">
      <c r="A354" s="14" t="n">
        <v>46374</v>
      </c>
      <c r="B354" s="27">
        <f>SUMIFS(Raw_Events!$H:$H,Raw_Events!$C:$C,$A354,Raw_Events!$G:$G,"SLEEP_HOURS")</f>
        <v/>
      </c>
      <c r="C354" s="16">
        <f>COUNTIFS(Raw_Events!$C:$C,$A354,Raw_Events!$G:$G,"WORKOUT")</f>
        <v/>
      </c>
      <c r="D354" s="28">
        <f>SUMIFS(Raw_Events!$H:$H,Raw_Events!$C:$C,$A354,Raw_Events!$G:$G,"POSTURE_SESSION")</f>
        <v/>
      </c>
      <c r="E354" s="8">
        <f>IF($D354="","",IF($D354&gt;=Settings!$C$17,1,0))</f>
        <v/>
      </c>
      <c r="F354" s="28">
        <f>SUMIFS(Raw_Events!$H:$H,Raw_Events!$C:$C,$A354,Raw_Events!$G:$G,"MINDFULNESS_MIN")</f>
        <v/>
      </c>
      <c r="G354" s="8">
        <f>IF($F354="","",IF($F354&gt;0,1,0))</f>
        <v/>
      </c>
      <c r="H354" s="16">
        <f>SUMIFS(Raw_Events!$H:$H,Raw_Events!$C:$C,$A354,Raw_Events!$G:$G,"CIGARETTES")</f>
        <v/>
      </c>
      <c r="I354" s="29">
        <f>SUMIFS(Raw_Events!$L:$L,Raw_Events!$C:$C,$A354,Raw_Events!$G:$G,"ALCOHOL")</f>
        <v/>
      </c>
      <c r="J354" s="16">
        <f>SUMIFS(Raw_Events!$H:$H,Raw_Events!$C:$C,$A354,Raw_Events!$G:$G,"UNHEALTHY_MEAL")</f>
        <v/>
      </c>
      <c r="K354" s="28">
        <f>SUMIFS(Raw_Events!$H:$H,Raw_Events!$C:$C,$A354,Raw_Events!$G:$G,"TRAINING_MIN")+SUMIFS(Raw_Events!$H:$H,Raw_Events!$C:$C,$A354,Raw_Events!$G:$G,"DICTION_TRAINING_MIN")</f>
        <v/>
      </c>
      <c r="L354" s="28" t="n"/>
      <c r="M354" s="16">
        <f>SUMIFS(Raw_Events!$H:$H,Raw_Events!$C:$C,$A354,Raw_Events!$G:$G,"IDEA")</f>
        <v/>
      </c>
      <c r="N354" s="16">
        <f>COUNTIFS(Raw_Events!$C:$C,$A354,Raw_Events!$G:$G,"SOCIAL_MEET")</f>
        <v/>
      </c>
      <c r="O354" s="16">
        <f>COUNTIFS(Raw_Events!$C:$C,$A354,Raw_Events!$G:$G,"DATE")</f>
        <v/>
      </c>
      <c r="P354" s="3">
        <f>COUNTIFS(Raw_Events!$C:$C,$A354,Raw_Events!$G:$G,"NEW_ACTIVITY")</f>
        <v/>
      </c>
      <c r="Q354" s="3">
        <f>SUMIFS(Raw_Events!$H:$H,Raw_Events!$C:$C,$A354,Raw_Events!$G:$G,"TRAVEL_NIGHT")</f>
        <v/>
      </c>
      <c r="R354" s="3" t="n"/>
    </row>
    <row r="355" ht="15" customHeight="1">
      <c r="A355" s="14" t="n">
        <v>46375</v>
      </c>
      <c r="B355" s="27">
        <f>SUMIFS(Raw_Events!$H:$H,Raw_Events!$C:$C,$A355,Raw_Events!$G:$G,"SLEEP_HOURS")</f>
        <v/>
      </c>
      <c r="C355" s="16">
        <f>COUNTIFS(Raw_Events!$C:$C,$A355,Raw_Events!$G:$G,"WORKOUT")</f>
        <v/>
      </c>
      <c r="D355" s="28">
        <f>SUMIFS(Raw_Events!$H:$H,Raw_Events!$C:$C,$A355,Raw_Events!$G:$G,"POSTURE_SESSION")</f>
        <v/>
      </c>
      <c r="E355" s="8">
        <f>IF($D355="","",IF($D355&gt;=Settings!$C$17,1,0))</f>
        <v/>
      </c>
      <c r="F355" s="28">
        <f>SUMIFS(Raw_Events!$H:$H,Raw_Events!$C:$C,$A355,Raw_Events!$G:$G,"MINDFULNESS_MIN")</f>
        <v/>
      </c>
      <c r="G355" s="8">
        <f>IF($F355="","",IF($F355&gt;0,1,0))</f>
        <v/>
      </c>
      <c r="H355" s="16">
        <f>SUMIFS(Raw_Events!$H:$H,Raw_Events!$C:$C,$A355,Raw_Events!$G:$G,"CIGARETTES")</f>
        <v/>
      </c>
      <c r="I355" s="29">
        <f>SUMIFS(Raw_Events!$L:$L,Raw_Events!$C:$C,$A355,Raw_Events!$G:$G,"ALCOHOL")</f>
        <v/>
      </c>
      <c r="J355" s="16">
        <f>SUMIFS(Raw_Events!$H:$H,Raw_Events!$C:$C,$A355,Raw_Events!$G:$G,"UNHEALTHY_MEAL")</f>
        <v/>
      </c>
      <c r="K355" s="28">
        <f>SUMIFS(Raw_Events!$H:$H,Raw_Events!$C:$C,$A355,Raw_Events!$G:$G,"TRAINING_MIN")+SUMIFS(Raw_Events!$H:$H,Raw_Events!$C:$C,$A355,Raw_Events!$G:$G,"DICTION_TRAINING_MIN")</f>
        <v/>
      </c>
      <c r="L355" s="28" t="n"/>
      <c r="M355" s="16">
        <f>SUMIFS(Raw_Events!$H:$H,Raw_Events!$C:$C,$A355,Raw_Events!$G:$G,"IDEA")</f>
        <v/>
      </c>
      <c r="N355" s="16">
        <f>COUNTIFS(Raw_Events!$C:$C,$A355,Raw_Events!$G:$G,"SOCIAL_MEET")</f>
        <v/>
      </c>
      <c r="O355" s="16">
        <f>COUNTIFS(Raw_Events!$C:$C,$A355,Raw_Events!$G:$G,"DATE")</f>
        <v/>
      </c>
      <c r="P355" s="3">
        <f>COUNTIFS(Raw_Events!$C:$C,$A355,Raw_Events!$G:$G,"NEW_ACTIVITY")</f>
        <v/>
      </c>
      <c r="Q355" s="3">
        <f>SUMIFS(Raw_Events!$H:$H,Raw_Events!$C:$C,$A355,Raw_Events!$G:$G,"TRAVEL_NIGHT")</f>
        <v/>
      </c>
      <c r="R355" s="3" t="n"/>
    </row>
    <row r="356" ht="15" customHeight="1">
      <c r="A356" s="14" t="n">
        <v>46376</v>
      </c>
      <c r="B356" s="27">
        <f>SUMIFS(Raw_Events!$H:$H,Raw_Events!$C:$C,$A356,Raw_Events!$G:$G,"SLEEP_HOURS")</f>
        <v/>
      </c>
      <c r="C356" s="16">
        <f>COUNTIFS(Raw_Events!$C:$C,$A356,Raw_Events!$G:$G,"WORKOUT")</f>
        <v/>
      </c>
      <c r="D356" s="28">
        <f>SUMIFS(Raw_Events!$H:$H,Raw_Events!$C:$C,$A356,Raw_Events!$G:$G,"POSTURE_SESSION")</f>
        <v/>
      </c>
      <c r="E356" s="8">
        <f>IF($D356="","",IF($D356&gt;=Settings!$C$17,1,0))</f>
        <v/>
      </c>
      <c r="F356" s="28">
        <f>SUMIFS(Raw_Events!$H:$H,Raw_Events!$C:$C,$A356,Raw_Events!$G:$G,"MINDFULNESS_MIN")</f>
        <v/>
      </c>
      <c r="G356" s="8">
        <f>IF($F356="","",IF($F356&gt;0,1,0))</f>
        <v/>
      </c>
      <c r="H356" s="16">
        <f>SUMIFS(Raw_Events!$H:$H,Raw_Events!$C:$C,$A356,Raw_Events!$G:$G,"CIGARETTES")</f>
        <v/>
      </c>
      <c r="I356" s="29">
        <f>SUMIFS(Raw_Events!$L:$L,Raw_Events!$C:$C,$A356,Raw_Events!$G:$G,"ALCOHOL")</f>
        <v/>
      </c>
      <c r="J356" s="16">
        <f>SUMIFS(Raw_Events!$H:$H,Raw_Events!$C:$C,$A356,Raw_Events!$G:$G,"UNHEALTHY_MEAL")</f>
        <v/>
      </c>
      <c r="K356" s="28">
        <f>SUMIFS(Raw_Events!$H:$H,Raw_Events!$C:$C,$A356,Raw_Events!$G:$G,"TRAINING_MIN")+SUMIFS(Raw_Events!$H:$H,Raw_Events!$C:$C,$A356,Raw_Events!$G:$G,"DICTION_TRAINING_MIN")</f>
        <v/>
      </c>
      <c r="L356" s="28" t="n"/>
      <c r="M356" s="16">
        <f>SUMIFS(Raw_Events!$H:$H,Raw_Events!$C:$C,$A356,Raw_Events!$G:$G,"IDEA")</f>
        <v/>
      </c>
      <c r="N356" s="16">
        <f>COUNTIFS(Raw_Events!$C:$C,$A356,Raw_Events!$G:$G,"SOCIAL_MEET")</f>
        <v/>
      </c>
      <c r="O356" s="16">
        <f>COUNTIFS(Raw_Events!$C:$C,$A356,Raw_Events!$G:$G,"DATE")</f>
        <v/>
      </c>
      <c r="P356" s="3">
        <f>COUNTIFS(Raw_Events!$C:$C,$A356,Raw_Events!$G:$G,"NEW_ACTIVITY")</f>
        <v/>
      </c>
      <c r="Q356" s="3">
        <f>SUMIFS(Raw_Events!$H:$H,Raw_Events!$C:$C,$A356,Raw_Events!$G:$G,"TRAVEL_NIGHT")</f>
        <v/>
      </c>
      <c r="R356" s="3" t="n"/>
    </row>
    <row r="357" ht="15" customHeight="1">
      <c r="A357" s="14" t="n">
        <v>46377</v>
      </c>
      <c r="B357" s="27">
        <f>SUMIFS(Raw_Events!$H:$H,Raw_Events!$C:$C,$A357,Raw_Events!$G:$G,"SLEEP_HOURS")</f>
        <v/>
      </c>
      <c r="C357" s="16">
        <f>COUNTIFS(Raw_Events!$C:$C,$A357,Raw_Events!$G:$G,"WORKOUT")</f>
        <v/>
      </c>
      <c r="D357" s="28">
        <f>SUMIFS(Raw_Events!$H:$H,Raw_Events!$C:$C,$A357,Raw_Events!$G:$G,"POSTURE_SESSION")</f>
        <v/>
      </c>
      <c r="E357" s="8">
        <f>IF($D357="","",IF($D357&gt;=Settings!$C$17,1,0))</f>
        <v/>
      </c>
      <c r="F357" s="28">
        <f>SUMIFS(Raw_Events!$H:$H,Raw_Events!$C:$C,$A357,Raw_Events!$G:$G,"MINDFULNESS_MIN")</f>
        <v/>
      </c>
      <c r="G357" s="8">
        <f>IF($F357="","",IF($F357&gt;0,1,0))</f>
        <v/>
      </c>
      <c r="H357" s="16">
        <f>SUMIFS(Raw_Events!$H:$H,Raw_Events!$C:$C,$A357,Raw_Events!$G:$G,"CIGARETTES")</f>
        <v/>
      </c>
      <c r="I357" s="29">
        <f>SUMIFS(Raw_Events!$L:$L,Raw_Events!$C:$C,$A357,Raw_Events!$G:$G,"ALCOHOL")</f>
        <v/>
      </c>
      <c r="J357" s="16">
        <f>SUMIFS(Raw_Events!$H:$H,Raw_Events!$C:$C,$A357,Raw_Events!$G:$G,"UNHEALTHY_MEAL")</f>
        <v/>
      </c>
      <c r="K357" s="28">
        <f>SUMIFS(Raw_Events!$H:$H,Raw_Events!$C:$C,$A357,Raw_Events!$G:$G,"TRAINING_MIN")+SUMIFS(Raw_Events!$H:$H,Raw_Events!$C:$C,$A357,Raw_Events!$G:$G,"DICTION_TRAINING_MIN")</f>
        <v/>
      </c>
      <c r="L357" s="28" t="n"/>
      <c r="M357" s="16">
        <f>SUMIFS(Raw_Events!$H:$H,Raw_Events!$C:$C,$A357,Raw_Events!$G:$G,"IDEA")</f>
        <v/>
      </c>
      <c r="N357" s="16">
        <f>COUNTIFS(Raw_Events!$C:$C,$A357,Raw_Events!$G:$G,"SOCIAL_MEET")</f>
        <v/>
      </c>
      <c r="O357" s="16">
        <f>COUNTIFS(Raw_Events!$C:$C,$A357,Raw_Events!$G:$G,"DATE")</f>
        <v/>
      </c>
      <c r="P357" s="3">
        <f>COUNTIFS(Raw_Events!$C:$C,$A357,Raw_Events!$G:$G,"NEW_ACTIVITY")</f>
        <v/>
      </c>
      <c r="Q357" s="3">
        <f>SUMIFS(Raw_Events!$H:$H,Raw_Events!$C:$C,$A357,Raw_Events!$G:$G,"TRAVEL_NIGHT")</f>
        <v/>
      </c>
      <c r="R357" s="3" t="n"/>
    </row>
    <row r="358" ht="15" customHeight="1">
      <c r="A358" s="14" t="n">
        <v>46378</v>
      </c>
      <c r="B358" s="27">
        <f>SUMIFS(Raw_Events!$H:$H,Raw_Events!$C:$C,$A358,Raw_Events!$G:$G,"SLEEP_HOURS")</f>
        <v/>
      </c>
      <c r="C358" s="16">
        <f>COUNTIFS(Raw_Events!$C:$C,$A358,Raw_Events!$G:$G,"WORKOUT")</f>
        <v/>
      </c>
      <c r="D358" s="28">
        <f>SUMIFS(Raw_Events!$H:$H,Raw_Events!$C:$C,$A358,Raw_Events!$G:$G,"POSTURE_SESSION")</f>
        <v/>
      </c>
      <c r="E358" s="8">
        <f>IF($D358="","",IF($D358&gt;=Settings!$C$17,1,0))</f>
        <v/>
      </c>
      <c r="F358" s="28">
        <f>SUMIFS(Raw_Events!$H:$H,Raw_Events!$C:$C,$A358,Raw_Events!$G:$G,"MINDFULNESS_MIN")</f>
        <v/>
      </c>
      <c r="G358" s="8">
        <f>IF($F358="","",IF($F358&gt;0,1,0))</f>
        <v/>
      </c>
      <c r="H358" s="16">
        <f>SUMIFS(Raw_Events!$H:$H,Raw_Events!$C:$C,$A358,Raw_Events!$G:$G,"CIGARETTES")</f>
        <v/>
      </c>
      <c r="I358" s="29">
        <f>SUMIFS(Raw_Events!$L:$L,Raw_Events!$C:$C,$A358,Raw_Events!$G:$G,"ALCOHOL")</f>
        <v/>
      </c>
      <c r="J358" s="16">
        <f>SUMIFS(Raw_Events!$H:$H,Raw_Events!$C:$C,$A358,Raw_Events!$G:$G,"UNHEALTHY_MEAL")</f>
        <v/>
      </c>
      <c r="K358" s="28">
        <f>SUMIFS(Raw_Events!$H:$H,Raw_Events!$C:$C,$A358,Raw_Events!$G:$G,"TRAINING_MIN")+SUMIFS(Raw_Events!$H:$H,Raw_Events!$C:$C,$A358,Raw_Events!$G:$G,"DICTION_TRAINING_MIN")</f>
        <v/>
      </c>
      <c r="L358" s="28" t="n"/>
      <c r="M358" s="16">
        <f>SUMIFS(Raw_Events!$H:$H,Raw_Events!$C:$C,$A358,Raw_Events!$G:$G,"IDEA")</f>
        <v/>
      </c>
      <c r="N358" s="16">
        <f>COUNTIFS(Raw_Events!$C:$C,$A358,Raw_Events!$G:$G,"SOCIAL_MEET")</f>
        <v/>
      </c>
      <c r="O358" s="16">
        <f>COUNTIFS(Raw_Events!$C:$C,$A358,Raw_Events!$G:$G,"DATE")</f>
        <v/>
      </c>
      <c r="P358" s="3">
        <f>COUNTIFS(Raw_Events!$C:$C,$A358,Raw_Events!$G:$G,"NEW_ACTIVITY")</f>
        <v/>
      </c>
      <c r="Q358" s="3">
        <f>SUMIFS(Raw_Events!$H:$H,Raw_Events!$C:$C,$A358,Raw_Events!$G:$G,"TRAVEL_NIGHT")</f>
        <v/>
      </c>
      <c r="R358" s="3" t="n"/>
    </row>
    <row r="359" ht="15" customHeight="1">
      <c r="A359" s="14" t="n">
        <v>46379</v>
      </c>
      <c r="B359" s="27">
        <f>SUMIFS(Raw_Events!$H:$H,Raw_Events!$C:$C,$A359,Raw_Events!$G:$G,"SLEEP_HOURS")</f>
        <v/>
      </c>
      <c r="C359" s="16">
        <f>COUNTIFS(Raw_Events!$C:$C,$A359,Raw_Events!$G:$G,"WORKOUT")</f>
        <v/>
      </c>
      <c r="D359" s="28">
        <f>SUMIFS(Raw_Events!$H:$H,Raw_Events!$C:$C,$A359,Raw_Events!$G:$G,"POSTURE_SESSION")</f>
        <v/>
      </c>
      <c r="E359" s="8">
        <f>IF($D359="","",IF($D359&gt;=Settings!$C$17,1,0))</f>
        <v/>
      </c>
      <c r="F359" s="28">
        <f>SUMIFS(Raw_Events!$H:$H,Raw_Events!$C:$C,$A359,Raw_Events!$G:$G,"MINDFULNESS_MIN")</f>
        <v/>
      </c>
      <c r="G359" s="8">
        <f>IF($F359="","",IF($F359&gt;0,1,0))</f>
        <v/>
      </c>
      <c r="H359" s="16">
        <f>SUMIFS(Raw_Events!$H:$H,Raw_Events!$C:$C,$A359,Raw_Events!$G:$G,"CIGARETTES")</f>
        <v/>
      </c>
      <c r="I359" s="29">
        <f>SUMIFS(Raw_Events!$L:$L,Raw_Events!$C:$C,$A359,Raw_Events!$G:$G,"ALCOHOL")</f>
        <v/>
      </c>
      <c r="J359" s="16">
        <f>SUMIFS(Raw_Events!$H:$H,Raw_Events!$C:$C,$A359,Raw_Events!$G:$G,"UNHEALTHY_MEAL")</f>
        <v/>
      </c>
      <c r="K359" s="28">
        <f>SUMIFS(Raw_Events!$H:$H,Raw_Events!$C:$C,$A359,Raw_Events!$G:$G,"TRAINING_MIN")+SUMIFS(Raw_Events!$H:$H,Raw_Events!$C:$C,$A359,Raw_Events!$G:$G,"DICTION_TRAINING_MIN")</f>
        <v/>
      </c>
      <c r="L359" s="28" t="n"/>
      <c r="M359" s="16">
        <f>SUMIFS(Raw_Events!$H:$H,Raw_Events!$C:$C,$A359,Raw_Events!$G:$G,"IDEA")</f>
        <v/>
      </c>
      <c r="N359" s="16">
        <f>COUNTIFS(Raw_Events!$C:$C,$A359,Raw_Events!$G:$G,"SOCIAL_MEET")</f>
        <v/>
      </c>
      <c r="O359" s="16">
        <f>COUNTIFS(Raw_Events!$C:$C,$A359,Raw_Events!$G:$G,"DATE")</f>
        <v/>
      </c>
      <c r="P359" s="3">
        <f>COUNTIFS(Raw_Events!$C:$C,$A359,Raw_Events!$G:$G,"NEW_ACTIVITY")</f>
        <v/>
      </c>
      <c r="Q359" s="3">
        <f>SUMIFS(Raw_Events!$H:$H,Raw_Events!$C:$C,$A359,Raw_Events!$G:$G,"TRAVEL_NIGHT")</f>
        <v/>
      </c>
      <c r="R359" s="3" t="n"/>
    </row>
    <row r="360" ht="15" customHeight="1">
      <c r="A360" s="14" t="n">
        <v>46380</v>
      </c>
      <c r="B360" s="27">
        <f>SUMIFS(Raw_Events!$H:$H,Raw_Events!$C:$C,$A360,Raw_Events!$G:$G,"SLEEP_HOURS")</f>
        <v/>
      </c>
      <c r="C360" s="16">
        <f>COUNTIFS(Raw_Events!$C:$C,$A360,Raw_Events!$G:$G,"WORKOUT")</f>
        <v/>
      </c>
      <c r="D360" s="28">
        <f>SUMIFS(Raw_Events!$H:$H,Raw_Events!$C:$C,$A360,Raw_Events!$G:$G,"POSTURE_SESSION")</f>
        <v/>
      </c>
      <c r="E360" s="8">
        <f>IF($D360="","",IF($D360&gt;=Settings!$C$17,1,0))</f>
        <v/>
      </c>
      <c r="F360" s="28">
        <f>SUMIFS(Raw_Events!$H:$H,Raw_Events!$C:$C,$A360,Raw_Events!$G:$G,"MINDFULNESS_MIN")</f>
        <v/>
      </c>
      <c r="G360" s="8">
        <f>IF($F360="","",IF($F360&gt;0,1,0))</f>
        <v/>
      </c>
      <c r="H360" s="16">
        <f>SUMIFS(Raw_Events!$H:$H,Raw_Events!$C:$C,$A360,Raw_Events!$G:$G,"CIGARETTES")</f>
        <v/>
      </c>
      <c r="I360" s="29">
        <f>SUMIFS(Raw_Events!$L:$L,Raw_Events!$C:$C,$A360,Raw_Events!$G:$G,"ALCOHOL")</f>
        <v/>
      </c>
      <c r="J360" s="16">
        <f>SUMIFS(Raw_Events!$H:$H,Raw_Events!$C:$C,$A360,Raw_Events!$G:$G,"UNHEALTHY_MEAL")</f>
        <v/>
      </c>
      <c r="K360" s="28">
        <f>SUMIFS(Raw_Events!$H:$H,Raw_Events!$C:$C,$A360,Raw_Events!$G:$G,"TRAINING_MIN")+SUMIFS(Raw_Events!$H:$H,Raw_Events!$C:$C,$A360,Raw_Events!$G:$G,"DICTION_TRAINING_MIN")</f>
        <v/>
      </c>
      <c r="L360" s="28" t="n"/>
      <c r="M360" s="16">
        <f>SUMIFS(Raw_Events!$H:$H,Raw_Events!$C:$C,$A360,Raw_Events!$G:$G,"IDEA")</f>
        <v/>
      </c>
      <c r="N360" s="16">
        <f>COUNTIFS(Raw_Events!$C:$C,$A360,Raw_Events!$G:$G,"SOCIAL_MEET")</f>
        <v/>
      </c>
      <c r="O360" s="16">
        <f>COUNTIFS(Raw_Events!$C:$C,$A360,Raw_Events!$G:$G,"DATE")</f>
        <v/>
      </c>
      <c r="P360" s="3">
        <f>COUNTIFS(Raw_Events!$C:$C,$A360,Raw_Events!$G:$G,"NEW_ACTIVITY")</f>
        <v/>
      </c>
      <c r="Q360" s="3">
        <f>SUMIFS(Raw_Events!$H:$H,Raw_Events!$C:$C,$A360,Raw_Events!$G:$G,"TRAVEL_NIGHT")</f>
        <v/>
      </c>
      <c r="R360" s="3" t="n"/>
    </row>
    <row r="361" ht="15" customHeight="1">
      <c r="A361" s="14" t="n">
        <v>46381</v>
      </c>
      <c r="B361" s="27">
        <f>SUMIFS(Raw_Events!$H:$H,Raw_Events!$C:$C,$A361,Raw_Events!$G:$G,"SLEEP_HOURS")</f>
        <v/>
      </c>
      <c r="C361" s="16">
        <f>COUNTIFS(Raw_Events!$C:$C,$A361,Raw_Events!$G:$G,"WORKOUT")</f>
        <v/>
      </c>
      <c r="D361" s="28">
        <f>SUMIFS(Raw_Events!$H:$H,Raw_Events!$C:$C,$A361,Raw_Events!$G:$G,"POSTURE_SESSION")</f>
        <v/>
      </c>
      <c r="E361" s="8">
        <f>IF($D361="","",IF($D361&gt;=Settings!$C$17,1,0))</f>
        <v/>
      </c>
      <c r="F361" s="28">
        <f>SUMIFS(Raw_Events!$H:$H,Raw_Events!$C:$C,$A361,Raw_Events!$G:$G,"MINDFULNESS_MIN")</f>
        <v/>
      </c>
      <c r="G361" s="8">
        <f>IF($F361="","",IF($F361&gt;0,1,0))</f>
        <v/>
      </c>
      <c r="H361" s="16">
        <f>SUMIFS(Raw_Events!$H:$H,Raw_Events!$C:$C,$A361,Raw_Events!$G:$G,"CIGARETTES")</f>
        <v/>
      </c>
      <c r="I361" s="29">
        <f>SUMIFS(Raw_Events!$L:$L,Raw_Events!$C:$C,$A361,Raw_Events!$G:$G,"ALCOHOL")</f>
        <v/>
      </c>
      <c r="J361" s="16">
        <f>SUMIFS(Raw_Events!$H:$H,Raw_Events!$C:$C,$A361,Raw_Events!$G:$G,"UNHEALTHY_MEAL")</f>
        <v/>
      </c>
      <c r="K361" s="28">
        <f>SUMIFS(Raw_Events!$H:$H,Raw_Events!$C:$C,$A361,Raw_Events!$G:$G,"TRAINING_MIN")+SUMIFS(Raw_Events!$H:$H,Raw_Events!$C:$C,$A361,Raw_Events!$G:$G,"DICTION_TRAINING_MIN")</f>
        <v/>
      </c>
      <c r="L361" s="28" t="n"/>
      <c r="M361" s="16">
        <f>SUMIFS(Raw_Events!$H:$H,Raw_Events!$C:$C,$A361,Raw_Events!$G:$G,"IDEA")</f>
        <v/>
      </c>
      <c r="N361" s="16">
        <f>COUNTIFS(Raw_Events!$C:$C,$A361,Raw_Events!$G:$G,"SOCIAL_MEET")</f>
        <v/>
      </c>
      <c r="O361" s="16">
        <f>COUNTIFS(Raw_Events!$C:$C,$A361,Raw_Events!$G:$G,"DATE")</f>
        <v/>
      </c>
      <c r="P361" s="3">
        <f>COUNTIFS(Raw_Events!$C:$C,$A361,Raw_Events!$G:$G,"NEW_ACTIVITY")</f>
        <v/>
      </c>
      <c r="Q361" s="3">
        <f>SUMIFS(Raw_Events!$H:$H,Raw_Events!$C:$C,$A361,Raw_Events!$G:$G,"TRAVEL_NIGHT")</f>
        <v/>
      </c>
      <c r="R361" s="3" t="n"/>
    </row>
    <row r="362" ht="15" customHeight="1">
      <c r="A362" s="14" t="n">
        <v>46382</v>
      </c>
      <c r="B362" s="27">
        <f>SUMIFS(Raw_Events!$H:$H,Raw_Events!$C:$C,$A362,Raw_Events!$G:$G,"SLEEP_HOURS")</f>
        <v/>
      </c>
      <c r="C362" s="16">
        <f>COUNTIFS(Raw_Events!$C:$C,$A362,Raw_Events!$G:$G,"WORKOUT")</f>
        <v/>
      </c>
      <c r="D362" s="28">
        <f>SUMIFS(Raw_Events!$H:$H,Raw_Events!$C:$C,$A362,Raw_Events!$G:$G,"POSTURE_SESSION")</f>
        <v/>
      </c>
      <c r="E362" s="8">
        <f>IF($D362="","",IF($D362&gt;=Settings!$C$17,1,0))</f>
        <v/>
      </c>
      <c r="F362" s="28">
        <f>SUMIFS(Raw_Events!$H:$H,Raw_Events!$C:$C,$A362,Raw_Events!$G:$G,"MINDFULNESS_MIN")</f>
        <v/>
      </c>
      <c r="G362" s="8">
        <f>IF($F362="","",IF($F362&gt;0,1,0))</f>
        <v/>
      </c>
      <c r="H362" s="16">
        <f>SUMIFS(Raw_Events!$H:$H,Raw_Events!$C:$C,$A362,Raw_Events!$G:$G,"CIGARETTES")</f>
        <v/>
      </c>
      <c r="I362" s="29">
        <f>SUMIFS(Raw_Events!$L:$L,Raw_Events!$C:$C,$A362,Raw_Events!$G:$G,"ALCOHOL")</f>
        <v/>
      </c>
      <c r="J362" s="16">
        <f>SUMIFS(Raw_Events!$H:$H,Raw_Events!$C:$C,$A362,Raw_Events!$G:$G,"UNHEALTHY_MEAL")</f>
        <v/>
      </c>
      <c r="K362" s="28">
        <f>SUMIFS(Raw_Events!$H:$H,Raw_Events!$C:$C,$A362,Raw_Events!$G:$G,"TRAINING_MIN")+SUMIFS(Raw_Events!$H:$H,Raw_Events!$C:$C,$A362,Raw_Events!$G:$G,"DICTION_TRAINING_MIN")</f>
        <v/>
      </c>
      <c r="L362" s="28" t="n"/>
      <c r="M362" s="16">
        <f>SUMIFS(Raw_Events!$H:$H,Raw_Events!$C:$C,$A362,Raw_Events!$G:$G,"IDEA")</f>
        <v/>
      </c>
      <c r="N362" s="16">
        <f>COUNTIFS(Raw_Events!$C:$C,$A362,Raw_Events!$G:$G,"SOCIAL_MEET")</f>
        <v/>
      </c>
      <c r="O362" s="16">
        <f>COUNTIFS(Raw_Events!$C:$C,$A362,Raw_Events!$G:$G,"DATE")</f>
        <v/>
      </c>
      <c r="P362" s="3">
        <f>COUNTIFS(Raw_Events!$C:$C,$A362,Raw_Events!$G:$G,"NEW_ACTIVITY")</f>
        <v/>
      </c>
      <c r="Q362" s="3">
        <f>SUMIFS(Raw_Events!$H:$H,Raw_Events!$C:$C,$A362,Raw_Events!$G:$G,"TRAVEL_NIGHT")</f>
        <v/>
      </c>
      <c r="R362" s="3" t="n"/>
    </row>
    <row r="363" ht="15" customHeight="1">
      <c r="A363" s="14" t="n">
        <v>46383</v>
      </c>
      <c r="B363" s="27">
        <f>SUMIFS(Raw_Events!$H:$H,Raw_Events!$C:$C,$A363,Raw_Events!$G:$G,"SLEEP_HOURS")</f>
        <v/>
      </c>
      <c r="C363" s="16">
        <f>COUNTIFS(Raw_Events!$C:$C,$A363,Raw_Events!$G:$G,"WORKOUT")</f>
        <v/>
      </c>
      <c r="D363" s="28">
        <f>SUMIFS(Raw_Events!$H:$H,Raw_Events!$C:$C,$A363,Raw_Events!$G:$G,"POSTURE_SESSION")</f>
        <v/>
      </c>
      <c r="E363" s="8">
        <f>IF($D363="","",IF($D363&gt;=Settings!$C$17,1,0))</f>
        <v/>
      </c>
      <c r="F363" s="28">
        <f>SUMIFS(Raw_Events!$H:$H,Raw_Events!$C:$C,$A363,Raw_Events!$G:$G,"MINDFULNESS_MIN")</f>
        <v/>
      </c>
      <c r="G363" s="8">
        <f>IF($F363="","",IF($F363&gt;0,1,0))</f>
        <v/>
      </c>
      <c r="H363" s="16">
        <f>SUMIFS(Raw_Events!$H:$H,Raw_Events!$C:$C,$A363,Raw_Events!$G:$G,"CIGARETTES")</f>
        <v/>
      </c>
      <c r="I363" s="29">
        <f>SUMIFS(Raw_Events!$L:$L,Raw_Events!$C:$C,$A363,Raw_Events!$G:$G,"ALCOHOL")</f>
        <v/>
      </c>
      <c r="J363" s="16">
        <f>SUMIFS(Raw_Events!$H:$H,Raw_Events!$C:$C,$A363,Raw_Events!$G:$G,"UNHEALTHY_MEAL")</f>
        <v/>
      </c>
      <c r="K363" s="28">
        <f>SUMIFS(Raw_Events!$H:$H,Raw_Events!$C:$C,$A363,Raw_Events!$G:$G,"TRAINING_MIN")+SUMIFS(Raw_Events!$H:$H,Raw_Events!$C:$C,$A363,Raw_Events!$G:$G,"DICTION_TRAINING_MIN")</f>
        <v/>
      </c>
      <c r="L363" s="28" t="n"/>
      <c r="M363" s="16">
        <f>SUMIFS(Raw_Events!$H:$H,Raw_Events!$C:$C,$A363,Raw_Events!$G:$G,"IDEA")</f>
        <v/>
      </c>
      <c r="N363" s="16">
        <f>COUNTIFS(Raw_Events!$C:$C,$A363,Raw_Events!$G:$G,"SOCIAL_MEET")</f>
        <v/>
      </c>
      <c r="O363" s="16">
        <f>COUNTIFS(Raw_Events!$C:$C,$A363,Raw_Events!$G:$G,"DATE")</f>
        <v/>
      </c>
      <c r="P363" s="3">
        <f>COUNTIFS(Raw_Events!$C:$C,$A363,Raw_Events!$G:$G,"NEW_ACTIVITY")</f>
        <v/>
      </c>
      <c r="Q363" s="3">
        <f>SUMIFS(Raw_Events!$H:$H,Raw_Events!$C:$C,$A363,Raw_Events!$G:$G,"TRAVEL_NIGHT")</f>
        <v/>
      </c>
      <c r="R363" s="3" t="n"/>
    </row>
    <row r="364" ht="15" customHeight="1">
      <c r="A364" s="14" t="n">
        <v>46384</v>
      </c>
      <c r="B364" s="27">
        <f>SUMIFS(Raw_Events!$H:$H,Raw_Events!$C:$C,$A364,Raw_Events!$G:$G,"SLEEP_HOURS")</f>
        <v/>
      </c>
      <c r="C364" s="16">
        <f>COUNTIFS(Raw_Events!$C:$C,$A364,Raw_Events!$G:$G,"WORKOUT")</f>
        <v/>
      </c>
      <c r="D364" s="28">
        <f>SUMIFS(Raw_Events!$H:$H,Raw_Events!$C:$C,$A364,Raw_Events!$G:$G,"POSTURE_SESSION")</f>
        <v/>
      </c>
      <c r="E364" s="8">
        <f>IF($D364="","",IF($D364&gt;=Settings!$C$17,1,0))</f>
        <v/>
      </c>
      <c r="F364" s="28">
        <f>SUMIFS(Raw_Events!$H:$H,Raw_Events!$C:$C,$A364,Raw_Events!$G:$G,"MINDFULNESS_MIN")</f>
        <v/>
      </c>
      <c r="G364" s="8">
        <f>IF($F364="","",IF($F364&gt;0,1,0))</f>
        <v/>
      </c>
      <c r="H364" s="16">
        <f>SUMIFS(Raw_Events!$H:$H,Raw_Events!$C:$C,$A364,Raw_Events!$G:$G,"CIGARETTES")</f>
        <v/>
      </c>
      <c r="I364" s="29">
        <f>SUMIFS(Raw_Events!$L:$L,Raw_Events!$C:$C,$A364,Raw_Events!$G:$G,"ALCOHOL")</f>
        <v/>
      </c>
      <c r="J364" s="16">
        <f>SUMIFS(Raw_Events!$H:$H,Raw_Events!$C:$C,$A364,Raw_Events!$G:$G,"UNHEALTHY_MEAL")</f>
        <v/>
      </c>
      <c r="K364" s="28">
        <f>SUMIFS(Raw_Events!$H:$H,Raw_Events!$C:$C,$A364,Raw_Events!$G:$G,"TRAINING_MIN")+SUMIFS(Raw_Events!$H:$H,Raw_Events!$C:$C,$A364,Raw_Events!$G:$G,"DICTION_TRAINING_MIN")</f>
        <v/>
      </c>
      <c r="L364" s="28" t="n"/>
      <c r="M364" s="16">
        <f>SUMIFS(Raw_Events!$H:$H,Raw_Events!$C:$C,$A364,Raw_Events!$G:$G,"IDEA")</f>
        <v/>
      </c>
      <c r="N364" s="16">
        <f>COUNTIFS(Raw_Events!$C:$C,$A364,Raw_Events!$G:$G,"SOCIAL_MEET")</f>
        <v/>
      </c>
      <c r="O364" s="16">
        <f>COUNTIFS(Raw_Events!$C:$C,$A364,Raw_Events!$G:$G,"DATE")</f>
        <v/>
      </c>
      <c r="P364" s="3">
        <f>COUNTIFS(Raw_Events!$C:$C,$A364,Raw_Events!$G:$G,"NEW_ACTIVITY")</f>
        <v/>
      </c>
      <c r="Q364" s="3">
        <f>SUMIFS(Raw_Events!$H:$H,Raw_Events!$C:$C,$A364,Raw_Events!$G:$G,"TRAVEL_NIGHT")</f>
        <v/>
      </c>
      <c r="R364" s="3" t="n"/>
    </row>
    <row r="365" ht="15" customHeight="1">
      <c r="A365" s="14" t="n">
        <v>46385</v>
      </c>
      <c r="B365" s="27">
        <f>SUMIFS(Raw_Events!$H:$H,Raw_Events!$C:$C,$A365,Raw_Events!$G:$G,"SLEEP_HOURS")</f>
        <v/>
      </c>
      <c r="C365" s="16">
        <f>COUNTIFS(Raw_Events!$C:$C,$A365,Raw_Events!$G:$G,"WORKOUT")</f>
        <v/>
      </c>
      <c r="D365" s="28">
        <f>SUMIFS(Raw_Events!$H:$H,Raw_Events!$C:$C,$A365,Raw_Events!$G:$G,"POSTURE_SESSION")</f>
        <v/>
      </c>
      <c r="E365" s="8">
        <f>IF($D365="","",IF($D365&gt;=Settings!$C$17,1,0))</f>
        <v/>
      </c>
      <c r="F365" s="28">
        <f>SUMIFS(Raw_Events!$H:$H,Raw_Events!$C:$C,$A365,Raw_Events!$G:$G,"MINDFULNESS_MIN")</f>
        <v/>
      </c>
      <c r="G365" s="8">
        <f>IF($F365="","",IF($F365&gt;0,1,0))</f>
        <v/>
      </c>
      <c r="H365" s="16">
        <f>SUMIFS(Raw_Events!$H:$H,Raw_Events!$C:$C,$A365,Raw_Events!$G:$G,"CIGARETTES")</f>
        <v/>
      </c>
      <c r="I365" s="29">
        <f>SUMIFS(Raw_Events!$L:$L,Raw_Events!$C:$C,$A365,Raw_Events!$G:$G,"ALCOHOL")</f>
        <v/>
      </c>
      <c r="J365" s="16">
        <f>SUMIFS(Raw_Events!$H:$H,Raw_Events!$C:$C,$A365,Raw_Events!$G:$G,"UNHEALTHY_MEAL")</f>
        <v/>
      </c>
      <c r="K365" s="28">
        <f>SUMIFS(Raw_Events!$H:$H,Raw_Events!$C:$C,$A365,Raw_Events!$G:$G,"TRAINING_MIN")+SUMIFS(Raw_Events!$H:$H,Raw_Events!$C:$C,$A365,Raw_Events!$G:$G,"DICTION_TRAINING_MIN")</f>
        <v/>
      </c>
      <c r="L365" s="28" t="n"/>
      <c r="M365" s="16">
        <f>SUMIFS(Raw_Events!$H:$H,Raw_Events!$C:$C,$A365,Raw_Events!$G:$G,"IDEA")</f>
        <v/>
      </c>
      <c r="N365" s="16">
        <f>COUNTIFS(Raw_Events!$C:$C,$A365,Raw_Events!$G:$G,"SOCIAL_MEET")</f>
        <v/>
      </c>
      <c r="O365" s="16">
        <f>COUNTIFS(Raw_Events!$C:$C,$A365,Raw_Events!$G:$G,"DATE")</f>
        <v/>
      </c>
      <c r="P365" s="3">
        <f>COUNTIFS(Raw_Events!$C:$C,$A365,Raw_Events!$G:$G,"NEW_ACTIVITY")</f>
        <v/>
      </c>
      <c r="Q365" s="3">
        <f>SUMIFS(Raw_Events!$H:$H,Raw_Events!$C:$C,$A365,Raw_Events!$G:$G,"TRAVEL_NIGHT")</f>
        <v/>
      </c>
      <c r="R365" s="3" t="n"/>
    </row>
    <row r="366" ht="15" customHeight="1">
      <c r="A366" s="14" t="n">
        <v>46386</v>
      </c>
      <c r="B366" s="27">
        <f>SUMIFS(Raw_Events!$H:$H,Raw_Events!$C:$C,$A366,Raw_Events!$G:$G,"SLEEP_HOURS")</f>
        <v/>
      </c>
      <c r="C366" s="16">
        <f>COUNTIFS(Raw_Events!$C:$C,$A366,Raw_Events!$G:$G,"WORKOUT")</f>
        <v/>
      </c>
      <c r="D366" s="28">
        <f>SUMIFS(Raw_Events!$H:$H,Raw_Events!$C:$C,$A366,Raw_Events!$G:$G,"POSTURE_SESSION")</f>
        <v/>
      </c>
      <c r="E366" s="8">
        <f>IF($D366="","",IF($D366&gt;=Settings!$C$17,1,0))</f>
        <v/>
      </c>
      <c r="F366" s="28">
        <f>SUMIFS(Raw_Events!$H:$H,Raw_Events!$C:$C,$A366,Raw_Events!$G:$G,"MINDFULNESS_MIN")</f>
        <v/>
      </c>
      <c r="G366" s="8">
        <f>IF($F366="","",IF($F366&gt;0,1,0))</f>
        <v/>
      </c>
      <c r="H366" s="16">
        <f>SUMIFS(Raw_Events!$H:$H,Raw_Events!$C:$C,$A366,Raw_Events!$G:$G,"CIGARETTES")</f>
        <v/>
      </c>
      <c r="I366" s="29">
        <f>SUMIFS(Raw_Events!$L:$L,Raw_Events!$C:$C,$A366,Raw_Events!$G:$G,"ALCOHOL")</f>
        <v/>
      </c>
      <c r="J366" s="16">
        <f>SUMIFS(Raw_Events!$H:$H,Raw_Events!$C:$C,$A366,Raw_Events!$G:$G,"UNHEALTHY_MEAL")</f>
        <v/>
      </c>
      <c r="K366" s="28">
        <f>SUMIFS(Raw_Events!$H:$H,Raw_Events!$C:$C,$A366,Raw_Events!$G:$G,"TRAINING_MIN")+SUMIFS(Raw_Events!$H:$H,Raw_Events!$C:$C,$A366,Raw_Events!$G:$G,"DICTION_TRAINING_MIN")</f>
        <v/>
      </c>
      <c r="L366" s="28" t="n"/>
      <c r="M366" s="16">
        <f>SUMIFS(Raw_Events!$H:$H,Raw_Events!$C:$C,$A366,Raw_Events!$G:$G,"IDEA")</f>
        <v/>
      </c>
      <c r="N366" s="16">
        <f>COUNTIFS(Raw_Events!$C:$C,$A366,Raw_Events!$G:$G,"SOCIAL_MEET")</f>
        <v/>
      </c>
      <c r="O366" s="16">
        <f>COUNTIFS(Raw_Events!$C:$C,$A366,Raw_Events!$G:$G,"DATE")</f>
        <v/>
      </c>
      <c r="P366" s="3">
        <f>COUNTIFS(Raw_Events!$C:$C,$A366,Raw_Events!$G:$G,"NEW_ACTIVITY")</f>
        <v/>
      </c>
      <c r="Q366" s="3">
        <f>SUMIFS(Raw_Events!$H:$H,Raw_Events!$C:$C,$A366,Raw_Events!$G:$G,"TRAVEL_NIGHT")</f>
        <v/>
      </c>
      <c r="R366" s="3" t="n"/>
    </row>
    <row r="367" ht="15" customHeight="1">
      <c r="A367" s="14" t="n">
        <v>46387</v>
      </c>
      <c r="B367" s="27">
        <f>SUMIFS(Raw_Events!$H:$H,Raw_Events!$C:$C,$A367,Raw_Events!$G:$G,"SLEEP_HOURS")</f>
        <v/>
      </c>
      <c r="C367" s="16">
        <f>COUNTIFS(Raw_Events!$C:$C,$A367,Raw_Events!$G:$G,"WORKOUT")</f>
        <v/>
      </c>
      <c r="D367" s="28">
        <f>SUMIFS(Raw_Events!$H:$H,Raw_Events!$C:$C,$A367,Raw_Events!$G:$G,"POSTURE_SESSION")</f>
        <v/>
      </c>
      <c r="E367" s="8">
        <f>IF($D367="","",IF($D367&gt;=Settings!$C$17,1,0))</f>
        <v/>
      </c>
      <c r="F367" s="28">
        <f>SUMIFS(Raw_Events!$H:$H,Raw_Events!$C:$C,$A367,Raw_Events!$G:$G,"MINDFULNESS_MIN")</f>
        <v/>
      </c>
      <c r="G367" s="8">
        <f>IF($F367="","",IF($F367&gt;0,1,0))</f>
        <v/>
      </c>
      <c r="H367" s="16">
        <f>SUMIFS(Raw_Events!$H:$H,Raw_Events!$C:$C,$A367,Raw_Events!$G:$G,"CIGARETTES")</f>
        <v/>
      </c>
      <c r="I367" s="29">
        <f>SUMIFS(Raw_Events!$L:$L,Raw_Events!$C:$C,$A367,Raw_Events!$G:$G,"ALCOHOL")</f>
        <v/>
      </c>
      <c r="J367" s="16">
        <f>SUMIFS(Raw_Events!$H:$H,Raw_Events!$C:$C,$A367,Raw_Events!$G:$G,"UNHEALTHY_MEAL")</f>
        <v/>
      </c>
      <c r="K367" s="28">
        <f>SUMIFS(Raw_Events!$H:$H,Raw_Events!$C:$C,$A367,Raw_Events!$G:$G,"TRAINING_MIN")+SUMIFS(Raw_Events!$H:$H,Raw_Events!$C:$C,$A367,Raw_Events!$G:$G,"DICTION_TRAINING_MIN")</f>
        <v/>
      </c>
      <c r="L367" s="28" t="n"/>
      <c r="M367" s="16">
        <f>SUMIFS(Raw_Events!$H:$H,Raw_Events!$C:$C,$A367,Raw_Events!$G:$G,"IDEA")</f>
        <v/>
      </c>
      <c r="N367" s="16">
        <f>COUNTIFS(Raw_Events!$C:$C,$A367,Raw_Events!$G:$G,"SOCIAL_MEET")</f>
        <v/>
      </c>
      <c r="O367" s="16">
        <f>COUNTIFS(Raw_Events!$C:$C,$A367,Raw_Events!$G:$G,"DATE")</f>
        <v/>
      </c>
      <c r="P367" s="3">
        <f>COUNTIFS(Raw_Events!$C:$C,$A367,Raw_Events!$G:$G,"NEW_ACTIVITY")</f>
        <v/>
      </c>
      <c r="Q367" s="3">
        <f>SUMIFS(Raw_Events!$H:$H,Raw_Events!$C:$C,$A367,Raw_Events!$G:$G,"TRAVEL_NIGHT")</f>
        <v/>
      </c>
      <c r="R367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A54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Weekly aggregates (app fills inputs; sheet computes compliance flags)</t>
        </is>
      </c>
    </row>
    <row r="2" ht="48" customHeight="1">
      <c r="A2" s="7" t="inlineStr">
        <is>
          <t>WeekStart</t>
        </is>
      </c>
      <c r="B2" s="7" t="inlineStr">
        <is>
          <t>WorkHours</t>
        </is>
      </c>
      <c r="C2" s="7" t="inlineStr">
        <is>
          <t>ExpensesPersonal_RUB</t>
        </is>
      </c>
      <c r="D2" s="7" t="inlineStr">
        <is>
          <t>ExcludedRenovation_RUB</t>
        </is>
      </c>
      <c r="E2" s="7" t="inlineStr">
        <is>
          <t>BusyWeek(&gt;=60)</t>
        </is>
      </c>
      <c r="F2" s="7" t="inlineStr">
        <is>
          <t>WorkHours_met(&lt;=55)</t>
        </is>
      </c>
      <c r="G2" s="7" t="inlineStr">
        <is>
          <t>Expenses_met(&lt;=175k)</t>
        </is>
      </c>
      <c r="H2" s="7" t="inlineStr">
        <is>
          <t>SocialEvents</t>
        </is>
      </c>
      <c r="I2" s="7" t="inlineStr">
        <is>
          <t>Dates</t>
        </is>
      </c>
      <c r="J2" s="7" t="inlineStr">
        <is>
          <t>TrainingSessions</t>
        </is>
      </c>
      <c r="K2" s="7" t="inlineStr">
        <is>
          <t>Training_min</t>
        </is>
      </c>
      <c r="L2" s="7" t="inlineStr">
        <is>
          <t>Ideas</t>
        </is>
      </c>
      <c r="M2" s="7" t="inlineStr">
        <is>
          <t>Mindfulness_min</t>
        </is>
      </c>
      <c r="N2" s="7" t="inlineStr">
        <is>
          <t>Mindfulness_days</t>
        </is>
      </c>
      <c r="O2" s="7" t="inlineStr">
        <is>
          <t>Posture_days_met</t>
        </is>
      </c>
      <c r="P2" s="7" t="inlineStr">
        <is>
          <t>Alcohol_std</t>
        </is>
      </c>
      <c r="Q2" s="7" t="inlineStr">
        <is>
          <t>Cigarettes</t>
        </is>
      </c>
      <c r="R2" s="26" t="inlineStr">
        <is>
          <t>Unhealthy_meals</t>
        </is>
      </c>
      <c r="S2" s="26" t="inlineStr">
        <is>
          <t>Workouts</t>
        </is>
      </c>
      <c r="T2" s="26" t="inlineStr">
        <is>
          <t>NetWorth_RUB</t>
        </is>
      </c>
      <c r="U2" s="26" t="inlineStr">
        <is>
          <t>NewActivities</t>
        </is>
      </c>
      <c r="V2" s="26" t="inlineStr">
        <is>
          <t>TravelNights</t>
        </is>
      </c>
      <c r="W2" s="26" t="inlineStr">
        <is>
          <t>SpikeMinimum_met?</t>
        </is>
      </c>
      <c r="X2" s="31" t="inlineStr">
        <is>
          <t>OriginationActions</t>
        </is>
      </c>
      <c r="Y2" s="31" t="inlineStr">
        <is>
          <t>Origination_met(&gt;=1)</t>
        </is>
      </c>
      <c r="Z2" s="31" t="inlineStr">
        <is>
          <t>WorkoutsSkipped</t>
        </is>
      </c>
      <c r="AA2" s="31" t="inlineStr">
        <is>
          <t>CommunitySessions</t>
        </is>
      </c>
      <c r="AB2" s="31" t="inlineStr">
        <is>
          <t>HostedEvents</t>
        </is>
      </c>
      <c r="AC2" s="31" t="inlineStr">
        <is>
          <t>IdeaStars</t>
        </is>
      </c>
      <c r="AD2" s="31" t="inlineStr">
        <is>
          <t>Trigger_LowSocial_2w</t>
        </is>
      </c>
      <c r="AE2" s="31" t="inlineStr">
        <is>
          <t>Trigger_LowDates_2w</t>
        </is>
      </c>
      <c r="AF2" s="31" t="inlineStr">
        <is>
          <t>BusyWeekFloorNeeded?</t>
        </is>
      </c>
      <c r="AG2" s="31" t="inlineStr">
        <is>
          <t>Trigger_DealSpike_2w</t>
        </is>
      </c>
      <c r="AH2" s="31" t="inlineStr">
        <is>
          <t>Trigger_IdeaNoReview</t>
        </is>
      </c>
      <c r="AI2" t="inlineStr">
        <is>
          <t>DeepWork_hours</t>
        </is>
      </c>
      <c r="AJ2" t="inlineStr">
        <is>
          <t>Education_hours</t>
        </is>
      </c>
      <c r="AK2" t="inlineStr">
        <is>
          <t>Hobby_hours</t>
        </is>
      </c>
      <c r="AL2" t="inlineStr">
        <is>
          <t>PartnerQualityTime</t>
        </is>
      </c>
      <c r="AM2" t="inlineStr">
        <is>
          <t>InvestmentCoverage_pct</t>
        </is>
      </c>
    </row>
    <row r="3" ht="15" customHeight="1">
      <c r="A3" s="17" t="n">
        <v>46027</v>
      </c>
      <c r="B3" s="3">
        <f>IFERROR(VLOOKUP($A3,Raw_Weekly!$A:$G,2,FALSE),"")</f>
        <v/>
      </c>
      <c r="C3" s="3">
        <f>IFERROR(VLOOKUP($A3,Raw_Weekly!$A:$G,3,FALSE),"")</f>
        <v/>
      </c>
      <c r="D3" s="3">
        <f>IFERROR(VLOOKUP($A3,Raw_Weekly!$A:$G,4,FALSE),0)</f>
        <v/>
      </c>
      <c r="E3">
        <f>IF($B3="","",IF(OR($B3&gt;=Settings!$C$14,IFERROR(VLOOKUP($A3,Raw_Weekly!$A:$H,8,FALSE),0)=1),1,0))</f>
        <v/>
      </c>
      <c r="F3">
        <f>IF($B3="","",IF($B3&lt;=Settings!$C$13,1,0))</f>
        <v/>
      </c>
      <c r="G3">
        <f>IF($C3="","",IF($C3&lt;=Settings!$C$12,1,0))</f>
        <v/>
      </c>
      <c r="H3" s="3">
        <f>COUNTIFS(Raw_Events!$D:$D,$A3,Raw_Events!$G:$G,"SOCIAL_MEET")+COUNTIFS(Raw_Events!$D:$D,$A3,Raw_Events!$G:$G,"COMMUNITY_SESSION")+COUNTIFS(Raw_Events!$D:$D,$A3,Raw_Events!$G:$G,"HOSTED_EVENT")</f>
        <v/>
      </c>
      <c r="I3" s="3">
        <f>COUNTIFS(Raw_Events!$D:$D,$A3,Raw_Events!$G:$G,"DATE")</f>
        <v/>
      </c>
      <c r="J3" s="3">
        <f>COUNTIFS(Raw_Events!$D:$D,$A3,Raw_Events!$G:$G,"TRAINING_MIN")+COUNTIFS(Raw_Events!$D:$D,$A3,Raw_Events!$G:$G,"DICTION_TRAINING_MIN")</f>
        <v/>
      </c>
      <c r="K3" s="3">
        <f>SUMIFS(Raw_Events!$H:$H,Raw_Events!$D:$D,$A3,Raw_Events!$G:$G,"TRAINING_MIN")+SUMIFS(Raw_Events!$H:$H,Raw_Events!$D:$D,$A3,Raw_Events!$G:$G,"DICTION_TRAINING_MIN")</f>
        <v/>
      </c>
      <c r="L3" s="3">
        <f>SUMIFS(Raw_Events!$H:$H,Raw_Events!$D:$D,$A3,Raw_Events!$G:$G,"IDEA")</f>
        <v/>
      </c>
      <c r="M3" s="3">
        <f>SUMIFS(Raw_Events!$H:$H,Raw_Events!$D:$D,$A3,Raw_Events!$G:$G,"MINDFULNESS_MIN")</f>
        <v/>
      </c>
      <c r="N3" s="3">
        <f>SUMIFS(Daily_Agg!$G:$G,Daily_Agg!$A:$A,"&gt;="&amp;$A3,Daily_Agg!$A:$A,"&lt;"&amp;$A3+7)</f>
        <v/>
      </c>
      <c r="O3" s="3">
        <f>SUMIFS(Daily_Agg!$E:$E,Daily_Agg!$A:$A,"&gt;="&amp;$A3,Daily_Agg!$A:$A,"&lt;"&amp;$A3+7)</f>
        <v/>
      </c>
      <c r="P3" s="3">
        <f>SUMIFS(Raw_Events!$L:$L,Raw_Events!$D:$D,$A3,Raw_Events!$G:$G,"ALCOHOL")</f>
        <v/>
      </c>
      <c r="Q3" s="3">
        <f>SUMIFS(Raw_Events!$H:$H,Raw_Events!$D:$D,$A3,Raw_Events!$G:$G,"CIGARETTES")</f>
        <v/>
      </c>
      <c r="R3" s="3">
        <f>SUMIFS(Raw_Events!$H:$H,Raw_Events!$D:$D,$A3,Raw_Events!$G:$G,"UNHEALTHY_MEAL")</f>
        <v/>
      </c>
      <c r="S3" s="3">
        <f>COUNTIFS(Raw_Events!$D:$D,$A3,Raw_Events!$G:$G,"WORKOUT")</f>
        <v/>
      </c>
      <c r="T3" s="3">
        <f>IFERROR(VLOOKUP($A3,Raw_Weekly!$A:$G,5,FALSE),"")</f>
        <v/>
      </c>
      <c r="U3" s="3">
        <f>COUNTIFS(Raw_Events!$D:$D,$A3,Raw_Events!$G:$G,"NEW_ACTIVITY")</f>
        <v/>
      </c>
      <c r="V3" s="3">
        <f>SUMIFS(Raw_Events!$H:$H,Raw_Events!$D:$D,$A3,Raw_Events!$G:$G,"TRAVEL_NIGHT")</f>
        <v/>
      </c>
      <c r="W3">
        <f>IF($E3=1,IF(AND($H3&gt;=Settings!$C$39,$J3&gt;=Settings!$C$40,$L3&gt;=Settings!$C$41),1,0),"")</f>
        <v/>
      </c>
      <c r="X3">
        <f>IF($A3="","",IF(COUNTIFS(Raw_Events!$D:$D,$A3,Raw_Events!$G:$G,"ORIGINATION_ACTION")&gt;0,COUNTIFS(Raw_Events!$D:$D,$A3,Raw_Events!$G:$G,"ORIGINATION_ACTION"),COUNTIFS(Raw_Events!$D:$D,$A3,Raw_Events!$G:$G,"STAKEHOLDER_CHAT")+COUNTIFS(Raw_Events!$D:$D,$A3,Raw_Events!$G:$G,"MEMO_WRITTEN")+COUNTIFS(Raw_Events!$D:$D,$A3,Raw_Events!$G:$G,"INITIATIVE_PRESENTED_VP")+COUNTIFS(Raw_Events!$D:$D,$A3,Raw_Events!$G:$G,"INITIATIVE_IDEA")))</f>
        <v/>
      </c>
      <c r="Y3">
        <f>IF($X3="","",IF($X3&gt;=1,1,0))</f>
        <v/>
      </c>
      <c r="Z3">
        <f>COUNTIFS(Raw_Events!$D:$D,$A3,Raw_Events!$G:$G,"WORKOUT_SKIPPED")</f>
        <v/>
      </c>
      <c r="AA3">
        <f>COUNTIFS(Raw_Events!$D:$D,$A3,Raw_Events!$G:$G,"COMMUNITY_SESSION")</f>
        <v/>
      </c>
      <c r="AB3">
        <f>COUNTIFS(Raw_Events!$D:$D,$A3,Raw_Events!$G:$G,"HOSTED_EVENT")</f>
        <v/>
      </c>
      <c r="AC3">
        <f>SUMIFS(Raw_Events!$H:$H,Raw_Events!$D:$D,$A3,Raw_Events!$G:$G,"IDEA_STAR")</f>
        <v/>
      </c>
      <c r="AD3">
        <f>IF($A3="","",IF(ROW()=3,"",IF(AND($H3&lt;1,INDEX($H:$H,ROW()-1)&lt;1),1,0)))</f>
        <v/>
      </c>
      <c r="AE3">
        <f>IF($A3="","",IF(ROW()=3,"",IF(AND($I3&lt;2,INDEX($I:$I,ROW()-1)&lt;2),1,0)))</f>
        <v/>
      </c>
      <c r="AF3">
        <f>IF($A3="","",IF(OR($E3=1,$AD3=1,$AE3=1),1,0))</f>
        <v/>
      </c>
      <c r="AG3">
        <f>IF($A3="","",IF(ROW()=3,"",IF(AND($B3&gt;=Settings!$C$14,INDEX($B:$B,ROW()-1)&gt;=Settings!$C$14),1,0)))</f>
        <v/>
      </c>
      <c r="AH3">
        <f>IF($A3="","",IF(AND($L3&gt;=Settings!$C$34,$AC3&lt;1),1,0))</f>
        <v/>
      </c>
      <c r="AI3">
        <f>SUMIFS(Raw_Events!$H:$H,Raw_Events!$D:$D,$A3,Raw_Events!$G:$G,"DEEP_WORK_HOURS")</f>
        <v/>
      </c>
      <c r="AJ3">
        <f>SUMIFS(Raw_Events!$H:$H,Raw_Events!$D:$D,$A3,Raw_Events!$G:$G,"EDUCATION_HOURS")</f>
        <v/>
      </c>
      <c r="AK3">
        <f>SUMIFS(Raw_Events!$H:$H,Raw_Events!$D:$D,$A3,Raw_Events!$G:$G,"HOBBY_HOURS")</f>
        <v/>
      </c>
      <c r="AL3">
        <f>SUMIFS(Raw_Events!$H:$H,Raw_Events!$D:$D,$A3,Raw_Events!$G:$G,"PARTNER_QUALITY_TIME")</f>
        <v/>
      </c>
      <c r="AM3">
        <f>IFERROR(MAXIFS(Raw_Events!$H:$H,Raw_Events!$D:$D,$A3,Raw_Events!$G:$G,"INVESTMENT_COVERAGE"),"")</f>
        <v/>
      </c>
    </row>
    <row r="4" ht="15" customHeight="1">
      <c r="A4" s="17" t="n">
        <v>46034</v>
      </c>
      <c r="B4" s="3">
        <f>IFERROR(VLOOKUP($A4,Raw_Weekly!$A:$G,2,FALSE),"")</f>
        <v/>
      </c>
      <c r="C4" s="3">
        <f>IFERROR(VLOOKUP($A4,Raw_Weekly!$A:$G,3,FALSE),"")</f>
        <v/>
      </c>
      <c r="D4" s="3">
        <f>IFERROR(VLOOKUP($A4,Raw_Weekly!$A:$G,4,FALSE),0)</f>
        <v/>
      </c>
      <c r="E4">
        <f>IF($B4="","",IF(OR($B4&gt;=Settings!$C$14,IFERROR(VLOOKUP($A4,Raw_Weekly!$A:$H,8,FALSE),0)=1),1,0))</f>
        <v/>
      </c>
      <c r="F4">
        <f>IF($B4="","",IF($B4&lt;=Settings!$C$13,1,0))</f>
        <v/>
      </c>
      <c r="G4">
        <f>IF($C4="","",IF($C4&lt;=Settings!$C$12,1,0))</f>
        <v/>
      </c>
      <c r="H4" s="3">
        <f>COUNTIFS(Raw_Events!$D:$D,$A4,Raw_Events!$G:$G,"SOCIAL_MEET")+COUNTIFS(Raw_Events!$D:$D,$A4,Raw_Events!$G:$G,"COMMUNITY_SESSION")+COUNTIFS(Raw_Events!$D:$D,$A4,Raw_Events!$G:$G,"HOSTED_EVENT")</f>
        <v/>
      </c>
      <c r="I4" s="3">
        <f>COUNTIFS(Raw_Events!$D:$D,$A4,Raw_Events!$G:$G,"DATE")</f>
        <v/>
      </c>
      <c r="J4" s="3">
        <f>COUNTIFS(Raw_Events!$D:$D,$A4,Raw_Events!$G:$G,"TRAINING_MIN")+COUNTIFS(Raw_Events!$D:$D,$A4,Raw_Events!$G:$G,"DICTION_TRAINING_MIN")</f>
        <v/>
      </c>
      <c r="K4" s="3">
        <f>SUMIFS(Raw_Events!$H:$H,Raw_Events!$D:$D,$A4,Raw_Events!$G:$G,"TRAINING_MIN")+SUMIFS(Raw_Events!$H:$H,Raw_Events!$D:$D,$A4,Raw_Events!$G:$G,"DICTION_TRAINING_MIN")</f>
        <v/>
      </c>
      <c r="L4" s="3">
        <f>SUMIFS(Raw_Events!$H:$H,Raw_Events!$D:$D,$A4,Raw_Events!$G:$G,"IDEA")</f>
        <v/>
      </c>
      <c r="M4" s="3">
        <f>SUMIFS(Raw_Events!$H:$H,Raw_Events!$D:$D,$A4,Raw_Events!$G:$G,"MINDFULNESS_MIN")</f>
        <v/>
      </c>
      <c r="N4" s="3">
        <f>SUMIFS(Daily_Agg!$G:$G,Daily_Agg!$A:$A,"&gt;="&amp;$A4,Daily_Agg!$A:$A,"&lt;"&amp;$A4+7)</f>
        <v/>
      </c>
      <c r="O4" s="3">
        <f>SUMIFS(Daily_Agg!$E:$E,Daily_Agg!$A:$A,"&gt;="&amp;$A4,Daily_Agg!$A:$A,"&lt;"&amp;$A4+7)</f>
        <v/>
      </c>
      <c r="P4" s="3">
        <f>SUMIFS(Raw_Events!$L:$L,Raw_Events!$D:$D,$A4,Raw_Events!$G:$G,"ALCOHOL")</f>
        <v/>
      </c>
      <c r="Q4" s="3">
        <f>SUMIFS(Raw_Events!$H:$H,Raw_Events!$D:$D,$A4,Raw_Events!$G:$G,"CIGARETTES")</f>
        <v/>
      </c>
      <c r="R4" s="3">
        <f>SUMIFS(Raw_Events!$H:$H,Raw_Events!$D:$D,$A4,Raw_Events!$G:$G,"UNHEALTHY_MEAL")</f>
        <v/>
      </c>
      <c r="S4" s="3">
        <f>COUNTIFS(Raw_Events!$D:$D,$A4,Raw_Events!$G:$G,"WORKOUT")</f>
        <v/>
      </c>
      <c r="T4" s="3">
        <f>IFERROR(VLOOKUP($A4,Raw_Weekly!$A:$G,5,FALSE),"")</f>
        <v/>
      </c>
      <c r="U4" s="3">
        <f>COUNTIFS(Raw_Events!$D:$D,$A4,Raw_Events!$G:$G,"NEW_ACTIVITY")</f>
        <v/>
      </c>
      <c r="V4" s="3">
        <f>SUMIFS(Raw_Events!$H:$H,Raw_Events!$D:$D,$A4,Raw_Events!$G:$G,"TRAVEL_NIGHT")</f>
        <v/>
      </c>
      <c r="W4">
        <f>IF($E4=1,IF(AND($H4&gt;=Settings!$C$39,$J4&gt;=Settings!$C$40,$L4&gt;=Settings!$C$41),1,0),"")</f>
        <v/>
      </c>
      <c r="X4">
        <f>IF($A4="","",IF(COUNTIFS(Raw_Events!$D:$D,$A4,Raw_Events!$G:$G,"ORIGINATION_ACTION")&gt;0,COUNTIFS(Raw_Events!$D:$D,$A4,Raw_Events!$G:$G,"ORIGINATION_ACTION"),COUNTIFS(Raw_Events!$D:$D,$A4,Raw_Events!$G:$G,"STAKEHOLDER_CHAT")+COUNTIFS(Raw_Events!$D:$D,$A4,Raw_Events!$G:$G,"MEMO_WRITTEN")+COUNTIFS(Raw_Events!$D:$D,$A4,Raw_Events!$G:$G,"INITIATIVE_PRESENTED_VP")+COUNTIFS(Raw_Events!$D:$D,$A4,Raw_Events!$G:$G,"INITIATIVE_IDEA")))</f>
        <v/>
      </c>
      <c r="Y4">
        <f>IF($X4="","",IF($X4&gt;=1,1,0))</f>
        <v/>
      </c>
      <c r="Z4">
        <f>COUNTIFS(Raw_Events!$D:$D,$A4,Raw_Events!$G:$G,"WORKOUT_SKIPPED")</f>
        <v/>
      </c>
      <c r="AA4">
        <f>COUNTIFS(Raw_Events!$D:$D,$A4,Raw_Events!$G:$G,"COMMUNITY_SESSION")</f>
        <v/>
      </c>
      <c r="AB4">
        <f>COUNTIFS(Raw_Events!$D:$D,$A4,Raw_Events!$G:$G,"HOSTED_EVENT")</f>
        <v/>
      </c>
      <c r="AC4">
        <f>SUMIFS(Raw_Events!$H:$H,Raw_Events!$D:$D,$A4,Raw_Events!$G:$G,"IDEA_STAR")</f>
        <v/>
      </c>
      <c r="AD4">
        <f>IF($A4="","",IF(ROW()=3,"",IF(AND($H4&lt;1,INDEX($H:$H,ROW()-1)&lt;1),1,0)))</f>
        <v/>
      </c>
      <c r="AE4">
        <f>IF($A4="","",IF(ROW()=3,"",IF(AND($I4&lt;2,INDEX($I:$I,ROW()-1)&lt;2),1,0)))</f>
        <v/>
      </c>
      <c r="AF4">
        <f>IF($A4="","",IF(OR($E4=1,$AD4=1,$AE4=1),1,0))</f>
        <v/>
      </c>
      <c r="AG4">
        <f>IF($A4="","",IF(ROW()=3,"",IF(AND($B4&gt;=Settings!$C$14,INDEX($B:$B,ROW()-1)&gt;=Settings!$C$14),1,0)))</f>
        <v/>
      </c>
      <c r="AH4">
        <f>IF($A4="","",IF(AND($L4&gt;=Settings!$C$34,$AC4&lt;1),1,0))</f>
        <v/>
      </c>
      <c r="AI4">
        <f>SUMIFS(Raw_Events!$H:$H,Raw_Events!$D:$D,$A4,Raw_Events!$G:$G,"DEEP_WORK_HOURS")</f>
        <v/>
      </c>
      <c r="AJ4">
        <f>SUMIFS(Raw_Events!$H:$H,Raw_Events!$D:$D,$A4,Raw_Events!$G:$G,"EDUCATION_HOURS")</f>
        <v/>
      </c>
      <c r="AK4">
        <f>SUMIFS(Raw_Events!$H:$H,Raw_Events!$D:$D,$A4,Raw_Events!$G:$G,"HOBBY_HOURS")</f>
        <v/>
      </c>
      <c r="AL4">
        <f>SUMIFS(Raw_Events!$H:$H,Raw_Events!$D:$D,$A4,Raw_Events!$G:$G,"PARTNER_QUALITY_TIME")</f>
        <v/>
      </c>
      <c r="AM4">
        <f>IFERROR(MAXIFS(Raw_Events!$H:$H,Raw_Events!$D:$D,$A4,Raw_Events!$G:$G,"INVESTMENT_COVERAGE"),"")</f>
        <v/>
      </c>
    </row>
    <row r="5" ht="15" customHeight="1">
      <c r="A5" s="17" t="n">
        <v>46041</v>
      </c>
      <c r="B5" s="3">
        <f>IFERROR(VLOOKUP($A5,Raw_Weekly!$A:$G,2,FALSE),"")</f>
        <v/>
      </c>
      <c r="C5" s="3">
        <f>IFERROR(VLOOKUP($A5,Raw_Weekly!$A:$G,3,FALSE),"")</f>
        <v/>
      </c>
      <c r="D5" s="3">
        <f>IFERROR(VLOOKUP($A5,Raw_Weekly!$A:$G,4,FALSE),0)</f>
        <v/>
      </c>
      <c r="E5">
        <f>IF($B5="","",IF(OR($B5&gt;=Settings!$C$14,IFERROR(VLOOKUP($A5,Raw_Weekly!$A:$H,8,FALSE),0)=1),1,0))</f>
        <v/>
      </c>
      <c r="F5">
        <f>IF($B5="","",IF($B5&lt;=Settings!$C$13,1,0))</f>
        <v/>
      </c>
      <c r="G5">
        <f>IF($C5="","",IF($C5&lt;=Settings!$C$12,1,0))</f>
        <v/>
      </c>
      <c r="H5" s="3">
        <f>COUNTIFS(Raw_Events!$D:$D,$A5,Raw_Events!$G:$G,"SOCIAL_MEET")+COUNTIFS(Raw_Events!$D:$D,$A5,Raw_Events!$G:$G,"COMMUNITY_SESSION")+COUNTIFS(Raw_Events!$D:$D,$A5,Raw_Events!$G:$G,"HOSTED_EVENT")</f>
        <v/>
      </c>
      <c r="I5" s="3">
        <f>COUNTIFS(Raw_Events!$D:$D,$A5,Raw_Events!$G:$G,"DATE")</f>
        <v/>
      </c>
      <c r="J5" s="3">
        <f>COUNTIFS(Raw_Events!$D:$D,$A5,Raw_Events!$G:$G,"TRAINING_MIN")+COUNTIFS(Raw_Events!$D:$D,$A5,Raw_Events!$G:$G,"DICTION_TRAINING_MIN")</f>
        <v/>
      </c>
      <c r="K5" s="3">
        <f>SUMIFS(Raw_Events!$H:$H,Raw_Events!$D:$D,$A5,Raw_Events!$G:$G,"TRAINING_MIN")+SUMIFS(Raw_Events!$H:$H,Raw_Events!$D:$D,$A5,Raw_Events!$G:$G,"DICTION_TRAINING_MIN")</f>
        <v/>
      </c>
      <c r="L5" s="3">
        <f>SUMIFS(Raw_Events!$H:$H,Raw_Events!$D:$D,$A5,Raw_Events!$G:$G,"IDEA")</f>
        <v/>
      </c>
      <c r="M5" s="3">
        <f>SUMIFS(Raw_Events!$H:$H,Raw_Events!$D:$D,$A5,Raw_Events!$G:$G,"MINDFULNESS_MIN")</f>
        <v/>
      </c>
      <c r="N5" s="3">
        <f>SUMIFS(Daily_Agg!$G:$G,Daily_Agg!$A:$A,"&gt;="&amp;$A5,Daily_Agg!$A:$A,"&lt;"&amp;$A5+7)</f>
        <v/>
      </c>
      <c r="O5" s="3">
        <f>SUMIFS(Daily_Agg!$E:$E,Daily_Agg!$A:$A,"&gt;="&amp;$A5,Daily_Agg!$A:$A,"&lt;"&amp;$A5+7)</f>
        <v/>
      </c>
      <c r="P5" s="3">
        <f>SUMIFS(Raw_Events!$L:$L,Raw_Events!$D:$D,$A5,Raw_Events!$G:$G,"ALCOHOL")</f>
        <v/>
      </c>
      <c r="Q5" s="3">
        <f>SUMIFS(Raw_Events!$H:$H,Raw_Events!$D:$D,$A5,Raw_Events!$G:$G,"CIGARETTES")</f>
        <v/>
      </c>
      <c r="R5" s="3">
        <f>SUMIFS(Raw_Events!$H:$H,Raw_Events!$D:$D,$A5,Raw_Events!$G:$G,"UNHEALTHY_MEAL")</f>
        <v/>
      </c>
      <c r="S5" s="3">
        <f>COUNTIFS(Raw_Events!$D:$D,$A5,Raw_Events!$G:$G,"WORKOUT")</f>
        <v/>
      </c>
      <c r="T5" s="3">
        <f>IFERROR(VLOOKUP($A5,Raw_Weekly!$A:$G,5,FALSE),"")</f>
        <v/>
      </c>
      <c r="U5" s="3">
        <f>COUNTIFS(Raw_Events!$D:$D,$A5,Raw_Events!$G:$G,"NEW_ACTIVITY")</f>
        <v/>
      </c>
      <c r="V5" s="3">
        <f>SUMIFS(Raw_Events!$H:$H,Raw_Events!$D:$D,$A5,Raw_Events!$G:$G,"TRAVEL_NIGHT")</f>
        <v/>
      </c>
      <c r="W5">
        <f>IF($E5=1,IF(AND($H5&gt;=Settings!$C$39,$J5&gt;=Settings!$C$40,$L5&gt;=Settings!$C$41),1,0),"")</f>
        <v/>
      </c>
      <c r="X5">
        <f>IF($A5="","",IF(COUNTIFS(Raw_Events!$D:$D,$A5,Raw_Events!$G:$G,"ORIGINATION_ACTION")&gt;0,COUNTIFS(Raw_Events!$D:$D,$A5,Raw_Events!$G:$G,"ORIGINATION_ACTION"),COUNTIFS(Raw_Events!$D:$D,$A5,Raw_Events!$G:$G,"STAKEHOLDER_CHAT")+COUNTIFS(Raw_Events!$D:$D,$A5,Raw_Events!$G:$G,"MEMO_WRITTEN")+COUNTIFS(Raw_Events!$D:$D,$A5,Raw_Events!$G:$G,"INITIATIVE_PRESENTED_VP")+COUNTIFS(Raw_Events!$D:$D,$A5,Raw_Events!$G:$G,"INITIATIVE_IDEA")))</f>
        <v/>
      </c>
      <c r="Y5">
        <f>IF($X5="","",IF($X5&gt;=1,1,0))</f>
        <v/>
      </c>
      <c r="Z5">
        <f>COUNTIFS(Raw_Events!$D:$D,$A5,Raw_Events!$G:$G,"WORKOUT_SKIPPED")</f>
        <v/>
      </c>
      <c r="AA5">
        <f>COUNTIFS(Raw_Events!$D:$D,$A5,Raw_Events!$G:$G,"COMMUNITY_SESSION")</f>
        <v/>
      </c>
      <c r="AB5">
        <f>COUNTIFS(Raw_Events!$D:$D,$A5,Raw_Events!$G:$G,"HOSTED_EVENT")</f>
        <v/>
      </c>
      <c r="AC5">
        <f>SUMIFS(Raw_Events!$H:$H,Raw_Events!$D:$D,$A5,Raw_Events!$G:$G,"IDEA_STAR")</f>
        <v/>
      </c>
      <c r="AD5">
        <f>IF($A5="","",IF(ROW()=3,"",IF(AND($H5&lt;1,INDEX($H:$H,ROW()-1)&lt;1),1,0)))</f>
        <v/>
      </c>
      <c r="AE5">
        <f>IF($A5="","",IF(ROW()=3,"",IF(AND($I5&lt;2,INDEX($I:$I,ROW()-1)&lt;2),1,0)))</f>
        <v/>
      </c>
      <c r="AF5">
        <f>IF($A5="","",IF(OR($E5=1,$AD5=1,$AE5=1),1,0))</f>
        <v/>
      </c>
      <c r="AG5">
        <f>IF($A5="","",IF(ROW()=3,"",IF(AND($B5&gt;=Settings!$C$14,INDEX($B:$B,ROW()-1)&gt;=Settings!$C$14),1,0)))</f>
        <v/>
      </c>
      <c r="AH5">
        <f>IF($A5="","",IF(AND($L5&gt;=Settings!$C$34,$AC5&lt;1),1,0))</f>
        <v/>
      </c>
      <c r="AI5">
        <f>SUMIFS(Raw_Events!$H:$H,Raw_Events!$D:$D,$A5,Raw_Events!$G:$G,"DEEP_WORK_HOURS")</f>
        <v/>
      </c>
      <c r="AJ5">
        <f>SUMIFS(Raw_Events!$H:$H,Raw_Events!$D:$D,$A5,Raw_Events!$G:$G,"EDUCATION_HOURS")</f>
        <v/>
      </c>
      <c r="AK5">
        <f>SUMIFS(Raw_Events!$H:$H,Raw_Events!$D:$D,$A5,Raw_Events!$G:$G,"HOBBY_HOURS")</f>
        <v/>
      </c>
      <c r="AL5">
        <f>SUMIFS(Raw_Events!$H:$H,Raw_Events!$D:$D,$A5,Raw_Events!$G:$G,"PARTNER_QUALITY_TIME")</f>
        <v/>
      </c>
      <c r="AM5">
        <f>IFERROR(MAXIFS(Raw_Events!$H:$H,Raw_Events!$D:$D,$A5,Raw_Events!$G:$G,"INVESTMENT_COVERAGE"),"")</f>
        <v/>
      </c>
    </row>
    <row r="6" ht="15" customHeight="1">
      <c r="A6" s="17" t="n">
        <v>46048</v>
      </c>
      <c r="B6" s="3">
        <f>IFERROR(VLOOKUP($A6,Raw_Weekly!$A:$G,2,FALSE),"")</f>
        <v/>
      </c>
      <c r="C6" s="3">
        <f>IFERROR(VLOOKUP($A6,Raw_Weekly!$A:$G,3,FALSE),"")</f>
        <v/>
      </c>
      <c r="D6" s="3">
        <f>IFERROR(VLOOKUP($A6,Raw_Weekly!$A:$G,4,FALSE),0)</f>
        <v/>
      </c>
      <c r="E6">
        <f>IF($B6="","",IF(OR($B6&gt;=Settings!$C$14,IFERROR(VLOOKUP($A6,Raw_Weekly!$A:$H,8,FALSE),0)=1),1,0))</f>
        <v/>
      </c>
      <c r="F6">
        <f>IF($B6="","",IF($B6&lt;=Settings!$C$13,1,0))</f>
        <v/>
      </c>
      <c r="G6">
        <f>IF($C6="","",IF($C6&lt;=Settings!$C$12,1,0))</f>
        <v/>
      </c>
      <c r="H6" s="3">
        <f>COUNTIFS(Raw_Events!$D:$D,$A6,Raw_Events!$G:$G,"SOCIAL_MEET")+COUNTIFS(Raw_Events!$D:$D,$A6,Raw_Events!$G:$G,"COMMUNITY_SESSION")+COUNTIFS(Raw_Events!$D:$D,$A6,Raw_Events!$G:$G,"HOSTED_EVENT")</f>
        <v/>
      </c>
      <c r="I6" s="3">
        <f>COUNTIFS(Raw_Events!$D:$D,$A6,Raw_Events!$G:$G,"DATE")</f>
        <v/>
      </c>
      <c r="J6" s="3">
        <f>COUNTIFS(Raw_Events!$D:$D,$A6,Raw_Events!$G:$G,"TRAINING_MIN")+COUNTIFS(Raw_Events!$D:$D,$A6,Raw_Events!$G:$G,"DICTION_TRAINING_MIN")</f>
        <v/>
      </c>
      <c r="K6" s="3">
        <f>SUMIFS(Raw_Events!$H:$H,Raw_Events!$D:$D,$A6,Raw_Events!$G:$G,"TRAINING_MIN")+SUMIFS(Raw_Events!$H:$H,Raw_Events!$D:$D,$A6,Raw_Events!$G:$G,"DICTION_TRAINING_MIN")</f>
        <v/>
      </c>
      <c r="L6" s="3">
        <f>SUMIFS(Raw_Events!$H:$H,Raw_Events!$D:$D,$A6,Raw_Events!$G:$G,"IDEA")</f>
        <v/>
      </c>
      <c r="M6" s="3">
        <f>SUMIFS(Raw_Events!$H:$H,Raw_Events!$D:$D,$A6,Raw_Events!$G:$G,"MINDFULNESS_MIN")</f>
        <v/>
      </c>
      <c r="N6" s="3">
        <f>SUMIFS(Daily_Agg!$G:$G,Daily_Agg!$A:$A,"&gt;="&amp;$A6,Daily_Agg!$A:$A,"&lt;"&amp;$A6+7)</f>
        <v/>
      </c>
      <c r="O6" s="3">
        <f>SUMIFS(Daily_Agg!$E:$E,Daily_Agg!$A:$A,"&gt;="&amp;$A6,Daily_Agg!$A:$A,"&lt;"&amp;$A6+7)</f>
        <v/>
      </c>
      <c r="P6" s="3">
        <f>SUMIFS(Raw_Events!$L:$L,Raw_Events!$D:$D,$A6,Raw_Events!$G:$G,"ALCOHOL")</f>
        <v/>
      </c>
      <c r="Q6" s="3">
        <f>SUMIFS(Raw_Events!$H:$H,Raw_Events!$D:$D,$A6,Raw_Events!$G:$G,"CIGARETTES")</f>
        <v/>
      </c>
      <c r="R6" s="3">
        <f>SUMIFS(Raw_Events!$H:$H,Raw_Events!$D:$D,$A6,Raw_Events!$G:$G,"UNHEALTHY_MEAL")</f>
        <v/>
      </c>
      <c r="S6" s="3">
        <f>COUNTIFS(Raw_Events!$D:$D,$A6,Raw_Events!$G:$G,"WORKOUT")</f>
        <v/>
      </c>
      <c r="T6" s="3">
        <f>IFERROR(VLOOKUP($A6,Raw_Weekly!$A:$G,5,FALSE),"")</f>
        <v/>
      </c>
      <c r="U6" s="3">
        <f>COUNTIFS(Raw_Events!$D:$D,$A6,Raw_Events!$G:$G,"NEW_ACTIVITY")</f>
        <v/>
      </c>
      <c r="V6" s="3">
        <f>SUMIFS(Raw_Events!$H:$H,Raw_Events!$D:$D,$A6,Raw_Events!$G:$G,"TRAVEL_NIGHT")</f>
        <v/>
      </c>
      <c r="W6">
        <f>IF($E6=1,IF(AND($H6&gt;=Settings!$C$39,$J6&gt;=Settings!$C$40,$L6&gt;=Settings!$C$41),1,0),"")</f>
        <v/>
      </c>
      <c r="X6">
        <f>IF($A6="","",IF(COUNTIFS(Raw_Events!$D:$D,$A6,Raw_Events!$G:$G,"ORIGINATION_ACTION")&gt;0,COUNTIFS(Raw_Events!$D:$D,$A6,Raw_Events!$G:$G,"ORIGINATION_ACTION"),COUNTIFS(Raw_Events!$D:$D,$A6,Raw_Events!$G:$G,"STAKEHOLDER_CHAT")+COUNTIFS(Raw_Events!$D:$D,$A6,Raw_Events!$G:$G,"MEMO_WRITTEN")+COUNTIFS(Raw_Events!$D:$D,$A6,Raw_Events!$G:$G,"INITIATIVE_PRESENTED_VP")+COUNTIFS(Raw_Events!$D:$D,$A6,Raw_Events!$G:$G,"INITIATIVE_IDEA")))</f>
        <v/>
      </c>
      <c r="Y6">
        <f>IF($X6="","",IF($X6&gt;=1,1,0))</f>
        <v/>
      </c>
      <c r="Z6">
        <f>COUNTIFS(Raw_Events!$D:$D,$A6,Raw_Events!$G:$G,"WORKOUT_SKIPPED")</f>
        <v/>
      </c>
      <c r="AA6">
        <f>COUNTIFS(Raw_Events!$D:$D,$A6,Raw_Events!$G:$G,"COMMUNITY_SESSION")</f>
        <v/>
      </c>
      <c r="AB6">
        <f>COUNTIFS(Raw_Events!$D:$D,$A6,Raw_Events!$G:$G,"HOSTED_EVENT")</f>
        <v/>
      </c>
      <c r="AC6">
        <f>SUMIFS(Raw_Events!$H:$H,Raw_Events!$D:$D,$A6,Raw_Events!$G:$G,"IDEA_STAR")</f>
        <v/>
      </c>
      <c r="AD6">
        <f>IF($A6="","",IF(ROW()=3,"",IF(AND($H6&lt;1,INDEX($H:$H,ROW()-1)&lt;1),1,0)))</f>
        <v/>
      </c>
      <c r="AE6">
        <f>IF($A6="","",IF(ROW()=3,"",IF(AND($I6&lt;2,INDEX($I:$I,ROW()-1)&lt;2),1,0)))</f>
        <v/>
      </c>
      <c r="AF6">
        <f>IF($A6="","",IF(OR($E6=1,$AD6=1,$AE6=1),1,0))</f>
        <v/>
      </c>
      <c r="AG6">
        <f>IF($A6="","",IF(ROW()=3,"",IF(AND($B6&gt;=Settings!$C$14,INDEX($B:$B,ROW()-1)&gt;=Settings!$C$14),1,0)))</f>
        <v/>
      </c>
      <c r="AH6">
        <f>IF($A6="","",IF(AND($L6&gt;=Settings!$C$34,$AC6&lt;1),1,0))</f>
        <v/>
      </c>
      <c r="AI6">
        <f>SUMIFS(Raw_Events!$H:$H,Raw_Events!$D:$D,$A6,Raw_Events!$G:$G,"DEEP_WORK_HOURS")</f>
        <v/>
      </c>
      <c r="AJ6">
        <f>SUMIFS(Raw_Events!$H:$H,Raw_Events!$D:$D,$A6,Raw_Events!$G:$G,"EDUCATION_HOURS")</f>
        <v/>
      </c>
      <c r="AK6">
        <f>SUMIFS(Raw_Events!$H:$H,Raw_Events!$D:$D,$A6,Raw_Events!$G:$G,"HOBBY_HOURS")</f>
        <v/>
      </c>
      <c r="AL6">
        <f>SUMIFS(Raw_Events!$H:$H,Raw_Events!$D:$D,$A6,Raw_Events!$G:$G,"PARTNER_QUALITY_TIME")</f>
        <v/>
      </c>
      <c r="AM6">
        <f>IFERROR(MAXIFS(Raw_Events!$H:$H,Raw_Events!$D:$D,$A6,Raw_Events!$G:$G,"INVESTMENT_COVERAGE"),"")</f>
        <v/>
      </c>
    </row>
    <row r="7" ht="15" customHeight="1">
      <c r="A7" s="17" t="n">
        <v>46055</v>
      </c>
      <c r="B7" s="3">
        <f>IFERROR(VLOOKUP($A7,Raw_Weekly!$A:$G,2,FALSE),"")</f>
        <v/>
      </c>
      <c r="C7" s="3">
        <f>IFERROR(VLOOKUP($A7,Raw_Weekly!$A:$G,3,FALSE),"")</f>
        <v/>
      </c>
      <c r="D7" s="3">
        <f>IFERROR(VLOOKUP($A7,Raw_Weekly!$A:$G,4,FALSE),0)</f>
        <v/>
      </c>
      <c r="E7">
        <f>IF($B7="","",IF(OR($B7&gt;=Settings!$C$14,IFERROR(VLOOKUP($A7,Raw_Weekly!$A:$H,8,FALSE),0)=1),1,0))</f>
        <v/>
      </c>
      <c r="F7">
        <f>IF($B7="","",IF($B7&lt;=Settings!$C$13,1,0))</f>
        <v/>
      </c>
      <c r="G7">
        <f>IF($C7="","",IF($C7&lt;=Settings!$C$12,1,0))</f>
        <v/>
      </c>
      <c r="H7" s="3">
        <f>COUNTIFS(Raw_Events!$D:$D,$A7,Raw_Events!$G:$G,"SOCIAL_MEET")+COUNTIFS(Raw_Events!$D:$D,$A7,Raw_Events!$G:$G,"COMMUNITY_SESSION")+COUNTIFS(Raw_Events!$D:$D,$A7,Raw_Events!$G:$G,"HOSTED_EVENT")</f>
        <v/>
      </c>
      <c r="I7" s="3">
        <f>COUNTIFS(Raw_Events!$D:$D,$A7,Raw_Events!$G:$G,"DATE")</f>
        <v/>
      </c>
      <c r="J7" s="3">
        <f>COUNTIFS(Raw_Events!$D:$D,$A7,Raw_Events!$G:$G,"TRAINING_MIN")+COUNTIFS(Raw_Events!$D:$D,$A7,Raw_Events!$G:$G,"DICTION_TRAINING_MIN")</f>
        <v/>
      </c>
      <c r="K7" s="3">
        <f>SUMIFS(Raw_Events!$H:$H,Raw_Events!$D:$D,$A7,Raw_Events!$G:$G,"TRAINING_MIN")+SUMIFS(Raw_Events!$H:$H,Raw_Events!$D:$D,$A7,Raw_Events!$G:$G,"DICTION_TRAINING_MIN")</f>
        <v/>
      </c>
      <c r="L7" s="3">
        <f>SUMIFS(Raw_Events!$H:$H,Raw_Events!$D:$D,$A7,Raw_Events!$G:$G,"IDEA")</f>
        <v/>
      </c>
      <c r="M7" s="3">
        <f>SUMIFS(Raw_Events!$H:$H,Raw_Events!$D:$D,$A7,Raw_Events!$G:$G,"MINDFULNESS_MIN")</f>
        <v/>
      </c>
      <c r="N7" s="3">
        <f>SUMIFS(Daily_Agg!$G:$G,Daily_Agg!$A:$A,"&gt;="&amp;$A7,Daily_Agg!$A:$A,"&lt;"&amp;$A7+7)</f>
        <v/>
      </c>
      <c r="O7" s="3">
        <f>SUMIFS(Daily_Agg!$E:$E,Daily_Agg!$A:$A,"&gt;="&amp;$A7,Daily_Agg!$A:$A,"&lt;"&amp;$A7+7)</f>
        <v/>
      </c>
      <c r="P7" s="3">
        <f>SUMIFS(Raw_Events!$L:$L,Raw_Events!$D:$D,$A7,Raw_Events!$G:$G,"ALCOHOL")</f>
        <v/>
      </c>
      <c r="Q7" s="3">
        <f>SUMIFS(Raw_Events!$H:$H,Raw_Events!$D:$D,$A7,Raw_Events!$G:$G,"CIGARETTES")</f>
        <v/>
      </c>
      <c r="R7" s="3">
        <f>SUMIFS(Raw_Events!$H:$H,Raw_Events!$D:$D,$A7,Raw_Events!$G:$G,"UNHEALTHY_MEAL")</f>
        <v/>
      </c>
      <c r="S7" s="3">
        <f>COUNTIFS(Raw_Events!$D:$D,$A7,Raw_Events!$G:$G,"WORKOUT")</f>
        <v/>
      </c>
      <c r="T7" s="3">
        <f>IFERROR(VLOOKUP($A7,Raw_Weekly!$A:$G,5,FALSE),"")</f>
        <v/>
      </c>
      <c r="U7" s="3">
        <f>COUNTIFS(Raw_Events!$D:$D,$A7,Raw_Events!$G:$G,"NEW_ACTIVITY")</f>
        <v/>
      </c>
      <c r="V7" s="3">
        <f>SUMIFS(Raw_Events!$H:$H,Raw_Events!$D:$D,$A7,Raw_Events!$G:$G,"TRAVEL_NIGHT")</f>
        <v/>
      </c>
      <c r="W7">
        <f>IF($E7=1,IF(AND($H7&gt;=Settings!$C$39,$J7&gt;=Settings!$C$40,$L7&gt;=Settings!$C$41),1,0),"")</f>
        <v/>
      </c>
      <c r="X7">
        <f>IF($A7="","",IF(COUNTIFS(Raw_Events!$D:$D,$A7,Raw_Events!$G:$G,"ORIGINATION_ACTION")&gt;0,COUNTIFS(Raw_Events!$D:$D,$A7,Raw_Events!$G:$G,"ORIGINATION_ACTION"),COUNTIFS(Raw_Events!$D:$D,$A7,Raw_Events!$G:$G,"STAKEHOLDER_CHAT")+COUNTIFS(Raw_Events!$D:$D,$A7,Raw_Events!$G:$G,"MEMO_WRITTEN")+COUNTIFS(Raw_Events!$D:$D,$A7,Raw_Events!$G:$G,"INITIATIVE_PRESENTED_VP")+COUNTIFS(Raw_Events!$D:$D,$A7,Raw_Events!$G:$G,"INITIATIVE_IDEA")))</f>
        <v/>
      </c>
      <c r="Y7">
        <f>IF($X7="","",IF($X7&gt;=1,1,0))</f>
        <v/>
      </c>
      <c r="Z7">
        <f>COUNTIFS(Raw_Events!$D:$D,$A7,Raw_Events!$G:$G,"WORKOUT_SKIPPED")</f>
        <v/>
      </c>
      <c r="AA7">
        <f>COUNTIFS(Raw_Events!$D:$D,$A7,Raw_Events!$G:$G,"COMMUNITY_SESSION")</f>
        <v/>
      </c>
      <c r="AB7">
        <f>COUNTIFS(Raw_Events!$D:$D,$A7,Raw_Events!$G:$G,"HOSTED_EVENT")</f>
        <v/>
      </c>
      <c r="AC7">
        <f>SUMIFS(Raw_Events!$H:$H,Raw_Events!$D:$D,$A7,Raw_Events!$G:$G,"IDEA_STAR")</f>
        <v/>
      </c>
      <c r="AD7">
        <f>IF($A7="","",IF(ROW()=3,"",IF(AND($H7&lt;1,INDEX($H:$H,ROW()-1)&lt;1),1,0)))</f>
        <v/>
      </c>
      <c r="AE7">
        <f>IF($A7="","",IF(ROW()=3,"",IF(AND($I7&lt;2,INDEX($I:$I,ROW()-1)&lt;2),1,0)))</f>
        <v/>
      </c>
      <c r="AF7">
        <f>IF($A7="","",IF(OR($E7=1,$AD7=1,$AE7=1),1,0))</f>
        <v/>
      </c>
      <c r="AG7">
        <f>IF($A7="","",IF(ROW()=3,"",IF(AND($B7&gt;=Settings!$C$14,INDEX($B:$B,ROW()-1)&gt;=Settings!$C$14),1,0)))</f>
        <v/>
      </c>
      <c r="AH7">
        <f>IF($A7="","",IF(AND($L7&gt;=Settings!$C$34,$AC7&lt;1),1,0))</f>
        <v/>
      </c>
      <c r="AI7">
        <f>SUMIFS(Raw_Events!$H:$H,Raw_Events!$D:$D,$A7,Raw_Events!$G:$G,"DEEP_WORK_HOURS")</f>
        <v/>
      </c>
      <c r="AJ7">
        <f>SUMIFS(Raw_Events!$H:$H,Raw_Events!$D:$D,$A7,Raw_Events!$G:$G,"EDUCATION_HOURS")</f>
        <v/>
      </c>
      <c r="AK7">
        <f>SUMIFS(Raw_Events!$H:$H,Raw_Events!$D:$D,$A7,Raw_Events!$G:$G,"HOBBY_HOURS")</f>
        <v/>
      </c>
      <c r="AL7">
        <f>SUMIFS(Raw_Events!$H:$H,Raw_Events!$D:$D,$A7,Raw_Events!$G:$G,"PARTNER_QUALITY_TIME")</f>
        <v/>
      </c>
      <c r="AM7">
        <f>IFERROR(MAXIFS(Raw_Events!$H:$H,Raw_Events!$D:$D,$A7,Raw_Events!$G:$G,"INVESTMENT_COVERAGE"),"")</f>
        <v/>
      </c>
    </row>
    <row r="8" ht="15" customHeight="1">
      <c r="A8" s="17" t="n">
        <v>46062</v>
      </c>
      <c r="B8" s="3">
        <f>IFERROR(VLOOKUP($A8,Raw_Weekly!$A:$G,2,FALSE),"")</f>
        <v/>
      </c>
      <c r="C8" s="3">
        <f>IFERROR(VLOOKUP($A8,Raw_Weekly!$A:$G,3,FALSE),"")</f>
        <v/>
      </c>
      <c r="D8" s="3">
        <f>IFERROR(VLOOKUP($A8,Raw_Weekly!$A:$G,4,FALSE),0)</f>
        <v/>
      </c>
      <c r="E8">
        <f>IF($B8="","",IF(OR($B8&gt;=Settings!$C$14,IFERROR(VLOOKUP($A8,Raw_Weekly!$A:$H,8,FALSE),0)=1),1,0))</f>
        <v/>
      </c>
      <c r="F8">
        <f>IF($B8="","",IF($B8&lt;=Settings!$C$13,1,0))</f>
        <v/>
      </c>
      <c r="G8">
        <f>IF($C8="","",IF($C8&lt;=Settings!$C$12,1,0))</f>
        <v/>
      </c>
      <c r="H8" s="3">
        <f>COUNTIFS(Raw_Events!$D:$D,$A8,Raw_Events!$G:$G,"SOCIAL_MEET")+COUNTIFS(Raw_Events!$D:$D,$A8,Raw_Events!$G:$G,"COMMUNITY_SESSION")+COUNTIFS(Raw_Events!$D:$D,$A8,Raw_Events!$G:$G,"HOSTED_EVENT")</f>
        <v/>
      </c>
      <c r="I8" s="3">
        <f>COUNTIFS(Raw_Events!$D:$D,$A8,Raw_Events!$G:$G,"DATE")</f>
        <v/>
      </c>
      <c r="J8" s="3">
        <f>COUNTIFS(Raw_Events!$D:$D,$A8,Raw_Events!$G:$G,"TRAINING_MIN")+COUNTIFS(Raw_Events!$D:$D,$A8,Raw_Events!$G:$G,"DICTION_TRAINING_MIN")</f>
        <v/>
      </c>
      <c r="K8" s="3">
        <f>SUMIFS(Raw_Events!$H:$H,Raw_Events!$D:$D,$A8,Raw_Events!$G:$G,"TRAINING_MIN")+SUMIFS(Raw_Events!$H:$H,Raw_Events!$D:$D,$A8,Raw_Events!$G:$G,"DICTION_TRAINING_MIN")</f>
        <v/>
      </c>
      <c r="L8" s="3">
        <f>SUMIFS(Raw_Events!$H:$H,Raw_Events!$D:$D,$A8,Raw_Events!$G:$G,"IDEA")</f>
        <v/>
      </c>
      <c r="M8" s="3">
        <f>SUMIFS(Raw_Events!$H:$H,Raw_Events!$D:$D,$A8,Raw_Events!$G:$G,"MINDFULNESS_MIN")</f>
        <v/>
      </c>
      <c r="N8" s="3">
        <f>SUMIFS(Daily_Agg!$G:$G,Daily_Agg!$A:$A,"&gt;="&amp;$A8,Daily_Agg!$A:$A,"&lt;"&amp;$A8+7)</f>
        <v/>
      </c>
      <c r="O8" s="3">
        <f>SUMIFS(Daily_Agg!$E:$E,Daily_Agg!$A:$A,"&gt;="&amp;$A8,Daily_Agg!$A:$A,"&lt;"&amp;$A8+7)</f>
        <v/>
      </c>
      <c r="P8" s="3">
        <f>SUMIFS(Raw_Events!$L:$L,Raw_Events!$D:$D,$A8,Raw_Events!$G:$G,"ALCOHOL")</f>
        <v/>
      </c>
      <c r="Q8" s="3">
        <f>SUMIFS(Raw_Events!$H:$H,Raw_Events!$D:$D,$A8,Raw_Events!$G:$G,"CIGARETTES")</f>
        <v/>
      </c>
      <c r="R8" s="3">
        <f>SUMIFS(Raw_Events!$H:$H,Raw_Events!$D:$D,$A8,Raw_Events!$G:$G,"UNHEALTHY_MEAL")</f>
        <v/>
      </c>
      <c r="S8" s="3">
        <f>COUNTIFS(Raw_Events!$D:$D,$A8,Raw_Events!$G:$G,"WORKOUT")</f>
        <v/>
      </c>
      <c r="T8" s="3">
        <f>IFERROR(VLOOKUP($A8,Raw_Weekly!$A:$G,5,FALSE),"")</f>
        <v/>
      </c>
      <c r="U8" s="3">
        <f>COUNTIFS(Raw_Events!$D:$D,$A8,Raw_Events!$G:$G,"NEW_ACTIVITY")</f>
        <v/>
      </c>
      <c r="V8" s="3">
        <f>SUMIFS(Raw_Events!$H:$H,Raw_Events!$D:$D,$A8,Raw_Events!$G:$G,"TRAVEL_NIGHT")</f>
        <v/>
      </c>
      <c r="W8">
        <f>IF($E8=1,IF(AND($H8&gt;=Settings!$C$39,$J8&gt;=Settings!$C$40,$L8&gt;=Settings!$C$41),1,0),"")</f>
        <v/>
      </c>
      <c r="X8">
        <f>IF($A8="","",IF(COUNTIFS(Raw_Events!$D:$D,$A8,Raw_Events!$G:$G,"ORIGINATION_ACTION")&gt;0,COUNTIFS(Raw_Events!$D:$D,$A8,Raw_Events!$G:$G,"ORIGINATION_ACTION"),COUNTIFS(Raw_Events!$D:$D,$A8,Raw_Events!$G:$G,"STAKEHOLDER_CHAT")+COUNTIFS(Raw_Events!$D:$D,$A8,Raw_Events!$G:$G,"MEMO_WRITTEN")+COUNTIFS(Raw_Events!$D:$D,$A8,Raw_Events!$G:$G,"INITIATIVE_PRESENTED_VP")+COUNTIFS(Raw_Events!$D:$D,$A8,Raw_Events!$G:$G,"INITIATIVE_IDEA")))</f>
        <v/>
      </c>
      <c r="Y8">
        <f>IF($X8="","",IF($X8&gt;=1,1,0))</f>
        <v/>
      </c>
      <c r="Z8">
        <f>COUNTIFS(Raw_Events!$D:$D,$A8,Raw_Events!$G:$G,"WORKOUT_SKIPPED")</f>
        <v/>
      </c>
      <c r="AA8">
        <f>COUNTIFS(Raw_Events!$D:$D,$A8,Raw_Events!$G:$G,"COMMUNITY_SESSION")</f>
        <v/>
      </c>
      <c r="AB8">
        <f>COUNTIFS(Raw_Events!$D:$D,$A8,Raw_Events!$G:$G,"HOSTED_EVENT")</f>
        <v/>
      </c>
      <c r="AC8">
        <f>SUMIFS(Raw_Events!$H:$H,Raw_Events!$D:$D,$A8,Raw_Events!$G:$G,"IDEA_STAR")</f>
        <v/>
      </c>
      <c r="AD8">
        <f>IF($A8="","",IF(ROW()=3,"",IF(AND($H8&lt;1,INDEX($H:$H,ROW()-1)&lt;1),1,0)))</f>
        <v/>
      </c>
      <c r="AE8">
        <f>IF($A8="","",IF(ROW()=3,"",IF(AND($I8&lt;2,INDEX($I:$I,ROW()-1)&lt;2),1,0)))</f>
        <v/>
      </c>
      <c r="AF8">
        <f>IF($A8="","",IF(OR($E8=1,$AD8=1,$AE8=1),1,0))</f>
        <v/>
      </c>
      <c r="AG8">
        <f>IF($A8="","",IF(ROW()=3,"",IF(AND($B8&gt;=Settings!$C$14,INDEX($B:$B,ROW()-1)&gt;=Settings!$C$14),1,0)))</f>
        <v/>
      </c>
      <c r="AH8">
        <f>IF($A8="","",IF(AND($L8&gt;=Settings!$C$34,$AC8&lt;1),1,0))</f>
        <v/>
      </c>
      <c r="AI8">
        <f>SUMIFS(Raw_Events!$H:$H,Raw_Events!$D:$D,$A8,Raw_Events!$G:$G,"DEEP_WORK_HOURS")</f>
        <v/>
      </c>
      <c r="AJ8">
        <f>SUMIFS(Raw_Events!$H:$H,Raw_Events!$D:$D,$A8,Raw_Events!$G:$G,"EDUCATION_HOURS")</f>
        <v/>
      </c>
      <c r="AK8">
        <f>SUMIFS(Raw_Events!$H:$H,Raw_Events!$D:$D,$A8,Raw_Events!$G:$G,"HOBBY_HOURS")</f>
        <v/>
      </c>
      <c r="AL8">
        <f>SUMIFS(Raw_Events!$H:$H,Raw_Events!$D:$D,$A8,Raw_Events!$G:$G,"PARTNER_QUALITY_TIME")</f>
        <v/>
      </c>
      <c r="AM8">
        <f>IFERROR(MAXIFS(Raw_Events!$H:$H,Raw_Events!$D:$D,$A8,Raw_Events!$G:$G,"INVESTMENT_COVERAGE"),"")</f>
        <v/>
      </c>
    </row>
    <row r="9" ht="15" customHeight="1">
      <c r="A9" s="17" t="n">
        <v>46069</v>
      </c>
      <c r="B9" s="3">
        <f>IFERROR(VLOOKUP($A9,Raw_Weekly!$A:$G,2,FALSE),"")</f>
        <v/>
      </c>
      <c r="C9" s="3">
        <f>IFERROR(VLOOKUP($A9,Raw_Weekly!$A:$G,3,FALSE),"")</f>
        <v/>
      </c>
      <c r="D9" s="3">
        <f>IFERROR(VLOOKUP($A9,Raw_Weekly!$A:$G,4,FALSE),0)</f>
        <v/>
      </c>
      <c r="E9">
        <f>IF($B9="","",IF(OR($B9&gt;=Settings!$C$14,IFERROR(VLOOKUP($A9,Raw_Weekly!$A:$H,8,FALSE),0)=1),1,0))</f>
        <v/>
      </c>
      <c r="F9">
        <f>IF($B9="","",IF($B9&lt;=Settings!$C$13,1,0))</f>
        <v/>
      </c>
      <c r="G9">
        <f>IF($C9="","",IF($C9&lt;=Settings!$C$12,1,0))</f>
        <v/>
      </c>
      <c r="H9" s="3">
        <f>COUNTIFS(Raw_Events!$D:$D,$A9,Raw_Events!$G:$G,"SOCIAL_MEET")+COUNTIFS(Raw_Events!$D:$D,$A9,Raw_Events!$G:$G,"COMMUNITY_SESSION")+COUNTIFS(Raw_Events!$D:$D,$A9,Raw_Events!$G:$G,"HOSTED_EVENT")</f>
        <v/>
      </c>
      <c r="I9" s="3">
        <f>COUNTIFS(Raw_Events!$D:$D,$A9,Raw_Events!$G:$G,"DATE")</f>
        <v/>
      </c>
      <c r="J9" s="3">
        <f>COUNTIFS(Raw_Events!$D:$D,$A9,Raw_Events!$G:$G,"TRAINING_MIN")+COUNTIFS(Raw_Events!$D:$D,$A9,Raw_Events!$G:$G,"DICTION_TRAINING_MIN")</f>
        <v/>
      </c>
      <c r="K9" s="3">
        <f>SUMIFS(Raw_Events!$H:$H,Raw_Events!$D:$D,$A9,Raw_Events!$G:$G,"TRAINING_MIN")+SUMIFS(Raw_Events!$H:$H,Raw_Events!$D:$D,$A9,Raw_Events!$G:$G,"DICTION_TRAINING_MIN")</f>
        <v/>
      </c>
      <c r="L9" s="3">
        <f>SUMIFS(Raw_Events!$H:$H,Raw_Events!$D:$D,$A9,Raw_Events!$G:$G,"IDEA")</f>
        <v/>
      </c>
      <c r="M9" s="3">
        <f>SUMIFS(Raw_Events!$H:$H,Raw_Events!$D:$D,$A9,Raw_Events!$G:$G,"MINDFULNESS_MIN")</f>
        <v/>
      </c>
      <c r="N9" s="3">
        <f>SUMIFS(Daily_Agg!$G:$G,Daily_Agg!$A:$A,"&gt;="&amp;$A9,Daily_Agg!$A:$A,"&lt;"&amp;$A9+7)</f>
        <v/>
      </c>
      <c r="O9" s="3">
        <f>SUMIFS(Daily_Agg!$E:$E,Daily_Agg!$A:$A,"&gt;="&amp;$A9,Daily_Agg!$A:$A,"&lt;"&amp;$A9+7)</f>
        <v/>
      </c>
      <c r="P9" s="3">
        <f>SUMIFS(Raw_Events!$L:$L,Raw_Events!$D:$D,$A9,Raw_Events!$G:$G,"ALCOHOL")</f>
        <v/>
      </c>
      <c r="Q9" s="3">
        <f>SUMIFS(Raw_Events!$H:$H,Raw_Events!$D:$D,$A9,Raw_Events!$G:$G,"CIGARETTES")</f>
        <v/>
      </c>
      <c r="R9" s="3">
        <f>SUMIFS(Raw_Events!$H:$H,Raw_Events!$D:$D,$A9,Raw_Events!$G:$G,"UNHEALTHY_MEAL")</f>
        <v/>
      </c>
      <c r="S9" s="3">
        <f>COUNTIFS(Raw_Events!$D:$D,$A9,Raw_Events!$G:$G,"WORKOUT")</f>
        <v/>
      </c>
      <c r="T9" s="3">
        <f>IFERROR(VLOOKUP($A9,Raw_Weekly!$A:$G,5,FALSE),"")</f>
        <v/>
      </c>
      <c r="U9" s="3">
        <f>COUNTIFS(Raw_Events!$D:$D,$A9,Raw_Events!$G:$G,"NEW_ACTIVITY")</f>
        <v/>
      </c>
      <c r="V9" s="3">
        <f>SUMIFS(Raw_Events!$H:$H,Raw_Events!$D:$D,$A9,Raw_Events!$G:$G,"TRAVEL_NIGHT")</f>
        <v/>
      </c>
      <c r="W9">
        <f>IF($E9=1,IF(AND($H9&gt;=Settings!$C$39,$J9&gt;=Settings!$C$40,$L9&gt;=Settings!$C$41),1,0),"")</f>
        <v/>
      </c>
      <c r="X9">
        <f>IF($A9="","",IF(COUNTIFS(Raw_Events!$D:$D,$A9,Raw_Events!$G:$G,"ORIGINATION_ACTION")&gt;0,COUNTIFS(Raw_Events!$D:$D,$A9,Raw_Events!$G:$G,"ORIGINATION_ACTION"),COUNTIFS(Raw_Events!$D:$D,$A9,Raw_Events!$G:$G,"STAKEHOLDER_CHAT")+COUNTIFS(Raw_Events!$D:$D,$A9,Raw_Events!$G:$G,"MEMO_WRITTEN")+COUNTIFS(Raw_Events!$D:$D,$A9,Raw_Events!$G:$G,"INITIATIVE_PRESENTED_VP")+COUNTIFS(Raw_Events!$D:$D,$A9,Raw_Events!$G:$G,"INITIATIVE_IDEA")))</f>
        <v/>
      </c>
      <c r="Y9">
        <f>IF($X9="","",IF($X9&gt;=1,1,0))</f>
        <v/>
      </c>
      <c r="Z9">
        <f>COUNTIFS(Raw_Events!$D:$D,$A9,Raw_Events!$G:$G,"WORKOUT_SKIPPED")</f>
        <v/>
      </c>
      <c r="AA9">
        <f>COUNTIFS(Raw_Events!$D:$D,$A9,Raw_Events!$G:$G,"COMMUNITY_SESSION")</f>
        <v/>
      </c>
      <c r="AB9">
        <f>COUNTIFS(Raw_Events!$D:$D,$A9,Raw_Events!$G:$G,"HOSTED_EVENT")</f>
        <v/>
      </c>
      <c r="AC9">
        <f>SUMIFS(Raw_Events!$H:$H,Raw_Events!$D:$D,$A9,Raw_Events!$G:$G,"IDEA_STAR")</f>
        <v/>
      </c>
      <c r="AD9">
        <f>IF($A9="","",IF(ROW()=3,"",IF(AND($H9&lt;1,INDEX($H:$H,ROW()-1)&lt;1),1,0)))</f>
        <v/>
      </c>
      <c r="AE9">
        <f>IF($A9="","",IF(ROW()=3,"",IF(AND($I9&lt;2,INDEX($I:$I,ROW()-1)&lt;2),1,0)))</f>
        <v/>
      </c>
      <c r="AF9">
        <f>IF($A9="","",IF(OR($E9=1,$AD9=1,$AE9=1),1,0))</f>
        <v/>
      </c>
      <c r="AG9">
        <f>IF($A9="","",IF(ROW()=3,"",IF(AND($B9&gt;=Settings!$C$14,INDEX($B:$B,ROW()-1)&gt;=Settings!$C$14),1,0)))</f>
        <v/>
      </c>
      <c r="AH9">
        <f>IF($A9="","",IF(AND($L9&gt;=Settings!$C$34,$AC9&lt;1),1,0))</f>
        <v/>
      </c>
      <c r="AI9">
        <f>SUMIFS(Raw_Events!$H:$H,Raw_Events!$D:$D,$A9,Raw_Events!$G:$G,"DEEP_WORK_HOURS")</f>
        <v/>
      </c>
      <c r="AJ9">
        <f>SUMIFS(Raw_Events!$H:$H,Raw_Events!$D:$D,$A9,Raw_Events!$G:$G,"EDUCATION_HOURS")</f>
        <v/>
      </c>
      <c r="AK9">
        <f>SUMIFS(Raw_Events!$H:$H,Raw_Events!$D:$D,$A9,Raw_Events!$G:$G,"HOBBY_HOURS")</f>
        <v/>
      </c>
      <c r="AL9">
        <f>SUMIFS(Raw_Events!$H:$H,Raw_Events!$D:$D,$A9,Raw_Events!$G:$G,"PARTNER_QUALITY_TIME")</f>
        <v/>
      </c>
      <c r="AM9">
        <f>IFERROR(MAXIFS(Raw_Events!$H:$H,Raw_Events!$D:$D,$A9,Raw_Events!$G:$G,"INVESTMENT_COVERAGE"),"")</f>
        <v/>
      </c>
    </row>
    <row r="10" ht="15" customHeight="1">
      <c r="A10" s="17" t="n">
        <v>46076</v>
      </c>
      <c r="B10" s="3">
        <f>IFERROR(VLOOKUP($A10,Raw_Weekly!$A:$G,2,FALSE),"")</f>
        <v/>
      </c>
      <c r="C10" s="3">
        <f>IFERROR(VLOOKUP($A10,Raw_Weekly!$A:$G,3,FALSE),"")</f>
        <v/>
      </c>
      <c r="D10" s="3">
        <f>IFERROR(VLOOKUP($A10,Raw_Weekly!$A:$G,4,FALSE),0)</f>
        <v/>
      </c>
      <c r="E10">
        <f>IF($B10="","",IF(OR($B10&gt;=Settings!$C$14,IFERROR(VLOOKUP($A10,Raw_Weekly!$A:$H,8,FALSE),0)=1),1,0))</f>
        <v/>
      </c>
      <c r="F10">
        <f>IF($B10="","",IF($B10&lt;=Settings!$C$13,1,0))</f>
        <v/>
      </c>
      <c r="G10">
        <f>IF($C10="","",IF($C10&lt;=Settings!$C$12,1,0))</f>
        <v/>
      </c>
      <c r="H10" s="3">
        <f>COUNTIFS(Raw_Events!$D:$D,$A10,Raw_Events!$G:$G,"SOCIAL_MEET")+COUNTIFS(Raw_Events!$D:$D,$A10,Raw_Events!$G:$G,"COMMUNITY_SESSION")+COUNTIFS(Raw_Events!$D:$D,$A10,Raw_Events!$G:$G,"HOSTED_EVENT")</f>
        <v/>
      </c>
      <c r="I10" s="3">
        <f>COUNTIFS(Raw_Events!$D:$D,$A10,Raw_Events!$G:$G,"DATE")</f>
        <v/>
      </c>
      <c r="J10" s="3">
        <f>COUNTIFS(Raw_Events!$D:$D,$A10,Raw_Events!$G:$G,"TRAINING_MIN")+COUNTIFS(Raw_Events!$D:$D,$A10,Raw_Events!$G:$G,"DICTION_TRAINING_MIN")</f>
        <v/>
      </c>
      <c r="K10" s="3">
        <f>SUMIFS(Raw_Events!$H:$H,Raw_Events!$D:$D,$A10,Raw_Events!$G:$G,"TRAINING_MIN")+SUMIFS(Raw_Events!$H:$H,Raw_Events!$D:$D,$A10,Raw_Events!$G:$G,"DICTION_TRAINING_MIN")</f>
        <v/>
      </c>
      <c r="L10" s="3">
        <f>SUMIFS(Raw_Events!$H:$H,Raw_Events!$D:$D,$A10,Raw_Events!$G:$G,"IDEA")</f>
        <v/>
      </c>
      <c r="M10" s="3">
        <f>SUMIFS(Raw_Events!$H:$H,Raw_Events!$D:$D,$A10,Raw_Events!$G:$G,"MINDFULNESS_MIN")</f>
        <v/>
      </c>
      <c r="N10" s="3">
        <f>SUMIFS(Daily_Agg!$G:$G,Daily_Agg!$A:$A,"&gt;="&amp;$A10,Daily_Agg!$A:$A,"&lt;"&amp;$A10+7)</f>
        <v/>
      </c>
      <c r="O10" s="3">
        <f>SUMIFS(Daily_Agg!$E:$E,Daily_Agg!$A:$A,"&gt;="&amp;$A10,Daily_Agg!$A:$A,"&lt;"&amp;$A10+7)</f>
        <v/>
      </c>
      <c r="P10" s="3">
        <f>SUMIFS(Raw_Events!$L:$L,Raw_Events!$D:$D,$A10,Raw_Events!$G:$G,"ALCOHOL")</f>
        <v/>
      </c>
      <c r="Q10" s="3">
        <f>SUMIFS(Raw_Events!$H:$H,Raw_Events!$D:$D,$A10,Raw_Events!$G:$G,"CIGARETTES")</f>
        <v/>
      </c>
      <c r="R10" s="3">
        <f>SUMIFS(Raw_Events!$H:$H,Raw_Events!$D:$D,$A10,Raw_Events!$G:$G,"UNHEALTHY_MEAL")</f>
        <v/>
      </c>
      <c r="S10" s="3">
        <f>COUNTIFS(Raw_Events!$D:$D,$A10,Raw_Events!$G:$G,"WORKOUT")</f>
        <v/>
      </c>
      <c r="T10" s="3">
        <f>IFERROR(VLOOKUP($A10,Raw_Weekly!$A:$G,5,FALSE),"")</f>
        <v/>
      </c>
      <c r="U10" s="3">
        <f>COUNTIFS(Raw_Events!$D:$D,$A10,Raw_Events!$G:$G,"NEW_ACTIVITY")</f>
        <v/>
      </c>
      <c r="V10" s="3">
        <f>SUMIFS(Raw_Events!$H:$H,Raw_Events!$D:$D,$A10,Raw_Events!$G:$G,"TRAVEL_NIGHT")</f>
        <v/>
      </c>
      <c r="W10">
        <f>IF($E10=1,IF(AND($H10&gt;=Settings!$C$39,$J10&gt;=Settings!$C$40,$L10&gt;=Settings!$C$41),1,0),"")</f>
        <v/>
      </c>
      <c r="X10">
        <f>IF($A10="","",IF(COUNTIFS(Raw_Events!$D:$D,$A10,Raw_Events!$G:$G,"ORIGINATION_ACTION")&gt;0,COUNTIFS(Raw_Events!$D:$D,$A10,Raw_Events!$G:$G,"ORIGINATION_ACTION"),COUNTIFS(Raw_Events!$D:$D,$A10,Raw_Events!$G:$G,"STAKEHOLDER_CHAT")+COUNTIFS(Raw_Events!$D:$D,$A10,Raw_Events!$G:$G,"MEMO_WRITTEN")+COUNTIFS(Raw_Events!$D:$D,$A10,Raw_Events!$G:$G,"INITIATIVE_PRESENTED_VP")+COUNTIFS(Raw_Events!$D:$D,$A10,Raw_Events!$G:$G,"INITIATIVE_IDEA")))</f>
        <v/>
      </c>
      <c r="Y10">
        <f>IF($X10="","",IF($X10&gt;=1,1,0))</f>
        <v/>
      </c>
      <c r="Z10">
        <f>COUNTIFS(Raw_Events!$D:$D,$A10,Raw_Events!$G:$G,"WORKOUT_SKIPPED")</f>
        <v/>
      </c>
      <c r="AA10">
        <f>COUNTIFS(Raw_Events!$D:$D,$A10,Raw_Events!$G:$G,"COMMUNITY_SESSION")</f>
        <v/>
      </c>
      <c r="AB10">
        <f>COUNTIFS(Raw_Events!$D:$D,$A10,Raw_Events!$G:$G,"HOSTED_EVENT")</f>
        <v/>
      </c>
      <c r="AC10">
        <f>SUMIFS(Raw_Events!$H:$H,Raw_Events!$D:$D,$A10,Raw_Events!$G:$G,"IDEA_STAR")</f>
        <v/>
      </c>
      <c r="AD10">
        <f>IF($A10="","",IF(ROW()=3,"",IF(AND($H10&lt;1,INDEX($H:$H,ROW()-1)&lt;1),1,0)))</f>
        <v/>
      </c>
      <c r="AE10">
        <f>IF($A10="","",IF(ROW()=3,"",IF(AND($I10&lt;2,INDEX($I:$I,ROW()-1)&lt;2),1,0)))</f>
        <v/>
      </c>
      <c r="AF10">
        <f>IF($A10="","",IF(OR($E10=1,$AD10=1,$AE10=1),1,0))</f>
        <v/>
      </c>
      <c r="AG10">
        <f>IF($A10="","",IF(ROW()=3,"",IF(AND($B10&gt;=Settings!$C$14,INDEX($B:$B,ROW()-1)&gt;=Settings!$C$14),1,0)))</f>
        <v/>
      </c>
      <c r="AH10">
        <f>IF($A10="","",IF(AND($L10&gt;=Settings!$C$34,$AC10&lt;1),1,0))</f>
        <v/>
      </c>
      <c r="AI10">
        <f>SUMIFS(Raw_Events!$H:$H,Raw_Events!$D:$D,$A10,Raw_Events!$G:$G,"DEEP_WORK_HOURS")</f>
        <v/>
      </c>
      <c r="AJ10">
        <f>SUMIFS(Raw_Events!$H:$H,Raw_Events!$D:$D,$A10,Raw_Events!$G:$G,"EDUCATION_HOURS")</f>
        <v/>
      </c>
      <c r="AK10">
        <f>SUMIFS(Raw_Events!$H:$H,Raw_Events!$D:$D,$A10,Raw_Events!$G:$G,"HOBBY_HOURS")</f>
        <v/>
      </c>
      <c r="AL10">
        <f>SUMIFS(Raw_Events!$H:$H,Raw_Events!$D:$D,$A10,Raw_Events!$G:$G,"PARTNER_QUALITY_TIME")</f>
        <v/>
      </c>
      <c r="AM10">
        <f>IFERROR(MAXIFS(Raw_Events!$H:$H,Raw_Events!$D:$D,$A10,Raw_Events!$G:$G,"INVESTMENT_COVERAGE"),"")</f>
        <v/>
      </c>
    </row>
    <row r="11" ht="15" customHeight="1">
      <c r="A11" s="17" t="n">
        <v>46083</v>
      </c>
      <c r="B11" s="3">
        <f>IFERROR(VLOOKUP($A11,Raw_Weekly!$A:$G,2,FALSE),"")</f>
        <v/>
      </c>
      <c r="C11" s="3">
        <f>IFERROR(VLOOKUP($A11,Raw_Weekly!$A:$G,3,FALSE),"")</f>
        <v/>
      </c>
      <c r="D11" s="3">
        <f>IFERROR(VLOOKUP($A11,Raw_Weekly!$A:$G,4,FALSE),0)</f>
        <v/>
      </c>
      <c r="E11">
        <f>IF($B11="","",IF(OR($B11&gt;=Settings!$C$14,IFERROR(VLOOKUP($A11,Raw_Weekly!$A:$H,8,FALSE),0)=1),1,0))</f>
        <v/>
      </c>
      <c r="F11">
        <f>IF($B11="","",IF($B11&lt;=Settings!$C$13,1,0))</f>
        <v/>
      </c>
      <c r="G11">
        <f>IF($C11="","",IF($C11&lt;=Settings!$C$12,1,0))</f>
        <v/>
      </c>
      <c r="H11" s="3">
        <f>COUNTIFS(Raw_Events!$D:$D,$A11,Raw_Events!$G:$G,"SOCIAL_MEET")+COUNTIFS(Raw_Events!$D:$D,$A11,Raw_Events!$G:$G,"COMMUNITY_SESSION")+COUNTIFS(Raw_Events!$D:$D,$A11,Raw_Events!$G:$G,"HOSTED_EVENT")</f>
        <v/>
      </c>
      <c r="I11" s="3">
        <f>COUNTIFS(Raw_Events!$D:$D,$A11,Raw_Events!$G:$G,"DATE")</f>
        <v/>
      </c>
      <c r="J11" s="3">
        <f>COUNTIFS(Raw_Events!$D:$D,$A11,Raw_Events!$G:$G,"TRAINING_MIN")+COUNTIFS(Raw_Events!$D:$D,$A11,Raw_Events!$G:$G,"DICTION_TRAINING_MIN")</f>
        <v/>
      </c>
      <c r="K11" s="3">
        <f>SUMIFS(Raw_Events!$H:$H,Raw_Events!$D:$D,$A11,Raw_Events!$G:$G,"TRAINING_MIN")+SUMIFS(Raw_Events!$H:$H,Raw_Events!$D:$D,$A11,Raw_Events!$G:$G,"DICTION_TRAINING_MIN")</f>
        <v/>
      </c>
      <c r="L11" s="3">
        <f>SUMIFS(Raw_Events!$H:$H,Raw_Events!$D:$D,$A11,Raw_Events!$G:$G,"IDEA")</f>
        <v/>
      </c>
      <c r="M11" s="3">
        <f>SUMIFS(Raw_Events!$H:$H,Raw_Events!$D:$D,$A11,Raw_Events!$G:$G,"MINDFULNESS_MIN")</f>
        <v/>
      </c>
      <c r="N11" s="3">
        <f>SUMIFS(Daily_Agg!$G:$G,Daily_Agg!$A:$A,"&gt;="&amp;$A11,Daily_Agg!$A:$A,"&lt;"&amp;$A11+7)</f>
        <v/>
      </c>
      <c r="O11" s="3">
        <f>SUMIFS(Daily_Agg!$E:$E,Daily_Agg!$A:$A,"&gt;="&amp;$A11,Daily_Agg!$A:$A,"&lt;"&amp;$A11+7)</f>
        <v/>
      </c>
      <c r="P11" s="3">
        <f>SUMIFS(Raw_Events!$L:$L,Raw_Events!$D:$D,$A11,Raw_Events!$G:$G,"ALCOHOL")</f>
        <v/>
      </c>
      <c r="Q11" s="3">
        <f>SUMIFS(Raw_Events!$H:$H,Raw_Events!$D:$D,$A11,Raw_Events!$G:$G,"CIGARETTES")</f>
        <v/>
      </c>
      <c r="R11" s="3">
        <f>SUMIFS(Raw_Events!$H:$H,Raw_Events!$D:$D,$A11,Raw_Events!$G:$G,"UNHEALTHY_MEAL")</f>
        <v/>
      </c>
      <c r="S11" s="3">
        <f>COUNTIFS(Raw_Events!$D:$D,$A11,Raw_Events!$G:$G,"WORKOUT")</f>
        <v/>
      </c>
      <c r="T11" s="3">
        <f>IFERROR(VLOOKUP($A11,Raw_Weekly!$A:$G,5,FALSE),"")</f>
        <v/>
      </c>
      <c r="U11" s="3">
        <f>COUNTIFS(Raw_Events!$D:$D,$A11,Raw_Events!$G:$G,"NEW_ACTIVITY")</f>
        <v/>
      </c>
      <c r="V11" s="3">
        <f>SUMIFS(Raw_Events!$H:$H,Raw_Events!$D:$D,$A11,Raw_Events!$G:$G,"TRAVEL_NIGHT")</f>
        <v/>
      </c>
      <c r="W11">
        <f>IF($E11=1,IF(AND($H11&gt;=Settings!$C$39,$J11&gt;=Settings!$C$40,$L11&gt;=Settings!$C$41),1,0),"")</f>
        <v/>
      </c>
      <c r="X11">
        <f>IF($A11="","",IF(COUNTIFS(Raw_Events!$D:$D,$A11,Raw_Events!$G:$G,"ORIGINATION_ACTION")&gt;0,COUNTIFS(Raw_Events!$D:$D,$A11,Raw_Events!$G:$G,"ORIGINATION_ACTION"),COUNTIFS(Raw_Events!$D:$D,$A11,Raw_Events!$G:$G,"STAKEHOLDER_CHAT")+COUNTIFS(Raw_Events!$D:$D,$A11,Raw_Events!$G:$G,"MEMO_WRITTEN")+COUNTIFS(Raw_Events!$D:$D,$A11,Raw_Events!$G:$G,"INITIATIVE_PRESENTED_VP")+COUNTIFS(Raw_Events!$D:$D,$A11,Raw_Events!$G:$G,"INITIATIVE_IDEA")))</f>
        <v/>
      </c>
      <c r="Y11">
        <f>IF($X11="","",IF($X11&gt;=1,1,0))</f>
        <v/>
      </c>
      <c r="Z11">
        <f>COUNTIFS(Raw_Events!$D:$D,$A11,Raw_Events!$G:$G,"WORKOUT_SKIPPED")</f>
        <v/>
      </c>
      <c r="AA11">
        <f>COUNTIFS(Raw_Events!$D:$D,$A11,Raw_Events!$G:$G,"COMMUNITY_SESSION")</f>
        <v/>
      </c>
      <c r="AB11">
        <f>COUNTIFS(Raw_Events!$D:$D,$A11,Raw_Events!$G:$G,"HOSTED_EVENT")</f>
        <v/>
      </c>
      <c r="AC11">
        <f>SUMIFS(Raw_Events!$H:$H,Raw_Events!$D:$D,$A11,Raw_Events!$G:$G,"IDEA_STAR")</f>
        <v/>
      </c>
      <c r="AD11">
        <f>IF($A11="","",IF(ROW()=3,"",IF(AND($H11&lt;1,INDEX($H:$H,ROW()-1)&lt;1),1,0)))</f>
        <v/>
      </c>
      <c r="AE11">
        <f>IF($A11="","",IF(ROW()=3,"",IF(AND($I11&lt;2,INDEX($I:$I,ROW()-1)&lt;2),1,0)))</f>
        <v/>
      </c>
      <c r="AF11">
        <f>IF($A11="","",IF(OR($E11=1,$AD11=1,$AE11=1),1,0))</f>
        <v/>
      </c>
      <c r="AG11">
        <f>IF($A11="","",IF(ROW()=3,"",IF(AND($B11&gt;=Settings!$C$14,INDEX($B:$B,ROW()-1)&gt;=Settings!$C$14),1,0)))</f>
        <v/>
      </c>
      <c r="AH11">
        <f>IF($A11="","",IF(AND($L11&gt;=Settings!$C$34,$AC11&lt;1),1,0))</f>
        <v/>
      </c>
      <c r="AI11">
        <f>SUMIFS(Raw_Events!$H:$H,Raw_Events!$D:$D,$A11,Raw_Events!$G:$G,"DEEP_WORK_HOURS")</f>
        <v/>
      </c>
      <c r="AJ11">
        <f>SUMIFS(Raw_Events!$H:$H,Raw_Events!$D:$D,$A11,Raw_Events!$G:$G,"EDUCATION_HOURS")</f>
        <v/>
      </c>
      <c r="AK11">
        <f>SUMIFS(Raw_Events!$H:$H,Raw_Events!$D:$D,$A11,Raw_Events!$G:$G,"HOBBY_HOURS")</f>
        <v/>
      </c>
      <c r="AL11">
        <f>SUMIFS(Raw_Events!$H:$H,Raw_Events!$D:$D,$A11,Raw_Events!$G:$G,"PARTNER_QUALITY_TIME")</f>
        <v/>
      </c>
      <c r="AM11">
        <f>IFERROR(MAXIFS(Raw_Events!$H:$H,Raw_Events!$D:$D,$A11,Raw_Events!$G:$G,"INVESTMENT_COVERAGE"),"")</f>
        <v/>
      </c>
    </row>
    <row r="12" ht="15" customHeight="1">
      <c r="A12" s="17" t="n">
        <v>46090</v>
      </c>
      <c r="B12" s="3">
        <f>IFERROR(VLOOKUP($A12,Raw_Weekly!$A:$G,2,FALSE),"")</f>
        <v/>
      </c>
      <c r="C12" s="3">
        <f>IFERROR(VLOOKUP($A12,Raw_Weekly!$A:$G,3,FALSE),"")</f>
        <v/>
      </c>
      <c r="D12" s="3">
        <f>IFERROR(VLOOKUP($A12,Raw_Weekly!$A:$G,4,FALSE),0)</f>
        <v/>
      </c>
      <c r="E12">
        <f>IF($B12="","",IF(OR($B12&gt;=Settings!$C$14,IFERROR(VLOOKUP($A12,Raw_Weekly!$A:$H,8,FALSE),0)=1),1,0))</f>
        <v/>
      </c>
      <c r="F12">
        <f>IF($B12="","",IF($B12&lt;=Settings!$C$13,1,0))</f>
        <v/>
      </c>
      <c r="G12">
        <f>IF($C12="","",IF($C12&lt;=Settings!$C$12,1,0))</f>
        <v/>
      </c>
      <c r="H12" s="3">
        <f>COUNTIFS(Raw_Events!$D:$D,$A12,Raw_Events!$G:$G,"SOCIAL_MEET")+COUNTIFS(Raw_Events!$D:$D,$A12,Raw_Events!$G:$G,"COMMUNITY_SESSION")+COUNTIFS(Raw_Events!$D:$D,$A12,Raw_Events!$G:$G,"HOSTED_EVENT")</f>
        <v/>
      </c>
      <c r="I12" s="3">
        <f>COUNTIFS(Raw_Events!$D:$D,$A12,Raw_Events!$G:$G,"DATE")</f>
        <v/>
      </c>
      <c r="J12" s="3">
        <f>COUNTIFS(Raw_Events!$D:$D,$A12,Raw_Events!$G:$G,"TRAINING_MIN")+COUNTIFS(Raw_Events!$D:$D,$A12,Raw_Events!$G:$G,"DICTION_TRAINING_MIN")</f>
        <v/>
      </c>
      <c r="K12" s="3">
        <f>SUMIFS(Raw_Events!$H:$H,Raw_Events!$D:$D,$A12,Raw_Events!$G:$G,"TRAINING_MIN")+SUMIFS(Raw_Events!$H:$H,Raw_Events!$D:$D,$A12,Raw_Events!$G:$G,"DICTION_TRAINING_MIN")</f>
        <v/>
      </c>
      <c r="L12" s="3">
        <f>SUMIFS(Raw_Events!$H:$H,Raw_Events!$D:$D,$A12,Raw_Events!$G:$G,"IDEA")</f>
        <v/>
      </c>
      <c r="M12" s="3">
        <f>SUMIFS(Raw_Events!$H:$H,Raw_Events!$D:$D,$A12,Raw_Events!$G:$G,"MINDFULNESS_MIN")</f>
        <v/>
      </c>
      <c r="N12" s="3">
        <f>SUMIFS(Daily_Agg!$G:$G,Daily_Agg!$A:$A,"&gt;="&amp;$A12,Daily_Agg!$A:$A,"&lt;"&amp;$A12+7)</f>
        <v/>
      </c>
      <c r="O12" s="3">
        <f>SUMIFS(Daily_Agg!$E:$E,Daily_Agg!$A:$A,"&gt;="&amp;$A12,Daily_Agg!$A:$A,"&lt;"&amp;$A12+7)</f>
        <v/>
      </c>
      <c r="P12" s="3">
        <f>SUMIFS(Raw_Events!$L:$L,Raw_Events!$D:$D,$A12,Raw_Events!$G:$G,"ALCOHOL")</f>
        <v/>
      </c>
      <c r="Q12" s="3">
        <f>SUMIFS(Raw_Events!$H:$H,Raw_Events!$D:$D,$A12,Raw_Events!$G:$G,"CIGARETTES")</f>
        <v/>
      </c>
      <c r="R12" s="3">
        <f>SUMIFS(Raw_Events!$H:$H,Raw_Events!$D:$D,$A12,Raw_Events!$G:$G,"UNHEALTHY_MEAL")</f>
        <v/>
      </c>
      <c r="S12" s="3">
        <f>COUNTIFS(Raw_Events!$D:$D,$A12,Raw_Events!$G:$G,"WORKOUT")</f>
        <v/>
      </c>
      <c r="T12" s="3">
        <f>IFERROR(VLOOKUP($A12,Raw_Weekly!$A:$G,5,FALSE),"")</f>
        <v/>
      </c>
      <c r="U12" s="3">
        <f>COUNTIFS(Raw_Events!$D:$D,$A12,Raw_Events!$G:$G,"NEW_ACTIVITY")</f>
        <v/>
      </c>
      <c r="V12" s="3">
        <f>SUMIFS(Raw_Events!$H:$H,Raw_Events!$D:$D,$A12,Raw_Events!$G:$G,"TRAVEL_NIGHT")</f>
        <v/>
      </c>
      <c r="W12">
        <f>IF($E12=1,IF(AND($H12&gt;=Settings!$C$39,$J12&gt;=Settings!$C$40,$L12&gt;=Settings!$C$41),1,0),"")</f>
        <v/>
      </c>
      <c r="X12">
        <f>IF($A12="","",IF(COUNTIFS(Raw_Events!$D:$D,$A12,Raw_Events!$G:$G,"ORIGINATION_ACTION")&gt;0,COUNTIFS(Raw_Events!$D:$D,$A12,Raw_Events!$G:$G,"ORIGINATION_ACTION"),COUNTIFS(Raw_Events!$D:$D,$A12,Raw_Events!$G:$G,"STAKEHOLDER_CHAT")+COUNTIFS(Raw_Events!$D:$D,$A12,Raw_Events!$G:$G,"MEMO_WRITTEN")+COUNTIFS(Raw_Events!$D:$D,$A12,Raw_Events!$G:$G,"INITIATIVE_PRESENTED_VP")+COUNTIFS(Raw_Events!$D:$D,$A12,Raw_Events!$G:$G,"INITIATIVE_IDEA")))</f>
        <v/>
      </c>
      <c r="Y12">
        <f>IF($X12="","",IF($X12&gt;=1,1,0))</f>
        <v/>
      </c>
      <c r="Z12">
        <f>COUNTIFS(Raw_Events!$D:$D,$A12,Raw_Events!$G:$G,"WORKOUT_SKIPPED")</f>
        <v/>
      </c>
      <c r="AA12">
        <f>COUNTIFS(Raw_Events!$D:$D,$A12,Raw_Events!$G:$G,"COMMUNITY_SESSION")</f>
        <v/>
      </c>
      <c r="AB12">
        <f>COUNTIFS(Raw_Events!$D:$D,$A12,Raw_Events!$G:$G,"HOSTED_EVENT")</f>
        <v/>
      </c>
      <c r="AC12">
        <f>SUMIFS(Raw_Events!$H:$H,Raw_Events!$D:$D,$A12,Raw_Events!$G:$G,"IDEA_STAR")</f>
        <v/>
      </c>
      <c r="AD12">
        <f>IF($A12="","",IF(ROW()=3,"",IF(AND($H12&lt;1,INDEX($H:$H,ROW()-1)&lt;1),1,0)))</f>
        <v/>
      </c>
      <c r="AE12">
        <f>IF($A12="","",IF(ROW()=3,"",IF(AND($I12&lt;2,INDEX($I:$I,ROW()-1)&lt;2),1,0)))</f>
        <v/>
      </c>
      <c r="AF12">
        <f>IF($A12="","",IF(OR($E12=1,$AD12=1,$AE12=1),1,0))</f>
        <v/>
      </c>
      <c r="AG12">
        <f>IF($A12="","",IF(ROW()=3,"",IF(AND($B12&gt;=Settings!$C$14,INDEX($B:$B,ROW()-1)&gt;=Settings!$C$14),1,0)))</f>
        <v/>
      </c>
      <c r="AH12">
        <f>IF($A12="","",IF(AND($L12&gt;=Settings!$C$34,$AC12&lt;1),1,0))</f>
        <v/>
      </c>
      <c r="AI12">
        <f>SUMIFS(Raw_Events!$H:$H,Raw_Events!$D:$D,$A12,Raw_Events!$G:$G,"DEEP_WORK_HOURS")</f>
        <v/>
      </c>
      <c r="AJ12">
        <f>SUMIFS(Raw_Events!$H:$H,Raw_Events!$D:$D,$A12,Raw_Events!$G:$G,"EDUCATION_HOURS")</f>
        <v/>
      </c>
      <c r="AK12">
        <f>SUMIFS(Raw_Events!$H:$H,Raw_Events!$D:$D,$A12,Raw_Events!$G:$G,"HOBBY_HOURS")</f>
        <v/>
      </c>
      <c r="AL12">
        <f>SUMIFS(Raw_Events!$H:$H,Raw_Events!$D:$D,$A12,Raw_Events!$G:$G,"PARTNER_QUALITY_TIME")</f>
        <v/>
      </c>
      <c r="AM12">
        <f>IFERROR(MAXIFS(Raw_Events!$H:$H,Raw_Events!$D:$D,$A12,Raw_Events!$G:$G,"INVESTMENT_COVERAGE"),"")</f>
        <v/>
      </c>
    </row>
    <row r="13" ht="15" customHeight="1">
      <c r="A13" s="17" t="n">
        <v>46097</v>
      </c>
      <c r="B13" s="3">
        <f>IFERROR(VLOOKUP($A13,Raw_Weekly!$A:$G,2,FALSE),"")</f>
        <v/>
      </c>
      <c r="C13" s="3">
        <f>IFERROR(VLOOKUP($A13,Raw_Weekly!$A:$G,3,FALSE),"")</f>
        <v/>
      </c>
      <c r="D13" s="3">
        <f>IFERROR(VLOOKUP($A13,Raw_Weekly!$A:$G,4,FALSE),0)</f>
        <v/>
      </c>
      <c r="E13">
        <f>IF($B13="","",IF(OR($B13&gt;=Settings!$C$14,IFERROR(VLOOKUP($A13,Raw_Weekly!$A:$H,8,FALSE),0)=1),1,0))</f>
        <v/>
      </c>
      <c r="F13">
        <f>IF($B13="","",IF($B13&lt;=Settings!$C$13,1,0))</f>
        <v/>
      </c>
      <c r="G13">
        <f>IF($C13="","",IF($C13&lt;=Settings!$C$12,1,0))</f>
        <v/>
      </c>
      <c r="H13" s="3">
        <f>COUNTIFS(Raw_Events!$D:$D,$A13,Raw_Events!$G:$G,"SOCIAL_MEET")+COUNTIFS(Raw_Events!$D:$D,$A13,Raw_Events!$G:$G,"COMMUNITY_SESSION")+COUNTIFS(Raw_Events!$D:$D,$A13,Raw_Events!$G:$G,"HOSTED_EVENT")</f>
        <v/>
      </c>
      <c r="I13" s="3">
        <f>COUNTIFS(Raw_Events!$D:$D,$A13,Raw_Events!$G:$G,"DATE")</f>
        <v/>
      </c>
      <c r="J13" s="3">
        <f>COUNTIFS(Raw_Events!$D:$D,$A13,Raw_Events!$G:$G,"TRAINING_MIN")+COUNTIFS(Raw_Events!$D:$D,$A13,Raw_Events!$G:$G,"DICTION_TRAINING_MIN")</f>
        <v/>
      </c>
      <c r="K13" s="3">
        <f>SUMIFS(Raw_Events!$H:$H,Raw_Events!$D:$D,$A13,Raw_Events!$G:$G,"TRAINING_MIN")+SUMIFS(Raw_Events!$H:$H,Raw_Events!$D:$D,$A13,Raw_Events!$G:$G,"DICTION_TRAINING_MIN")</f>
        <v/>
      </c>
      <c r="L13" s="3">
        <f>SUMIFS(Raw_Events!$H:$H,Raw_Events!$D:$D,$A13,Raw_Events!$G:$G,"IDEA")</f>
        <v/>
      </c>
      <c r="M13" s="3">
        <f>SUMIFS(Raw_Events!$H:$H,Raw_Events!$D:$D,$A13,Raw_Events!$G:$G,"MINDFULNESS_MIN")</f>
        <v/>
      </c>
      <c r="N13" s="3">
        <f>SUMIFS(Daily_Agg!$G:$G,Daily_Agg!$A:$A,"&gt;="&amp;$A13,Daily_Agg!$A:$A,"&lt;"&amp;$A13+7)</f>
        <v/>
      </c>
      <c r="O13" s="3">
        <f>SUMIFS(Daily_Agg!$E:$E,Daily_Agg!$A:$A,"&gt;="&amp;$A13,Daily_Agg!$A:$A,"&lt;"&amp;$A13+7)</f>
        <v/>
      </c>
      <c r="P13" s="3">
        <f>SUMIFS(Raw_Events!$L:$L,Raw_Events!$D:$D,$A13,Raw_Events!$G:$G,"ALCOHOL")</f>
        <v/>
      </c>
      <c r="Q13" s="3">
        <f>SUMIFS(Raw_Events!$H:$H,Raw_Events!$D:$D,$A13,Raw_Events!$G:$G,"CIGARETTES")</f>
        <v/>
      </c>
      <c r="R13" s="3">
        <f>SUMIFS(Raw_Events!$H:$H,Raw_Events!$D:$D,$A13,Raw_Events!$G:$G,"UNHEALTHY_MEAL")</f>
        <v/>
      </c>
      <c r="S13" s="3">
        <f>COUNTIFS(Raw_Events!$D:$D,$A13,Raw_Events!$G:$G,"WORKOUT")</f>
        <v/>
      </c>
      <c r="T13" s="3">
        <f>IFERROR(VLOOKUP($A13,Raw_Weekly!$A:$G,5,FALSE),"")</f>
        <v/>
      </c>
      <c r="U13" s="3">
        <f>COUNTIFS(Raw_Events!$D:$D,$A13,Raw_Events!$G:$G,"NEW_ACTIVITY")</f>
        <v/>
      </c>
      <c r="V13" s="3">
        <f>SUMIFS(Raw_Events!$H:$H,Raw_Events!$D:$D,$A13,Raw_Events!$G:$G,"TRAVEL_NIGHT")</f>
        <v/>
      </c>
      <c r="W13">
        <f>IF($E13=1,IF(AND($H13&gt;=Settings!$C$39,$J13&gt;=Settings!$C$40,$L13&gt;=Settings!$C$41),1,0),"")</f>
        <v/>
      </c>
      <c r="X13">
        <f>IF($A13="","",IF(COUNTIFS(Raw_Events!$D:$D,$A13,Raw_Events!$G:$G,"ORIGINATION_ACTION")&gt;0,COUNTIFS(Raw_Events!$D:$D,$A13,Raw_Events!$G:$G,"ORIGINATION_ACTION"),COUNTIFS(Raw_Events!$D:$D,$A13,Raw_Events!$G:$G,"STAKEHOLDER_CHAT")+COUNTIFS(Raw_Events!$D:$D,$A13,Raw_Events!$G:$G,"MEMO_WRITTEN")+COUNTIFS(Raw_Events!$D:$D,$A13,Raw_Events!$G:$G,"INITIATIVE_PRESENTED_VP")+COUNTIFS(Raw_Events!$D:$D,$A13,Raw_Events!$G:$G,"INITIATIVE_IDEA")))</f>
        <v/>
      </c>
      <c r="Y13">
        <f>IF($X13="","",IF($X13&gt;=1,1,0))</f>
        <v/>
      </c>
      <c r="Z13">
        <f>COUNTIFS(Raw_Events!$D:$D,$A13,Raw_Events!$G:$G,"WORKOUT_SKIPPED")</f>
        <v/>
      </c>
      <c r="AA13">
        <f>COUNTIFS(Raw_Events!$D:$D,$A13,Raw_Events!$G:$G,"COMMUNITY_SESSION")</f>
        <v/>
      </c>
      <c r="AB13">
        <f>COUNTIFS(Raw_Events!$D:$D,$A13,Raw_Events!$G:$G,"HOSTED_EVENT")</f>
        <v/>
      </c>
      <c r="AC13">
        <f>SUMIFS(Raw_Events!$H:$H,Raw_Events!$D:$D,$A13,Raw_Events!$G:$G,"IDEA_STAR")</f>
        <v/>
      </c>
      <c r="AD13">
        <f>IF($A13="","",IF(ROW()=3,"",IF(AND($H13&lt;1,INDEX($H:$H,ROW()-1)&lt;1),1,0)))</f>
        <v/>
      </c>
      <c r="AE13">
        <f>IF($A13="","",IF(ROW()=3,"",IF(AND($I13&lt;2,INDEX($I:$I,ROW()-1)&lt;2),1,0)))</f>
        <v/>
      </c>
      <c r="AF13">
        <f>IF($A13="","",IF(OR($E13=1,$AD13=1,$AE13=1),1,0))</f>
        <v/>
      </c>
      <c r="AG13">
        <f>IF($A13="","",IF(ROW()=3,"",IF(AND($B13&gt;=Settings!$C$14,INDEX($B:$B,ROW()-1)&gt;=Settings!$C$14),1,0)))</f>
        <v/>
      </c>
      <c r="AH13">
        <f>IF($A13="","",IF(AND($L13&gt;=Settings!$C$34,$AC13&lt;1),1,0))</f>
        <v/>
      </c>
      <c r="AI13">
        <f>SUMIFS(Raw_Events!$H:$H,Raw_Events!$D:$D,$A13,Raw_Events!$G:$G,"DEEP_WORK_HOURS")</f>
        <v/>
      </c>
      <c r="AJ13">
        <f>SUMIFS(Raw_Events!$H:$H,Raw_Events!$D:$D,$A13,Raw_Events!$G:$G,"EDUCATION_HOURS")</f>
        <v/>
      </c>
      <c r="AK13">
        <f>SUMIFS(Raw_Events!$H:$H,Raw_Events!$D:$D,$A13,Raw_Events!$G:$G,"HOBBY_HOURS")</f>
        <v/>
      </c>
      <c r="AL13">
        <f>SUMIFS(Raw_Events!$H:$H,Raw_Events!$D:$D,$A13,Raw_Events!$G:$G,"PARTNER_QUALITY_TIME")</f>
        <v/>
      </c>
      <c r="AM13">
        <f>IFERROR(MAXIFS(Raw_Events!$H:$H,Raw_Events!$D:$D,$A13,Raw_Events!$G:$G,"INVESTMENT_COVERAGE"),"")</f>
        <v/>
      </c>
    </row>
    <row r="14" ht="15" customHeight="1">
      <c r="A14" s="17" t="n">
        <v>46104</v>
      </c>
      <c r="B14" s="3">
        <f>IFERROR(VLOOKUP($A14,Raw_Weekly!$A:$G,2,FALSE),"")</f>
        <v/>
      </c>
      <c r="C14" s="3">
        <f>IFERROR(VLOOKUP($A14,Raw_Weekly!$A:$G,3,FALSE),"")</f>
        <v/>
      </c>
      <c r="D14" s="3">
        <f>IFERROR(VLOOKUP($A14,Raw_Weekly!$A:$G,4,FALSE),0)</f>
        <v/>
      </c>
      <c r="E14">
        <f>IF($B14="","",IF(OR($B14&gt;=Settings!$C$14,IFERROR(VLOOKUP($A14,Raw_Weekly!$A:$H,8,FALSE),0)=1),1,0))</f>
        <v/>
      </c>
      <c r="F14">
        <f>IF($B14="","",IF($B14&lt;=Settings!$C$13,1,0))</f>
        <v/>
      </c>
      <c r="G14">
        <f>IF($C14="","",IF($C14&lt;=Settings!$C$12,1,0))</f>
        <v/>
      </c>
      <c r="H14" s="3">
        <f>COUNTIFS(Raw_Events!$D:$D,$A14,Raw_Events!$G:$G,"SOCIAL_MEET")+COUNTIFS(Raw_Events!$D:$D,$A14,Raw_Events!$G:$G,"COMMUNITY_SESSION")+COUNTIFS(Raw_Events!$D:$D,$A14,Raw_Events!$G:$G,"HOSTED_EVENT")</f>
        <v/>
      </c>
      <c r="I14" s="3">
        <f>COUNTIFS(Raw_Events!$D:$D,$A14,Raw_Events!$G:$G,"DATE")</f>
        <v/>
      </c>
      <c r="J14" s="3">
        <f>COUNTIFS(Raw_Events!$D:$D,$A14,Raw_Events!$G:$G,"TRAINING_MIN")+COUNTIFS(Raw_Events!$D:$D,$A14,Raw_Events!$G:$G,"DICTION_TRAINING_MIN")</f>
        <v/>
      </c>
      <c r="K14" s="3">
        <f>SUMIFS(Raw_Events!$H:$H,Raw_Events!$D:$D,$A14,Raw_Events!$G:$G,"TRAINING_MIN")+SUMIFS(Raw_Events!$H:$H,Raw_Events!$D:$D,$A14,Raw_Events!$G:$G,"DICTION_TRAINING_MIN")</f>
        <v/>
      </c>
      <c r="L14" s="3">
        <f>SUMIFS(Raw_Events!$H:$H,Raw_Events!$D:$D,$A14,Raw_Events!$G:$G,"IDEA")</f>
        <v/>
      </c>
      <c r="M14" s="3">
        <f>SUMIFS(Raw_Events!$H:$H,Raw_Events!$D:$D,$A14,Raw_Events!$G:$G,"MINDFULNESS_MIN")</f>
        <v/>
      </c>
      <c r="N14" s="3">
        <f>SUMIFS(Daily_Agg!$G:$G,Daily_Agg!$A:$A,"&gt;="&amp;$A14,Daily_Agg!$A:$A,"&lt;"&amp;$A14+7)</f>
        <v/>
      </c>
      <c r="O14" s="3">
        <f>SUMIFS(Daily_Agg!$E:$E,Daily_Agg!$A:$A,"&gt;="&amp;$A14,Daily_Agg!$A:$A,"&lt;"&amp;$A14+7)</f>
        <v/>
      </c>
      <c r="P14" s="3">
        <f>SUMIFS(Raw_Events!$L:$L,Raw_Events!$D:$D,$A14,Raw_Events!$G:$G,"ALCOHOL")</f>
        <v/>
      </c>
      <c r="Q14" s="3">
        <f>SUMIFS(Raw_Events!$H:$H,Raw_Events!$D:$D,$A14,Raw_Events!$G:$G,"CIGARETTES")</f>
        <v/>
      </c>
      <c r="R14" s="3">
        <f>SUMIFS(Raw_Events!$H:$H,Raw_Events!$D:$D,$A14,Raw_Events!$G:$G,"UNHEALTHY_MEAL")</f>
        <v/>
      </c>
      <c r="S14" s="3">
        <f>COUNTIFS(Raw_Events!$D:$D,$A14,Raw_Events!$G:$G,"WORKOUT")</f>
        <v/>
      </c>
      <c r="T14" s="3">
        <f>IFERROR(VLOOKUP($A14,Raw_Weekly!$A:$G,5,FALSE),"")</f>
        <v/>
      </c>
      <c r="U14" s="3">
        <f>COUNTIFS(Raw_Events!$D:$D,$A14,Raw_Events!$G:$G,"NEW_ACTIVITY")</f>
        <v/>
      </c>
      <c r="V14" s="3">
        <f>SUMIFS(Raw_Events!$H:$H,Raw_Events!$D:$D,$A14,Raw_Events!$G:$G,"TRAVEL_NIGHT")</f>
        <v/>
      </c>
      <c r="W14">
        <f>IF($E14=1,IF(AND($H14&gt;=Settings!$C$39,$J14&gt;=Settings!$C$40,$L14&gt;=Settings!$C$41),1,0),"")</f>
        <v/>
      </c>
      <c r="X14">
        <f>IF($A14="","",IF(COUNTIFS(Raw_Events!$D:$D,$A14,Raw_Events!$G:$G,"ORIGINATION_ACTION")&gt;0,COUNTIFS(Raw_Events!$D:$D,$A14,Raw_Events!$G:$G,"ORIGINATION_ACTION"),COUNTIFS(Raw_Events!$D:$D,$A14,Raw_Events!$G:$G,"STAKEHOLDER_CHAT")+COUNTIFS(Raw_Events!$D:$D,$A14,Raw_Events!$G:$G,"MEMO_WRITTEN")+COUNTIFS(Raw_Events!$D:$D,$A14,Raw_Events!$G:$G,"INITIATIVE_PRESENTED_VP")+COUNTIFS(Raw_Events!$D:$D,$A14,Raw_Events!$G:$G,"INITIATIVE_IDEA")))</f>
        <v/>
      </c>
      <c r="Y14">
        <f>IF($X14="","",IF($X14&gt;=1,1,0))</f>
        <v/>
      </c>
      <c r="Z14">
        <f>COUNTIFS(Raw_Events!$D:$D,$A14,Raw_Events!$G:$G,"WORKOUT_SKIPPED")</f>
        <v/>
      </c>
      <c r="AA14">
        <f>COUNTIFS(Raw_Events!$D:$D,$A14,Raw_Events!$G:$G,"COMMUNITY_SESSION")</f>
        <v/>
      </c>
      <c r="AB14">
        <f>COUNTIFS(Raw_Events!$D:$D,$A14,Raw_Events!$G:$G,"HOSTED_EVENT")</f>
        <v/>
      </c>
      <c r="AC14">
        <f>SUMIFS(Raw_Events!$H:$H,Raw_Events!$D:$D,$A14,Raw_Events!$G:$G,"IDEA_STAR")</f>
        <v/>
      </c>
      <c r="AD14">
        <f>IF($A14="","",IF(ROW()=3,"",IF(AND($H14&lt;1,INDEX($H:$H,ROW()-1)&lt;1),1,0)))</f>
        <v/>
      </c>
      <c r="AE14">
        <f>IF($A14="","",IF(ROW()=3,"",IF(AND($I14&lt;2,INDEX($I:$I,ROW()-1)&lt;2),1,0)))</f>
        <v/>
      </c>
      <c r="AF14">
        <f>IF($A14="","",IF(OR($E14=1,$AD14=1,$AE14=1),1,0))</f>
        <v/>
      </c>
      <c r="AG14">
        <f>IF($A14="","",IF(ROW()=3,"",IF(AND($B14&gt;=Settings!$C$14,INDEX($B:$B,ROW()-1)&gt;=Settings!$C$14),1,0)))</f>
        <v/>
      </c>
      <c r="AH14">
        <f>IF($A14="","",IF(AND($L14&gt;=Settings!$C$34,$AC14&lt;1),1,0))</f>
        <v/>
      </c>
      <c r="AI14">
        <f>SUMIFS(Raw_Events!$H:$H,Raw_Events!$D:$D,$A14,Raw_Events!$G:$G,"DEEP_WORK_HOURS")</f>
        <v/>
      </c>
      <c r="AJ14">
        <f>SUMIFS(Raw_Events!$H:$H,Raw_Events!$D:$D,$A14,Raw_Events!$G:$G,"EDUCATION_HOURS")</f>
        <v/>
      </c>
      <c r="AK14">
        <f>SUMIFS(Raw_Events!$H:$H,Raw_Events!$D:$D,$A14,Raw_Events!$G:$G,"HOBBY_HOURS")</f>
        <v/>
      </c>
      <c r="AL14">
        <f>SUMIFS(Raw_Events!$H:$H,Raw_Events!$D:$D,$A14,Raw_Events!$G:$G,"PARTNER_QUALITY_TIME")</f>
        <v/>
      </c>
      <c r="AM14">
        <f>IFERROR(MAXIFS(Raw_Events!$H:$H,Raw_Events!$D:$D,$A14,Raw_Events!$G:$G,"INVESTMENT_COVERAGE"),"")</f>
        <v/>
      </c>
    </row>
    <row r="15" ht="15" customHeight="1">
      <c r="A15" s="17" t="n">
        <v>46111</v>
      </c>
      <c r="B15" s="3">
        <f>IFERROR(VLOOKUP($A15,Raw_Weekly!$A:$G,2,FALSE),"")</f>
        <v/>
      </c>
      <c r="C15" s="3">
        <f>IFERROR(VLOOKUP($A15,Raw_Weekly!$A:$G,3,FALSE),"")</f>
        <v/>
      </c>
      <c r="D15" s="3">
        <f>IFERROR(VLOOKUP($A15,Raw_Weekly!$A:$G,4,FALSE),0)</f>
        <v/>
      </c>
      <c r="E15">
        <f>IF($B15="","",IF(OR($B15&gt;=Settings!$C$14,IFERROR(VLOOKUP($A15,Raw_Weekly!$A:$H,8,FALSE),0)=1),1,0))</f>
        <v/>
      </c>
      <c r="F15">
        <f>IF($B15="","",IF($B15&lt;=Settings!$C$13,1,0))</f>
        <v/>
      </c>
      <c r="G15">
        <f>IF($C15="","",IF($C15&lt;=Settings!$C$12,1,0))</f>
        <v/>
      </c>
      <c r="H15" s="3">
        <f>COUNTIFS(Raw_Events!$D:$D,$A15,Raw_Events!$G:$G,"SOCIAL_MEET")+COUNTIFS(Raw_Events!$D:$D,$A15,Raw_Events!$G:$G,"COMMUNITY_SESSION")+COUNTIFS(Raw_Events!$D:$D,$A15,Raw_Events!$G:$G,"HOSTED_EVENT")</f>
        <v/>
      </c>
      <c r="I15" s="3">
        <f>COUNTIFS(Raw_Events!$D:$D,$A15,Raw_Events!$G:$G,"DATE")</f>
        <v/>
      </c>
      <c r="J15" s="3">
        <f>COUNTIFS(Raw_Events!$D:$D,$A15,Raw_Events!$G:$G,"TRAINING_MIN")+COUNTIFS(Raw_Events!$D:$D,$A15,Raw_Events!$G:$G,"DICTION_TRAINING_MIN")</f>
        <v/>
      </c>
      <c r="K15" s="3">
        <f>SUMIFS(Raw_Events!$H:$H,Raw_Events!$D:$D,$A15,Raw_Events!$G:$G,"TRAINING_MIN")+SUMIFS(Raw_Events!$H:$H,Raw_Events!$D:$D,$A15,Raw_Events!$G:$G,"DICTION_TRAINING_MIN")</f>
        <v/>
      </c>
      <c r="L15" s="3">
        <f>SUMIFS(Raw_Events!$H:$H,Raw_Events!$D:$D,$A15,Raw_Events!$G:$G,"IDEA")</f>
        <v/>
      </c>
      <c r="M15" s="3">
        <f>SUMIFS(Raw_Events!$H:$H,Raw_Events!$D:$D,$A15,Raw_Events!$G:$G,"MINDFULNESS_MIN")</f>
        <v/>
      </c>
      <c r="N15" s="3">
        <f>SUMIFS(Daily_Agg!$G:$G,Daily_Agg!$A:$A,"&gt;="&amp;$A15,Daily_Agg!$A:$A,"&lt;"&amp;$A15+7)</f>
        <v/>
      </c>
      <c r="O15" s="3">
        <f>SUMIFS(Daily_Agg!$E:$E,Daily_Agg!$A:$A,"&gt;="&amp;$A15,Daily_Agg!$A:$A,"&lt;"&amp;$A15+7)</f>
        <v/>
      </c>
      <c r="P15" s="3">
        <f>SUMIFS(Raw_Events!$L:$L,Raw_Events!$D:$D,$A15,Raw_Events!$G:$G,"ALCOHOL")</f>
        <v/>
      </c>
      <c r="Q15" s="3">
        <f>SUMIFS(Raw_Events!$H:$H,Raw_Events!$D:$D,$A15,Raw_Events!$G:$G,"CIGARETTES")</f>
        <v/>
      </c>
      <c r="R15" s="3">
        <f>SUMIFS(Raw_Events!$H:$H,Raw_Events!$D:$D,$A15,Raw_Events!$G:$G,"UNHEALTHY_MEAL")</f>
        <v/>
      </c>
      <c r="S15" s="3">
        <f>COUNTIFS(Raw_Events!$D:$D,$A15,Raw_Events!$G:$G,"WORKOUT")</f>
        <v/>
      </c>
      <c r="T15" s="3">
        <f>IFERROR(VLOOKUP($A15,Raw_Weekly!$A:$G,5,FALSE),"")</f>
        <v/>
      </c>
      <c r="U15" s="3">
        <f>COUNTIFS(Raw_Events!$D:$D,$A15,Raw_Events!$G:$G,"NEW_ACTIVITY")</f>
        <v/>
      </c>
      <c r="V15" s="3">
        <f>SUMIFS(Raw_Events!$H:$H,Raw_Events!$D:$D,$A15,Raw_Events!$G:$G,"TRAVEL_NIGHT")</f>
        <v/>
      </c>
      <c r="W15">
        <f>IF($E15=1,IF(AND($H15&gt;=Settings!$C$39,$J15&gt;=Settings!$C$40,$L15&gt;=Settings!$C$41),1,0),"")</f>
        <v/>
      </c>
      <c r="X15">
        <f>IF($A15="","",IF(COUNTIFS(Raw_Events!$D:$D,$A15,Raw_Events!$G:$G,"ORIGINATION_ACTION")&gt;0,COUNTIFS(Raw_Events!$D:$D,$A15,Raw_Events!$G:$G,"ORIGINATION_ACTION"),COUNTIFS(Raw_Events!$D:$D,$A15,Raw_Events!$G:$G,"STAKEHOLDER_CHAT")+COUNTIFS(Raw_Events!$D:$D,$A15,Raw_Events!$G:$G,"MEMO_WRITTEN")+COUNTIFS(Raw_Events!$D:$D,$A15,Raw_Events!$G:$G,"INITIATIVE_PRESENTED_VP")+COUNTIFS(Raw_Events!$D:$D,$A15,Raw_Events!$G:$G,"INITIATIVE_IDEA")))</f>
        <v/>
      </c>
      <c r="Y15">
        <f>IF($X15="","",IF($X15&gt;=1,1,0))</f>
        <v/>
      </c>
      <c r="Z15">
        <f>COUNTIFS(Raw_Events!$D:$D,$A15,Raw_Events!$G:$G,"WORKOUT_SKIPPED")</f>
        <v/>
      </c>
      <c r="AA15">
        <f>COUNTIFS(Raw_Events!$D:$D,$A15,Raw_Events!$G:$G,"COMMUNITY_SESSION")</f>
        <v/>
      </c>
      <c r="AB15">
        <f>COUNTIFS(Raw_Events!$D:$D,$A15,Raw_Events!$G:$G,"HOSTED_EVENT")</f>
        <v/>
      </c>
      <c r="AC15">
        <f>SUMIFS(Raw_Events!$H:$H,Raw_Events!$D:$D,$A15,Raw_Events!$G:$G,"IDEA_STAR")</f>
        <v/>
      </c>
      <c r="AD15">
        <f>IF($A15="","",IF(ROW()=3,"",IF(AND($H15&lt;1,INDEX($H:$H,ROW()-1)&lt;1),1,0)))</f>
        <v/>
      </c>
      <c r="AE15">
        <f>IF($A15="","",IF(ROW()=3,"",IF(AND($I15&lt;2,INDEX($I:$I,ROW()-1)&lt;2),1,0)))</f>
        <v/>
      </c>
      <c r="AF15">
        <f>IF($A15="","",IF(OR($E15=1,$AD15=1,$AE15=1),1,0))</f>
        <v/>
      </c>
      <c r="AG15">
        <f>IF($A15="","",IF(ROW()=3,"",IF(AND($B15&gt;=Settings!$C$14,INDEX($B:$B,ROW()-1)&gt;=Settings!$C$14),1,0)))</f>
        <v/>
      </c>
      <c r="AH15">
        <f>IF($A15="","",IF(AND($L15&gt;=Settings!$C$34,$AC15&lt;1),1,0))</f>
        <v/>
      </c>
      <c r="AI15">
        <f>SUMIFS(Raw_Events!$H:$H,Raw_Events!$D:$D,$A15,Raw_Events!$G:$G,"DEEP_WORK_HOURS")</f>
        <v/>
      </c>
      <c r="AJ15">
        <f>SUMIFS(Raw_Events!$H:$H,Raw_Events!$D:$D,$A15,Raw_Events!$G:$G,"EDUCATION_HOURS")</f>
        <v/>
      </c>
      <c r="AK15">
        <f>SUMIFS(Raw_Events!$H:$H,Raw_Events!$D:$D,$A15,Raw_Events!$G:$G,"HOBBY_HOURS")</f>
        <v/>
      </c>
      <c r="AL15">
        <f>SUMIFS(Raw_Events!$H:$H,Raw_Events!$D:$D,$A15,Raw_Events!$G:$G,"PARTNER_QUALITY_TIME")</f>
        <v/>
      </c>
      <c r="AM15">
        <f>IFERROR(MAXIFS(Raw_Events!$H:$H,Raw_Events!$D:$D,$A15,Raw_Events!$G:$G,"INVESTMENT_COVERAGE"),"")</f>
        <v/>
      </c>
    </row>
    <row r="16" ht="15" customHeight="1">
      <c r="A16" s="17" t="n">
        <v>46118</v>
      </c>
      <c r="B16" s="3">
        <f>IFERROR(VLOOKUP($A16,Raw_Weekly!$A:$G,2,FALSE),"")</f>
        <v/>
      </c>
      <c r="C16" s="3">
        <f>IFERROR(VLOOKUP($A16,Raw_Weekly!$A:$G,3,FALSE),"")</f>
        <v/>
      </c>
      <c r="D16" s="3">
        <f>IFERROR(VLOOKUP($A16,Raw_Weekly!$A:$G,4,FALSE),0)</f>
        <v/>
      </c>
      <c r="E16">
        <f>IF($B16="","",IF(OR($B16&gt;=Settings!$C$14,IFERROR(VLOOKUP($A16,Raw_Weekly!$A:$H,8,FALSE),0)=1),1,0))</f>
        <v/>
      </c>
      <c r="F16">
        <f>IF($B16="","",IF($B16&lt;=Settings!$C$13,1,0))</f>
        <v/>
      </c>
      <c r="G16">
        <f>IF($C16="","",IF($C16&lt;=Settings!$C$12,1,0))</f>
        <v/>
      </c>
      <c r="H16" s="3">
        <f>COUNTIFS(Raw_Events!$D:$D,$A16,Raw_Events!$G:$G,"SOCIAL_MEET")+COUNTIFS(Raw_Events!$D:$D,$A16,Raw_Events!$G:$G,"COMMUNITY_SESSION")+COUNTIFS(Raw_Events!$D:$D,$A16,Raw_Events!$G:$G,"HOSTED_EVENT")</f>
        <v/>
      </c>
      <c r="I16" s="3">
        <f>COUNTIFS(Raw_Events!$D:$D,$A16,Raw_Events!$G:$G,"DATE")</f>
        <v/>
      </c>
      <c r="J16" s="3">
        <f>COUNTIFS(Raw_Events!$D:$D,$A16,Raw_Events!$G:$G,"TRAINING_MIN")+COUNTIFS(Raw_Events!$D:$D,$A16,Raw_Events!$G:$G,"DICTION_TRAINING_MIN")</f>
        <v/>
      </c>
      <c r="K16" s="3">
        <f>SUMIFS(Raw_Events!$H:$H,Raw_Events!$D:$D,$A16,Raw_Events!$G:$G,"TRAINING_MIN")+SUMIFS(Raw_Events!$H:$H,Raw_Events!$D:$D,$A16,Raw_Events!$G:$G,"DICTION_TRAINING_MIN")</f>
        <v/>
      </c>
      <c r="L16" s="3">
        <f>SUMIFS(Raw_Events!$H:$H,Raw_Events!$D:$D,$A16,Raw_Events!$G:$G,"IDEA")</f>
        <v/>
      </c>
      <c r="M16" s="3">
        <f>SUMIFS(Raw_Events!$H:$H,Raw_Events!$D:$D,$A16,Raw_Events!$G:$G,"MINDFULNESS_MIN")</f>
        <v/>
      </c>
      <c r="N16" s="3">
        <f>SUMIFS(Daily_Agg!$G:$G,Daily_Agg!$A:$A,"&gt;="&amp;$A16,Daily_Agg!$A:$A,"&lt;"&amp;$A16+7)</f>
        <v/>
      </c>
      <c r="O16" s="3">
        <f>SUMIFS(Daily_Agg!$E:$E,Daily_Agg!$A:$A,"&gt;="&amp;$A16,Daily_Agg!$A:$A,"&lt;"&amp;$A16+7)</f>
        <v/>
      </c>
      <c r="P16" s="3">
        <f>SUMIFS(Raw_Events!$L:$L,Raw_Events!$D:$D,$A16,Raw_Events!$G:$G,"ALCOHOL")</f>
        <v/>
      </c>
      <c r="Q16" s="3">
        <f>SUMIFS(Raw_Events!$H:$H,Raw_Events!$D:$D,$A16,Raw_Events!$G:$G,"CIGARETTES")</f>
        <v/>
      </c>
      <c r="R16" s="3">
        <f>SUMIFS(Raw_Events!$H:$H,Raw_Events!$D:$D,$A16,Raw_Events!$G:$G,"UNHEALTHY_MEAL")</f>
        <v/>
      </c>
      <c r="S16" s="3">
        <f>COUNTIFS(Raw_Events!$D:$D,$A16,Raw_Events!$G:$G,"WORKOUT")</f>
        <v/>
      </c>
      <c r="T16" s="3">
        <f>IFERROR(VLOOKUP($A16,Raw_Weekly!$A:$G,5,FALSE),"")</f>
        <v/>
      </c>
      <c r="U16" s="3">
        <f>COUNTIFS(Raw_Events!$D:$D,$A16,Raw_Events!$G:$G,"NEW_ACTIVITY")</f>
        <v/>
      </c>
      <c r="V16" s="3">
        <f>SUMIFS(Raw_Events!$H:$H,Raw_Events!$D:$D,$A16,Raw_Events!$G:$G,"TRAVEL_NIGHT")</f>
        <v/>
      </c>
      <c r="W16">
        <f>IF($E16=1,IF(AND($H16&gt;=Settings!$C$39,$J16&gt;=Settings!$C$40,$L16&gt;=Settings!$C$41),1,0),"")</f>
        <v/>
      </c>
      <c r="X16">
        <f>IF($A16="","",IF(COUNTIFS(Raw_Events!$D:$D,$A16,Raw_Events!$G:$G,"ORIGINATION_ACTION")&gt;0,COUNTIFS(Raw_Events!$D:$D,$A16,Raw_Events!$G:$G,"ORIGINATION_ACTION"),COUNTIFS(Raw_Events!$D:$D,$A16,Raw_Events!$G:$G,"STAKEHOLDER_CHAT")+COUNTIFS(Raw_Events!$D:$D,$A16,Raw_Events!$G:$G,"MEMO_WRITTEN")+COUNTIFS(Raw_Events!$D:$D,$A16,Raw_Events!$G:$G,"INITIATIVE_PRESENTED_VP")+COUNTIFS(Raw_Events!$D:$D,$A16,Raw_Events!$G:$G,"INITIATIVE_IDEA")))</f>
        <v/>
      </c>
      <c r="Y16">
        <f>IF($X16="","",IF($X16&gt;=1,1,0))</f>
        <v/>
      </c>
      <c r="Z16">
        <f>COUNTIFS(Raw_Events!$D:$D,$A16,Raw_Events!$G:$G,"WORKOUT_SKIPPED")</f>
        <v/>
      </c>
      <c r="AA16">
        <f>COUNTIFS(Raw_Events!$D:$D,$A16,Raw_Events!$G:$G,"COMMUNITY_SESSION")</f>
        <v/>
      </c>
      <c r="AB16">
        <f>COUNTIFS(Raw_Events!$D:$D,$A16,Raw_Events!$G:$G,"HOSTED_EVENT")</f>
        <v/>
      </c>
      <c r="AC16">
        <f>SUMIFS(Raw_Events!$H:$H,Raw_Events!$D:$D,$A16,Raw_Events!$G:$G,"IDEA_STAR")</f>
        <v/>
      </c>
      <c r="AD16">
        <f>IF($A16="","",IF(ROW()=3,"",IF(AND($H16&lt;1,INDEX($H:$H,ROW()-1)&lt;1),1,0)))</f>
        <v/>
      </c>
      <c r="AE16">
        <f>IF($A16="","",IF(ROW()=3,"",IF(AND($I16&lt;2,INDEX($I:$I,ROW()-1)&lt;2),1,0)))</f>
        <v/>
      </c>
      <c r="AF16">
        <f>IF($A16="","",IF(OR($E16=1,$AD16=1,$AE16=1),1,0))</f>
        <v/>
      </c>
      <c r="AG16">
        <f>IF($A16="","",IF(ROW()=3,"",IF(AND($B16&gt;=Settings!$C$14,INDEX($B:$B,ROW()-1)&gt;=Settings!$C$14),1,0)))</f>
        <v/>
      </c>
      <c r="AH16">
        <f>IF($A16="","",IF(AND($L16&gt;=Settings!$C$34,$AC16&lt;1),1,0))</f>
        <v/>
      </c>
      <c r="AI16">
        <f>SUMIFS(Raw_Events!$H:$H,Raw_Events!$D:$D,$A16,Raw_Events!$G:$G,"DEEP_WORK_HOURS")</f>
        <v/>
      </c>
      <c r="AJ16">
        <f>SUMIFS(Raw_Events!$H:$H,Raw_Events!$D:$D,$A16,Raw_Events!$G:$G,"EDUCATION_HOURS")</f>
        <v/>
      </c>
      <c r="AK16">
        <f>SUMIFS(Raw_Events!$H:$H,Raw_Events!$D:$D,$A16,Raw_Events!$G:$G,"HOBBY_HOURS")</f>
        <v/>
      </c>
      <c r="AL16">
        <f>SUMIFS(Raw_Events!$H:$H,Raw_Events!$D:$D,$A16,Raw_Events!$G:$G,"PARTNER_QUALITY_TIME")</f>
        <v/>
      </c>
      <c r="AM16">
        <f>IFERROR(MAXIFS(Raw_Events!$H:$H,Raw_Events!$D:$D,$A16,Raw_Events!$G:$G,"INVESTMENT_COVERAGE"),"")</f>
        <v/>
      </c>
    </row>
    <row r="17" ht="15" customHeight="1">
      <c r="A17" s="17" t="n">
        <v>46125</v>
      </c>
      <c r="B17" s="3">
        <f>IFERROR(VLOOKUP($A17,Raw_Weekly!$A:$G,2,FALSE),"")</f>
        <v/>
      </c>
      <c r="C17" s="3">
        <f>IFERROR(VLOOKUP($A17,Raw_Weekly!$A:$G,3,FALSE),"")</f>
        <v/>
      </c>
      <c r="D17" s="3">
        <f>IFERROR(VLOOKUP($A17,Raw_Weekly!$A:$G,4,FALSE),0)</f>
        <v/>
      </c>
      <c r="E17">
        <f>IF($B17="","",IF(OR($B17&gt;=Settings!$C$14,IFERROR(VLOOKUP($A17,Raw_Weekly!$A:$H,8,FALSE),0)=1),1,0))</f>
        <v/>
      </c>
      <c r="F17">
        <f>IF($B17="","",IF($B17&lt;=Settings!$C$13,1,0))</f>
        <v/>
      </c>
      <c r="G17">
        <f>IF($C17="","",IF($C17&lt;=Settings!$C$12,1,0))</f>
        <v/>
      </c>
      <c r="H17" s="3">
        <f>COUNTIFS(Raw_Events!$D:$D,$A17,Raw_Events!$G:$G,"SOCIAL_MEET")+COUNTIFS(Raw_Events!$D:$D,$A17,Raw_Events!$G:$G,"COMMUNITY_SESSION")+COUNTIFS(Raw_Events!$D:$D,$A17,Raw_Events!$G:$G,"HOSTED_EVENT")</f>
        <v/>
      </c>
      <c r="I17" s="3">
        <f>COUNTIFS(Raw_Events!$D:$D,$A17,Raw_Events!$G:$G,"DATE")</f>
        <v/>
      </c>
      <c r="J17" s="3">
        <f>COUNTIFS(Raw_Events!$D:$D,$A17,Raw_Events!$G:$G,"TRAINING_MIN")+COUNTIFS(Raw_Events!$D:$D,$A17,Raw_Events!$G:$G,"DICTION_TRAINING_MIN")</f>
        <v/>
      </c>
      <c r="K17" s="3">
        <f>SUMIFS(Raw_Events!$H:$H,Raw_Events!$D:$D,$A17,Raw_Events!$G:$G,"TRAINING_MIN")+SUMIFS(Raw_Events!$H:$H,Raw_Events!$D:$D,$A17,Raw_Events!$G:$G,"DICTION_TRAINING_MIN")</f>
        <v/>
      </c>
      <c r="L17" s="3">
        <f>SUMIFS(Raw_Events!$H:$H,Raw_Events!$D:$D,$A17,Raw_Events!$G:$G,"IDEA")</f>
        <v/>
      </c>
      <c r="M17" s="3">
        <f>SUMIFS(Raw_Events!$H:$H,Raw_Events!$D:$D,$A17,Raw_Events!$G:$G,"MINDFULNESS_MIN")</f>
        <v/>
      </c>
      <c r="N17" s="3">
        <f>SUMIFS(Daily_Agg!$G:$G,Daily_Agg!$A:$A,"&gt;="&amp;$A17,Daily_Agg!$A:$A,"&lt;"&amp;$A17+7)</f>
        <v/>
      </c>
      <c r="O17" s="3">
        <f>SUMIFS(Daily_Agg!$E:$E,Daily_Agg!$A:$A,"&gt;="&amp;$A17,Daily_Agg!$A:$A,"&lt;"&amp;$A17+7)</f>
        <v/>
      </c>
      <c r="P17" s="3">
        <f>SUMIFS(Raw_Events!$L:$L,Raw_Events!$D:$D,$A17,Raw_Events!$G:$G,"ALCOHOL")</f>
        <v/>
      </c>
      <c r="Q17" s="3">
        <f>SUMIFS(Raw_Events!$H:$H,Raw_Events!$D:$D,$A17,Raw_Events!$G:$G,"CIGARETTES")</f>
        <v/>
      </c>
      <c r="R17" s="3">
        <f>SUMIFS(Raw_Events!$H:$H,Raw_Events!$D:$D,$A17,Raw_Events!$G:$G,"UNHEALTHY_MEAL")</f>
        <v/>
      </c>
      <c r="S17" s="3">
        <f>COUNTIFS(Raw_Events!$D:$D,$A17,Raw_Events!$G:$G,"WORKOUT")</f>
        <v/>
      </c>
      <c r="T17" s="3">
        <f>IFERROR(VLOOKUP($A17,Raw_Weekly!$A:$G,5,FALSE),"")</f>
        <v/>
      </c>
      <c r="U17" s="3">
        <f>COUNTIFS(Raw_Events!$D:$D,$A17,Raw_Events!$G:$G,"NEW_ACTIVITY")</f>
        <v/>
      </c>
      <c r="V17" s="3">
        <f>SUMIFS(Raw_Events!$H:$H,Raw_Events!$D:$D,$A17,Raw_Events!$G:$G,"TRAVEL_NIGHT")</f>
        <v/>
      </c>
      <c r="W17">
        <f>IF($E17=1,IF(AND($H17&gt;=Settings!$C$39,$J17&gt;=Settings!$C$40,$L17&gt;=Settings!$C$41),1,0),"")</f>
        <v/>
      </c>
      <c r="X17">
        <f>IF($A17="","",IF(COUNTIFS(Raw_Events!$D:$D,$A17,Raw_Events!$G:$G,"ORIGINATION_ACTION")&gt;0,COUNTIFS(Raw_Events!$D:$D,$A17,Raw_Events!$G:$G,"ORIGINATION_ACTION"),COUNTIFS(Raw_Events!$D:$D,$A17,Raw_Events!$G:$G,"STAKEHOLDER_CHAT")+COUNTIFS(Raw_Events!$D:$D,$A17,Raw_Events!$G:$G,"MEMO_WRITTEN")+COUNTIFS(Raw_Events!$D:$D,$A17,Raw_Events!$G:$G,"INITIATIVE_PRESENTED_VP")+COUNTIFS(Raw_Events!$D:$D,$A17,Raw_Events!$G:$G,"INITIATIVE_IDEA")))</f>
        <v/>
      </c>
      <c r="Y17">
        <f>IF($X17="","",IF($X17&gt;=1,1,0))</f>
        <v/>
      </c>
      <c r="Z17">
        <f>COUNTIFS(Raw_Events!$D:$D,$A17,Raw_Events!$G:$G,"WORKOUT_SKIPPED")</f>
        <v/>
      </c>
      <c r="AA17">
        <f>COUNTIFS(Raw_Events!$D:$D,$A17,Raw_Events!$G:$G,"COMMUNITY_SESSION")</f>
        <v/>
      </c>
      <c r="AB17">
        <f>COUNTIFS(Raw_Events!$D:$D,$A17,Raw_Events!$G:$G,"HOSTED_EVENT")</f>
        <v/>
      </c>
      <c r="AC17">
        <f>SUMIFS(Raw_Events!$H:$H,Raw_Events!$D:$D,$A17,Raw_Events!$G:$G,"IDEA_STAR")</f>
        <v/>
      </c>
      <c r="AD17">
        <f>IF($A17="","",IF(ROW()=3,"",IF(AND($H17&lt;1,INDEX($H:$H,ROW()-1)&lt;1),1,0)))</f>
        <v/>
      </c>
      <c r="AE17">
        <f>IF($A17="","",IF(ROW()=3,"",IF(AND($I17&lt;2,INDEX($I:$I,ROW()-1)&lt;2),1,0)))</f>
        <v/>
      </c>
      <c r="AF17">
        <f>IF($A17="","",IF(OR($E17=1,$AD17=1,$AE17=1),1,0))</f>
        <v/>
      </c>
      <c r="AG17">
        <f>IF($A17="","",IF(ROW()=3,"",IF(AND($B17&gt;=Settings!$C$14,INDEX($B:$B,ROW()-1)&gt;=Settings!$C$14),1,0)))</f>
        <v/>
      </c>
      <c r="AH17">
        <f>IF($A17="","",IF(AND($L17&gt;=Settings!$C$34,$AC17&lt;1),1,0))</f>
        <v/>
      </c>
      <c r="AI17">
        <f>SUMIFS(Raw_Events!$H:$H,Raw_Events!$D:$D,$A17,Raw_Events!$G:$G,"DEEP_WORK_HOURS")</f>
        <v/>
      </c>
      <c r="AJ17">
        <f>SUMIFS(Raw_Events!$H:$H,Raw_Events!$D:$D,$A17,Raw_Events!$G:$G,"EDUCATION_HOURS")</f>
        <v/>
      </c>
      <c r="AK17">
        <f>SUMIFS(Raw_Events!$H:$H,Raw_Events!$D:$D,$A17,Raw_Events!$G:$G,"HOBBY_HOURS")</f>
        <v/>
      </c>
      <c r="AL17">
        <f>SUMIFS(Raw_Events!$H:$H,Raw_Events!$D:$D,$A17,Raw_Events!$G:$G,"PARTNER_QUALITY_TIME")</f>
        <v/>
      </c>
      <c r="AM17">
        <f>IFERROR(MAXIFS(Raw_Events!$H:$H,Raw_Events!$D:$D,$A17,Raw_Events!$G:$G,"INVESTMENT_COVERAGE"),"")</f>
        <v/>
      </c>
    </row>
    <row r="18" ht="15" customHeight="1">
      <c r="A18" s="17" t="n">
        <v>46132</v>
      </c>
      <c r="B18" s="3">
        <f>IFERROR(VLOOKUP($A18,Raw_Weekly!$A:$G,2,FALSE),"")</f>
        <v/>
      </c>
      <c r="C18" s="3">
        <f>IFERROR(VLOOKUP($A18,Raw_Weekly!$A:$G,3,FALSE),"")</f>
        <v/>
      </c>
      <c r="D18" s="3">
        <f>IFERROR(VLOOKUP($A18,Raw_Weekly!$A:$G,4,FALSE),0)</f>
        <v/>
      </c>
      <c r="E18">
        <f>IF($B18="","",IF(OR($B18&gt;=Settings!$C$14,IFERROR(VLOOKUP($A18,Raw_Weekly!$A:$H,8,FALSE),0)=1),1,0))</f>
        <v/>
      </c>
      <c r="F18">
        <f>IF($B18="","",IF($B18&lt;=Settings!$C$13,1,0))</f>
        <v/>
      </c>
      <c r="G18">
        <f>IF($C18="","",IF($C18&lt;=Settings!$C$12,1,0))</f>
        <v/>
      </c>
      <c r="H18" s="3">
        <f>COUNTIFS(Raw_Events!$D:$D,$A18,Raw_Events!$G:$G,"SOCIAL_MEET")+COUNTIFS(Raw_Events!$D:$D,$A18,Raw_Events!$G:$G,"COMMUNITY_SESSION")+COUNTIFS(Raw_Events!$D:$D,$A18,Raw_Events!$G:$G,"HOSTED_EVENT")</f>
        <v/>
      </c>
      <c r="I18" s="3">
        <f>COUNTIFS(Raw_Events!$D:$D,$A18,Raw_Events!$G:$G,"DATE")</f>
        <v/>
      </c>
      <c r="J18" s="3">
        <f>COUNTIFS(Raw_Events!$D:$D,$A18,Raw_Events!$G:$G,"TRAINING_MIN")+COUNTIFS(Raw_Events!$D:$D,$A18,Raw_Events!$G:$G,"DICTION_TRAINING_MIN")</f>
        <v/>
      </c>
      <c r="K18" s="3">
        <f>SUMIFS(Raw_Events!$H:$H,Raw_Events!$D:$D,$A18,Raw_Events!$G:$G,"TRAINING_MIN")+SUMIFS(Raw_Events!$H:$H,Raw_Events!$D:$D,$A18,Raw_Events!$G:$G,"DICTION_TRAINING_MIN")</f>
        <v/>
      </c>
      <c r="L18" s="3">
        <f>SUMIFS(Raw_Events!$H:$H,Raw_Events!$D:$D,$A18,Raw_Events!$G:$G,"IDEA")</f>
        <v/>
      </c>
      <c r="M18" s="3">
        <f>SUMIFS(Raw_Events!$H:$H,Raw_Events!$D:$D,$A18,Raw_Events!$G:$G,"MINDFULNESS_MIN")</f>
        <v/>
      </c>
      <c r="N18" s="3">
        <f>SUMIFS(Daily_Agg!$G:$G,Daily_Agg!$A:$A,"&gt;="&amp;$A18,Daily_Agg!$A:$A,"&lt;"&amp;$A18+7)</f>
        <v/>
      </c>
      <c r="O18" s="3">
        <f>SUMIFS(Daily_Agg!$E:$E,Daily_Agg!$A:$A,"&gt;="&amp;$A18,Daily_Agg!$A:$A,"&lt;"&amp;$A18+7)</f>
        <v/>
      </c>
      <c r="P18" s="3">
        <f>SUMIFS(Raw_Events!$L:$L,Raw_Events!$D:$D,$A18,Raw_Events!$G:$G,"ALCOHOL")</f>
        <v/>
      </c>
      <c r="Q18" s="3">
        <f>SUMIFS(Raw_Events!$H:$H,Raw_Events!$D:$D,$A18,Raw_Events!$G:$G,"CIGARETTES")</f>
        <v/>
      </c>
      <c r="R18" s="3">
        <f>SUMIFS(Raw_Events!$H:$H,Raw_Events!$D:$D,$A18,Raw_Events!$G:$G,"UNHEALTHY_MEAL")</f>
        <v/>
      </c>
      <c r="S18" s="3">
        <f>COUNTIFS(Raw_Events!$D:$D,$A18,Raw_Events!$G:$G,"WORKOUT")</f>
        <v/>
      </c>
      <c r="T18" s="3">
        <f>IFERROR(VLOOKUP($A18,Raw_Weekly!$A:$G,5,FALSE),"")</f>
        <v/>
      </c>
      <c r="U18" s="3">
        <f>COUNTIFS(Raw_Events!$D:$D,$A18,Raw_Events!$G:$G,"NEW_ACTIVITY")</f>
        <v/>
      </c>
      <c r="V18" s="3">
        <f>SUMIFS(Raw_Events!$H:$H,Raw_Events!$D:$D,$A18,Raw_Events!$G:$G,"TRAVEL_NIGHT")</f>
        <v/>
      </c>
      <c r="W18">
        <f>IF($E18=1,IF(AND($H18&gt;=Settings!$C$39,$J18&gt;=Settings!$C$40,$L18&gt;=Settings!$C$41),1,0),"")</f>
        <v/>
      </c>
      <c r="X18">
        <f>IF($A18="","",IF(COUNTIFS(Raw_Events!$D:$D,$A18,Raw_Events!$G:$G,"ORIGINATION_ACTION")&gt;0,COUNTIFS(Raw_Events!$D:$D,$A18,Raw_Events!$G:$G,"ORIGINATION_ACTION"),COUNTIFS(Raw_Events!$D:$D,$A18,Raw_Events!$G:$G,"STAKEHOLDER_CHAT")+COUNTIFS(Raw_Events!$D:$D,$A18,Raw_Events!$G:$G,"MEMO_WRITTEN")+COUNTIFS(Raw_Events!$D:$D,$A18,Raw_Events!$G:$G,"INITIATIVE_PRESENTED_VP")+COUNTIFS(Raw_Events!$D:$D,$A18,Raw_Events!$G:$G,"INITIATIVE_IDEA")))</f>
        <v/>
      </c>
      <c r="Y18">
        <f>IF($X18="","",IF($X18&gt;=1,1,0))</f>
        <v/>
      </c>
      <c r="Z18">
        <f>COUNTIFS(Raw_Events!$D:$D,$A18,Raw_Events!$G:$G,"WORKOUT_SKIPPED")</f>
        <v/>
      </c>
      <c r="AA18">
        <f>COUNTIFS(Raw_Events!$D:$D,$A18,Raw_Events!$G:$G,"COMMUNITY_SESSION")</f>
        <v/>
      </c>
      <c r="AB18">
        <f>COUNTIFS(Raw_Events!$D:$D,$A18,Raw_Events!$G:$G,"HOSTED_EVENT")</f>
        <v/>
      </c>
      <c r="AC18">
        <f>SUMIFS(Raw_Events!$H:$H,Raw_Events!$D:$D,$A18,Raw_Events!$G:$G,"IDEA_STAR")</f>
        <v/>
      </c>
      <c r="AD18">
        <f>IF($A18="","",IF(ROW()=3,"",IF(AND($H18&lt;1,INDEX($H:$H,ROW()-1)&lt;1),1,0)))</f>
        <v/>
      </c>
      <c r="AE18">
        <f>IF($A18="","",IF(ROW()=3,"",IF(AND($I18&lt;2,INDEX($I:$I,ROW()-1)&lt;2),1,0)))</f>
        <v/>
      </c>
      <c r="AF18">
        <f>IF($A18="","",IF(OR($E18=1,$AD18=1,$AE18=1),1,0))</f>
        <v/>
      </c>
      <c r="AG18">
        <f>IF($A18="","",IF(ROW()=3,"",IF(AND($B18&gt;=Settings!$C$14,INDEX($B:$B,ROW()-1)&gt;=Settings!$C$14),1,0)))</f>
        <v/>
      </c>
      <c r="AH18">
        <f>IF($A18="","",IF(AND($L18&gt;=Settings!$C$34,$AC18&lt;1),1,0))</f>
        <v/>
      </c>
      <c r="AI18">
        <f>SUMIFS(Raw_Events!$H:$H,Raw_Events!$D:$D,$A18,Raw_Events!$G:$G,"DEEP_WORK_HOURS")</f>
        <v/>
      </c>
      <c r="AJ18">
        <f>SUMIFS(Raw_Events!$H:$H,Raw_Events!$D:$D,$A18,Raw_Events!$G:$G,"EDUCATION_HOURS")</f>
        <v/>
      </c>
      <c r="AK18">
        <f>SUMIFS(Raw_Events!$H:$H,Raw_Events!$D:$D,$A18,Raw_Events!$G:$G,"HOBBY_HOURS")</f>
        <v/>
      </c>
      <c r="AL18">
        <f>SUMIFS(Raw_Events!$H:$H,Raw_Events!$D:$D,$A18,Raw_Events!$G:$G,"PARTNER_QUALITY_TIME")</f>
        <v/>
      </c>
      <c r="AM18">
        <f>IFERROR(MAXIFS(Raw_Events!$H:$H,Raw_Events!$D:$D,$A18,Raw_Events!$G:$G,"INVESTMENT_COVERAGE"),"")</f>
        <v/>
      </c>
    </row>
    <row r="19" ht="15" customHeight="1">
      <c r="A19" s="17" t="n">
        <v>46139</v>
      </c>
      <c r="B19" s="3">
        <f>IFERROR(VLOOKUP($A19,Raw_Weekly!$A:$G,2,FALSE),"")</f>
        <v/>
      </c>
      <c r="C19" s="3">
        <f>IFERROR(VLOOKUP($A19,Raw_Weekly!$A:$G,3,FALSE),"")</f>
        <v/>
      </c>
      <c r="D19" s="3">
        <f>IFERROR(VLOOKUP($A19,Raw_Weekly!$A:$G,4,FALSE),0)</f>
        <v/>
      </c>
      <c r="E19">
        <f>IF($B19="","",IF(OR($B19&gt;=Settings!$C$14,IFERROR(VLOOKUP($A19,Raw_Weekly!$A:$H,8,FALSE),0)=1),1,0))</f>
        <v/>
      </c>
      <c r="F19">
        <f>IF($B19="","",IF($B19&lt;=Settings!$C$13,1,0))</f>
        <v/>
      </c>
      <c r="G19">
        <f>IF($C19="","",IF($C19&lt;=Settings!$C$12,1,0))</f>
        <v/>
      </c>
      <c r="H19" s="3">
        <f>COUNTIFS(Raw_Events!$D:$D,$A19,Raw_Events!$G:$G,"SOCIAL_MEET")+COUNTIFS(Raw_Events!$D:$D,$A19,Raw_Events!$G:$G,"COMMUNITY_SESSION")+COUNTIFS(Raw_Events!$D:$D,$A19,Raw_Events!$G:$G,"HOSTED_EVENT")</f>
        <v/>
      </c>
      <c r="I19" s="3">
        <f>COUNTIFS(Raw_Events!$D:$D,$A19,Raw_Events!$G:$G,"DATE")</f>
        <v/>
      </c>
      <c r="J19" s="3">
        <f>COUNTIFS(Raw_Events!$D:$D,$A19,Raw_Events!$G:$G,"TRAINING_MIN")+COUNTIFS(Raw_Events!$D:$D,$A19,Raw_Events!$G:$G,"DICTION_TRAINING_MIN")</f>
        <v/>
      </c>
      <c r="K19" s="3">
        <f>SUMIFS(Raw_Events!$H:$H,Raw_Events!$D:$D,$A19,Raw_Events!$G:$G,"TRAINING_MIN")+SUMIFS(Raw_Events!$H:$H,Raw_Events!$D:$D,$A19,Raw_Events!$G:$G,"DICTION_TRAINING_MIN")</f>
        <v/>
      </c>
      <c r="L19" s="3">
        <f>SUMIFS(Raw_Events!$H:$H,Raw_Events!$D:$D,$A19,Raw_Events!$G:$G,"IDEA")</f>
        <v/>
      </c>
      <c r="M19" s="3">
        <f>SUMIFS(Raw_Events!$H:$H,Raw_Events!$D:$D,$A19,Raw_Events!$G:$G,"MINDFULNESS_MIN")</f>
        <v/>
      </c>
      <c r="N19" s="3">
        <f>SUMIFS(Daily_Agg!$G:$G,Daily_Agg!$A:$A,"&gt;="&amp;$A19,Daily_Agg!$A:$A,"&lt;"&amp;$A19+7)</f>
        <v/>
      </c>
      <c r="O19" s="3">
        <f>SUMIFS(Daily_Agg!$E:$E,Daily_Agg!$A:$A,"&gt;="&amp;$A19,Daily_Agg!$A:$A,"&lt;"&amp;$A19+7)</f>
        <v/>
      </c>
      <c r="P19" s="3">
        <f>SUMIFS(Raw_Events!$L:$L,Raw_Events!$D:$D,$A19,Raw_Events!$G:$G,"ALCOHOL")</f>
        <v/>
      </c>
      <c r="Q19" s="3">
        <f>SUMIFS(Raw_Events!$H:$H,Raw_Events!$D:$D,$A19,Raw_Events!$G:$G,"CIGARETTES")</f>
        <v/>
      </c>
      <c r="R19" s="3">
        <f>SUMIFS(Raw_Events!$H:$H,Raw_Events!$D:$D,$A19,Raw_Events!$G:$G,"UNHEALTHY_MEAL")</f>
        <v/>
      </c>
      <c r="S19" s="3">
        <f>COUNTIFS(Raw_Events!$D:$D,$A19,Raw_Events!$G:$G,"WORKOUT")</f>
        <v/>
      </c>
      <c r="T19" s="3">
        <f>IFERROR(VLOOKUP($A19,Raw_Weekly!$A:$G,5,FALSE),"")</f>
        <v/>
      </c>
      <c r="U19" s="3">
        <f>COUNTIFS(Raw_Events!$D:$D,$A19,Raw_Events!$G:$G,"NEW_ACTIVITY")</f>
        <v/>
      </c>
      <c r="V19" s="3">
        <f>SUMIFS(Raw_Events!$H:$H,Raw_Events!$D:$D,$A19,Raw_Events!$G:$G,"TRAVEL_NIGHT")</f>
        <v/>
      </c>
      <c r="W19">
        <f>IF($E19=1,IF(AND($H19&gt;=Settings!$C$39,$J19&gt;=Settings!$C$40,$L19&gt;=Settings!$C$41),1,0),"")</f>
        <v/>
      </c>
      <c r="X19">
        <f>IF($A19="","",IF(COUNTIFS(Raw_Events!$D:$D,$A19,Raw_Events!$G:$G,"ORIGINATION_ACTION")&gt;0,COUNTIFS(Raw_Events!$D:$D,$A19,Raw_Events!$G:$G,"ORIGINATION_ACTION"),COUNTIFS(Raw_Events!$D:$D,$A19,Raw_Events!$G:$G,"STAKEHOLDER_CHAT")+COUNTIFS(Raw_Events!$D:$D,$A19,Raw_Events!$G:$G,"MEMO_WRITTEN")+COUNTIFS(Raw_Events!$D:$D,$A19,Raw_Events!$G:$G,"INITIATIVE_PRESENTED_VP")+COUNTIFS(Raw_Events!$D:$D,$A19,Raw_Events!$G:$G,"INITIATIVE_IDEA")))</f>
        <v/>
      </c>
      <c r="Y19">
        <f>IF($X19="","",IF($X19&gt;=1,1,0))</f>
        <v/>
      </c>
      <c r="Z19">
        <f>COUNTIFS(Raw_Events!$D:$D,$A19,Raw_Events!$G:$G,"WORKOUT_SKIPPED")</f>
        <v/>
      </c>
      <c r="AA19">
        <f>COUNTIFS(Raw_Events!$D:$D,$A19,Raw_Events!$G:$G,"COMMUNITY_SESSION")</f>
        <v/>
      </c>
      <c r="AB19">
        <f>COUNTIFS(Raw_Events!$D:$D,$A19,Raw_Events!$G:$G,"HOSTED_EVENT")</f>
        <v/>
      </c>
      <c r="AC19">
        <f>SUMIFS(Raw_Events!$H:$H,Raw_Events!$D:$D,$A19,Raw_Events!$G:$G,"IDEA_STAR")</f>
        <v/>
      </c>
      <c r="AD19">
        <f>IF($A19="","",IF(ROW()=3,"",IF(AND($H19&lt;1,INDEX($H:$H,ROW()-1)&lt;1),1,0)))</f>
        <v/>
      </c>
      <c r="AE19">
        <f>IF($A19="","",IF(ROW()=3,"",IF(AND($I19&lt;2,INDEX($I:$I,ROW()-1)&lt;2),1,0)))</f>
        <v/>
      </c>
      <c r="AF19">
        <f>IF($A19="","",IF(OR($E19=1,$AD19=1,$AE19=1),1,0))</f>
        <v/>
      </c>
      <c r="AG19">
        <f>IF($A19="","",IF(ROW()=3,"",IF(AND($B19&gt;=Settings!$C$14,INDEX($B:$B,ROW()-1)&gt;=Settings!$C$14),1,0)))</f>
        <v/>
      </c>
      <c r="AH19">
        <f>IF($A19="","",IF(AND($L19&gt;=Settings!$C$34,$AC19&lt;1),1,0))</f>
        <v/>
      </c>
      <c r="AI19">
        <f>SUMIFS(Raw_Events!$H:$H,Raw_Events!$D:$D,$A19,Raw_Events!$G:$G,"DEEP_WORK_HOURS")</f>
        <v/>
      </c>
      <c r="AJ19">
        <f>SUMIFS(Raw_Events!$H:$H,Raw_Events!$D:$D,$A19,Raw_Events!$G:$G,"EDUCATION_HOURS")</f>
        <v/>
      </c>
      <c r="AK19">
        <f>SUMIFS(Raw_Events!$H:$H,Raw_Events!$D:$D,$A19,Raw_Events!$G:$G,"HOBBY_HOURS")</f>
        <v/>
      </c>
      <c r="AL19">
        <f>SUMIFS(Raw_Events!$H:$H,Raw_Events!$D:$D,$A19,Raw_Events!$G:$G,"PARTNER_QUALITY_TIME")</f>
        <v/>
      </c>
      <c r="AM19">
        <f>IFERROR(MAXIFS(Raw_Events!$H:$H,Raw_Events!$D:$D,$A19,Raw_Events!$G:$G,"INVESTMENT_COVERAGE"),"")</f>
        <v/>
      </c>
    </row>
    <row r="20" ht="15" customHeight="1">
      <c r="A20" s="17" t="n">
        <v>46146</v>
      </c>
      <c r="B20" s="3">
        <f>IFERROR(VLOOKUP($A20,Raw_Weekly!$A:$G,2,FALSE),"")</f>
        <v/>
      </c>
      <c r="C20" s="3">
        <f>IFERROR(VLOOKUP($A20,Raw_Weekly!$A:$G,3,FALSE),"")</f>
        <v/>
      </c>
      <c r="D20" s="3">
        <f>IFERROR(VLOOKUP($A20,Raw_Weekly!$A:$G,4,FALSE),0)</f>
        <v/>
      </c>
      <c r="E20">
        <f>IF($B20="","",IF(OR($B20&gt;=Settings!$C$14,IFERROR(VLOOKUP($A20,Raw_Weekly!$A:$H,8,FALSE),0)=1),1,0))</f>
        <v/>
      </c>
      <c r="F20">
        <f>IF($B20="","",IF($B20&lt;=Settings!$C$13,1,0))</f>
        <v/>
      </c>
      <c r="G20">
        <f>IF($C20="","",IF($C20&lt;=Settings!$C$12,1,0))</f>
        <v/>
      </c>
      <c r="H20" s="3">
        <f>COUNTIFS(Raw_Events!$D:$D,$A20,Raw_Events!$G:$G,"SOCIAL_MEET")+COUNTIFS(Raw_Events!$D:$D,$A20,Raw_Events!$G:$G,"COMMUNITY_SESSION")+COUNTIFS(Raw_Events!$D:$D,$A20,Raw_Events!$G:$G,"HOSTED_EVENT")</f>
        <v/>
      </c>
      <c r="I20" s="3">
        <f>COUNTIFS(Raw_Events!$D:$D,$A20,Raw_Events!$G:$G,"DATE")</f>
        <v/>
      </c>
      <c r="J20" s="3">
        <f>COUNTIFS(Raw_Events!$D:$D,$A20,Raw_Events!$G:$G,"TRAINING_MIN")+COUNTIFS(Raw_Events!$D:$D,$A20,Raw_Events!$G:$G,"DICTION_TRAINING_MIN")</f>
        <v/>
      </c>
      <c r="K20" s="3">
        <f>SUMIFS(Raw_Events!$H:$H,Raw_Events!$D:$D,$A20,Raw_Events!$G:$G,"TRAINING_MIN")+SUMIFS(Raw_Events!$H:$H,Raw_Events!$D:$D,$A20,Raw_Events!$G:$G,"DICTION_TRAINING_MIN")</f>
        <v/>
      </c>
      <c r="L20" s="3">
        <f>SUMIFS(Raw_Events!$H:$H,Raw_Events!$D:$D,$A20,Raw_Events!$G:$G,"IDEA")</f>
        <v/>
      </c>
      <c r="M20" s="3">
        <f>SUMIFS(Raw_Events!$H:$H,Raw_Events!$D:$D,$A20,Raw_Events!$G:$G,"MINDFULNESS_MIN")</f>
        <v/>
      </c>
      <c r="N20" s="3">
        <f>SUMIFS(Daily_Agg!$G:$G,Daily_Agg!$A:$A,"&gt;="&amp;$A20,Daily_Agg!$A:$A,"&lt;"&amp;$A20+7)</f>
        <v/>
      </c>
      <c r="O20" s="3">
        <f>SUMIFS(Daily_Agg!$E:$E,Daily_Agg!$A:$A,"&gt;="&amp;$A20,Daily_Agg!$A:$A,"&lt;"&amp;$A20+7)</f>
        <v/>
      </c>
      <c r="P20" s="3">
        <f>SUMIFS(Raw_Events!$L:$L,Raw_Events!$D:$D,$A20,Raw_Events!$G:$G,"ALCOHOL")</f>
        <v/>
      </c>
      <c r="Q20" s="3">
        <f>SUMIFS(Raw_Events!$H:$H,Raw_Events!$D:$D,$A20,Raw_Events!$G:$G,"CIGARETTES")</f>
        <v/>
      </c>
      <c r="R20" s="3">
        <f>SUMIFS(Raw_Events!$H:$H,Raw_Events!$D:$D,$A20,Raw_Events!$G:$G,"UNHEALTHY_MEAL")</f>
        <v/>
      </c>
      <c r="S20" s="3">
        <f>COUNTIFS(Raw_Events!$D:$D,$A20,Raw_Events!$G:$G,"WORKOUT")</f>
        <v/>
      </c>
      <c r="T20" s="3">
        <f>IFERROR(VLOOKUP($A20,Raw_Weekly!$A:$G,5,FALSE),"")</f>
        <v/>
      </c>
      <c r="U20" s="3">
        <f>COUNTIFS(Raw_Events!$D:$D,$A20,Raw_Events!$G:$G,"NEW_ACTIVITY")</f>
        <v/>
      </c>
      <c r="V20" s="3">
        <f>SUMIFS(Raw_Events!$H:$H,Raw_Events!$D:$D,$A20,Raw_Events!$G:$G,"TRAVEL_NIGHT")</f>
        <v/>
      </c>
      <c r="W20">
        <f>IF($E20=1,IF(AND($H20&gt;=Settings!$C$39,$J20&gt;=Settings!$C$40,$L20&gt;=Settings!$C$41),1,0),"")</f>
        <v/>
      </c>
      <c r="X20">
        <f>IF($A20="","",IF(COUNTIFS(Raw_Events!$D:$D,$A20,Raw_Events!$G:$G,"ORIGINATION_ACTION")&gt;0,COUNTIFS(Raw_Events!$D:$D,$A20,Raw_Events!$G:$G,"ORIGINATION_ACTION"),COUNTIFS(Raw_Events!$D:$D,$A20,Raw_Events!$G:$G,"STAKEHOLDER_CHAT")+COUNTIFS(Raw_Events!$D:$D,$A20,Raw_Events!$G:$G,"MEMO_WRITTEN")+COUNTIFS(Raw_Events!$D:$D,$A20,Raw_Events!$G:$G,"INITIATIVE_PRESENTED_VP")+COUNTIFS(Raw_Events!$D:$D,$A20,Raw_Events!$G:$G,"INITIATIVE_IDEA")))</f>
        <v/>
      </c>
      <c r="Y20">
        <f>IF($X20="","",IF($X20&gt;=1,1,0))</f>
        <v/>
      </c>
      <c r="Z20">
        <f>COUNTIFS(Raw_Events!$D:$D,$A20,Raw_Events!$G:$G,"WORKOUT_SKIPPED")</f>
        <v/>
      </c>
      <c r="AA20">
        <f>COUNTIFS(Raw_Events!$D:$D,$A20,Raw_Events!$G:$G,"COMMUNITY_SESSION")</f>
        <v/>
      </c>
      <c r="AB20">
        <f>COUNTIFS(Raw_Events!$D:$D,$A20,Raw_Events!$G:$G,"HOSTED_EVENT")</f>
        <v/>
      </c>
      <c r="AC20">
        <f>SUMIFS(Raw_Events!$H:$H,Raw_Events!$D:$D,$A20,Raw_Events!$G:$G,"IDEA_STAR")</f>
        <v/>
      </c>
      <c r="AD20">
        <f>IF($A20="","",IF(ROW()=3,"",IF(AND($H20&lt;1,INDEX($H:$H,ROW()-1)&lt;1),1,0)))</f>
        <v/>
      </c>
      <c r="AE20">
        <f>IF($A20="","",IF(ROW()=3,"",IF(AND($I20&lt;2,INDEX($I:$I,ROW()-1)&lt;2),1,0)))</f>
        <v/>
      </c>
      <c r="AF20">
        <f>IF($A20="","",IF(OR($E20=1,$AD20=1,$AE20=1),1,0))</f>
        <v/>
      </c>
      <c r="AG20">
        <f>IF($A20="","",IF(ROW()=3,"",IF(AND($B20&gt;=Settings!$C$14,INDEX($B:$B,ROW()-1)&gt;=Settings!$C$14),1,0)))</f>
        <v/>
      </c>
      <c r="AH20">
        <f>IF($A20="","",IF(AND($L20&gt;=Settings!$C$34,$AC20&lt;1),1,0))</f>
        <v/>
      </c>
      <c r="AI20">
        <f>SUMIFS(Raw_Events!$H:$H,Raw_Events!$D:$D,$A20,Raw_Events!$G:$G,"DEEP_WORK_HOURS")</f>
        <v/>
      </c>
      <c r="AJ20">
        <f>SUMIFS(Raw_Events!$H:$H,Raw_Events!$D:$D,$A20,Raw_Events!$G:$G,"EDUCATION_HOURS")</f>
        <v/>
      </c>
      <c r="AK20">
        <f>SUMIFS(Raw_Events!$H:$H,Raw_Events!$D:$D,$A20,Raw_Events!$G:$G,"HOBBY_HOURS")</f>
        <v/>
      </c>
      <c r="AL20">
        <f>SUMIFS(Raw_Events!$H:$H,Raw_Events!$D:$D,$A20,Raw_Events!$G:$G,"PARTNER_QUALITY_TIME")</f>
        <v/>
      </c>
      <c r="AM20">
        <f>IFERROR(MAXIFS(Raw_Events!$H:$H,Raw_Events!$D:$D,$A20,Raw_Events!$G:$G,"INVESTMENT_COVERAGE"),"")</f>
        <v/>
      </c>
    </row>
    <row r="21" ht="15" customHeight="1">
      <c r="A21" s="17" t="n">
        <v>46153</v>
      </c>
      <c r="B21" s="3">
        <f>IFERROR(VLOOKUP($A21,Raw_Weekly!$A:$G,2,FALSE),"")</f>
        <v/>
      </c>
      <c r="C21" s="3">
        <f>IFERROR(VLOOKUP($A21,Raw_Weekly!$A:$G,3,FALSE),"")</f>
        <v/>
      </c>
      <c r="D21" s="3">
        <f>IFERROR(VLOOKUP($A21,Raw_Weekly!$A:$G,4,FALSE),0)</f>
        <v/>
      </c>
      <c r="E21">
        <f>IF($B21="","",IF(OR($B21&gt;=Settings!$C$14,IFERROR(VLOOKUP($A21,Raw_Weekly!$A:$H,8,FALSE),0)=1),1,0))</f>
        <v/>
      </c>
      <c r="F21">
        <f>IF($B21="","",IF($B21&lt;=Settings!$C$13,1,0))</f>
        <v/>
      </c>
      <c r="G21">
        <f>IF($C21="","",IF($C21&lt;=Settings!$C$12,1,0))</f>
        <v/>
      </c>
      <c r="H21" s="3">
        <f>COUNTIFS(Raw_Events!$D:$D,$A21,Raw_Events!$G:$G,"SOCIAL_MEET")+COUNTIFS(Raw_Events!$D:$D,$A21,Raw_Events!$G:$G,"COMMUNITY_SESSION")+COUNTIFS(Raw_Events!$D:$D,$A21,Raw_Events!$G:$G,"HOSTED_EVENT")</f>
        <v/>
      </c>
      <c r="I21" s="3">
        <f>COUNTIFS(Raw_Events!$D:$D,$A21,Raw_Events!$G:$G,"DATE")</f>
        <v/>
      </c>
      <c r="J21" s="3">
        <f>COUNTIFS(Raw_Events!$D:$D,$A21,Raw_Events!$G:$G,"TRAINING_MIN")+COUNTIFS(Raw_Events!$D:$D,$A21,Raw_Events!$G:$G,"DICTION_TRAINING_MIN")</f>
        <v/>
      </c>
      <c r="K21" s="3">
        <f>SUMIFS(Raw_Events!$H:$H,Raw_Events!$D:$D,$A21,Raw_Events!$G:$G,"TRAINING_MIN")+SUMIFS(Raw_Events!$H:$H,Raw_Events!$D:$D,$A21,Raw_Events!$G:$G,"DICTION_TRAINING_MIN")</f>
        <v/>
      </c>
      <c r="L21" s="3">
        <f>SUMIFS(Raw_Events!$H:$H,Raw_Events!$D:$D,$A21,Raw_Events!$G:$G,"IDEA")</f>
        <v/>
      </c>
      <c r="M21" s="3">
        <f>SUMIFS(Raw_Events!$H:$H,Raw_Events!$D:$D,$A21,Raw_Events!$G:$G,"MINDFULNESS_MIN")</f>
        <v/>
      </c>
      <c r="N21" s="3">
        <f>SUMIFS(Daily_Agg!$G:$G,Daily_Agg!$A:$A,"&gt;="&amp;$A21,Daily_Agg!$A:$A,"&lt;"&amp;$A21+7)</f>
        <v/>
      </c>
      <c r="O21" s="3">
        <f>SUMIFS(Daily_Agg!$E:$E,Daily_Agg!$A:$A,"&gt;="&amp;$A21,Daily_Agg!$A:$A,"&lt;"&amp;$A21+7)</f>
        <v/>
      </c>
      <c r="P21" s="3">
        <f>SUMIFS(Raw_Events!$L:$L,Raw_Events!$D:$D,$A21,Raw_Events!$G:$G,"ALCOHOL")</f>
        <v/>
      </c>
      <c r="Q21" s="3">
        <f>SUMIFS(Raw_Events!$H:$H,Raw_Events!$D:$D,$A21,Raw_Events!$G:$G,"CIGARETTES")</f>
        <v/>
      </c>
      <c r="R21" s="3">
        <f>SUMIFS(Raw_Events!$H:$H,Raw_Events!$D:$D,$A21,Raw_Events!$G:$G,"UNHEALTHY_MEAL")</f>
        <v/>
      </c>
      <c r="S21" s="3">
        <f>COUNTIFS(Raw_Events!$D:$D,$A21,Raw_Events!$G:$G,"WORKOUT")</f>
        <v/>
      </c>
      <c r="T21" s="3">
        <f>IFERROR(VLOOKUP($A21,Raw_Weekly!$A:$G,5,FALSE),"")</f>
        <v/>
      </c>
      <c r="U21" s="3">
        <f>COUNTIFS(Raw_Events!$D:$D,$A21,Raw_Events!$G:$G,"NEW_ACTIVITY")</f>
        <v/>
      </c>
      <c r="V21" s="3">
        <f>SUMIFS(Raw_Events!$H:$H,Raw_Events!$D:$D,$A21,Raw_Events!$G:$G,"TRAVEL_NIGHT")</f>
        <v/>
      </c>
      <c r="W21">
        <f>IF($E21=1,IF(AND($H21&gt;=Settings!$C$39,$J21&gt;=Settings!$C$40,$L21&gt;=Settings!$C$41),1,0),"")</f>
        <v/>
      </c>
      <c r="X21">
        <f>IF($A21="","",IF(COUNTIFS(Raw_Events!$D:$D,$A21,Raw_Events!$G:$G,"ORIGINATION_ACTION")&gt;0,COUNTIFS(Raw_Events!$D:$D,$A21,Raw_Events!$G:$G,"ORIGINATION_ACTION"),COUNTIFS(Raw_Events!$D:$D,$A21,Raw_Events!$G:$G,"STAKEHOLDER_CHAT")+COUNTIFS(Raw_Events!$D:$D,$A21,Raw_Events!$G:$G,"MEMO_WRITTEN")+COUNTIFS(Raw_Events!$D:$D,$A21,Raw_Events!$G:$G,"INITIATIVE_PRESENTED_VP")+COUNTIFS(Raw_Events!$D:$D,$A21,Raw_Events!$G:$G,"INITIATIVE_IDEA")))</f>
        <v/>
      </c>
      <c r="Y21">
        <f>IF($X21="","",IF($X21&gt;=1,1,0))</f>
        <v/>
      </c>
      <c r="Z21">
        <f>COUNTIFS(Raw_Events!$D:$D,$A21,Raw_Events!$G:$G,"WORKOUT_SKIPPED")</f>
        <v/>
      </c>
      <c r="AA21">
        <f>COUNTIFS(Raw_Events!$D:$D,$A21,Raw_Events!$G:$G,"COMMUNITY_SESSION")</f>
        <v/>
      </c>
      <c r="AB21">
        <f>COUNTIFS(Raw_Events!$D:$D,$A21,Raw_Events!$G:$G,"HOSTED_EVENT")</f>
        <v/>
      </c>
      <c r="AC21">
        <f>SUMIFS(Raw_Events!$H:$H,Raw_Events!$D:$D,$A21,Raw_Events!$G:$G,"IDEA_STAR")</f>
        <v/>
      </c>
      <c r="AD21">
        <f>IF($A21="","",IF(ROW()=3,"",IF(AND($H21&lt;1,INDEX($H:$H,ROW()-1)&lt;1),1,0)))</f>
        <v/>
      </c>
      <c r="AE21">
        <f>IF($A21="","",IF(ROW()=3,"",IF(AND($I21&lt;2,INDEX($I:$I,ROW()-1)&lt;2),1,0)))</f>
        <v/>
      </c>
      <c r="AF21">
        <f>IF($A21="","",IF(OR($E21=1,$AD21=1,$AE21=1),1,0))</f>
        <v/>
      </c>
      <c r="AG21">
        <f>IF($A21="","",IF(ROW()=3,"",IF(AND($B21&gt;=Settings!$C$14,INDEX($B:$B,ROW()-1)&gt;=Settings!$C$14),1,0)))</f>
        <v/>
      </c>
      <c r="AH21">
        <f>IF($A21="","",IF(AND($L21&gt;=Settings!$C$34,$AC21&lt;1),1,0))</f>
        <v/>
      </c>
      <c r="AI21">
        <f>SUMIFS(Raw_Events!$H:$H,Raw_Events!$D:$D,$A21,Raw_Events!$G:$G,"DEEP_WORK_HOURS")</f>
        <v/>
      </c>
      <c r="AJ21">
        <f>SUMIFS(Raw_Events!$H:$H,Raw_Events!$D:$D,$A21,Raw_Events!$G:$G,"EDUCATION_HOURS")</f>
        <v/>
      </c>
      <c r="AK21">
        <f>SUMIFS(Raw_Events!$H:$H,Raw_Events!$D:$D,$A21,Raw_Events!$G:$G,"HOBBY_HOURS")</f>
        <v/>
      </c>
      <c r="AL21">
        <f>SUMIFS(Raw_Events!$H:$H,Raw_Events!$D:$D,$A21,Raw_Events!$G:$G,"PARTNER_QUALITY_TIME")</f>
        <v/>
      </c>
      <c r="AM21">
        <f>IFERROR(MAXIFS(Raw_Events!$H:$H,Raw_Events!$D:$D,$A21,Raw_Events!$G:$G,"INVESTMENT_COVERAGE"),"")</f>
        <v/>
      </c>
    </row>
    <row r="22" ht="15" customHeight="1">
      <c r="A22" s="17" t="n">
        <v>46160</v>
      </c>
      <c r="B22" s="3">
        <f>IFERROR(VLOOKUP($A22,Raw_Weekly!$A:$G,2,FALSE),"")</f>
        <v/>
      </c>
      <c r="C22" s="3">
        <f>IFERROR(VLOOKUP($A22,Raw_Weekly!$A:$G,3,FALSE),"")</f>
        <v/>
      </c>
      <c r="D22" s="3">
        <f>IFERROR(VLOOKUP($A22,Raw_Weekly!$A:$G,4,FALSE),0)</f>
        <v/>
      </c>
      <c r="E22">
        <f>IF($B22="","",IF(OR($B22&gt;=Settings!$C$14,IFERROR(VLOOKUP($A22,Raw_Weekly!$A:$H,8,FALSE),0)=1),1,0))</f>
        <v/>
      </c>
      <c r="F22">
        <f>IF($B22="","",IF($B22&lt;=Settings!$C$13,1,0))</f>
        <v/>
      </c>
      <c r="G22">
        <f>IF($C22="","",IF($C22&lt;=Settings!$C$12,1,0))</f>
        <v/>
      </c>
      <c r="H22" s="3">
        <f>COUNTIFS(Raw_Events!$D:$D,$A22,Raw_Events!$G:$G,"SOCIAL_MEET")+COUNTIFS(Raw_Events!$D:$D,$A22,Raw_Events!$G:$G,"COMMUNITY_SESSION")+COUNTIFS(Raw_Events!$D:$D,$A22,Raw_Events!$G:$G,"HOSTED_EVENT")</f>
        <v/>
      </c>
      <c r="I22" s="3">
        <f>COUNTIFS(Raw_Events!$D:$D,$A22,Raw_Events!$G:$G,"DATE")</f>
        <v/>
      </c>
      <c r="J22" s="3">
        <f>COUNTIFS(Raw_Events!$D:$D,$A22,Raw_Events!$G:$G,"TRAINING_MIN")+COUNTIFS(Raw_Events!$D:$D,$A22,Raw_Events!$G:$G,"DICTION_TRAINING_MIN")</f>
        <v/>
      </c>
      <c r="K22" s="3">
        <f>SUMIFS(Raw_Events!$H:$H,Raw_Events!$D:$D,$A22,Raw_Events!$G:$G,"TRAINING_MIN")+SUMIFS(Raw_Events!$H:$H,Raw_Events!$D:$D,$A22,Raw_Events!$G:$G,"DICTION_TRAINING_MIN")</f>
        <v/>
      </c>
      <c r="L22" s="3">
        <f>SUMIFS(Raw_Events!$H:$H,Raw_Events!$D:$D,$A22,Raw_Events!$G:$G,"IDEA")</f>
        <v/>
      </c>
      <c r="M22" s="3">
        <f>SUMIFS(Raw_Events!$H:$H,Raw_Events!$D:$D,$A22,Raw_Events!$G:$G,"MINDFULNESS_MIN")</f>
        <v/>
      </c>
      <c r="N22" s="3">
        <f>SUMIFS(Daily_Agg!$G:$G,Daily_Agg!$A:$A,"&gt;="&amp;$A22,Daily_Agg!$A:$A,"&lt;"&amp;$A22+7)</f>
        <v/>
      </c>
      <c r="O22" s="3">
        <f>SUMIFS(Daily_Agg!$E:$E,Daily_Agg!$A:$A,"&gt;="&amp;$A22,Daily_Agg!$A:$A,"&lt;"&amp;$A22+7)</f>
        <v/>
      </c>
      <c r="P22" s="3">
        <f>SUMIFS(Raw_Events!$L:$L,Raw_Events!$D:$D,$A22,Raw_Events!$G:$G,"ALCOHOL")</f>
        <v/>
      </c>
      <c r="Q22" s="3">
        <f>SUMIFS(Raw_Events!$H:$H,Raw_Events!$D:$D,$A22,Raw_Events!$G:$G,"CIGARETTES")</f>
        <v/>
      </c>
      <c r="R22" s="3">
        <f>SUMIFS(Raw_Events!$H:$H,Raw_Events!$D:$D,$A22,Raw_Events!$G:$G,"UNHEALTHY_MEAL")</f>
        <v/>
      </c>
      <c r="S22" s="3">
        <f>COUNTIFS(Raw_Events!$D:$D,$A22,Raw_Events!$G:$G,"WORKOUT")</f>
        <v/>
      </c>
      <c r="T22" s="3">
        <f>IFERROR(VLOOKUP($A22,Raw_Weekly!$A:$G,5,FALSE),"")</f>
        <v/>
      </c>
      <c r="U22" s="3">
        <f>COUNTIFS(Raw_Events!$D:$D,$A22,Raw_Events!$G:$G,"NEW_ACTIVITY")</f>
        <v/>
      </c>
      <c r="V22" s="3">
        <f>SUMIFS(Raw_Events!$H:$H,Raw_Events!$D:$D,$A22,Raw_Events!$G:$G,"TRAVEL_NIGHT")</f>
        <v/>
      </c>
      <c r="W22">
        <f>IF($E22=1,IF(AND($H22&gt;=Settings!$C$39,$J22&gt;=Settings!$C$40,$L22&gt;=Settings!$C$41),1,0),"")</f>
        <v/>
      </c>
      <c r="X22">
        <f>IF($A22="","",IF(COUNTIFS(Raw_Events!$D:$D,$A22,Raw_Events!$G:$G,"ORIGINATION_ACTION")&gt;0,COUNTIFS(Raw_Events!$D:$D,$A22,Raw_Events!$G:$G,"ORIGINATION_ACTION"),COUNTIFS(Raw_Events!$D:$D,$A22,Raw_Events!$G:$G,"STAKEHOLDER_CHAT")+COUNTIFS(Raw_Events!$D:$D,$A22,Raw_Events!$G:$G,"MEMO_WRITTEN")+COUNTIFS(Raw_Events!$D:$D,$A22,Raw_Events!$G:$G,"INITIATIVE_PRESENTED_VP")+COUNTIFS(Raw_Events!$D:$D,$A22,Raw_Events!$G:$G,"INITIATIVE_IDEA")))</f>
        <v/>
      </c>
      <c r="Y22">
        <f>IF($X22="","",IF($X22&gt;=1,1,0))</f>
        <v/>
      </c>
      <c r="Z22">
        <f>COUNTIFS(Raw_Events!$D:$D,$A22,Raw_Events!$G:$G,"WORKOUT_SKIPPED")</f>
        <v/>
      </c>
      <c r="AA22">
        <f>COUNTIFS(Raw_Events!$D:$D,$A22,Raw_Events!$G:$G,"COMMUNITY_SESSION")</f>
        <v/>
      </c>
      <c r="AB22">
        <f>COUNTIFS(Raw_Events!$D:$D,$A22,Raw_Events!$G:$G,"HOSTED_EVENT")</f>
        <v/>
      </c>
      <c r="AC22">
        <f>SUMIFS(Raw_Events!$H:$H,Raw_Events!$D:$D,$A22,Raw_Events!$G:$G,"IDEA_STAR")</f>
        <v/>
      </c>
      <c r="AD22">
        <f>IF($A22="","",IF(ROW()=3,"",IF(AND($H22&lt;1,INDEX($H:$H,ROW()-1)&lt;1),1,0)))</f>
        <v/>
      </c>
      <c r="AE22">
        <f>IF($A22="","",IF(ROW()=3,"",IF(AND($I22&lt;2,INDEX($I:$I,ROW()-1)&lt;2),1,0)))</f>
        <v/>
      </c>
      <c r="AF22">
        <f>IF($A22="","",IF(OR($E22=1,$AD22=1,$AE22=1),1,0))</f>
        <v/>
      </c>
      <c r="AG22">
        <f>IF($A22="","",IF(ROW()=3,"",IF(AND($B22&gt;=Settings!$C$14,INDEX($B:$B,ROW()-1)&gt;=Settings!$C$14),1,0)))</f>
        <v/>
      </c>
      <c r="AH22">
        <f>IF($A22="","",IF(AND($L22&gt;=Settings!$C$34,$AC22&lt;1),1,0))</f>
        <v/>
      </c>
      <c r="AI22">
        <f>SUMIFS(Raw_Events!$H:$H,Raw_Events!$D:$D,$A22,Raw_Events!$G:$G,"DEEP_WORK_HOURS")</f>
        <v/>
      </c>
      <c r="AJ22">
        <f>SUMIFS(Raw_Events!$H:$H,Raw_Events!$D:$D,$A22,Raw_Events!$G:$G,"EDUCATION_HOURS")</f>
        <v/>
      </c>
      <c r="AK22">
        <f>SUMIFS(Raw_Events!$H:$H,Raw_Events!$D:$D,$A22,Raw_Events!$G:$G,"HOBBY_HOURS")</f>
        <v/>
      </c>
      <c r="AL22">
        <f>SUMIFS(Raw_Events!$H:$H,Raw_Events!$D:$D,$A22,Raw_Events!$G:$G,"PARTNER_QUALITY_TIME")</f>
        <v/>
      </c>
      <c r="AM22">
        <f>IFERROR(MAXIFS(Raw_Events!$H:$H,Raw_Events!$D:$D,$A22,Raw_Events!$G:$G,"INVESTMENT_COVERAGE"),"")</f>
        <v/>
      </c>
    </row>
    <row r="23" ht="15" customHeight="1">
      <c r="A23" s="17" t="n">
        <v>46167</v>
      </c>
      <c r="B23" s="3">
        <f>IFERROR(VLOOKUP($A23,Raw_Weekly!$A:$G,2,FALSE),"")</f>
        <v/>
      </c>
      <c r="C23" s="3">
        <f>IFERROR(VLOOKUP($A23,Raw_Weekly!$A:$G,3,FALSE),"")</f>
        <v/>
      </c>
      <c r="D23" s="3">
        <f>IFERROR(VLOOKUP($A23,Raw_Weekly!$A:$G,4,FALSE),0)</f>
        <v/>
      </c>
      <c r="E23">
        <f>IF($B23="","",IF(OR($B23&gt;=Settings!$C$14,IFERROR(VLOOKUP($A23,Raw_Weekly!$A:$H,8,FALSE),0)=1),1,0))</f>
        <v/>
      </c>
      <c r="F23">
        <f>IF($B23="","",IF($B23&lt;=Settings!$C$13,1,0))</f>
        <v/>
      </c>
      <c r="G23">
        <f>IF($C23="","",IF($C23&lt;=Settings!$C$12,1,0))</f>
        <v/>
      </c>
      <c r="H23" s="3">
        <f>COUNTIFS(Raw_Events!$D:$D,$A23,Raw_Events!$G:$G,"SOCIAL_MEET")+COUNTIFS(Raw_Events!$D:$D,$A23,Raw_Events!$G:$G,"COMMUNITY_SESSION")+COUNTIFS(Raw_Events!$D:$D,$A23,Raw_Events!$G:$G,"HOSTED_EVENT")</f>
        <v/>
      </c>
      <c r="I23" s="3">
        <f>COUNTIFS(Raw_Events!$D:$D,$A23,Raw_Events!$G:$G,"DATE")</f>
        <v/>
      </c>
      <c r="J23" s="3">
        <f>COUNTIFS(Raw_Events!$D:$D,$A23,Raw_Events!$G:$G,"TRAINING_MIN")+COUNTIFS(Raw_Events!$D:$D,$A23,Raw_Events!$G:$G,"DICTION_TRAINING_MIN")</f>
        <v/>
      </c>
      <c r="K23" s="3">
        <f>SUMIFS(Raw_Events!$H:$H,Raw_Events!$D:$D,$A23,Raw_Events!$G:$G,"TRAINING_MIN")+SUMIFS(Raw_Events!$H:$H,Raw_Events!$D:$D,$A23,Raw_Events!$G:$G,"DICTION_TRAINING_MIN")</f>
        <v/>
      </c>
      <c r="L23" s="3">
        <f>SUMIFS(Raw_Events!$H:$H,Raw_Events!$D:$D,$A23,Raw_Events!$G:$G,"IDEA")</f>
        <v/>
      </c>
      <c r="M23" s="3">
        <f>SUMIFS(Raw_Events!$H:$H,Raw_Events!$D:$D,$A23,Raw_Events!$G:$G,"MINDFULNESS_MIN")</f>
        <v/>
      </c>
      <c r="N23" s="3">
        <f>SUMIFS(Daily_Agg!$G:$G,Daily_Agg!$A:$A,"&gt;="&amp;$A23,Daily_Agg!$A:$A,"&lt;"&amp;$A23+7)</f>
        <v/>
      </c>
      <c r="O23" s="3">
        <f>SUMIFS(Daily_Agg!$E:$E,Daily_Agg!$A:$A,"&gt;="&amp;$A23,Daily_Agg!$A:$A,"&lt;"&amp;$A23+7)</f>
        <v/>
      </c>
      <c r="P23" s="3">
        <f>SUMIFS(Raw_Events!$L:$L,Raw_Events!$D:$D,$A23,Raw_Events!$G:$G,"ALCOHOL")</f>
        <v/>
      </c>
      <c r="Q23" s="3">
        <f>SUMIFS(Raw_Events!$H:$H,Raw_Events!$D:$D,$A23,Raw_Events!$G:$G,"CIGARETTES")</f>
        <v/>
      </c>
      <c r="R23" s="3">
        <f>SUMIFS(Raw_Events!$H:$H,Raw_Events!$D:$D,$A23,Raw_Events!$G:$G,"UNHEALTHY_MEAL")</f>
        <v/>
      </c>
      <c r="S23" s="3">
        <f>COUNTIFS(Raw_Events!$D:$D,$A23,Raw_Events!$G:$G,"WORKOUT")</f>
        <v/>
      </c>
      <c r="T23" s="3">
        <f>IFERROR(VLOOKUP($A23,Raw_Weekly!$A:$G,5,FALSE),"")</f>
        <v/>
      </c>
      <c r="U23" s="3">
        <f>COUNTIFS(Raw_Events!$D:$D,$A23,Raw_Events!$G:$G,"NEW_ACTIVITY")</f>
        <v/>
      </c>
      <c r="V23" s="3">
        <f>SUMIFS(Raw_Events!$H:$H,Raw_Events!$D:$D,$A23,Raw_Events!$G:$G,"TRAVEL_NIGHT")</f>
        <v/>
      </c>
      <c r="W23">
        <f>IF($E23=1,IF(AND($H23&gt;=Settings!$C$39,$J23&gt;=Settings!$C$40,$L23&gt;=Settings!$C$41),1,0),"")</f>
        <v/>
      </c>
      <c r="X23">
        <f>IF($A23="","",IF(COUNTIFS(Raw_Events!$D:$D,$A23,Raw_Events!$G:$G,"ORIGINATION_ACTION")&gt;0,COUNTIFS(Raw_Events!$D:$D,$A23,Raw_Events!$G:$G,"ORIGINATION_ACTION"),COUNTIFS(Raw_Events!$D:$D,$A23,Raw_Events!$G:$G,"STAKEHOLDER_CHAT")+COUNTIFS(Raw_Events!$D:$D,$A23,Raw_Events!$G:$G,"MEMO_WRITTEN")+COUNTIFS(Raw_Events!$D:$D,$A23,Raw_Events!$G:$G,"INITIATIVE_PRESENTED_VP")+COUNTIFS(Raw_Events!$D:$D,$A23,Raw_Events!$G:$G,"INITIATIVE_IDEA")))</f>
        <v/>
      </c>
      <c r="Y23">
        <f>IF($X23="","",IF($X23&gt;=1,1,0))</f>
        <v/>
      </c>
      <c r="Z23">
        <f>COUNTIFS(Raw_Events!$D:$D,$A23,Raw_Events!$G:$G,"WORKOUT_SKIPPED")</f>
        <v/>
      </c>
      <c r="AA23">
        <f>COUNTIFS(Raw_Events!$D:$D,$A23,Raw_Events!$G:$G,"COMMUNITY_SESSION")</f>
        <v/>
      </c>
      <c r="AB23">
        <f>COUNTIFS(Raw_Events!$D:$D,$A23,Raw_Events!$G:$G,"HOSTED_EVENT")</f>
        <v/>
      </c>
      <c r="AC23">
        <f>SUMIFS(Raw_Events!$H:$H,Raw_Events!$D:$D,$A23,Raw_Events!$G:$G,"IDEA_STAR")</f>
        <v/>
      </c>
      <c r="AD23">
        <f>IF($A23="","",IF(ROW()=3,"",IF(AND($H23&lt;1,INDEX($H:$H,ROW()-1)&lt;1),1,0)))</f>
        <v/>
      </c>
      <c r="AE23">
        <f>IF($A23="","",IF(ROW()=3,"",IF(AND($I23&lt;2,INDEX($I:$I,ROW()-1)&lt;2),1,0)))</f>
        <v/>
      </c>
      <c r="AF23">
        <f>IF($A23="","",IF(OR($E23=1,$AD23=1,$AE23=1),1,0))</f>
        <v/>
      </c>
      <c r="AG23">
        <f>IF($A23="","",IF(ROW()=3,"",IF(AND($B23&gt;=Settings!$C$14,INDEX($B:$B,ROW()-1)&gt;=Settings!$C$14),1,0)))</f>
        <v/>
      </c>
      <c r="AH23">
        <f>IF($A23="","",IF(AND($L23&gt;=Settings!$C$34,$AC23&lt;1),1,0))</f>
        <v/>
      </c>
      <c r="AI23">
        <f>SUMIFS(Raw_Events!$H:$H,Raw_Events!$D:$D,$A23,Raw_Events!$G:$G,"DEEP_WORK_HOURS")</f>
        <v/>
      </c>
      <c r="AJ23">
        <f>SUMIFS(Raw_Events!$H:$H,Raw_Events!$D:$D,$A23,Raw_Events!$G:$G,"EDUCATION_HOURS")</f>
        <v/>
      </c>
      <c r="AK23">
        <f>SUMIFS(Raw_Events!$H:$H,Raw_Events!$D:$D,$A23,Raw_Events!$G:$G,"HOBBY_HOURS")</f>
        <v/>
      </c>
      <c r="AL23">
        <f>SUMIFS(Raw_Events!$H:$H,Raw_Events!$D:$D,$A23,Raw_Events!$G:$G,"PARTNER_QUALITY_TIME")</f>
        <v/>
      </c>
      <c r="AM23">
        <f>IFERROR(MAXIFS(Raw_Events!$H:$H,Raw_Events!$D:$D,$A23,Raw_Events!$G:$G,"INVESTMENT_COVERAGE"),"")</f>
        <v/>
      </c>
    </row>
    <row r="24" ht="15" customHeight="1">
      <c r="A24" s="17" t="n">
        <v>46174</v>
      </c>
      <c r="B24" s="3">
        <f>IFERROR(VLOOKUP($A24,Raw_Weekly!$A:$G,2,FALSE),"")</f>
        <v/>
      </c>
      <c r="C24" s="3">
        <f>IFERROR(VLOOKUP($A24,Raw_Weekly!$A:$G,3,FALSE),"")</f>
        <v/>
      </c>
      <c r="D24" s="3">
        <f>IFERROR(VLOOKUP($A24,Raw_Weekly!$A:$G,4,FALSE),0)</f>
        <v/>
      </c>
      <c r="E24">
        <f>IF($B24="","",IF(OR($B24&gt;=Settings!$C$14,IFERROR(VLOOKUP($A24,Raw_Weekly!$A:$H,8,FALSE),0)=1),1,0))</f>
        <v/>
      </c>
      <c r="F24">
        <f>IF($B24="","",IF($B24&lt;=Settings!$C$13,1,0))</f>
        <v/>
      </c>
      <c r="G24">
        <f>IF($C24="","",IF($C24&lt;=Settings!$C$12,1,0))</f>
        <v/>
      </c>
      <c r="H24" s="3">
        <f>COUNTIFS(Raw_Events!$D:$D,$A24,Raw_Events!$G:$G,"SOCIAL_MEET")+COUNTIFS(Raw_Events!$D:$D,$A24,Raw_Events!$G:$G,"COMMUNITY_SESSION")+COUNTIFS(Raw_Events!$D:$D,$A24,Raw_Events!$G:$G,"HOSTED_EVENT")</f>
        <v/>
      </c>
      <c r="I24" s="3">
        <f>COUNTIFS(Raw_Events!$D:$D,$A24,Raw_Events!$G:$G,"DATE")</f>
        <v/>
      </c>
      <c r="J24" s="3">
        <f>COUNTIFS(Raw_Events!$D:$D,$A24,Raw_Events!$G:$G,"TRAINING_MIN")+COUNTIFS(Raw_Events!$D:$D,$A24,Raw_Events!$G:$G,"DICTION_TRAINING_MIN")</f>
        <v/>
      </c>
      <c r="K24" s="3">
        <f>SUMIFS(Raw_Events!$H:$H,Raw_Events!$D:$D,$A24,Raw_Events!$G:$G,"TRAINING_MIN")+SUMIFS(Raw_Events!$H:$H,Raw_Events!$D:$D,$A24,Raw_Events!$G:$G,"DICTION_TRAINING_MIN")</f>
        <v/>
      </c>
      <c r="L24" s="3">
        <f>SUMIFS(Raw_Events!$H:$H,Raw_Events!$D:$D,$A24,Raw_Events!$G:$G,"IDEA")</f>
        <v/>
      </c>
      <c r="M24" s="3">
        <f>SUMIFS(Raw_Events!$H:$H,Raw_Events!$D:$D,$A24,Raw_Events!$G:$G,"MINDFULNESS_MIN")</f>
        <v/>
      </c>
      <c r="N24" s="3">
        <f>SUMIFS(Daily_Agg!$G:$G,Daily_Agg!$A:$A,"&gt;="&amp;$A24,Daily_Agg!$A:$A,"&lt;"&amp;$A24+7)</f>
        <v/>
      </c>
      <c r="O24" s="3">
        <f>SUMIFS(Daily_Agg!$E:$E,Daily_Agg!$A:$A,"&gt;="&amp;$A24,Daily_Agg!$A:$A,"&lt;"&amp;$A24+7)</f>
        <v/>
      </c>
      <c r="P24" s="3">
        <f>SUMIFS(Raw_Events!$L:$L,Raw_Events!$D:$D,$A24,Raw_Events!$G:$G,"ALCOHOL")</f>
        <v/>
      </c>
      <c r="Q24" s="3">
        <f>SUMIFS(Raw_Events!$H:$H,Raw_Events!$D:$D,$A24,Raw_Events!$G:$G,"CIGARETTES")</f>
        <v/>
      </c>
      <c r="R24" s="3">
        <f>SUMIFS(Raw_Events!$H:$H,Raw_Events!$D:$D,$A24,Raw_Events!$G:$G,"UNHEALTHY_MEAL")</f>
        <v/>
      </c>
      <c r="S24" s="3">
        <f>COUNTIFS(Raw_Events!$D:$D,$A24,Raw_Events!$G:$G,"WORKOUT")</f>
        <v/>
      </c>
      <c r="T24" s="3">
        <f>IFERROR(VLOOKUP($A24,Raw_Weekly!$A:$G,5,FALSE),"")</f>
        <v/>
      </c>
      <c r="U24" s="3">
        <f>COUNTIFS(Raw_Events!$D:$D,$A24,Raw_Events!$G:$G,"NEW_ACTIVITY")</f>
        <v/>
      </c>
      <c r="V24" s="3">
        <f>SUMIFS(Raw_Events!$H:$H,Raw_Events!$D:$D,$A24,Raw_Events!$G:$G,"TRAVEL_NIGHT")</f>
        <v/>
      </c>
      <c r="W24">
        <f>IF($E24=1,IF(AND($H24&gt;=Settings!$C$39,$J24&gt;=Settings!$C$40,$L24&gt;=Settings!$C$41),1,0),"")</f>
        <v/>
      </c>
      <c r="X24">
        <f>IF($A24="","",IF(COUNTIFS(Raw_Events!$D:$D,$A24,Raw_Events!$G:$G,"ORIGINATION_ACTION")&gt;0,COUNTIFS(Raw_Events!$D:$D,$A24,Raw_Events!$G:$G,"ORIGINATION_ACTION"),COUNTIFS(Raw_Events!$D:$D,$A24,Raw_Events!$G:$G,"STAKEHOLDER_CHAT")+COUNTIFS(Raw_Events!$D:$D,$A24,Raw_Events!$G:$G,"MEMO_WRITTEN")+COUNTIFS(Raw_Events!$D:$D,$A24,Raw_Events!$G:$G,"INITIATIVE_PRESENTED_VP")+COUNTIFS(Raw_Events!$D:$D,$A24,Raw_Events!$G:$G,"INITIATIVE_IDEA")))</f>
        <v/>
      </c>
      <c r="Y24">
        <f>IF($X24="","",IF($X24&gt;=1,1,0))</f>
        <v/>
      </c>
      <c r="Z24">
        <f>COUNTIFS(Raw_Events!$D:$D,$A24,Raw_Events!$G:$G,"WORKOUT_SKIPPED")</f>
        <v/>
      </c>
      <c r="AA24">
        <f>COUNTIFS(Raw_Events!$D:$D,$A24,Raw_Events!$G:$G,"COMMUNITY_SESSION")</f>
        <v/>
      </c>
      <c r="AB24">
        <f>COUNTIFS(Raw_Events!$D:$D,$A24,Raw_Events!$G:$G,"HOSTED_EVENT")</f>
        <v/>
      </c>
      <c r="AC24">
        <f>SUMIFS(Raw_Events!$H:$H,Raw_Events!$D:$D,$A24,Raw_Events!$G:$G,"IDEA_STAR")</f>
        <v/>
      </c>
      <c r="AD24">
        <f>IF($A24="","",IF(ROW()=3,"",IF(AND($H24&lt;1,INDEX($H:$H,ROW()-1)&lt;1),1,0)))</f>
        <v/>
      </c>
      <c r="AE24">
        <f>IF($A24="","",IF(ROW()=3,"",IF(AND($I24&lt;2,INDEX($I:$I,ROW()-1)&lt;2),1,0)))</f>
        <v/>
      </c>
      <c r="AF24">
        <f>IF($A24="","",IF(OR($E24=1,$AD24=1,$AE24=1),1,0))</f>
        <v/>
      </c>
      <c r="AG24">
        <f>IF($A24="","",IF(ROW()=3,"",IF(AND($B24&gt;=Settings!$C$14,INDEX($B:$B,ROW()-1)&gt;=Settings!$C$14),1,0)))</f>
        <v/>
      </c>
      <c r="AH24">
        <f>IF($A24="","",IF(AND($L24&gt;=Settings!$C$34,$AC24&lt;1),1,0))</f>
        <v/>
      </c>
      <c r="AI24">
        <f>SUMIFS(Raw_Events!$H:$H,Raw_Events!$D:$D,$A24,Raw_Events!$G:$G,"DEEP_WORK_HOURS")</f>
        <v/>
      </c>
      <c r="AJ24">
        <f>SUMIFS(Raw_Events!$H:$H,Raw_Events!$D:$D,$A24,Raw_Events!$G:$G,"EDUCATION_HOURS")</f>
        <v/>
      </c>
      <c r="AK24">
        <f>SUMIFS(Raw_Events!$H:$H,Raw_Events!$D:$D,$A24,Raw_Events!$G:$G,"HOBBY_HOURS")</f>
        <v/>
      </c>
      <c r="AL24">
        <f>SUMIFS(Raw_Events!$H:$H,Raw_Events!$D:$D,$A24,Raw_Events!$G:$G,"PARTNER_QUALITY_TIME")</f>
        <v/>
      </c>
      <c r="AM24">
        <f>IFERROR(MAXIFS(Raw_Events!$H:$H,Raw_Events!$D:$D,$A24,Raw_Events!$G:$G,"INVESTMENT_COVERAGE"),"")</f>
        <v/>
      </c>
    </row>
    <row r="25" ht="15" customHeight="1">
      <c r="A25" s="17" t="n">
        <v>46181</v>
      </c>
      <c r="B25" s="3">
        <f>IFERROR(VLOOKUP($A25,Raw_Weekly!$A:$G,2,FALSE),"")</f>
        <v/>
      </c>
      <c r="C25" s="3">
        <f>IFERROR(VLOOKUP($A25,Raw_Weekly!$A:$G,3,FALSE),"")</f>
        <v/>
      </c>
      <c r="D25" s="3">
        <f>IFERROR(VLOOKUP($A25,Raw_Weekly!$A:$G,4,FALSE),0)</f>
        <v/>
      </c>
      <c r="E25">
        <f>IF($B25="","",IF(OR($B25&gt;=Settings!$C$14,IFERROR(VLOOKUP($A25,Raw_Weekly!$A:$H,8,FALSE),0)=1),1,0))</f>
        <v/>
      </c>
      <c r="F25">
        <f>IF($B25="","",IF($B25&lt;=Settings!$C$13,1,0))</f>
        <v/>
      </c>
      <c r="G25">
        <f>IF($C25="","",IF($C25&lt;=Settings!$C$12,1,0))</f>
        <v/>
      </c>
      <c r="H25" s="3">
        <f>COUNTIFS(Raw_Events!$D:$D,$A25,Raw_Events!$G:$G,"SOCIAL_MEET")+COUNTIFS(Raw_Events!$D:$D,$A25,Raw_Events!$G:$G,"COMMUNITY_SESSION")+COUNTIFS(Raw_Events!$D:$D,$A25,Raw_Events!$G:$G,"HOSTED_EVENT")</f>
        <v/>
      </c>
      <c r="I25" s="3">
        <f>COUNTIFS(Raw_Events!$D:$D,$A25,Raw_Events!$G:$G,"DATE")</f>
        <v/>
      </c>
      <c r="J25" s="3">
        <f>COUNTIFS(Raw_Events!$D:$D,$A25,Raw_Events!$G:$G,"TRAINING_MIN")+COUNTIFS(Raw_Events!$D:$D,$A25,Raw_Events!$G:$G,"DICTION_TRAINING_MIN")</f>
        <v/>
      </c>
      <c r="K25" s="3">
        <f>SUMIFS(Raw_Events!$H:$H,Raw_Events!$D:$D,$A25,Raw_Events!$G:$G,"TRAINING_MIN")+SUMIFS(Raw_Events!$H:$H,Raw_Events!$D:$D,$A25,Raw_Events!$G:$G,"DICTION_TRAINING_MIN")</f>
        <v/>
      </c>
      <c r="L25" s="3">
        <f>SUMIFS(Raw_Events!$H:$H,Raw_Events!$D:$D,$A25,Raw_Events!$G:$G,"IDEA")</f>
        <v/>
      </c>
      <c r="M25" s="3">
        <f>SUMIFS(Raw_Events!$H:$H,Raw_Events!$D:$D,$A25,Raw_Events!$G:$G,"MINDFULNESS_MIN")</f>
        <v/>
      </c>
      <c r="N25" s="3">
        <f>SUMIFS(Daily_Agg!$G:$G,Daily_Agg!$A:$A,"&gt;="&amp;$A25,Daily_Agg!$A:$A,"&lt;"&amp;$A25+7)</f>
        <v/>
      </c>
      <c r="O25" s="3">
        <f>SUMIFS(Daily_Agg!$E:$E,Daily_Agg!$A:$A,"&gt;="&amp;$A25,Daily_Agg!$A:$A,"&lt;"&amp;$A25+7)</f>
        <v/>
      </c>
      <c r="P25" s="3">
        <f>SUMIFS(Raw_Events!$L:$L,Raw_Events!$D:$D,$A25,Raw_Events!$G:$G,"ALCOHOL")</f>
        <v/>
      </c>
      <c r="Q25" s="3">
        <f>SUMIFS(Raw_Events!$H:$H,Raw_Events!$D:$D,$A25,Raw_Events!$G:$G,"CIGARETTES")</f>
        <v/>
      </c>
      <c r="R25" s="3">
        <f>SUMIFS(Raw_Events!$H:$H,Raw_Events!$D:$D,$A25,Raw_Events!$G:$G,"UNHEALTHY_MEAL")</f>
        <v/>
      </c>
      <c r="S25" s="3">
        <f>COUNTIFS(Raw_Events!$D:$D,$A25,Raw_Events!$G:$G,"WORKOUT")</f>
        <v/>
      </c>
      <c r="T25" s="3">
        <f>IFERROR(VLOOKUP($A25,Raw_Weekly!$A:$G,5,FALSE),"")</f>
        <v/>
      </c>
      <c r="U25" s="3">
        <f>COUNTIFS(Raw_Events!$D:$D,$A25,Raw_Events!$G:$G,"NEW_ACTIVITY")</f>
        <v/>
      </c>
      <c r="V25" s="3">
        <f>SUMIFS(Raw_Events!$H:$H,Raw_Events!$D:$D,$A25,Raw_Events!$G:$G,"TRAVEL_NIGHT")</f>
        <v/>
      </c>
      <c r="W25">
        <f>IF($E25=1,IF(AND($H25&gt;=Settings!$C$39,$J25&gt;=Settings!$C$40,$L25&gt;=Settings!$C$41),1,0),"")</f>
        <v/>
      </c>
      <c r="X25">
        <f>IF($A25="","",IF(COUNTIFS(Raw_Events!$D:$D,$A25,Raw_Events!$G:$G,"ORIGINATION_ACTION")&gt;0,COUNTIFS(Raw_Events!$D:$D,$A25,Raw_Events!$G:$G,"ORIGINATION_ACTION"),COUNTIFS(Raw_Events!$D:$D,$A25,Raw_Events!$G:$G,"STAKEHOLDER_CHAT")+COUNTIFS(Raw_Events!$D:$D,$A25,Raw_Events!$G:$G,"MEMO_WRITTEN")+COUNTIFS(Raw_Events!$D:$D,$A25,Raw_Events!$G:$G,"INITIATIVE_PRESENTED_VP")+COUNTIFS(Raw_Events!$D:$D,$A25,Raw_Events!$G:$G,"INITIATIVE_IDEA")))</f>
        <v/>
      </c>
      <c r="Y25">
        <f>IF($X25="","",IF($X25&gt;=1,1,0))</f>
        <v/>
      </c>
      <c r="Z25">
        <f>COUNTIFS(Raw_Events!$D:$D,$A25,Raw_Events!$G:$G,"WORKOUT_SKIPPED")</f>
        <v/>
      </c>
      <c r="AA25">
        <f>COUNTIFS(Raw_Events!$D:$D,$A25,Raw_Events!$G:$G,"COMMUNITY_SESSION")</f>
        <v/>
      </c>
      <c r="AB25">
        <f>COUNTIFS(Raw_Events!$D:$D,$A25,Raw_Events!$G:$G,"HOSTED_EVENT")</f>
        <v/>
      </c>
      <c r="AC25">
        <f>SUMIFS(Raw_Events!$H:$H,Raw_Events!$D:$D,$A25,Raw_Events!$G:$G,"IDEA_STAR")</f>
        <v/>
      </c>
      <c r="AD25">
        <f>IF($A25="","",IF(ROW()=3,"",IF(AND($H25&lt;1,INDEX($H:$H,ROW()-1)&lt;1),1,0)))</f>
        <v/>
      </c>
      <c r="AE25">
        <f>IF($A25="","",IF(ROW()=3,"",IF(AND($I25&lt;2,INDEX($I:$I,ROW()-1)&lt;2),1,0)))</f>
        <v/>
      </c>
      <c r="AF25">
        <f>IF($A25="","",IF(OR($E25=1,$AD25=1,$AE25=1),1,0))</f>
        <v/>
      </c>
      <c r="AG25">
        <f>IF($A25="","",IF(ROW()=3,"",IF(AND($B25&gt;=Settings!$C$14,INDEX($B:$B,ROW()-1)&gt;=Settings!$C$14),1,0)))</f>
        <v/>
      </c>
      <c r="AH25">
        <f>IF($A25="","",IF(AND($L25&gt;=Settings!$C$34,$AC25&lt;1),1,0))</f>
        <v/>
      </c>
      <c r="AI25">
        <f>SUMIFS(Raw_Events!$H:$H,Raw_Events!$D:$D,$A25,Raw_Events!$G:$G,"DEEP_WORK_HOURS")</f>
        <v/>
      </c>
      <c r="AJ25">
        <f>SUMIFS(Raw_Events!$H:$H,Raw_Events!$D:$D,$A25,Raw_Events!$G:$G,"EDUCATION_HOURS")</f>
        <v/>
      </c>
      <c r="AK25">
        <f>SUMIFS(Raw_Events!$H:$H,Raw_Events!$D:$D,$A25,Raw_Events!$G:$G,"HOBBY_HOURS")</f>
        <v/>
      </c>
      <c r="AL25">
        <f>SUMIFS(Raw_Events!$H:$H,Raw_Events!$D:$D,$A25,Raw_Events!$G:$G,"PARTNER_QUALITY_TIME")</f>
        <v/>
      </c>
      <c r="AM25">
        <f>IFERROR(MAXIFS(Raw_Events!$H:$H,Raw_Events!$D:$D,$A25,Raw_Events!$G:$G,"INVESTMENT_COVERAGE"),"")</f>
        <v/>
      </c>
    </row>
    <row r="26" ht="15" customHeight="1">
      <c r="A26" s="17" t="n">
        <v>46188</v>
      </c>
      <c r="B26" s="3">
        <f>IFERROR(VLOOKUP($A26,Raw_Weekly!$A:$G,2,FALSE),"")</f>
        <v/>
      </c>
      <c r="C26" s="3">
        <f>IFERROR(VLOOKUP($A26,Raw_Weekly!$A:$G,3,FALSE),"")</f>
        <v/>
      </c>
      <c r="D26" s="3">
        <f>IFERROR(VLOOKUP($A26,Raw_Weekly!$A:$G,4,FALSE),0)</f>
        <v/>
      </c>
      <c r="E26">
        <f>IF($B26="","",IF(OR($B26&gt;=Settings!$C$14,IFERROR(VLOOKUP($A26,Raw_Weekly!$A:$H,8,FALSE),0)=1),1,0))</f>
        <v/>
      </c>
      <c r="F26">
        <f>IF($B26="","",IF($B26&lt;=Settings!$C$13,1,0))</f>
        <v/>
      </c>
      <c r="G26">
        <f>IF($C26="","",IF($C26&lt;=Settings!$C$12,1,0))</f>
        <v/>
      </c>
      <c r="H26" s="3">
        <f>COUNTIFS(Raw_Events!$D:$D,$A26,Raw_Events!$G:$G,"SOCIAL_MEET")+COUNTIFS(Raw_Events!$D:$D,$A26,Raw_Events!$G:$G,"COMMUNITY_SESSION")+COUNTIFS(Raw_Events!$D:$D,$A26,Raw_Events!$G:$G,"HOSTED_EVENT")</f>
        <v/>
      </c>
      <c r="I26" s="3">
        <f>COUNTIFS(Raw_Events!$D:$D,$A26,Raw_Events!$G:$G,"DATE")</f>
        <v/>
      </c>
      <c r="J26" s="3">
        <f>COUNTIFS(Raw_Events!$D:$D,$A26,Raw_Events!$G:$G,"TRAINING_MIN")+COUNTIFS(Raw_Events!$D:$D,$A26,Raw_Events!$G:$G,"DICTION_TRAINING_MIN")</f>
        <v/>
      </c>
      <c r="K26" s="3">
        <f>SUMIFS(Raw_Events!$H:$H,Raw_Events!$D:$D,$A26,Raw_Events!$G:$G,"TRAINING_MIN")+SUMIFS(Raw_Events!$H:$H,Raw_Events!$D:$D,$A26,Raw_Events!$G:$G,"DICTION_TRAINING_MIN")</f>
        <v/>
      </c>
      <c r="L26" s="3">
        <f>SUMIFS(Raw_Events!$H:$H,Raw_Events!$D:$D,$A26,Raw_Events!$G:$G,"IDEA")</f>
        <v/>
      </c>
      <c r="M26" s="3">
        <f>SUMIFS(Raw_Events!$H:$H,Raw_Events!$D:$D,$A26,Raw_Events!$G:$G,"MINDFULNESS_MIN")</f>
        <v/>
      </c>
      <c r="N26" s="3">
        <f>SUMIFS(Daily_Agg!$G:$G,Daily_Agg!$A:$A,"&gt;="&amp;$A26,Daily_Agg!$A:$A,"&lt;"&amp;$A26+7)</f>
        <v/>
      </c>
      <c r="O26" s="3">
        <f>SUMIFS(Daily_Agg!$E:$E,Daily_Agg!$A:$A,"&gt;="&amp;$A26,Daily_Agg!$A:$A,"&lt;"&amp;$A26+7)</f>
        <v/>
      </c>
      <c r="P26" s="3">
        <f>SUMIFS(Raw_Events!$L:$L,Raw_Events!$D:$D,$A26,Raw_Events!$G:$G,"ALCOHOL")</f>
        <v/>
      </c>
      <c r="Q26" s="3">
        <f>SUMIFS(Raw_Events!$H:$H,Raw_Events!$D:$D,$A26,Raw_Events!$G:$G,"CIGARETTES")</f>
        <v/>
      </c>
      <c r="R26" s="3">
        <f>SUMIFS(Raw_Events!$H:$H,Raw_Events!$D:$D,$A26,Raw_Events!$G:$G,"UNHEALTHY_MEAL")</f>
        <v/>
      </c>
      <c r="S26" s="3">
        <f>COUNTIFS(Raw_Events!$D:$D,$A26,Raw_Events!$G:$G,"WORKOUT")</f>
        <v/>
      </c>
      <c r="T26" s="3">
        <f>IFERROR(VLOOKUP($A26,Raw_Weekly!$A:$G,5,FALSE),"")</f>
        <v/>
      </c>
      <c r="U26" s="3">
        <f>COUNTIFS(Raw_Events!$D:$D,$A26,Raw_Events!$G:$G,"NEW_ACTIVITY")</f>
        <v/>
      </c>
      <c r="V26" s="3">
        <f>SUMIFS(Raw_Events!$H:$H,Raw_Events!$D:$D,$A26,Raw_Events!$G:$G,"TRAVEL_NIGHT")</f>
        <v/>
      </c>
      <c r="W26">
        <f>IF($E26=1,IF(AND($H26&gt;=Settings!$C$39,$J26&gt;=Settings!$C$40,$L26&gt;=Settings!$C$41),1,0),"")</f>
        <v/>
      </c>
      <c r="X26">
        <f>IF($A26="","",IF(COUNTIFS(Raw_Events!$D:$D,$A26,Raw_Events!$G:$G,"ORIGINATION_ACTION")&gt;0,COUNTIFS(Raw_Events!$D:$D,$A26,Raw_Events!$G:$G,"ORIGINATION_ACTION"),COUNTIFS(Raw_Events!$D:$D,$A26,Raw_Events!$G:$G,"STAKEHOLDER_CHAT")+COUNTIFS(Raw_Events!$D:$D,$A26,Raw_Events!$G:$G,"MEMO_WRITTEN")+COUNTIFS(Raw_Events!$D:$D,$A26,Raw_Events!$G:$G,"INITIATIVE_PRESENTED_VP")+COUNTIFS(Raw_Events!$D:$D,$A26,Raw_Events!$G:$G,"INITIATIVE_IDEA")))</f>
        <v/>
      </c>
      <c r="Y26">
        <f>IF($X26="","",IF($X26&gt;=1,1,0))</f>
        <v/>
      </c>
      <c r="Z26">
        <f>COUNTIFS(Raw_Events!$D:$D,$A26,Raw_Events!$G:$G,"WORKOUT_SKIPPED")</f>
        <v/>
      </c>
      <c r="AA26">
        <f>COUNTIFS(Raw_Events!$D:$D,$A26,Raw_Events!$G:$G,"COMMUNITY_SESSION")</f>
        <v/>
      </c>
      <c r="AB26">
        <f>COUNTIFS(Raw_Events!$D:$D,$A26,Raw_Events!$G:$G,"HOSTED_EVENT")</f>
        <v/>
      </c>
      <c r="AC26">
        <f>SUMIFS(Raw_Events!$H:$H,Raw_Events!$D:$D,$A26,Raw_Events!$G:$G,"IDEA_STAR")</f>
        <v/>
      </c>
      <c r="AD26">
        <f>IF($A26="","",IF(ROW()=3,"",IF(AND($H26&lt;1,INDEX($H:$H,ROW()-1)&lt;1),1,0)))</f>
        <v/>
      </c>
      <c r="AE26">
        <f>IF($A26="","",IF(ROW()=3,"",IF(AND($I26&lt;2,INDEX($I:$I,ROW()-1)&lt;2),1,0)))</f>
        <v/>
      </c>
      <c r="AF26">
        <f>IF($A26="","",IF(OR($E26=1,$AD26=1,$AE26=1),1,0))</f>
        <v/>
      </c>
      <c r="AG26">
        <f>IF($A26="","",IF(ROW()=3,"",IF(AND($B26&gt;=Settings!$C$14,INDEX($B:$B,ROW()-1)&gt;=Settings!$C$14),1,0)))</f>
        <v/>
      </c>
      <c r="AH26">
        <f>IF($A26="","",IF(AND($L26&gt;=Settings!$C$34,$AC26&lt;1),1,0))</f>
        <v/>
      </c>
      <c r="AI26">
        <f>SUMIFS(Raw_Events!$H:$H,Raw_Events!$D:$D,$A26,Raw_Events!$G:$G,"DEEP_WORK_HOURS")</f>
        <v/>
      </c>
      <c r="AJ26">
        <f>SUMIFS(Raw_Events!$H:$H,Raw_Events!$D:$D,$A26,Raw_Events!$G:$G,"EDUCATION_HOURS")</f>
        <v/>
      </c>
      <c r="AK26">
        <f>SUMIFS(Raw_Events!$H:$H,Raw_Events!$D:$D,$A26,Raw_Events!$G:$G,"HOBBY_HOURS")</f>
        <v/>
      </c>
      <c r="AL26">
        <f>SUMIFS(Raw_Events!$H:$H,Raw_Events!$D:$D,$A26,Raw_Events!$G:$G,"PARTNER_QUALITY_TIME")</f>
        <v/>
      </c>
      <c r="AM26">
        <f>IFERROR(MAXIFS(Raw_Events!$H:$H,Raw_Events!$D:$D,$A26,Raw_Events!$G:$G,"INVESTMENT_COVERAGE"),"")</f>
        <v/>
      </c>
    </row>
    <row r="27" ht="15" customHeight="1">
      <c r="A27" s="17" t="n">
        <v>46195</v>
      </c>
      <c r="B27" s="3">
        <f>IFERROR(VLOOKUP($A27,Raw_Weekly!$A:$G,2,FALSE),"")</f>
        <v/>
      </c>
      <c r="C27" s="3">
        <f>IFERROR(VLOOKUP($A27,Raw_Weekly!$A:$G,3,FALSE),"")</f>
        <v/>
      </c>
      <c r="D27" s="3">
        <f>IFERROR(VLOOKUP($A27,Raw_Weekly!$A:$G,4,FALSE),0)</f>
        <v/>
      </c>
      <c r="E27">
        <f>IF($B27="","",IF(OR($B27&gt;=Settings!$C$14,IFERROR(VLOOKUP($A27,Raw_Weekly!$A:$H,8,FALSE),0)=1),1,0))</f>
        <v/>
      </c>
      <c r="F27">
        <f>IF($B27="","",IF($B27&lt;=Settings!$C$13,1,0))</f>
        <v/>
      </c>
      <c r="G27">
        <f>IF($C27="","",IF($C27&lt;=Settings!$C$12,1,0))</f>
        <v/>
      </c>
      <c r="H27" s="3">
        <f>COUNTIFS(Raw_Events!$D:$D,$A27,Raw_Events!$G:$G,"SOCIAL_MEET")+COUNTIFS(Raw_Events!$D:$D,$A27,Raw_Events!$G:$G,"COMMUNITY_SESSION")+COUNTIFS(Raw_Events!$D:$D,$A27,Raw_Events!$G:$G,"HOSTED_EVENT")</f>
        <v/>
      </c>
      <c r="I27" s="3">
        <f>COUNTIFS(Raw_Events!$D:$D,$A27,Raw_Events!$G:$G,"DATE")</f>
        <v/>
      </c>
      <c r="J27" s="3">
        <f>COUNTIFS(Raw_Events!$D:$D,$A27,Raw_Events!$G:$G,"TRAINING_MIN")+COUNTIFS(Raw_Events!$D:$D,$A27,Raw_Events!$G:$G,"DICTION_TRAINING_MIN")</f>
        <v/>
      </c>
      <c r="K27" s="3">
        <f>SUMIFS(Raw_Events!$H:$H,Raw_Events!$D:$D,$A27,Raw_Events!$G:$G,"TRAINING_MIN")+SUMIFS(Raw_Events!$H:$H,Raw_Events!$D:$D,$A27,Raw_Events!$G:$G,"DICTION_TRAINING_MIN")</f>
        <v/>
      </c>
      <c r="L27" s="3">
        <f>SUMIFS(Raw_Events!$H:$H,Raw_Events!$D:$D,$A27,Raw_Events!$G:$G,"IDEA")</f>
        <v/>
      </c>
      <c r="M27" s="3">
        <f>SUMIFS(Raw_Events!$H:$H,Raw_Events!$D:$D,$A27,Raw_Events!$G:$G,"MINDFULNESS_MIN")</f>
        <v/>
      </c>
      <c r="N27" s="3">
        <f>SUMIFS(Daily_Agg!$G:$G,Daily_Agg!$A:$A,"&gt;="&amp;$A27,Daily_Agg!$A:$A,"&lt;"&amp;$A27+7)</f>
        <v/>
      </c>
      <c r="O27" s="3">
        <f>SUMIFS(Daily_Agg!$E:$E,Daily_Agg!$A:$A,"&gt;="&amp;$A27,Daily_Agg!$A:$A,"&lt;"&amp;$A27+7)</f>
        <v/>
      </c>
      <c r="P27" s="3">
        <f>SUMIFS(Raw_Events!$L:$L,Raw_Events!$D:$D,$A27,Raw_Events!$G:$G,"ALCOHOL")</f>
        <v/>
      </c>
      <c r="Q27" s="3">
        <f>SUMIFS(Raw_Events!$H:$H,Raw_Events!$D:$D,$A27,Raw_Events!$G:$G,"CIGARETTES")</f>
        <v/>
      </c>
      <c r="R27" s="3">
        <f>SUMIFS(Raw_Events!$H:$H,Raw_Events!$D:$D,$A27,Raw_Events!$G:$G,"UNHEALTHY_MEAL")</f>
        <v/>
      </c>
      <c r="S27" s="3">
        <f>COUNTIFS(Raw_Events!$D:$D,$A27,Raw_Events!$G:$G,"WORKOUT")</f>
        <v/>
      </c>
      <c r="T27" s="3">
        <f>IFERROR(VLOOKUP($A27,Raw_Weekly!$A:$G,5,FALSE),"")</f>
        <v/>
      </c>
      <c r="U27" s="3">
        <f>COUNTIFS(Raw_Events!$D:$D,$A27,Raw_Events!$G:$G,"NEW_ACTIVITY")</f>
        <v/>
      </c>
      <c r="V27" s="3">
        <f>SUMIFS(Raw_Events!$H:$H,Raw_Events!$D:$D,$A27,Raw_Events!$G:$G,"TRAVEL_NIGHT")</f>
        <v/>
      </c>
      <c r="W27">
        <f>IF($E27=1,IF(AND($H27&gt;=Settings!$C$39,$J27&gt;=Settings!$C$40,$L27&gt;=Settings!$C$41),1,0),"")</f>
        <v/>
      </c>
      <c r="X27">
        <f>IF($A27="","",IF(COUNTIFS(Raw_Events!$D:$D,$A27,Raw_Events!$G:$G,"ORIGINATION_ACTION")&gt;0,COUNTIFS(Raw_Events!$D:$D,$A27,Raw_Events!$G:$G,"ORIGINATION_ACTION"),COUNTIFS(Raw_Events!$D:$D,$A27,Raw_Events!$G:$G,"STAKEHOLDER_CHAT")+COUNTIFS(Raw_Events!$D:$D,$A27,Raw_Events!$G:$G,"MEMO_WRITTEN")+COUNTIFS(Raw_Events!$D:$D,$A27,Raw_Events!$G:$G,"INITIATIVE_PRESENTED_VP")+COUNTIFS(Raw_Events!$D:$D,$A27,Raw_Events!$G:$G,"INITIATIVE_IDEA")))</f>
        <v/>
      </c>
      <c r="Y27">
        <f>IF($X27="","",IF($X27&gt;=1,1,0))</f>
        <v/>
      </c>
      <c r="Z27">
        <f>COUNTIFS(Raw_Events!$D:$D,$A27,Raw_Events!$G:$G,"WORKOUT_SKIPPED")</f>
        <v/>
      </c>
      <c r="AA27">
        <f>COUNTIFS(Raw_Events!$D:$D,$A27,Raw_Events!$G:$G,"COMMUNITY_SESSION")</f>
        <v/>
      </c>
      <c r="AB27">
        <f>COUNTIFS(Raw_Events!$D:$D,$A27,Raw_Events!$G:$G,"HOSTED_EVENT")</f>
        <v/>
      </c>
      <c r="AC27">
        <f>SUMIFS(Raw_Events!$H:$H,Raw_Events!$D:$D,$A27,Raw_Events!$G:$G,"IDEA_STAR")</f>
        <v/>
      </c>
      <c r="AD27">
        <f>IF($A27="","",IF(ROW()=3,"",IF(AND($H27&lt;1,INDEX($H:$H,ROW()-1)&lt;1),1,0)))</f>
        <v/>
      </c>
      <c r="AE27">
        <f>IF($A27="","",IF(ROW()=3,"",IF(AND($I27&lt;2,INDEX($I:$I,ROW()-1)&lt;2),1,0)))</f>
        <v/>
      </c>
      <c r="AF27">
        <f>IF($A27="","",IF(OR($E27=1,$AD27=1,$AE27=1),1,0))</f>
        <v/>
      </c>
      <c r="AG27">
        <f>IF($A27="","",IF(ROW()=3,"",IF(AND($B27&gt;=Settings!$C$14,INDEX($B:$B,ROW()-1)&gt;=Settings!$C$14),1,0)))</f>
        <v/>
      </c>
      <c r="AH27">
        <f>IF($A27="","",IF(AND($L27&gt;=Settings!$C$34,$AC27&lt;1),1,0))</f>
        <v/>
      </c>
      <c r="AI27">
        <f>SUMIFS(Raw_Events!$H:$H,Raw_Events!$D:$D,$A27,Raw_Events!$G:$G,"DEEP_WORK_HOURS")</f>
        <v/>
      </c>
      <c r="AJ27">
        <f>SUMIFS(Raw_Events!$H:$H,Raw_Events!$D:$D,$A27,Raw_Events!$G:$G,"EDUCATION_HOURS")</f>
        <v/>
      </c>
      <c r="AK27">
        <f>SUMIFS(Raw_Events!$H:$H,Raw_Events!$D:$D,$A27,Raw_Events!$G:$G,"HOBBY_HOURS")</f>
        <v/>
      </c>
      <c r="AL27">
        <f>SUMIFS(Raw_Events!$H:$H,Raw_Events!$D:$D,$A27,Raw_Events!$G:$G,"PARTNER_QUALITY_TIME")</f>
        <v/>
      </c>
      <c r="AM27">
        <f>IFERROR(MAXIFS(Raw_Events!$H:$H,Raw_Events!$D:$D,$A27,Raw_Events!$G:$G,"INVESTMENT_COVERAGE"),"")</f>
        <v/>
      </c>
    </row>
    <row r="28" ht="15" customHeight="1">
      <c r="A28" s="17" t="n">
        <v>46202</v>
      </c>
      <c r="B28" s="3">
        <f>IFERROR(VLOOKUP($A28,Raw_Weekly!$A:$G,2,FALSE),"")</f>
        <v/>
      </c>
      <c r="C28" s="3">
        <f>IFERROR(VLOOKUP($A28,Raw_Weekly!$A:$G,3,FALSE),"")</f>
        <v/>
      </c>
      <c r="D28" s="3">
        <f>IFERROR(VLOOKUP($A28,Raw_Weekly!$A:$G,4,FALSE),0)</f>
        <v/>
      </c>
      <c r="E28">
        <f>IF($B28="","",IF(OR($B28&gt;=Settings!$C$14,IFERROR(VLOOKUP($A28,Raw_Weekly!$A:$H,8,FALSE),0)=1),1,0))</f>
        <v/>
      </c>
      <c r="F28">
        <f>IF($B28="","",IF($B28&lt;=Settings!$C$13,1,0))</f>
        <v/>
      </c>
      <c r="G28">
        <f>IF($C28="","",IF($C28&lt;=Settings!$C$12,1,0))</f>
        <v/>
      </c>
      <c r="H28" s="3">
        <f>COUNTIFS(Raw_Events!$D:$D,$A28,Raw_Events!$G:$G,"SOCIAL_MEET")+COUNTIFS(Raw_Events!$D:$D,$A28,Raw_Events!$G:$G,"COMMUNITY_SESSION")+COUNTIFS(Raw_Events!$D:$D,$A28,Raw_Events!$G:$G,"HOSTED_EVENT")</f>
        <v/>
      </c>
      <c r="I28" s="3">
        <f>COUNTIFS(Raw_Events!$D:$D,$A28,Raw_Events!$G:$G,"DATE")</f>
        <v/>
      </c>
      <c r="J28" s="3">
        <f>COUNTIFS(Raw_Events!$D:$D,$A28,Raw_Events!$G:$G,"TRAINING_MIN")+COUNTIFS(Raw_Events!$D:$D,$A28,Raw_Events!$G:$G,"DICTION_TRAINING_MIN")</f>
        <v/>
      </c>
      <c r="K28" s="3">
        <f>SUMIFS(Raw_Events!$H:$H,Raw_Events!$D:$D,$A28,Raw_Events!$G:$G,"TRAINING_MIN")+SUMIFS(Raw_Events!$H:$H,Raw_Events!$D:$D,$A28,Raw_Events!$G:$G,"DICTION_TRAINING_MIN")</f>
        <v/>
      </c>
      <c r="L28" s="3">
        <f>SUMIFS(Raw_Events!$H:$H,Raw_Events!$D:$D,$A28,Raw_Events!$G:$G,"IDEA")</f>
        <v/>
      </c>
      <c r="M28" s="3">
        <f>SUMIFS(Raw_Events!$H:$H,Raw_Events!$D:$D,$A28,Raw_Events!$G:$G,"MINDFULNESS_MIN")</f>
        <v/>
      </c>
      <c r="N28" s="3">
        <f>SUMIFS(Daily_Agg!$G:$G,Daily_Agg!$A:$A,"&gt;="&amp;$A28,Daily_Agg!$A:$A,"&lt;"&amp;$A28+7)</f>
        <v/>
      </c>
      <c r="O28" s="3">
        <f>SUMIFS(Daily_Agg!$E:$E,Daily_Agg!$A:$A,"&gt;="&amp;$A28,Daily_Agg!$A:$A,"&lt;"&amp;$A28+7)</f>
        <v/>
      </c>
      <c r="P28" s="3">
        <f>SUMIFS(Raw_Events!$L:$L,Raw_Events!$D:$D,$A28,Raw_Events!$G:$G,"ALCOHOL")</f>
        <v/>
      </c>
      <c r="Q28" s="3">
        <f>SUMIFS(Raw_Events!$H:$H,Raw_Events!$D:$D,$A28,Raw_Events!$G:$G,"CIGARETTES")</f>
        <v/>
      </c>
      <c r="R28" s="3">
        <f>SUMIFS(Raw_Events!$H:$H,Raw_Events!$D:$D,$A28,Raw_Events!$G:$G,"UNHEALTHY_MEAL")</f>
        <v/>
      </c>
      <c r="S28" s="3">
        <f>COUNTIFS(Raw_Events!$D:$D,$A28,Raw_Events!$G:$G,"WORKOUT")</f>
        <v/>
      </c>
      <c r="T28" s="3">
        <f>IFERROR(VLOOKUP($A28,Raw_Weekly!$A:$G,5,FALSE),"")</f>
        <v/>
      </c>
      <c r="U28" s="3">
        <f>COUNTIFS(Raw_Events!$D:$D,$A28,Raw_Events!$G:$G,"NEW_ACTIVITY")</f>
        <v/>
      </c>
      <c r="V28" s="3">
        <f>SUMIFS(Raw_Events!$H:$H,Raw_Events!$D:$D,$A28,Raw_Events!$G:$G,"TRAVEL_NIGHT")</f>
        <v/>
      </c>
      <c r="W28">
        <f>IF($E28=1,IF(AND($H28&gt;=Settings!$C$39,$J28&gt;=Settings!$C$40,$L28&gt;=Settings!$C$41),1,0),"")</f>
        <v/>
      </c>
      <c r="X28">
        <f>IF($A28="","",IF(COUNTIFS(Raw_Events!$D:$D,$A28,Raw_Events!$G:$G,"ORIGINATION_ACTION")&gt;0,COUNTIFS(Raw_Events!$D:$D,$A28,Raw_Events!$G:$G,"ORIGINATION_ACTION"),COUNTIFS(Raw_Events!$D:$D,$A28,Raw_Events!$G:$G,"STAKEHOLDER_CHAT")+COUNTIFS(Raw_Events!$D:$D,$A28,Raw_Events!$G:$G,"MEMO_WRITTEN")+COUNTIFS(Raw_Events!$D:$D,$A28,Raw_Events!$G:$G,"INITIATIVE_PRESENTED_VP")+COUNTIFS(Raw_Events!$D:$D,$A28,Raw_Events!$G:$G,"INITIATIVE_IDEA")))</f>
        <v/>
      </c>
      <c r="Y28">
        <f>IF($X28="","",IF($X28&gt;=1,1,0))</f>
        <v/>
      </c>
      <c r="Z28">
        <f>COUNTIFS(Raw_Events!$D:$D,$A28,Raw_Events!$G:$G,"WORKOUT_SKIPPED")</f>
        <v/>
      </c>
      <c r="AA28">
        <f>COUNTIFS(Raw_Events!$D:$D,$A28,Raw_Events!$G:$G,"COMMUNITY_SESSION")</f>
        <v/>
      </c>
      <c r="AB28">
        <f>COUNTIFS(Raw_Events!$D:$D,$A28,Raw_Events!$G:$G,"HOSTED_EVENT")</f>
        <v/>
      </c>
      <c r="AC28">
        <f>SUMIFS(Raw_Events!$H:$H,Raw_Events!$D:$D,$A28,Raw_Events!$G:$G,"IDEA_STAR")</f>
        <v/>
      </c>
      <c r="AD28">
        <f>IF($A28="","",IF(ROW()=3,"",IF(AND($H28&lt;1,INDEX($H:$H,ROW()-1)&lt;1),1,0)))</f>
        <v/>
      </c>
      <c r="AE28">
        <f>IF($A28="","",IF(ROW()=3,"",IF(AND($I28&lt;2,INDEX($I:$I,ROW()-1)&lt;2),1,0)))</f>
        <v/>
      </c>
      <c r="AF28">
        <f>IF($A28="","",IF(OR($E28=1,$AD28=1,$AE28=1),1,0))</f>
        <v/>
      </c>
      <c r="AG28">
        <f>IF($A28="","",IF(ROW()=3,"",IF(AND($B28&gt;=Settings!$C$14,INDEX($B:$B,ROW()-1)&gt;=Settings!$C$14),1,0)))</f>
        <v/>
      </c>
      <c r="AH28">
        <f>IF($A28="","",IF(AND($L28&gt;=Settings!$C$34,$AC28&lt;1),1,0))</f>
        <v/>
      </c>
      <c r="AI28">
        <f>SUMIFS(Raw_Events!$H:$H,Raw_Events!$D:$D,$A28,Raw_Events!$G:$G,"DEEP_WORK_HOURS")</f>
        <v/>
      </c>
      <c r="AJ28">
        <f>SUMIFS(Raw_Events!$H:$H,Raw_Events!$D:$D,$A28,Raw_Events!$G:$G,"EDUCATION_HOURS")</f>
        <v/>
      </c>
      <c r="AK28">
        <f>SUMIFS(Raw_Events!$H:$H,Raw_Events!$D:$D,$A28,Raw_Events!$G:$G,"HOBBY_HOURS")</f>
        <v/>
      </c>
      <c r="AL28">
        <f>SUMIFS(Raw_Events!$H:$H,Raw_Events!$D:$D,$A28,Raw_Events!$G:$G,"PARTNER_QUALITY_TIME")</f>
        <v/>
      </c>
      <c r="AM28">
        <f>IFERROR(MAXIFS(Raw_Events!$H:$H,Raw_Events!$D:$D,$A28,Raw_Events!$G:$G,"INVESTMENT_COVERAGE"),"")</f>
        <v/>
      </c>
    </row>
    <row r="29" ht="15" customHeight="1">
      <c r="A29" s="17" t="n">
        <v>46209</v>
      </c>
      <c r="B29" s="3">
        <f>IFERROR(VLOOKUP($A29,Raw_Weekly!$A:$G,2,FALSE),"")</f>
        <v/>
      </c>
      <c r="C29" s="3">
        <f>IFERROR(VLOOKUP($A29,Raw_Weekly!$A:$G,3,FALSE),"")</f>
        <v/>
      </c>
      <c r="D29" s="3">
        <f>IFERROR(VLOOKUP($A29,Raw_Weekly!$A:$G,4,FALSE),0)</f>
        <v/>
      </c>
      <c r="E29">
        <f>IF($B29="","",IF(OR($B29&gt;=Settings!$C$14,IFERROR(VLOOKUP($A29,Raw_Weekly!$A:$H,8,FALSE),0)=1),1,0))</f>
        <v/>
      </c>
      <c r="F29">
        <f>IF($B29="","",IF($B29&lt;=Settings!$C$13,1,0))</f>
        <v/>
      </c>
      <c r="G29">
        <f>IF($C29="","",IF($C29&lt;=Settings!$C$12,1,0))</f>
        <v/>
      </c>
      <c r="H29" s="3">
        <f>COUNTIFS(Raw_Events!$D:$D,$A29,Raw_Events!$G:$G,"SOCIAL_MEET")+COUNTIFS(Raw_Events!$D:$D,$A29,Raw_Events!$G:$G,"COMMUNITY_SESSION")+COUNTIFS(Raw_Events!$D:$D,$A29,Raw_Events!$G:$G,"HOSTED_EVENT")</f>
        <v/>
      </c>
      <c r="I29" s="3">
        <f>COUNTIFS(Raw_Events!$D:$D,$A29,Raw_Events!$G:$G,"DATE")</f>
        <v/>
      </c>
      <c r="J29" s="3">
        <f>COUNTIFS(Raw_Events!$D:$D,$A29,Raw_Events!$G:$G,"TRAINING_MIN")+COUNTIFS(Raw_Events!$D:$D,$A29,Raw_Events!$G:$G,"DICTION_TRAINING_MIN")</f>
        <v/>
      </c>
      <c r="K29" s="3">
        <f>SUMIFS(Raw_Events!$H:$H,Raw_Events!$D:$D,$A29,Raw_Events!$G:$G,"TRAINING_MIN")+SUMIFS(Raw_Events!$H:$H,Raw_Events!$D:$D,$A29,Raw_Events!$G:$G,"DICTION_TRAINING_MIN")</f>
        <v/>
      </c>
      <c r="L29" s="3">
        <f>SUMIFS(Raw_Events!$H:$H,Raw_Events!$D:$D,$A29,Raw_Events!$G:$G,"IDEA")</f>
        <v/>
      </c>
      <c r="M29" s="3">
        <f>SUMIFS(Raw_Events!$H:$H,Raw_Events!$D:$D,$A29,Raw_Events!$G:$G,"MINDFULNESS_MIN")</f>
        <v/>
      </c>
      <c r="N29" s="3">
        <f>SUMIFS(Daily_Agg!$G:$G,Daily_Agg!$A:$A,"&gt;="&amp;$A29,Daily_Agg!$A:$A,"&lt;"&amp;$A29+7)</f>
        <v/>
      </c>
      <c r="O29" s="3">
        <f>SUMIFS(Daily_Agg!$E:$E,Daily_Agg!$A:$A,"&gt;="&amp;$A29,Daily_Agg!$A:$A,"&lt;"&amp;$A29+7)</f>
        <v/>
      </c>
      <c r="P29" s="3">
        <f>SUMIFS(Raw_Events!$L:$L,Raw_Events!$D:$D,$A29,Raw_Events!$G:$G,"ALCOHOL")</f>
        <v/>
      </c>
      <c r="Q29" s="3">
        <f>SUMIFS(Raw_Events!$H:$H,Raw_Events!$D:$D,$A29,Raw_Events!$G:$G,"CIGARETTES")</f>
        <v/>
      </c>
      <c r="R29" s="3">
        <f>SUMIFS(Raw_Events!$H:$H,Raw_Events!$D:$D,$A29,Raw_Events!$G:$G,"UNHEALTHY_MEAL")</f>
        <v/>
      </c>
      <c r="S29" s="3">
        <f>COUNTIFS(Raw_Events!$D:$D,$A29,Raw_Events!$G:$G,"WORKOUT")</f>
        <v/>
      </c>
      <c r="T29" s="3">
        <f>IFERROR(VLOOKUP($A29,Raw_Weekly!$A:$G,5,FALSE),"")</f>
        <v/>
      </c>
      <c r="U29" s="3">
        <f>COUNTIFS(Raw_Events!$D:$D,$A29,Raw_Events!$G:$G,"NEW_ACTIVITY")</f>
        <v/>
      </c>
      <c r="V29" s="3">
        <f>SUMIFS(Raw_Events!$H:$H,Raw_Events!$D:$D,$A29,Raw_Events!$G:$G,"TRAVEL_NIGHT")</f>
        <v/>
      </c>
      <c r="W29">
        <f>IF($E29=1,IF(AND($H29&gt;=Settings!$C$39,$J29&gt;=Settings!$C$40,$L29&gt;=Settings!$C$41),1,0),"")</f>
        <v/>
      </c>
      <c r="X29">
        <f>IF($A29="","",IF(COUNTIFS(Raw_Events!$D:$D,$A29,Raw_Events!$G:$G,"ORIGINATION_ACTION")&gt;0,COUNTIFS(Raw_Events!$D:$D,$A29,Raw_Events!$G:$G,"ORIGINATION_ACTION"),COUNTIFS(Raw_Events!$D:$D,$A29,Raw_Events!$G:$G,"STAKEHOLDER_CHAT")+COUNTIFS(Raw_Events!$D:$D,$A29,Raw_Events!$G:$G,"MEMO_WRITTEN")+COUNTIFS(Raw_Events!$D:$D,$A29,Raw_Events!$G:$G,"INITIATIVE_PRESENTED_VP")+COUNTIFS(Raw_Events!$D:$D,$A29,Raw_Events!$G:$G,"INITIATIVE_IDEA")))</f>
        <v/>
      </c>
      <c r="Y29">
        <f>IF($X29="","",IF($X29&gt;=1,1,0))</f>
        <v/>
      </c>
      <c r="Z29">
        <f>COUNTIFS(Raw_Events!$D:$D,$A29,Raw_Events!$G:$G,"WORKOUT_SKIPPED")</f>
        <v/>
      </c>
      <c r="AA29">
        <f>COUNTIFS(Raw_Events!$D:$D,$A29,Raw_Events!$G:$G,"COMMUNITY_SESSION")</f>
        <v/>
      </c>
      <c r="AB29">
        <f>COUNTIFS(Raw_Events!$D:$D,$A29,Raw_Events!$G:$G,"HOSTED_EVENT")</f>
        <v/>
      </c>
      <c r="AC29">
        <f>SUMIFS(Raw_Events!$H:$H,Raw_Events!$D:$D,$A29,Raw_Events!$G:$G,"IDEA_STAR")</f>
        <v/>
      </c>
      <c r="AD29">
        <f>IF($A29="","",IF(ROW()=3,"",IF(AND($H29&lt;1,INDEX($H:$H,ROW()-1)&lt;1),1,0)))</f>
        <v/>
      </c>
      <c r="AE29">
        <f>IF($A29="","",IF(ROW()=3,"",IF(AND($I29&lt;2,INDEX($I:$I,ROW()-1)&lt;2),1,0)))</f>
        <v/>
      </c>
      <c r="AF29">
        <f>IF($A29="","",IF(OR($E29=1,$AD29=1,$AE29=1),1,0))</f>
        <v/>
      </c>
      <c r="AG29">
        <f>IF($A29="","",IF(ROW()=3,"",IF(AND($B29&gt;=Settings!$C$14,INDEX($B:$B,ROW()-1)&gt;=Settings!$C$14),1,0)))</f>
        <v/>
      </c>
      <c r="AH29">
        <f>IF($A29="","",IF(AND($L29&gt;=Settings!$C$34,$AC29&lt;1),1,0))</f>
        <v/>
      </c>
      <c r="AI29">
        <f>SUMIFS(Raw_Events!$H:$H,Raw_Events!$D:$D,$A29,Raw_Events!$G:$G,"DEEP_WORK_HOURS")</f>
        <v/>
      </c>
      <c r="AJ29">
        <f>SUMIFS(Raw_Events!$H:$H,Raw_Events!$D:$D,$A29,Raw_Events!$G:$G,"EDUCATION_HOURS")</f>
        <v/>
      </c>
      <c r="AK29">
        <f>SUMIFS(Raw_Events!$H:$H,Raw_Events!$D:$D,$A29,Raw_Events!$G:$G,"HOBBY_HOURS")</f>
        <v/>
      </c>
      <c r="AL29">
        <f>SUMIFS(Raw_Events!$H:$H,Raw_Events!$D:$D,$A29,Raw_Events!$G:$G,"PARTNER_QUALITY_TIME")</f>
        <v/>
      </c>
      <c r="AM29">
        <f>IFERROR(MAXIFS(Raw_Events!$H:$H,Raw_Events!$D:$D,$A29,Raw_Events!$G:$G,"INVESTMENT_COVERAGE"),"")</f>
        <v/>
      </c>
    </row>
    <row r="30" ht="15" customHeight="1">
      <c r="A30" s="17" t="n">
        <v>46216</v>
      </c>
      <c r="B30" s="3">
        <f>IFERROR(VLOOKUP($A30,Raw_Weekly!$A:$G,2,FALSE),"")</f>
        <v/>
      </c>
      <c r="C30" s="3">
        <f>IFERROR(VLOOKUP($A30,Raw_Weekly!$A:$G,3,FALSE),"")</f>
        <v/>
      </c>
      <c r="D30" s="3">
        <f>IFERROR(VLOOKUP($A30,Raw_Weekly!$A:$G,4,FALSE),0)</f>
        <v/>
      </c>
      <c r="E30">
        <f>IF($B30="","",IF(OR($B30&gt;=Settings!$C$14,IFERROR(VLOOKUP($A30,Raw_Weekly!$A:$H,8,FALSE),0)=1),1,0))</f>
        <v/>
      </c>
      <c r="F30">
        <f>IF($B30="","",IF($B30&lt;=Settings!$C$13,1,0))</f>
        <v/>
      </c>
      <c r="G30">
        <f>IF($C30="","",IF($C30&lt;=Settings!$C$12,1,0))</f>
        <v/>
      </c>
      <c r="H30" s="3">
        <f>COUNTIFS(Raw_Events!$D:$D,$A30,Raw_Events!$G:$G,"SOCIAL_MEET")+COUNTIFS(Raw_Events!$D:$D,$A30,Raw_Events!$G:$G,"COMMUNITY_SESSION")+COUNTIFS(Raw_Events!$D:$D,$A30,Raw_Events!$G:$G,"HOSTED_EVENT")</f>
        <v/>
      </c>
      <c r="I30" s="3">
        <f>COUNTIFS(Raw_Events!$D:$D,$A30,Raw_Events!$G:$G,"DATE")</f>
        <v/>
      </c>
      <c r="J30" s="3">
        <f>COUNTIFS(Raw_Events!$D:$D,$A30,Raw_Events!$G:$G,"TRAINING_MIN")+COUNTIFS(Raw_Events!$D:$D,$A30,Raw_Events!$G:$G,"DICTION_TRAINING_MIN")</f>
        <v/>
      </c>
      <c r="K30" s="3">
        <f>SUMIFS(Raw_Events!$H:$H,Raw_Events!$D:$D,$A30,Raw_Events!$G:$G,"TRAINING_MIN")+SUMIFS(Raw_Events!$H:$H,Raw_Events!$D:$D,$A30,Raw_Events!$G:$G,"DICTION_TRAINING_MIN")</f>
        <v/>
      </c>
      <c r="L30" s="3">
        <f>SUMIFS(Raw_Events!$H:$H,Raw_Events!$D:$D,$A30,Raw_Events!$G:$G,"IDEA")</f>
        <v/>
      </c>
      <c r="M30" s="3">
        <f>SUMIFS(Raw_Events!$H:$H,Raw_Events!$D:$D,$A30,Raw_Events!$G:$G,"MINDFULNESS_MIN")</f>
        <v/>
      </c>
      <c r="N30" s="3">
        <f>SUMIFS(Daily_Agg!$G:$G,Daily_Agg!$A:$A,"&gt;="&amp;$A30,Daily_Agg!$A:$A,"&lt;"&amp;$A30+7)</f>
        <v/>
      </c>
      <c r="O30" s="3">
        <f>SUMIFS(Daily_Agg!$E:$E,Daily_Agg!$A:$A,"&gt;="&amp;$A30,Daily_Agg!$A:$A,"&lt;"&amp;$A30+7)</f>
        <v/>
      </c>
      <c r="P30" s="3">
        <f>SUMIFS(Raw_Events!$L:$L,Raw_Events!$D:$D,$A30,Raw_Events!$G:$G,"ALCOHOL")</f>
        <v/>
      </c>
      <c r="Q30" s="3">
        <f>SUMIFS(Raw_Events!$H:$H,Raw_Events!$D:$D,$A30,Raw_Events!$G:$G,"CIGARETTES")</f>
        <v/>
      </c>
      <c r="R30" s="3">
        <f>SUMIFS(Raw_Events!$H:$H,Raw_Events!$D:$D,$A30,Raw_Events!$G:$G,"UNHEALTHY_MEAL")</f>
        <v/>
      </c>
      <c r="S30" s="3">
        <f>COUNTIFS(Raw_Events!$D:$D,$A30,Raw_Events!$G:$G,"WORKOUT")</f>
        <v/>
      </c>
      <c r="T30" s="3">
        <f>IFERROR(VLOOKUP($A30,Raw_Weekly!$A:$G,5,FALSE),"")</f>
        <v/>
      </c>
      <c r="U30" s="3">
        <f>COUNTIFS(Raw_Events!$D:$D,$A30,Raw_Events!$G:$G,"NEW_ACTIVITY")</f>
        <v/>
      </c>
      <c r="V30" s="3">
        <f>SUMIFS(Raw_Events!$H:$H,Raw_Events!$D:$D,$A30,Raw_Events!$G:$G,"TRAVEL_NIGHT")</f>
        <v/>
      </c>
      <c r="W30">
        <f>IF($E30=1,IF(AND($H30&gt;=Settings!$C$39,$J30&gt;=Settings!$C$40,$L30&gt;=Settings!$C$41),1,0),"")</f>
        <v/>
      </c>
      <c r="X30">
        <f>IF($A30="","",IF(COUNTIFS(Raw_Events!$D:$D,$A30,Raw_Events!$G:$G,"ORIGINATION_ACTION")&gt;0,COUNTIFS(Raw_Events!$D:$D,$A30,Raw_Events!$G:$G,"ORIGINATION_ACTION"),COUNTIFS(Raw_Events!$D:$D,$A30,Raw_Events!$G:$G,"STAKEHOLDER_CHAT")+COUNTIFS(Raw_Events!$D:$D,$A30,Raw_Events!$G:$G,"MEMO_WRITTEN")+COUNTIFS(Raw_Events!$D:$D,$A30,Raw_Events!$G:$G,"INITIATIVE_PRESENTED_VP")+COUNTIFS(Raw_Events!$D:$D,$A30,Raw_Events!$G:$G,"INITIATIVE_IDEA")))</f>
        <v/>
      </c>
      <c r="Y30">
        <f>IF($X30="","",IF($X30&gt;=1,1,0))</f>
        <v/>
      </c>
      <c r="Z30">
        <f>COUNTIFS(Raw_Events!$D:$D,$A30,Raw_Events!$G:$G,"WORKOUT_SKIPPED")</f>
        <v/>
      </c>
      <c r="AA30">
        <f>COUNTIFS(Raw_Events!$D:$D,$A30,Raw_Events!$G:$G,"COMMUNITY_SESSION")</f>
        <v/>
      </c>
      <c r="AB30">
        <f>COUNTIFS(Raw_Events!$D:$D,$A30,Raw_Events!$G:$G,"HOSTED_EVENT")</f>
        <v/>
      </c>
      <c r="AC30">
        <f>SUMIFS(Raw_Events!$H:$H,Raw_Events!$D:$D,$A30,Raw_Events!$G:$G,"IDEA_STAR")</f>
        <v/>
      </c>
      <c r="AD30">
        <f>IF($A30="","",IF(ROW()=3,"",IF(AND($H30&lt;1,INDEX($H:$H,ROW()-1)&lt;1),1,0)))</f>
        <v/>
      </c>
      <c r="AE30">
        <f>IF($A30="","",IF(ROW()=3,"",IF(AND($I30&lt;2,INDEX($I:$I,ROW()-1)&lt;2),1,0)))</f>
        <v/>
      </c>
      <c r="AF30">
        <f>IF($A30="","",IF(OR($E30=1,$AD30=1,$AE30=1),1,0))</f>
        <v/>
      </c>
      <c r="AG30">
        <f>IF($A30="","",IF(ROW()=3,"",IF(AND($B30&gt;=Settings!$C$14,INDEX($B:$B,ROW()-1)&gt;=Settings!$C$14),1,0)))</f>
        <v/>
      </c>
      <c r="AH30">
        <f>IF($A30="","",IF(AND($L30&gt;=Settings!$C$34,$AC30&lt;1),1,0))</f>
        <v/>
      </c>
      <c r="AI30">
        <f>SUMIFS(Raw_Events!$H:$H,Raw_Events!$D:$D,$A30,Raw_Events!$G:$G,"DEEP_WORK_HOURS")</f>
        <v/>
      </c>
      <c r="AJ30">
        <f>SUMIFS(Raw_Events!$H:$H,Raw_Events!$D:$D,$A30,Raw_Events!$G:$G,"EDUCATION_HOURS")</f>
        <v/>
      </c>
      <c r="AK30">
        <f>SUMIFS(Raw_Events!$H:$H,Raw_Events!$D:$D,$A30,Raw_Events!$G:$G,"HOBBY_HOURS")</f>
        <v/>
      </c>
      <c r="AL30">
        <f>SUMIFS(Raw_Events!$H:$H,Raw_Events!$D:$D,$A30,Raw_Events!$G:$G,"PARTNER_QUALITY_TIME")</f>
        <v/>
      </c>
      <c r="AM30">
        <f>IFERROR(MAXIFS(Raw_Events!$H:$H,Raw_Events!$D:$D,$A30,Raw_Events!$G:$G,"INVESTMENT_COVERAGE"),"")</f>
        <v/>
      </c>
    </row>
    <row r="31" ht="15" customHeight="1">
      <c r="A31" s="17" t="n">
        <v>46223</v>
      </c>
      <c r="B31" s="3">
        <f>IFERROR(VLOOKUP($A31,Raw_Weekly!$A:$G,2,FALSE),"")</f>
        <v/>
      </c>
      <c r="C31" s="3">
        <f>IFERROR(VLOOKUP($A31,Raw_Weekly!$A:$G,3,FALSE),"")</f>
        <v/>
      </c>
      <c r="D31" s="3">
        <f>IFERROR(VLOOKUP($A31,Raw_Weekly!$A:$G,4,FALSE),0)</f>
        <v/>
      </c>
      <c r="E31">
        <f>IF($B31="","",IF(OR($B31&gt;=Settings!$C$14,IFERROR(VLOOKUP($A31,Raw_Weekly!$A:$H,8,FALSE),0)=1),1,0))</f>
        <v/>
      </c>
      <c r="F31">
        <f>IF($B31="","",IF($B31&lt;=Settings!$C$13,1,0))</f>
        <v/>
      </c>
      <c r="G31">
        <f>IF($C31="","",IF($C31&lt;=Settings!$C$12,1,0))</f>
        <v/>
      </c>
      <c r="H31" s="3">
        <f>COUNTIFS(Raw_Events!$D:$D,$A31,Raw_Events!$G:$G,"SOCIAL_MEET")+COUNTIFS(Raw_Events!$D:$D,$A31,Raw_Events!$G:$G,"COMMUNITY_SESSION")+COUNTIFS(Raw_Events!$D:$D,$A31,Raw_Events!$G:$G,"HOSTED_EVENT")</f>
        <v/>
      </c>
      <c r="I31" s="3">
        <f>COUNTIFS(Raw_Events!$D:$D,$A31,Raw_Events!$G:$G,"DATE")</f>
        <v/>
      </c>
      <c r="J31" s="3">
        <f>COUNTIFS(Raw_Events!$D:$D,$A31,Raw_Events!$G:$G,"TRAINING_MIN")+COUNTIFS(Raw_Events!$D:$D,$A31,Raw_Events!$G:$G,"DICTION_TRAINING_MIN")</f>
        <v/>
      </c>
      <c r="K31" s="3">
        <f>SUMIFS(Raw_Events!$H:$H,Raw_Events!$D:$D,$A31,Raw_Events!$G:$G,"TRAINING_MIN")+SUMIFS(Raw_Events!$H:$H,Raw_Events!$D:$D,$A31,Raw_Events!$G:$G,"DICTION_TRAINING_MIN")</f>
        <v/>
      </c>
      <c r="L31" s="3">
        <f>SUMIFS(Raw_Events!$H:$H,Raw_Events!$D:$D,$A31,Raw_Events!$G:$G,"IDEA")</f>
        <v/>
      </c>
      <c r="M31" s="3">
        <f>SUMIFS(Raw_Events!$H:$H,Raw_Events!$D:$D,$A31,Raw_Events!$G:$G,"MINDFULNESS_MIN")</f>
        <v/>
      </c>
      <c r="N31" s="3">
        <f>SUMIFS(Daily_Agg!$G:$G,Daily_Agg!$A:$A,"&gt;="&amp;$A31,Daily_Agg!$A:$A,"&lt;"&amp;$A31+7)</f>
        <v/>
      </c>
      <c r="O31" s="3">
        <f>SUMIFS(Daily_Agg!$E:$E,Daily_Agg!$A:$A,"&gt;="&amp;$A31,Daily_Agg!$A:$A,"&lt;"&amp;$A31+7)</f>
        <v/>
      </c>
      <c r="P31" s="3">
        <f>SUMIFS(Raw_Events!$L:$L,Raw_Events!$D:$D,$A31,Raw_Events!$G:$G,"ALCOHOL")</f>
        <v/>
      </c>
      <c r="Q31" s="3">
        <f>SUMIFS(Raw_Events!$H:$H,Raw_Events!$D:$D,$A31,Raw_Events!$G:$G,"CIGARETTES")</f>
        <v/>
      </c>
      <c r="R31" s="3">
        <f>SUMIFS(Raw_Events!$H:$H,Raw_Events!$D:$D,$A31,Raw_Events!$G:$G,"UNHEALTHY_MEAL")</f>
        <v/>
      </c>
      <c r="S31" s="3">
        <f>COUNTIFS(Raw_Events!$D:$D,$A31,Raw_Events!$G:$G,"WORKOUT")</f>
        <v/>
      </c>
      <c r="T31" s="3">
        <f>IFERROR(VLOOKUP($A31,Raw_Weekly!$A:$G,5,FALSE),"")</f>
        <v/>
      </c>
      <c r="U31" s="3">
        <f>COUNTIFS(Raw_Events!$D:$D,$A31,Raw_Events!$G:$G,"NEW_ACTIVITY")</f>
        <v/>
      </c>
      <c r="V31" s="3">
        <f>SUMIFS(Raw_Events!$H:$H,Raw_Events!$D:$D,$A31,Raw_Events!$G:$G,"TRAVEL_NIGHT")</f>
        <v/>
      </c>
      <c r="W31">
        <f>IF($E31=1,IF(AND($H31&gt;=Settings!$C$39,$J31&gt;=Settings!$C$40,$L31&gt;=Settings!$C$41),1,0),"")</f>
        <v/>
      </c>
      <c r="X31">
        <f>IF($A31="","",IF(COUNTIFS(Raw_Events!$D:$D,$A31,Raw_Events!$G:$G,"ORIGINATION_ACTION")&gt;0,COUNTIFS(Raw_Events!$D:$D,$A31,Raw_Events!$G:$G,"ORIGINATION_ACTION"),COUNTIFS(Raw_Events!$D:$D,$A31,Raw_Events!$G:$G,"STAKEHOLDER_CHAT")+COUNTIFS(Raw_Events!$D:$D,$A31,Raw_Events!$G:$G,"MEMO_WRITTEN")+COUNTIFS(Raw_Events!$D:$D,$A31,Raw_Events!$G:$G,"INITIATIVE_PRESENTED_VP")+COUNTIFS(Raw_Events!$D:$D,$A31,Raw_Events!$G:$G,"INITIATIVE_IDEA")))</f>
        <v/>
      </c>
      <c r="Y31">
        <f>IF($X31="","",IF($X31&gt;=1,1,0))</f>
        <v/>
      </c>
      <c r="Z31">
        <f>COUNTIFS(Raw_Events!$D:$D,$A31,Raw_Events!$G:$G,"WORKOUT_SKIPPED")</f>
        <v/>
      </c>
      <c r="AA31">
        <f>COUNTIFS(Raw_Events!$D:$D,$A31,Raw_Events!$G:$G,"COMMUNITY_SESSION")</f>
        <v/>
      </c>
      <c r="AB31">
        <f>COUNTIFS(Raw_Events!$D:$D,$A31,Raw_Events!$G:$G,"HOSTED_EVENT")</f>
        <v/>
      </c>
      <c r="AC31">
        <f>SUMIFS(Raw_Events!$H:$H,Raw_Events!$D:$D,$A31,Raw_Events!$G:$G,"IDEA_STAR")</f>
        <v/>
      </c>
      <c r="AD31">
        <f>IF($A31="","",IF(ROW()=3,"",IF(AND($H31&lt;1,INDEX($H:$H,ROW()-1)&lt;1),1,0)))</f>
        <v/>
      </c>
      <c r="AE31">
        <f>IF($A31="","",IF(ROW()=3,"",IF(AND($I31&lt;2,INDEX($I:$I,ROW()-1)&lt;2),1,0)))</f>
        <v/>
      </c>
      <c r="AF31">
        <f>IF($A31="","",IF(OR($E31=1,$AD31=1,$AE31=1),1,0))</f>
        <v/>
      </c>
      <c r="AG31">
        <f>IF($A31="","",IF(ROW()=3,"",IF(AND($B31&gt;=Settings!$C$14,INDEX($B:$B,ROW()-1)&gt;=Settings!$C$14),1,0)))</f>
        <v/>
      </c>
      <c r="AH31">
        <f>IF($A31="","",IF(AND($L31&gt;=Settings!$C$34,$AC31&lt;1),1,0))</f>
        <v/>
      </c>
      <c r="AI31">
        <f>SUMIFS(Raw_Events!$H:$H,Raw_Events!$D:$D,$A31,Raw_Events!$G:$G,"DEEP_WORK_HOURS")</f>
        <v/>
      </c>
      <c r="AJ31">
        <f>SUMIFS(Raw_Events!$H:$H,Raw_Events!$D:$D,$A31,Raw_Events!$G:$G,"EDUCATION_HOURS")</f>
        <v/>
      </c>
      <c r="AK31">
        <f>SUMIFS(Raw_Events!$H:$H,Raw_Events!$D:$D,$A31,Raw_Events!$G:$G,"HOBBY_HOURS")</f>
        <v/>
      </c>
      <c r="AL31">
        <f>SUMIFS(Raw_Events!$H:$H,Raw_Events!$D:$D,$A31,Raw_Events!$G:$G,"PARTNER_QUALITY_TIME")</f>
        <v/>
      </c>
      <c r="AM31">
        <f>IFERROR(MAXIFS(Raw_Events!$H:$H,Raw_Events!$D:$D,$A31,Raw_Events!$G:$G,"INVESTMENT_COVERAGE"),"")</f>
        <v/>
      </c>
    </row>
    <row r="32" ht="15" customHeight="1">
      <c r="A32" s="17" t="n">
        <v>46230</v>
      </c>
      <c r="B32" s="3">
        <f>IFERROR(VLOOKUP($A32,Raw_Weekly!$A:$G,2,FALSE),"")</f>
        <v/>
      </c>
      <c r="C32" s="3">
        <f>IFERROR(VLOOKUP($A32,Raw_Weekly!$A:$G,3,FALSE),"")</f>
        <v/>
      </c>
      <c r="D32" s="3">
        <f>IFERROR(VLOOKUP($A32,Raw_Weekly!$A:$G,4,FALSE),0)</f>
        <v/>
      </c>
      <c r="E32">
        <f>IF($B32="","",IF(OR($B32&gt;=Settings!$C$14,IFERROR(VLOOKUP($A32,Raw_Weekly!$A:$H,8,FALSE),0)=1),1,0))</f>
        <v/>
      </c>
      <c r="F32">
        <f>IF($B32="","",IF($B32&lt;=Settings!$C$13,1,0))</f>
        <v/>
      </c>
      <c r="G32">
        <f>IF($C32="","",IF($C32&lt;=Settings!$C$12,1,0))</f>
        <v/>
      </c>
      <c r="H32" s="3">
        <f>COUNTIFS(Raw_Events!$D:$D,$A32,Raw_Events!$G:$G,"SOCIAL_MEET")+COUNTIFS(Raw_Events!$D:$D,$A32,Raw_Events!$G:$G,"COMMUNITY_SESSION")+COUNTIFS(Raw_Events!$D:$D,$A32,Raw_Events!$G:$G,"HOSTED_EVENT")</f>
        <v/>
      </c>
      <c r="I32" s="3">
        <f>COUNTIFS(Raw_Events!$D:$D,$A32,Raw_Events!$G:$G,"DATE")</f>
        <v/>
      </c>
      <c r="J32" s="3">
        <f>COUNTIFS(Raw_Events!$D:$D,$A32,Raw_Events!$G:$G,"TRAINING_MIN")+COUNTIFS(Raw_Events!$D:$D,$A32,Raw_Events!$G:$G,"DICTION_TRAINING_MIN")</f>
        <v/>
      </c>
      <c r="K32" s="3">
        <f>SUMIFS(Raw_Events!$H:$H,Raw_Events!$D:$D,$A32,Raw_Events!$G:$G,"TRAINING_MIN")+SUMIFS(Raw_Events!$H:$H,Raw_Events!$D:$D,$A32,Raw_Events!$G:$G,"DICTION_TRAINING_MIN")</f>
        <v/>
      </c>
      <c r="L32" s="3">
        <f>SUMIFS(Raw_Events!$H:$H,Raw_Events!$D:$D,$A32,Raw_Events!$G:$G,"IDEA")</f>
        <v/>
      </c>
      <c r="M32" s="3">
        <f>SUMIFS(Raw_Events!$H:$H,Raw_Events!$D:$D,$A32,Raw_Events!$G:$G,"MINDFULNESS_MIN")</f>
        <v/>
      </c>
      <c r="N32" s="3">
        <f>SUMIFS(Daily_Agg!$G:$G,Daily_Agg!$A:$A,"&gt;="&amp;$A32,Daily_Agg!$A:$A,"&lt;"&amp;$A32+7)</f>
        <v/>
      </c>
      <c r="O32" s="3">
        <f>SUMIFS(Daily_Agg!$E:$E,Daily_Agg!$A:$A,"&gt;="&amp;$A32,Daily_Agg!$A:$A,"&lt;"&amp;$A32+7)</f>
        <v/>
      </c>
      <c r="P32" s="3">
        <f>SUMIFS(Raw_Events!$L:$L,Raw_Events!$D:$D,$A32,Raw_Events!$G:$G,"ALCOHOL")</f>
        <v/>
      </c>
      <c r="Q32" s="3">
        <f>SUMIFS(Raw_Events!$H:$H,Raw_Events!$D:$D,$A32,Raw_Events!$G:$G,"CIGARETTES")</f>
        <v/>
      </c>
      <c r="R32" s="3">
        <f>SUMIFS(Raw_Events!$H:$H,Raw_Events!$D:$D,$A32,Raw_Events!$G:$G,"UNHEALTHY_MEAL")</f>
        <v/>
      </c>
      <c r="S32" s="3">
        <f>COUNTIFS(Raw_Events!$D:$D,$A32,Raw_Events!$G:$G,"WORKOUT")</f>
        <v/>
      </c>
      <c r="T32" s="3">
        <f>IFERROR(VLOOKUP($A32,Raw_Weekly!$A:$G,5,FALSE),"")</f>
        <v/>
      </c>
      <c r="U32" s="3">
        <f>COUNTIFS(Raw_Events!$D:$D,$A32,Raw_Events!$G:$G,"NEW_ACTIVITY")</f>
        <v/>
      </c>
      <c r="V32" s="3">
        <f>SUMIFS(Raw_Events!$H:$H,Raw_Events!$D:$D,$A32,Raw_Events!$G:$G,"TRAVEL_NIGHT")</f>
        <v/>
      </c>
      <c r="W32">
        <f>IF($E32=1,IF(AND($H32&gt;=Settings!$C$39,$J32&gt;=Settings!$C$40,$L32&gt;=Settings!$C$41),1,0),"")</f>
        <v/>
      </c>
      <c r="X32">
        <f>IF($A32="","",IF(COUNTIFS(Raw_Events!$D:$D,$A32,Raw_Events!$G:$G,"ORIGINATION_ACTION")&gt;0,COUNTIFS(Raw_Events!$D:$D,$A32,Raw_Events!$G:$G,"ORIGINATION_ACTION"),COUNTIFS(Raw_Events!$D:$D,$A32,Raw_Events!$G:$G,"STAKEHOLDER_CHAT")+COUNTIFS(Raw_Events!$D:$D,$A32,Raw_Events!$G:$G,"MEMO_WRITTEN")+COUNTIFS(Raw_Events!$D:$D,$A32,Raw_Events!$G:$G,"INITIATIVE_PRESENTED_VP")+COUNTIFS(Raw_Events!$D:$D,$A32,Raw_Events!$G:$G,"INITIATIVE_IDEA")))</f>
        <v/>
      </c>
      <c r="Y32">
        <f>IF($X32="","",IF($X32&gt;=1,1,0))</f>
        <v/>
      </c>
      <c r="Z32">
        <f>COUNTIFS(Raw_Events!$D:$D,$A32,Raw_Events!$G:$G,"WORKOUT_SKIPPED")</f>
        <v/>
      </c>
      <c r="AA32">
        <f>COUNTIFS(Raw_Events!$D:$D,$A32,Raw_Events!$G:$G,"COMMUNITY_SESSION")</f>
        <v/>
      </c>
      <c r="AB32">
        <f>COUNTIFS(Raw_Events!$D:$D,$A32,Raw_Events!$G:$G,"HOSTED_EVENT")</f>
        <v/>
      </c>
      <c r="AC32">
        <f>SUMIFS(Raw_Events!$H:$H,Raw_Events!$D:$D,$A32,Raw_Events!$G:$G,"IDEA_STAR")</f>
        <v/>
      </c>
      <c r="AD32">
        <f>IF($A32="","",IF(ROW()=3,"",IF(AND($H32&lt;1,INDEX($H:$H,ROW()-1)&lt;1),1,0)))</f>
        <v/>
      </c>
      <c r="AE32">
        <f>IF($A32="","",IF(ROW()=3,"",IF(AND($I32&lt;2,INDEX($I:$I,ROW()-1)&lt;2),1,0)))</f>
        <v/>
      </c>
      <c r="AF32">
        <f>IF($A32="","",IF(OR($E32=1,$AD32=1,$AE32=1),1,0))</f>
        <v/>
      </c>
      <c r="AG32">
        <f>IF($A32="","",IF(ROW()=3,"",IF(AND($B32&gt;=Settings!$C$14,INDEX($B:$B,ROW()-1)&gt;=Settings!$C$14),1,0)))</f>
        <v/>
      </c>
      <c r="AH32">
        <f>IF($A32="","",IF(AND($L32&gt;=Settings!$C$34,$AC32&lt;1),1,0))</f>
        <v/>
      </c>
      <c r="AI32">
        <f>SUMIFS(Raw_Events!$H:$H,Raw_Events!$D:$D,$A32,Raw_Events!$G:$G,"DEEP_WORK_HOURS")</f>
        <v/>
      </c>
      <c r="AJ32">
        <f>SUMIFS(Raw_Events!$H:$H,Raw_Events!$D:$D,$A32,Raw_Events!$G:$G,"EDUCATION_HOURS")</f>
        <v/>
      </c>
      <c r="AK32">
        <f>SUMIFS(Raw_Events!$H:$H,Raw_Events!$D:$D,$A32,Raw_Events!$G:$G,"HOBBY_HOURS")</f>
        <v/>
      </c>
      <c r="AL32">
        <f>SUMIFS(Raw_Events!$H:$H,Raw_Events!$D:$D,$A32,Raw_Events!$G:$G,"PARTNER_QUALITY_TIME")</f>
        <v/>
      </c>
      <c r="AM32">
        <f>IFERROR(MAXIFS(Raw_Events!$H:$H,Raw_Events!$D:$D,$A32,Raw_Events!$G:$G,"INVESTMENT_COVERAGE"),"")</f>
        <v/>
      </c>
    </row>
    <row r="33" ht="15" customHeight="1">
      <c r="A33" s="17" t="n">
        <v>46237</v>
      </c>
      <c r="B33" s="3">
        <f>IFERROR(VLOOKUP($A33,Raw_Weekly!$A:$G,2,FALSE),"")</f>
        <v/>
      </c>
      <c r="C33" s="3">
        <f>IFERROR(VLOOKUP($A33,Raw_Weekly!$A:$G,3,FALSE),"")</f>
        <v/>
      </c>
      <c r="D33" s="3">
        <f>IFERROR(VLOOKUP($A33,Raw_Weekly!$A:$G,4,FALSE),0)</f>
        <v/>
      </c>
      <c r="E33">
        <f>IF($B33="","",IF(OR($B33&gt;=Settings!$C$14,IFERROR(VLOOKUP($A33,Raw_Weekly!$A:$H,8,FALSE),0)=1),1,0))</f>
        <v/>
      </c>
      <c r="F33">
        <f>IF($B33="","",IF($B33&lt;=Settings!$C$13,1,0))</f>
        <v/>
      </c>
      <c r="G33">
        <f>IF($C33="","",IF($C33&lt;=Settings!$C$12,1,0))</f>
        <v/>
      </c>
      <c r="H33" s="3">
        <f>COUNTIFS(Raw_Events!$D:$D,$A33,Raw_Events!$G:$G,"SOCIAL_MEET")+COUNTIFS(Raw_Events!$D:$D,$A33,Raw_Events!$G:$G,"COMMUNITY_SESSION")+COUNTIFS(Raw_Events!$D:$D,$A33,Raw_Events!$G:$G,"HOSTED_EVENT")</f>
        <v/>
      </c>
      <c r="I33" s="3">
        <f>COUNTIFS(Raw_Events!$D:$D,$A33,Raw_Events!$G:$G,"DATE")</f>
        <v/>
      </c>
      <c r="J33" s="3">
        <f>COUNTIFS(Raw_Events!$D:$D,$A33,Raw_Events!$G:$G,"TRAINING_MIN")+COUNTIFS(Raw_Events!$D:$D,$A33,Raw_Events!$G:$G,"DICTION_TRAINING_MIN")</f>
        <v/>
      </c>
      <c r="K33" s="3">
        <f>SUMIFS(Raw_Events!$H:$H,Raw_Events!$D:$D,$A33,Raw_Events!$G:$G,"TRAINING_MIN")+SUMIFS(Raw_Events!$H:$H,Raw_Events!$D:$D,$A33,Raw_Events!$G:$G,"DICTION_TRAINING_MIN")</f>
        <v/>
      </c>
      <c r="L33" s="3">
        <f>SUMIFS(Raw_Events!$H:$H,Raw_Events!$D:$D,$A33,Raw_Events!$G:$G,"IDEA")</f>
        <v/>
      </c>
      <c r="M33" s="3">
        <f>SUMIFS(Raw_Events!$H:$H,Raw_Events!$D:$D,$A33,Raw_Events!$G:$G,"MINDFULNESS_MIN")</f>
        <v/>
      </c>
      <c r="N33" s="3">
        <f>SUMIFS(Daily_Agg!$G:$G,Daily_Agg!$A:$A,"&gt;="&amp;$A33,Daily_Agg!$A:$A,"&lt;"&amp;$A33+7)</f>
        <v/>
      </c>
      <c r="O33" s="3">
        <f>SUMIFS(Daily_Agg!$E:$E,Daily_Agg!$A:$A,"&gt;="&amp;$A33,Daily_Agg!$A:$A,"&lt;"&amp;$A33+7)</f>
        <v/>
      </c>
      <c r="P33" s="3">
        <f>SUMIFS(Raw_Events!$L:$L,Raw_Events!$D:$D,$A33,Raw_Events!$G:$G,"ALCOHOL")</f>
        <v/>
      </c>
      <c r="Q33" s="3">
        <f>SUMIFS(Raw_Events!$H:$H,Raw_Events!$D:$D,$A33,Raw_Events!$G:$G,"CIGARETTES")</f>
        <v/>
      </c>
      <c r="R33" s="3">
        <f>SUMIFS(Raw_Events!$H:$H,Raw_Events!$D:$D,$A33,Raw_Events!$G:$G,"UNHEALTHY_MEAL")</f>
        <v/>
      </c>
      <c r="S33" s="3">
        <f>COUNTIFS(Raw_Events!$D:$D,$A33,Raw_Events!$G:$G,"WORKOUT")</f>
        <v/>
      </c>
      <c r="T33" s="3">
        <f>IFERROR(VLOOKUP($A33,Raw_Weekly!$A:$G,5,FALSE),"")</f>
        <v/>
      </c>
      <c r="U33" s="3">
        <f>COUNTIFS(Raw_Events!$D:$D,$A33,Raw_Events!$G:$G,"NEW_ACTIVITY")</f>
        <v/>
      </c>
      <c r="V33" s="3">
        <f>SUMIFS(Raw_Events!$H:$H,Raw_Events!$D:$D,$A33,Raw_Events!$G:$G,"TRAVEL_NIGHT")</f>
        <v/>
      </c>
      <c r="W33">
        <f>IF($E33=1,IF(AND($H33&gt;=Settings!$C$39,$J33&gt;=Settings!$C$40,$L33&gt;=Settings!$C$41),1,0),"")</f>
        <v/>
      </c>
      <c r="X33">
        <f>IF($A33="","",IF(COUNTIFS(Raw_Events!$D:$D,$A33,Raw_Events!$G:$G,"ORIGINATION_ACTION")&gt;0,COUNTIFS(Raw_Events!$D:$D,$A33,Raw_Events!$G:$G,"ORIGINATION_ACTION"),COUNTIFS(Raw_Events!$D:$D,$A33,Raw_Events!$G:$G,"STAKEHOLDER_CHAT")+COUNTIFS(Raw_Events!$D:$D,$A33,Raw_Events!$G:$G,"MEMO_WRITTEN")+COUNTIFS(Raw_Events!$D:$D,$A33,Raw_Events!$G:$G,"INITIATIVE_PRESENTED_VP")+COUNTIFS(Raw_Events!$D:$D,$A33,Raw_Events!$G:$G,"INITIATIVE_IDEA")))</f>
        <v/>
      </c>
      <c r="Y33">
        <f>IF($X33="","",IF($X33&gt;=1,1,0))</f>
        <v/>
      </c>
      <c r="Z33">
        <f>COUNTIFS(Raw_Events!$D:$D,$A33,Raw_Events!$G:$G,"WORKOUT_SKIPPED")</f>
        <v/>
      </c>
      <c r="AA33">
        <f>COUNTIFS(Raw_Events!$D:$D,$A33,Raw_Events!$G:$G,"COMMUNITY_SESSION")</f>
        <v/>
      </c>
      <c r="AB33">
        <f>COUNTIFS(Raw_Events!$D:$D,$A33,Raw_Events!$G:$G,"HOSTED_EVENT")</f>
        <v/>
      </c>
      <c r="AC33">
        <f>SUMIFS(Raw_Events!$H:$H,Raw_Events!$D:$D,$A33,Raw_Events!$G:$G,"IDEA_STAR")</f>
        <v/>
      </c>
      <c r="AD33">
        <f>IF($A33="","",IF(ROW()=3,"",IF(AND($H33&lt;1,INDEX($H:$H,ROW()-1)&lt;1),1,0)))</f>
        <v/>
      </c>
      <c r="AE33">
        <f>IF($A33="","",IF(ROW()=3,"",IF(AND($I33&lt;2,INDEX($I:$I,ROW()-1)&lt;2),1,0)))</f>
        <v/>
      </c>
      <c r="AF33">
        <f>IF($A33="","",IF(OR($E33=1,$AD33=1,$AE33=1),1,0))</f>
        <v/>
      </c>
      <c r="AG33">
        <f>IF($A33="","",IF(ROW()=3,"",IF(AND($B33&gt;=Settings!$C$14,INDEX($B:$B,ROW()-1)&gt;=Settings!$C$14),1,0)))</f>
        <v/>
      </c>
      <c r="AH33">
        <f>IF($A33="","",IF(AND($L33&gt;=Settings!$C$34,$AC33&lt;1),1,0))</f>
        <v/>
      </c>
      <c r="AI33">
        <f>SUMIFS(Raw_Events!$H:$H,Raw_Events!$D:$D,$A33,Raw_Events!$G:$G,"DEEP_WORK_HOURS")</f>
        <v/>
      </c>
      <c r="AJ33">
        <f>SUMIFS(Raw_Events!$H:$H,Raw_Events!$D:$D,$A33,Raw_Events!$G:$G,"EDUCATION_HOURS")</f>
        <v/>
      </c>
      <c r="AK33">
        <f>SUMIFS(Raw_Events!$H:$H,Raw_Events!$D:$D,$A33,Raw_Events!$G:$G,"HOBBY_HOURS")</f>
        <v/>
      </c>
      <c r="AL33">
        <f>SUMIFS(Raw_Events!$H:$H,Raw_Events!$D:$D,$A33,Raw_Events!$G:$G,"PARTNER_QUALITY_TIME")</f>
        <v/>
      </c>
      <c r="AM33">
        <f>IFERROR(MAXIFS(Raw_Events!$H:$H,Raw_Events!$D:$D,$A33,Raw_Events!$G:$G,"INVESTMENT_COVERAGE"),"")</f>
        <v/>
      </c>
    </row>
    <row r="34" ht="15" customHeight="1">
      <c r="A34" s="17" t="n">
        <v>46244</v>
      </c>
      <c r="B34" s="3">
        <f>IFERROR(VLOOKUP($A34,Raw_Weekly!$A:$G,2,FALSE),"")</f>
        <v/>
      </c>
      <c r="C34" s="3">
        <f>IFERROR(VLOOKUP($A34,Raw_Weekly!$A:$G,3,FALSE),"")</f>
        <v/>
      </c>
      <c r="D34" s="3">
        <f>IFERROR(VLOOKUP($A34,Raw_Weekly!$A:$G,4,FALSE),0)</f>
        <v/>
      </c>
      <c r="E34">
        <f>IF($B34="","",IF(OR($B34&gt;=Settings!$C$14,IFERROR(VLOOKUP($A34,Raw_Weekly!$A:$H,8,FALSE),0)=1),1,0))</f>
        <v/>
      </c>
      <c r="F34">
        <f>IF($B34="","",IF($B34&lt;=Settings!$C$13,1,0))</f>
        <v/>
      </c>
      <c r="G34">
        <f>IF($C34="","",IF($C34&lt;=Settings!$C$12,1,0))</f>
        <v/>
      </c>
      <c r="H34" s="3">
        <f>COUNTIFS(Raw_Events!$D:$D,$A34,Raw_Events!$G:$G,"SOCIAL_MEET")+COUNTIFS(Raw_Events!$D:$D,$A34,Raw_Events!$G:$G,"COMMUNITY_SESSION")+COUNTIFS(Raw_Events!$D:$D,$A34,Raw_Events!$G:$G,"HOSTED_EVENT")</f>
        <v/>
      </c>
      <c r="I34" s="3">
        <f>COUNTIFS(Raw_Events!$D:$D,$A34,Raw_Events!$G:$G,"DATE")</f>
        <v/>
      </c>
      <c r="J34" s="3">
        <f>COUNTIFS(Raw_Events!$D:$D,$A34,Raw_Events!$G:$G,"TRAINING_MIN")+COUNTIFS(Raw_Events!$D:$D,$A34,Raw_Events!$G:$G,"DICTION_TRAINING_MIN")</f>
        <v/>
      </c>
      <c r="K34" s="3">
        <f>SUMIFS(Raw_Events!$H:$H,Raw_Events!$D:$D,$A34,Raw_Events!$G:$G,"TRAINING_MIN")+SUMIFS(Raw_Events!$H:$H,Raw_Events!$D:$D,$A34,Raw_Events!$G:$G,"DICTION_TRAINING_MIN")</f>
        <v/>
      </c>
      <c r="L34" s="3">
        <f>SUMIFS(Raw_Events!$H:$H,Raw_Events!$D:$D,$A34,Raw_Events!$G:$G,"IDEA")</f>
        <v/>
      </c>
      <c r="M34" s="3">
        <f>SUMIFS(Raw_Events!$H:$H,Raw_Events!$D:$D,$A34,Raw_Events!$G:$G,"MINDFULNESS_MIN")</f>
        <v/>
      </c>
      <c r="N34" s="3">
        <f>SUMIFS(Daily_Agg!$G:$G,Daily_Agg!$A:$A,"&gt;="&amp;$A34,Daily_Agg!$A:$A,"&lt;"&amp;$A34+7)</f>
        <v/>
      </c>
      <c r="O34" s="3">
        <f>SUMIFS(Daily_Agg!$E:$E,Daily_Agg!$A:$A,"&gt;="&amp;$A34,Daily_Agg!$A:$A,"&lt;"&amp;$A34+7)</f>
        <v/>
      </c>
      <c r="P34" s="3">
        <f>SUMIFS(Raw_Events!$L:$L,Raw_Events!$D:$D,$A34,Raw_Events!$G:$G,"ALCOHOL")</f>
        <v/>
      </c>
      <c r="Q34" s="3">
        <f>SUMIFS(Raw_Events!$H:$H,Raw_Events!$D:$D,$A34,Raw_Events!$G:$G,"CIGARETTES")</f>
        <v/>
      </c>
      <c r="R34" s="3">
        <f>SUMIFS(Raw_Events!$H:$H,Raw_Events!$D:$D,$A34,Raw_Events!$G:$G,"UNHEALTHY_MEAL")</f>
        <v/>
      </c>
      <c r="S34" s="3">
        <f>COUNTIFS(Raw_Events!$D:$D,$A34,Raw_Events!$G:$G,"WORKOUT")</f>
        <v/>
      </c>
      <c r="T34" s="3">
        <f>IFERROR(VLOOKUP($A34,Raw_Weekly!$A:$G,5,FALSE),"")</f>
        <v/>
      </c>
      <c r="U34" s="3">
        <f>COUNTIFS(Raw_Events!$D:$D,$A34,Raw_Events!$G:$G,"NEW_ACTIVITY")</f>
        <v/>
      </c>
      <c r="V34" s="3">
        <f>SUMIFS(Raw_Events!$H:$H,Raw_Events!$D:$D,$A34,Raw_Events!$G:$G,"TRAVEL_NIGHT")</f>
        <v/>
      </c>
      <c r="W34">
        <f>IF($E34=1,IF(AND($H34&gt;=Settings!$C$39,$J34&gt;=Settings!$C$40,$L34&gt;=Settings!$C$41),1,0),"")</f>
        <v/>
      </c>
      <c r="X34">
        <f>IF($A34="","",IF(COUNTIFS(Raw_Events!$D:$D,$A34,Raw_Events!$G:$G,"ORIGINATION_ACTION")&gt;0,COUNTIFS(Raw_Events!$D:$D,$A34,Raw_Events!$G:$G,"ORIGINATION_ACTION"),COUNTIFS(Raw_Events!$D:$D,$A34,Raw_Events!$G:$G,"STAKEHOLDER_CHAT")+COUNTIFS(Raw_Events!$D:$D,$A34,Raw_Events!$G:$G,"MEMO_WRITTEN")+COUNTIFS(Raw_Events!$D:$D,$A34,Raw_Events!$G:$G,"INITIATIVE_PRESENTED_VP")+COUNTIFS(Raw_Events!$D:$D,$A34,Raw_Events!$G:$G,"INITIATIVE_IDEA")))</f>
        <v/>
      </c>
      <c r="Y34">
        <f>IF($X34="","",IF($X34&gt;=1,1,0))</f>
        <v/>
      </c>
      <c r="Z34">
        <f>COUNTIFS(Raw_Events!$D:$D,$A34,Raw_Events!$G:$G,"WORKOUT_SKIPPED")</f>
        <v/>
      </c>
      <c r="AA34">
        <f>COUNTIFS(Raw_Events!$D:$D,$A34,Raw_Events!$G:$G,"COMMUNITY_SESSION")</f>
        <v/>
      </c>
      <c r="AB34">
        <f>COUNTIFS(Raw_Events!$D:$D,$A34,Raw_Events!$G:$G,"HOSTED_EVENT")</f>
        <v/>
      </c>
      <c r="AC34">
        <f>SUMIFS(Raw_Events!$H:$H,Raw_Events!$D:$D,$A34,Raw_Events!$G:$G,"IDEA_STAR")</f>
        <v/>
      </c>
      <c r="AD34">
        <f>IF($A34="","",IF(ROW()=3,"",IF(AND($H34&lt;1,INDEX($H:$H,ROW()-1)&lt;1),1,0)))</f>
        <v/>
      </c>
      <c r="AE34">
        <f>IF($A34="","",IF(ROW()=3,"",IF(AND($I34&lt;2,INDEX($I:$I,ROW()-1)&lt;2),1,0)))</f>
        <v/>
      </c>
      <c r="AF34">
        <f>IF($A34="","",IF(OR($E34=1,$AD34=1,$AE34=1),1,0))</f>
        <v/>
      </c>
      <c r="AG34">
        <f>IF($A34="","",IF(ROW()=3,"",IF(AND($B34&gt;=Settings!$C$14,INDEX($B:$B,ROW()-1)&gt;=Settings!$C$14),1,0)))</f>
        <v/>
      </c>
      <c r="AH34">
        <f>IF($A34="","",IF(AND($L34&gt;=Settings!$C$34,$AC34&lt;1),1,0))</f>
        <v/>
      </c>
      <c r="AI34">
        <f>SUMIFS(Raw_Events!$H:$H,Raw_Events!$D:$D,$A34,Raw_Events!$G:$G,"DEEP_WORK_HOURS")</f>
        <v/>
      </c>
      <c r="AJ34">
        <f>SUMIFS(Raw_Events!$H:$H,Raw_Events!$D:$D,$A34,Raw_Events!$G:$G,"EDUCATION_HOURS")</f>
        <v/>
      </c>
      <c r="AK34">
        <f>SUMIFS(Raw_Events!$H:$H,Raw_Events!$D:$D,$A34,Raw_Events!$G:$G,"HOBBY_HOURS")</f>
        <v/>
      </c>
      <c r="AL34">
        <f>SUMIFS(Raw_Events!$H:$H,Raw_Events!$D:$D,$A34,Raw_Events!$G:$G,"PARTNER_QUALITY_TIME")</f>
        <v/>
      </c>
      <c r="AM34">
        <f>IFERROR(MAXIFS(Raw_Events!$H:$H,Raw_Events!$D:$D,$A34,Raw_Events!$G:$G,"INVESTMENT_COVERAGE"),"")</f>
        <v/>
      </c>
    </row>
    <row r="35" ht="15" customHeight="1">
      <c r="A35" s="17" t="n">
        <v>46251</v>
      </c>
      <c r="B35" s="3">
        <f>IFERROR(VLOOKUP($A35,Raw_Weekly!$A:$G,2,FALSE),"")</f>
        <v/>
      </c>
      <c r="C35" s="3">
        <f>IFERROR(VLOOKUP($A35,Raw_Weekly!$A:$G,3,FALSE),"")</f>
        <v/>
      </c>
      <c r="D35" s="3">
        <f>IFERROR(VLOOKUP($A35,Raw_Weekly!$A:$G,4,FALSE),0)</f>
        <v/>
      </c>
      <c r="E35">
        <f>IF($B35="","",IF(OR($B35&gt;=Settings!$C$14,IFERROR(VLOOKUP($A35,Raw_Weekly!$A:$H,8,FALSE),0)=1),1,0))</f>
        <v/>
      </c>
      <c r="F35">
        <f>IF($B35="","",IF($B35&lt;=Settings!$C$13,1,0))</f>
        <v/>
      </c>
      <c r="G35">
        <f>IF($C35="","",IF($C35&lt;=Settings!$C$12,1,0))</f>
        <v/>
      </c>
      <c r="H35" s="3">
        <f>COUNTIFS(Raw_Events!$D:$D,$A35,Raw_Events!$G:$G,"SOCIAL_MEET")+COUNTIFS(Raw_Events!$D:$D,$A35,Raw_Events!$G:$G,"COMMUNITY_SESSION")+COUNTIFS(Raw_Events!$D:$D,$A35,Raw_Events!$G:$G,"HOSTED_EVENT")</f>
        <v/>
      </c>
      <c r="I35" s="3">
        <f>COUNTIFS(Raw_Events!$D:$D,$A35,Raw_Events!$G:$G,"DATE")</f>
        <v/>
      </c>
      <c r="J35" s="3">
        <f>COUNTIFS(Raw_Events!$D:$D,$A35,Raw_Events!$G:$G,"TRAINING_MIN")+COUNTIFS(Raw_Events!$D:$D,$A35,Raw_Events!$G:$G,"DICTION_TRAINING_MIN")</f>
        <v/>
      </c>
      <c r="K35" s="3">
        <f>SUMIFS(Raw_Events!$H:$H,Raw_Events!$D:$D,$A35,Raw_Events!$G:$G,"TRAINING_MIN")+SUMIFS(Raw_Events!$H:$H,Raw_Events!$D:$D,$A35,Raw_Events!$G:$G,"DICTION_TRAINING_MIN")</f>
        <v/>
      </c>
      <c r="L35" s="3">
        <f>SUMIFS(Raw_Events!$H:$H,Raw_Events!$D:$D,$A35,Raw_Events!$G:$G,"IDEA")</f>
        <v/>
      </c>
      <c r="M35" s="3">
        <f>SUMIFS(Raw_Events!$H:$H,Raw_Events!$D:$D,$A35,Raw_Events!$G:$G,"MINDFULNESS_MIN")</f>
        <v/>
      </c>
      <c r="N35" s="3">
        <f>SUMIFS(Daily_Agg!$G:$G,Daily_Agg!$A:$A,"&gt;="&amp;$A35,Daily_Agg!$A:$A,"&lt;"&amp;$A35+7)</f>
        <v/>
      </c>
      <c r="O35" s="3">
        <f>SUMIFS(Daily_Agg!$E:$E,Daily_Agg!$A:$A,"&gt;="&amp;$A35,Daily_Agg!$A:$A,"&lt;"&amp;$A35+7)</f>
        <v/>
      </c>
      <c r="P35" s="3">
        <f>SUMIFS(Raw_Events!$L:$L,Raw_Events!$D:$D,$A35,Raw_Events!$G:$G,"ALCOHOL")</f>
        <v/>
      </c>
      <c r="Q35" s="3">
        <f>SUMIFS(Raw_Events!$H:$H,Raw_Events!$D:$D,$A35,Raw_Events!$G:$G,"CIGARETTES")</f>
        <v/>
      </c>
      <c r="R35" s="3">
        <f>SUMIFS(Raw_Events!$H:$H,Raw_Events!$D:$D,$A35,Raw_Events!$G:$G,"UNHEALTHY_MEAL")</f>
        <v/>
      </c>
      <c r="S35" s="3">
        <f>COUNTIFS(Raw_Events!$D:$D,$A35,Raw_Events!$G:$G,"WORKOUT")</f>
        <v/>
      </c>
      <c r="T35" s="3">
        <f>IFERROR(VLOOKUP($A35,Raw_Weekly!$A:$G,5,FALSE),"")</f>
        <v/>
      </c>
      <c r="U35" s="3">
        <f>COUNTIFS(Raw_Events!$D:$D,$A35,Raw_Events!$G:$G,"NEW_ACTIVITY")</f>
        <v/>
      </c>
      <c r="V35" s="3">
        <f>SUMIFS(Raw_Events!$H:$H,Raw_Events!$D:$D,$A35,Raw_Events!$G:$G,"TRAVEL_NIGHT")</f>
        <v/>
      </c>
      <c r="W35">
        <f>IF($E35=1,IF(AND($H35&gt;=Settings!$C$39,$J35&gt;=Settings!$C$40,$L35&gt;=Settings!$C$41),1,0),"")</f>
        <v/>
      </c>
      <c r="X35">
        <f>IF($A35="","",IF(COUNTIFS(Raw_Events!$D:$D,$A35,Raw_Events!$G:$G,"ORIGINATION_ACTION")&gt;0,COUNTIFS(Raw_Events!$D:$D,$A35,Raw_Events!$G:$G,"ORIGINATION_ACTION"),COUNTIFS(Raw_Events!$D:$D,$A35,Raw_Events!$G:$G,"STAKEHOLDER_CHAT")+COUNTIFS(Raw_Events!$D:$D,$A35,Raw_Events!$G:$G,"MEMO_WRITTEN")+COUNTIFS(Raw_Events!$D:$D,$A35,Raw_Events!$G:$G,"INITIATIVE_PRESENTED_VP")+COUNTIFS(Raw_Events!$D:$D,$A35,Raw_Events!$G:$G,"INITIATIVE_IDEA")))</f>
        <v/>
      </c>
      <c r="Y35">
        <f>IF($X35="","",IF($X35&gt;=1,1,0))</f>
        <v/>
      </c>
      <c r="Z35">
        <f>COUNTIFS(Raw_Events!$D:$D,$A35,Raw_Events!$G:$G,"WORKOUT_SKIPPED")</f>
        <v/>
      </c>
      <c r="AA35">
        <f>COUNTIFS(Raw_Events!$D:$D,$A35,Raw_Events!$G:$G,"COMMUNITY_SESSION")</f>
        <v/>
      </c>
      <c r="AB35">
        <f>COUNTIFS(Raw_Events!$D:$D,$A35,Raw_Events!$G:$G,"HOSTED_EVENT")</f>
        <v/>
      </c>
      <c r="AC35">
        <f>SUMIFS(Raw_Events!$H:$H,Raw_Events!$D:$D,$A35,Raw_Events!$G:$G,"IDEA_STAR")</f>
        <v/>
      </c>
      <c r="AD35">
        <f>IF($A35="","",IF(ROW()=3,"",IF(AND($H35&lt;1,INDEX($H:$H,ROW()-1)&lt;1),1,0)))</f>
        <v/>
      </c>
      <c r="AE35">
        <f>IF($A35="","",IF(ROW()=3,"",IF(AND($I35&lt;2,INDEX($I:$I,ROW()-1)&lt;2),1,0)))</f>
        <v/>
      </c>
      <c r="AF35">
        <f>IF($A35="","",IF(OR($E35=1,$AD35=1,$AE35=1),1,0))</f>
        <v/>
      </c>
      <c r="AG35">
        <f>IF($A35="","",IF(ROW()=3,"",IF(AND($B35&gt;=Settings!$C$14,INDEX($B:$B,ROW()-1)&gt;=Settings!$C$14),1,0)))</f>
        <v/>
      </c>
      <c r="AH35">
        <f>IF($A35="","",IF(AND($L35&gt;=Settings!$C$34,$AC35&lt;1),1,0))</f>
        <v/>
      </c>
      <c r="AI35">
        <f>SUMIFS(Raw_Events!$H:$H,Raw_Events!$D:$D,$A35,Raw_Events!$G:$G,"DEEP_WORK_HOURS")</f>
        <v/>
      </c>
      <c r="AJ35">
        <f>SUMIFS(Raw_Events!$H:$H,Raw_Events!$D:$D,$A35,Raw_Events!$G:$G,"EDUCATION_HOURS")</f>
        <v/>
      </c>
      <c r="AK35">
        <f>SUMIFS(Raw_Events!$H:$H,Raw_Events!$D:$D,$A35,Raw_Events!$G:$G,"HOBBY_HOURS")</f>
        <v/>
      </c>
      <c r="AL35">
        <f>SUMIFS(Raw_Events!$H:$H,Raw_Events!$D:$D,$A35,Raw_Events!$G:$G,"PARTNER_QUALITY_TIME")</f>
        <v/>
      </c>
      <c r="AM35">
        <f>IFERROR(MAXIFS(Raw_Events!$H:$H,Raw_Events!$D:$D,$A35,Raw_Events!$G:$G,"INVESTMENT_COVERAGE"),"")</f>
        <v/>
      </c>
    </row>
    <row r="36" ht="15" customHeight="1">
      <c r="A36" s="17" t="n">
        <v>46258</v>
      </c>
      <c r="B36" s="3">
        <f>IFERROR(VLOOKUP($A36,Raw_Weekly!$A:$G,2,FALSE),"")</f>
        <v/>
      </c>
      <c r="C36" s="3">
        <f>IFERROR(VLOOKUP($A36,Raw_Weekly!$A:$G,3,FALSE),"")</f>
        <v/>
      </c>
      <c r="D36" s="3">
        <f>IFERROR(VLOOKUP($A36,Raw_Weekly!$A:$G,4,FALSE),0)</f>
        <v/>
      </c>
      <c r="E36">
        <f>IF($B36="","",IF(OR($B36&gt;=Settings!$C$14,IFERROR(VLOOKUP($A36,Raw_Weekly!$A:$H,8,FALSE),0)=1),1,0))</f>
        <v/>
      </c>
      <c r="F36">
        <f>IF($B36="","",IF($B36&lt;=Settings!$C$13,1,0))</f>
        <v/>
      </c>
      <c r="G36">
        <f>IF($C36="","",IF($C36&lt;=Settings!$C$12,1,0))</f>
        <v/>
      </c>
      <c r="H36" s="3">
        <f>COUNTIFS(Raw_Events!$D:$D,$A36,Raw_Events!$G:$G,"SOCIAL_MEET")+COUNTIFS(Raw_Events!$D:$D,$A36,Raw_Events!$G:$G,"COMMUNITY_SESSION")+COUNTIFS(Raw_Events!$D:$D,$A36,Raw_Events!$G:$G,"HOSTED_EVENT")</f>
        <v/>
      </c>
      <c r="I36" s="3">
        <f>COUNTIFS(Raw_Events!$D:$D,$A36,Raw_Events!$G:$G,"DATE")</f>
        <v/>
      </c>
      <c r="J36" s="3">
        <f>COUNTIFS(Raw_Events!$D:$D,$A36,Raw_Events!$G:$G,"TRAINING_MIN")+COUNTIFS(Raw_Events!$D:$D,$A36,Raw_Events!$G:$G,"DICTION_TRAINING_MIN")</f>
        <v/>
      </c>
      <c r="K36" s="3">
        <f>SUMIFS(Raw_Events!$H:$H,Raw_Events!$D:$D,$A36,Raw_Events!$G:$G,"TRAINING_MIN")+SUMIFS(Raw_Events!$H:$H,Raw_Events!$D:$D,$A36,Raw_Events!$G:$G,"DICTION_TRAINING_MIN")</f>
        <v/>
      </c>
      <c r="L36" s="3">
        <f>SUMIFS(Raw_Events!$H:$H,Raw_Events!$D:$D,$A36,Raw_Events!$G:$G,"IDEA")</f>
        <v/>
      </c>
      <c r="M36" s="3">
        <f>SUMIFS(Raw_Events!$H:$H,Raw_Events!$D:$D,$A36,Raw_Events!$G:$G,"MINDFULNESS_MIN")</f>
        <v/>
      </c>
      <c r="N36" s="3">
        <f>SUMIFS(Daily_Agg!$G:$G,Daily_Agg!$A:$A,"&gt;="&amp;$A36,Daily_Agg!$A:$A,"&lt;"&amp;$A36+7)</f>
        <v/>
      </c>
      <c r="O36" s="3">
        <f>SUMIFS(Daily_Agg!$E:$E,Daily_Agg!$A:$A,"&gt;="&amp;$A36,Daily_Agg!$A:$A,"&lt;"&amp;$A36+7)</f>
        <v/>
      </c>
      <c r="P36" s="3">
        <f>SUMIFS(Raw_Events!$L:$L,Raw_Events!$D:$D,$A36,Raw_Events!$G:$G,"ALCOHOL")</f>
        <v/>
      </c>
      <c r="Q36" s="3">
        <f>SUMIFS(Raw_Events!$H:$H,Raw_Events!$D:$D,$A36,Raw_Events!$G:$G,"CIGARETTES")</f>
        <v/>
      </c>
      <c r="R36" s="3">
        <f>SUMIFS(Raw_Events!$H:$H,Raw_Events!$D:$D,$A36,Raw_Events!$G:$G,"UNHEALTHY_MEAL")</f>
        <v/>
      </c>
      <c r="S36" s="3">
        <f>COUNTIFS(Raw_Events!$D:$D,$A36,Raw_Events!$G:$G,"WORKOUT")</f>
        <v/>
      </c>
      <c r="T36" s="3">
        <f>IFERROR(VLOOKUP($A36,Raw_Weekly!$A:$G,5,FALSE),"")</f>
        <v/>
      </c>
      <c r="U36" s="3">
        <f>COUNTIFS(Raw_Events!$D:$D,$A36,Raw_Events!$G:$G,"NEW_ACTIVITY")</f>
        <v/>
      </c>
      <c r="V36" s="3">
        <f>SUMIFS(Raw_Events!$H:$H,Raw_Events!$D:$D,$A36,Raw_Events!$G:$G,"TRAVEL_NIGHT")</f>
        <v/>
      </c>
      <c r="W36">
        <f>IF($E36=1,IF(AND($H36&gt;=Settings!$C$39,$J36&gt;=Settings!$C$40,$L36&gt;=Settings!$C$41),1,0),"")</f>
        <v/>
      </c>
      <c r="X36">
        <f>IF($A36="","",IF(COUNTIFS(Raw_Events!$D:$D,$A36,Raw_Events!$G:$G,"ORIGINATION_ACTION")&gt;0,COUNTIFS(Raw_Events!$D:$D,$A36,Raw_Events!$G:$G,"ORIGINATION_ACTION"),COUNTIFS(Raw_Events!$D:$D,$A36,Raw_Events!$G:$G,"STAKEHOLDER_CHAT")+COUNTIFS(Raw_Events!$D:$D,$A36,Raw_Events!$G:$G,"MEMO_WRITTEN")+COUNTIFS(Raw_Events!$D:$D,$A36,Raw_Events!$G:$G,"INITIATIVE_PRESENTED_VP")+COUNTIFS(Raw_Events!$D:$D,$A36,Raw_Events!$G:$G,"INITIATIVE_IDEA")))</f>
        <v/>
      </c>
      <c r="Y36">
        <f>IF($X36="","",IF($X36&gt;=1,1,0))</f>
        <v/>
      </c>
      <c r="Z36">
        <f>COUNTIFS(Raw_Events!$D:$D,$A36,Raw_Events!$G:$G,"WORKOUT_SKIPPED")</f>
        <v/>
      </c>
      <c r="AA36">
        <f>COUNTIFS(Raw_Events!$D:$D,$A36,Raw_Events!$G:$G,"COMMUNITY_SESSION")</f>
        <v/>
      </c>
      <c r="AB36">
        <f>COUNTIFS(Raw_Events!$D:$D,$A36,Raw_Events!$G:$G,"HOSTED_EVENT")</f>
        <v/>
      </c>
      <c r="AC36">
        <f>SUMIFS(Raw_Events!$H:$H,Raw_Events!$D:$D,$A36,Raw_Events!$G:$G,"IDEA_STAR")</f>
        <v/>
      </c>
      <c r="AD36">
        <f>IF($A36="","",IF(ROW()=3,"",IF(AND($H36&lt;1,INDEX($H:$H,ROW()-1)&lt;1),1,0)))</f>
        <v/>
      </c>
      <c r="AE36">
        <f>IF($A36="","",IF(ROW()=3,"",IF(AND($I36&lt;2,INDEX($I:$I,ROW()-1)&lt;2),1,0)))</f>
        <v/>
      </c>
      <c r="AF36">
        <f>IF($A36="","",IF(OR($E36=1,$AD36=1,$AE36=1),1,0))</f>
        <v/>
      </c>
      <c r="AG36">
        <f>IF($A36="","",IF(ROW()=3,"",IF(AND($B36&gt;=Settings!$C$14,INDEX($B:$B,ROW()-1)&gt;=Settings!$C$14),1,0)))</f>
        <v/>
      </c>
      <c r="AH36">
        <f>IF($A36="","",IF(AND($L36&gt;=Settings!$C$34,$AC36&lt;1),1,0))</f>
        <v/>
      </c>
      <c r="AI36">
        <f>SUMIFS(Raw_Events!$H:$H,Raw_Events!$D:$D,$A36,Raw_Events!$G:$G,"DEEP_WORK_HOURS")</f>
        <v/>
      </c>
      <c r="AJ36">
        <f>SUMIFS(Raw_Events!$H:$H,Raw_Events!$D:$D,$A36,Raw_Events!$G:$G,"EDUCATION_HOURS")</f>
        <v/>
      </c>
      <c r="AK36">
        <f>SUMIFS(Raw_Events!$H:$H,Raw_Events!$D:$D,$A36,Raw_Events!$G:$G,"HOBBY_HOURS")</f>
        <v/>
      </c>
      <c r="AL36">
        <f>SUMIFS(Raw_Events!$H:$H,Raw_Events!$D:$D,$A36,Raw_Events!$G:$G,"PARTNER_QUALITY_TIME")</f>
        <v/>
      </c>
      <c r="AM36">
        <f>IFERROR(MAXIFS(Raw_Events!$H:$H,Raw_Events!$D:$D,$A36,Raw_Events!$G:$G,"INVESTMENT_COVERAGE"),"")</f>
        <v/>
      </c>
    </row>
    <row r="37" ht="15" customHeight="1">
      <c r="A37" s="17" t="n">
        <v>46265</v>
      </c>
      <c r="B37" s="3">
        <f>IFERROR(VLOOKUP($A37,Raw_Weekly!$A:$G,2,FALSE),"")</f>
        <v/>
      </c>
      <c r="C37" s="3">
        <f>IFERROR(VLOOKUP($A37,Raw_Weekly!$A:$G,3,FALSE),"")</f>
        <v/>
      </c>
      <c r="D37" s="3">
        <f>IFERROR(VLOOKUP($A37,Raw_Weekly!$A:$G,4,FALSE),0)</f>
        <v/>
      </c>
      <c r="E37">
        <f>IF($B37="","",IF(OR($B37&gt;=Settings!$C$14,IFERROR(VLOOKUP($A37,Raw_Weekly!$A:$H,8,FALSE),0)=1),1,0))</f>
        <v/>
      </c>
      <c r="F37">
        <f>IF($B37="","",IF($B37&lt;=Settings!$C$13,1,0))</f>
        <v/>
      </c>
      <c r="G37">
        <f>IF($C37="","",IF($C37&lt;=Settings!$C$12,1,0))</f>
        <v/>
      </c>
      <c r="H37" s="3">
        <f>COUNTIFS(Raw_Events!$D:$D,$A37,Raw_Events!$G:$G,"SOCIAL_MEET")+COUNTIFS(Raw_Events!$D:$D,$A37,Raw_Events!$G:$G,"COMMUNITY_SESSION")+COUNTIFS(Raw_Events!$D:$D,$A37,Raw_Events!$G:$G,"HOSTED_EVENT")</f>
        <v/>
      </c>
      <c r="I37" s="3">
        <f>COUNTIFS(Raw_Events!$D:$D,$A37,Raw_Events!$G:$G,"DATE")</f>
        <v/>
      </c>
      <c r="J37" s="3">
        <f>COUNTIFS(Raw_Events!$D:$D,$A37,Raw_Events!$G:$G,"TRAINING_MIN")+COUNTIFS(Raw_Events!$D:$D,$A37,Raw_Events!$G:$G,"DICTION_TRAINING_MIN")</f>
        <v/>
      </c>
      <c r="K37" s="3">
        <f>SUMIFS(Raw_Events!$H:$H,Raw_Events!$D:$D,$A37,Raw_Events!$G:$G,"TRAINING_MIN")+SUMIFS(Raw_Events!$H:$H,Raw_Events!$D:$D,$A37,Raw_Events!$G:$G,"DICTION_TRAINING_MIN")</f>
        <v/>
      </c>
      <c r="L37" s="3">
        <f>SUMIFS(Raw_Events!$H:$H,Raw_Events!$D:$D,$A37,Raw_Events!$G:$G,"IDEA")</f>
        <v/>
      </c>
      <c r="M37" s="3">
        <f>SUMIFS(Raw_Events!$H:$H,Raw_Events!$D:$D,$A37,Raw_Events!$G:$G,"MINDFULNESS_MIN")</f>
        <v/>
      </c>
      <c r="N37" s="3">
        <f>SUMIFS(Daily_Agg!$G:$G,Daily_Agg!$A:$A,"&gt;="&amp;$A37,Daily_Agg!$A:$A,"&lt;"&amp;$A37+7)</f>
        <v/>
      </c>
      <c r="O37" s="3">
        <f>SUMIFS(Daily_Agg!$E:$E,Daily_Agg!$A:$A,"&gt;="&amp;$A37,Daily_Agg!$A:$A,"&lt;"&amp;$A37+7)</f>
        <v/>
      </c>
      <c r="P37" s="3">
        <f>SUMIFS(Raw_Events!$L:$L,Raw_Events!$D:$D,$A37,Raw_Events!$G:$G,"ALCOHOL")</f>
        <v/>
      </c>
      <c r="Q37" s="3">
        <f>SUMIFS(Raw_Events!$H:$H,Raw_Events!$D:$D,$A37,Raw_Events!$G:$G,"CIGARETTES")</f>
        <v/>
      </c>
      <c r="R37" s="3">
        <f>SUMIFS(Raw_Events!$H:$H,Raw_Events!$D:$D,$A37,Raw_Events!$G:$G,"UNHEALTHY_MEAL")</f>
        <v/>
      </c>
      <c r="S37" s="3">
        <f>COUNTIFS(Raw_Events!$D:$D,$A37,Raw_Events!$G:$G,"WORKOUT")</f>
        <v/>
      </c>
      <c r="T37" s="3">
        <f>IFERROR(VLOOKUP($A37,Raw_Weekly!$A:$G,5,FALSE),"")</f>
        <v/>
      </c>
      <c r="U37" s="3">
        <f>COUNTIFS(Raw_Events!$D:$D,$A37,Raw_Events!$G:$G,"NEW_ACTIVITY")</f>
        <v/>
      </c>
      <c r="V37" s="3">
        <f>SUMIFS(Raw_Events!$H:$H,Raw_Events!$D:$D,$A37,Raw_Events!$G:$G,"TRAVEL_NIGHT")</f>
        <v/>
      </c>
      <c r="W37">
        <f>IF($E37=1,IF(AND($H37&gt;=Settings!$C$39,$J37&gt;=Settings!$C$40,$L37&gt;=Settings!$C$41),1,0),"")</f>
        <v/>
      </c>
      <c r="X37">
        <f>IF($A37="","",IF(COUNTIFS(Raw_Events!$D:$D,$A37,Raw_Events!$G:$G,"ORIGINATION_ACTION")&gt;0,COUNTIFS(Raw_Events!$D:$D,$A37,Raw_Events!$G:$G,"ORIGINATION_ACTION"),COUNTIFS(Raw_Events!$D:$D,$A37,Raw_Events!$G:$G,"STAKEHOLDER_CHAT")+COUNTIFS(Raw_Events!$D:$D,$A37,Raw_Events!$G:$G,"MEMO_WRITTEN")+COUNTIFS(Raw_Events!$D:$D,$A37,Raw_Events!$G:$G,"INITIATIVE_PRESENTED_VP")+COUNTIFS(Raw_Events!$D:$D,$A37,Raw_Events!$G:$G,"INITIATIVE_IDEA")))</f>
        <v/>
      </c>
      <c r="Y37">
        <f>IF($X37="","",IF($X37&gt;=1,1,0))</f>
        <v/>
      </c>
      <c r="Z37">
        <f>COUNTIFS(Raw_Events!$D:$D,$A37,Raw_Events!$G:$G,"WORKOUT_SKIPPED")</f>
        <v/>
      </c>
      <c r="AA37">
        <f>COUNTIFS(Raw_Events!$D:$D,$A37,Raw_Events!$G:$G,"COMMUNITY_SESSION")</f>
        <v/>
      </c>
      <c r="AB37">
        <f>COUNTIFS(Raw_Events!$D:$D,$A37,Raw_Events!$G:$G,"HOSTED_EVENT")</f>
        <v/>
      </c>
      <c r="AC37">
        <f>SUMIFS(Raw_Events!$H:$H,Raw_Events!$D:$D,$A37,Raw_Events!$G:$G,"IDEA_STAR")</f>
        <v/>
      </c>
      <c r="AD37">
        <f>IF($A37="","",IF(ROW()=3,"",IF(AND($H37&lt;1,INDEX($H:$H,ROW()-1)&lt;1),1,0)))</f>
        <v/>
      </c>
      <c r="AE37">
        <f>IF($A37="","",IF(ROW()=3,"",IF(AND($I37&lt;2,INDEX($I:$I,ROW()-1)&lt;2),1,0)))</f>
        <v/>
      </c>
      <c r="AF37">
        <f>IF($A37="","",IF(OR($E37=1,$AD37=1,$AE37=1),1,0))</f>
        <v/>
      </c>
      <c r="AG37">
        <f>IF($A37="","",IF(ROW()=3,"",IF(AND($B37&gt;=Settings!$C$14,INDEX($B:$B,ROW()-1)&gt;=Settings!$C$14),1,0)))</f>
        <v/>
      </c>
      <c r="AH37">
        <f>IF($A37="","",IF(AND($L37&gt;=Settings!$C$34,$AC37&lt;1),1,0))</f>
        <v/>
      </c>
      <c r="AI37">
        <f>SUMIFS(Raw_Events!$H:$H,Raw_Events!$D:$D,$A37,Raw_Events!$G:$G,"DEEP_WORK_HOURS")</f>
        <v/>
      </c>
      <c r="AJ37">
        <f>SUMIFS(Raw_Events!$H:$H,Raw_Events!$D:$D,$A37,Raw_Events!$G:$G,"EDUCATION_HOURS")</f>
        <v/>
      </c>
      <c r="AK37">
        <f>SUMIFS(Raw_Events!$H:$H,Raw_Events!$D:$D,$A37,Raw_Events!$G:$G,"HOBBY_HOURS")</f>
        <v/>
      </c>
      <c r="AL37">
        <f>SUMIFS(Raw_Events!$H:$H,Raw_Events!$D:$D,$A37,Raw_Events!$G:$G,"PARTNER_QUALITY_TIME")</f>
        <v/>
      </c>
      <c r="AM37">
        <f>IFERROR(MAXIFS(Raw_Events!$H:$H,Raw_Events!$D:$D,$A37,Raw_Events!$G:$G,"INVESTMENT_COVERAGE"),"")</f>
        <v/>
      </c>
    </row>
    <row r="38" ht="15" customHeight="1">
      <c r="A38" s="17" t="n">
        <v>46272</v>
      </c>
      <c r="B38" s="3">
        <f>IFERROR(VLOOKUP($A38,Raw_Weekly!$A:$G,2,FALSE),"")</f>
        <v/>
      </c>
      <c r="C38" s="3">
        <f>IFERROR(VLOOKUP($A38,Raw_Weekly!$A:$G,3,FALSE),"")</f>
        <v/>
      </c>
      <c r="D38" s="3">
        <f>IFERROR(VLOOKUP($A38,Raw_Weekly!$A:$G,4,FALSE),0)</f>
        <v/>
      </c>
      <c r="E38">
        <f>IF($B38="","",IF(OR($B38&gt;=Settings!$C$14,IFERROR(VLOOKUP($A38,Raw_Weekly!$A:$H,8,FALSE),0)=1),1,0))</f>
        <v/>
      </c>
      <c r="F38">
        <f>IF($B38="","",IF($B38&lt;=Settings!$C$13,1,0))</f>
        <v/>
      </c>
      <c r="G38">
        <f>IF($C38="","",IF($C38&lt;=Settings!$C$12,1,0))</f>
        <v/>
      </c>
      <c r="H38" s="3">
        <f>COUNTIFS(Raw_Events!$D:$D,$A38,Raw_Events!$G:$G,"SOCIAL_MEET")+COUNTIFS(Raw_Events!$D:$D,$A38,Raw_Events!$G:$G,"COMMUNITY_SESSION")+COUNTIFS(Raw_Events!$D:$D,$A38,Raw_Events!$G:$G,"HOSTED_EVENT")</f>
        <v/>
      </c>
      <c r="I38" s="3">
        <f>COUNTIFS(Raw_Events!$D:$D,$A38,Raw_Events!$G:$G,"DATE")</f>
        <v/>
      </c>
      <c r="J38" s="3">
        <f>COUNTIFS(Raw_Events!$D:$D,$A38,Raw_Events!$G:$G,"TRAINING_MIN")+COUNTIFS(Raw_Events!$D:$D,$A38,Raw_Events!$G:$G,"DICTION_TRAINING_MIN")</f>
        <v/>
      </c>
      <c r="K38" s="3">
        <f>SUMIFS(Raw_Events!$H:$H,Raw_Events!$D:$D,$A38,Raw_Events!$G:$G,"TRAINING_MIN")+SUMIFS(Raw_Events!$H:$H,Raw_Events!$D:$D,$A38,Raw_Events!$G:$G,"DICTION_TRAINING_MIN")</f>
        <v/>
      </c>
      <c r="L38" s="3">
        <f>SUMIFS(Raw_Events!$H:$H,Raw_Events!$D:$D,$A38,Raw_Events!$G:$G,"IDEA")</f>
        <v/>
      </c>
      <c r="M38" s="3">
        <f>SUMIFS(Raw_Events!$H:$H,Raw_Events!$D:$D,$A38,Raw_Events!$G:$G,"MINDFULNESS_MIN")</f>
        <v/>
      </c>
      <c r="N38" s="3">
        <f>SUMIFS(Daily_Agg!$G:$G,Daily_Agg!$A:$A,"&gt;="&amp;$A38,Daily_Agg!$A:$A,"&lt;"&amp;$A38+7)</f>
        <v/>
      </c>
      <c r="O38" s="3">
        <f>SUMIFS(Daily_Agg!$E:$E,Daily_Agg!$A:$A,"&gt;="&amp;$A38,Daily_Agg!$A:$A,"&lt;"&amp;$A38+7)</f>
        <v/>
      </c>
      <c r="P38" s="3">
        <f>SUMIFS(Raw_Events!$L:$L,Raw_Events!$D:$D,$A38,Raw_Events!$G:$G,"ALCOHOL")</f>
        <v/>
      </c>
      <c r="Q38" s="3">
        <f>SUMIFS(Raw_Events!$H:$H,Raw_Events!$D:$D,$A38,Raw_Events!$G:$G,"CIGARETTES")</f>
        <v/>
      </c>
      <c r="R38" s="3">
        <f>SUMIFS(Raw_Events!$H:$H,Raw_Events!$D:$D,$A38,Raw_Events!$G:$G,"UNHEALTHY_MEAL")</f>
        <v/>
      </c>
      <c r="S38" s="3">
        <f>COUNTIFS(Raw_Events!$D:$D,$A38,Raw_Events!$G:$G,"WORKOUT")</f>
        <v/>
      </c>
      <c r="T38" s="3">
        <f>IFERROR(VLOOKUP($A38,Raw_Weekly!$A:$G,5,FALSE),"")</f>
        <v/>
      </c>
      <c r="U38" s="3">
        <f>COUNTIFS(Raw_Events!$D:$D,$A38,Raw_Events!$G:$G,"NEW_ACTIVITY")</f>
        <v/>
      </c>
      <c r="V38" s="3">
        <f>SUMIFS(Raw_Events!$H:$H,Raw_Events!$D:$D,$A38,Raw_Events!$G:$G,"TRAVEL_NIGHT")</f>
        <v/>
      </c>
      <c r="W38">
        <f>IF($E38=1,IF(AND($H38&gt;=Settings!$C$39,$J38&gt;=Settings!$C$40,$L38&gt;=Settings!$C$41),1,0),"")</f>
        <v/>
      </c>
      <c r="X38">
        <f>IF($A38="","",IF(COUNTIFS(Raw_Events!$D:$D,$A38,Raw_Events!$G:$G,"ORIGINATION_ACTION")&gt;0,COUNTIFS(Raw_Events!$D:$D,$A38,Raw_Events!$G:$G,"ORIGINATION_ACTION"),COUNTIFS(Raw_Events!$D:$D,$A38,Raw_Events!$G:$G,"STAKEHOLDER_CHAT")+COUNTIFS(Raw_Events!$D:$D,$A38,Raw_Events!$G:$G,"MEMO_WRITTEN")+COUNTIFS(Raw_Events!$D:$D,$A38,Raw_Events!$G:$G,"INITIATIVE_PRESENTED_VP")+COUNTIFS(Raw_Events!$D:$D,$A38,Raw_Events!$G:$G,"INITIATIVE_IDEA")))</f>
        <v/>
      </c>
      <c r="Y38">
        <f>IF($X38="","",IF($X38&gt;=1,1,0))</f>
        <v/>
      </c>
      <c r="Z38">
        <f>COUNTIFS(Raw_Events!$D:$D,$A38,Raw_Events!$G:$G,"WORKOUT_SKIPPED")</f>
        <v/>
      </c>
      <c r="AA38">
        <f>COUNTIFS(Raw_Events!$D:$D,$A38,Raw_Events!$G:$G,"COMMUNITY_SESSION")</f>
        <v/>
      </c>
      <c r="AB38">
        <f>COUNTIFS(Raw_Events!$D:$D,$A38,Raw_Events!$G:$G,"HOSTED_EVENT")</f>
        <v/>
      </c>
      <c r="AC38">
        <f>SUMIFS(Raw_Events!$H:$H,Raw_Events!$D:$D,$A38,Raw_Events!$G:$G,"IDEA_STAR")</f>
        <v/>
      </c>
      <c r="AD38">
        <f>IF($A38="","",IF(ROW()=3,"",IF(AND($H38&lt;1,INDEX($H:$H,ROW()-1)&lt;1),1,0)))</f>
        <v/>
      </c>
      <c r="AE38">
        <f>IF($A38="","",IF(ROW()=3,"",IF(AND($I38&lt;2,INDEX($I:$I,ROW()-1)&lt;2),1,0)))</f>
        <v/>
      </c>
      <c r="AF38">
        <f>IF($A38="","",IF(OR($E38=1,$AD38=1,$AE38=1),1,0))</f>
        <v/>
      </c>
      <c r="AG38">
        <f>IF($A38="","",IF(ROW()=3,"",IF(AND($B38&gt;=Settings!$C$14,INDEX($B:$B,ROW()-1)&gt;=Settings!$C$14),1,0)))</f>
        <v/>
      </c>
      <c r="AH38">
        <f>IF($A38="","",IF(AND($L38&gt;=Settings!$C$34,$AC38&lt;1),1,0))</f>
        <v/>
      </c>
      <c r="AI38">
        <f>SUMIFS(Raw_Events!$H:$H,Raw_Events!$D:$D,$A38,Raw_Events!$G:$G,"DEEP_WORK_HOURS")</f>
        <v/>
      </c>
      <c r="AJ38">
        <f>SUMIFS(Raw_Events!$H:$H,Raw_Events!$D:$D,$A38,Raw_Events!$G:$G,"EDUCATION_HOURS")</f>
        <v/>
      </c>
      <c r="AK38">
        <f>SUMIFS(Raw_Events!$H:$H,Raw_Events!$D:$D,$A38,Raw_Events!$G:$G,"HOBBY_HOURS")</f>
        <v/>
      </c>
      <c r="AL38">
        <f>SUMIFS(Raw_Events!$H:$H,Raw_Events!$D:$D,$A38,Raw_Events!$G:$G,"PARTNER_QUALITY_TIME")</f>
        <v/>
      </c>
      <c r="AM38">
        <f>IFERROR(MAXIFS(Raw_Events!$H:$H,Raw_Events!$D:$D,$A38,Raw_Events!$G:$G,"INVESTMENT_COVERAGE"),"")</f>
        <v/>
      </c>
    </row>
    <row r="39" ht="15" customHeight="1">
      <c r="A39" s="17" t="n">
        <v>46279</v>
      </c>
      <c r="B39" s="3">
        <f>IFERROR(VLOOKUP($A39,Raw_Weekly!$A:$G,2,FALSE),"")</f>
        <v/>
      </c>
      <c r="C39" s="3">
        <f>IFERROR(VLOOKUP($A39,Raw_Weekly!$A:$G,3,FALSE),"")</f>
        <v/>
      </c>
      <c r="D39" s="3">
        <f>IFERROR(VLOOKUP($A39,Raw_Weekly!$A:$G,4,FALSE),0)</f>
        <v/>
      </c>
      <c r="E39">
        <f>IF($B39="","",IF(OR($B39&gt;=Settings!$C$14,IFERROR(VLOOKUP($A39,Raw_Weekly!$A:$H,8,FALSE),0)=1),1,0))</f>
        <v/>
      </c>
      <c r="F39">
        <f>IF($B39="","",IF($B39&lt;=Settings!$C$13,1,0))</f>
        <v/>
      </c>
      <c r="G39">
        <f>IF($C39="","",IF($C39&lt;=Settings!$C$12,1,0))</f>
        <v/>
      </c>
      <c r="H39" s="3">
        <f>COUNTIFS(Raw_Events!$D:$D,$A39,Raw_Events!$G:$G,"SOCIAL_MEET")+COUNTIFS(Raw_Events!$D:$D,$A39,Raw_Events!$G:$G,"COMMUNITY_SESSION")+COUNTIFS(Raw_Events!$D:$D,$A39,Raw_Events!$G:$G,"HOSTED_EVENT")</f>
        <v/>
      </c>
      <c r="I39" s="3">
        <f>COUNTIFS(Raw_Events!$D:$D,$A39,Raw_Events!$G:$G,"DATE")</f>
        <v/>
      </c>
      <c r="J39" s="3">
        <f>COUNTIFS(Raw_Events!$D:$D,$A39,Raw_Events!$G:$G,"TRAINING_MIN")+COUNTIFS(Raw_Events!$D:$D,$A39,Raw_Events!$G:$G,"DICTION_TRAINING_MIN")</f>
        <v/>
      </c>
      <c r="K39" s="3">
        <f>SUMIFS(Raw_Events!$H:$H,Raw_Events!$D:$D,$A39,Raw_Events!$G:$G,"TRAINING_MIN")+SUMIFS(Raw_Events!$H:$H,Raw_Events!$D:$D,$A39,Raw_Events!$G:$G,"DICTION_TRAINING_MIN")</f>
        <v/>
      </c>
      <c r="L39" s="3">
        <f>SUMIFS(Raw_Events!$H:$H,Raw_Events!$D:$D,$A39,Raw_Events!$G:$G,"IDEA")</f>
        <v/>
      </c>
      <c r="M39" s="3">
        <f>SUMIFS(Raw_Events!$H:$H,Raw_Events!$D:$D,$A39,Raw_Events!$G:$G,"MINDFULNESS_MIN")</f>
        <v/>
      </c>
      <c r="N39" s="3">
        <f>SUMIFS(Daily_Agg!$G:$G,Daily_Agg!$A:$A,"&gt;="&amp;$A39,Daily_Agg!$A:$A,"&lt;"&amp;$A39+7)</f>
        <v/>
      </c>
      <c r="O39" s="3">
        <f>SUMIFS(Daily_Agg!$E:$E,Daily_Agg!$A:$A,"&gt;="&amp;$A39,Daily_Agg!$A:$A,"&lt;"&amp;$A39+7)</f>
        <v/>
      </c>
      <c r="P39" s="3">
        <f>SUMIFS(Raw_Events!$L:$L,Raw_Events!$D:$D,$A39,Raw_Events!$G:$G,"ALCOHOL")</f>
        <v/>
      </c>
      <c r="Q39" s="3">
        <f>SUMIFS(Raw_Events!$H:$H,Raw_Events!$D:$D,$A39,Raw_Events!$G:$G,"CIGARETTES")</f>
        <v/>
      </c>
      <c r="R39" s="3">
        <f>SUMIFS(Raw_Events!$H:$H,Raw_Events!$D:$D,$A39,Raw_Events!$G:$G,"UNHEALTHY_MEAL")</f>
        <v/>
      </c>
      <c r="S39" s="3">
        <f>COUNTIFS(Raw_Events!$D:$D,$A39,Raw_Events!$G:$G,"WORKOUT")</f>
        <v/>
      </c>
      <c r="T39" s="3">
        <f>IFERROR(VLOOKUP($A39,Raw_Weekly!$A:$G,5,FALSE),"")</f>
        <v/>
      </c>
      <c r="U39" s="3">
        <f>COUNTIFS(Raw_Events!$D:$D,$A39,Raw_Events!$G:$G,"NEW_ACTIVITY")</f>
        <v/>
      </c>
      <c r="V39" s="3">
        <f>SUMIFS(Raw_Events!$H:$H,Raw_Events!$D:$D,$A39,Raw_Events!$G:$G,"TRAVEL_NIGHT")</f>
        <v/>
      </c>
      <c r="W39">
        <f>IF($E39=1,IF(AND($H39&gt;=Settings!$C$39,$J39&gt;=Settings!$C$40,$L39&gt;=Settings!$C$41),1,0),"")</f>
        <v/>
      </c>
      <c r="X39">
        <f>IF($A39="","",IF(COUNTIFS(Raw_Events!$D:$D,$A39,Raw_Events!$G:$G,"ORIGINATION_ACTION")&gt;0,COUNTIFS(Raw_Events!$D:$D,$A39,Raw_Events!$G:$G,"ORIGINATION_ACTION"),COUNTIFS(Raw_Events!$D:$D,$A39,Raw_Events!$G:$G,"STAKEHOLDER_CHAT")+COUNTIFS(Raw_Events!$D:$D,$A39,Raw_Events!$G:$G,"MEMO_WRITTEN")+COUNTIFS(Raw_Events!$D:$D,$A39,Raw_Events!$G:$G,"INITIATIVE_PRESENTED_VP")+COUNTIFS(Raw_Events!$D:$D,$A39,Raw_Events!$G:$G,"INITIATIVE_IDEA")))</f>
        <v/>
      </c>
      <c r="Y39">
        <f>IF($X39="","",IF($X39&gt;=1,1,0))</f>
        <v/>
      </c>
      <c r="Z39">
        <f>COUNTIFS(Raw_Events!$D:$D,$A39,Raw_Events!$G:$G,"WORKOUT_SKIPPED")</f>
        <v/>
      </c>
      <c r="AA39">
        <f>COUNTIFS(Raw_Events!$D:$D,$A39,Raw_Events!$G:$G,"COMMUNITY_SESSION")</f>
        <v/>
      </c>
      <c r="AB39">
        <f>COUNTIFS(Raw_Events!$D:$D,$A39,Raw_Events!$G:$G,"HOSTED_EVENT")</f>
        <v/>
      </c>
      <c r="AC39">
        <f>SUMIFS(Raw_Events!$H:$H,Raw_Events!$D:$D,$A39,Raw_Events!$G:$G,"IDEA_STAR")</f>
        <v/>
      </c>
      <c r="AD39">
        <f>IF($A39="","",IF(ROW()=3,"",IF(AND($H39&lt;1,INDEX($H:$H,ROW()-1)&lt;1),1,0)))</f>
        <v/>
      </c>
      <c r="AE39">
        <f>IF($A39="","",IF(ROW()=3,"",IF(AND($I39&lt;2,INDEX($I:$I,ROW()-1)&lt;2),1,0)))</f>
        <v/>
      </c>
      <c r="AF39">
        <f>IF($A39="","",IF(OR($E39=1,$AD39=1,$AE39=1),1,0))</f>
        <v/>
      </c>
      <c r="AG39">
        <f>IF($A39="","",IF(ROW()=3,"",IF(AND($B39&gt;=Settings!$C$14,INDEX($B:$B,ROW()-1)&gt;=Settings!$C$14),1,0)))</f>
        <v/>
      </c>
      <c r="AH39">
        <f>IF($A39="","",IF(AND($L39&gt;=Settings!$C$34,$AC39&lt;1),1,0))</f>
        <v/>
      </c>
      <c r="AI39">
        <f>SUMIFS(Raw_Events!$H:$H,Raw_Events!$D:$D,$A39,Raw_Events!$G:$G,"DEEP_WORK_HOURS")</f>
        <v/>
      </c>
      <c r="AJ39">
        <f>SUMIFS(Raw_Events!$H:$H,Raw_Events!$D:$D,$A39,Raw_Events!$G:$G,"EDUCATION_HOURS")</f>
        <v/>
      </c>
      <c r="AK39">
        <f>SUMIFS(Raw_Events!$H:$H,Raw_Events!$D:$D,$A39,Raw_Events!$G:$G,"HOBBY_HOURS")</f>
        <v/>
      </c>
      <c r="AL39">
        <f>SUMIFS(Raw_Events!$H:$H,Raw_Events!$D:$D,$A39,Raw_Events!$G:$G,"PARTNER_QUALITY_TIME")</f>
        <v/>
      </c>
      <c r="AM39">
        <f>IFERROR(MAXIFS(Raw_Events!$H:$H,Raw_Events!$D:$D,$A39,Raw_Events!$G:$G,"INVESTMENT_COVERAGE"),"")</f>
        <v/>
      </c>
    </row>
    <row r="40" ht="15" customHeight="1">
      <c r="A40" s="17" t="n">
        <v>46286</v>
      </c>
      <c r="B40" s="3">
        <f>IFERROR(VLOOKUP($A40,Raw_Weekly!$A:$G,2,FALSE),"")</f>
        <v/>
      </c>
      <c r="C40" s="3">
        <f>IFERROR(VLOOKUP($A40,Raw_Weekly!$A:$G,3,FALSE),"")</f>
        <v/>
      </c>
      <c r="D40" s="3">
        <f>IFERROR(VLOOKUP($A40,Raw_Weekly!$A:$G,4,FALSE),0)</f>
        <v/>
      </c>
      <c r="E40">
        <f>IF($B40="","",IF(OR($B40&gt;=Settings!$C$14,IFERROR(VLOOKUP($A40,Raw_Weekly!$A:$H,8,FALSE),0)=1),1,0))</f>
        <v/>
      </c>
      <c r="F40">
        <f>IF($B40="","",IF($B40&lt;=Settings!$C$13,1,0))</f>
        <v/>
      </c>
      <c r="G40">
        <f>IF($C40="","",IF($C40&lt;=Settings!$C$12,1,0))</f>
        <v/>
      </c>
      <c r="H40" s="3">
        <f>COUNTIFS(Raw_Events!$D:$D,$A40,Raw_Events!$G:$G,"SOCIAL_MEET")+COUNTIFS(Raw_Events!$D:$D,$A40,Raw_Events!$G:$G,"COMMUNITY_SESSION")+COUNTIFS(Raw_Events!$D:$D,$A40,Raw_Events!$G:$G,"HOSTED_EVENT")</f>
        <v/>
      </c>
      <c r="I40" s="3">
        <f>COUNTIFS(Raw_Events!$D:$D,$A40,Raw_Events!$G:$G,"DATE")</f>
        <v/>
      </c>
      <c r="J40" s="3">
        <f>COUNTIFS(Raw_Events!$D:$D,$A40,Raw_Events!$G:$G,"TRAINING_MIN")+COUNTIFS(Raw_Events!$D:$D,$A40,Raw_Events!$G:$G,"DICTION_TRAINING_MIN")</f>
        <v/>
      </c>
      <c r="K40" s="3">
        <f>SUMIFS(Raw_Events!$H:$H,Raw_Events!$D:$D,$A40,Raw_Events!$G:$G,"TRAINING_MIN")+SUMIFS(Raw_Events!$H:$H,Raw_Events!$D:$D,$A40,Raw_Events!$G:$G,"DICTION_TRAINING_MIN")</f>
        <v/>
      </c>
      <c r="L40" s="3">
        <f>SUMIFS(Raw_Events!$H:$H,Raw_Events!$D:$D,$A40,Raw_Events!$G:$G,"IDEA")</f>
        <v/>
      </c>
      <c r="M40" s="3">
        <f>SUMIFS(Raw_Events!$H:$H,Raw_Events!$D:$D,$A40,Raw_Events!$G:$G,"MINDFULNESS_MIN")</f>
        <v/>
      </c>
      <c r="N40" s="3">
        <f>SUMIFS(Daily_Agg!$G:$G,Daily_Agg!$A:$A,"&gt;="&amp;$A40,Daily_Agg!$A:$A,"&lt;"&amp;$A40+7)</f>
        <v/>
      </c>
      <c r="O40" s="3">
        <f>SUMIFS(Daily_Agg!$E:$E,Daily_Agg!$A:$A,"&gt;="&amp;$A40,Daily_Agg!$A:$A,"&lt;"&amp;$A40+7)</f>
        <v/>
      </c>
      <c r="P40" s="3">
        <f>SUMIFS(Raw_Events!$L:$L,Raw_Events!$D:$D,$A40,Raw_Events!$G:$G,"ALCOHOL")</f>
        <v/>
      </c>
      <c r="Q40" s="3">
        <f>SUMIFS(Raw_Events!$H:$H,Raw_Events!$D:$D,$A40,Raw_Events!$G:$G,"CIGARETTES")</f>
        <v/>
      </c>
      <c r="R40" s="3">
        <f>SUMIFS(Raw_Events!$H:$H,Raw_Events!$D:$D,$A40,Raw_Events!$G:$G,"UNHEALTHY_MEAL")</f>
        <v/>
      </c>
      <c r="S40" s="3">
        <f>COUNTIFS(Raw_Events!$D:$D,$A40,Raw_Events!$G:$G,"WORKOUT")</f>
        <v/>
      </c>
      <c r="T40" s="3">
        <f>IFERROR(VLOOKUP($A40,Raw_Weekly!$A:$G,5,FALSE),"")</f>
        <v/>
      </c>
      <c r="U40" s="3">
        <f>COUNTIFS(Raw_Events!$D:$D,$A40,Raw_Events!$G:$G,"NEW_ACTIVITY")</f>
        <v/>
      </c>
      <c r="V40" s="3">
        <f>SUMIFS(Raw_Events!$H:$H,Raw_Events!$D:$D,$A40,Raw_Events!$G:$G,"TRAVEL_NIGHT")</f>
        <v/>
      </c>
      <c r="W40">
        <f>IF($E40=1,IF(AND($H40&gt;=Settings!$C$39,$J40&gt;=Settings!$C$40,$L40&gt;=Settings!$C$41),1,0),"")</f>
        <v/>
      </c>
      <c r="X40">
        <f>IF($A40="","",IF(COUNTIFS(Raw_Events!$D:$D,$A40,Raw_Events!$G:$G,"ORIGINATION_ACTION")&gt;0,COUNTIFS(Raw_Events!$D:$D,$A40,Raw_Events!$G:$G,"ORIGINATION_ACTION"),COUNTIFS(Raw_Events!$D:$D,$A40,Raw_Events!$G:$G,"STAKEHOLDER_CHAT")+COUNTIFS(Raw_Events!$D:$D,$A40,Raw_Events!$G:$G,"MEMO_WRITTEN")+COUNTIFS(Raw_Events!$D:$D,$A40,Raw_Events!$G:$G,"INITIATIVE_PRESENTED_VP")+COUNTIFS(Raw_Events!$D:$D,$A40,Raw_Events!$G:$G,"INITIATIVE_IDEA")))</f>
        <v/>
      </c>
      <c r="Y40">
        <f>IF($X40="","",IF($X40&gt;=1,1,0))</f>
        <v/>
      </c>
      <c r="Z40">
        <f>COUNTIFS(Raw_Events!$D:$D,$A40,Raw_Events!$G:$G,"WORKOUT_SKIPPED")</f>
        <v/>
      </c>
      <c r="AA40">
        <f>COUNTIFS(Raw_Events!$D:$D,$A40,Raw_Events!$G:$G,"COMMUNITY_SESSION")</f>
        <v/>
      </c>
      <c r="AB40">
        <f>COUNTIFS(Raw_Events!$D:$D,$A40,Raw_Events!$G:$G,"HOSTED_EVENT")</f>
        <v/>
      </c>
      <c r="AC40">
        <f>SUMIFS(Raw_Events!$H:$H,Raw_Events!$D:$D,$A40,Raw_Events!$G:$G,"IDEA_STAR")</f>
        <v/>
      </c>
      <c r="AD40">
        <f>IF($A40="","",IF(ROW()=3,"",IF(AND($H40&lt;1,INDEX($H:$H,ROW()-1)&lt;1),1,0)))</f>
        <v/>
      </c>
      <c r="AE40">
        <f>IF($A40="","",IF(ROW()=3,"",IF(AND($I40&lt;2,INDEX($I:$I,ROW()-1)&lt;2),1,0)))</f>
        <v/>
      </c>
      <c r="AF40">
        <f>IF($A40="","",IF(OR($E40=1,$AD40=1,$AE40=1),1,0))</f>
        <v/>
      </c>
      <c r="AG40">
        <f>IF($A40="","",IF(ROW()=3,"",IF(AND($B40&gt;=Settings!$C$14,INDEX($B:$B,ROW()-1)&gt;=Settings!$C$14),1,0)))</f>
        <v/>
      </c>
      <c r="AH40">
        <f>IF($A40="","",IF(AND($L40&gt;=Settings!$C$34,$AC40&lt;1),1,0))</f>
        <v/>
      </c>
      <c r="AI40">
        <f>SUMIFS(Raw_Events!$H:$H,Raw_Events!$D:$D,$A40,Raw_Events!$G:$G,"DEEP_WORK_HOURS")</f>
        <v/>
      </c>
      <c r="AJ40">
        <f>SUMIFS(Raw_Events!$H:$H,Raw_Events!$D:$D,$A40,Raw_Events!$G:$G,"EDUCATION_HOURS")</f>
        <v/>
      </c>
      <c r="AK40">
        <f>SUMIFS(Raw_Events!$H:$H,Raw_Events!$D:$D,$A40,Raw_Events!$G:$G,"HOBBY_HOURS")</f>
        <v/>
      </c>
      <c r="AL40">
        <f>SUMIFS(Raw_Events!$H:$H,Raw_Events!$D:$D,$A40,Raw_Events!$G:$G,"PARTNER_QUALITY_TIME")</f>
        <v/>
      </c>
      <c r="AM40">
        <f>IFERROR(MAXIFS(Raw_Events!$H:$H,Raw_Events!$D:$D,$A40,Raw_Events!$G:$G,"INVESTMENT_COVERAGE"),"")</f>
        <v/>
      </c>
    </row>
    <row r="41" ht="15" customHeight="1">
      <c r="A41" s="17" t="n">
        <v>46293</v>
      </c>
      <c r="B41" s="3">
        <f>IFERROR(VLOOKUP($A41,Raw_Weekly!$A:$G,2,FALSE),"")</f>
        <v/>
      </c>
      <c r="C41" s="3">
        <f>IFERROR(VLOOKUP($A41,Raw_Weekly!$A:$G,3,FALSE),"")</f>
        <v/>
      </c>
      <c r="D41" s="3">
        <f>IFERROR(VLOOKUP($A41,Raw_Weekly!$A:$G,4,FALSE),0)</f>
        <v/>
      </c>
      <c r="E41">
        <f>IF($B41="","",IF(OR($B41&gt;=Settings!$C$14,IFERROR(VLOOKUP($A41,Raw_Weekly!$A:$H,8,FALSE),0)=1),1,0))</f>
        <v/>
      </c>
      <c r="F41">
        <f>IF($B41="","",IF($B41&lt;=Settings!$C$13,1,0))</f>
        <v/>
      </c>
      <c r="G41">
        <f>IF($C41="","",IF($C41&lt;=Settings!$C$12,1,0))</f>
        <v/>
      </c>
      <c r="H41" s="3">
        <f>COUNTIFS(Raw_Events!$D:$D,$A41,Raw_Events!$G:$G,"SOCIAL_MEET")+COUNTIFS(Raw_Events!$D:$D,$A41,Raw_Events!$G:$G,"COMMUNITY_SESSION")+COUNTIFS(Raw_Events!$D:$D,$A41,Raw_Events!$G:$G,"HOSTED_EVENT")</f>
        <v/>
      </c>
      <c r="I41" s="3">
        <f>COUNTIFS(Raw_Events!$D:$D,$A41,Raw_Events!$G:$G,"DATE")</f>
        <v/>
      </c>
      <c r="J41" s="3">
        <f>COUNTIFS(Raw_Events!$D:$D,$A41,Raw_Events!$G:$G,"TRAINING_MIN")+COUNTIFS(Raw_Events!$D:$D,$A41,Raw_Events!$G:$G,"DICTION_TRAINING_MIN")</f>
        <v/>
      </c>
      <c r="K41" s="3">
        <f>SUMIFS(Raw_Events!$H:$H,Raw_Events!$D:$D,$A41,Raw_Events!$G:$G,"TRAINING_MIN")+SUMIFS(Raw_Events!$H:$H,Raw_Events!$D:$D,$A41,Raw_Events!$G:$G,"DICTION_TRAINING_MIN")</f>
        <v/>
      </c>
      <c r="L41" s="3">
        <f>SUMIFS(Raw_Events!$H:$H,Raw_Events!$D:$D,$A41,Raw_Events!$G:$G,"IDEA")</f>
        <v/>
      </c>
      <c r="M41" s="3">
        <f>SUMIFS(Raw_Events!$H:$H,Raw_Events!$D:$D,$A41,Raw_Events!$G:$G,"MINDFULNESS_MIN")</f>
        <v/>
      </c>
      <c r="N41" s="3">
        <f>SUMIFS(Daily_Agg!$G:$G,Daily_Agg!$A:$A,"&gt;="&amp;$A41,Daily_Agg!$A:$A,"&lt;"&amp;$A41+7)</f>
        <v/>
      </c>
      <c r="O41" s="3">
        <f>SUMIFS(Daily_Agg!$E:$E,Daily_Agg!$A:$A,"&gt;="&amp;$A41,Daily_Agg!$A:$A,"&lt;"&amp;$A41+7)</f>
        <v/>
      </c>
      <c r="P41" s="3">
        <f>SUMIFS(Raw_Events!$L:$L,Raw_Events!$D:$D,$A41,Raw_Events!$G:$G,"ALCOHOL")</f>
        <v/>
      </c>
      <c r="Q41" s="3">
        <f>SUMIFS(Raw_Events!$H:$H,Raw_Events!$D:$D,$A41,Raw_Events!$G:$G,"CIGARETTES")</f>
        <v/>
      </c>
      <c r="R41" s="3">
        <f>SUMIFS(Raw_Events!$H:$H,Raw_Events!$D:$D,$A41,Raw_Events!$G:$G,"UNHEALTHY_MEAL")</f>
        <v/>
      </c>
      <c r="S41" s="3">
        <f>COUNTIFS(Raw_Events!$D:$D,$A41,Raw_Events!$G:$G,"WORKOUT")</f>
        <v/>
      </c>
      <c r="T41" s="3">
        <f>IFERROR(VLOOKUP($A41,Raw_Weekly!$A:$G,5,FALSE),"")</f>
        <v/>
      </c>
      <c r="U41" s="3">
        <f>COUNTIFS(Raw_Events!$D:$D,$A41,Raw_Events!$G:$G,"NEW_ACTIVITY")</f>
        <v/>
      </c>
      <c r="V41" s="3">
        <f>SUMIFS(Raw_Events!$H:$H,Raw_Events!$D:$D,$A41,Raw_Events!$G:$G,"TRAVEL_NIGHT")</f>
        <v/>
      </c>
      <c r="W41">
        <f>IF($E41=1,IF(AND($H41&gt;=Settings!$C$39,$J41&gt;=Settings!$C$40,$L41&gt;=Settings!$C$41),1,0),"")</f>
        <v/>
      </c>
      <c r="X41">
        <f>IF($A41="","",IF(COUNTIFS(Raw_Events!$D:$D,$A41,Raw_Events!$G:$G,"ORIGINATION_ACTION")&gt;0,COUNTIFS(Raw_Events!$D:$D,$A41,Raw_Events!$G:$G,"ORIGINATION_ACTION"),COUNTIFS(Raw_Events!$D:$D,$A41,Raw_Events!$G:$G,"STAKEHOLDER_CHAT")+COUNTIFS(Raw_Events!$D:$D,$A41,Raw_Events!$G:$G,"MEMO_WRITTEN")+COUNTIFS(Raw_Events!$D:$D,$A41,Raw_Events!$G:$G,"INITIATIVE_PRESENTED_VP")+COUNTIFS(Raw_Events!$D:$D,$A41,Raw_Events!$G:$G,"INITIATIVE_IDEA")))</f>
        <v/>
      </c>
      <c r="Y41">
        <f>IF($X41="","",IF($X41&gt;=1,1,0))</f>
        <v/>
      </c>
      <c r="Z41">
        <f>COUNTIFS(Raw_Events!$D:$D,$A41,Raw_Events!$G:$G,"WORKOUT_SKIPPED")</f>
        <v/>
      </c>
      <c r="AA41">
        <f>COUNTIFS(Raw_Events!$D:$D,$A41,Raw_Events!$G:$G,"COMMUNITY_SESSION")</f>
        <v/>
      </c>
      <c r="AB41">
        <f>COUNTIFS(Raw_Events!$D:$D,$A41,Raw_Events!$G:$G,"HOSTED_EVENT")</f>
        <v/>
      </c>
      <c r="AC41">
        <f>SUMIFS(Raw_Events!$H:$H,Raw_Events!$D:$D,$A41,Raw_Events!$G:$G,"IDEA_STAR")</f>
        <v/>
      </c>
      <c r="AD41">
        <f>IF($A41="","",IF(ROW()=3,"",IF(AND($H41&lt;1,INDEX($H:$H,ROW()-1)&lt;1),1,0)))</f>
        <v/>
      </c>
      <c r="AE41">
        <f>IF($A41="","",IF(ROW()=3,"",IF(AND($I41&lt;2,INDEX($I:$I,ROW()-1)&lt;2),1,0)))</f>
        <v/>
      </c>
      <c r="AF41">
        <f>IF($A41="","",IF(OR($E41=1,$AD41=1,$AE41=1),1,0))</f>
        <v/>
      </c>
      <c r="AG41">
        <f>IF($A41="","",IF(ROW()=3,"",IF(AND($B41&gt;=Settings!$C$14,INDEX($B:$B,ROW()-1)&gt;=Settings!$C$14),1,0)))</f>
        <v/>
      </c>
      <c r="AH41">
        <f>IF($A41="","",IF(AND($L41&gt;=Settings!$C$34,$AC41&lt;1),1,0))</f>
        <v/>
      </c>
      <c r="AI41">
        <f>SUMIFS(Raw_Events!$H:$H,Raw_Events!$D:$D,$A41,Raw_Events!$G:$G,"DEEP_WORK_HOURS")</f>
        <v/>
      </c>
      <c r="AJ41">
        <f>SUMIFS(Raw_Events!$H:$H,Raw_Events!$D:$D,$A41,Raw_Events!$G:$G,"EDUCATION_HOURS")</f>
        <v/>
      </c>
      <c r="AK41">
        <f>SUMIFS(Raw_Events!$H:$H,Raw_Events!$D:$D,$A41,Raw_Events!$G:$G,"HOBBY_HOURS")</f>
        <v/>
      </c>
      <c r="AL41">
        <f>SUMIFS(Raw_Events!$H:$H,Raw_Events!$D:$D,$A41,Raw_Events!$G:$G,"PARTNER_QUALITY_TIME")</f>
        <v/>
      </c>
      <c r="AM41">
        <f>IFERROR(MAXIFS(Raw_Events!$H:$H,Raw_Events!$D:$D,$A41,Raw_Events!$G:$G,"INVESTMENT_COVERAGE"),"")</f>
        <v/>
      </c>
    </row>
    <row r="42" ht="15" customHeight="1">
      <c r="A42" s="17" t="n">
        <v>46300</v>
      </c>
      <c r="B42" s="3">
        <f>IFERROR(VLOOKUP($A42,Raw_Weekly!$A:$G,2,FALSE),"")</f>
        <v/>
      </c>
      <c r="C42" s="3">
        <f>IFERROR(VLOOKUP($A42,Raw_Weekly!$A:$G,3,FALSE),"")</f>
        <v/>
      </c>
      <c r="D42" s="3">
        <f>IFERROR(VLOOKUP($A42,Raw_Weekly!$A:$G,4,FALSE),0)</f>
        <v/>
      </c>
      <c r="E42">
        <f>IF($B42="","",IF(OR($B42&gt;=Settings!$C$14,IFERROR(VLOOKUP($A42,Raw_Weekly!$A:$H,8,FALSE),0)=1),1,0))</f>
        <v/>
      </c>
      <c r="F42">
        <f>IF($B42="","",IF($B42&lt;=Settings!$C$13,1,0))</f>
        <v/>
      </c>
      <c r="G42">
        <f>IF($C42="","",IF($C42&lt;=Settings!$C$12,1,0))</f>
        <v/>
      </c>
      <c r="H42" s="3">
        <f>COUNTIFS(Raw_Events!$D:$D,$A42,Raw_Events!$G:$G,"SOCIAL_MEET")+COUNTIFS(Raw_Events!$D:$D,$A42,Raw_Events!$G:$G,"COMMUNITY_SESSION")+COUNTIFS(Raw_Events!$D:$D,$A42,Raw_Events!$G:$G,"HOSTED_EVENT")</f>
        <v/>
      </c>
      <c r="I42" s="3">
        <f>COUNTIFS(Raw_Events!$D:$D,$A42,Raw_Events!$G:$G,"DATE")</f>
        <v/>
      </c>
      <c r="J42" s="3">
        <f>COUNTIFS(Raw_Events!$D:$D,$A42,Raw_Events!$G:$G,"TRAINING_MIN")+COUNTIFS(Raw_Events!$D:$D,$A42,Raw_Events!$G:$G,"DICTION_TRAINING_MIN")</f>
        <v/>
      </c>
      <c r="K42" s="3">
        <f>SUMIFS(Raw_Events!$H:$H,Raw_Events!$D:$D,$A42,Raw_Events!$G:$G,"TRAINING_MIN")+SUMIFS(Raw_Events!$H:$H,Raw_Events!$D:$D,$A42,Raw_Events!$G:$G,"DICTION_TRAINING_MIN")</f>
        <v/>
      </c>
      <c r="L42" s="3">
        <f>SUMIFS(Raw_Events!$H:$H,Raw_Events!$D:$D,$A42,Raw_Events!$G:$G,"IDEA")</f>
        <v/>
      </c>
      <c r="M42" s="3">
        <f>SUMIFS(Raw_Events!$H:$H,Raw_Events!$D:$D,$A42,Raw_Events!$G:$G,"MINDFULNESS_MIN")</f>
        <v/>
      </c>
      <c r="N42" s="3">
        <f>SUMIFS(Daily_Agg!$G:$G,Daily_Agg!$A:$A,"&gt;="&amp;$A42,Daily_Agg!$A:$A,"&lt;"&amp;$A42+7)</f>
        <v/>
      </c>
      <c r="O42" s="3">
        <f>SUMIFS(Daily_Agg!$E:$E,Daily_Agg!$A:$A,"&gt;="&amp;$A42,Daily_Agg!$A:$A,"&lt;"&amp;$A42+7)</f>
        <v/>
      </c>
      <c r="P42" s="3">
        <f>SUMIFS(Raw_Events!$L:$L,Raw_Events!$D:$D,$A42,Raw_Events!$G:$G,"ALCOHOL")</f>
        <v/>
      </c>
      <c r="Q42" s="3">
        <f>SUMIFS(Raw_Events!$H:$H,Raw_Events!$D:$D,$A42,Raw_Events!$G:$G,"CIGARETTES")</f>
        <v/>
      </c>
      <c r="R42" s="3">
        <f>SUMIFS(Raw_Events!$H:$H,Raw_Events!$D:$D,$A42,Raw_Events!$G:$G,"UNHEALTHY_MEAL")</f>
        <v/>
      </c>
      <c r="S42" s="3">
        <f>COUNTIFS(Raw_Events!$D:$D,$A42,Raw_Events!$G:$G,"WORKOUT")</f>
        <v/>
      </c>
      <c r="T42" s="3">
        <f>IFERROR(VLOOKUP($A42,Raw_Weekly!$A:$G,5,FALSE),"")</f>
        <v/>
      </c>
      <c r="U42" s="3">
        <f>COUNTIFS(Raw_Events!$D:$D,$A42,Raw_Events!$G:$G,"NEW_ACTIVITY")</f>
        <v/>
      </c>
      <c r="V42" s="3">
        <f>SUMIFS(Raw_Events!$H:$H,Raw_Events!$D:$D,$A42,Raw_Events!$G:$G,"TRAVEL_NIGHT")</f>
        <v/>
      </c>
      <c r="W42">
        <f>IF($E42=1,IF(AND($H42&gt;=Settings!$C$39,$J42&gt;=Settings!$C$40,$L42&gt;=Settings!$C$41),1,0),"")</f>
        <v/>
      </c>
      <c r="X42">
        <f>IF($A42="","",IF(COUNTIFS(Raw_Events!$D:$D,$A42,Raw_Events!$G:$G,"ORIGINATION_ACTION")&gt;0,COUNTIFS(Raw_Events!$D:$D,$A42,Raw_Events!$G:$G,"ORIGINATION_ACTION"),COUNTIFS(Raw_Events!$D:$D,$A42,Raw_Events!$G:$G,"STAKEHOLDER_CHAT")+COUNTIFS(Raw_Events!$D:$D,$A42,Raw_Events!$G:$G,"MEMO_WRITTEN")+COUNTIFS(Raw_Events!$D:$D,$A42,Raw_Events!$G:$G,"INITIATIVE_PRESENTED_VP")+COUNTIFS(Raw_Events!$D:$D,$A42,Raw_Events!$G:$G,"INITIATIVE_IDEA")))</f>
        <v/>
      </c>
      <c r="Y42">
        <f>IF($X42="","",IF($X42&gt;=1,1,0))</f>
        <v/>
      </c>
      <c r="Z42">
        <f>COUNTIFS(Raw_Events!$D:$D,$A42,Raw_Events!$G:$G,"WORKOUT_SKIPPED")</f>
        <v/>
      </c>
      <c r="AA42">
        <f>COUNTIFS(Raw_Events!$D:$D,$A42,Raw_Events!$G:$G,"COMMUNITY_SESSION")</f>
        <v/>
      </c>
      <c r="AB42">
        <f>COUNTIFS(Raw_Events!$D:$D,$A42,Raw_Events!$G:$G,"HOSTED_EVENT")</f>
        <v/>
      </c>
      <c r="AC42">
        <f>SUMIFS(Raw_Events!$H:$H,Raw_Events!$D:$D,$A42,Raw_Events!$G:$G,"IDEA_STAR")</f>
        <v/>
      </c>
      <c r="AD42">
        <f>IF($A42="","",IF(ROW()=3,"",IF(AND($H42&lt;1,INDEX($H:$H,ROW()-1)&lt;1),1,0)))</f>
        <v/>
      </c>
      <c r="AE42">
        <f>IF($A42="","",IF(ROW()=3,"",IF(AND($I42&lt;2,INDEX($I:$I,ROW()-1)&lt;2),1,0)))</f>
        <v/>
      </c>
      <c r="AF42">
        <f>IF($A42="","",IF(OR($E42=1,$AD42=1,$AE42=1),1,0))</f>
        <v/>
      </c>
      <c r="AG42">
        <f>IF($A42="","",IF(ROW()=3,"",IF(AND($B42&gt;=Settings!$C$14,INDEX($B:$B,ROW()-1)&gt;=Settings!$C$14),1,0)))</f>
        <v/>
      </c>
      <c r="AH42">
        <f>IF($A42="","",IF(AND($L42&gt;=Settings!$C$34,$AC42&lt;1),1,0))</f>
        <v/>
      </c>
      <c r="AI42">
        <f>SUMIFS(Raw_Events!$H:$H,Raw_Events!$D:$D,$A42,Raw_Events!$G:$G,"DEEP_WORK_HOURS")</f>
        <v/>
      </c>
      <c r="AJ42">
        <f>SUMIFS(Raw_Events!$H:$H,Raw_Events!$D:$D,$A42,Raw_Events!$G:$G,"EDUCATION_HOURS")</f>
        <v/>
      </c>
      <c r="AK42">
        <f>SUMIFS(Raw_Events!$H:$H,Raw_Events!$D:$D,$A42,Raw_Events!$G:$G,"HOBBY_HOURS")</f>
        <v/>
      </c>
      <c r="AL42">
        <f>SUMIFS(Raw_Events!$H:$H,Raw_Events!$D:$D,$A42,Raw_Events!$G:$G,"PARTNER_QUALITY_TIME")</f>
        <v/>
      </c>
      <c r="AM42">
        <f>IFERROR(MAXIFS(Raw_Events!$H:$H,Raw_Events!$D:$D,$A42,Raw_Events!$G:$G,"INVESTMENT_COVERAGE"),"")</f>
        <v/>
      </c>
    </row>
    <row r="43" ht="15" customHeight="1">
      <c r="A43" s="17" t="n">
        <v>46307</v>
      </c>
      <c r="B43" s="3">
        <f>IFERROR(VLOOKUP($A43,Raw_Weekly!$A:$G,2,FALSE),"")</f>
        <v/>
      </c>
      <c r="C43" s="3">
        <f>IFERROR(VLOOKUP($A43,Raw_Weekly!$A:$G,3,FALSE),"")</f>
        <v/>
      </c>
      <c r="D43" s="3">
        <f>IFERROR(VLOOKUP($A43,Raw_Weekly!$A:$G,4,FALSE),0)</f>
        <v/>
      </c>
      <c r="E43">
        <f>IF($B43="","",IF(OR($B43&gt;=Settings!$C$14,IFERROR(VLOOKUP($A43,Raw_Weekly!$A:$H,8,FALSE),0)=1),1,0))</f>
        <v/>
      </c>
      <c r="F43">
        <f>IF($B43="","",IF($B43&lt;=Settings!$C$13,1,0))</f>
        <v/>
      </c>
      <c r="G43">
        <f>IF($C43="","",IF($C43&lt;=Settings!$C$12,1,0))</f>
        <v/>
      </c>
      <c r="H43" s="3">
        <f>COUNTIFS(Raw_Events!$D:$D,$A43,Raw_Events!$G:$G,"SOCIAL_MEET")+COUNTIFS(Raw_Events!$D:$D,$A43,Raw_Events!$G:$G,"COMMUNITY_SESSION")+COUNTIFS(Raw_Events!$D:$D,$A43,Raw_Events!$G:$G,"HOSTED_EVENT")</f>
        <v/>
      </c>
      <c r="I43" s="3">
        <f>COUNTIFS(Raw_Events!$D:$D,$A43,Raw_Events!$G:$G,"DATE")</f>
        <v/>
      </c>
      <c r="J43" s="3">
        <f>COUNTIFS(Raw_Events!$D:$D,$A43,Raw_Events!$G:$G,"TRAINING_MIN")+COUNTIFS(Raw_Events!$D:$D,$A43,Raw_Events!$G:$G,"DICTION_TRAINING_MIN")</f>
        <v/>
      </c>
      <c r="K43" s="3">
        <f>SUMIFS(Raw_Events!$H:$H,Raw_Events!$D:$D,$A43,Raw_Events!$G:$G,"TRAINING_MIN")+SUMIFS(Raw_Events!$H:$H,Raw_Events!$D:$D,$A43,Raw_Events!$G:$G,"DICTION_TRAINING_MIN")</f>
        <v/>
      </c>
      <c r="L43" s="3">
        <f>SUMIFS(Raw_Events!$H:$H,Raw_Events!$D:$D,$A43,Raw_Events!$G:$G,"IDEA")</f>
        <v/>
      </c>
      <c r="M43" s="3">
        <f>SUMIFS(Raw_Events!$H:$H,Raw_Events!$D:$D,$A43,Raw_Events!$G:$G,"MINDFULNESS_MIN")</f>
        <v/>
      </c>
      <c r="N43" s="3">
        <f>SUMIFS(Daily_Agg!$G:$G,Daily_Agg!$A:$A,"&gt;="&amp;$A43,Daily_Agg!$A:$A,"&lt;"&amp;$A43+7)</f>
        <v/>
      </c>
      <c r="O43" s="3">
        <f>SUMIFS(Daily_Agg!$E:$E,Daily_Agg!$A:$A,"&gt;="&amp;$A43,Daily_Agg!$A:$A,"&lt;"&amp;$A43+7)</f>
        <v/>
      </c>
      <c r="P43" s="3">
        <f>SUMIFS(Raw_Events!$L:$L,Raw_Events!$D:$D,$A43,Raw_Events!$G:$G,"ALCOHOL")</f>
        <v/>
      </c>
      <c r="Q43" s="3">
        <f>SUMIFS(Raw_Events!$H:$H,Raw_Events!$D:$D,$A43,Raw_Events!$G:$G,"CIGARETTES")</f>
        <v/>
      </c>
      <c r="R43" s="3">
        <f>SUMIFS(Raw_Events!$H:$H,Raw_Events!$D:$D,$A43,Raw_Events!$G:$G,"UNHEALTHY_MEAL")</f>
        <v/>
      </c>
      <c r="S43" s="3">
        <f>COUNTIFS(Raw_Events!$D:$D,$A43,Raw_Events!$G:$G,"WORKOUT")</f>
        <v/>
      </c>
      <c r="T43" s="3">
        <f>IFERROR(VLOOKUP($A43,Raw_Weekly!$A:$G,5,FALSE),"")</f>
        <v/>
      </c>
      <c r="U43" s="3">
        <f>COUNTIFS(Raw_Events!$D:$D,$A43,Raw_Events!$G:$G,"NEW_ACTIVITY")</f>
        <v/>
      </c>
      <c r="V43" s="3">
        <f>SUMIFS(Raw_Events!$H:$H,Raw_Events!$D:$D,$A43,Raw_Events!$G:$G,"TRAVEL_NIGHT")</f>
        <v/>
      </c>
      <c r="W43">
        <f>IF($E43=1,IF(AND($H43&gt;=Settings!$C$39,$J43&gt;=Settings!$C$40,$L43&gt;=Settings!$C$41),1,0),"")</f>
        <v/>
      </c>
      <c r="X43">
        <f>IF($A43="","",IF(COUNTIFS(Raw_Events!$D:$D,$A43,Raw_Events!$G:$G,"ORIGINATION_ACTION")&gt;0,COUNTIFS(Raw_Events!$D:$D,$A43,Raw_Events!$G:$G,"ORIGINATION_ACTION"),COUNTIFS(Raw_Events!$D:$D,$A43,Raw_Events!$G:$G,"STAKEHOLDER_CHAT")+COUNTIFS(Raw_Events!$D:$D,$A43,Raw_Events!$G:$G,"MEMO_WRITTEN")+COUNTIFS(Raw_Events!$D:$D,$A43,Raw_Events!$G:$G,"INITIATIVE_PRESENTED_VP")+COUNTIFS(Raw_Events!$D:$D,$A43,Raw_Events!$G:$G,"INITIATIVE_IDEA")))</f>
        <v/>
      </c>
      <c r="Y43">
        <f>IF($X43="","",IF($X43&gt;=1,1,0))</f>
        <v/>
      </c>
      <c r="Z43">
        <f>COUNTIFS(Raw_Events!$D:$D,$A43,Raw_Events!$G:$G,"WORKOUT_SKIPPED")</f>
        <v/>
      </c>
      <c r="AA43">
        <f>COUNTIFS(Raw_Events!$D:$D,$A43,Raw_Events!$G:$G,"COMMUNITY_SESSION")</f>
        <v/>
      </c>
      <c r="AB43">
        <f>COUNTIFS(Raw_Events!$D:$D,$A43,Raw_Events!$G:$G,"HOSTED_EVENT")</f>
        <v/>
      </c>
      <c r="AC43">
        <f>SUMIFS(Raw_Events!$H:$H,Raw_Events!$D:$D,$A43,Raw_Events!$G:$G,"IDEA_STAR")</f>
        <v/>
      </c>
      <c r="AD43">
        <f>IF($A43="","",IF(ROW()=3,"",IF(AND($H43&lt;1,INDEX($H:$H,ROW()-1)&lt;1),1,0)))</f>
        <v/>
      </c>
      <c r="AE43">
        <f>IF($A43="","",IF(ROW()=3,"",IF(AND($I43&lt;2,INDEX($I:$I,ROW()-1)&lt;2),1,0)))</f>
        <v/>
      </c>
      <c r="AF43">
        <f>IF($A43="","",IF(OR($E43=1,$AD43=1,$AE43=1),1,0))</f>
        <v/>
      </c>
      <c r="AG43">
        <f>IF($A43="","",IF(ROW()=3,"",IF(AND($B43&gt;=Settings!$C$14,INDEX($B:$B,ROW()-1)&gt;=Settings!$C$14),1,0)))</f>
        <v/>
      </c>
      <c r="AH43">
        <f>IF($A43="","",IF(AND($L43&gt;=Settings!$C$34,$AC43&lt;1),1,0))</f>
        <v/>
      </c>
      <c r="AI43">
        <f>SUMIFS(Raw_Events!$H:$H,Raw_Events!$D:$D,$A43,Raw_Events!$G:$G,"DEEP_WORK_HOURS")</f>
        <v/>
      </c>
      <c r="AJ43">
        <f>SUMIFS(Raw_Events!$H:$H,Raw_Events!$D:$D,$A43,Raw_Events!$G:$G,"EDUCATION_HOURS")</f>
        <v/>
      </c>
      <c r="AK43">
        <f>SUMIFS(Raw_Events!$H:$H,Raw_Events!$D:$D,$A43,Raw_Events!$G:$G,"HOBBY_HOURS")</f>
        <v/>
      </c>
      <c r="AL43">
        <f>SUMIFS(Raw_Events!$H:$H,Raw_Events!$D:$D,$A43,Raw_Events!$G:$G,"PARTNER_QUALITY_TIME")</f>
        <v/>
      </c>
      <c r="AM43">
        <f>IFERROR(MAXIFS(Raw_Events!$H:$H,Raw_Events!$D:$D,$A43,Raw_Events!$G:$G,"INVESTMENT_COVERAGE"),"")</f>
        <v/>
      </c>
    </row>
    <row r="44" ht="15" customHeight="1">
      <c r="A44" s="17" t="n">
        <v>46314</v>
      </c>
      <c r="B44" s="3">
        <f>IFERROR(VLOOKUP($A44,Raw_Weekly!$A:$G,2,FALSE),"")</f>
        <v/>
      </c>
      <c r="C44" s="3">
        <f>IFERROR(VLOOKUP($A44,Raw_Weekly!$A:$G,3,FALSE),"")</f>
        <v/>
      </c>
      <c r="D44" s="3">
        <f>IFERROR(VLOOKUP($A44,Raw_Weekly!$A:$G,4,FALSE),0)</f>
        <v/>
      </c>
      <c r="E44">
        <f>IF($B44="","",IF(OR($B44&gt;=Settings!$C$14,IFERROR(VLOOKUP($A44,Raw_Weekly!$A:$H,8,FALSE),0)=1),1,0))</f>
        <v/>
      </c>
      <c r="F44">
        <f>IF($B44="","",IF($B44&lt;=Settings!$C$13,1,0))</f>
        <v/>
      </c>
      <c r="G44">
        <f>IF($C44="","",IF($C44&lt;=Settings!$C$12,1,0))</f>
        <v/>
      </c>
      <c r="H44" s="3">
        <f>COUNTIFS(Raw_Events!$D:$D,$A44,Raw_Events!$G:$G,"SOCIAL_MEET")+COUNTIFS(Raw_Events!$D:$D,$A44,Raw_Events!$G:$G,"COMMUNITY_SESSION")+COUNTIFS(Raw_Events!$D:$D,$A44,Raw_Events!$G:$G,"HOSTED_EVENT")</f>
        <v/>
      </c>
      <c r="I44" s="3">
        <f>COUNTIFS(Raw_Events!$D:$D,$A44,Raw_Events!$G:$G,"DATE")</f>
        <v/>
      </c>
      <c r="J44" s="3">
        <f>COUNTIFS(Raw_Events!$D:$D,$A44,Raw_Events!$G:$G,"TRAINING_MIN")+COUNTIFS(Raw_Events!$D:$D,$A44,Raw_Events!$G:$G,"DICTION_TRAINING_MIN")</f>
        <v/>
      </c>
      <c r="K44" s="3">
        <f>SUMIFS(Raw_Events!$H:$H,Raw_Events!$D:$D,$A44,Raw_Events!$G:$G,"TRAINING_MIN")+SUMIFS(Raw_Events!$H:$H,Raw_Events!$D:$D,$A44,Raw_Events!$G:$G,"DICTION_TRAINING_MIN")</f>
        <v/>
      </c>
      <c r="L44" s="3">
        <f>SUMIFS(Raw_Events!$H:$H,Raw_Events!$D:$D,$A44,Raw_Events!$G:$G,"IDEA")</f>
        <v/>
      </c>
      <c r="M44" s="3">
        <f>SUMIFS(Raw_Events!$H:$H,Raw_Events!$D:$D,$A44,Raw_Events!$G:$G,"MINDFULNESS_MIN")</f>
        <v/>
      </c>
      <c r="N44" s="3">
        <f>SUMIFS(Daily_Agg!$G:$G,Daily_Agg!$A:$A,"&gt;="&amp;$A44,Daily_Agg!$A:$A,"&lt;"&amp;$A44+7)</f>
        <v/>
      </c>
      <c r="O44" s="3">
        <f>SUMIFS(Daily_Agg!$E:$E,Daily_Agg!$A:$A,"&gt;="&amp;$A44,Daily_Agg!$A:$A,"&lt;"&amp;$A44+7)</f>
        <v/>
      </c>
      <c r="P44" s="3">
        <f>SUMIFS(Raw_Events!$L:$L,Raw_Events!$D:$D,$A44,Raw_Events!$G:$G,"ALCOHOL")</f>
        <v/>
      </c>
      <c r="Q44" s="3">
        <f>SUMIFS(Raw_Events!$H:$H,Raw_Events!$D:$D,$A44,Raw_Events!$G:$G,"CIGARETTES")</f>
        <v/>
      </c>
      <c r="R44" s="3">
        <f>SUMIFS(Raw_Events!$H:$H,Raw_Events!$D:$D,$A44,Raw_Events!$G:$G,"UNHEALTHY_MEAL")</f>
        <v/>
      </c>
      <c r="S44" s="3">
        <f>COUNTIFS(Raw_Events!$D:$D,$A44,Raw_Events!$G:$G,"WORKOUT")</f>
        <v/>
      </c>
      <c r="T44" s="3">
        <f>IFERROR(VLOOKUP($A44,Raw_Weekly!$A:$G,5,FALSE),"")</f>
        <v/>
      </c>
      <c r="U44" s="3">
        <f>COUNTIFS(Raw_Events!$D:$D,$A44,Raw_Events!$G:$G,"NEW_ACTIVITY")</f>
        <v/>
      </c>
      <c r="V44" s="3">
        <f>SUMIFS(Raw_Events!$H:$H,Raw_Events!$D:$D,$A44,Raw_Events!$G:$G,"TRAVEL_NIGHT")</f>
        <v/>
      </c>
      <c r="W44">
        <f>IF($E44=1,IF(AND($H44&gt;=Settings!$C$39,$J44&gt;=Settings!$C$40,$L44&gt;=Settings!$C$41),1,0),"")</f>
        <v/>
      </c>
      <c r="X44">
        <f>IF($A44="","",IF(COUNTIFS(Raw_Events!$D:$D,$A44,Raw_Events!$G:$G,"ORIGINATION_ACTION")&gt;0,COUNTIFS(Raw_Events!$D:$D,$A44,Raw_Events!$G:$G,"ORIGINATION_ACTION"),COUNTIFS(Raw_Events!$D:$D,$A44,Raw_Events!$G:$G,"STAKEHOLDER_CHAT")+COUNTIFS(Raw_Events!$D:$D,$A44,Raw_Events!$G:$G,"MEMO_WRITTEN")+COUNTIFS(Raw_Events!$D:$D,$A44,Raw_Events!$G:$G,"INITIATIVE_PRESENTED_VP")+COUNTIFS(Raw_Events!$D:$D,$A44,Raw_Events!$G:$G,"INITIATIVE_IDEA")))</f>
        <v/>
      </c>
      <c r="Y44">
        <f>IF($X44="","",IF($X44&gt;=1,1,0))</f>
        <v/>
      </c>
      <c r="Z44">
        <f>COUNTIFS(Raw_Events!$D:$D,$A44,Raw_Events!$G:$G,"WORKOUT_SKIPPED")</f>
        <v/>
      </c>
      <c r="AA44">
        <f>COUNTIFS(Raw_Events!$D:$D,$A44,Raw_Events!$G:$G,"COMMUNITY_SESSION")</f>
        <v/>
      </c>
      <c r="AB44">
        <f>COUNTIFS(Raw_Events!$D:$D,$A44,Raw_Events!$G:$G,"HOSTED_EVENT")</f>
        <v/>
      </c>
      <c r="AC44">
        <f>SUMIFS(Raw_Events!$H:$H,Raw_Events!$D:$D,$A44,Raw_Events!$G:$G,"IDEA_STAR")</f>
        <v/>
      </c>
      <c r="AD44">
        <f>IF($A44="","",IF(ROW()=3,"",IF(AND($H44&lt;1,INDEX($H:$H,ROW()-1)&lt;1),1,0)))</f>
        <v/>
      </c>
      <c r="AE44">
        <f>IF($A44="","",IF(ROW()=3,"",IF(AND($I44&lt;2,INDEX($I:$I,ROW()-1)&lt;2),1,0)))</f>
        <v/>
      </c>
      <c r="AF44">
        <f>IF($A44="","",IF(OR($E44=1,$AD44=1,$AE44=1),1,0))</f>
        <v/>
      </c>
      <c r="AG44">
        <f>IF($A44="","",IF(ROW()=3,"",IF(AND($B44&gt;=Settings!$C$14,INDEX($B:$B,ROW()-1)&gt;=Settings!$C$14),1,0)))</f>
        <v/>
      </c>
      <c r="AH44">
        <f>IF($A44="","",IF(AND($L44&gt;=Settings!$C$34,$AC44&lt;1),1,0))</f>
        <v/>
      </c>
      <c r="AI44">
        <f>SUMIFS(Raw_Events!$H:$H,Raw_Events!$D:$D,$A44,Raw_Events!$G:$G,"DEEP_WORK_HOURS")</f>
        <v/>
      </c>
      <c r="AJ44">
        <f>SUMIFS(Raw_Events!$H:$H,Raw_Events!$D:$D,$A44,Raw_Events!$G:$G,"EDUCATION_HOURS")</f>
        <v/>
      </c>
      <c r="AK44">
        <f>SUMIFS(Raw_Events!$H:$H,Raw_Events!$D:$D,$A44,Raw_Events!$G:$G,"HOBBY_HOURS")</f>
        <v/>
      </c>
      <c r="AL44">
        <f>SUMIFS(Raw_Events!$H:$H,Raw_Events!$D:$D,$A44,Raw_Events!$G:$G,"PARTNER_QUALITY_TIME")</f>
        <v/>
      </c>
      <c r="AM44">
        <f>IFERROR(MAXIFS(Raw_Events!$H:$H,Raw_Events!$D:$D,$A44,Raw_Events!$G:$G,"INVESTMENT_COVERAGE"),"")</f>
        <v/>
      </c>
    </row>
    <row r="45" ht="15" customHeight="1">
      <c r="A45" s="17" t="n">
        <v>46321</v>
      </c>
      <c r="B45" s="3">
        <f>IFERROR(VLOOKUP($A45,Raw_Weekly!$A:$G,2,FALSE),"")</f>
        <v/>
      </c>
      <c r="C45" s="3">
        <f>IFERROR(VLOOKUP($A45,Raw_Weekly!$A:$G,3,FALSE),"")</f>
        <v/>
      </c>
      <c r="D45" s="3">
        <f>IFERROR(VLOOKUP($A45,Raw_Weekly!$A:$G,4,FALSE),0)</f>
        <v/>
      </c>
      <c r="E45">
        <f>IF($B45="","",IF(OR($B45&gt;=Settings!$C$14,IFERROR(VLOOKUP($A45,Raw_Weekly!$A:$H,8,FALSE),0)=1),1,0))</f>
        <v/>
      </c>
      <c r="F45">
        <f>IF($B45="","",IF($B45&lt;=Settings!$C$13,1,0))</f>
        <v/>
      </c>
      <c r="G45">
        <f>IF($C45="","",IF($C45&lt;=Settings!$C$12,1,0))</f>
        <v/>
      </c>
      <c r="H45" s="3">
        <f>COUNTIFS(Raw_Events!$D:$D,$A45,Raw_Events!$G:$G,"SOCIAL_MEET")+COUNTIFS(Raw_Events!$D:$D,$A45,Raw_Events!$G:$G,"COMMUNITY_SESSION")+COUNTIFS(Raw_Events!$D:$D,$A45,Raw_Events!$G:$G,"HOSTED_EVENT")</f>
        <v/>
      </c>
      <c r="I45" s="3">
        <f>COUNTIFS(Raw_Events!$D:$D,$A45,Raw_Events!$G:$G,"DATE")</f>
        <v/>
      </c>
      <c r="J45" s="3">
        <f>COUNTIFS(Raw_Events!$D:$D,$A45,Raw_Events!$G:$G,"TRAINING_MIN")+COUNTIFS(Raw_Events!$D:$D,$A45,Raw_Events!$G:$G,"DICTION_TRAINING_MIN")</f>
        <v/>
      </c>
      <c r="K45" s="3">
        <f>SUMIFS(Raw_Events!$H:$H,Raw_Events!$D:$D,$A45,Raw_Events!$G:$G,"TRAINING_MIN")+SUMIFS(Raw_Events!$H:$H,Raw_Events!$D:$D,$A45,Raw_Events!$G:$G,"DICTION_TRAINING_MIN")</f>
        <v/>
      </c>
      <c r="L45" s="3">
        <f>SUMIFS(Raw_Events!$H:$H,Raw_Events!$D:$D,$A45,Raw_Events!$G:$G,"IDEA")</f>
        <v/>
      </c>
      <c r="M45" s="3">
        <f>SUMIFS(Raw_Events!$H:$H,Raw_Events!$D:$D,$A45,Raw_Events!$G:$G,"MINDFULNESS_MIN")</f>
        <v/>
      </c>
      <c r="N45" s="3">
        <f>SUMIFS(Daily_Agg!$G:$G,Daily_Agg!$A:$A,"&gt;="&amp;$A45,Daily_Agg!$A:$A,"&lt;"&amp;$A45+7)</f>
        <v/>
      </c>
      <c r="O45" s="3">
        <f>SUMIFS(Daily_Agg!$E:$E,Daily_Agg!$A:$A,"&gt;="&amp;$A45,Daily_Agg!$A:$A,"&lt;"&amp;$A45+7)</f>
        <v/>
      </c>
      <c r="P45" s="3">
        <f>SUMIFS(Raw_Events!$L:$L,Raw_Events!$D:$D,$A45,Raw_Events!$G:$G,"ALCOHOL")</f>
        <v/>
      </c>
      <c r="Q45" s="3">
        <f>SUMIFS(Raw_Events!$H:$H,Raw_Events!$D:$D,$A45,Raw_Events!$G:$G,"CIGARETTES")</f>
        <v/>
      </c>
      <c r="R45" s="3">
        <f>SUMIFS(Raw_Events!$H:$H,Raw_Events!$D:$D,$A45,Raw_Events!$G:$G,"UNHEALTHY_MEAL")</f>
        <v/>
      </c>
      <c r="S45" s="3">
        <f>COUNTIFS(Raw_Events!$D:$D,$A45,Raw_Events!$G:$G,"WORKOUT")</f>
        <v/>
      </c>
      <c r="T45" s="3">
        <f>IFERROR(VLOOKUP($A45,Raw_Weekly!$A:$G,5,FALSE),"")</f>
        <v/>
      </c>
      <c r="U45" s="3">
        <f>COUNTIFS(Raw_Events!$D:$D,$A45,Raw_Events!$G:$G,"NEW_ACTIVITY")</f>
        <v/>
      </c>
      <c r="V45" s="3">
        <f>SUMIFS(Raw_Events!$H:$H,Raw_Events!$D:$D,$A45,Raw_Events!$G:$G,"TRAVEL_NIGHT")</f>
        <v/>
      </c>
      <c r="W45">
        <f>IF($E45=1,IF(AND($H45&gt;=Settings!$C$39,$J45&gt;=Settings!$C$40,$L45&gt;=Settings!$C$41),1,0),"")</f>
        <v/>
      </c>
      <c r="X45">
        <f>IF($A45="","",IF(COUNTIFS(Raw_Events!$D:$D,$A45,Raw_Events!$G:$G,"ORIGINATION_ACTION")&gt;0,COUNTIFS(Raw_Events!$D:$D,$A45,Raw_Events!$G:$G,"ORIGINATION_ACTION"),COUNTIFS(Raw_Events!$D:$D,$A45,Raw_Events!$G:$G,"STAKEHOLDER_CHAT")+COUNTIFS(Raw_Events!$D:$D,$A45,Raw_Events!$G:$G,"MEMO_WRITTEN")+COUNTIFS(Raw_Events!$D:$D,$A45,Raw_Events!$G:$G,"INITIATIVE_PRESENTED_VP")+COUNTIFS(Raw_Events!$D:$D,$A45,Raw_Events!$G:$G,"INITIATIVE_IDEA")))</f>
        <v/>
      </c>
      <c r="Y45">
        <f>IF($X45="","",IF($X45&gt;=1,1,0))</f>
        <v/>
      </c>
      <c r="Z45">
        <f>COUNTIFS(Raw_Events!$D:$D,$A45,Raw_Events!$G:$G,"WORKOUT_SKIPPED")</f>
        <v/>
      </c>
      <c r="AA45">
        <f>COUNTIFS(Raw_Events!$D:$D,$A45,Raw_Events!$G:$G,"COMMUNITY_SESSION")</f>
        <v/>
      </c>
      <c r="AB45">
        <f>COUNTIFS(Raw_Events!$D:$D,$A45,Raw_Events!$G:$G,"HOSTED_EVENT")</f>
        <v/>
      </c>
      <c r="AC45">
        <f>SUMIFS(Raw_Events!$H:$H,Raw_Events!$D:$D,$A45,Raw_Events!$G:$G,"IDEA_STAR")</f>
        <v/>
      </c>
      <c r="AD45">
        <f>IF($A45="","",IF(ROW()=3,"",IF(AND($H45&lt;1,INDEX($H:$H,ROW()-1)&lt;1),1,0)))</f>
        <v/>
      </c>
      <c r="AE45">
        <f>IF($A45="","",IF(ROW()=3,"",IF(AND($I45&lt;2,INDEX($I:$I,ROW()-1)&lt;2),1,0)))</f>
        <v/>
      </c>
      <c r="AF45">
        <f>IF($A45="","",IF(OR($E45=1,$AD45=1,$AE45=1),1,0))</f>
        <v/>
      </c>
      <c r="AG45">
        <f>IF($A45="","",IF(ROW()=3,"",IF(AND($B45&gt;=Settings!$C$14,INDEX($B:$B,ROW()-1)&gt;=Settings!$C$14),1,0)))</f>
        <v/>
      </c>
      <c r="AH45">
        <f>IF($A45="","",IF(AND($L45&gt;=Settings!$C$34,$AC45&lt;1),1,0))</f>
        <v/>
      </c>
      <c r="AI45">
        <f>SUMIFS(Raw_Events!$H:$H,Raw_Events!$D:$D,$A45,Raw_Events!$G:$G,"DEEP_WORK_HOURS")</f>
        <v/>
      </c>
      <c r="AJ45">
        <f>SUMIFS(Raw_Events!$H:$H,Raw_Events!$D:$D,$A45,Raw_Events!$G:$G,"EDUCATION_HOURS")</f>
        <v/>
      </c>
      <c r="AK45">
        <f>SUMIFS(Raw_Events!$H:$H,Raw_Events!$D:$D,$A45,Raw_Events!$G:$G,"HOBBY_HOURS")</f>
        <v/>
      </c>
      <c r="AL45">
        <f>SUMIFS(Raw_Events!$H:$H,Raw_Events!$D:$D,$A45,Raw_Events!$G:$G,"PARTNER_QUALITY_TIME")</f>
        <v/>
      </c>
      <c r="AM45">
        <f>IFERROR(MAXIFS(Raw_Events!$H:$H,Raw_Events!$D:$D,$A45,Raw_Events!$G:$G,"INVESTMENT_COVERAGE"),"")</f>
        <v/>
      </c>
    </row>
    <row r="46" ht="15" customHeight="1">
      <c r="A46" s="17" t="n">
        <v>46328</v>
      </c>
      <c r="B46" s="3">
        <f>IFERROR(VLOOKUP($A46,Raw_Weekly!$A:$G,2,FALSE),"")</f>
        <v/>
      </c>
      <c r="C46" s="3">
        <f>IFERROR(VLOOKUP($A46,Raw_Weekly!$A:$G,3,FALSE),"")</f>
        <v/>
      </c>
      <c r="D46" s="3">
        <f>IFERROR(VLOOKUP($A46,Raw_Weekly!$A:$G,4,FALSE),0)</f>
        <v/>
      </c>
      <c r="E46">
        <f>IF($B46="","",IF(OR($B46&gt;=Settings!$C$14,IFERROR(VLOOKUP($A46,Raw_Weekly!$A:$H,8,FALSE),0)=1),1,0))</f>
        <v/>
      </c>
      <c r="F46">
        <f>IF($B46="","",IF($B46&lt;=Settings!$C$13,1,0))</f>
        <v/>
      </c>
      <c r="G46">
        <f>IF($C46="","",IF($C46&lt;=Settings!$C$12,1,0))</f>
        <v/>
      </c>
      <c r="H46" s="3">
        <f>COUNTIFS(Raw_Events!$D:$D,$A46,Raw_Events!$G:$G,"SOCIAL_MEET")+COUNTIFS(Raw_Events!$D:$D,$A46,Raw_Events!$G:$G,"COMMUNITY_SESSION")+COUNTIFS(Raw_Events!$D:$D,$A46,Raw_Events!$G:$G,"HOSTED_EVENT")</f>
        <v/>
      </c>
      <c r="I46" s="3">
        <f>COUNTIFS(Raw_Events!$D:$D,$A46,Raw_Events!$G:$G,"DATE")</f>
        <v/>
      </c>
      <c r="J46" s="3">
        <f>COUNTIFS(Raw_Events!$D:$D,$A46,Raw_Events!$G:$G,"TRAINING_MIN")+COUNTIFS(Raw_Events!$D:$D,$A46,Raw_Events!$G:$G,"DICTION_TRAINING_MIN")</f>
        <v/>
      </c>
      <c r="K46" s="3">
        <f>SUMIFS(Raw_Events!$H:$H,Raw_Events!$D:$D,$A46,Raw_Events!$G:$G,"TRAINING_MIN")+SUMIFS(Raw_Events!$H:$H,Raw_Events!$D:$D,$A46,Raw_Events!$G:$G,"DICTION_TRAINING_MIN")</f>
        <v/>
      </c>
      <c r="L46" s="3">
        <f>SUMIFS(Raw_Events!$H:$H,Raw_Events!$D:$D,$A46,Raw_Events!$G:$G,"IDEA")</f>
        <v/>
      </c>
      <c r="M46" s="3">
        <f>SUMIFS(Raw_Events!$H:$H,Raw_Events!$D:$D,$A46,Raw_Events!$G:$G,"MINDFULNESS_MIN")</f>
        <v/>
      </c>
      <c r="N46" s="3">
        <f>SUMIFS(Daily_Agg!$G:$G,Daily_Agg!$A:$A,"&gt;="&amp;$A46,Daily_Agg!$A:$A,"&lt;"&amp;$A46+7)</f>
        <v/>
      </c>
      <c r="O46" s="3">
        <f>SUMIFS(Daily_Agg!$E:$E,Daily_Agg!$A:$A,"&gt;="&amp;$A46,Daily_Agg!$A:$A,"&lt;"&amp;$A46+7)</f>
        <v/>
      </c>
      <c r="P46" s="3">
        <f>SUMIFS(Raw_Events!$L:$L,Raw_Events!$D:$D,$A46,Raw_Events!$G:$G,"ALCOHOL")</f>
        <v/>
      </c>
      <c r="Q46" s="3">
        <f>SUMIFS(Raw_Events!$H:$H,Raw_Events!$D:$D,$A46,Raw_Events!$G:$G,"CIGARETTES")</f>
        <v/>
      </c>
      <c r="R46" s="3">
        <f>SUMIFS(Raw_Events!$H:$H,Raw_Events!$D:$D,$A46,Raw_Events!$G:$G,"UNHEALTHY_MEAL")</f>
        <v/>
      </c>
      <c r="S46" s="3">
        <f>COUNTIFS(Raw_Events!$D:$D,$A46,Raw_Events!$G:$G,"WORKOUT")</f>
        <v/>
      </c>
      <c r="T46" s="3">
        <f>IFERROR(VLOOKUP($A46,Raw_Weekly!$A:$G,5,FALSE),"")</f>
        <v/>
      </c>
      <c r="U46" s="3">
        <f>COUNTIFS(Raw_Events!$D:$D,$A46,Raw_Events!$G:$G,"NEW_ACTIVITY")</f>
        <v/>
      </c>
      <c r="V46" s="3">
        <f>SUMIFS(Raw_Events!$H:$H,Raw_Events!$D:$D,$A46,Raw_Events!$G:$G,"TRAVEL_NIGHT")</f>
        <v/>
      </c>
      <c r="W46">
        <f>IF($E46=1,IF(AND($H46&gt;=Settings!$C$39,$J46&gt;=Settings!$C$40,$L46&gt;=Settings!$C$41),1,0),"")</f>
        <v/>
      </c>
      <c r="X46">
        <f>IF($A46="","",IF(COUNTIFS(Raw_Events!$D:$D,$A46,Raw_Events!$G:$G,"ORIGINATION_ACTION")&gt;0,COUNTIFS(Raw_Events!$D:$D,$A46,Raw_Events!$G:$G,"ORIGINATION_ACTION"),COUNTIFS(Raw_Events!$D:$D,$A46,Raw_Events!$G:$G,"STAKEHOLDER_CHAT")+COUNTIFS(Raw_Events!$D:$D,$A46,Raw_Events!$G:$G,"MEMO_WRITTEN")+COUNTIFS(Raw_Events!$D:$D,$A46,Raw_Events!$G:$G,"INITIATIVE_PRESENTED_VP")+COUNTIFS(Raw_Events!$D:$D,$A46,Raw_Events!$G:$G,"INITIATIVE_IDEA")))</f>
        <v/>
      </c>
      <c r="Y46">
        <f>IF($X46="","",IF($X46&gt;=1,1,0))</f>
        <v/>
      </c>
      <c r="Z46">
        <f>COUNTIFS(Raw_Events!$D:$D,$A46,Raw_Events!$G:$G,"WORKOUT_SKIPPED")</f>
        <v/>
      </c>
      <c r="AA46">
        <f>COUNTIFS(Raw_Events!$D:$D,$A46,Raw_Events!$G:$G,"COMMUNITY_SESSION")</f>
        <v/>
      </c>
      <c r="AB46">
        <f>COUNTIFS(Raw_Events!$D:$D,$A46,Raw_Events!$G:$G,"HOSTED_EVENT")</f>
        <v/>
      </c>
      <c r="AC46">
        <f>SUMIFS(Raw_Events!$H:$H,Raw_Events!$D:$D,$A46,Raw_Events!$G:$G,"IDEA_STAR")</f>
        <v/>
      </c>
      <c r="AD46">
        <f>IF($A46="","",IF(ROW()=3,"",IF(AND($H46&lt;1,INDEX($H:$H,ROW()-1)&lt;1),1,0)))</f>
        <v/>
      </c>
      <c r="AE46">
        <f>IF($A46="","",IF(ROW()=3,"",IF(AND($I46&lt;2,INDEX($I:$I,ROW()-1)&lt;2),1,0)))</f>
        <v/>
      </c>
      <c r="AF46">
        <f>IF($A46="","",IF(OR($E46=1,$AD46=1,$AE46=1),1,0))</f>
        <v/>
      </c>
      <c r="AG46">
        <f>IF($A46="","",IF(ROW()=3,"",IF(AND($B46&gt;=Settings!$C$14,INDEX($B:$B,ROW()-1)&gt;=Settings!$C$14),1,0)))</f>
        <v/>
      </c>
      <c r="AH46">
        <f>IF($A46="","",IF(AND($L46&gt;=Settings!$C$34,$AC46&lt;1),1,0))</f>
        <v/>
      </c>
      <c r="AI46">
        <f>SUMIFS(Raw_Events!$H:$H,Raw_Events!$D:$D,$A46,Raw_Events!$G:$G,"DEEP_WORK_HOURS")</f>
        <v/>
      </c>
      <c r="AJ46">
        <f>SUMIFS(Raw_Events!$H:$H,Raw_Events!$D:$D,$A46,Raw_Events!$G:$G,"EDUCATION_HOURS")</f>
        <v/>
      </c>
      <c r="AK46">
        <f>SUMIFS(Raw_Events!$H:$H,Raw_Events!$D:$D,$A46,Raw_Events!$G:$G,"HOBBY_HOURS")</f>
        <v/>
      </c>
      <c r="AL46">
        <f>SUMIFS(Raw_Events!$H:$H,Raw_Events!$D:$D,$A46,Raw_Events!$G:$G,"PARTNER_QUALITY_TIME")</f>
        <v/>
      </c>
      <c r="AM46">
        <f>IFERROR(MAXIFS(Raw_Events!$H:$H,Raw_Events!$D:$D,$A46,Raw_Events!$G:$G,"INVESTMENT_COVERAGE"),"")</f>
        <v/>
      </c>
    </row>
    <row r="47" ht="15" customHeight="1">
      <c r="A47" s="17" t="n">
        <v>46335</v>
      </c>
      <c r="B47" s="3">
        <f>IFERROR(VLOOKUP($A47,Raw_Weekly!$A:$G,2,FALSE),"")</f>
        <v/>
      </c>
      <c r="C47" s="3">
        <f>IFERROR(VLOOKUP($A47,Raw_Weekly!$A:$G,3,FALSE),"")</f>
        <v/>
      </c>
      <c r="D47" s="3">
        <f>IFERROR(VLOOKUP($A47,Raw_Weekly!$A:$G,4,FALSE),0)</f>
        <v/>
      </c>
      <c r="E47">
        <f>IF($B47="","",IF(OR($B47&gt;=Settings!$C$14,IFERROR(VLOOKUP($A47,Raw_Weekly!$A:$H,8,FALSE),0)=1),1,0))</f>
        <v/>
      </c>
      <c r="F47">
        <f>IF($B47="","",IF($B47&lt;=Settings!$C$13,1,0))</f>
        <v/>
      </c>
      <c r="G47">
        <f>IF($C47="","",IF($C47&lt;=Settings!$C$12,1,0))</f>
        <v/>
      </c>
      <c r="H47" s="3">
        <f>COUNTIFS(Raw_Events!$D:$D,$A47,Raw_Events!$G:$G,"SOCIAL_MEET")+COUNTIFS(Raw_Events!$D:$D,$A47,Raw_Events!$G:$G,"COMMUNITY_SESSION")+COUNTIFS(Raw_Events!$D:$D,$A47,Raw_Events!$G:$G,"HOSTED_EVENT")</f>
        <v/>
      </c>
      <c r="I47" s="3">
        <f>COUNTIFS(Raw_Events!$D:$D,$A47,Raw_Events!$G:$G,"DATE")</f>
        <v/>
      </c>
      <c r="J47" s="3">
        <f>COUNTIFS(Raw_Events!$D:$D,$A47,Raw_Events!$G:$G,"TRAINING_MIN")+COUNTIFS(Raw_Events!$D:$D,$A47,Raw_Events!$G:$G,"DICTION_TRAINING_MIN")</f>
        <v/>
      </c>
      <c r="K47" s="3">
        <f>SUMIFS(Raw_Events!$H:$H,Raw_Events!$D:$D,$A47,Raw_Events!$G:$G,"TRAINING_MIN")+SUMIFS(Raw_Events!$H:$H,Raw_Events!$D:$D,$A47,Raw_Events!$G:$G,"DICTION_TRAINING_MIN")</f>
        <v/>
      </c>
      <c r="L47" s="3">
        <f>SUMIFS(Raw_Events!$H:$H,Raw_Events!$D:$D,$A47,Raw_Events!$G:$G,"IDEA")</f>
        <v/>
      </c>
      <c r="M47" s="3">
        <f>SUMIFS(Raw_Events!$H:$H,Raw_Events!$D:$D,$A47,Raw_Events!$G:$G,"MINDFULNESS_MIN")</f>
        <v/>
      </c>
      <c r="N47" s="3">
        <f>SUMIFS(Daily_Agg!$G:$G,Daily_Agg!$A:$A,"&gt;="&amp;$A47,Daily_Agg!$A:$A,"&lt;"&amp;$A47+7)</f>
        <v/>
      </c>
      <c r="O47" s="3">
        <f>SUMIFS(Daily_Agg!$E:$E,Daily_Agg!$A:$A,"&gt;="&amp;$A47,Daily_Agg!$A:$A,"&lt;"&amp;$A47+7)</f>
        <v/>
      </c>
      <c r="P47" s="3">
        <f>SUMIFS(Raw_Events!$L:$L,Raw_Events!$D:$D,$A47,Raw_Events!$G:$G,"ALCOHOL")</f>
        <v/>
      </c>
      <c r="Q47" s="3">
        <f>SUMIFS(Raw_Events!$H:$H,Raw_Events!$D:$D,$A47,Raw_Events!$G:$G,"CIGARETTES")</f>
        <v/>
      </c>
      <c r="R47" s="3">
        <f>SUMIFS(Raw_Events!$H:$H,Raw_Events!$D:$D,$A47,Raw_Events!$G:$G,"UNHEALTHY_MEAL")</f>
        <v/>
      </c>
      <c r="S47" s="3">
        <f>COUNTIFS(Raw_Events!$D:$D,$A47,Raw_Events!$G:$G,"WORKOUT")</f>
        <v/>
      </c>
      <c r="T47" s="3">
        <f>IFERROR(VLOOKUP($A47,Raw_Weekly!$A:$G,5,FALSE),"")</f>
        <v/>
      </c>
      <c r="U47" s="3">
        <f>COUNTIFS(Raw_Events!$D:$D,$A47,Raw_Events!$G:$G,"NEW_ACTIVITY")</f>
        <v/>
      </c>
      <c r="V47" s="3">
        <f>SUMIFS(Raw_Events!$H:$H,Raw_Events!$D:$D,$A47,Raw_Events!$G:$G,"TRAVEL_NIGHT")</f>
        <v/>
      </c>
      <c r="W47">
        <f>IF($E47=1,IF(AND($H47&gt;=Settings!$C$39,$J47&gt;=Settings!$C$40,$L47&gt;=Settings!$C$41),1,0),"")</f>
        <v/>
      </c>
      <c r="X47">
        <f>IF($A47="","",IF(COUNTIFS(Raw_Events!$D:$D,$A47,Raw_Events!$G:$G,"ORIGINATION_ACTION")&gt;0,COUNTIFS(Raw_Events!$D:$D,$A47,Raw_Events!$G:$G,"ORIGINATION_ACTION"),COUNTIFS(Raw_Events!$D:$D,$A47,Raw_Events!$G:$G,"STAKEHOLDER_CHAT")+COUNTIFS(Raw_Events!$D:$D,$A47,Raw_Events!$G:$G,"MEMO_WRITTEN")+COUNTIFS(Raw_Events!$D:$D,$A47,Raw_Events!$G:$G,"INITIATIVE_PRESENTED_VP")+COUNTIFS(Raw_Events!$D:$D,$A47,Raw_Events!$G:$G,"INITIATIVE_IDEA")))</f>
        <v/>
      </c>
      <c r="Y47">
        <f>IF($X47="","",IF($X47&gt;=1,1,0))</f>
        <v/>
      </c>
      <c r="Z47">
        <f>COUNTIFS(Raw_Events!$D:$D,$A47,Raw_Events!$G:$G,"WORKOUT_SKIPPED")</f>
        <v/>
      </c>
      <c r="AA47">
        <f>COUNTIFS(Raw_Events!$D:$D,$A47,Raw_Events!$G:$G,"COMMUNITY_SESSION")</f>
        <v/>
      </c>
      <c r="AB47">
        <f>COUNTIFS(Raw_Events!$D:$D,$A47,Raw_Events!$G:$G,"HOSTED_EVENT")</f>
        <v/>
      </c>
      <c r="AC47">
        <f>SUMIFS(Raw_Events!$H:$H,Raw_Events!$D:$D,$A47,Raw_Events!$G:$G,"IDEA_STAR")</f>
        <v/>
      </c>
      <c r="AD47">
        <f>IF($A47="","",IF(ROW()=3,"",IF(AND($H47&lt;1,INDEX($H:$H,ROW()-1)&lt;1),1,0)))</f>
        <v/>
      </c>
      <c r="AE47">
        <f>IF($A47="","",IF(ROW()=3,"",IF(AND($I47&lt;2,INDEX($I:$I,ROW()-1)&lt;2),1,0)))</f>
        <v/>
      </c>
      <c r="AF47">
        <f>IF($A47="","",IF(OR($E47=1,$AD47=1,$AE47=1),1,0))</f>
        <v/>
      </c>
      <c r="AG47">
        <f>IF($A47="","",IF(ROW()=3,"",IF(AND($B47&gt;=Settings!$C$14,INDEX($B:$B,ROW()-1)&gt;=Settings!$C$14),1,0)))</f>
        <v/>
      </c>
      <c r="AH47">
        <f>IF($A47="","",IF(AND($L47&gt;=Settings!$C$34,$AC47&lt;1),1,0))</f>
        <v/>
      </c>
      <c r="AI47">
        <f>SUMIFS(Raw_Events!$H:$H,Raw_Events!$D:$D,$A47,Raw_Events!$G:$G,"DEEP_WORK_HOURS")</f>
        <v/>
      </c>
      <c r="AJ47">
        <f>SUMIFS(Raw_Events!$H:$H,Raw_Events!$D:$D,$A47,Raw_Events!$G:$G,"EDUCATION_HOURS")</f>
        <v/>
      </c>
      <c r="AK47">
        <f>SUMIFS(Raw_Events!$H:$H,Raw_Events!$D:$D,$A47,Raw_Events!$G:$G,"HOBBY_HOURS")</f>
        <v/>
      </c>
      <c r="AL47">
        <f>SUMIFS(Raw_Events!$H:$H,Raw_Events!$D:$D,$A47,Raw_Events!$G:$G,"PARTNER_QUALITY_TIME")</f>
        <v/>
      </c>
      <c r="AM47">
        <f>IFERROR(MAXIFS(Raw_Events!$H:$H,Raw_Events!$D:$D,$A47,Raw_Events!$G:$G,"INVESTMENT_COVERAGE"),"")</f>
        <v/>
      </c>
    </row>
    <row r="48" ht="15" customHeight="1">
      <c r="A48" s="17" t="n">
        <v>46342</v>
      </c>
      <c r="B48" s="3">
        <f>IFERROR(VLOOKUP($A48,Raw_Weekly!$A:$G,2,FALSE),"")</f>
        <v/>
      </c>
      <c r="C48" s="3">
        <f>IFERROR(VLOOKUP($A48,Raw_Weekly!$A:$G,3,FALSE),"")</f>
        <v/>
      </c>
      <c r="D48" s="3">
        <f>IFERROR(VLOOKUP($A48,Raw_Weekly!$A:$G,4,FALSE),0)</f>
        <v/>
      </c>
      <c r="E48">
        <f>IF($B48="","",IF(OR($B48&gt;=Settings!$C$14,IFERROR(VLOOKUP($A48,Raw_Weekly!$A:$H,8,FALSE),0)=1),1,0))</f>
        <v/>
      </c>
      <c r="F48">
        <f>IF($B48="","",IF($B48&lt;=Settings!$C$13,1,0))</f>
        <v/>
      </c>
      <c r="G48">
        <f>IF($C48="","",IF($C48&lt;=Settings!$C$12,1,0))</f>
        <v/>
      </c>
      <c r="H48" s="3">
        <f>COUNTIFS(Raw_Events!$D:$D,$A48,Raw_Events!$G:$G,"SOCIAL_MEET")+COUNTIFS(Raw_Events!$D:$D,$A48,Raw_Events!$G:$G,"COMMUNITY_SESSION")+COUNTIFS(Raw_Events!$D:$D,$A48,Raw_Events!$G:$G,"HOSTED_EVENT")</f>
        <v/>
      </c>
      <c r="I48" s="3">
        <f>COUNTIFS(Raw_Events!$D:$D,$A48,Raw_Events!$G:$G,"DATE")</f>
        <v/>
      </c>
      <c r="J48" s="3">
        <f>COUNTIFS(Raw_Events!$D:$D,$A48,Raw_Events!$G:$G,"TRAINING_MIN")+COUNTIFS(Raw_Events!$D:$D,$A48,Raw_Events!$G:$G,"DICTION_TRAINING_MIN")</f>
        <v/>
      </c>
      <c r="K48" s="3">
        <f>SUMIFS(Raw_Events!$H:$H,Raw_Events!$D:$D,$A48,Raw_Events!$G:$G,"TRAINING_MIN")+SUMIFS(Raw_Events!$H:$H,Raw_Events!$D:$D,$A48,Raw_Events!$G:$G,"DICTION_TRAINING_MIN")</f>
        <v/>
      </c>
      <c r="L48" s="3">
        <f>SUMIFS(Raw_Events!$H:$H,Raw_Events!$D:$D,$A48,Raw_Events!$G:$G,"IDEA")</f>
        <v/>
      </c>
      <c r="M48" s="3">
        <f>SUMIFS(Raw_Events!$H:$H,Raw_Events!$D:$D,$A48,Raw_Events!$G:$G,"MINDFULNESS_MIN")</f>
        <v/>
      </c>
      <c r="N48" s="3">
        <f>SUMIFS(Daily_Agg!$G:$G,Daily_Agg!$A:$A,"&gt;="&amp;$A48,Daily_Agg!$A:$A,"&lt;"&amp;$A48+7)</f>
        <v/>
      </c>
      <c r="O48" s="3">
        <f>SUMIFS(Daily_Agg!$E:$E,Daily_Agg!$A:$A,"&gt;="&amp;$A48,Daily_Agg!$A:$A,"&lt;"&amp;$A48+7)</f>
        <v/>
      </c>
      <c r="P48" s="3">
        <f>SUMIFS(Raw_Events!$L:$L,Raw_Events!$D:$D,$A48,Raw_Events!$G:$G,"ALCOHOL")</f>
        <v/>
      </c>
      <c r="Q48" s="3">
        <f>SUMIFS(Raw_Events!$H:$H,Raw_Events!$D:$D,$A48,Raw_Events!$G:$G,"CIGARETTES")</f>
        <v/>
      </c>
      <c r="R48" s="3">
        <f>SUMIFS(Raw_Events!$H:$H,Raw_Events!$D:$D,$A48,Raw_Events!$G:$G,"UNHEALTHY_MEAL")</f>
        <v/>
      </c>
      <c r="S48" s="3">
        <f>COUNTIFS(Raw_Events!$D:$D,$A48,Raw_Events!$G:$G,"WORKOUT")</f>
        <v/>
      </c>
      <c r="T48" s="3">
        <f>IFERROR(VLOOKUP($A48,Raw_Weekly!$A:$G,5,FALSE),"")</f>
        <v/>
      </c>
      <c r="U48" s="3">
        <f>COUNTIFS(Raw_Events!$D:$D,$A48,Raw_Events!$G:$G,"NEW_ACTIVITY")</f>
        <v/>
      </c>
      <c r="V48" s="3">
        <f>SUMIFS(Raw_Events!$H:$H,Raw_Events!$D:$D,$A48,Raw_Events!$G:$G,"TRAVEL_NIGHT")</f>
        <v/>
      </c>
      <c r="W48">
        <f>IF($E48=1,IF(AND($H48&gt;=Settings!$C$39,$J48&gt;=Settings!$C$40,$L48&gt;=Settings!$C$41),1,0),"")</f>
        <v/>
      </c>
      <c r="X48">
        <f>IF($A48="","",IF(COUNTIFS(Raw_Events!$D:$D,$A48,Raw_Events!$G:$G,"ORIGINATION_ACTION")&gt;0,COUNTIFS(Raw_Events!$D:$D,$A48,Raw_Events!$G:$G,"ORIGINATION_ACTION"),COUNTIFS(Raw_Events!$D:$D,$A48,Raw_Events!$G:$G,"STAKEHOLDER_CHAT")+COUNTIFS(Raw_Events!$D:$D,$A48,Raw_Events!$G:$G,"MEMO_WRITTEN")+COUNTIFS(Raw_Events!$D:$D,$A48,Raw_Events!$G:$G,"INITIATIVE_PRESENTED_VP")+COUNTIFS(Raw_Events!$D:$D,$A48,Raw_Events!$G:$G,"INITIATIVE_IDEA")))</f>
        <v/>
      </c>
      <c r="Y48">
        <f>IF($X48="","",IF($X48&gt;=1,1,0))</f>
        <v/>
      </c>
      <c r="Z48">
        <f>COUNTIFS(Raw_Events!$D:$D,$A48,Raw_Events!$G:$G,"WORKOUT_SKIPPED")</f>
        <v/>
      </c>
      <c r="AA48">
        <f>COUNTIFS(Raw_Events!$D:$D,$A48,Raw_Events!$G:$G,"COMMUNITY_SESSION")</f>
        <v/>
      </c>
      <c r="AB48">
        <f>COUNTIFS(Raw_Events!$D:$D,$A48,Raw_Events!$G:$G,"HOSTED_EVENT")</f>
        <v/>
      </c>
      <c r="AC48">
        <f>SUMIFS(Raw_Events!$H:$H,Raw_Events!$D:$D,$A48,Raw_Events!$G:$G,"IDEA_STAR")</f>
        <v/>
      </c>
      <c r="AD48">
        <f>IF($A48="","",IF(ROW()=3,"",IF(AND($H48&lt;1,INDEX($H:$H,ROW()-1)&lt;1),1,0)))</f>
        <v/>
      </c>
      <c r="AE48">
        <f>IF($A48="","",IF(ROW()=3,"",IF(AND($I48&lt;2,INDEX($I:$I,ROW()-1)&lt;2),1,0)))</f>
        <v/>
      </c>
      <c r="AF48">
        <f>IF($A48="","",IF(OR($E48=1,$AD48=1,$AE48=1),1,0))</f>
        <v/>
      </c>
      <c r="AG48">
        <f>IF($A48="","",IF(ROW()=3,"",IF(AND($B48&gt;=Settings!$C$14,INDEX($B:$B,ROW()-1)&gt;=Settings!$C$14),1,0)))</f>
        <v/>
      </c>
      <c r="AH48">
        <f>IF($A48="","",IF(AND($L48&gt;=Settings!$C$34,$AC48&lt;1),1,0))</f>
        <v/>
      </c>
      <c r="AI48">
        <f>SUMIFS(Raw_Events!$H:$H,Raw_Events!$D:$D,$A48,Raw_Events!$G:$G,"DEEP_WORK_HOURS")</f>
        <v/>
      </c>
      <c r="AJ48">
        <f>SUMIFS(Raw_Events!$H:$H,Raw_Events!$D:$D,$A48,Raw_Events!$G:$G,"EDUCATION_HOURS")</f>
        <v/>
      </c>
      <c r="AK48">
        <f>SUMIFS(Raw_Events!$H:$H,Raw_Events!$D:$D,$A48,Raw_Events!$G:$G,"HOBBY_HOURS")</f>
        <v/>
      </c>
      <c r="AL48">
        <f>SUMIFS(Raw_Events!$H:$H,Raw_Events!$D:$D,$A48,Raw_Events!$G:$G,"PARTNER_QUALITY_TIME")</f>
        <v/>
      </c>
      <c r="AM48">
        <f>IFERROR(MAXIFS(Raw_Events!$H:$H,Raw_Events!$D:$D,$A48,Raw_Events!$G:$G,"INVESTMENT_COVERAGE"),"")</f>
        <v/>
      </c>
    </row>
    <row r="49" ht="15" customHeight="1">
      <c r="A49" s="17" t="n">
        <v>46349</v>
      </c>
      <c r="B49" s="3">
        <f>IFERROR(VLOOKUP($A49,Raw_Weekly!$A:$G,2,FALSE),"")</f>
        <v/>
      </c>
      <c r="C49" s="3">
        <f>IFERROR(VLOOKUP($A49,Raw_Weekly!$A:$G,3,FALSE),"")</f>
        <v/>
      </c>
      <c r="D49" s="3">
        <f>IFERROR(VLOOKUP($A49,Raw_Weekly!$A:$G,4,FALSE),0)</f>
        <v/>
      </c>
      <c r="E49">
        <f>IF($B49="","",IF(OR($B49&gt;=Settings!$C$14,IFERROR(VLOOKUP($A49,Raw_Weekly!$A:$H,8,FALSE),0)=1),1,0))</f>
        <v/>
      </c>
      <c r="F49">
        <f>IF($B49="","",IF($B49&lt;=Settings!$C$13,1,0))</f>
        <v/>
      </c>
      <c r="G49">
        <f>IF($C49="","",IF($C49&lt;=Settings!$C$12,1,0))</f>
        <v/>
      </c>
      <c r="H49" s="3">
        <f>COUNTIFS(Raw_Events!$D:$D,$A49,Raw_Events!$G:$G,"SOCIAL_MEET")+COUNTIFS(Raw_Events!$D:$D,$A49,Raw_Events!$G:$G,"COMMUNITY_SESSION")+COUNTIFS(Raw_Events!$D:$D,$A49,Raw_Events!$G:$G,"HOSTED_EVENT")</f>
        <v/>
      </c>
      <c r="I49" s="3">
        <f>COUNTIFS(Raw_Events!$D:$D,$A49,Raw_Events!$G:$G,"DATE")</f>
        <v/>
      </c>
      <c r="J49" s="3">
        <f>COUNTIFS(Raw_Events!$D:$D,$A49,Raw_Events!$G:$G,"TRAINING_MIN")+COUNTIFS(Raw_Events!$D:$D,$A49,Raw_Events!$G:$G,"DICTION_TRAINING_MIN")</f>
        <v/>
      </c>
      <c r="K49" s="3">
        <f>SUMIFS(Raw_Events!$H:$H,Raw_Events!$D:$D,$A49,Raw_Events!$G:$G,"TRAINING_MIN")+SUMIFS(Raw_Events!$H:$H,Raw_Events!$D:$D,$A49,Raw_Events!$G:$G,"DICTION_TRAINING_MIN")</f>
        <v/>
      </c>
      <c r="L49" s="3">
        <f>SUMIFS(Raw_Events!$H:$H,Raw_Events!$D:$D,$A49,Raw_Events!$G:$G,"IDEA")</f>
        <v/>
      </c>
      <c r="M49" s="3">
        <f>SUMIFS(Raw_Events!$H:$H,Raw_Events!$D:$D,$A49,Raw_Events!$G:$G,"MINDFULNESS_MIN")</f>
        <v/>
      </c>
      <c r="N49" s="3">
        <f>SUMIFS(Daily_Agg!$G:$G,Daily_Agg!$A:$A,"&gt;="&amp;$A49,Daily_Agg!$A:$A,"&lt;"&amp;$A49+7)</f>
        <v/>
      </c>
      <c r="O49" s="3">
        <f>SUMIFS(Daily_Agg!$E:$E,Daily_Agg!$A:$A,"&gt;="&amp;$A49,Daily_Agg!$A:$A,"&lt;"&amp;$A49+7)</f>
        <v/>
      </c>
      <c r="P49" s="3">
        <f>SUMIFS(Raw_Events!$L:$L,Raw_Events!$D:$D,$A49,Raw_Events!$G:$G,"ALCOHOL")</f>
        <v/>
      </c>
      <c r="Q49" s="3">
        <f>SUMIFS(Raw_Events!$H:$H,Raw_Events!$D:$D,$A49,Raw_Events!$G:$G,"CIGARETTES")</f>
        <v/>
      </c>
      <c r="R49" s="3">
        <f>SUMIFS(Raw_Events!$H:$H,Raw_Events!$D:$D,$A49,Raw_Events!$G:$G,"UNHEALTHY_MEAL")</f>
        <v/>
      </c>
      <c r="S49" s="3">
        <f>COUNTIFS(Raw_Events!$D:$D,$A49,Raw_Events!$G:$G,"WORKOUT")</f>
        <v/>
      </c>
      <c r="T49" s="3">
        <f>IFERROR(VLOOKUP($A49,Raw_Weekly!$A:$G,5,FALSE),"")</f>
        <v/>
      </c>
      <c r="U49" s="3">
        <f>COUNTIFS(Raw_Events!$D:$D,$A49,Raw_Events!$G:$G,"NEW_ACTIVITY")</f>
        <v/>
      </c>
      <c r="V49" s="3">
        <f>SUMIFS(Raw_Events!$H:$H,Raw_Events!$D:$D,$A49,Raw_Events!$G:$G,"TRAVEL_NIGHT")</f>
        <v/>
      </c>
      <c r="W49">
        <f>IF($E49=1,IF(AND($H49&gt;=Settings!$C$39,$J49&gt;=Settings!$C$40,$L49&gt;=Settings!$C$41),1,0),"")</f>
        <v/>
      </c>
      <c r="X49">
        <f>IF($A49="","",IF(COUNTIFS(Raw_Events!$D:$D,$A49,Raw_Events!$G:$G,"ORIGINATION_ACTION")&gt;0,COUNTIFS(Raw_Events!$D:$D,$A49,Raw_Events!$G:$G,"ORIGINATION_ACTION"),COUNTIFS(Raw_Events!$D:$D,$A49,Raw_Events!$G:$G,"STAKEHOLDER_CHAT")+COUNTIFS(Raw_Events!$D:$D,$A49,Raw_Events!$G:$G,"MEMO_WRITTEN")+COUNTIFS(Raw_Events!$D:$D,$A49,Raw_Events!$G:$G,"INITIATIVE_PRESENTED_VP")+COUNTIFS(Raw_Events!$D:$D,$A49,Raw_Events!$G:$G,"INITIATIVE_IDEA")))</f>
        <v/>
      </c>
      <c r="Y49">
        <f>IF($X49="","",IF($X49&gt;=1,1,0))</f>
        <v/>
      </c>
      <c r="Z49">
        <f>COUNTIFS(Raw_Events!$D:$D,$A49,Raw_Events!$G:$G,"WORKOUT_SKIPPED")</f>
        <v/>
      </c>
      <c r="AA49">
        <f>COUNTIFS(Raw_Events!$D:$D,$A49,Raw_Events!$G:$G,"COMMUNITY_SESSION")</f>
        <v/>
      </c>
      <c r="AB49">
        <f>COUNTIFS(Raw_Events!$D:$D,$A49,Raw_Events!$G:$G,"HOSTED_EVENT")</f>
        <v/>
      </c>
      <c r="AC49">
        <f>SUMIFS(Raw_Events!$H:$H,Raw_Events!$D:$D,$A49,Raw_Events!$G:$G,"IDEA_STAR")</f>
        <v/>
      </c>
      <c r="AD49">
        <f>IF($A49="","",IF(ROW()=3,"",IF(AND($H49&lt;1,INDEX($H:$H,ROW()-1)&lt;1),1,0)))</f>
        <v/>
      </c>
      <c r="AE49">
        <f>IF($A49="","",IF(ROW()=3,"",IF(AND($I49&lt;2,INDEX($I:$I,ROW()-1)&lt;2),1,0)))</f>
        <v/>
      </c>
      <c r="AF49">
        <f>IF($A49="","",IF(OR($E49=1,$AD49=1,$AE49=1),1,0))</f>
        <v/>
      </c>
      <c r="AG49">
        <f>IF($A49="","",IF(ROW()=3,"",IF(AND($B49&gt;=Settings!$C$14,INDEX($B:$B,ROW()-1)&gt;=Settings!$C$14),1,0)))</f>
        <v/>
      </c>
      <c r="AH49">
        <f>IF($A49="","",IF(AND($L49&gt;=Settings!$C$34,$AC49&lt;1),1,0))</f>
        <v/>
      </c>
      <c r="AI49">
        <f>SUMIFS(Raw_Events!$H:$H,Raw_Events!$D:$D,$A49,Raw_Events!$G:$G,"DEEP_WORK_HOURS")</f>
        <v/>
      </c>
      <c r="AJ49">
        <f>SUMIFS(Raw_Events!$H:$H,Raw_Events!$D:$D,$A49,Raw_Events!$G:$G,"EDUCATION_HOURS")</f>
        <v/>
      </c>
      <c r="AK49">
        <f>SUMIFS(Raw_Events!$H:$H,Raw_Events!$D:$D,$A49,Raw_Events!$G:$G,"HOBBY_HOURS")</f>
        <v/>
      </c>
      <c r="AL49">
        <f>SUMIFS(Raw_Events!$H:$H,Raw_Events!$D:$D,$A49,Raw_Events!$G:$G,"PARTNER_QUALITY_TIME")</f>
        <v/>
      </c>
      <c r="AM49">
        <f>IFERROR(MAXIFS(Raw_Events!$H:$H,Raw_Events!$D:$D,$A49,Raw_Events!$G:$G,"INVESTMENT_COVERAGE"),"")</f>
        <v/>
      </c>
    </row>
    <row r="50" ht="15" customHeight="1">
      <c r="A50" s="17" t="n">
        <v>46356</v>
      </c>
      <c r="B50" s="3">
        <f>IFERROR(VLOOKUP($A50,Raw_Weekly!$A:$G,2,FALSE),"")</f>
        <v/>
      </c>
      <c r="C50" s="3">
        <f>IFERROR(VLOOKUP($A50,Raw_Weekly!$A:$G,3,FALSE),"")</f>
        <v/>
      </c>
      <c r="D50" s="3">
        <f>IFERROR(VLOOKUP($A50,Raw_Weekly!$A:$G,4,FALSE),0)</f>
        <v/>
      </c>
      <c r="E50">
        <f>IF($B50="","",IF(OR($B50&gt;=Settings!$C$14,IFERROR(VLOOKUP($A50,Raw_Weekly!$A:$H,8,FALSE),0)=1),1,0))</f>
        <v/>
      </c>
      <c r="F50">
        <f>IF($B50="","",IF($B50&lt;=Settings!$C$13,1,0))</f>
        <v/>
      </c>
      <c r="G50">
        <f>IF($C50="","",IF($C50&lt;=Settings!$C$12,1,0))</f>
        <v/>
      </c>
      <c r="H50" s="3">
        <f>COUNTIFS(Raw_Events!$D:$D,$A50,Raw_Events!$G:$G,"SOCIAL_MEET")+COUNTIFS(Raw_Events!$D:$D,$A50,Raw_Events!$G:$G,"COMMUNITY_SESSION")+COUNTIFS(Raw_Events!$D:$D,$A50,Raw_Events!$G:$G,"HOSTED_EVENT")</f>
        <v/>
      </c>
      <c r="I50" s="3">
        <f>COUNTIFS(Raw_Events!$D:$D,$A50,Raw_Events!$G:$G,"DATE")</f>
        <v/>
      </c>
      <c r="J50" s="3">
        <f>COUNTIFS(Raw_Events!$D:$D,$A50,Raw_Events!$G:$G,"TRAINING_MIN")+COUNTIFS(Raw_Events!$D:$D,$A50,Raw_Events!$G:$G,"DICTION_TRAINING_MIN")</f>
        <v/>
      </c>
      <c r="K50" s="3">
        <f>SUMIFS(Raw_Events!$H:$H,Raw_Events!$D:$D,$A50,Raw_Events!$G:$G,"TRAINING_MIN")+SUMIFS(Raw_Events!$H:$H,Raw_Events!$D:$D,$A50,Raw_Events!$G:$G,"DICTION_TRAINING_MIN")</f>
        <v/>
      </c>
      <c r="L50" s="3">
        <f>SUMIFS(Raw_Events!$H:$H,Raw_Events!$D:$D,$A50,Raw_Events!$G:$G,"IDEA")</f>
        <v/>
      </c>
      <c r="M50" s="3">
        <f>SUMIFS(Raw_Events!$H:$H,Raw_Events!$D:$D,$A50,Raw_Events!$G:$G,"MINDFULNESS_MIN")</f>
        <v/>
      </c>
      <c r="N50" s="3">
        <f>SUMIFS(Daily_Agg!$G:$G,Daily_Agg!$A:$A,"&gt;="&amp;$A50,Daily_Agg!$A:$A,"&lt;"&amp;$A50+7)</f>
        <v/>
      </c>
      <c r="O50" s="3">
        <f>SUMIFS(Daily_Agg!$E:$E,Daily_Agg!$A:$A,"&gt;="&amp;$A50,Daily_Agg!$A:$A,"&lt;"&amp;$A50+7)</f>
        <v/>
      </c>
      <c r="P50" s="3">
        <f>SUMIFS(Raw_Events!$L:$L,Raw_Events!$D:$D,$A50,Raw_Events!$G:$G,"ALCOHOL")</f>
        <v/>
      </c>
      <c r="Q50" s="3">
        <f>SUMIFS(Raw_Events!$H:$H,Raw_Events!$D:$D,$A50,Raw_Events!$G:$G,"CIGARETTES")</f>
        <v/>
      </c>
      <c r="R50" s="3">
        <f>SUMIFS(Raw_Events!$H:$H,Raw_Events!$D:$D,$A50,Raw_Events!$G:$G,"UNHEALTHY_MEAL")</f>
        <v/>
      </c>
      <c r="S50" s="3">
        <f>COUNTIFS(Raw_Events!$D:$D,$A50,Raw_Events!$G:$G,"WORKOUT")</f>
        <v/>
      </c>
      <c r="T50" s="3">
        <f>IFERROR(VLOOKUP($A50,Raw_Weekly!$A:$G,5,FALSE),"")</f>
        <v/>
      </c>
      <c r="U50" s="3">
        <f>COUNTIFS(Raw_Events!$D:$D,$A50,Raw_Events!$G:$G,"NEW_ACTIVITY")</f>
        <v/>
      </c>
      <c r="V50" s="3">
        <f>SUMIFS(Raw_Events!$H:$H,Raw_Events!$D:$D,$A50,Raw_Events!$G:$G,"TRAVEL_NIGHT")</f>
        <v/>
      </c>
      <c r="W50">
        <f>IF($E50=1,IF(AND($H50&gt;=Settings!$C$39,$J50&gt;=Settings!$C$40,$L50&gt;=Settings!$C$41),1,0),"")</f>
        <v/>
      </c>
      <c r="X50">
        <f>IF($A50="","",IF(COUNTIFS(Raw_Events!$D:$D,$A50,Raw_Events!$G:$G,"ORIGINATION_ACTION")&gt;0,COUNTIFS(Raw_Events!$D:$D,$A50,Raw_Events!$G:$G,"ORIGINATION_ACTION"),COUNTIFS(Raw_Events!$D:$D,$A50,Raw_Events!$G:$G,"STAKEHOLDER_CHAT")+COUNTIFS(Raw_Events!$D:$D,$A50,Raw_Events!$G:$G,"MEMO_WRITTEN")+COUNTIFS(Raw_Events!$D:$D,$A50,Raw_Events!$G:$G,"INITIATIVE_PRESENTED_VP")+COUNTIFS(Raw_Events!$D:$D,$A50,Raw_Events!$G:$G,"INITIATIVE_IDEA")))</f>
        <v/>
      </c>
      <c r="Y50">
        <f>IF($X50="","",IF($X50&gt;=1,1,0))</f>
        <v/>
      </c>
      <c r="Z50">
        <f>COUNTIFS(Raw_Events!$D:$D,$A50,Raw_Events!$G:$G,"WORKOUT_SKIPPED")</f>
        <v/>
      </c>
      <c r="AA50">
        <f>COUNTIFS(Raw_Events!$D:$D,$A50,Raw_Events!$G:$G,"COMMUNITY_SESSION")</f>
        <v/>
      </c>
      <c r="AB50">
        <f>COUNTIFS(Raw_Events!$D:$D,$A50,Raw_Events!$G:$G,"HOSTED_EVENT")</f>
        <v/>
      </c>
      <c r="AC50">
        <f>SUMIFS(Raw_Events!$H:$H,Raw_Events!$D:$D,$A50,Raw_Events!$G:$G,"IDEA_STAR")</f>
        <v/>
      </c>
      <c r="AD50">
        <f>IF($A50="","",IF(ROW()=3,"",IF(AND($H50&lt;1,INDEX($H:$H,ROW()-1)&lt;1),1,0)))</f>
        <v/>
      </c>
      <c r="AE50">
        <f>IF($A50="","",IF(ROW()=3,"",IF(AND($I50&lt;2,INDEX($I:$I,ROW()-1)&lt;2),1,0)))</f>
        <v/>
      </c>
      <c r="AF50">
        <f>IF($A50="","",IF(OR($E50=1,$AD50=1,$AE50=1),1,0))</f>
        <v/>
      </c>
      <c r="AG50">
        <f>IF($A50="","",IF(ROW()=3,"",IF(AND($B50&gt;=Settings!$C$14,INDEX($B:$B,ROW()-1)&gt;=Settings!$C$14),1,0)))</f>
        <v/>
      </c>
      <c r="AH50">
        <f>IF($A50="","",IF(AND($L50&gt;=Settings!$C$34,$AC50&lt;1),1,0))</f>
        <v/>
      </c>
      <c r="AI50">
        <f>SUMIFS(Raw_Events!$H:$H,Raw_Events!$D:$D,$A50,Raw_Events!$G:$G,"DEEP_WORK_HOURS")</f>
        <v/>
      </c>
      <c r="AJ50">
        <f>SUMIFS(Raw_Events!$H:$H,Raw_Events!$D:$D,$A50,Raw_Events!$G:$G,"EDUCATION_HOURS")</f>
        <v/>
      </c>
      <c r="AK50">
        <f>SUMIFS(Raw_Events!$H:$H,Raw_Events!$D:$D,$A50,Raw_Events!$G:$G,"HOBBY_HOURS")</f>
        <v/>
      </c>
      <c r="AL50">
        <f>SUMIFS(Raw_Events!$H:$H,Raw_Events!$D:$D,$A50,Raw_Events!$G:$G,"PARTNER_QUALITY_TIME")</f>
        <v/>
      </c>
      <c r="AM50">
        <f>IFERROR(MAXIFS(Raw_Events!$H:$H,Raw_Events!$D:$D,$A50,Raw_Events!$G:$G,"INVESTMENT_COVERAGE"),"")</f>
        <v/>
      </c>
    </row>
    <row r="51" ht="15" customHeight="1">
      <c r="A51" s="17" t="n">
        <v>46363</v>
      </c>
      <c r="B51" s="3">
        <f>IFERROR(VLOOKUP($A51,Raw_Weekly!$A:$G,2,FALSE),"")</f>
        <v/>
      </c>
      <c r="C51" s="3">
        <f>IFERROR(VLOOKUP($A51,Raw_Weekly!$A:$G,3,FALSE),"")</f>
        <v/>
      </c>
      <c r="D51" s="3">
        <f>IFERROR(VLOOKUP($A51,Raw_Weekly!$A:$G,4,FALSE),0)</f>
        <v/>
      </c>
      <c r="E51">
        <f>IF($B51="","",IF(OR($B51&gt;=Settings!$C$14,IFERROR(VLOOKUP($A51,Raw_Weekly!$A:$H,8,FALSE),0)=1),1,0))</f>
        <v/>
      </c>
      <c r="F51">
        <f>IF($B51="","",IF($B51&lt;=Settings!$C$13,1,0))</f>
        <v/>
      </c>
      <c r="G51">
        <f>IF($C51="","",IF($C51&lt;=Settings!$C$12,1,0))</f>
        <v/>
      </c>
      <c r="H51" s="3">
        <f>COUNTIFS(Raw_Events!$D:$D,$A51,Raw_Events!$G:$G,"SOCIAL_MEET")+COUNTIFS(Raw_Events!$D:$D,$A51,Raw_Events!$G:$G,"COMMUNITY_SESSION")+COUNTIFS(Raw_Events!$D:$D,$A51,Raw_Events!$G:$G,"HOSTED_EVENT")</f>
        <v/>
      </c>
      <c r="I51" s="3">
        <f>COUNTIFS(Raw_Events!$D:$D,$A51,Raw_Events!$G:$G,"DATE")</f>
        <v/>
      </c>
      <c r="J51" s="3">
        <f>COUNTIFS(Raw_Events!$D:$D,$A51,Raw_Events!$G:$G,"TRAINING_MIN")+COUNTIFS(Raw_Events!$D:$D,$A51,Raw_Events!$G:$G,"DICTION_TRAINING_MIN")</f>
        <v/>
      </c>
      <c r="K51" s="3">
        <f>SUMIFS(Raw_Events!$H:$H,Raw_Events!$D:$D,$A51,Raw_Events!$G:$G,"TRAINING_MIN")+SUMIFS(Raw_Events!$H:$H,Raw_Events!$D:$D,$A51,Raw_Events!$G:$G,"DICTION_TRAINING_MIN")</f>
        <v/>
      </c>
      <c r="L51" s="3">
        <f>SUMIFS(Raw_Events!$H:$H,Raw_Events!$D:$D,$A51,Raw_Events!$G:$G,"IDEA")</f>
        <v/>
      </c>
      <c r="M51" s="3">
        <f>SUMIFS(Raw_Events!$H:$H,Raw_Events!$D:$D,$A51,Raw_Events!$G:$G,"MINDFULNESS_MIN")</f>
        <v/>
      </c>
      <c r="N51" s="3">
        <f>SUMIFS(Daily_Agg!$G:$G,Daily_Agg!$A:$A,"&gt;="&amp;$A51,Daily_Agg!$A:$A,"&lt;"&amp;$A51+7)</f>
        <v/>
      </c>
      <c r="O51" s="3">
        <f>SUMIFS(Daily_Agg!$E:$E,Daily_Agg!$A:$A,"&gt;="&amp;$A51,Daily_Agg!$A:$A,"&lt;"&amp;$A51+7)</f>
        <v/>
      </c>
      <c r="P51" s="3">
        <f>SUMIFS(Raw_Events!$L:$L,Raw_Events!$D:$D,$A51,Raw_Events!$G:$G,"ALCOHOL")</f>
        <v/>
      </c>
      <c r="Q51" s="3">
        <f>SUMIFS(Raw_Events!$H:$H,Raw_Events!$D:$D,$A51,Raw_Events!$G:$G,"CIGARETTES")</f>
        <v/>
      </c>
      <c r="R51" s="3">
        <f>SUMIFS(Raw_Events!$H:$H,Raw_Events!$D:$D,$A51,Raw_Events!$G:$G,"UNHEALTHY_MEAL")</f>
        <v/>
      </c>
      <c r="S51" s="3">
        <f>COUNTIFS(Raw_Events!$D:$D,$A51,Raw_Events!$G:$G,"WORKOUT")</f>
        <v/>
      </c>
      <c r="T51" s="3">
        <f>IFERROR(VLOOKUP($A51,Raw_Weekly!$A:$G,5,FALSE),"")</f>
        <v/>
      </c>
      <c r="U51" s="3">
        <f>COUNTIFS(Raw_Events!$D:$D,$A51,Raw_Events!$G:$G,"NEW_ACTIVITY")</f>
        <v/>
      </c>
      <c r="V51" s="3">
        <f>SUMIFS(Raw_Events!$H:$H,Raw_Events!$D:$D,$A51,Raw_Events!$G:$G,"TRAVEL_NIGHT")</f>
        <v/>
      </c>
      <c r="W51">
        <f>IF($E51=1,IF(AND($H51&gt;=Settings!$C$39,$J51&gt;=Settings!$C$40,$L51&gt;=Settings!$C$41),1,0),"")</f>
        <v/>
      </c>
      <c r="X51">
        <f>IF($A51="","",IF(COUNTIFS(Raw_Events!$D:$D,$A51,Raw_Events!$G:$G,"ORIGINATION_ACTION")&gt;0,COUNTIFS(Raw_Events!$D:$D,$A51,Raw_Events!$G:$G,"ORIGINATION_ACTION"),COUNTIFS(Raw_Events!$D:$D,$A51,Raw_Events!$G:$G,"STAKEHOLDER_CHAT")+COUNTIFS(Raw_Events!$D:$D,$A51,Raw_Events!$G:$G,"MEMO_WRITTEN")+COUNTIFS(Raw_Events!$D:$D,$A51,Raw_Events!$G:$G,"INITIATIVE_PRESENTED_VP")+COUNTIFS(Raw_Events!$D:$D,$A51,Raw_Events!$G:$G,"INITIATIVE_IDEA")))</f>
        <v/>
      </c>
      <c r="Y51">
        <f>IF($X51="","",IF($X51&gt;=1,1,0))</f>
        <v/>
      </c>
      <c r="Z51">
        <f>COUNTIFS(Raw_Events!$D:$D,$A51,Raw_Events!$G:$G,"WORKOUT_SKIPPED")</f>
        <v/>
      </c>
      <c r="AA51">
        <f>COUNTIFS(Raw_Events!$D:$D,$A51,Raw_Events!$G:$G,"COMMUNITY_SESSION")</f>
        <v/>
      </c>
      <c r="AB51">
        <f>COUNTIFS(Raw_Events!$D:$D,$A51,Raw_Events!$G:$G,"HOSTED_EVENT")</f>
        <v/>
      </c>
      <c r="AC51">
        <f>SUMIFS(Raw_Events!$H:$H,Raw_Events!$D:$D,$A51,Raw_Events!$G:$G,"IDEA_STAR")</f>
        <v/>
      </c>
      <c r="AD51">
        <f>IF($A51="","",IF(ROW()=3,"",IF(AND($H51&lt;1,INDEX($H:$H,ROW()-1)&lt;1),1,0)))</f>
        <v/>
      </c>
      <c r="AE51">
        <f>IF($A51="","",IF(ROW()=3,"",IF(AND($I51&lt;2,INDEX($I:$I,ROW()-1)&lt;2),1,0)))</f>
        <v/>
      </c>
      <c r="AF51">
        <f>IF($A51="","",IF(OR($E51=1,$AD51=1,$AE51=1),1,0))</f>
        <v/>
      </c>
      <c r="AG51">
        <f>IF($A51="","",IF(ROW()=3,"",IF(AND($B51&gt;=Settings!$C$14,INDEX($B:$B,ROW()-1)&gt;=Settings!$C$14),1,0)))</f>
        <v/>
      </c>
      <c r="AH51">
        <f>IF($A51="","",IF(AND($L51&gt;=Settings!$C$34,$AC51&lt;1),1,0))</f>
        <v/>
      </c>
      <c r="AI51">
        <f>SUMIFS(Raw_Events!$H:$H,Raw_Events!$D:$D,$A51,Raw_Events!$G:$G,"DEEP_WORK_HOURS")</f>
        <v/>
      </c>
      <c r="AJ51">
        <f>SUMIFS(Raw_Events!$H:$H,Raw_Events!$D:$D,$A51,Raw_Events!$G:$G,"EDUCATION_HOURS")</f>
        <v/>
      </c>
      <c r="AK51">
        <f>SUMIFS(Raw_Events!$H:$H,Raw_Events!$D:$D,$A51,Raw_Events!$G:$G,"HOBBY_HOURS")</f>
        <v/>
      </c>
      <c r="AL51">
        <f>SUMIFS(Raw_Events!$H:$H,Raw_Events!$D:$D,$A51,Raw_Events!$G:$G,"PARTNER_QUALITY_TIME")</f>
        <v/>
      </c>
      <c r="AM51">
        <f>IFERROR(MAXIFS(Raw_Events!$H:$H,Raw_Events!$D:$D,$A51,Raw_Events!$G:$G,"INVESTMENT_COVERAGE"),"")</f>
        <v/>
      </c>
    </row>
    <row r="52" ht="15" customHeight="1">
      <c r="A52" s="17" t="n">
        <v>46370</v>
      </c>
      <c r="B52" s="3">
        <f>IFERROR(VLOOKUP($A52,Raw_Weekly!$A:$G,2,FALSE),"")</f>
        <v/>
      </c>
      <c r="C52" s="3">
        <f>IFERROR(VLOOKUP($A52,Raw_Weekly!$A:$G,3,FALSE),"")</f>
        <v/>
      </c>
      <c r="D52" s="3">
        <f>IFERROR(VLOOKUP($A52,Raw_Weekly!$A:$G,4,FALSE),0)</f>
        <v/>
      </c>
      <c r="E52">
        <f>IF($B52="","",IF(OR($B52&gt;=Settings!$C$14,IFERROR(VLOOKUP($A52,Raw_Weekly!$A:$H,8,FALSE),0)=1),1,0))</f>
        <v/>
      </c>
      <c r="F52">
        <f>IF($B52="","",IF($B52&lt;=Settings!$C$13,1,0))</f>
        <v/>
      </c>
      <c r="G52">
        <f>IF($C52="","",IF($C52&lt;=Settings!$C$12,1,0))</f>
        <v/>
      </c>
      <c r="H52" s="3">
        <f>COUNTIFS(Raw_Events!$D:$D,$A52,Raw_Events!$G:$G,"SOCIAL_MEET")+COUNTIFS(Raw_Events!$D:$D,$A52,Raw_Events!$G:$G,"COMMUNITY_SESSION")+COUNTIFS(Raw_Events!$D:$D,$A52,Raw_Events!$G:$G,"HOSTED_EVENT")</f>
        <v/>
      </c>
      <c r="I52" s="3">
        <f>COUNTIFS(Raw_Events!$D:$D,$A52,Raw_Events!$G:$G,"DATE")</f>
        <v/>
      </c>
      <c r="J52" s="3">
        <f>COUNTIFS(Raw_Events!$D:$D,$A52,Raw_Events!$G:$G,"TRAINING_MIN")+COUNTIFS(Raw_Events!$D:$D,$A52,Raw_Events!$G:$G,"DICTION_TRAINING_MIN")</f>
        <v/>
      </c>
      <c r="K52" s="3">
        <f>SUMIFS(Raw_Events!$H:$H,Raw_Events!$D:$D,$A52,Raw_Events!$G:$G,"TRAINING_MIN")+SUMIFS(Raw_Events!$H:$H,Raw_Events!$D:$D,$A52,Raw_Events!$G:$G,"DICTION_TRAINING_MIN")</f>
        <v/>
      </c>
      <c r="L52" s="3">
        <f>SUMIFS(Raw_Events!$H:$H,Raw_Events!$D:$D,$A52,Raw_Events!$G:$G,"IDEA")</f>
        <v/>
      </c>
      <c r="M52" s="3">
        <f>SUMIFS(Raw_Events!$H:$H,Raw_Events!$D:$D,$A52,Raw_Events!$G:$G,"MINDFULNESS_MIN")</f>
        <v/>
      </c>
      <c r="N52" s="3">
        <f>SUMIFS(Daily_Agg!$G:$G,Daily_Agg!$A:$A,"&gt;="&amp;$A52,Daily_Agg!$A:$A,"&lt;"&amp;$A52+7)</f>
        <v/>
      </c>
      <c r="O52" s="3">
        <f>SUMIFS(Daily_Agg!$E:$E,Daily_Agg!$A:$A,"&gt;="&amp;$A52,Daily_Agg!$A:$A,"&lt;"&amp;$A52+7)</f>
        <v/>
      </c>
      <c r="P52" s="3">
        <f>SUMIFS(Raw_Events!$L:$L,Raw_Events!$D:$D,$A52,Raw_Events!$G:$G,"ALCOHOL")</f>
        <v/>
      </c>
      <c r="Q52" s="3">
        <f>SUMIFS(Raw_Events!$H:$H,Raw_Events!$D:$D,$A52,Raw_Events!$G:$G,"CIGARETTES")</f>
        <v/>
      </c>
      <c r="R52" s="3">
        <f>SUMIFS(Raw_Events!$H:$H,Raw_Events!$D:$D,$A52,Raw_Events!$G:$G,"UNHEALTHY_MEAL")</f>
        <v/>
      </c>
      <c r="S52" s="3">
        <f>COUNTIFS(Raw_Events!$D:$D,$A52,Raw_Events!$G:$G,"WORKOUT")</f>
        <v/>
      </c>
      <c r="T52" s="3">
        <f>IFERROR(VLOOKUP($A52,Raw_Weekly!$A:$G,5,FALSE),"")</f>
        <v/>
      </c>
      <c r="U52" s="3">
        <f>COUNTIFS(Raw_Events!$D:$D,$A52,Raw_Events!$G:$G,"NEW_ACTIVITY")</f>
        <v/>
      </c>
      <c r="V52" s="3">
        <f>SUMIFS(Raw_Events!$H:$H,Raw_Events!$D:$D,$A52,Raw_Events!$G:$G,"TRAVEL_NIGHT")</f>
        <v/>
      </c>
      <c r="W52">
        <f>IF($E52=1,IF(AND($H52&gt;=Settings!$C$39,$J52&gt;=Settings!$C$40,$L52&gt;=Settings!$C$41),1,0),"")</f>
        <v/>
      </c>
      <c r="X52">
        <f>IF($A52="","",IF(COUNTIFS(Raw_Events!$D:$D,$A52,Raw_Events!$G:$G,"ORIGINATION_ACTION")&gt;0,COUNTIFS(Raw_Events!$D:$D,$A52,Raw_Events!$G:$G,"ORIGINATION_ACTION"),COUNTIFS(Raw_Events!$D:$D,$A52,Raw_Events!$G:$G,"STAKEHOLDER_CHAT")+COUNTIFS(Raw_Events!$D:$D,$A52,Raw_Events!$G:$G,"MEMO_WRITTEN")+COUNTIFS(Raw_Events!$D:$D,$A52,Raw_Events!$G:$G,"INITIATIVE_PRESENTED_VP")+COUNTIFS(Raw_Events!$D:$D,$A52,Raw_Events!$G:$G,"INITIATIVE_IDEA")))</f>
        <v/>
      </c>
      <c r="Y52">
        <f>IF($X52="","",IF($X52&gt;=1,1,0))</f>
        <v/>
      </c>
      <c r="Z52">
        <f>COUNTIFS(Raw_Events!$D:$D,$A52,Raw_Events!$G:$G,"WORKOUT_SKIPPED")</f>
        <v/>
      </c>
      <c r="AA52">
        <f>COUNTIFS(Raw_Events!$D:$D,$A52,Raw_Events!$G:$G,"COMMUNITY_SESSION")</f>
        <v/>
      </c>
      <c r="AB52">
        <f>COUNTIFS(Raw_Events!$D:$D,$A52,Raw_Events!$G:$G,"HOSTED_EVENT")</f>
        <v/>
      </c>
      <c r="AC52">
        <f>SUMIFS(Raw_Events!$H:$H,Raw_Events!$D:$D,$A52,Raw_Events!$G:$G,"IDEA_STAR")</f>
        <v/>
      </c>
      <c r="AD52">
        <f>IF($A52="","",IF(ROW()=3,"",IF(AND($H52&lt;1,INDEX($H:$H,ROW()-1)&lt;1),1,0)))</f>
        <v/>
      </c>
      <c r="AE52">
        <f>IF($A52="","",IF(ROW()=3,"",IF(AND($I52&lt;2,INDEX($I:$I,ROW()-1)&lt;2),1,0)))</f>
        <v/>
      </c>
      <c r="AF52">
        <f>IF($A52="","",IF(OR($E52=1,$AD52=1,$AE52=1),1,0))</f>
        <v/>
      </c>
      <c r="AG52">
        <f>IF($A52="","",IF(ROW()=3,"",IF(AND($B52&gt;=Settings!$C$14,INDEX($B:$B,ROW()-1)&gt;=Settings!$C$14),1,0)))</f>
        <v/>
      </c>
      <c r="AH52">
        <f>IF($A52="","",IF(AND($L52&gt;=Settings!$C$34,$AC52&lt;1),1,0))</f>
        <v/>
      </c>
      <c r="AI52">
        <f>SUMIFS(Raw_Events!$H:$H,Raw_Events!$D:$D,$A52,Raw_Events!$G:$G,"DEEP_WORK_HOURS")</f>
        <v/>
      </c>
      <c r="AJ52">
        <f>SUMIFS(Raw_Events!$H:$H,Raw_Events!$D:$D,$A52,Raw_Events!$G:$G,"EDUCATION_HOURS")</f>
        <v/>
      </c>
      <c r="AK52">
        <f>SUMIFS(Raw_Events!$H:$H,Raw_Events!$D:$D,$A52,Raw_Events!$G:$G,"HOBBY_HOURS")</f>
        <v/>
      </c>
      <c r="AL52">
        <f>SUMIFS(Raw_Events!$H:$H,Raw_Events!$D:$D,$A52,Raw_Events!$G:$G,"PARTNER_QUALITY_TIME")</f>
        <v/>
      </c>
      <c r="AM52">
        <f>IFERROR(MAXIFS(Raw_Events!$H:$H,Raw_Events!$D:$D,$A52,Raw_Events!$G:$G,"INVESTMENT_COVERAGE"),"")</f>
        <v/>
      </c>
    </row>
    <row r="53" ht="15" customHeight="1">
      <c r="A53" s="17" t="n">
        <v>46377</v>
      </c>
      <c r="B53" s="3">
        <f>IFERROR(VLOOKUP($A53,Raw_Weekly!$A:$G,2,FALSE),"")</f>
        <v/>
      </c>
      <c r="C53" s="3">
        <f>IFERROR(VLOOKUP($A53,Raw_Weekly!$A:$G,3,FALSE),"")</f>
        <v/>
      </c>
      <c r="D53" s="3">
        <f>IFERROR(VLOOKUP($A53,Raw_Weekly!$A:$G,4,FALSE),0)</f>
        <v/>
      </c>
      <c r="E53">
        <f>IF($B53="","",IF(OR($B53&gt;=Settings!$C$14,IFERROR(VLOOKUP($A53,Raw_Weekly!$A:$H,8,FALSE),0)=1),1,0))</f>
        <v/>
      </c>
      <c r="F53">
        <f>IF($B53="","",IF($B53&lt;=Settings!$C$13,1,0))</f>
        <v/>
      </c>
      <c r="G53">
        <f>IF($C53="","",IF($C53&lt;=Settings!$C$12,1,0))</f>
        <v/>
      </c>
      <c r="H53" s="3">
        <f>COUNTIFS(Raw_Events!$D:$D,$A53,Raw_Events!$G:$G,"SOCIAL_MEET")+COUNTIFS(Raw_Events!$D:$D,$A53,Raw_Events!$G:$G,"COMMUNITY_SESSION")+COUNTIFS(Raw_Events!$D:$D,$A53,Raw_Events!$G:$G,"HOSTED_EVENT")</f>
        <v/>
      </c>
      <c r="I53" s="3">
        <f>COUNTIFS(Raw_Events!$D:$D,$A53,Raw_Events!$G:$G,"DATE")</f>
        <v/>
      </c>
      <c r="J53" s="3">
        <f>COUNTIFS(Raw_Events!$D:$D,$A53,Raw_Events!$G:$G,"TRAINING_MIN")+COUNTIFS(Raw_Events!$D:$D,$A53,Raw_Events!$G:$G,"DICTION_TRAINING_MIN")</f>
        <v/>
      </c>
      <c r="K53" s="3">
        <f>SUMIFS(Raw_Events!$H:$H,Raw_Events!$D:$D,$A53,Raw_Events!$G:$G,"TRAINING_MIN")+SUMIFS(Raw_Events!$H:$H,Raw_Events!$D:$D,$A53,Raw_Events!$G:$G,"DICTION_TRAINING_MIN")</f>
        <v/>
      </c>
      <c r="L53" s="3">
        <f>SUMIFS(Raw_Events!$H:$H,Raw_Events!$D:$D,$A53,Raw_Events!$G:$G,"IDEA")</f>
        <v/>
      </c>
      <c r="M53" s="3">
        <f>SUMIFS(Raw_Events!$H:$H,Raw_Events!$D:$D,$A53,Raw_Events!$G:$G,"MINDFULNESS_MIN")</f>
        <v/>
      </c>
      <c r="N53" s="3">
        <f>SUMIFS(Daily_Agg!$G:$G,Daily_Agg!$A:$A,"&gt;="&amp;$A53,Daily_Agg!$A:$A,"&lt;"&amp;$A53+7)</f>
        <v/>
      </c>
      <c r="O53" s="3">
        <f>SUMIFS(Daily_Agg!$E:$E,Daily_Agg!$A:$A,"&gt;="&amp;$A53,Daily_Agg!$A:$A,"&lt;"&amp;$A53+7)</f>
        <v/>
      </c>
      <c r="P53" s="3">
        <f>SUMIFS(Raw_Events!$L:$L,Raw_Events!$D:$D,$A53,Raw_Events!$G:$G,"ALCOHOL")</f>
        <v/>
      </c>
      <c r="Q53" s="3">
        <f>SUMIFS(Raw_Events!$H:$H,Raw_Events!$D:$D,$A53,Raw_Events!$G:$G,"CIGARETTES")</f>
        <v/>
      </c>
      <c r="R53" s="3">
        <f>SUMIFS(Raw_Events!$H:$H,Raw_Events!$D:$D,$A53,Raw_Events!$G:$G,"UNHEALTHY_MEAL")</f>
        <v/>
      </c>
      <c r="S53" s="3">
        <f>COUNTIFS(Raw_Events!$D:$D,$A53,Raw_Events!$G:$G,"WORKOUT")</f>
        <v/>
      </c>
      <c r="T53" s="3">
        <f>IFERROR(VLOOKUP($A53,Raw_Weekly!$A:$G,5,FALSE),"")</f>
        <v/>
      </c>
      <c r="U53" s="3">
        <f>COUNTIFS(Raw_Events!$D:$D,$A53,Raw_Events!$G:$G,"NEW_ACTIVITY")</f>
        <v/>
      </c>
      <c r="V53" s="3">
        <f>SUMIFS(Raw_Events!$H:$H,Raw_Events!$D:$D,$A53,Raw_Events!$G:$G,"TRAVEL_NIGHT")</f>
        <v/>
      </c>
      <c r="W53">
        <f>IF($E53=1,IF(AND($H53&gt;=Settings!$C$39,$J53&gt;=Settings!$C$40,$L53&gt;=Settings!$C$41),1,0),"")</f>
        <v/>
      </c>
      <c r="X53">
        <f>IF($A53="","",IF(COUNTIFS(Raw_Events!$D:$D,$A53,Raw_Events!$G:$G,"ORIGINATION_ACTION")&gt;0,COUNTIFS(Raw_Events!$D:$D,$A53,Raw_Events!$G:$G,"ORIGINATION_ACTION"),COUNTIFS(Raw_Events!$D:$D,$A53,Raw_Events!$G:$G,"STAKEHOLDER_CHAT")+COUNTIFS(Raw_Events!$D:$D,$A53,Raw_Events!$G:$G,"MEMO_WRITTEN")+COUNTIFS(Raw_Events!$D:$D,$A53,Raw_Events!$G:$G,"INITIATIVE_PRESENTED_VP")+COUNTIFS(Raw_Events!$D:$D,$A53,Raw_Events!$G:$G,"INITIATIVE_IDEA")))</f>
        <v/>
      </c>
      <c r="Y53">
        <f>IF($X53="","",IF($X53&gt;=1,1,0))</f>
        <v/>
      </c>
      <c r="Z53">
        <f>COUNTIFS(Raw_Events!$D:$D,$A53,Raw_Events!$G:$G,"WORKOUT_SKIPPED")</f>
        <v/>
      </c>
      <c r="AA53">
        <f>COUNTIFS(Raw_Events!$D:$D,$A53,Raw_Events!$G:$G,"COMMUNITY_SESSION")</f>
        <v/>
      </c>
      <c r="AB53">
        <f>COUNTIFS(Raw_Events!$D:$D,$A53,Raw_Events!$G:$G,"HOSTED_EVENT")</f>
        <v/>
      </c>
      <c r="AC53">
        <f>SUMIFS(Raw_Events!$H:$H,Raw_Events!$D:$D,$A53,Raw_Events!$G:$G,"IDEA_STAR")</f>
        <v/>
      </c>
      <c r="AD53">
        <f>IF($A53="","",IF(ROW()=3,"",IF(AND($H53&lt;1,INDEX($H:$H,ROW()-1)&lt;1),1,0)))</f>
        <v/>
      </c>
      <c r="AE53">
        <f>IF($A53="","",IF(ROW()=3,"",IF(AND($I53&lt;2,INDEX($I:$I,ROW()-1)&lt;2),1,0)))</f>
        <v/>
      </c>
      <c r="AF53">
        <f>IF($A53="","",IF(OR($E53=1,$AD53=1,$AE53=1),1,0))</f>
        <v/>
      </c>
      <c r="AG53">
        <f>IF($A53="","",IF(ROW()=3,"",IF(AND($B53&gt;=Settings!$C$14,INDEX($B:$B,ROW()-1)&gt;=Settings!$C$14),1,0)))</f>
        <v/>
      </c>
      <c r="AH53">
        <f>IF($A53="","",IF(AND($L53&gt;=Settings!$C$34,$AC53&lt;1),1,0))</f>
        <v/>
      </c>
      <c r="AI53">
        <f>SUMIFS(Raw_Events!$H:$H,Raw_Events!$D:$D,$A53,Raw_Events!$G:$G,"DEEP_WORK_HOURS")</f>
        <v/>
      </c>
      <c r="AJ53">
        <f>SUMIFS(Raw_Events!$H:$H,Raw_Events!$D:$D,$A53,Raw_Events!$G:$G,"EDUCATION_HOURS")</f>
        <v/>
      </c>
      <c r="AK53">
        <f>SUMIFS(Raw_Events!$H:$H,Raw_Events!$D:$D,$A53,Raw_Events!$G:$G,"HOBBY_HOURS")</f>
        <v/>
      </c>
      <c r="AL53">
        <f>SUMIFS(Raw_Events!$H:$H,Raw_Events!$D:$D,$A53,Raw_Events!$G:$G,"PARTNER_QUALITY_TIME")</f>
        <v/>
      </c>
      <c r="AM53">
        <f>IFERROR(MAXIFS(Raw_Events!$H:$H,Raw_Events!$D:$D,$A53,Raw_Events!$G:$G,"INVESTMENT_COVERAGE"),"")</f>
        <v/>
      </c>
    </row>
    <row r="54" ht="15" customHeight="1">
      <c r="A54" s="17" t="n">
        <v>46384</v>
      </c>
      <c r="B54" s="3">
        <f>IFERROR(VLOOKUP($A54,Raw_Weekly!$A:$G,2,FALSE),"")</f>
        <v/>
      </c>
      <c r="C54" s="3">
        <f>IFERROR(VLOOKUP($A54,Raw_Weekly!$A:$G,3,FALSE),"")</f>
        <v/>
      </c>
      <c r="D54" s="3">
        <f>IFERROR(VLOOKUP($A54,Raw_Weekly!$A:$G,4,FALSE),0)</f>
        <v/>
      </c>
      <c r="E54">
        <f>IF($B54="","",IF(OR($B54&gt;=Settings!$C$14,IFERROR(VLOOKUP($A54,Raw_Weekly!$A:$H,8,FALSE),0)=1),1,0))</f>
        <v/>
      </c>
      <c r="F54">
        <f>IF($B54="","",IF($B54&lt;=Settings!$C$13,1,0))</f>
        <v/>
      </c>
      <c r="G54">
        <f>IF($C54="","",IF($C54&lt;=Settings!$C$12,1,0))</f>
        <v/>
      </c>
      <c r="H54" s="3">
        <f>COUNTIFS(Raw_Events!$D:$D,$A54,Raw_Events!$G:$G,"SOCIAL_MEET")+COUNTIFS(Raw_Events!$D:$D,$A54,Raw_Events!$G:$G,"COMMUNITY_SESSION")+COUNTIFS(Raw_Events!$D:$D,$A54,Raw_Events!$G:$G,"HOSTED_EVENT")</f>
        <v/>
      </c>
      <c r="I54" s="3">
        <f>COUNTIFS(Raw_Events!$D:$D,$A54,Raw_Events!$G:$G,"DATE")</f>
        <v/>
      </c>
      <c r="J54" s="3">
        <f>COUNTIFS(Raw_Events!$D:$D,$A54,Raw_Events!$G:$G,"TRAINING_MIN")+COUNTIFS(Raw_Events!$D:$D,$A54,Raw_Events!$G:$G,"DICTION_TRAINING_MIN")</f>
        <v/>
      </c>
      <c r="K54" s="3">
        <f>SUMIFS(Raw_Events!$H:$H,Raw_Events!$D:$D,$A54,Raw_Events!$G:$G,"TRAINING_MIN")+SUMIFS(Raw_Events!$H:$H,Raw_Events!$D:$D,$A54,Raw_Events!$G:$G,"DICTION_TRAINING_MIN")</f>
        <v/>
      </c>
      <c r="L54" s="3">
        <f>SUMIFS(Raw_Events!$H:$H,Raw_Events!$D:$D,$A54,Raw_Events!$G:$G,"IDEA")</f>
        <v/>
      </c>
      <c r="M54" s="3">
        <f>SUMIFS(Raw_Events!$H:$H,Raw_Events!$D:$D,$A54,Raw_Events!$G:$G,"MINDFULNESS_MIN")</f>
        <v/>
      </c>
      <c r="N54" s="3">
        <f>SUMIFS(Daily_Agg!$G:$G,Daily_Agg!$A:$A,"&gt;="&amp;$A54,Daily_Agg!$A:$A,"&lt;"&amp;$A54+7)</f>
        <v/>
      </c>
      <c r="O54" s="3">
        <f>SUMIFS(Daily_Agg!$E:$E,Daily_Agg!$A:$A,"&gt;="&amp;$A54,Daily_Agg!$A:$A,"&lt;"&amp;$A54+7)</f>
        <v/>
      </c>
      <c r="P54" s="3">
        <f>SUMIFS(Raw_Events!$L:$L,Raw_Events!$D:$D,$A54,Raw_Events!$G:$G,"ALCOHOL")</f>
        <v/>
      </c>
      <c r="Q54" s="3">
        <f>SUMIFS(Raw_Events!$H:$H,Raw_Events!$D:$D,$A54,Raw_Events!$G:$G,"CIGARETTES")</f>
        <v/>
      </c>
      <c r="R54" s="3">
        <f>SUMIFS(Raw_Events!$H:$H,Raw_Events!$D:$D,$A54,Raw_Events!$G:$G,"UNHEALTHY_MEAL")</f>
        <v/>
      </c>
      <c r="S54" s="3">
        <f>COUNTIFS(Raw_Events!$D:$D,$A54,Raw_Events!$G:$G,"WORKOUT")</f>
        <v/>
      </c>
      <c r="T54" s="3">
        <f>IFERROR(VLOOKUP($A54,Raw_Weekly!$A:$G,5,FALSE),"")</f>
        <v/>
      </c>
      <c r="U54" s="3">
        <f>COUNTIFS(Raw_Events!$D:$D,$A54,Raw_Events!$G:$G,"NEW_ACTIVITY")</f>
        <v/>
      </c>
      <c r="V54" s="3">
        <f>SUMIFS(Raw_Events!$H:$H,Raw_Events!$D:$D,$A54,Raw_Events!$G:$G,"TRAVEL_NIGHT")</f>
        <v/>
      </c>
      <c r="W54">
        <f>IF($E54=1,IF(AND($H54&gt;=Settings!$C$39,$J54&gt;=Settings!$C$40,$L54&gt;=Settings!$C$41),1,0),"")</f>
        <v/>
      </c>
      <c r="X54">
        <f>IF($A54="","",IF(COUNTIFS(Raw_Events!$D:$D,$A54,Raw_Events!$G:$G,"ORIGINATION_ACTION")&gt;0,COUNTIFS(Raw_Events!$D:$D,$A54,Raw_Events!$G:$G,"ORIGINATION_ACTION"),COUNTIFS(Raw_Events!$D:$D,$A54,Raw_Events!$G:$G,"STAKEHOLDER_CHAT")+COUNTIFS(Raw_Events!$D:$D,$A54,Raw_Events!$G:$G,"MEMO_WRITTEN")+COUNTIFS(Raw_Events!$D:$D,$A54,Raw_Events!$G:$G,"INITIATIVE_PRESENTED_VP")+COUNTIFS(Raw_Events!$D:$D,$A54,Raw_Events!$G:$G,"INITIATIVE_IDEA")))</f>
        <v/>
      </c>
      <c r="Y54">
        <f>IF($X54="","",IF($X54&gt;=1,1,0))</f>
        <v/>
      </c>
      <c r="Z54">
        <f>COUNTIFS(Raw_Events!$D:$D,$A54,Raw_Events!$G:$G,"WORKOUT_SKIPPED")</f>
        <v/>
      </c>
      <c r="AA54">
        <f>COUNTIFS(Raw_Events!$D:$D,$A54,Raw_Events!$G:$G,"COMMUNITY_SESSION")</f>
        <v/>
      </c>
      <c r="AB54">
        <f>COUNTIFS(Raw_Events!$D:$D,$A54,Raw_Events!$G:$G,"HOSTED_EVENT")</f>
        <v/>
      </c>
      <c r="AC54">
        <f>SUMIFS(Raw_Events!$H:$H,Raw_Events!$D:$D,$A54,Raw_Events!$G:$G,"IDEA_STAR")</f>
        <v/>
      </c>
      <c r="AD54">
        <f>IF($A54="","",IF(ROW()=3,"",IF(AND($H54&lt;1,INDEX($H:$H,ROW()-1)&lt;1),1,0)))</f>
        <v/>
      </c>
      <c r="AE54">
        <f>IF($A54="","",IF(ROW()=3,"",IF(AND($I54&lt;2,INDEX($I:$I,ROW()-1)&lt;2),1,0)))</f>
        <v/>
      </c>
      <c r="AF54">
        <f>IF($A54="","",IF(OR($E54=1,$AD54=1,$AE54=1),1,0))</f>
        <v/>
      </c>
      <c r="AG54">
        <f>IF($A54="","",IF(ROW()=3,"",IF(AND($B54&gt;=Settings!$C$14,INDEX($B:$B,ROW()-1)&gt;=Settings!$C$14),1,0)))</f>
        <v/>
      </c>
      <c r="AH54">
        <f>IF($A54="","",IF(AND($L54&gt;=Settings!$C$34,$AC54&lt;1),1,0))</f>
        <v/>
      </c>
      <c r="AI54">
        <f>SUMIFS(Raw_Events!$H:$H,Raw_Events!$D:$D,$A54,Raw_Events!$G:$G,"DEEP_WORK_HOURS")</f>
        <v/>
      </c>
      <c r="AJ54">
        <f>SUMIFS(Raw_Events!$H:$H,Raw_Events!$D:$D,$A54,Raw_Events!$G:$G,"EDUCATION_HOURS")</f>
        <v/>
      </c>
      <c r="AK54">
        <f>SUMIFS(Raw_Events!$H:$H,Raw_Events!$D:$D,$A54,Raw_Events!$G:$G,"HOBBY_HOURS")</f>
        <v/>
      </c>
      <c r="AL54">
        <f>SUMIFS(Raw_Events!$H:$H,Raw_Events!$D:$D,$A54,Raw_Events!$G:$G,"PARTNER_QUALITY_TIME")</f>
        <v/>
      </c>
      <c r="AM54">
        <f>IFERROR(MAXIFS(Raw_Events!$H:$H,Raw_Events!$D:$D,$A54,Raw_Events!$G:$G,"INVESTMENT_COVERAGE"),"")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Monthly rollup (computed from Weekly_Agg; app may also fill BooksFinished if desired)</t>
        </is>
      </c>
    </row>
    <row r="2" ht="48" customHeight="1">
      <c r="A2" s="7" t="inlineStr">
        <is>
          <t>MonthStart</t>
        </is>
      </c>
      <c r="B2" s="7" t="inlineStr">
        <is>
          <t>ExpensesPersonal</t>
        </is>
      </c>
      <c r="C2" s="7" t="inlineStr">
        <is>
          <t>WorkHours</t>
        </is>
      </c>
      <c r="D2" s="7" t="inlineStr">
        <is>
          <t>BooksFinished</t>
        </is>
      </c>
      <c r="E2" s="7" t="inlineStr">
        <is>
          <t>Training_hours</t>
        </is>
      </c>
      <c r="F2" s="7" t="inlineStr">
        <is>
          <t>Ideas</t>
        </is>
      </c>
      <c r="G2" s="7" t="inlineStr">
        <is>
          <t>NewActivities</t>
        </is>
      </c>
      <c r="H2" s="7" t="inlineStr">
        <is>
          <t>TravelNights</t>
        </is>
      </c>
      <c r="I2" s="7" t="inlineStr">
        <is>
          <t>Dates</t>
        </is>
      </c>
      <c r="J2" s="7" t="inlineStr">
        <is>
          <t>SocialEvents</t>
        </is>
      </c>
      <c r="K2" s="7" t="inlineStr">
        <is>
          <t>Alcohol_std</t>
        </is>
      </c>
      <c r="L2" s="7" t="inlineStr">
        <is>
          <t>Cigarettes</t>
        </is>
      </c>
      <c r="M2" s="7" t="inlineStr">
        <is>
          <t>Unhealthy_meals</t>
        </is>
      </c>
      <c r="N2" s="7" t="inlineStr">
        <is>
          <t>Mindfulness_min</t>
        </is>
      </c>
      <c r="O2" s="31" t="inlineStr">
        <is>
          <t>NewSocialPeople</t>
        </is>
      </c>
      <c r="P2" s="31" t="inlineStr">
        <is>
          <t>SocialConverted2plus</t>
        </is>
      </c>
      <c r="Q2" s="31" t="inlineStr">
        <is>
          <t>Trigger_NewContactsLow2nd</t>
        </is>
      </c>
      <c r="R2" s="31" t="inlineStr">
        <is>
          <t>OriginationActions</t>
        </is>
      </c>
      <c r="S2" s="31" t="inlineStr">
        <is>
          <t>Trigger_NoOrigination</t>
        </is>
      </c>
      <c r="T2" s="31" t="inlineStr">
        <is>
          <t>NewRomancePeople</t>
        </is>
      </c>
      <c r="U2" s="31" t="inlineStr">
        <is>
          <t>RomanceConverted2plus</t>
        </is>
      </c>
      <c r="V2" s="31" t="inlineStr">
        <is>
          <t>Trigger_DatesNo2nd</t>
        </is>
      </c>
      <c r="W2" t="inlineStr">
        <is>
          <t>DeepWork_hours</t>
        </is>
      </c>
      <c r="X2" t="inlineStr">
        <is>
          <t>Education_hours</t>
        </is>
      </c>
      <c r="Y2" t="inlineStr">
        <is>
          <t>Hobby_hours</t>
        </is>
      </c>
      <c r="Z2" t="inlineStr">
        <is>
          <t>PartnerQualityTime</t>
        </is>
      </c>
      <c r="AA2" t="inlineStr">
        <is>
          <t>InvestmentCoverage_pct</t>
        </is>
      </c>
      <c r="AB2" t="inlineStr">
        <is>
          <t>ActivitiesCancelled</t>
        </is>
      </c>
      <c r="AC2" t="inlineStr">
        <is>
          <t>Trigger_CancelledActivities</t>
        </is>
      </c>
    </row>
    <row r="3" ht="15" customHeight="1">
      <c r="A3" s="14" t="n">
        <v>46023</v>
      </c>
      <c r="B3" s="11">
        <f>SUMIFS(Weekly_Agg!$C:$C,Weekly_Agg!$A:$A,"&gt;="&amp;$A3,Weekly_Agg!$A:$A,"&lt;"&amp;DATE(YEAR($A3),MONTH($A3)+1,1))</f>
        <v/>
      </c>
      <c r="C3" s="8">
        <f>SUMIFS(Weekly_Agg!$B:$B,Weekly_Agg!$A:$A,"&gt;="&amp;$A3,Weekly_Agg!$A:$A,"&lt;"&amp;DATE(YEAR($A3),MONTH($A3)+1,1))</f>
        <v/>
      </c>
      <c r="D3" s="16">
        <f>COUNTIFS(Raw_Events!$G$3:$G$20000,"BOOK_FINISHED",Raw_Events!$E$3:$E$20000,$A3)</f>
        <v/>
      </c>
      <c r="E3" s="12">
        <f>SUMIFS(Weekly_Agg!$K:$K,Weekly_Agg!$A:$A,"&gt;="&amp;$A3,Weekly_Agg!$A:$A,"&lt;"&amp;DATE(YEAR($A3),MONTH($A3)+1,1))/60</f>
        <v/>
      </c>
      <c r="F3" s="8">
        <f>SUMIFS(Weekly_Agg!$L:$L,Weekly_Agg!$A:$A,"&gt;="&amp;$A3,Weekly_Agg!$A:$A,"&lt;"&amp;DATE(YEAR($A3),MONTH($A3)+1,1))</f>
        <v/>
      </c>
      <c r="G3" s="8">
        <f>SUMIFS(Weekly_Agg!$U:$U,Weekly_Agg!$A:$A,"&gt;="&amp;$A3,Weekly_Agg!$A:$A,"&lt;"&amp;DATE(YEAR($A3),MONTH($A3)+1,1))</f>
        <v/>
      </c>
      <c r="H3" s="8">
        <f>SUMIFS(Weekly_Agg!$V:$V,Weekly_Agg!$A:$A,"&gt;="&amp;$A3,Weekly_Agg!$A:$A,"&lt;"&amp;DATE(YEAR($A3),MONTH($A3)+1,1))</f>
        <v/>
      </c>
      <c r="I3" s="8">
        <f>SUMIFS(Weekly_Agg!$I:$I,Weekly_Agg!$A:$A,"&gt;="&amp;$A3,Weekly_Agg!$A:$A,"&lt;"&amp;DATE(YEAR($A3),MONTH($A3)+1,1))</f>
        <v/>
      </c>
      <c r="J3" s="8">
        <f>SUMIFS(Weekly_Agg!$H:$H,Weekly_Agg!$A:$A,"&gt;="&amp;$A3,Weekly_Agg!$A:$A,"&lt;"&amp;DATE(YEAR($A3),MONTH($A3)+1,1))</f>
        <v/>
      </c>
      <c r="K3" s="8">
        <f>SUMIFS(Weekly_Agg!$P:$P,Weekly_Agg!$A:$A,"&gt;="&amp;$A3,Weekly_Agg!$A:$A,"&lt;"&amp;DATE(YEAR($A3),MONTH($A3)+1,1))</f>
        <v/>
      </c>
      <c r="L3" s="8">
        <f>SUMIFS(Weekly_Agg!$Q:$Q,Weekly_Agg!$A:$A,"&gt;="&amp;$A3,Weekly_Agg!$A:$A,"&lt;"&amp;DATE(YEAR($A3),MONTH($A3)+1,1))</f>
        <v/>
      </c>
      <c r="M3" s="8">
        <f>SUMIFS(Weekly_Agg!$R:$R,Weekly_Agg!$A:$A,"&gt;="&amp;$A3,Weekly_Agg!$A:$A,"&lt;"&amp;DATE(YEAR($A3),MONTH($A3)+1,1))</f>
        <v/>
      </c>
      <c r="N3" s="8">
        <f>SUMIFS(Weekly_Agg!$M:$M,Weekly_Agg!$A:$A,"&gt;="&amp;$A3,Weekly_Agg!$A:$A,"&lt;"&amp;DATE(YEAR($A3),MONTH($A3)+1,1))</f>
        <v/>
      </c>
      <c r="O3">
        <f>COUNTIFS(People!$C$3:$C$500,"Social",People!$D$3:$D$500,"&gt;="&amp;$A3,People!$D$3:$D$500,"&lt;"&amp;DATE(YEAR($A3),MONTH($A3)+1,1))</f>
        <v/>
      </c>
      <c r="P3">
        <f>SUMPRODUCT(--(People!$C$3:$C$500="Social"),--(People!$D$3:$D$500&gt;=$A3),--(People!$D$3:$D$500&lt;DATE(YEAR($A3),MONTH($A3)+1,1)),--(People!$F$3:$F$500&gt;=2))</f>
        <v/>
      </c>
      <c r="Q3">
        <f>IF(AND($O3&gt;=10,$P3&lt;2),1,0)</f>
        <v/>
      </c>
      <c r="R3">
        <f>SUMIFS(Weekly_Agg!$X:$X,Weekly_Agg!$A:$A,"&gt;="&amp;$A3,Weekly_Agg!$A:$A,"&lt;"&amp;DATE(YEAR($A3),MONTH($A3)+1,1))</f>
        <v/>
      </c>
      <c r="S3">
        <f>IF($R3=0,1,0)</f>
        <v/>
      </c>
      <c r="T3">
        <f>COUNTIFS(People!$C$3:$C$500,"Romance",People!$D$3:$D$500,"&gt;="&amp;$A3,People!$D$3:$D$500,"&lt;"&amp;DATE(YEAR($A3),MONTH($A3)+1,1))</f>
        <v/>
      </c>
      <c r="U3">
        <f>SUMPRODUCT(--(People!$C$3:$C$500="Romance"),--(People!$D$3:$D$500&gt;=$A3),--(People!$D$3:$D$500&lt;DATE(YEAR($A3),MONTH($A3)+1,1)),--(People!$G$3:$G$500&gt;=2))</f>
        <v/>
      </c>
      <c r="V3">
        <f>IF(AND($A3&gt;=DATE(2026,6,1),$I3&gt;8,$U3=0),1,0)</f>
        <v/>
      </c>
      <c r="W3">
        <f>SUMIFS(Raw_Events!$H:$H,Raw_Events!$E:$E,$A3,Raw_Events!$G:$G,"DEEP_WORK_HOURS")</f>
        <v/>
      </c>
      <c r="X3">
        <f>SUMIFS(Raw_Events!$H:$H,Raw_Events!$E:$E,$A3,Raw_Events!$G:$G,"EDUCATION_HOURS")</f>
        <v/>
      </c>
      <c r="Y3">
        <f>SUMIFS(Raw_Events!$H:$H,Raw_Events!$E:$E,$A3,Raw_Events!$G:$G,"HOBBY_HOURS")</f>
        <v/>
      </c>
      <c r="Z3">
        <f>SUMIFS(Raw_Events!$H:$H,Raw_Events!$E:$E,$A3,Raw_Events!$G:$G,"PARTNER_QUALITY_TIME")</f>
        <v/>
      </c>
      <c r="AA3">
        <f>IFERROR(MAXIFS(Raw_Events!$H:$H,Raw_Events!$E:$E,$A3,Raw_Events!$G:$G,"INVESTMENT_COVERAGE"),"")</f>
        <v/>
      </c>
      <c r="AB3">
        <f>COUNTIFS(Raw_Events!$G:$G,"ACTIVITY_CANCELLED",Raw_Events!$E:$E,$A3)</f>
        <v/>
      </c>
      <c r="AC3">
        <f>IF($AB3&gt;=2,1,0)</f>
        <v/>
      </c>
    </row>
    <row r="4" ht="15" customHeight="1">
      <c r="A4" s="14" t="n">
        <v>46054</v>
      </c>
      <c r="B4" s="11">
        <f>SUMIFS(Weekly_Agg!$C:$C,Weekly_Agg!$A:$A,"&gt;="&amp;$A4,Weekly_Agg!$A:$A,"&lt;"&amp;DATE(YEAR($A4),MONTH($A4)+1,1))</f>
        <v/>
      </c>
      <c r="C4" s="8">
        <f>SUMIFS(Weekly_Agg!$B:$B,Weekly_Agg!$A:$A,"&gt;="&amp;$A4,Weekly_Agg!$A:$A,"&lt;"&amp;DATE(YEAR($A4),MONTH($A4)+1,1))</f>
        <v/>
      </c>
      <c r="D4" s="16">
        <f>COUNTIFS(Raw_Events!$G$3:$G$20000,"BOOK_FINISHED",Raw_Events!$E$3:$E$20000,$A4)</f>
        <v/>
      </c>
      <c r="E4" s="12">
        <f>SUMIFS(Weekly_Agg!$K:$K,Weekly_Agg!$A:$A,"&gt;="&amp;$A4,Weekly_Agg!$A:$A,"&lt;"&amp;DATE(YEAR($A4),MONTH($A4)+1,1))/60</f>
        <v/>
      </c>
      <c r="F4" s="8">
        <f>SUMIFS(Weekly_Agg!$L:$L,Weekly_Agg!$A:$A,"&gt;="&amp;$A4,Weekly_Agg!$A:$A,"&lt;"&amp;DATE(YEAR($A4),MONTH($A4)+1,1))</f>
        <v/>
      </c>
      <c r="G4" s="8">
        <f>SUMIFS(Weekly_Agg!$U:$U,Weekly_Agg!$A:$A,"&gt;="&amp;$A4,Weekly_Agg!$A:$A,"&lt;"&amp;DATE(YEAR($A4),MONTH($A4)+1,1))</f>
        <v/>
      </c>
      <c r="H4" s="8">
        <f>SUMIFS(Weekly_Agg!$V:$V,Weekly_Agg!$A:$A,"&gt;="&amp;$A4,Weekly_Agg!$A:$A,"&lt;"&amp;DATE(YEAR($A4),MONTH($A4)+1,1))</f>
        <v/>
      </c>
      <c r="I4" s="8">
        <f>SUMIFS(Weekly_Agg!$I:$I,Weekly_Agg!$A:$A,"&gt;="&amp;$A4,Weekly_Agg!$A:$A,"&lt;"&amp;DATE(YEAR($A4),MONTH($A4)+1,1))</f>
        <v/>
      </c>
      <c r="J4" s="8">
        <f>SUMIFS(Weekly_Agg!$H:$H,Weekly_Agg!$A:$A,"&gt;="&amp;$A4,Weekly_Agg!$A:$A,"&lt;"&amp;DATE(YEAR($A4),MONTH($A4)+1,1))</f>
        <v/>
      </c>
      <c r="K4" s="8">
        <f>SUMIFS(Weekly_Agg!$P:$P,Weekly_Agg!$A:$A,"&gt;="&amp;$A4,Weekly_Agg!$A:$A,"&lt;"&amp;DATE(YEAR($A4),MONTH($A4)+1,1))</f>
        <v/>
      </c>
      <c r="L4" s="8">
        <f>SUMIFS(Weekly_Agg!$Q:$Q,Weekly_Agg!$A:$A,"&gt;="&amp;$A4,Weekly_Agg!$A:$A,"&lt;"&amp;DATE(YEAR($A4),MONTH($A4)+1,1))</f>
        <v/>
      </c>
      <c r="M4" s="8">
        <f>SUMIFS(Weekly_Agg!$R:$R,Weekly_Agg!$A:$A,"&gt;="&amp;$A4,Weekly_Agg!$A:$A,"&lt;"&amp;DATE(YEAR($A4),MONTH($A4)+1,1))</f>
        <v/>
      </c>
      <c r="N4" s="8">
        <f>SUMIFS(Weekly_Agg!$M:$M,Weekly_Agg!$A:$A,"&gt;="&amp;$A4,Weekly_Agg!$A:$A,"&lt;"&amp;DATE(YEAR($A4),MONTH($A4)+1,1))</f>
        <v/>
      </c>
      <c r="O4">
        <f>COUNTIFS(People!$C$3:$C$500,"Social",People!$D$3:$D$500,"&gt;="&amp;$A4,People!$D$3:$D$500,"&lt;"&amp;DATE(YEAR($A4),MONTH($A4)+1,1))</f>
        <v/>
      </c>
      <c r="P4">
        <f>SUMPRODUCT(--(People!$C$3:$C$500="Social"),--(People!$D$3:$D$500&gt;=$A4),--(People!$D$3:$D$500&lt;DATE(YEAR($A4),MONTH($A4)+1,1)),--(People!$F$3:$F$500&gt;=2))</f>
        <v/>
      </c>
      <c r="Q4">
        <f>IF(AND($O4&gt;=10,$P4&lt;2),1,0)</f>
        <v/>
      </c>
      <c r="R4">
        <f>SUMIFS(Weekly_Agg!$X:$X,Weekly_Agg!$A:$A,"&gt;="&amp;$A4,Weekly_Agg!$A:$A,"&lt;"&amp;DATE(YEAR($A4),MONTH($A4)+1,1))</f>
        <v/>
      </c>
      <c r="S4">
        <f>IF($R4=0,1,0)</f>
        <v/>
      </c>
      <c r="T4">
        <f>COUNTIFS(People!$C$3:$C$500,"Romance",People!$D$3:$D$500,"&gt;="&amp;$A4,People!$D$3:$D$500,"&lt;"&amp;DATE(YEAR($A4),MONTH($A4)+1,1))</f>
        <v/>
      </c>
      <c r="U4">
        <f>SUMPRODUCT(--(People!$C$3:$C$500="Romance"),--(People!$D$3:$D$500&gt;=$A4),--(People!$D$3:$D$500&lt;DATE(YEAR($A4),MONTH($A4)+1,1)),--(People!$G$3:$G$500&gt;=2))</f>
        <v/>
      </c>
      <c r="V4">
        <f>IF(AND($A4&gt;=DATE(2026,6,1),$I4&gt;8,$U4=0),1,0)</f>
        <v/>
      </c>
      <c r="W4">
        <f>SUMIFS(Raw_Events!$H:$H,Raw_Events!$E:$E,$A4,Raw_Events!$G:$G,"DEEP_WORK_HOURS")</f>
        <v/>
      </c>
      <c r="X4">
        <f>SUMIFS(Raw_Events!$H:$H,Raw_Events!$E:$E,$A4,Raw_Events!$G:$G,"EDUCATION_HOURS")</f>
        <v/>
      </c>
      <c r="Y4">
        <f>SUMIFS(Raw_Events!$H:$H,Raw_Events!$E:$E,$A4,Raw_Events!$G:$G,"HOBBY_HOURS")</f>
        <v/>
      </c>
      <c r="Z4">
        <f>SUMIFS(Raw_Events!$H:$H,Raw_Events!$E:$E,$A4,Raw_Events!$G:$G,"PARTNER_QUALITY_TIME")</f>
        <v/>
      </c>
      <c r="AA4">
        <f>IFERROR(MAXIFS(Raw_Events!$H:$H,Raw_Events!$E:$E,$A4,Raw_Events!$G:$G,"INVESTMENT_COVERAGE"),"")</f>
        <v/>
      </c>
      <c r="AB4">
        <f>COUNTIFS(Raw_Events!$G:$G,"ACTIVITY_CANCELLED",Raw_Events!$E:$E,$A4)</f>
        <v/>
      </c>
      <c r="AC4">
        <f>IF($AB4&gt;=2,1,0)</f>
        <v/>
      </c>
    </row>
    <row r="5" ht="15" customHeight="1">
      <c r="A5" s="14" t="n">
        <v>46082</v>
      </c>
      <c r="B5" s="11">
        <f>SUMIFS(Weekly_Agg!$C:$C,Weekly_Agg!$A:$A,"&gt;="&amp;$A5,Weekly_Agg!$A:$A,"&lt;"&amp;DATE(YEAR($A5),MONTH($A5)+1,1))</f>
        <v/>
      </c>
      <c r="C5" s="8">
        <f>SUMIFS(Weekly_Agg!$B:$B,Weekly_Agg!$A:$A,"&gt;="&amp;$A5,Weekly_Agg!$A:$A,"&lt;"&amp;DATE(YEAR($A5),MONTH($A5)+1,1))</f>
        <v/>
      </c>
      <c r="D5" s="16">
        <f>COUNTIFS(Raw_Events!$G$3:$G$20000,"BOOK_FINISHED",Raw_Events!$E$3:$E$20000,$A5)</f>
        <v/>
      </c>
      <c r="E5" s="12">
        <f>SUMIFS(Weekly_Agg!$K:$K,Weekly_Agg!$A:$A,"&gt;="&amp;$A5,Weekly_Agg!$A:$A,"&lt;"&amp;DATE(YEAR($A5),MONTH($A5)+1,1))/60</f>
        <v/>
      </c>
      <c r="F5" s="8">
        <f>SUMIFS(Weekly_Agg!$L:$L,Weekly_Agg!$A:$A,"&gt;="&amp;$A5,Weekly_Agg!$A:$A,"&lt;"&amp;DATE(YEAR($A5),MONTH($A5)+1,1))</f>
        <v/>
      </c>
      <c r="G5" s="8">
        <f>SUMIFS(Weekly_Agg!$U:$U,Weekly_Agg!$A:$A,"&gt;="&amp;$A5,Weekly_Agg!$A:$A,"&lt;"&amp;DATE(YEAR($A5),MONTH($A5)+1,1))</f>
        <v/>
      </c>
      <c r="H5" s="8">
        <f>SUMIFS(Weekly_Agg!$V:$V,Weekly_Agg!$A:$A,"&gt;="&amp;$A5,Weekly_Agg!$A:$A,"&lt;"&amp;DATE(YEAR($A5),MONTH($A5)+1,1))</f>
        <v/>
      </c>
      <c r="I5" s="8">
        <f>SUMIFS(Weekly_Agg!$I:$I,Weekly_Agg!$A:$A,"&gt;="&amp;$A5,Weekly_Agg!$A:$A,"&lt;"&amp;DATE(YEAR($A5),MONTH($A5)+1,1))</f>
        <v/>
      </c>
      <c r="J5" s="8">
        <f>SUMIFS(Weekly_Agg!$H:$H,Weekly_Agg!$A:$A,"&gt;="&amp;$A5,Weekly_Agg!$A:$A,"&lt;"&amp;DATE(YEAR($A5),MONTH($A5)+1,1))</f>
        <v/>
      </c>
      <c r="K5" s="8">
        <f>SUMIFS(Weekly_Agg!$P:$P,Weekly_Agg!$A:$A,"&gt;="&amp;$A5,Weekly_Agg!$A:$A,"&lt;"&amp;DATE(YEAR($A5),MONTH($A5)+1,1))</f>
        <v/>
      </c>
      <c r="L5" s="8">
        <f>SUMIFS(Weekly_Agg!$Q:$Q,Weekly_Agg!$A:$A,"&gt;="&amp;$A5,Weekly_Agg!$A:$A,"&lt;"&amp;DATE(YEAR($A5),MONTH($A5)+1,1))</f>
        <v/>
      </c>
      <c r="M5" s="8">
        <f>SUMIFS(Weekly_Agg!$R:$R,Weekly_Agg!$A:$A,"&gt;="&amp;$A5,Weekly_Agg!$A:$A,"&lt;"&amp;DATE(YEAR($A5),MONTH($A5)+1,1))</f>
        <v/>
      </c>
      <c r="N5" s="8">
        <f>SUMIFS(Weekly_Agg!$M:$M,Weekly_Agg!$A:$A,"&gt;="&amp;$A5,Weekly_Agg!$A:$A,"&lt;"&amp;DATE(YEAR($A5),MONTH($A5)+1,1))</f>
        <v/>
      </c>
      <c r="O5">
        <f>COUNTIFS(People!$C$3:$C$500,"Social",People!$D$3:$D$500,"&gt;="&amp;$A5,People!$D$3:$D$500,"&lt;"&amp;DATE(YEAR($A5),MONTH($A5)+1,1))</f>
        <v/>
      </c>
      <c r="P5">
        <f>SUMPRODUCT(--(People!$C$3:$C$500="Social"),--(People!$D$3:$D$500&gt;=$A5),--(People!$D$3:$D$500&lt;DATE(YEAR($A5),MONTH($A5)+1,1)),--(People!$F$3:$F$500&gt;=2))</f>
        <v/>
      </c>
      <c r="Q5">
        <f>IF(AND($O5&gt;=10,$P5&lt;2),1,0)</f>
        <v/>
      </c>
      <c r="R5">
        <f>SUMIFS(Weekly_Agg!$X:$X,Weekly_Agg!$A:$A,"&gt;="&amp;$A5,Weekly_Agg!$A:$A,"&lt;"&amp;DATE(YEAR($A5),MONTH($A5)+1,1))</f>
        <v/>
      </c>
      <c r="S5">
        <f>IF($R5=0,1,0)</f>
        <v/>
      </c>
      <c r="T5">
        <f>COUNTIFS(People!$C$3:$C$500,"Romance",People!$D$3:$D$500,"&gt;="&amp;$A5,People!$D$3:$D$500,"&lt;"&amp;DATE(YEAR($A5),MONTH($A5)+1,1))</f>
        <v/>
      </c>
      <c r="U5">
        <f>SUMPRODUCT(--(People!$C$3:$C$500="Romance"),--(People!$D$3:$D$500&gt;=$A5),--(People!$D$3:$D$500&lt;DATE(YEAR($A5),MONTH($A5)+1,1)),--(People!$G$3:$G$500&gt;=2))</f>
        <v/>
      </c>
      <c r="V5">
        <f>IF(AND($A5&gt;=DATE(2026,6,1),$I5&gt;8,$U5=0),1,0)</f>
        <v/>
      </c>
      <c r="W5">
        <f>SUMIFS(Raw_Events!$H:$H,Raw_Events!$E:$E,$A5,Raw_Events!$G:$G,"DEEP_WORK_HOURS")</f>
        <v/>
      </c>
      <c r="X5">
        <f>SUMIFS(Raw_Events!$H:$H,Raw_Events!$E:$E,$A5,Raw_Events!$G:$G,"EDUCATION_HOURS")</f>
        <v/>
      </c>
      <c r="Y5">
        <f>SUMIFS(Raw_Events!$H:$H,Raw_Events!$E:$E,$A5,Raw_Events!$G:$G,"HOBBY_HOURS")</f>
        <v/>
      </c>
      <c r="Z5">
        <f>SUMIFS(Raw_Events!$H:$H,Raw_Events!$E:$E,$A5,Raw_Events!$G:$G,"PARTNER_QUALITY_TIME")</f>
        <v/>
      </c>
      <c r="AA5">
        <f>IFERROR(MAXIFS(Raw_Events!$H:$H,Raw_Events!$E:$E,$A5,Raw_Events!$G:$G,"INVESTMENT_COVERAGE"),"")</f>
        <v/>
      </c>
      <c r="AB5">
        <f>COUNTIFS(Raw_Events!$G:$G,"ACTIVITY_CANCELLED",Raw_Events!$E:$E,$A5)</f>
        <v/>
      </c>
      <c r="AC5">
        <f>IF($AB5&gt;=2,1,0)</f>
        <v/>
      </c>
    </row>
    <row r="6" ht="15" customHeight="1">
      <c r="A6" s="14" t="n">
        <v>46113</v>
      </c>
      <c r="B6" s="11">
        <f>SUMIFS(Weekly_Agg!$C:$C,Weekly_Agg!$A:$A,"&gt;="&amp;$A6,Weekly_Agg!$A:$A,"&lt;"&amp;DATE(YEAR($A6),MONTH($A6)+1,1))</f>
        <v/>
      </c>
      <c r="C6" s="8">
        <f>SUMIFS(Weekly_Agg!$B:$B,Weekly_Agg!$A:$A,"&gt;="&amp;$A6,Weekly_Agg!$A:$A,"&lt;"&amp;DATE(YEAR($A6),MONTH($A6)+1,1))</f>
        <v/>
      </c>
      <c r="D6" s="16">
        <f>COUNTIFS(Raw_Events!$G$3:$G$20000,"BOOK_FINISHED",Raw_Events!$E$3:$E$20000,$A6)</f>
        <v/>
      </c>
      <c r="E6" s="12">
        <f>SUMIFS(Weekly_Agg!$K:$K,Weekly_Agg!$A:$A,"&gt;="&amp;$A6,Weekly_Agg!$A:$A,"&lt;"&amp;DATE(YEAR($A6),MONTH($A6)+1,1))/60</f>
        <v/>
      </c>
      <c r="F6" s="8">
        <f>SUMIFS(Weekly_Agg!$L:$L,Weekly_Agg!$A:$A,"&gt;="&amp;$A6,Weekly_Agg!$A:$A,"&lt;"&amp;DATE(YEAR($A6),MONTH($A6)+1,1))</f>
        <v/>
      </c>
      <c r="G6" s="8">
        <f>SUMIFS(Weekly_Agg!$U:$U,Weekly_Agg!$A:$A,"&gt;="&amp;$A6,Weekly_Agg!$A:$A,"&lt;"&amp;DATE(YEAR($A6),MONTH($A6)+1,1))</f>
        <v/>
      </c>
      <c r="H6" s="8">
        <f>SUMIFS(Weekly_Agg!$V:$V,Weekly_Agg!$A:$A,"&gt;="&amp;$A6,Weekly_Agg!$A:$A,"&lt;"&amp;DATE(YEAR($A6),MONTH($A6)+1,1))</f>
        <v/>
      </c>
      <c r="I6" s="8">
        <f>SUMIFS(Weekly_Agg!$I:$I,Weekly_Agg!$A:$A,"&gt;="&amp;$A6,Weekly_Agg!$A:$A,"&lt;"&amp;DATE(YEAR($A6),MONTH($A6)+1,1))</f>
        <v/>
      </c>
      <c r="J6" s="8">
        <f>SUMIFS(Weekly_Agg!$H:$H,Weekly_Agg!$A:$A,"&gt;="&amp;$A6,Weekly_Agg!$A:$A,"&lt;"&amp;DATE(YEAR($A6),MONTH($A6)+1,1))</f>
        <v/>
      </c>
      <c r="K6" s="8">
        <f>SUMIFS(Weekly_Agg!$P:$P,Weekly_Agg!$A:$A,"&gt;="&amp;$A6,Weekly_Agg!$A:$A,"&lt;"&amp;DATE(YEAR($A6),MONTH($A6)+1,1))</f>
        <v/>
      </c>
      <c r="L6" s="8">
        <f>SUMIFS(Weekly_Agg!$Q:$Q,Weekly_Agg!$A:$A,"&gt;="&amp;$A6,Weekly_Agg!$A:$A,"&lt;"&amp;DATE(YEAR($A6),MONTH($A6)+1,1))</f>
        <v/>
      </c>
      <c r="M6" s="8">
        <f>SUMIFS(Weekly_Agg!$R:$R,Weekly_Agg!$A:$A,"&gt;="&amp;$A6,Weekly_Agg!$A:$A,"&lt;"&amp;DATE(YEAR($A6),MONTH($A6)+1,1))</f>
        <v/>
      </c>
      <c r="N6" s="8">
        <f>SUMIFS(Weekly_Agg!$M:$M,Weekly_Agg!$A:$A,"&gt;="&amp;$A6,Weekly_Agg!$A:$A,"&lt;"&amp;DATE(YEAR($A6),MONTH($A6)+1,1))</f>
        <v/>
      </c>
      <c r="O6">
        <f>COUNTIFS(People!$C$3:$C$500,"Social",People!$D$3:$D$500,"&gt;="&amp;$A6,People!$D$3:$D$500,"&lt;"&amp;DATE(YEAR($A6),MONTH($A6)+1,1))</f>
        <v/>
      </c>
      <c r="P6">
        <f>SUMPRODUCT(--(People!$C$3:$C$500="Social"),--(People!$D$3:$D$500&gt;=$A6),--(People!$D$3:$D$500&lt;DATE(YEAR($A6),MONTH($A6)+1,1)),--(People!$F$3:$F$500&gt;=2))</f>
        <v/>
      </c>
      <c r="Q6">
        <f>IF(AND($O6&gt;=10,$P6&lt;2),1,0)</f>
        <v/>
      </c>
      <c r="R6">
        <f>SUMIFS(Weekly_Agg!$X:$X,Weekly_Agg!$A:$A,"&gt;="&amp;$A6,Weekly_Agg!$A:$A,"&lt;"&amp;DATE(YEAR($A6),MONTH($A6)+1,1))</f>
        <v/>
      </c>
      <c r="S6">
        <f>IF($R6=0,1,0)</f>
        <v/>
      </c>
      <c r="T6">
        <f>COUNTIFS(People!$C$3:$C$500,"Romance",People!$D$3:$D$500,"&gt;="&amp;$A6,People!$D$3:$D$500,"&lt;"&amp;DATE(YEAR($A6),MONTH($A6)+1,1))</f>
        <v/>
      </c>
      <c r="U6">
        <f>SUMPRODUCT(--(People!$C$3:$C$500="Romance"),--(People!$D$3:$D$500&gt;=$A6),--(People!$D$3:$D$500&lt;DATE(YEAR($A6),MONTH($A6)+1,1)),--(People!$G$3:$G$500&gt;=2))</f>
        <v/>
      </c>
      <c r="V6">
        <f>IF(AND($A6&gt;=DATE(2026,6,1),$I6&gt;8,$U6=0),1,0)</f>
        <v/>
      </c>
      <c r="W6">
        <f>SUMIFS(Raw_Events!$H:$H,Raw_Events!$E:$E,$A6,Raw_Events!$G:$G,"DEEP_WORK_HOURS")</f>
        <v/>
      </c>
      <c r="X6">
        <f>SUMIFS(Raw_Events!$H:$H,Raw_Events!$E:$E,$A6,Raw_Events!$G:$G,"EDUCATION_HOURS")</f>
        <v/>
      </c>
      <c r="Y6">
        <f>SUMIFS(Raw_Events!$H:$H,Raw_Events!$E:$E,$A6,Raw_Events!$G:$G,"HOBBY_HOURS")</f>
        <v/>
      </c>
      <c r="Z6">
        <f>SUMIFS(Raw_Events!$H:$H,Raw_Events!$E:$E,$A6,Raw_Events!$G:$G,"PARTNER_QUALITY_TIME")</f>
        <v/>
      </c>
      <c r="AA6">
        <f>IFERROR(MAXIFS(Raw_Events!$H:$H,Raw_Events!$E:$E,$A6,Raw_Events!$G:$G,"INVESTMENT_COVERAGE"),"")</f>
        <v/>
      </c>
      <c r="AB6">
        <f>COUNTIFS(Raw_Events!$G:$G,"ACTIVITY_CANCELLED",Raw_Events!$E:$E,$A6)</f>
        <v/>
      </c>
      <c r="AC6">
        <f>IF($AB6&gt;=2,1,0)</f>
        <v/>
      </c>
    </row>
    <row r="7" ht="15" customHeight="1">
      <c r="A7" s="14" t="n">
        <v>46143</v>
      </c>
      <c r="B7" s="11">
        <f>SUMIFS(Weekly_Agg!$C:$C,Weekly_Agg!$A:$A,"&gt;="&amp;$A7,Weekly_Agg!$A:$A,"&lt;"&amp;DATE(YEAR($A7),MONTH($A7)+1,1))</f>
        <v/>
      </c>
      <c r="C7" s="8">
        <f>SUMIFS(Weekly_Agg!$B:$B,Weekly_Agg!$A:$A,"&gt;="&amp;$A7,Weekly_Agg!$A:$A,"&lt;"&amp;DATE(YEAR($A7),MONTH($A7)+1,1))</f>
        <v/>
      </c>
      <c r="D7" s="16">
        <f>COUNTIFS(Raw_Events!$G$3:$G$20000,"BOOK_FINISHED",Raw_Events!$E$3:$E$20000,$A7)</f>
        <v/>
      </c>
      <c r="E7" s="12">
        <f>SUMIFS(Weekly_Agg!$K:$K,Weekly_Agg!$A:$A,"&gt;="&amp;$A7,Weekly_Agg!$A:$A,"&lt;"&amp;DATE(YEAR($A7),MONTH($A7)+1,1))/60</f>
        <v/>
      </c>
      <c r="F7" s="8">
        <f>SUMIFS(Weekly_Agg!$L:$L,Weekly_Agg!$A:$A,"&gt;="&amp;$A7,Weekly_Agg!$A:$A,"&lt;"&amp;DATE(YEAR($A7),MONTH($A7)+1,1))</f>
        <v/>
      </c>
      <c r="G7" s="8">
        <f>SUMIFS(Weekly_Agg!$U:$U,Weekly_Agg!$A:$A,"&gt;="&amp;$A7,Weekly_Agg!$A:$A,"&lt;"&amp;DATE(YEAR($A7),MONTH($A7)+1,1))</f>
        <v/>
      </c>
      <c r="H7" s="8">
        <f>SUMIFS(Weekly_Agg!$V:$V,Weekly_Agg!$A:$A,"&gt;="&amp;$A7,Weekly_Agg!$A:$A,"&lt;"&amp;DATE(YEAR($A7),MONTH($A7)+1,1))</f>
        <v/>
      </c>
      <c r="I7" s="8">
        <f>SUMIFS(Weekly_Agg!$I:$I,Weekly_Agg!$A:$A,"&gt;="&amp;$A7,Weekly_Agg!$A:$A,"&lt;"&amp;DATE(YEAR($A7),MONTH($A7)+1,1))</f>
        <v/>
      </c>
      <c r="J7" s="8">
        <f>SUMIFS(Weekly_Agg!$H:$H,Weekly_Agg!$A:$A,"&gt;="&amp;$A7,Weekly_Agg!$A:$A,"&lt;"&amp;DATE(YEAR($A7),MONTH($A7)+1,1))</f>
        <v/>
      </c>
      <c r="K7" s="8">
        <f>SUMIFS(Weekly_Agg!$P:$P,Weekly_Agg!$A:$A,"&gt;="&amp;$A7,Weekly_Agg!$A:$A,"&lt;"&amp;DATE(YEAR($A7),MONTH($A7)+1,1))</f>
        <v/>
      </c>
      <c r="L7" s="8">
        <f>SUMIFS(Weekly_Agg!$Q:$Q,Weekly_Agg!$A:$A,"&gt;="&amp;$A7,Weekly_Agg!$A:$A,"&lt;"&amp;DATE(YEAR($A7),MONTH($A7)+1,1))</f>
        <v/>
      </c>
      <c r="M7" s="8">
        <f>SUMIFS(Weekly_Agg!$R:$R,Weekly_Agg!$A:$A,"&gt;="&amp;$A7,Weekly_Agg!$A:$A,"&lt;"&amp;DATE(YEAR($A7),MONTH($A7)+1,1))</f>
        <v/>
      </c>
      <c r="N7" s="8">
        <f>SUMIFS(Weekly_Agg!$M:$M,Weekly_Agg!$A:$A,"&gt;="&amp;$A7,Weekly_Agg!$A:$A,"&lt;"&amp;DATE(YEAR($A7),MONTH($A7)+1,1))</f>
        <v/>
      </c>
      <c r="O7">
        <f>COUNTIFS(People!$C$3:$C$500,"Social",People!$D$3:$D$500,"&gt;="&amp;$A7,People!$D$3:$D$500,"&lt;"&amp;DATE(YEAR($A7),MONTH($A7)+1,1))</f>
        <v/>
      </c>
      <c r="P7">
        <f>SUMPRODUCT(--(People!$C$3:$C$500="Social"),--(People!$D$3:$D$500&gt;=$A7),--(People!$D$3:$D$500&lt;DATE(YEAR($A7),MONTH($A7)+1,1)),--(People!$F$3:$F$500&gt;=2))</f>
        <v/>
      </c>
      <c r="Q7">
        <f>IF(AND($O7&gt;=10,$P7&lt;2),1,0)</f>
        <v/>
      </c>
      <c r="R7">
        <f>SUMIFS(Weekly_Agg!$X:$X,Weekly_Agg!$A:$A,"&gt;="&amp;$A7,Weekly_Agg!$A:$A,"&lt;"&amp;DATE(YEAR($A7),MONTH($A7)+1,1))</f>
        <v/>
      </c>
      <c r="S7">
        <f>IF($R7=0,1,0)</f>
        <v/>
      </c>
      <c r="T7">
        <f>COUNTIFS(People!$C$3:$C$500,"Romance",People!$D$3:$D$500,"&gt;="&amp;$A7,People!$D$3:$D$500,"&lt;"&amp;DATE(YEAR($A7),MONTH($A7)+1,1))</f>
        <v/>
      </c>
      <c r="U7">
        <f>SUMPRODUCT(--(People!$C$3:$C$500="Romance"),--(People!$D$3:$D$500&gt;=$A7),--(People!$D$3:$D$500&lt;DATE(YEAR($A7),MONTH($A7)+1,1)),--(People!$G$3:$G$500&gt;=2))</f>
        <v/>
      </c>
      <c r="V7">
        <f>IF(AND($A7&gt;=DATE(2026,6,1),$I7&gt;8,$U7=0),1,0)</f>
        <v/>
      </c>
      <c r="W7">
        <f>SUMIFS(Raw_Events!$H:$H,Raw_Events!$E:$E,$A7,Raw_Events!$G:$G,"DEEP_WORK_HOURS")</f>
        <v/>
      </c>
      <c r="X7">
        <f>SUMIFS(Raw_Events!$H:$H,Raw_Events!$E:$E,$A7,Raw_Events!$G:$G,"EDUCATION_HOURS")</f>
        <v/>
      </c>
      <c r="Y7">
        <f>SUMIFS(Raw_Events!$H:$H,Raw_Events!$E:$E,$A7,Raw_Events!$G:$G,"HOBBY_HOURS")</f>
        <v/>
      </c>
      <c r="Z7">
        <f>SUMIFS(Raw_Events!$H:$H,Raw_Events!$E:$E,$A7,Raw_Events!$G:$G,"PARTNER_QUALITY_TIME")</f>
        <v/>
      </c>
      <c r="AA7">
        <f>IFERROR(MAXIFS(Raw_Events!$H:$H,Raw_Events!$E:$E,$A7,Raw_Events!$G:$G,"INVESTMENT_COVERAGE"),"")</f>
        <v/>
      </c>
      <c r="AB7">
        <f>COUNTIFS(Raw_Events!$G:$G,"ACTIVITY_CANCELLED",Raw_Events!$E:$E,$A7)</f>
        <v/>
      </c>
      <c r="AC7">
        <f>IF($AB7&gt;=2,1,0)</f>
        <v/>
      </c>
    </row>
    <row r="8" ht="15" customHeight="1">
      <c r="A8" s="14" t="n">
        <v>46174</v>
      </c>
      <c r="B8" s="11">
        <f>SUMIFS(Weekly_Agg!$C:$C,Weekly_Agg!$A:$A,"&gt;="&amp;$A8,Weekly_Agg!$A:$A,"&lt;"&amp;DATE(YEAR($A8),MONTH($A8)+1,1))</f>
        <v/>
      </c>
      <c r="C8" s="8">
        <f>SUMIFS(Weekly_Agg!$B:$B,Weekly_Agg!$A:$A,"&gt;="&amp;$A8,Weekly_Agg!$A:$A,"&lt;"&amp;DATE(YEAR($A8),MONTH($A8)+1,1))</f>
        <v/>
      </c>
      <c r="D8" s="16">
        <f>COUNTIFS(Raw_Events!$G$3:$G$20000,"BOOK_FINISHED",Raw_Events!$E$3:$E$20000,$A8)</f>
        <v/>
      </c>
      <c r="E8" s="12">
        <f>SUMIFS(Weekly_Agg!$K:$K,Weekly_Agg!$A:$A,"&gt;="&amp;$A8,Weekly_Agg!$A:$A,"&lt;"&amp;DATE(YEAR($A8),MONTH($A8)+1,1))/60</f>
        <v/>
      </c>
      <c r="F8" s="8">
        <f>SUMIFS(Weekly_Agg!$L:$L,Weekly_Agg!$A:$A,"&gt;="&amp;$A8,Weekly_Agg!$A:$A,"&lt;"&amp;DATE(YEAR($A8),MONTH($A8)+1,1))</f>
        <v/>
      </c>
      <c r="G8" s="8">
        <f>SUMIFS(Weekly_Agg!$U:$U,Weekly_Agg!$A:$A,"&gt;="&amp;$A8,Weekly_Agg!$A:$A,"&lt;"&amp;DATE(YEAR($A8),MONTH($A8)+1,1))</f>
        <v/>
      </c>
      <c r="H8" s="8">
        <f>SUMIFS(Weekly_Agg!$V:$V,Weekly_Agg!$A:$A,"&gt;="&amp;$A8,Weekly_Agg!$A:$A,"&lt;"&amp;DATE(YEAR($A8),MONTH($A8)+1,1))</f>
        <v/>
      </c>
      <c r="I8" s="8">
        <f>SUMIFS(Weekly_Agg!$I:$I,Weekly_Agg!$A:$A,"&gt;="&amp;$A8,Weekly_Agg!$A:$A,"&lt;"&amp;DATE(YEAR($A8),MONTH($A8)+1,1))</f>
        <v/>
      </c>
      <c r="J8" s="8">
        <f>SUMIFS(Weekly_Agg!$H:$H,Weekly_Agg!$A:$A,"&gt;="&amp;$A8,Weekly_Agg!$A:$A,"&lt;"&amp;DATE(YEAR($A8),MONTH($A8)+1,1))</f>
        <v/>
      </c>
      <c r="K8" s="8">
        <f>SUMIFS(Weekly_Agg!$P:$P,Weekly_Agg!$A:$A,"&gt;="&amp;$A8,Weekly_Agg!$A:$A,"&lt;"&amp;DATE(YEAR($A8),MONTH($A8)+1,1))</f>
        <v/>
      </c>
      <c r="L8" s="8">
        <f>SUMIFS(Weekly_Agg!$Q:$Q,Weekly_Agg!$A:$A,"&gt;="&amp;$A8,Weekly_Agg!$A:$A,"&lt;"&amp;DATE(YEAR($A8),MONTH($A8)+1,1))</f>
        <v/>
      </c>
      <c r="M8" s="8">
        <f>SUMIFS(Weekly_Agg!$R:$R,Weekly_Agg!$A:$A,"&gt;="&amp;$A8,Weekly_Agg!$A:$A,"&lt;"&amp;DATE(YEAR($A8),MONTH($A8)+1,1))</f>
        <v/>
      </c>
      <c r="N8" s="8">
        <f>SUMIFS(Weekly_Agg!$M:$M,Weekly_Agg!$A:$A,"&gt;="&amp;$A8,Weekly_Agg!$A:$A,"&lt;"&amp;DATE(YEAR($A8),MONTH($A8)+1,1))</f>
        <v/>
      </c>
      <c r="O8">
        <f>COUNTIFS(People!$C$3:$C$500,"Social",People!$D$3:$D$500,"&gt;="&amp;$A8,People!$D$3:$D$500,"&lt;"&amp;DATE(YEAR($A8),MONTH($A8)+1,1))</f>
        <v/>
      </c>
      <c r="P8">
        <f>SUMPRODUCT(--(People!$C$3:$C$500="Social"),--(People!$D$3:$D$500&gt;=$A8),--(People!$D$3:$D$500&lt;DATE(YEAR($A8),MONTH($A8)+1,1)),--(People!$F$3:$F$500&gt;=2))</f>
        <v/>
      </c>
      <c r="Q8">
        <f>IF(AND($O8&gt;=10,$P8&lt;2),1,0)</f>
        <v/>
      </c>
      <c r="R8">
        <f>SUMIFS(Weekly_Agg!$X:$X,Weekly_Agg!$A:$A,"&gt;="&amp;$A8,Weekly_Agg!$A:$A,"&lt;"&amp;DATE(YEAR($A8),MONTH($A8)+1,1))</f>
        <v/>
      </c>
      <c r="S8">
        <f>IF($R8=0,1,0)</f>
        <v/>
      </c>
      <c r="T8">
        <f>COUNTIFS(People!$C$3:$C$500,"Romance",People!$D$3:$D$500,"&gt;="&amp;$A8,People!$D$3:$D$500,"&lt;"&amp;DATE(YEAR($A8),MONTH($A8)+1,1))</f>
        <v/>
      </c>
      <c r="U8">
        <f>SUMPRODUCT(--(People!$C$3:$C$500="Romance"),--(People!$D$3:$D$500&gt;=$A8),--(People!$D$3:$D$500&lt;DATE(YEAR($A8),MONTH($A8)+1,1)),--(People!$G$3:$G$500&gt;=2))</f>
        <v/>
      </c>
      <c r="V8">
        <f>IF(AND($A8&gt;=DATE(2026,6,1),$I8&gt;8,$U8=0),1,0)</f>
        <v/>
      </c>
      <c r="W8">
        <f>SUMIFS(Raw_Events!$H:$H,Raw_Events!$E:$E,$A8,Raw_Events!$G:$G,"DEEP_WORK_HOURS")</f>
        <v/>
      </c>
      <c r="X8">
        <f>SUMIFS(Raw_Events!$H:$H,Raw_Events!$E:$E,$A8,Raw_Events!$G:$G,"EDUCATION_HOURS")</f>
        <v/>
      </c>
      <c r="Y8">
        <f>SUMIFS(Raw_Events!$H:$H,Raw_Events!$E:$E,$A8,Raw_Events!$G:$G,"HOBBY_HOURS")</f>
        <v/>
      </c>
      <c r="Z8">
        <f>SUMIFS(Raw_Events!$H:$H,Raw_Events!$E:$E,$A8,Raw_Events!$G:$G,"PARTNER_QUALITY_TIME")</f>
        <v/>
      </c>
      <c r="AA8">
        <f>IFERROR(MAXIFS(Raw_Events!$H:$H,Raw_Events!$E:$E,$A8,Raw_Events!$G:$G,"INVESTMENT_COVERAGE"),"")</f>
        <v/>
      </c>
      <c r="AB8">
        <f>COUNTIFS(Raw_Events!$G:$G,"ACTIVITY_CANCELLED",Raw_Events!$E:$E,$A8)</f>
        <v/>
      </c>
      <c r="AC8">
        <f>IF($AB8&gt;=2,1,0)</f>
        <v/>
      </c>
    </row>
    <row r="9" ht="15" customHeight="1">
      <c r="A9" s="14" t="n">
        <v>46204</v>
      </c>
      <c r="B9" s="11">
        <f>SUMIFS(Weekly_Agg!$C:$C,Weekly_Agg!$A:$A,"&gt;="&amp;$A9,Weekly_Agg!$A:$A,"&lt;"&amp;DATE(YEAR($A9),MONTH($A9)+1,1))</f>
        <v/>
      </c>
      <c r="C9" s="8">
        <f>SUMIFS(Weekly_Agg!$B:$B,Weekly_Agg!$A:$A,"&gt;="&amp;$A9,Weekly_Agg!$A:$A,"&lt;"&amp;DATE(YEAR($A9),MONTH($A9)+1,1))</f>
        <v/>
      </c>
      <c r="D9" s="16">
        <f>COUNTIFS(Raw_Events!$G$3:$G$20000,"BOOK_FINISHED",Raw_Events!$E$3:$E$20000,$A9)</f>
        <v/>
      </c>
      <c r="E9" s="12">
        <f>SUMIFS(Weekly_Agg!$K:$K,Weekly_Agg!$A:$A,"&gt;="&amp;$A9,Weekly_Agg!$A:$A,"&lt;"&amp;DATE(YEAR($A9),MONTH($A9)+1,1))/60</f>
        <v/>
      </c>
      <c r="F9" s="8">
        <f>SUMIFS(Weekly_Agg!$L:$L,Weekly_Agg!$A:$A,"&gt;="&amp;$A9,Weekly_Agg!$A:$A,"&lt;"&amp;DATE(YEAR($A9),MONTH($A9)+1,1))</f>
        <v/>
      </c>
      <c r="G9" s="8">
        <f>SUMIFS(Weekly_Agg!$U:$U,Weekly_Agg!$A:$A,"&gt;="&amp;$A9,Weekly_Agg!$A:$A,"&lt;"&amp;DATE(YEAR($A9),MONTH($A9)+1,1))</f>
        <v/>
      </c>
      <c r="H9" s="8">
        <f>SUMIFS(Weekly_Agg!$V:$V,Weekly_Agg!$A:$A,"&gt;="&amp;$A9,Weekly_Agg!$A:$A,"&lt;"&amp;DATE(YEAR($A9),MONTH($A9)+1,1))</f>
        <v/>
      </c>
      <c r="I9" s="8">
        <f>SUMIFS(Weekly_Agg!$I:$I,Weekly_Agg!$A:$A,"&gt;="&amp;$A9,Weekly_Agg!$A:$A,"&lt;"&amp;DATE(YEAR($A9),MONTH($A9)+1,1))</f>
        <v/>
      </c>
      <c r="J9" s="8">
        <f>SUMIFS(Weekly_Agg!$H:$H,Weekly_Agg!$A:$A,"&gt;="&amp;$A9,Weekly_Agg!$A:$A,"&lt;"&amp;DATE(YEAR($A9),MONTH($A9)+1,1))</f>
        <v/>
      </c>
      <c r="K9" s="8">
        <f>SUMIFS(Weekly_Agg!$P:$P,Weekly_Agg!$A:$A,"&gt;="&amp;$A9,Weekly_Agg!$A:$A,"&lt;"&amp;DATE(YEAR($A9),MONTH($A9)+1,1))</f>
        <v/>
      </c>
      <c r="L9" s="8">
        <f>SUMIFS(Weekly_Agg!$Q:$Q,Weekly_Agg!$A:$A,"&gt;="&amp;$A9,Weekly_Agg!$A:$A,"&lt;"&amp;DATE(YEAR($A9),MONTH($A9)+1,1))</f>
        <v/>
      </c>
      <c r="M9" s="8">
        <f>SUMIFS(Weekly_Agg!$R:$R,Weekly_Agg!$A:$A,"&gt;="&amp;$A9,Weekly_Agg!$A:$A,"&lt;"&amp;DATE(YEAR($A9),MONTH($A9)+1,1))</f>
        <v/>
      </c>
      <c r="N9" s="8">
        <f>SUMIFS(Weekly_Agg!$M:$M,Weekly_Agg!$A:$A,"&gt;="&amp;$A9,Weekly_Agg!$A:$A,"&lt;"&amp;DATE(YEAR($A9),MONTH($A9)+1,1))</f>
        <v/>
      </c>
      <c r="O9">
        <f>COUNTIFS(People!$C$3:$C$500,"Social",People!$D$3:$D$500,"&gt;="&amp;$A9,People!$D$3:$D$500,"&lt;"&amp;DATE(YEAR($A9),MONTH($A9)+1,1))</f>
        <v/>
      </c>
      <c r="P9">
        <f>SUMPRODUCT(--(People!$C$3:$C$500="Social"),--(People!$D$3:$D$500&gt;=$A9),--(People!$D$3:$D$500&lt;DATE(YEAR($A9),MONTH($A9)+1,1)),--(People!$F$3:$F$500&gt;=2))</f>
        <v/>
      </c>
      <c r="Q9">
        <f>IF(AND($O9&gt;=10,$P9&lt;2),1,0)</f>
        <v/>
      </c>
      <c r="R9">
        <f>SUMIFS(Weekly_Agg!$X:$X,Weekly_Agg!$A:$A,"&gt;="&amp;$A9,Weekly_Agg!$A:$A,"&lt;"&amp;DATE(YEAR($A9),MONTH($A9)+1,1))</f>
        <v/>
      </c>
      <c r="S9">
        <f>IF($R9=0,1,0)</f>
        <v/>
      </c>
      <c r="T9">
        <f>COUNTIFS(People!$C$3:$C$500,"Romance",People!$D$3:$D$500,"&gt;="&amp;$A9,People!$D$3:$D$500,"&lt;"&amp;DATE(YEAR($A9),MONTH($A9)+1,1))</f>
        <v/>
      </c>
      <c r="U9">
        <f>SUMPRODUCT(--(People!$C$3:$C$500="Romance"),--(People!$D$3:$D$500&gt;=$A9),--(People!$D$3:$D$500&lt;DATE(YEAR($A9),MONTH($A9)+1,1)),--(People!$G$3:$G$500&gt;=2))</f>
        <v/>
      </c>
      <c r="V9">
        <f>IF(AND($A9&gt;=DATE(2026,6,1),$I9&gt;8,$U9=0),1,0)</f>
        <v/>
      </c>
      <c r="W9">
        <f>SUMIFS(Raw_Events!$H:$H,Raw_Events!$E:$E,$A9,Raw_Events!$G:$G,"DEEP_WORK_HOURS")</f>
        <v/>
      </c>
      <c r="X9">
        <f>SUMIFS(Raw_Events!$H:$H,Raw_Events!$E:$E,$A9,Raw_Events!$G:$G,"EDUCATION_HOURS")</f>
        <v/>
      </c>
      <c r="Y9">
        <f>SUMIFS(Raw_Events!$H:$H,Raw_Events!$E:$E,$A9,Raw_Events!$G:$G,"HOBBY_HOURS")</f>
        <v/>
      </c>
      <c r="Z9">
        <f>SUMIFS(Raw_Events!$H:$H,Raw_Events!$E:$E,$A9,Raw_Events!$G:$G,"PARTNER_QUALITY_TIME")</f>
        <v/>
      </c>
      <c r="AA9">
        <f>IFERROR(MAXIFS(Raw_Events!$H:$H,Raw_Events!$E:$E,$A9,Raw_Events!$G:$G,"INVESTMENT_COVERAGE"),"")</f>
        <v/>
      </c>
      <c r="AB9">
        <f>COUNTIFS(Raw_Events!$G:$G,"ACTIVITY_CANCELLED",Raw_Events!$E:$E,$A9)</f>
        <v/>
      </c>
      <c r="AC9">
        <f>IF($AB9&gt;=2,1,0)</f>
        <v/>
      </c>
    </row>
    <row r="10" ht="15" customHeight="1">
      <c r="A10" s="14" t="n">
        <v>46235</v>
      </c>
      <c r="B10" s="11">
        <f>SUMIFS(Weekly_Agg!$C:$C,Weekly_Agg!$A:$A,"&gt;="&amp;$A10,Weekly_Agg!$A:$A,"&lt;"&amp;DATE(YEAR($A10),MONTH($A10)+1,1))</f>
        <v/>
      </c>
      <c r="C10" s="8">
        <f>SUMIFS(Weekly_Agg!$B:$B,Weekly_Agg!$A:$A,"&gt;="&amp;$A10,Weekly_Agg!$A:$A,"&lt;"&amp;DATE(YEAR($A10),MONTH($A10)+1,1))</f>
        <v/>
      </c>
      <c r="D10" s="16">
        <f>COUNTIFS(Raw_Events!$G$3:$G$20000,"BOOK_FINISHED",Raw_Events!$E$3:$E$20000,$A10)</f>
        <v/>
      </c>
      <c r="E10" s="12">
        <f>SUMIFS(Weekly_Agg!$K:$K,Weekly_Agg!$A:$A,"&gt;="&amp;$A10,Weekly_Agg!$A:$A,"&lt;"&amp;DATE(YEAR($A10),MONTH($A10)+1,1))/60</f>
        <v/>
      </c>
      <c r="F10" s="8">
        <f>SUMIFS(Weekly_Agg!$L:$L,Weekly_Agg!$A:$A,"&gt;="&amp;$A10,Weekly_Agg!$A:$A,"&lt;"&amp;DATE(YEAR($A10),MONTH($A10)+1,1))</f>
        <v/>
      </c>
      <c r="G10" s="8">
        <f>SUMIFS(Weekly_Agg!$U:$U,Weekly_Agg!$A:$A,"&gt;="&amp;$A10,Weekly_Agg!$A:$A,"&lt;"&amp;DATE(YEAR($A10),MONTH($A10)+1,1))</f>
        <v/>
      </c>
      <c r="H10" s="8">
        <f>SUMIFS(Weekly_Agg!$V:$V,Weekly_Agg!$A:$A,"&gt;="&amp;$A10,Weekly_Agg!$A:$A,"&lt;"&amp;DATE(YEAR($A10),MONTH($A10)+1,1))</f>
        <v/>
      </c>
      <c r="I10" s="8">
        <f>SUMIFS(Weekly_Agg!$I:$I,Weekly_Agg!$A:$A,"&gt;="&amp;$A10,Weekly_Agg!$A:$A,"&lt;"&amp;DATE(YEAR($A10),MONTH($A10)+1,1))</f>
        <v/>
      </c>
      <c r="J10" s="8">
        <f>SUMIFS(Weekly_Agg!$H:$H,Weekly_Agg!$A:$A,"&gt;="&amp;$A10,Weekly_Agg!$A:$A,"&lt;"&amp;DATE(YEAR($A10),MONTH($A10)+1,1))</f>
        <v/>
      </c>
      <c r="K10" s="8">
        <f>SUMIFS(Weekly_Agg!$P:$P,Weekly_Agg!$A:$A,"&gt;="&amp;$A10,Weekly_Agg!$A:$A,"&lt;"&amp;DATE(YEAR($A10),MONTH($A10)+1,1))</f>
        <v/>
      </c>
      <c r="L10" s="8">
        <f>SUMIFS(Weekly_Agg!$Q:$Q,Weekly_Agg!$A:$A,"&gt;="&amp;$A10,Weekly_Agg!$A:$A,"&lt;"&amp;DATE(YEAR($A10),MONTH($A10)+1,1))</f>
        <v/>
      </c>
      <c r="M10" s="8">
        <f>SUMIFS(Weekly_Agg!$R:$R,Weekly_Agg!$A:$A,"&gt;="&amp;$A10,Weekly_Agg!$A:$A,"&lt;"&amp;DATE(YEAR($A10),MONTH($A10)+1,1))</f>
        <v/>
      </c>
      <c r="N10" s="8">
        <f>SUMIFS(Weekly_Agg!$M:$M,Weekly_Agg!$A:$A,"&gt;="&amp;$A10,Weekly_Agg!$A:$A,"&lt;"&amp;DATE(YEAR($A10),MONTH($A10)+1,1))</f>
        <v/>
      </c>
      <c r="O10">
        <f>COUNTIFS(People!$C$3:$C$500,"Social",People!$D$3:$D$500,"&gt;="&amp;$A10,People!$D$3:$D$500,"&lt;"&amp;DATE(YEAR($A10),MONTH($A10)+1,1))</f>
        <v/>
      </c>
      <c r="P10">
        <f>SUMPRODUCT(--(People!$C$3:$C$500="Social"),--(People!$D$3:$D$500&gt;=$A10),--(People!$D$3:$D$500&lt;DATE(YEAR($A10),MONTH($A10)+1,1)),--(People!$F$3:$F$500&gt;=2))</f>
        <v/>
      </c>
      <c r="Q10">
        <f>IF(AND($O10&gt;=10,$P10&lt;2),1,0)</f>
        <v/>
      </c>
      <c r="R10">
        <f>SUMIFS(Weekly_Agg!$X:$X,Weekly_Agg!$A:$A,"&gt;="&amp;$A10,Weekly_Agg!$A:$A,"&lt;"&amp;DATE(YEAR($A10),MONTH($A10)+1,1))</f>
        <v/>
      </c>
      <c r="S10">
        <f>IF($R10=0,1,0)</f>
        <v/>
      </c>
      <c r="T10">
        <f>COUNTIFS(People!$C$3:$C$500,"Romance",People!$D$3:$D$500,"&gt;="&amp;$A10,People!$D$3:$D$500,"&lt;"&amp;DATE(YEAR($A10),MONTH($A10)+1,1))</f>
        <v/>
      </c>
      <c r="U10">
        <f>SUMPRODUCT(--(People!$C$3:$C$500="Romance"),--(People!$D$3:$D$500&gt;=$A10),--(People!$D$3:$D$500&lt;DATE(YEAR($A10),MONTH($A10)+1,1)),--(People!$G$3:$G$500&gt;=2))</f>
        <v/>
      </c>
      <c r="V10">
        <f>IF(AND($A10&gt;=DATE(2026,6,1),$I10&gt;8,$U10=0),1,0)</f>
        <v/>
      </c>
      <c r="W10">
        <f>SUMIFS(Raw_Events!$H:$H,Raw_Events!$E:$E,$A10,Raw_Events!$G:$G,"DEEP_WORK_HOURS")</f>
        <v/>
      </c>
      <c r="X10">
        <f>SUMIFS(Raw_Events!$H:$H,Raw_Events!$E:$E,$A10,Raw_Events!$G:$G,"EDUCATION_HOURS")</f>
        <v/>
      </c>
      <c r="Y10">
        <f>SUMIFS(Raw_Events!$H:$H,Raw_Events!$E:$E,$A10,Raw_Events!$G:$G,"HOBBY_HOURS")</f>
        <v/>
      </c>
      <c r="Z10">
        <f>SUMIFS(Raw_Events!$H:$H,Raw_Events!$E:$E,$A10,Raw_Events!$G:$G,"PARTNER_QUALITY_TIME")</f>
        <v/>
      </c>
      <c r="AA10">
        <f>IFERROR(MAXIFS(Raw_Events!$H:$H,Raw_Events!$E:$E,$A10,Raw_Events!$G:$G,"INVESTMENT_COVERAGE"),"")</f>
        <v/>
      </c>
      <c r="AB10">
        <f>COUNTIFS(Raw_Events!$G:$G,"ACTIVITY_CANCELLED",Raw_Events!$E:$E,$A10)</f>
        <v/>
      </c>
      <c r="AC10">
        <f>IF($AB10&gt;=2,1,0)</f>
        <v/>
      </c>
    </row>
    <row r="11" ht="15" customHeight="1">
      <c r="A11" s="14" t="n">
        <v>46266</v>
      </c>
      <c r="B11" s="11">
        <f>SUMIFS(Weekly_Agg!$C:$C,Weekly_Agg!$A:$A,"&gt;="&amp;$A11,Weekly_Agg!$A:$A,"&lt;"&amp;DATE(YEAR($A11),MONTH($A11)+1,1))</f>
        <v/>
      </c>
      <c r="C11" s="8">
        <f>SUMIFS(Weekly_Agg!$B:$B,Weekly_Agg!$A:$A,"&gt;="&amp;$A11,Weekly_Agg!$A:$A,"&lt;"&amp;DATE(YEAR($A11),MONTH($A11)+1,1))</f>
        <v/>
      </c>
      <c r="D11" s="16">
        <f>COUNTIFS(Raw_Events!$G$3:$G$20000,"BOOK_FINISHED",Raw_Events!$E$3:$E$20000,$A11)</f>
        <v/>
      </c>
      <c r="E11" s="12">
        <f>SUMIFS(Weekly_Agg!$K:$K,Weekly_Agg!$A:$A,"&gt;="&amp;$A11,Weekly_Agg!$A:$A,"&lt;"&amp;DATE(YEAR($A11),MONTH($A11)+1,1))/60</f>
        <v/>
      </c>
      <c r="F11" s="8">
        <f>SUMIFS(Weekly_Agg!$L:$L,Weekly_Agg!$A:$A,"&gt;="&amp;$A11,Weekly_Agg!$A:$A,"&lt;"&amp;DATE(YEAR($A11),MONTH($A11)+1,1))</f>
        <v/>
      </c>
      <c r="G11" s="8">
        <f>SUMIFS(Weekly_Agg!$U:$U,Weekly_Agg!$A:$A,"&gt;="&amp;$A11,Weekly_Agg!$A:$A,"&lt;"&amp;DATE(YEAR($A11),MONTH($A11)+1,1))</f>
        <v/>
      </c>
      <c r="H11" s="8">
        <f>SUMIFS(Weekly_Agg!$V:$V,Weekly_Agg!$A:$A,"&gt;="&amp;$A11,Weekly_Agg!$A:$A,"&lt;"&amp;DATE(YEAR($A11),MONTH($A11)+1,1))</f>
        <v/>
      </c>
      <c r="I11" s="8">
        <f>SUMIFS(Weekly_Agg!$I:$I,Weekly_Agg!$A:$A,"&gt;="&amp;$A11,Weekly_Agg!$A:$A,"&lt;"&amp;DATE(YEAR($A11),MONTH($A11)+1,1))</f>
        <v/>
      </c>
      <c r="J11" s="8">
        <f>SUMIFS(Weekly_Agg!$H:$H,Weekly_Agg!$A:$A,"&gt;="&amp;$A11,Weekly_Agg!$A:$A,"&lt;"&amp;DATE(YEAR($A11),MONTH($A11)+1,1))</f>
        <v/>
      </c>
      <c r="K11" s="8">
        <f>SUMIFS(Weekly_Agg!$P:$P,Weekly_Agg!$A:$A,"&gt;="&amp;$A11,Weekly_Agg!$A:$A,"&lt;"&amp;DATE(YEAR($A11),MONTH($A11)+1,1))</f>
        <v/>
      </c>
      <c r="L11" s="8">
        <f>SUMIFS(Weekly_Agg!$Q:$Q,Weekly_Agg!$A:$A,"&gt;="&amp;$A11,Weekly_Agg!$A:$A,"&lt;"&amp;DATE(YEAR($A11),MONTH($A11)+1,1))</f>
        <v/>
      </c>
      <c r="M11" s="8">
        <f>SUMIFS(Weekly_Agg!$R:$R,Weekly_Agg!$A:$A,"&gt;="&amp;$A11,Weekly_Agg!$A:$A,"&lt;"&amp;DATE(YEAR($A11),MONTH($A11)+1,1))</f>
        <v/>
      </c>
      <c r="N11" s="8">
        <f>SUMIFS(Weekly_Agg!$M:$M,Weekly_Agg!$A:$A,"&gt;="&amp;$A11,Weekly_Agg!$A:$A,"&lt;"&amp;DATE(YEAR($A11),MONTH($A11)+1,1))</f>
        <v/>
      </c>
      <c r="O11">
        <f>COUNTIFS(People!$C$3:$C$500,"Social",People!$D$3:$D$500,"&gt;="&amp;$A11,People!$D$3:$D$500,"&lt;"&amp;DATE(YEAR($A11),MONTH($A11)+1,1))</f>
        <v/>
      </c>
      <c r="P11">
        <f>SUMPRODUCT(--(People!$C$3:$C$500="Social"),--(People!$D$3:$D$500&gt;=$A11),--(People!$D$3:$D$500&lt;DATE(YEAR($A11),MONTH($A11)+1,1)),--(People!$F$3:$F$500&gt;=2))</f>
        <v/>
      </c>
      <c r="Q11">
        <f>IF(AND($O11&gt;=10,$P11&lt;2),1,0)</f>
        <v/>
      </c>
      <c r="R11">
        <f>SUMIFS(Weekly_Agg!$X:$X,Weekly_Agg!$A:$A,"&gt;="&amp;$A11,Weekly_Agg!$A:$A,"&lt;"&amp;DATE(YEAR($A11),MONTH($A11)+1,1))</f>
        <v/>
      </c>
      <c r="S11">
        <f>IF($R11=0,1,0)</f>
        <v/>
      </c>
      <c r="T11">
        <f>COUNTIFS(People!$C$3:$C$500,"Romance",People!$D$3:$D$500,"&gt;="&amp;$A11,People!$D$3:$D$500,"&lt;"&amp;DATE(YEAR($A11),MONTH($A11)+1,1))</f>
        <v/>
      </c>
      <c r="U11">
        <f>SUMPRODUCT(--(People!$C$3:$C$500="Romance"),--(People!$D$3:$D$500&gt;=$A11),--(People!$D$3:$D$500&lt;DATE(YEAR($A11),MONTH($A11)+1,1)),--(People!$G$3:$G$500&gt;=2))</f>
        <v/>
      </c>
      <c r="V11">
        <f>IF(AND($A11&gt;=DATE(2026,6,1),$I11&gt;8,$U11=0),1,0)</f>
        <v/>
      </c>
      <c r="W11">
        <f>SUMIFS(Raw_Events!$H:$H,Raw_Events!$E:$E,$A11,Raw_Events!$G:$G,"DEEP_WORK_HOURS")</f>
        <v/>
      </c>
      <c r="X11">
        <f>SUMIFS(Raw_Events!$H:$H,Raw_Events!$E:$E,$A11,Raw_Events!$G:$G,"EDUCATION_HOURS")</f>
        <v/>
      </c>
      <c r="Y11">
        <f>SUMIFS(Raw_Events!$H:$H,Raw_Events!$E:$E,$A11,Raw_Events!$G:$G,"HOBBY_HOURS")</f>
        <v/>
      </c>
      <c r="Z11">
        <f>SUMIFS(Raw_Events!$H:$H,Raw_Events!$E:$E,$A11,Raw_Events!$G:$G,"PARTNER_QUALITY_TIME")</f>
        <v/>
      </c>
      <c r="AA11">
        <f>IFERROR(MAXIFS(Raw_Events!$H:$H,Raw_Events!$E:$E,$A11,Raw_Events!$G:$G,"INVESTMENT_COVERAGE"),"")</f>
        <v/>
      </c>
      <c r="AB11">
        <f>COUNTIFS(Raw_Events!$G:$G,"ACTIVITY_CANCELLED",Raw_Events!$E:$E,$A11)</f>
        <v/>
      </c>
      <c r="AC11">
        <f>IF($AB11&gt;=2,1,0)</f>
        <v/>
      </c>
    </row>
    <row r="12" ht="15" customHeight="1">
      <c r="A12" s="14" t="n">
        <v>46296</v>
      </c>
      <c r="B12" s="11">
        <f>SUMIFS(Weekly_Agg!$C:$C,Weekly_Agg!$A:$A,"&gt;="&amp;$A12,Weekly_Agg!$A:$A,"&lt;"&amp;DATE(YEAR($A12),MONTH($A12)+1,1))</f>
        <v/>
      </c>
      <c r="C12" s="8">
        <f>SUMIFS(Weekly_Agg!$B:$B,Weekly_Agg!$A:$A,"&gt;="&amp;$A12,Weekly_Agg!$A:$A,"&lt;"&amp;DATE(YEAR($A12),MONTH($A12)+1,1))</f>
        <v/>
      </c>
      <c r="D12" s="16">
        <f>COUNTIFS(Raw_Events!$G$3:$G$20000,"BOOK_FINISHED",Raw_Events!$E$3:$E$20000,$A12)</f>
        <v/>
      </c>
      <c r="E12" s="12">
        <f>SUMIFS(Weekly_Agg!$K:$K,Weekly_Agg!$A:$A,"&gt;="&amp;$A12,Weekly_Agg!$A:$A,"&lt;"&amp;DATE(YEAR($A12),MONTH($A12)+1,1))/60</f>
        <v/>
      </c>
      <c r="F12" s="8">
        <f>SUMIFS(Weekly_Agg!$L:$L,Weekly_Agg!$A:$A,"&gt;="&amp;$A12,Weekly_Agg!$A:$A,"&lt;"&amp;DATE(YEAR($A12),MONTH($A12)+1,1))</f>
        <v/>
      </c>
      <c r="G12" s="8">
        <f>SUMIFS(Weekly_Agg!$U:$U,Weekly_Agg!$A:$A,"&gt;="&amp;$A12,Weekly_Agg!$A:$A,"&lt;"&amp;DATE(YEAR($A12),MONTH($A12)+1,1))</f>
        <v/>
      </c>
      <c r="H12" s="8">
        <f>SUMIFS(Weekly_Agg!$V:$V,Weekly_Agg!$A:$A,"&gt;="&amp;$A12,Weekly_Agg!$A:$A,"&lt;"&amp;DATE(YEAR($A12),MONTH($A12)+1,1))</f>
        <v/>
      </c>
      <c r="I12" s="8">
        <f>SUMIFS(Weekly_Agg!$I:$I,Weekly_Agg!$A:$A,"&gt;="&amp;$A12,Weekly_Agg!$A:$A,"&lt;"&amp;DATE(YEAR($A12),MONTH($A12)+1,1))</f>
        <v/>
      </c>
      <c r="J12" s="8">
        <f>SUMIFS(Weekly_Agg!$H:$H,Weekly_Agg!$A:$A,"&gt;="&amp;$A12,Weekly_Agg!$A:$A,"&lt;"&amp;DATE(YEAR($A12),MONTH($A12)+1,1))</f>
        <v/>
      </c>
      <c r="K12" s="8">
        <f>SUMIFS(Weekly_Agg!$P:$P,Weekly_Agg!$A:$A,"&gt;="&amp;$A12,Weekly_Agg!$A:$A,"&lt;"&amp;DATE(YEAR($A12),MONTH($A12)+1,1))</f>
        <v/>
      </c>
      <c r="L12" s="8">
        <f>SUMIFS(Weekly_Agg!$Q:$Q,Weekly_Agg!$A:$A,"&gt;="&amp;$A12,Weekly_Agg!$A:$A,"&lt;"&amp;DATE(YEAR($A12),MONTH($A12)+1,1))</f>
        <v/>
      </c>
      <c r="M12" s="8">
        <f>SUMIFS(Weekly_Agg!$R:$R,Weekly_Agg!$A:$A,"&gt;="&amp;$A12,Weekly_Agg!$A:$A,"&lt;"&amp;DATE(YEAR($A12),MONTH($A12)+1,1))</f>
        <v/>
      </c>
      <c r="N12" s="8">
        <f>SUMIFS(Weekly_Agg!$M:$M,Weekly_Agg!$A:$A,"&gt;="&amp;$A12,Weekly_Agg!$A:$A,"&lt;"&amp;DATE(YEAR($A12),MONTH($A12)+1,1))</f>
        <v/>
      </c>
      <c r="O12">
        <f>COUNTIFS(People!$C$3:$C$500,"Social",People!$D$3:$D$500,"&gt;="&amp;$A12,People!$D$3:$D$500,"&lt;"&amp;DATE(YEAR($A12),MONTH($A12)+1,1))</f>
        <v/>
      </c>
      <c r="P12">
        <f>SUMPRODUCT(--(People!$C$3:$C$500="Social"),--(People!$D$3:$D$500&gt;=$A12),--(People!$D$3:$D$500&lt;DATE(YEAR($A12),MONTH($A12)+1,1)),--(People!$F$3:$F$500&gt;=2))</f>
        <v/>
      </c>
      <c r="Q12">
        <f>IF(AND($O12&gt;=10,$P12&lt;2),1,0)</f>
        <v/>
      </c>
      <c r="R12">
        <f>SUMIFS(Weekly_Agg!$X:$X,Weekly_Agg!$A:$A,"&gt;="&amp;$A12,Weekly_Agg!$A:$A,"&lt;"&amp;DATE(YEAR($A12),MONTH($A12)+1,1))</f>
        <v/>
      </c>
      <c r="S12">
        <f>IF($R12=0,1,0)</f>
        <v/>
      </c>
      <c r="T12">
        <f>COUNTIFS(People!$C$3:$C$500,"Romance",People!$D$3:$D$500,"&gt;="&amp;$A12,People!$D$3:$D$500,"&lt;"&amp;DATE(YEAR($A12),MONTH($A12)+1,1))</f>
        <v/>
      </c>
      <c r="U12">
        <f>SUMPRODUCT(--(People!$C$3:$C$500="Romance"),--(People!$D$3:$D$500&gt;=$A12),--(People!$D$3:$D$500&lt;DATE(YEAR($A12),MONTH($A12)+1,1)),--(People!$G$3:$G$500&gt;=2))</f>
        <v/>
      </c>
      <c r="V12">
        <f>IF(AND($A12&gt;=DATE(2026,6,1),$I12&gt;8,$U12=0),1,0)</f>
        <v/>
      </c>
      <c r="W12">
        <f>SUMIFS(Raw_Events!$H:$H,Raw_Events!$E:$E,$A12,Raw_Events!$G:$G,"DEEP_WORK_HOURS")</f>
        <v/>
      </c>
      <c r="X12">
        <f>SUMIFS(Raw_Events!$H:$H,Raw_Events!$E:$E,$A12,Raw_Events!$G:$G,"EDUCATION_HOURS")</f>
        <v/>
      </c>
      <c r="Y12">
        <f>SUMIFS(Raw_Events!$H:$H,Raw_Events!$E:$E,$A12,Raw_Events!$G:$G,"HOBBY_HOURS")</f>
        <v/>
      </c>
      <c r="Z12">
        <f>SUMIFS(Raw_Events!$H:$H,Raw_Events!$E:$E,$A12,Raw_Events!$G:$G,"PARTNER_QUALITY_TIME")</f>
        <v/>
      </c>
      <c r="AA12">
        <f>IFERROR(MAXIFS(Raw_Events!$H:$H,Raw_Events!$E:$E,$A12,Raw_Events!$G:$G,"INVESTMENT_COVERAGE"),"")</f>
        <v/>
      </c>
      <c r="AB12">
        <f>COUNTIFS(Raw_Events!$G:$G,"ACTIVITY_CANCELLED",Raw_Events!$E:$E,$A12)</f>
        <v/>
      </c>
      <c r="AC12">
        <f>IF($AB12&gt;=2,1,0)</f>
        <v/>
      </c>
    </row>
    <row r="13" ht="15" customHeight="1">
      <c r="A13" s="14" t="n">
        <v>46327</v>
      </c>
      <c r="B13" s="11">
        <f>SUMIFS(Weekly_Agg!$C:$C,Weekly_Agg!$A:$A,"&gt;="&amp;$A13,Weekly_Agg!$A:$A,"&lt;"&amp;DATE(YEAR($A13),MONTH($A13)+1,1))</f>
        <v/>
      </c>
      <c r="C13" s="8">
        <f>SUMIFS(Weekly_Agg!$B:$B,Weekly_Agg!$A:$A,"&gt;="&amp;$A13,Weekly_Agg!$A:$A,"&lt;"&amp;DATE(YEAR($A13),MONTH($A13)+1,1))</f>
        <v/>
      </c>
      <c r="D13" s="16">
        <f>COUNTIFS(Raw_Events!$G$3:$G$20000,"BOOK_FINISHED",Raw_Events!$E$3:$E$20000,$A13)</f>
        <v/>
      </c>
      <c r="E13" s="12">
        <f>SUMIFS(Weekly_Agg!$K:$K,Weekly_Agg!$A:$A,"&gt;="&amp;$A13,Weekly_Agg!$A:$A,"&lt;"&amp;DATE(YEAR($A13),MONTH($A13)+1,1))/60</f>
        <v/>
      </c>
      <c r="F13" s="8">
        <f>SUMIFS(Weekly_Agg!$L:$L,Weekly_Agg!$A:$A,"&gt;="&amp;$A13,Weekly_Agg!$A:$A,"&lt;"&amp;DATE(YEAR($A13),MONTH($A13)+1,1))</f>
        <v/>
      </c>
      <c r="G13" s="8">
        <f>SUMIFS(Weekly_Agg!$U:$U,Weekly_Agg!$A:$A,"&gt;="&amp;$A13,Weekly_Agg!$A:$A,"&lt;"&amp;DATE(YEAR($A13),MONTH($A13)+1,1))</f>
        <v/>
      </c>
      <c r="H13" s="8">
        <f>SUMIFS(Weekly_Agg!$V:$V,Weekly_Agg!$A:$A,"&gt;="&amp;$A13,Weekly_Agg!$A:$A,"&lt;"&amp;DATE(YEAR($A13),MONTH($A13)+1,1))</f>
        <v/>
      </c>
      <c r="I13" s="8">
        <f>SUMIFS(Weekly_Agg!$I:$I,Weekly_Agg!$A:$A,"&gt;="&amp;$A13,Weekly_Agg!$A:$A,"&lt;"&amp;DATE(YEAR($A13),MONTH($A13)+1,1))</f>
        <v/>
      </c>
      <c r="J13" s="8">
        <f>SUMIFS(Weekly_Agg!$H:$H,Weekly_Agg!$A:$A,"&gt;="&amp;$A13,Weekly_Agg!$A:$A,"&lt;"&amp;DATE(YEAR($A13),MONTH($A13)+1,1))</f>
        <v/>
      </c>
      <c r="K13" s="8">
        <f>SUMIFS(Weekly_Agg!$P:$P,Weekly_Agg!$A:$A,"&gt;="&amp;$A13,Weekly_Agg!$A:$A,"&lt;"&amp;DATE(YEAR($A13),MONTH($A13)+1,1))</f>
        <v/>
      </c>
      <c r="L13" s="8">
        <f>SUMIFS(Weekly_Agg!$Q:$Q,Weekly_Agg!$A:$A,"&gt;="&amp;$A13,Weekly_Agg!$A:$A,"&lt;"&amp;DATE(YEAR($A13),MONTH($A13)+1,1))</f>
        <v/>
      </c>
      <c r="M13" s="8">
        <f>SUMIFS(Weekly_Agg!$R:$R,Weekly_Agg!$A:$A,"&gt;="&amp;$A13,Weekly_Agg!$A:$A,"&lt;"&amp;DATE(YEAR($A13),MONTH($A13)+1,1))</f>
        <v/>
      </c>
      <c r="N13" s="8">
        <f>SUMIFS(Weekly_Agg!$M:$M,Weekly_Agg!$A:$A,"&gt;="&amp;$A13,Weekly_Agg!$A:$A,"&lt;"&amp;DATE(YEAR($A13),MONTH($A13)+1,1))</f>
        <v/>
      </c>
      <c r="O13">
        <f>COUNTIFS(People!$C$3:$C$500,"Social",People!$D$3:$D$500,"&gt;="&amp;$A13,People!$D$3:$D$500,"&lt;"&amp;DATE(YEAR($A13),MONTH($A13)+1,1))</f>
        <v/>
      </c>
      <c r="P13">
        <f>SUMPRODUCT(--(People!$C$3:$C$500="Social"),--(People!$D$3:$D$500&gt;=$A13),--(People!$D$3:$D$500&lt;DATE(YEAR($A13),MONTH($A13)+1,1)),--(People!$F$3:$F$500&gt;=2))</f>
        <v/>
      </c>
      <c r="Q13">
        <f>IF(AND($O13&gt;=10,$P13&lt;2),1,0)</f>
        <v/>
      </c>
      <c r="R13">
        <f>SUMIFS(Weekly_Agg!$X:$X,Weekly_Agg!$A:$A,"&gt;="&amp;$A13,Weekly_Agg!$A:$A,"&lt;"&amp;DATE(YEAR($A13),MONTH($A13)+1,1))</f>
        <v/>
      </c>
      <c r="S13">
        <f>IF($R13=0,1,0)</f>
        <v/>
      </c>
      <c r="T13">
        <f>COUNTIFS(People!$C$3:$C$500,"Romance",People!$D$3:$D$500,"&gt;="&amp;$A13,People!$D$3:$D$500,"&lt;"&amp;DATE(YEAR($A13),MONTH($A13)+1,1))</f>
        <v/>
      </c>
      <c r="U13">
        <f>SUMPRODUCT(--(People!$C$3:$C$500="Romance"),--(People!$D$3:$D$500&gt;=$A13),--(People!$D$3:$D$500&lt;DATE(YEAR($A13),MONTH($A13)+1,1)),--(People!$G$3:$G$500&gt;=2))</f>
        <v/>
      </c>
      <c r="V13">
        <f>IF(AND($A13&gt;=DATE(2026,6,1),$I13&gt;8,$U13=0),1,0)</f>
        <v/>
      </c>
      <c r="W13">
        <f>SUMIFS(Raw_Events!$H:$H,Raw_Events!$E:$E,$A13,Raw_Events!$G:$G,"DEEP_WORK_HOURS")</f>
        <v/>
      </c>
      <c r="X13">
        <f>SUMIFS(Raw_Events!$H:$H,Raw_Events!$E:$E,$A13,Raw_Events!$G:$G,"EDUCATION_HOURS")</f>
        <v/>
      </c>
      <c r="Y13">
        <f>SUMIFS(Raw_Events!$H:$H,Raw_Events!$E:$E,$A13,Raw_Events!$G:$G,"HOBBY_HOURS")</f>
        <v/>
      </c>
      <c r="Z13">
        <f>SUMIFS(Raw_Events!$H:$H,Raw_Events!$E:$E,$A13,Raw_Events!$G:$G,"PARTNER_QUALITY_TIME")</f>
        <v/>
      </c>
      <c r="AA13">
        <f>IFERROR(MAXIFS(Raw_Events!$H:$H,Raw_Events!$E:$E,$A13,Raw_Events!$G:$G,"INVESTMENT_COVERAGE"),"")</f>
        <v/>
      </c>
      <c r="AB13">
        <f>COUNTIFS(Raw_Events!$G:$G,"ACTIVITY_CANCELLED",Raw_Events!$E:$E,$A13)</f>
        <v/>
      </c>
      <c r="AC13">
        <f>IF($AB13&gt;=2,1,0)</f>
        <v/>
      </c>
    </row>
    <row r="14" ht="15" customHeight="1">
      <c r="A14" s="14" t="n">
        <v>46357</v>
      </c>
      <c r="B14" s="11">
        <f>SUMIFS(Weekly_Agg!$C:$C,Weekly_Agg!$A:$A,"&gt;="&amp;$A14,Weekly_Agg!$A:$A,"&lt;"&amp;DATE(YEAR($A14),MONTH($A14)+1,1))</f>
        <v/>
      </c>
      <c r="C14" s="8">
        <f>SUMIFS(Weekly_Agg!$B:$B,Weekly_Agg!$A:$A,"&gt;="&amp;$A14,Weekly_Agg!$A:$A,"&lt;"&amp;DATE(YEAR($A14),MONTH($A14)+1,1))</f>
        <v/>
      </c>
      <c r="D14" s="16">
        <f>COUNTIFS(Raw_Events!$G$3:$G$20000,"BOOK_FINISHED",Raw_Events!$E$3:$E$20000,$A14)</f>
        <v/>
      </c>
      <c r="E14" s="12">
        <f>SUMIFS(Weekly_Agg!$K:$K,Weekly_Agg!$A:$A,"&gt;="&amp;$A14,Weekly_Agg!$A:$A,"&lt;"&amp;DATE(YEAR($A14),MONTH($A14)+1,1))/60</f>
        <v/>
      </c>
      <c r="F14" s="8">
        <f>SUMIFS(Weekly_Agg!$L:$L,Weekly_Agg!$A:$A,"&gt;="&amp;$A14,Weekly_Agg!$A:$A,"&lt;"&amp;DATE(YEAR($A14),MONTH($A14)+1,1))</f>
        <v/>
      </c>
      <c r="G14" s="8">
        <f>SUMIFS(Weekly_Agg!$U:$U,Weekly_Agg!$A:$A,"&gt;="&amp;$A14,Weekly_Agg!$A:$A,"&lt;"&amp;DATE(YEAR($A14),MONTH($A14)+1,1))</f>
        <v/>
      </c>
      <c r="H14" s="8">
        <f>SUMIFS(Weekly_Agg!$V:$V,Weekly_Agg!$A:$A,"&gt;="&amp;$A14,Weekly_Agg!$A:$A,"&lt;"&amp;DATE(YEAR($A14),MONTH($A14)+1,1))</f>
        <v/>
      </c>
      <c r="I14" s="8">
        <f>SUMIFS(Weekly_Agg!$I:$I,Weekly_Agg!$A:$A,"&gt;="&amp;$A14,Weekly_Agg!$A:$A,"&lt;"&amp;DATE(YEAR($A14),MONTH($A14)+1,1))</f>
        <v/>
      </c>
      <c r="J14" s="8">
        <f>SUMIFS(Weekly_Agg!$H:$H,Weekly_Agg!$A:$A,"&gt;="&amp;$A14,Weekly_Agg!$A:$A,"&lt;"&amp;DATE(YEAR($A14),MONTH($A14)+1,1))</f>
        <v/>
      </c>
      <c r="K14" s="8">
        <f>SUMIFS(Weekly_Agg!$P:$P,Weekly_Agg!$A:$A,"&gt;="&amp;$A14,Weekly_Agg!$A:$A,"&lt;"&amp;DATE(YEAR($A14),MONTH($A14)+1,1))</f>
        <v/>
      </c>
      <c r="L14" s="8">
        <f>SUMIFS(Weekly_Agg!$Q:$Q,Weekly_Agg!$A:$A,"&gt;="&amp;$A14,Weekly_Agg!$A:$A,"&lt;"&amp;DATE(YEAR($A14),MONTH($A14)+1,1))</f>
        <v/>
      </c>
      <c r="M14" s="8">
        <f>SUMIFS(Weekly_Agg!$R:$R,Weekly_Agg!$A:$A,"&gt;="&amp;$A14,Weekly_Agg!$A:$A,"&lt;"&amp;DATE(YEAR($A14),MONTH($A14)+1,1))</f>
        <v/>
      </c>
      <c r="N14" s="8">
        <f>SUMIFS(Weekly_Agg!$M:$M,Weekly_Agg!$A:$A,"&gt;="&amp;$A14,Weekly_Agg!$A:$A,"&lt;"&amp;DATE(YEAR($A14),MONTH($A14)+1,1))</f>
        <v/>
      </c>
      <c r="O14">
        <f>COUNTIFS(People!$C$3:$C$500,"Social",People!$D$3:$D$500,"&gt;="&amp;$A14,People!$D$3:$D$500,"&lt;"&amp;DATE(YEAR($A14),MONTH($A14)+1,1))</f>
        <v/>
      </c>
      <c r="P14">
        <f>SUMPRODUCT(--(People!$C$3:$C$500="Social"),--(People!$D$3:$D$500&gt;=$A14),--(People!$D$3:$D$500&lt;DATE(YEAR($A14),MONTH($A14)+1,1)),--(People!$F$3:$F$500&gt;=2))</f>
        <v/>
      </c>
      <c r="Q14">
        <f>IF(AND($O14&gt;=10,$P14&lt;2),1,0)</f>
        <v/>
      </c>
      <c r="R14">
        <f>SUMIFS(Weekly_Agg!$X:$X,Weekly_Agg!$A:$A,"&gt;="&amp;$A14,Weekly_Agg!$A:$A,"&lt;"&amp;DATE(YEAR($A14),MONTH($A14)+1,1))</f>
        <v/>
      </c>
      <c r="S14">
        <f>IF($R14=0,1,0)</f>
        <v/>
      </c>
      <c r="T14">
        <f>COUNTIFS(People!$C$3:$C$500,"Romance",People!$D$3:$D$500,"&gt;="&amp;$A14,People!$D$3:$D$500,"&lt;"&amp;DATE(YEAR($A14),MONTH($A14)+1,1))</f>
        <v/>
      </c>
      <c r="U14">
        <f>SUMPRODUCT(--(People!$C$3:$C$500="Romance"),--(People!$D$3:$D$500&gt;=$A14),--(People!$D$3:$D$500&lt;DATE(YEAR($A14),MONTH($A14)+1,1)),--(People!$G$3:$G$500&gt;=2))</f>
        <v/>
      </c>
      <c r="V14">
        <f>IF(AND($A14&gt;=DATE(2026,6,1),$I14&gt;8,$U14=0),1,0)</f>
        <v/>
      </c>
      <c r="W14">
        <f>SUMIFS(Raw_Events!$H:$H,Raw_Events!$E:$E,$A14,Raw_Events!$G:$G,"DEEP_WORK_HOURS")</f>
        <v/>
      </c>
      <c r="X14">
        <f>SUMIFS(Raw_Events!$H:$H,Raw_Events!$E:$E,$A14,Raw_Events!$G:$G,"EDUCATION_HOURS")</f>
        <v/>
      </c>
      <c r="Y14">
        <f>SUMIFS(Raw_Events!$H:$H,Raw_Events!$E:$E,$A14,Raw_Events!$G:$G,"HOBBY_HOURS")</f>
        <v/>
      </c>
      <c r="Z14">
        <f>SUMIFS(Raw_Events!$H:$H,Raw_Events!$E:$E,$A14,Raw_Events!$G:$G,"PARTNER_QUALITY_TIME")</f>
        <v/>
      </c>
      <c r="AA14">
        <f>IFERROR(MAXIFS(Raw_Events!$H:$H,Raw_Events!$E:$E,$A14,Raw_Events!$G:$G,"INVESTMENT_COVERAGE"),"")</f>
        <v/>
      </c>
      <c r="AB14">
        <f>COUNTIFS(Raw_Events!$G:$G,"ACTIVITY_CANCELLED",Raw_Events!$E:$E,$A14)</f>
        <v/>
      </c>
      <c r="AC14">
        <f>IF($AB14&gt;=2,1,0)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Quarterly rollup (cumulative)</t>
        </is>
      </c>
    </row>
    <row r="2" ht="48" customHeight="1">
      <c r="A2" s="7" t="inlineStr">
        <is>
          <t>Quarter</t>
        </is>
      </c>
      <c r="B2" s="7" t="inlineStr">
        <is>
          <t>Start</t>
        </is>
      </c>
      <c r="C2" s="7" t="inlineStr">
        <is>
          <t>End</t>
        </is>
      </c>
      <c r="D2" s="7" t="inlineStr">
        <is>
          <t>Training_hours_cum</t>
        </is>
      </c>
      <c r="E2" s="7" t="inlineStr">
        <is>
          <t>ProContacts_cum</t>
        </is>
      </c>
      <c r="F2" s="7" t="inlineStr">
        <is>
          <t>InitiativesPresented_cum</t>
        </is>
      </c>
      <c r="G2" s="7" t="inlineStr">
        <is>
          <t>StakeholderChats_Q</t>
        </is>
      </c>
      <c r="H2" s="7" t="inlineStr">
        <is>
          <t>MemosWritten_Q</t>
        </is>
      </c>
      <c r="I2" s="7" t="inlineStr">
        <is>
          <t>BooksRead_cum</t>
        </is>
      </c>
      <c r="J2" s="7" t="inlineStr">
        <is>
          <t>Ideas_cum</t>
        </is>
      </c>
      <c r="K2" s="7" t="inlineStr">
        <is>
          <t>NewActivities_cum</t>
        </is>
      </c>
      <c r="L2" s="7" t="inlineStr">
        <is>
          <t>TravelNights_cum</t>
        </is>
      </c>
      <c r="M2" s="26" t="inlineStr">
        <is>
          <t>Expenses_cum</t>
        </is>
      </c>
      <c r="N2" s="26" t="inlineStr">
        <is>
          <t>WorkHours_cum</t>
        </is>
      </c>
    </row>
    <row r="3" ht="15" customHeight="1">
      <c r="A3" s="8" t="inlineStr">
        <is>
          <t>2026-Q1</t>
        </is>
      </c>
      <c r="B3" s="14" t="n">
        <v>46023</v>
      </c>
      <c r="C3" s="14" t="n">
        <v>46112</v>
      </c>
      <c r="D3" s="12">
        <f>SUMIFS(Monthly_Agg!$E:$E,Monthly_Agg!$A:$A,"&gt;="&amp;Settings!$B$4,Monthly_Agg!$A:$A,"&lt;="&amp;$C3)</f>
        <v/>
      </c>
      <c r="E3" s="16">
        <f>COUNTIFS(Raw_Events!$G:$G,"PRO_CONTACT_ADDED",Raw_Events!$C:$C,"&gt;="&amp;Settings!B4,Raw_Events!$C:$C,"&lt;="&amp;$C3)</f>
        <v/>
      </c>
      <c r="F3" s="16">
        <f>COUNTIFS(Raw_Events!$G:$G,"INITIATIVE_PRESENTED_VP",Raw_Events!$C:$C,"&gt;="&amp;Settings!B4,Raw_Events!$C:$C,"&lt;="&amp;$C3)</f>
        <v/>
      </c>
      <c r="G3" s="16">
        <f>COUNTIFS(Raw_Events!$G:$G,"STAKEHOLDER_CHAT",Raw_Events!$C:$C,"&gt;="&amp;$B3,Raw_Events!$C:$C,"&lt;="&amp;$C3)</f>
        <v/>
      </c>
      <c r="H3" s="16">
        <f>COUNTIFS(Raw_Events!$G:$G,"MEMO_WRITTEN",Raw_Events!$C:$C,"&gt;="&amp;$B3,Raw_Events!$C:$C,"&lt;="&amp;$C3)</f>
        <v/>
      </c>
      <c r="I3" s="16">
        <f>COUNTIFS(Raw_Events!$G:$G,"BOOK_FINISHED",Raw_Events!$C:$C,"&gt;="&amp;Settings!B4,Raw_Events!$C:$C,"&lt;="&amp;$C3)</f>
        <v/>
      </c>
      <c r="J3" s="8">
        <f>SUMIFS(Monthly_Agg!$F:$F,Monthly_Agg!$A:$A,"&gt;="&amp;Settings!$B$4,Monthly_Agg!$A:$A,"&lt;="&amp;$C3)</f>
        <v/>
      </c>
      <c r="K3" s="8">
        <f>SUMIFS(Monthly_Agg!$G:$G,Monthly_Agg!$A:$A,"&gt;="&amp;Settings!$B$4,Monthly_Agg!$A:$A,"&lt;="&amp;$C3)</f>
        <v/>
      </c>
      <c r="L3" s="8">
        <f>SUMIFS(Monthly_Agg!$H:$H,Monthly_Agg!$A:$A,"&gt;="&amp;Settings!$B$4,Monthly_Agg!$A:$A,"&lt;="&amp;$C3)</f>
        <v/>
      </c>
      <c r="M3">
        <f>SUMIFS(Monthly_Agg!$B:$B,Monthly_Agg!$A:$A,"&gt;="&amp;Settings!$B$4,Monthly_Agg!$A:$A,"&lt;="&amp;$C3)</f>
        <v/>
      </c>
      <c r="N3">
        <f>SUMIFS(Monthly_Agg!$C:$C,Monthly_Agg!$A:$A,"&gt;="&amp;Settings!$B$4,Monthly_Agg!$A:$A,"&lt;="&amp;$C3)</f>
        <v/>
      </c>
    </row>
    <row r="4" ht="15" customHeight="1">
      <c r="A4" s="8" t="inlineStr">
        <is>
          <t>2026-Q2</t>
        </is>
      </c>
      <c r="B4" s="14" t="n">
        <v>46113</v>
      </c>
      <c r="C4" s="14" t="n">
        <v>46203</v>
      </c>
      <c r="D4" s="12">
        <f>SUMIFS(Monthly_Agg!$E:$E,Monthly_Agg!$A:$A,"&gt;="&amp;Settings!$B$4,Monthly_Agg!$A:$A,"&lt;="&amp;$C4)</f>
        <v/>
      </c>
      <c r="E4" s="16">
        <f>COUNTIFS(Raw_Events!$G:$G,"PRO_CONTACT_ADDED",Raw_Events!$C:$C,"&gt;="&amp;Settings!B4,Raw_Events!$C:$C,"&lt;="&amp;$C4)</f>
        <v/>
      </c>
      <c r="F4" s="16">
        <f>COUNTIFS(Raw_Events!$G:$G,"INITIATIVE_PRESENTED_VP",Raw_Events!$C:$C,"&gt;="&amp;Settings!B4,Raw_Events!$C:$C,"&lt;="&amp;$C4)</f>
        <v/>
      </c>
      <c r="G4" s="16">
        <f>COUNTIFS(Raw_Events!$G:$G,"STAKEHOLDER_CHAT",Raw_Events!$C:$C,"&gt;="&amp;$B4,Raw_Events!$C:$C,"&lt;="&amp;$C4)</f>
        <v/>
      </c>
      <c r="H4" s="16">
        <f>COUNTIFS(Raw_Events!$G:$G,"MEMO_WRITTEN",Raw_Events!$C:$C,"&gt;="&amp;$B4,Raw_Events!$C:$C,"&lt;="&amp;$C4)</f>
        <v/>
      </c>
      <c r="I4" s="16">
        <f>COUNTIFS(Raw_Events!$G:$G,"BOOK_FINISHED",Raw_Events!$C:$C,"&gt;="&amp;Settings!B4,Raw_Events!$C:$C,"&lt;="&amp;$C4)</f>
        <v/>
      </c>
      <c r="J4" s="8">
        <f>SUMIFS(Monthly_Agg!$F:$F,Monthly_Agg!$A:$A,"&gt;="&amp;Settings!$B$4,Monthly_Agg!$A:$A,"&lt;="&amp;$C4)</f>
        <v/>
      </c>
      <c r="K4" s="8">
        <f>SUMIFS(Monthly_Agg!$G:$G,Monthly_Agg!$A:$A,"&gt;="&amp;Settings!$B$4,Monthly_Agg!$A:$A,"&lt;="&amp;$C4)</f>
        <v/>
      </c>
      <c r="L4" s="8">
        <f>SUMIFS(Monthly_Agg!$H:$H,Monthly_Agg!$A:$A,"&gt;="&amp;Settings!$B$4,Monthly_Agg!$A:$A,"&lt;="&amp;$C4)</f>
        <v/>
      </c>
      <c r="M4">
        <f>SUMIFS(Monthly_Agg!$B:$B,Monthly_Agg!$A:$A,"&gt;="&amp;Settings!$B$4,Monthly_Agg!$A:$A,"&lt;="&amp;$C4)</f>
        <v/>
      </c>
      <c r="N4">
        <f>SUMIFS(Monthly_Agg!$C:$C,Monthly_Agg!$A:$A,"&gt;="&amp;Settings!$B$4,Monthly_Agg!$A:$A,"&lt;="&amp;$C4)</f>
        <v/>
      </c>
    </row>
    <row r="5" ht="15" customHeight="1">
      <c r="A5" s="8" t="inlineStr">
        <is>
          <t>2026-Q3</t>
        </is>
      </c>
      <c r="B5" s="14" t="n">
        <v>46204</v>
      </c>
      <c r="C5" s="14" t="n">
        <v>46295</v>
      </c>
      <c r="D5" s="12">
        <f>SUMIFS(Monthly_Agg!$E:$E,Monthly_Agg!$A:$A,"&gt;="&amp;Settings!$B$4,Monthly_Agg!$A:$A,"&lt;="&amp;$C5)</f>
        <v/>
      </c>
      <c r="E5" s="16">
        <f>COUNTIFS(Raw_Events!$G:$G,"PRO_CONTACT_ADDED",Raw_Events!$C:$C,"&gt;="&amp;Settings!B4,Raw_Events!$C:$C,"&lt;="&amp;$C5)</f>
        <v/>
      </c>
      <c r="F5" s="16">
        <f>COUNTIFS(Raw_Events!$G:$G,"INITIATIVE_PRESENTED_VP",Raw_Events!$C:$C,"&gt;="&amp;Settings!B4,Raw_Events!$C:$C,"&lt;="&amp;$C5)</f>
        <v/>
      </c>
      <c r="G5" s="16">
        <f>COUNTIFS(Raw_Events!$G:$G,"STAKEHOLDER_CHAT",Raw_Events!$C:$C,"&gt;="&amp;$B5,Raw_Events!$C:$C,"&lt;="&amp;$C5)</f>
        <v/>
      </c>
      <c r="H5" s="16">
        <f>COUNTIFS(Raw_Events!$G:$G,"MEMO_WRITTEN",Raw_Events!$C:$C,"&gt;="&amp;$B5,Raw_Events!$C:$C,"&lt;="&amp;$C5)</f>
        <v/>
      </c>
      <c r="I5" s="16">
        <f>COUNTIFS(Raw_Events!$G:$G,"BOOK_FINISHED",Raw_Events!$C:$C,"&gt;="&amp;Settings!B4,Raw_Events!$C:$C,"&lt;="&amp;$C5)</f>
        <v/>
      </c>
      <c r="J5" s="8">
        <f>SUMIFS(Monthly_Agg!$F:$F,Monthly_Agg!$A:$A,"&gt;="&amp;Settings!$B$4,Monthly_Agg!$A:$A,"&lt;="&amp;$C5)</f>
        <v/>
      </c>
      <c r="K5" s="8">
        <f>SUMIFS(Monthly_Agg!$G:$G,Monthly_Agg!$A:$A,"&gt;="&amp;Settings!$B$4,Monthly_Agg!$A:$A,"&lt;="&amp;$C5)</f>
        <v/>
      </c>
      <c r="L5" s="8">
        <f>SUMIFS(Monthly_Agg!$H:$H,Monthly_Agg!$A:$A,"&gt;="&amp;Settings!$B$4,Monthly_Agg!$A:$A,"&lt;="&amp;$C5)</f>
        <v/>
      </c>
      <c r="M5">
        <f>SUMIFS(Monthly_Agg!$B:$B,Monthly_Agg!$A:$A,"&gt;="&amp;Settings!$B$4,Monthly_Agg!$A:$A,"&lt;="&amp;$C5)</f>
        <v/>
      </c>
      <c r="N5">
        <f>SUMIFS(Monthly_Agg!$C:$C,Monthly_Agg!$A:$A,"&gt;="&amp;Settings!$B$4,Monthly_Agg!$A:$A,"&lt;="&amp;$C5)</f>
        <v/>
      </c>
    </row>
    <row r="6" ht="15" customHeight="1">
      <c r="A6" s="8" t="inlineStr">
        <is>
          <t>2026-Q4</t>
        </is>
      </c>
      <c r="B6" s="14" t="n">
        <v>46296</v>
      </c>
      <c r="C6" s="14" t="n">
        <v>46387</v>
      </c>
      <c r="D6" s="12">
        <f>SUMIFS(Monthly_Agg!$E:$E,Monthly_Agg!$A:$A,"&gt;="&amp;Settings!$B$4,Monthly_Agg!$A:$A,"&lt;="&amp;$C6)</f>
        <v/>
      </c>
      <c r="E6" s="16">
        <f>COUNTIFS(Raw_Events!$G:$G,"PRO_CONTACT_ADDED",Raw_Events!$C:$C,"&gt;="&amp;Settings!B4,Raw_Events!$C:$C,"&lt;="&amp;$C6)</f>
        <v/>
      </c>
      <c r="F6" s="16">
        <f>COUNTIFS(Raw_Events!$G:$G,"INITIATIVE_PRESENTED_VP",Raw_Events!$C:$C,"&gt;="&amp;Settings!B4,Raw_Events!$C:$C,"&lt;="&amp;$C6)</f>
        <v/>
      </c>
      <c r="G6" s="16">
        <f>COUNTIFS(Raw_Events!$G:$G,"STAKEHOLDER_CHAT",Raw_Events!$C:$C,"&gt;="&amp;$B6,Raw_Events!$C:$C,"&lt;="&amp;$C6)</f>
        <v/>
      </c>
      <c r="H6" s="16">
        <f>COUNTIFS(Raw_Events!$G:$G,"MEMO_WRITTEN",Raw_Events!$C:$C,"&gt;="&amp;$B6,Raw_Events!$C:$C,"&lt;="&amp;$C6)</f>
        <v/>
      </c>
      <c r="I6" s="16">
        <f>COUNTIFS(Raw_Events!$G:$G,"BOOK_FINISHED",Raw_Events!$C:$C,"&gt;="&amp;Settings!B4,Raw_Events!$C:$C,"&lt;="&amp;$C6)</f>
        <v/>
      </c>
      <c r="J6" s="8">
        <f>SUMIFS(Monthly_Agg!$F:$F,Monthly_Agg!$A:$A,"&gt;="&amp;Settings!$B$4,Monthly_Agg!$A:$A,"&lt;="&amp;$C6)</f>
        <v/>
      </c>
      <c r="K6" s="8">
        <f>SUMIFS(Monthly_Agg!$G:$G,Monthly_Agg!$A:$A,"&gt;="&amp;Settings!$B$4,Monthly_Agg!$A:$A,"&lt;="&amp;$C6)</f>
        <v/>
      </c>
      <c r="L6" s="8">
        <f>SUMIFS(Monthly_Agg!$H:$H,Monthly_Agg!$A:$A,"&gt;="&amp;Settings!$B$4,Monthly_Agg!$A:$A,"&lt;="&amp;$C6)</f>
        <v/>
      </c>
      <c r="M6">
        <f>SUMIFS(Monthly_Agg!$B:$B,Monthly_Agg!$A:$A,"&gt;="&amp;Settings!$B$4,Monthly_Agg!$A:$A,"&lt;="&amp;$C6)</f>
        <v/>
      </c>
      <c r="N6">
        <f>SUMIFS(Monthly_Agg!$C:$C,Monthly_Agg!$A:$A,"&gt;="&amp;Settings!$B$4,Monthly_Agg!$A:$A,"&lt;="&amp;$C6)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10" defaultRowHeight="16"/>
  <sheetData>
    <row r="1" ht="21" customHeight="1">
      <c r="A1" s="18" t="inlineStr">
        <is>
          <t>Dashboard (weekly review)</t>
        </is>
      </c>
    </row>
    <row r="2"/>
    <row r="3" ht="15" customHeight="1">
      <c r="A3" t="inlineStr">
        <is>
          <t>As-of date</t>
        </is>
      </c>
      <c r="B3" s="4">
        <f>Settings!B7</f>
        <v/>
      </c>
      <c r="D3" s="19" t="inlineStr">
        <is>
          <t>YTD Expenses (personal)</t>
        </is>
      </c>
      <c r="E3" s="20">
        <f>IFERROR(VLOOKUP($B$6,$A$15:$G$200,3,FALSE),0)</f>
        <v/>
      </c>
      <c r="F3" s="21" t="inlineStr">
        <is>
          <t>Target to date</t>
        </is>
      </c>
      <c r="G3" s="21">
        <f>Settings!C11*B5</f>
        <v/>
      </c>
      <c r="H3" s="21" t="inlineStr">
        <is>
          <t>Pace (Actual/Target)</t>
        </is>
      </c>
      <c r="I3" s="22">
        <f>IF(G3=0,"",E3/G3)</f>
        <v/>
      </c>
      <c r="J3" t="inlineStr">
        <is>
          <t>Rel start date</t>
        </is>
      </c>
      <c r="K3">
        <f>IFERROR(MAXIFS(Raw_Events!$C:$C,Raw_Events!$G:$G,"RELATIONSHIP_START",Raw_Events!$C:$C,"&gt;="&amp;Settings!$B$4,Raw_Events!$C:$C,"&lt;="&amp;Settings!$B$7),"")</f>
        <v/>
      </c>
    </row>
    <row r="4" ht="15" customHeight="1">
      <c r="A4" t="inlineStr">
        <is>
          <t>Days elapsed</t>
        </is>
      </c>
      <c r="B4">
        <f>B3-Settings!B4+1</f>
        <v/>
      </c>
      <c r="D4" s="19" t="inlineStr">
        <is>
          <t>YTD Cigarettes</t>
        </is>
      </c>
      <c r="E4" s="20">
        <f>IFERROR(VLOOKUP($B$6,$A$15:$G$200,6,FALSE),0)</f>
        <v/>
      </c>
      <c r="F4" s="21" t="inlineStr">
        <is>
          <t>Target to date</t>
        </is>
      </c>
      <c r="G4" s="21">
        <f>Settings!$C$20*B5</f>
        <v/>
      </c>
      <c r="H4" s="21" t="inlineStr">
        <is>
          <t>Remaining</t>
        </is>
      </c>
      <c r="I4" s="21">
        <f>Settings!C20-E4</f>
        <v/>
      </c>
      <c r="J4" t="inlineStr">
        <is>
          <t>Rel end date</t>
        </is>
      </c>
      <c r="K4">
        <f>IF($K$3="","",IFERROR(MINIFS(Raw_Events!$C:$C,Raw_Events!$G:$G,"RELATIONSHIP_END",Raw_Events!$C:$C,"&gt;"&amp;$K$3,Raw_Events!$C:$C,"&lt;="&amp;Settings!$B$7),""))</f>
        <v/>
      </c>
    </row>
    <row r="5" ht="15" customHeight="1">
      <c r="A5" t="inlineStr">
        <is>
          <t>% of year</t>
        </is>
      </c>
      <c r="B5" s="23">
        <f>B4/Settings!B6</f>
        <v/>
      </c>
      <c r="D5" s="19" t="inlineStr">
        <is>
          <t>Alcohol avg (std/day)</t>
        </is>
      </c>
      <c r="E5" s="20">
        <f>IF(B4=0,"",SUMIFS(Weekly_Agg!$P:$P,Weekly_Agg!$A:$A,"&gt;="&amp;Settings!B4,Weekly_Agg!$A:$A,"&lt;="&amp;$B$6)/B4)</f>
        <v/>
      </c>
      <c r="F5" s="21" t="inlineStr">
        <is>
          <t>Cap</t>
        </is>
      </c>
      <c r="G5" s="21">
        <f>Settings!$C$19</f>
        <v/>
      </c>
      <c r="H5" s="21" t="inlineStr">
        <is>
          <t>Over?</t>
        </is>
      </c>
      <c r="I5" s="21">
        <f>IF(E5&gt;G5,1,0)</f>
        <v/>
      </c>
      <c r="J5" t="inlineStr">
        <is>
          <t>Rel duration (days)</t>
        </is>
      </c>
      <c r="K5">
        <f>IF($K$3="","",IF($K$4="",Settings!$B$7-$K$3+1,$K$4-$K$3+1))</f>
        <v/>
      </c>
      <c r="L5" t="inlineStr">
        <is>
          <t>Target</t>
        </is>
      </c>
      <c r="M5" t="n">
        <v>90</v>
      </c>
    </row>
    <row r="6" ht="15" customHeight="1">
      <c r="A6" t="inlineStr">
        <is>
          <t>As-of week start</t>
        </is>
      </c>
      <c r="B6" s="4">
        <f>B3-WEEKDAY(B3,2)+1</f>
        <v/>
      </c>
      <c r="D6" s="19" t="inlineStr">
        <is>
          <t>This week: mindfulness min</t>
        </is>
      </c>
      <c r="E6" s="20">
        <f>IFERROR(VLOOKUP($B$6,Weekly_Agg!$A:$W,13,FALSE),"")</f>
        <v/>
      </c>
      <c r="F6" s="21" t="inlineStr">
        <is>
          <t>Target</t>
        </is>
      </c>
      <c r="G6" s="21">
        <f>Settings!$C$15</f>
        <v/>
      </c>
      <c r="H6" s="21" t="n"/>
      <c r="I6" s="21" t="n"/>
      <c r="J6" t="inlineStr">
        <is>
          <t>Rel &gt;3 months?</t>
        </is>
      </c>
      <c r="K6">
        <f>IF($K$5="","",IF($K$5&gt;=90,1,0))</f>
        <v/>
      </c>
    </row>
    <row r="7" ht="15" customHeight="1">
      <c r="D7" s="19" t="inlineStr">
        <is>
          <t>Net worth (RUB) latest</t>
        </is>
      </c>
      <c r="E7" s="20">
        <f>IFERROR(VLOOKUP($B$6,Raw_Weekly!$A:$G,5,FALSE),"")</f>
        <v/>
      </c>
      <c r="F7" s="21" t="inlineStr">
        <is>
          <t>Target</t>
        </is>
      </c>
      <c r="G7" s="21">
        <f>Settings!$C$16</f>
        <v/>
      </c>
      <c r="H7" s="21" t="n"/>
      <c r="I7" s="21" t="n"/>
    </row>
    <row r="8" ht="15" customHeight="1">
      <c r="D8" s="19" t="inlineStr">
        <is>
          <t>Training hours YTD</t>
        </is>
      </c>
      <c r="E8" s="24">
        <f>SUMIFS(Weekly_Agg!$K:$K,Weekly_Agg!$A:$A,"&gt;="&amp;Settings!B4,Weekly_Agg!$A:$A,"&lt;="&amp;$B$6)/60</f>
        <v/>
      </c>
      <c r="F8" s="21" t="inlineStr">
        <is>
          <t>Annual target</t>
        </is>
      </c>
      <c r="G8" s="21">
        <f>Settings!$C$25</f>
        <v/>
      </c>
      <c r="H8" s="21" t="n"/>
      <c r="I8" s="21" t="n"/>
    </row>
    <row r="9" ht="15" customHeight="1">
      <c r="D9" s="19" t="inlineStr">
        <is>
          <t>Ideas YTD</t>
        </is>
      </c>
      <c r="E9" s="20">
        <f>SUMIFS(Weekly_Agg!$L:$L,Weekly_Agg!$A:$A,"&gt;="&amp;Settings!B4,Weekly_Agg!$A:$A,"&lt;="&amp;$B$6)</f>
        <v/>
      </c>
      <c r="F9" s="21" t="inlineStr">
        <is>
          <t>Annual target</t>
        </is>
      </c>
      <c r="G9" s="21">
        <f>Settings!$C$33</f>
        <v/>
      </c>
      <c r="H9" s="21" t="n"/>
      <c r="I9" s="21" t="n"/>
    </row>
    <row r="10" ht="15" customHeight="1">
      <c r="D10" s="19" t="inlineStr">
        <is>
          <t>People met 2+ times (social)</t>
        </is>
      </c>
      <c r="E10" s="20">
        <f>COUNTIFS(People!$C$3:$C$500,"Social",People!$F$3:$F$500,"&gt;=2")</f>
        <v/>
      </c>
      <c r="F10" s="21" t="inlineStr">
        <is>
          <t>Target</t>
        </is>
      </c>
      <c r="G10" s="21">
        <f>Settings!$C$35</f>
        <v/>
      </c>
      <c r="H10" s="21" t="n"/>
      <c r="I10" s="21" t="n"/>
    </row>
    <row r="11" ht="15" customHeight="1">
      <c r="D11" s="19" t="inlineStr">
        <is>
          <t>People met 5+ times (social)</t>
        </is>
      </c>
      <c r="E11" s="20">
        <f>COUNTIFS(People!$C$3:$C$500,"Social",People!$F$3:$F$500,"&gt;=5")</f>
        <v/>
      </c>
      <c r="F11" s="21" t="inlineStr">
        <is>
          <t>Target</t>
        </is>
      </c>
      <c r="G11" s="21">
        <f>Settings!$C$36</f>
        <v/>
      </c>
      <c r="H11" s="21" t="n"/>
      <c r="I11" s="21" t="n"/>
    </row>
    <row r="12" ht="15" customHeight="1">
      <c r="D12" t="inlineStr">
        <is>
          <t>New pro contacts (unique) YTD</t>
        </is>
      </c>
      <c r="E12">
        <f>COUNTIFS(People!$C$3:$C$500,"Pro",People!$I$3:$I$500,"&gt;=1")</f>
        <v/>
      </c>
      <c r="F12" t="inlineStr">
        <is>
          <t>Target</t>
        </is>
      </c>
      <c r="G12">
        <f>Settings!$C$26</f>
        <v/>
      </c>
    </row>
    <row r="13" ht="15" customHeight="1">
      <c r="D13" t="inlineStr">
        <is>
          <t>New sex partners YTD</t>
        </is>
      </c>
      <c r="E13">
        <f>COUNTIFS(People!$C$3:$C$500,"Romance",People!$H$3:$H$500,"&gt;=1")</f>
        <v/>
      </c>
      <c r="F13" t="inlineStr">
        <is>
          <t>Target</t>
        </is>
      </c>
      <c r="G13">
        <f>Settings!$C$38</f>
        <v/>
      </c>
    </row>
    <row r="14" ht="32" customHeight="1">
      <c r="A14" s="7" t="inlineStr">
        <is>
          <t>WeekStart</t>
        </is>
      </c>
      <c r="B14" s="7" t="inlineStr">
        <is>
          <t>WeekExpense</t>
        </is>
      </c>
      <c r="C14" s="7" t="inlineStr">
        <is>
          <t>CumExpenses</t>
        </is>
      </c>
      <c r="D14" s="7" t="inlineStr">
        <is>
          <t>TargetCumExpenses</t>
        </is>
      </c>
      <c r="E14" s="7" t="inlineStr">
        <is>
          <t>WeekCigarettes</t>
        </is>
      </c>
      <c r="F14" s="26" t="inlineStr">
        <is>
          <t>CumCigarettes</t>
        </is>
      </c>
      <c r="G14" s="26" t="inlineStr">
        <is>
          <t>TargetCumCigs</t>
        </is>
      </c>
      <c r="H14" t="inlineStr">
        <is>
          <t>WeekAlcoholStd</t>
        </is>
      </c>
      <c r="I14" t="inlineStr">
        <is>
          <t>CumAlcoholStd</t>
        </is>
      </c>
      <c r="J14" t="inlineStr">
        <is>
          <t>TargetCumAlcoholStd</t>
        </is>
      </c>
      <c r="K14" t="inlineStr">
        <is>
          <t>WeekIdeas</t>
        </is>
      </c>
      <c r="L14" t="inlineStr">
        <is>
          <t>CumIdeas</t>
        </is>
      </c>
      <c r="M14" t="inlineStr">
        <is>
          <t>TargetCumIdeas</t>
        </is>
      </c>
      <c r="N14" t="inlineStr">
        <is>
          <t>WeekExpenseCap</t>
        </is>
      </c>
      <c r="O14" t="inlineStr">
        <is>
          <t>WeekIdeasTarget</t>
        </is>
      </c>
    </row>
    <row r="15" ht="15" customHeight="1">
      <c r="A15" s="14" t="n">
        <v>46027</v>
      </c>
      <c r="B15" s="8">
        <f>IFERROR(VLOOKUP($A15,Weekly_Agg!$A:$W,3,FALSE),0)</f>
        <v/>
      </c>
      <c r="C15" s="8">
        <f>B15</f>
        <v/>
      </c>
      <c r="D15" s="8">
        <f>Settings!$C$11*($A15-Settings!B4+1)/Settings!B6</f>
        <v/>
      </c>
      <c r="E15" s="8">
        <f>IFERROR(VLOOKUP($A15,Weekly_Agg!$A:$W,17,FALSE),0)</f>
        <v/>
      </c>
      <c r="F15">
        <f>E15</f>
        <v/>
      </c>
      <c r="G15">
        <f>Settings!$C$20*($A15-Settings!B4+1)/Settings!B6</f>
        <v/>
      </c>
      <c r="H15">
        <f>IFERROR(VLOOKUP($A15,Weekly_Agg!$A:$W,16,FALSE),0)</f>
        <v/>
      </c>
      <c r="I15">
        <f>H15</f>
        <v/>
      </c>
      <c r="J15">
        <f>Settings!$C$19*($A15-Settings!B4+1)</f>
        <v/>
      </c>
      <c r="K15">
        <f>IFERROR(VLOOKUP($A15,Weekly_Agg!$A:$W,12,FALSE),0)</f>
        <v/>
      </c>
      <c r="L15">
        <f>K15</f>
        <v/>
      </c>
      <c r="M15">
        <f>Settings!$C$33*($A15-Settings!B4+1)/Settings!B6</f>
        <v/>
      </c>
      <c r="N15">
        <f>Settings!$C$12</f>
        <v/>
      </c>
      <c r="O15">
        <f>Settings!$C$34</f>
        <v/>
      </c>
    </row>
    <row r="16" ht="15" customHeight="1">
      <c r="A16" s="14" t="n">
        <v>46034</v>
      </c>
      <c r="B16" s="8">
        <f>IFERROR(VLOOKUP($A16,Weekly_Agg!$A:$W,3,FALSE),0)</f>
        <v/>
      </c>
      <c r="C16" s="8">
        <f>C15+B16</f>
        <v/>
      </c>
      <c r="D16" s="8">
        <f>Settings!$C$11*($A16-Settings!B4+1)/Settings!B6</f>
        <v/>
      </c>
      <c r="E16" s="8">
        <f>IFERROR(VLOOKUP($A16,Weekly_Agg!$A:$W,17,FALSE),0)</f>
        <v/>
      </c>
      <c r="F16">
        <f>F15+E16</f>
        <v/>
      </c>
      <c r="G16">
        <f>Settings!$C$20*($A16-Settings!B4+1)/Settings!B6</f>
        <v/>
      </c>
      <c r="H16">
        <f>IFERROR(VLOOKUP($A16,Weekly_Agg!$A:$W,16,FALSE),0)</f>
        <v/>
      </c>
      <c r="I16">
        <f>I15+H16</f>
        <v/>
      </c>
      <c r="J16">
        <f>Settings!$C$19*($A16-Settings!B4+1)</f>
        <v/>
      </c>
      <c r="K16">
        <f>IFERROR(VLOOKUP($A16,Weekly_Agg!$A:$W,12,FALSE),0)</f>
        <v/>
      </c>
      <c r="L16">
        <f>L15+K16</f>
        <v/>
      </c>
      <c r="M16">
        <f>Settings!$C$33*($A16-Settings!B4+1)/Settings!B6</f>
        <v/>
      </c>
      <c r="N16">
        <f>Settings!$C$12</f>
        <v/>
      </c>
      <c r="O16">
        <f>Settings!$C$34</f>
        <v/>
      </c>
    </row>
    <row r="17" ht="15" customHeight="1">
      <c r="A17" s="14" t="n">
        <v>46041</v>
      </c>
      <c r="B17" s="8">
        <f>IFERROR(VLOOKUP($A17,Weekly_Agg!$A:$W,3,FALSE),0)</f>
        <v/>
      </c>
      <c r="C17" s="8">
        <f>C16+B17</f>
        <v/>
      </c>
      <c r="D17" s="8">
        <f>Settings!$C$11*($A17-Settings!B4+1)/Settings!B6</f>
        <v/>
      </c>
      <c r="E17" s="8">
        <f>IFERROR(VLOOKUP($A17,Weekly_Agg!$A:$W,17,FALSE),0)</f>
        <v/>
      </c>
      <c r="F17">
        <f>F16+E17</f>
        <v/>
      </c>
      <c r="G17">
        <f>Settings!$C$20*($A17-Settings!B4+1)/Settings!B6</f>
        <v/>
      </c>
      <c r="H17">
        <f>IFERROR(VLOOKUP($A17,Weekly_Agg!$A:$W,16,FALSE),0)</f>
        <v/>
      </c>
      <c r="I17">
        <f>I16+H17</f>
        <v/>
      </c>
      <c r="J17">
        <f>Settings!$C$19*($A17-Settings!B4+1)</f>
        <v/>
      </c>
      <c r="K17">
        <f>IFERROR(VLOOKUP($A17,Weekly_Agg!$A:$W,12,FALSE),0)</f>
        <v/>
      </c>
      <c r="L17">
        <f>L16+K17</f>
        <v/>
      </c>
      <c r="M17">
        <f>Settings!$C$33*($A17-Settings!B4+1)/Settings!B6</f>
        <v/>
      </c>
      <c r="N17">
        <f>Settings!$C$12</f>
        <v/>
      </c>
      <c r="O17">
        <f>Settings!$C$34</f>
        <v/>
      </c>
    </row>
    <row r="18" ht="15" customHeight="1">
      <c r="A18" s="14" t="n">
        <v>46048</v>
      </c>
      <c r="B18" s="8">
        <f>IFERROR(VLOOKUP($A18,Weekly_Agg!$A:$W,3,FALSE),0)</f>
        <v/>
      </c>
      <c r="C18" s="8">
        <f>C17+B18</f>
        <v/>
      </c>
      <c r="D18" s="8">
        <f>Settings!$C$11*($A18-Settings!B4+1)/Settings!B6</f>
        <v/>
      </c>
      <c r="E18" s="8">
        <f>IFERROR(VLOOKUP($A18,Weekly_Agg!$A:$W,17,FALSE),0)</f>
        <v/>
      </c>
      <c r="F18">
        <f>F17+E18</f>
        <v/>
      </c>
      <c r="G18">
        <f>Settings!$C$20*($A18-Settings!B4+1)/Settings!B6</f>
        <v/>
      </c>
      <c r="H18">
        <f>IFERROR(VLOOKUP($A18,Weekly_Agg!$A:$W,16,FALSE),0)</f>
        <v/>
      </c>
      <c r="I18">
        <f>I17+H18</f>
        <v/>
      </c>
      <c r="J18">
        <f>Settings!$C$19*($A18-Settings!B4+1)</f>
        <v/>
      </c>
      <c r="K18">
        <f>IFERROR(VLOOKUP($A18,Weekly_Agg!$A:$W,12,FALSE),0)</f>
        <v/>
      </c>
      <c r="L18">
        <f>L17+K18</f>
        <v/>
      </c>
      <c r="M18">
        <f>Settings!$C$33*($A18-Settings!B4+1)/Settings!B6</f>
        <v/>
      </c>
      <c r="N18">
        <f>Settings!$C$12</f>
        <v/>
      </c>
      <c r="O18">
        <f>Settings!$C$34</f>
        <v/>
      </c>
    </row>
    <row r="19" ht="15" customHeight="1">
      <c r="A19" s="14" t="n">
        <v>46055</v>
      </c>
      <c r="B19" s="8">
        <f>IFERROR(VLOOKUP($A19,Weekly_Agg!$A:$W,3,FALSE),0)</f>
        <v/>
      </c>
      <c r="C19" s="8">
        <f>C18+B19</f>
        <v/>
      </c>
      <c r="D19" s="8">
        <f>Settings!$C$11*($A19-Settings!B4+1)/Settings!B6</f>
        <v/>
      </c>
      <c r="E19" s="8">
        <f>IFERROR(VLOOKUP($A19,Weekly_Agg!$A:$W,17,FALSE),0)</f>
        <v/>
      </c>
      <c r="F19">
        <f>F18+E19</f>
        <v/>
      </c>
      <c r="G19">
        <f>Settings!$C$20*($A19-Settings!B4+1)/Settings!B6</f>
        <v/>
      </c>
      <c r="H19">
        <f>IFERROR(VLOOKUP($A19,Weekly_Agg!$A:$W,16,FALSE),0)</f>
        <v/>
      </c>
      <c r="I19">
        <f>I18+H19</f>
        <v/>
      </c>
      <c r="J19">
        <f>Settings!$C$19*($A19-Settings!B4+1)</f>
        <v/>
      </c>
      <c r="K19">
        <f>IFERROR(VLOOKUP($A19,Weekly_Agg!$A:$W,12,FALSE),0)</f>
        <v/>
      </c>
      <c r="L19">
        <f>L18+K19</f>
        <v/>
      </c>
      <c r="M19">
        <f>Settings!$C$33*($A19-Settings!B4+1)/Settings!B6</f>
        <v/>
      </c>
      <c r="N19">
        <f>Settings!$C$12</f>
        <v/>
      </c>
      <c r="O19">
        <f>Settings!$C$34</f>
        <v/>
      </c>
    </row>
    <row r="20" ht="15" customHeight="1">
      <c r="A20" s="14" t="n">
        <v>46062</v>
      </c>
      <c r="B20" s="8">
        <f>IFERROR(VLOOKUP($A20,Weekly_Agg!$A:$W,3,FALSE),0)</f>
        <v/>
      </c>
      <c r="C20" s="8">
        <f>C19+B20</f>
        <v/>
      </c>
      <c r="D20" s="8">
        <f>Settings!$C$11*($A20-Settings!B4+1)/Settings!B6</f>
        <v/>
      </c>
      <c r="E20" s="8">
        <f>IFERROR(VLOOKUP($A20,Weekly_Agg!$A:$W,17,FALSE),0)</f>
        <v/>
      </c>
      <c r="F20">
        <f>F19+E20</f>
        <v/>
      </c>
      <c r="G20">
        <f>Settings!$C$20*($A20-Settings!B4+1)/Settings!B6</f>
        <v/>
      </c>
      <c r="H20">
        <f>IFERROR(VLOOKUP($A20,Weekly_Agg!$A:$W,16,FALSE),0)</f>
        <v/>
      </c>
      <c r="I20">
        <f>I19+H20</f>
        <v/>
      </c>
      <c r="J20">
        <f>Settings!$C$19*($A20-Settings!B4+1)</f>
        <v/>
      </c>
      <c r="K20">
        <f>IFERROR(VLOOKUP($A20,Weekly_Agg!$A:$W,12,FALSE),0)</f>
        <v/>
      </c>
      <c r="L20">
        <f>L19+K20</f>
        <v/>
      </c>
      <c r="M20">
        <f>Settings!$C$33*($A20-Settings!B4+1)/Settings!B6</f>
        <v/>
      </c>
      <c r="N20">
        <f>Settings!$C$12</f>
        <v/>
      </c>
      <c r="O20">
        <f>Settings!$C$34</f>
        <v/>
      </c>
    </row>
    <row r="21" ht="15" customHeight="1">
      <c r="A21" s="14" t="n">
        <v>46069</v>
      </c>
      <c r="B21" s="8">
        <f>IFERROR(VLOOKUP($A21,Weekly_Agg!$A:$W,3,FALSE),0)</f>
        <v/>
      </c>
      <c r="C21" s="8">
        <f>C20+B21</f>
        <v/>
      </c>
      <c r="D21" s="8">
        <f>Settings!$C$11*($A21-Settings!B4+1)/Settings!B6</f>
        <v/>
      </c>
      <c r="E21" s="8">
        <f>IFERROR(VLOOKUP($A21,Weekly_Agg!$A:$W,17,FALSE),0)</f>
        <v/>
      </c>
      <c r="F21">
        <f>F20+E21</f>
        <v/>
      </c>
      <c r="G21">
        <f>Settings!$C$20*($A21-Settings!B4+1)/Settings!B6</f>
        <v/>
      </c>
      <c r="H21">
        <f>IFERROR(VLOOKUP($A21,Weekly_Agg!$A:$W,16,FALSE),0)</f>
        <v/>
      </c>
      <c r="I21">
        <f>I20+H21</f>
        <v/>
      </c>
      <c r="J21">
        <f>Settings!$C$19*($A21-Settings!B4+1)</f>
        <v/>
      </c>
      <c r="K21">
        <f>IFERROR(VLOOKUP($A21,Weekly_Agg!$A:$W,12,FALSE),0)</f>
        <v/>
      </c>
      <c r="L21">
        <f>L20+K21</f>
        <v/>
      </c>
      <c r="M21">
        <f>Settings!$C$33*($A21-Settings!B4+1)/Settings!B6</f>
        <v/>
      </c>
      <c r="N21">
        <f>Settings!$C$12</f>
        <v/>
      </c>
      <c r="O21">
        <f>Settings!$C$34</f>
        <v/>
      </c>
    </row>
    <row r="22" ht="15" customHeight="1">
      <c r="A22" s="14" t="n">
        <v>46076</v>
      </c>
      <c r="B22" s="8">
        <f>IFERROR(VLOOKUP($A22,Weekly_Agg!$A:$W,3,FALSE),0)</f>
        <v/>
      </c>
      <c r="C22" s="8">
        <f>C21+B22</f>
        <v/>
      </c>
      <c r="D22" s="8">
        <f>Settings!$C$11*($A22-Settings!B4+1)/Settings!B6</f>
        <v/>
      </c>
      <c r="E22" s="8">
        <f>IFERROR(VLOOKUP($A22,Weekly_Agg!$A:$W,17,FALSE),0)</f>
        <v/>
      </c>
      <c r="F22">
        <f>F21+E22</f>
        <v/>
      </c>
      <c r="G22">
        <f>Settings!$C$20*($A22-Settings!B4+1)/Settings!B6</f>
        <v/>
      </c>
      <c r="H22">
        <f>IFERROR(VLOOKUP($A22,Weekly_Agg!$A:$W,16,FALSE),0)</f>
        <v/>
      </c>
      <c r="I22">
        <f>I21+H22</f>
        <v/>
      </c>
      <c r="J22">
        <f>Settings!$C$19*($A22-Settings!B4+1)</f>
        <v/>
      </c>
      <c r="K22">
        <f>IFERROR(VLOOKUP($A22,Weekly_Agg!$A:$W,12,FALSE),0)</f>
        <v/>
      </c>
      <c r="L22">
        <f>L21+K22</f>
        <v/>
      </c>
      <c r="M22">
        <f>Settings!$C$33*($A22-Settings!B4+1)/Settings!B6</f>
        <v/>
      </c>
      <c r="N22">
        <f>Settings!$C$12</f>
        <v/>
      </c>
      <c r="O22">
        <f>Settings!$C$34</f>
        <v/>
      </c>
    </row>
    <row r="23" ht="15" customHeight="1">
      <c r="A23" s="14" t="n">
        <v>46083</v>
      </c>
      <c r="B23" s="8">
        <f>IFERROR(VLOOKUP($A23,Weekly_Agg!$A:$W,3,FALSE),0)</f>
        <v/>
      </c>
      <c r="C23" s="8">
        <f>C22+B23</f>
        <v/>
      </c>
      <c r="D23" s="8">
        <f>Settings!$C$11*($A23-Settings!B4+1)/Settings!B6</f>
        <v/>
      </c>
      <c r="E23" s="8">
        <f>IFERROR(VLOOKUP($A23,Weekly_Agg!$A:$W,17,FALSE),0)</f>
        <v/>
      </c>
      <c r="F23">
        <f>F22+E23</f>
        <v/>
      </c>
      <c r="G23">
        <f>Settings!$C$20*($A23-Settings!B4+1)/Settings!B6</f>
        <v/>
      </c>
      <c r="H23">
        <f>IFERROR(VLOOKUP($A23,Weekly_Agg!$A:$W,16,FALSE),0)</f>
        <v/>
      </c>
      <c r="I23">
        <f>I22+H23</f>
        <v/>
      </c>
      <c r="J23">
        <f>Settings!$C$19*($A23-Settings!B4+1)</f>
        <v/>
      </c>
      <c r="K23">
        <f>IFERROR(VLOOKUP($A23,Weekly_Agg!$A:$W,12,FALSE),0)</f>
        <v/>
      </c>
      <c r="L23">
        <f>L22+K23</f>
        <v/>
      </c>
      <c r="M23">
        <f>Settings!$C$33*($A23-Settings!B4+1)/Settings!B6</f>
        <v/>
      </c>
      <c r="N23">
        <f>Settings!$C$12</f>
        <v/>
      </c>
      <c r="O23">
        <f>Settings!$C$34</f>
        <v/>
      </c>
    </row>
    <row r="24" ht="15" customHeight="1">
      <c r="A24" s="14" t="n">
        <v>46090</v>
      </c>
      <c r="B24" s="8">
        <f>IFERROR(VLOOKUP($A24,Weekly_Agg!$A:$W,3,FALSE),0)</f>
        <v/>
      </c>
      <c r="C24" s="8">
        <f>C23+B24</f>
        <v/>
      </c>
      <c r="D24" s="8">
        <f>Settings!$C$11*($A24-Settings!B4+1)/Settings!B6</f>
        <v/>
      </c>
      <c r="E24" s="8">
        <f>IFERROR(VLOOKUP($A24,Weekly_Agg!$A:$W,17,FALSE),0)</f>
        <v/>
      </c>
      <c r="F24">
        <f>F23+E24</f>
        <v/>
      </c>
      <c r="G24">
        <f>Settings!$C$20*($A24-Settings!B4+1)/Settings!B6</f>
        <v/>
      </c>
      <c r="H24">
        <f>IFERROR(VLOOKUP($A24,Weekly_Agg!$A:$W,16,FALSE),0)</f>
        <v/>
      </c>
      <c r="I24">
        <f>I23+H24</f>
        <v/>
      </c>
      <c r="J24">
        <f>Settings!$C$19*($A24-Settings!B4+1)</f>
        <v/>
      </c>
      <c r="K24">
        <f>IFERROR(VLOOKUP($A24,Weekly_Agg!$A:$W,12,FALSE),0)</f>
        <v/>
      </c>
      <c r="L24">
        <f>L23+K24</f>
        <v/>
      </c>
      <c r="M24">
        <f>Settings!$C$33*($A24-Settings!B4+1)/Settings!B6</f>
        <v/>
      </c>
      <c r="N24">
        <f>Settings!$C$12</f>
        <v/>
      </c>
      <c r="O24">
        <f>Settings!$C$34</f>
        <v/>
      </c>
    </row>
    <row r="25" ht="15" customHeight="1">
      <c r="A25" s="14" t="n">
        <v>46097</v>
      </c>
      <c r="B25" s="8">
        <f>IFERROR(VLOOKUP($A25,Weekly_Agg!$A:$W,3,FALSE),0)</f>
        <v/>
      </c>
      <c r="C25" s="8">
        <f>C24+B25</f>
        <v/>
      </c>
      <c r="D25" s="8">
        <f>Settings!$C$11*($A25-Settings!B4+1)/Settings!B6</f>
        <v/>
      </c>
      <c r="E25" s="8">
        <f>IFERROR(VLOOKUP($A25,Weekly_Agg!$A:$W,17,FALSE),0)</f>
        <v/>
      </c>
      <c r="F25">
        <f>F24+E25</f>
        <v/>
      </c>
      <c r="G25">
        <f>Settings!$C$20*($A25-Settings!B4+1)/Settings!B6</f>
        <v/>
      </c>
      <c r="H25">
        <f>IFERROR(VLOOKUP($A25,Weekly_Agg!$A:$W,16,FALSE),0)</f>
        <v/>
      </c>
      <c r="I25">
        <f>I24+H25</f>
        <v/>
      </c>
      <c r="J25">
        <f>Settings!$C$19*($A25-Settings!B4+1)</f>
        <v/>
      </c>
      <c r="K25">
        <f>IFERROR(VLOOKUP($A25,Weekly_Agg!$A:$W,12,FALSE),0)</f>
        <v/>
      </c>
      <c r="L25">
        <f>L24+K25</f>
        <v/>
      </c>
      <c r="M25">
        <f>Settings!$C$33*($A25-Settings!B4+1)/Settings!B6</f>
        <v/>
      </c>
      <c r="N25">
        <f>Settings!$C$12</f>
        <v/>
      </c>
      <c r="O25">
        <f>Settings!$C$34</f>
        <v/>
      </c>
    </row>
    <row r="26" ht="15" customHeight="1">
      <c r="A26" s="14" t="n">
        <v>46104</v>
      </c>
      <c r="B26" s="8">
        <f>IFERROR(VLOOKUP($A26,Weekly_Agg!$A:$W,3,FALSE),0)</f>
        <v/>
      </c>
      <c r="C26" s="8">
        <f>C25+B26</f>
        <v/>
      </c>
      <c r="D26" s="8">
        <f>Settings!$C$11*($A26-Settings!B4+1)/Settings!B6</f>
        <v/>
      </c>
      <c r="E26" s="8">
        <f>IFERROR(VLOOKUP($A26,Weekly_Agg!$A:$W,17,FALSE),0)</f>
        <v/>
      </c>
      <c r="F26">
        <f>F25+E26</f>
        <v/>
      </c>
      <c r="G26">
        <f>Settings!$C$20*($A26-Settings!B4+1)/Settings!B6</f>
        <v/>
      </c>
      <c r="H26">
        <f>IFERROR(VLOOKUP($A26,Weekly_Agg!$A:$W,16,FALSE),0)</f>
        <v/>
      </c>
      <c r="I26">
        <f>I25+H26</f>
        <v/>
      </c>
      <c r="J26">
        <f>Settings!$C$19*($A26-Settings!B4+1)</f>
        <v/>
      </c>
      <c r="K26">
        <f>IFERROR(VLOOKUP($A26,Weekly_Agg!$A:$W,12,FALSE),0)</f>
        <v/>
      </c>
      <c r="L26">
        <f>L25+K26</f>
        <v/>
      </c>
      <c r="M26">
        <f>Settings!$C$33*($A26-Settings!B4+1)/Settings!B6</f>
        <v/>
      </c>
      <c r="N26">
        <f>Settings!$C$12</f>
        <v/>
      </c>
      <c r="O26">
        <f>Settings!$C$34</f>
        <v/>
      </c>
    </row>
    <row r="27" ht="15" customHeight="1">
      <c r="A27" s="14" t="n">
        <v>46111</v>
      </c>
      <c r="B27" s="8">
        <f>IFERROR(VLOOKUP($A27,Weekly_Agg!$A:$W,3,FALSE),0)</f>
        <v/>
      </c>
      <c r="C27" s="8">
        <f>C26+B27</f>
        <v/>
      </c>
      <c r="D27" s="8">
        <f>Settings!$C$11*($A27-Settings!B4+1)/Settings!B6</f>
        <v/>
      </c>
      <c r="E27" s="8">
        <f>IFERROR(VLOOKUP($A27,Weekly_Agg!$A:$W,17,FALSE),0)</f>
        <v/>
      </c>
      <c r="F27">
        <f>F26+E27</f>
        <v/>
      </c>
      <c r="G27">
        <f>Settings!$C$20*($A27-Settings!B4+1)/Settings!B6</f>
        <v/>
      </c>
      <c r="H27">
        <f>IFERROR(VLOOKUP($A27,Weekly_Agg!$A:$W,16,FALSE),0)</f>
        <v/>
      </c>
      <c r="I27">
        <f>I26+H27</f>
        <v/>
      </c>
      <c r="J27">
        <f>Settings!$C$19*($A27-Settings!B4+1)</f>
        <v/>
      </c>
      <c r="K27">
        <f>IFERROR(VLOOKUP($A27,Weekly_Agg!$A:$W,12,FALSE),0)</f>
        <v/>
      </c>
      <c r="L27">
        <f>L26+K27</f>
        <v/>
      </c>
      <c r="M27">
        <f>Settings!$C$33*($A27-Settings!B4+1)/Settings!B6</f>
        <v/>
      </c>
      <c r="N27">
        <f>Settings!$C$12</f>
        <v/>
      </c>
      <c r="O27">
        <f>Settings!$C$34</f>
        <v/>
      </c>
    </row>
    <row r="28" ht="15" customHeight="1">
      <c r="A28" s="14" t="n">
        <v>46118</v>
      </c>
      <c r="B28" s="8">
        <f>IFERROR(VLOOKUP($A28,Weekly_Agg!$A:$W,3,FALSE),0)</f>
        <v/>
      </c>
      <c r="C28" s="8">
        <f>C27+B28</f>
        <v/>
      </c>
      <c r="D28" s="8">
        <f>Settings!$C$11*($A28-Settings!B4+1)/Settings!B6</f>
        <v/>
      </c>
      <c r="E28" s="8">
        <f>IFERROR(VLOOKUP($A28,Weekly_Agg!$A:$W,17,FALSE),0)</f>
        <v/>
      </c>
      <c r="F28">
        <f>F27+E28</f>
        <v/>
      </c>
      <c r="G28">
        <f>Settings!$C$20*($A28-Settings!B4+1)/Settings!B6</f>
        <v/>
      </c>
      <c r="H28">
        <f>IFERROR(VLOOKUP($A28,Weekly_Agg!$A:$W,16,FALSE),0)</f>
        <v/>
      </c>
      <c r="I28">
        <f>I27+H28</f>
        <v/>
      </c>
      <c r="J28">
        <f>Settings!$C$19*($A28-Settings!B4+1)</f>
        <v/>
      </c>
      <c r="K28">
        <f>IFERROR(VLOOKUP($A28,Weekly_Agg!$A:$W,12,FALSE),0)</f>
        <v/>
      </c>
      <c r="L28">
        <f>L27+K28</f>
        <v/>
      </c>
      <c r="M28">
        <f>Settings!$C$33*($A28-Settings!B4+1)/Settings!B6</f>
        <v/>
      </c>
      <c r="N28">
        <f>Settings!$C$12</f>
        <v/>
      </c>
      <c r="O28">
        <f>Settings!$C$34</f>
        <v/>
      </c>
    </row>
    <row r="29" ht="15" customHeight="1">
      <c r="A29" s="14" t="n">
        <v>46125</v>
      </c>
      <c r="B29" s="8">
        <f>IFERROR(VLOOKUP($A29,Weekly_Agg!$A:$W,3,FALSE),0)</f>
        <v/>
      </c>
      <c r="C29" s="8">
        <f>C28+B29</f>
        <v/>
      </c>
      <c r="D29" s="8">
        <f>Settings!$C$11*($A29-Settings!B4+1)/Settings!B6</f>
        <v/>
      </c>
      <c r="E29" s="8">
        <f>IFERROR(VLOOKUP($A29,Weekly_Agg!$A:$W,17,FALSE),0)</f>
        <v/>
      </c>
      <c r="F29">
        <f>F28+E29</f>
        <v/>
      </c>
      <c r="G29">
        <f>Settings!$C$20*($A29-Settings!B4+1)/Settings!B6</f>
        <v/>
      </c>
      <c r="H29">
        <f>IFERROR(VLOOKUP($A29,Weekly_Agg!$A:$W,16,FALSE),0)</f>
        <v/>
      </c>
      <c r="I29">
        <f>I28+H29</f>
        <v/>
      </c>
      <c r="J29">
        <f>Settings!$C$19*($A29-Settings!B4+1)</f>
        <v/>
      </c>
      <c r="K29">
        <f>IFERROR(VLOOKUP($A29,Weekly_Agg!$A:$W,12,FALSE),0)</f>
        <v/>
      </c>
      <c r="L29">
        <f>L28+K29</f>
        <v/>
      </c>
      <c r="M29">
        <f>Settings!$C$33*($A29-Settings!B4+1)/Settings!B6</f>
        <v/>
      </c>
      <c r="N29">
        <f>Settings!$C$12</f>
        <v/>
      </c>
      <c r="O29">
        <f>Settings!$C$34</f>
        <v/>
      </c>
    </row>
    <row r="30" ht="15" customHeight="1">
      <c r="A30" s="14" t="n">
        <v>46132</v>
      </c>
      <c r="B30" s="8">
        <f>IFERROR(VLOOKUP($A30,Weekly_Agg!$A:$W,3,FALSE),0)</f>
        <v/>
      </c>
      <c r="C30" s="8">
        <f>C29+B30</f>
        <v/>
      </c>
      <c r="D30" s="8">
        <f>Settings!$C$11*($A30-Settings!B4+1)/Settings!B6</f>
        <v/>
      </c>
      <c r="E30" s="8">
        <f>IFERROR(VLOOKUP($A30,Weekly_Agg!$A:$W,17,FALSE),0)</f>
        <v/>
      </c>
      <c r="F30">
        <f>F29+E30</f>
        <v/>
      </c>
      <c r="G30">
        <f>Settings!$C$20*($A30-Settings!B4+1)/Settings!B6</f>
        <v/>
      </c>
      <c r="H30">
        <f>IFERROR(VLOOKUP($A30,Weekly_Agg!$A:$W,16,FALSE),0)</f>
        <v/>
      </c>
      <c r="I30">
        <f>I29+H30</f>
        <v/>
      </c>
      <c r="J30">
        <f>Settings!$C$19*($A30-Settings!B4+1)</f>
        <v/>
      </c>
      <c r="K30">
        <f>IFERROR(VLOOKUP($A30,Weekly_Agg!$A:$W,12,FALSE),0)</f>
        <v/>
      </c>
      <c r="L30">
        <f>L29+K30</f>
        <v/>
      </c>
      <c r="M30">
        <f>Settings!$C$33*($A30-Settings!B4+1)/Settings!B6</f>
        <v/>
      </c>
      <c r="N30">
        <f>Settings!$C$12</f>
        <v/>
      </c>
      <c r="O30">
        <f>Settings!$C$34</f>
        <v/>
      </c>
    </row>
    <row r="31" ht="15" customHeight="1">
      <c r="A31" s="14" t="n">
        <v>46139</v>
      </c>
      <c r="B31" s="8">
        <f>IFERROR(VLOOKUP($A31,Weekly_Agg!$A:$W,3,FALSE),0)</f>
        <v/>
      </c>
      <c r="C31" s="8">
        <f>C30+B31</f>
        <v/>
      </c>
      <c r="D31" s="8">
        <f>Settings!$C$11*($A31-Settings!B4+1)/Settings!B6</f>
        <v/>
      </c>
      <c r="E31" s="8">
        <f>IFERROR(VLOOKUP($A31,Weekly_Agg!$A:$W,17,FALSE),0)</f>
        <v/>
      </c>
      <c r="F31">
        <f>F30+E31</f>
        <v/>
      </c>
      <c r="G31">
        <f>Settings!$C$20*($A31-Settings!B4+1)/Settings!B6</f>
        <v/>
      </c>
      <c r="H31">
        <f>IFERROR(VLOOKUP($A31,Weekly_Agg!$A:$W,16,FALSE),0)</f>
        <v/>
      </c>
      <c r="I31">
        <f>I30+H31</f>
        <v/>
      </c>
      <c r="J31">
        <f>Settings!$C$19*($A31-Settings!B4+1)</f>
        <v/>
      </c>
      <c r="K31">
        <f>IFERROR(VLOOKUP($A31,Weekly_Agg!$A:$W,12,FALSE),0)</f>
        <v/>
      </c>
      <c r="L31">
        <f>L30+K31</f>
        <v/>
      </c>
      <c r="M31">
        <f>Settings!$C$33*($A31-Settings!B4+1)/Settings!B6</f>
        <v/>
      </c>
      <c r="N31">
        <f>Settings!$C$12</f>
        <v/>
      </c>
      <c r="O31">
        <f>Settings!$C$34</f>
        <v/>
      </c>
    </row>
    <row r="32" ht="15" customHeight="1">
      <c r="A32" s="14" t="n">
        <v>46146</v>
      </c>
      <c r="B32" s="8">
        <f>IFERROR(VLOOKUP($A32,Weekly_Agg!$A:$W,3,FALSE),0)</f>
        <v/>
      </c>
      <c r="C32" s="8">
        <f>C31+B32</f>
        <v/>
      </c>
      <c r="D32" s="8">
        <f>Settings!$C$11*($A32-Settings!B4+1)/Settings!B6</f>
        <v/>
      </c>
      <c r="E32" s="8">
        <f>IFERROR(VLOOKUP($A32,Weekly_Agg!$A:$W,17,FALSE),0)</f>
        <v/>
      </c>
      <c r="F32">
        <f>F31+E32</f>
        <v/>
      </c>
      <c r="G32">
        <f>Settings!$C$20*($A32-Settings!B4+1)/Settings!B6</f>
        <v/>
      </c>
      <c r="H32">
        <f>IFERROR(VLOOKUP($A32,Weekly_Agg!$A:$W,16,FALSE),0)</f>
        <v/>
      </c>
      <c r="I32">
        <f>I31+H32</f>
        <v/>
      </c>
      <c r="J32">
        <f>Settings!$C$19*($A32-Settings!B4+1)</f>
        <v/>
      </c>
      <c r="K32">
        <f>IFERROR(VLOOKUP($A32,Weekly_Agg!$A:$W,12,FALSE),0)</f>
        <v/>
      </c>
      <c r="L32">
        <f>L31+K32</f>
        <v/>
      </c>
      <c r="M32">
        <f>Settings!$C$33*($A32-Settings!B4+1)/Settings!B6</f>
        <v/>
      </c>
      <c r="N32">
        <f>Settings!$C$12</f>
        <v/>
      </c>
      <c r="O32">
        <f>Settings!$C$34</f>
        <v/>
      </c>
    </row>
    <row r="33" ht="15" customHeight="1">
      <c r="A33" s="14" t="n">
        <v>46153</v>
      </c>
      <c r="B33" s="8">
        <f>IFERROR(VLOOKUP($A33,Weekly_Agg!$A:$W,3,FALSE),0)</f>
        <v/>
      </c>
      <c r="C33" s="8">
        <f>C32+B33</f>
        <v/>
      </c>
      <c r="D33" s="8">
        <f>Settings!$C$11*($A33-Settings!B4+1)/Settings!B6</f>
        <v/>
      </c>
      <c r="E33" s="8">
        <f>IFERROR(VLOOKUP($A33,Weekly_Agg!$A:$W,17,FALSE),0)</f>
        <v/>
      </c>
      <c r="F33">
        <f>F32+E33</f>
        <v/>
      </c>
      <c r="G33">
        <f>Settings!$C$20*($A33-Settings!B4+1)/Settings!B6</f>
        <v/>
      </c>
      <c r="H33">
        <f>IFERROR(VLOOKUP($A33,Weekly_Agg!$A:$W,16,FALSE),0)</f>
        <v/>
      </c>
      <c r="I33">
        <f>I32+H33</f>
        <v/>
      </c>
      <c r="J33">
        <f>Settings!$C$19*($A33-Settings!B4+1)</f>
        <v/>
      </c>
      <c r="K33">
        <f>IFERROR(VLOOKUP($A33,Weekly_Agg!$A:$W,12,FALSE),0)</f>
        <v/>
      </c>
      <c r="L33">
        <f>L32+K33</f>
        <v/>
      </c>
      <c r="M33">
        <f>Settings!$C$33*($A33-Settings!B4+1)/Settings!B6</f>
        <v/>
      </c>
      <c r="N33">
        <f>Settings!$C$12</f>
        <v/>
      </c>
      <c r="O33">
        <f>Settings!$C$34</f>
        <v/>
      </c>
    </row>
    <row r="34" ht="15" customHeight="1">
      <c r="A34" s="14" t="n">
        <v>46160</v>
      </c>
      <c r="B34" s="8">
        <f>IFERROR(VLOOKUP($A34,Weekly_Agg!$A:$W,3,FALSE),0)</f>
        <v/>
      </c>
      <c r="C34" s="8">
        <f>C33+B34</f>
        <v/>
      </c>
      <c r="D34" s="8">
        <f>Settings!$C$11*($A34-Settings!B4+1)/Settings!B6</f>
        <v/>
      </c>
      <c r="E34" s="8">
        <f>IFERROR(VLOOKUP($A34,Weekly_Agg!$A:$W,17,FALSE),0)</f>
        <v/>
      </c>
      <c r="F34">
        <f>F33+E34</f>
        <v/>
      </c>
      <c r="G34">
        <f>Settings!$C$20*($A34-Settings!B4+1)/Settings!B6</f>
        <v/>
      </c>
      <c r="H34">
        <f>IFERROR(VLOOKUP($A34,Weekly_Agg!$A:$W,16,FALSE),0)</f>
        <v/>
      </c>
      <c r="I34">
        <f>I33+H34</f>
        <v/>
      </c>
      <c r="J34">
        <f>Settings!$C$19*($A34-Settings!B4+1)</f>
        <v/>
      </c>
      <c r="K34">
        <f>IFERROR(VLOOKUP($A34,Weekly_Agg!$A:$W,12,FALSE),0)</f>
        <v/>
      </c>
      <c r="L34">
        <f>L33+K34</f>
        <v/>
      </c>
      <c r="M34">
        <f>Settings!$C$33*($A34-Settings!B4+1)/Settings!B6</f>
        <v/>
      </c>
      <c r="N34">
        <f>Settings!$C$12</f>
        <v/>
      </c>
      <c r="O34">
        <f>Settings!$C$34</f>
        <v/>
      </c>
    </row>
    <row r="35" ht="15" customHeight="1">
      <c r="A35" s="14" t="n">
        <v>46167</v>
      </c>
      <c r="B35" s="8">
        <f>IFERROR(VLOOKUP($A35,Weekly_Agg!$A:$W,3,FALSE),0)</f>
        <v/>
      </c>
      <c r="C35" s="8">
        <f>C34+B35</f>
        <v/>
      </c>
      <c r="D35" s="8">
        <f>Settings!$C$11*($A35-Settings!B4+1)/Settings!B6</f>
        <v/>
      </c>
      <c r="E35" s="8">
        <f>IFERROR(VLOOKUP($A35,Weekly_Agg!$A:$W,17,FALSE),0)</f>
        <v/>
      </c>
      <c r="F35">
        <f>F34+E35</f>
        <v/>
      </c>
      <c r="G35">
        <f>Settings!$C$20*($A35-Settings!B4+1)/Settings!B6</f>
        <v/>
      </c>
      <c r="H35">
        <f>IFERROR(VLOOKUP($A35,Weekly_Agg!$A:$W,16,FALSE),0)</f>
        <v/>
      </c>
      <c r="I35">
        <f>I34+H35</f>
        <v/>
      </c>
      <c r="J35">
        <f>Settings!$C$19*($A35-Settings!B4+1)</f>
        <v/>
      </c>
      <c r="K35">
        <f>IFERROR(VLOOKUP($A35,Weekly_Agg!$A:$W,12,FALSE),0)</f>
        <v/>
      </c>
      <c r="L35">
        <f>L34+K35</f>
        <v/>
      </c>
      <c r="M35">
        <f>Settings!$C$33*($A35-Settings!B4+1)/Settings!B6</f>
        <v/>
      </c>
      <c r="N35">
        <f>Settings!$C$12</f>
        <v/>
      </c>
      <c r="O35">
        <f>Settings!$C$34</f>
        <v/>
      </c>
    </row>
    <row r="36" ht="15" customHeight="1">
      <c r="A36" s="14" t="n">
        <v>46174</v>
      </c>
      <c r="B36" s="8">
        <f>IFERROR(VLOOKUP($A36,Weekly_Agg!$A:$W,3,FALSE),0)</f>
        <v/>
      </c>
      <c r="C36" s="8">
        <f>C35+B36</f>
        <v/>
      </c>
      <c r="D36" s="8">
        <f>Settings!$C$11*($A36-Settings!B4+1)/Settings!B6</f>
        <v/>
      </c>
      <c r="E36" s="8">
        <f>IFERROR(VLOOKUP($A36,Weekly_Agg!$A:$W,17,FALSE),0)</f>
        <v/>
      </c>
      <c r="F36">
        <f>F35+E36</f>
        <v/>
      </c>
      <c r="G36">
        <f>Settings!$C$20*($A36-Settings!B4+1)/Settings!B6</f>
        <v/>
      </c>
      <c r="H36">
        <f>IFERROR(VLOOKUP($A36,Weekly_Agg!$A:$W,16,FALSE),0)</f>
        <v/>
      </c>
      <c r="I36">
        <f>I35+H36</f>
        <v/>
      </c>
      <c r="J36">
        <f>Settings!$C$19*($A36-Settings!B4+1)</f>
        <v/>
      </c>
      <c r="K36">
        <f>IFERROR(VLOOKUP($A36,Weekly_Agg!$A:$W,12,FALSE),0)</f>
        <v/>
      </c>
      <c r="L36">
        <f>L35+K36</f>
        <v/>
      </c>
      <c r="M36">
        <f>Settings!$C$33*($A36-Settings!B4+1)/Settings!B6</f>
        <v/>
      </c>
      <c r="N36">
        <f>Settings!$C$12</f>
        <v/>
      </c>
      <c r="O36">
        <f>Settings!$C$34</f>
        <v/>
      </c>
    </row>
    <row r="37" ht="15" customHeight="1">
      <c r="A37" s="14" t="n">
        <v>46181</v>
      </c>
      <c r="B37" s="8">
        <f>IFERROR(VLOOKUP($A37,Weekly_Agg!$A:$W,3,FALSE),0)</f>
        <v/>
      </c>
      <c r="C37" s="8">
        <f>C36+B37</f>
        <v/>
      </c>
      <c r="D37" s="8">
        <f>Settings!$C$11*($A37-Settings!B4+1)/Settings!B6</f>
        <v/>
      </c>
      <c r="E37" s="8">
        <f>IFERROR(VLOOKUP($A37,Weekly_Agg!$A:$W,17,FALSE),0)</f>
        <v/>
      </c>
      <c r="F37">
        <f>F36+E37</f>
        <v/>
      </c>
      <c r="G37">
        <f>Settings!$C$20*($A37-Settings!B4+1)/Settings!B6</f>
        <v/>
      </c>
      <c r="H37">
        <f>IFERROR(VLOOKUP($A37,Weekly_Agg!$A:$W,16,FALSE),0)</f>
        <v/>
      </c>
      <c r="I37">
        <f>I36+H37</f>
        <v/>
      </c>
      <c r="J37">
        <f>Settings!$C$19*($A37-Settings!B4+1)</f>
        <v/>
      </c>
      <c r="K37">
        <f>IFERROR(VLOOKUP($A37,Weekly_Agg!$A:$W,12,FALSE),0)</f>
        <v/>
      </c>
      <c r="L37">
        <f>L36+K37</f>
        <v/>
      </c>
      <c r="M37">
        <f>Settings!$C$33*($A37-Settings!B4+1)/Settings!B6</f>
        <v/>
      </c>
      <c r="N37">
        <f>Settings!$C$12</f>
        <v/>
      </c>
      <c r="O37">
        <f>Settings!$C$34</f>
        <v/>
      </c>
    </row>
    <row r="38" ht="15" customHeight="1">
      <c r="A38" s="14" t="n">
        <v>46188</v>
      </c>
      <c r="B38" s="8">
        <f>IFERROR(VLOOKUP($A38,Weekly_Agg!$A:$W,3,FALSE),0)</f>
        <v/>
      </c>
      <c r="C38" s="8">
        <f>C37+B38</f>
        <v/>
      </c>
      <c r="D38" s="8">
        <f>Settings!$C$11*($A38-Settings!B4+1)/Settings!B6</f>
        <v/>
      </c>
      <c r="E38" s="8">
        <f>IFERROR(VLOOKUP($A38,Weekly_Agg!$A:$W,17,FALSE),0)</f>
        <v/>
      </c>
      <c r="F38">
        <f>F37+E38</f>
        <v/>
      </c>
      <c r="G38">
        <f>Settings!$C$20*($A38-Settings!B4+1)/Settings!B6</f>
        <v/>
      </c>
      <c r="H38">
        <f>IFERROR(VLOOKUP($A38,Weekly_Agg!$A:$W,16,FALSE),0)</f>
        <v/>
      </c>
      <c r="I38">
        <f>I37+H38</f>
        <v/>
      </c>
      <c r="J38">
        <f>Settings!$C$19*($A38-Settings!B4+1)</f>
        <v/>
      </c>
      <c r="K38">
        <f>IFERROR(VLOOKUP($A38,Weekly_Agg!$A:$W,12,FALSE),0)</f>
        <v/>
      </c>
      <c r="L38">
        <f>L37+K38</f>
        <v/>
      </c>
      <c r="M38">
        <f>Settings!$C$33*($A38-Settings!B4+1)/Settings!B6</f>
        <v/>
      </c>
      <c r="N38">
        <f>Settings!$C$12</f>
        <v/>
      </c>
      <c r="O38">
        <f>Settings!$C$34</f>
        <v/>
      </c>
    </row>
    <row r="39" ht="15" customHeight="1">
      <c r="A39" s="14" t="n">
        <v>46195</v>
      </c>
      <c r="B39" s="8">
        <f>IFERROR(VLOOKUP($A39,Weekly_Agg!$A:$W,3,FALSE),0)</f>
        <v/>
      </c>
      <c r="C39" s="8">
        <f>C38+B39</f>
        <v/>
      </c>
      <c r="D39" s="8">
        <f>Settings!$C$11*($A39-Settings!B4+1)/Settings!B6</f>
        <v/>
      </c>
      <c r="E39" s="8">
        <f>IFERROR(VLOOKUP($A39,Weekly_Agg!$A:$W,17,FALSE),0)</f>
        <v/>
      </c>
      <c r="F39">
        <f>F38+E39</f>
        <v/>
      </c>
      <c r="G39">
        <f>Settings!$C$20*($A39-Settings!B4+1)/Settings!B6</f>
        <v/>
      </c>
      <c r="H39">
        <f>IFERROR(VLOOKUP($A39,Weekly_Agg!$A:$W,16,FALSE),0)</f>
        <v/>
      </c>
      <c r="I39">
        <f>I38+H39</f>
        <v/>
      </c>
      <c r="J39">
        <f>Settings!$C$19*($A39-Settings!B4+1)</f>
        <v/>
      </c>
      <c r="K39">
        <f>IFERROR(VLOOKUP($A39,Weekly_Agg!$A:$W,12,FALSE),0)</f>
        <v/>
      </c>
      <c r="L39">
        <f>L38+K39</f>
        <v/>
      </c>
      <c r="M39">
        <f>Settings!$C$33*($A39-Settings!B4+1)/Settings!B6</f>
        <v/>
      </c>
      <c r="N39">
        <f>Settings!$C$12</f>
        <v/>
      </c>
      <c r="O39">
        <f>Settings!$C$34</f>
        <v/>
      </c>
    </row>
    <row r="40" ht="15" customHeight="1">
      <c r="A40" s="14" t="n">
        <v>46202</v>
      </c>
      <c r="B40" s="8">
        <f>IFERROR(VLOOKUP($A40,Weekly_Agg!$A:$W,3,FALSE),0)</f>
        <v/>
      </c>
      <c r="C40" s="8">
        <f>C39+B40</f>
        <v/>
      </c>
      <c r="D40" s="8">
        <f>Settings!$C$11*($A40-Settings!B4+1)/Settings!B6</f>
        <v/>
      </c>
      <c r="E40" s="8">
        <f>IFERROR(VLOOKUP($A40,Weekly_Agg!$A:$W,17,FALSE),0)</f>
        <v/>
      </c>
      <c r="F40">
        <f>F39+E40</f>
        <v/>
      </c>
      <c r="G40">
        <f>Settings!$C$20*($A40-Settings!B4+1)/Settings!B6</f>
        <v/>
      </c>
      <c r="H40">
        <f>IFERROR(VLOOKUP($A40,Weekly_Agg!$A:$W,16,FALSE),0)</f>
        <v/>
      </c>
      <c r="I40">
        <f>I39+H40</f>
        <v/>
      </c>
      <c r="J40">
        <f>Settings!$C$19*($A40-Settings!B4+1)</f>
        <v/>
      </c>
      <c r="K40">
        <f>IFERROR(VLOOKUP($A40,Weekly_Agg!$A:$W,12,FALSE),0)</f>
        <v/>
      </c>
      <c r="L40">
        <f>L39+K40</f>
        <v/>
      </c>
      <c r="M40">
        <f>Settings!$C$33*($A40-Settings!B4+1)/Settings!B6</f>
        <v/>
      </c>
      <c r="N40">
        <f>Settings!$C$12</f>
        <v/>
      </c>
      <c r="O40">
        <f>Settings!$C$34</f>
        <v/>
      </c>
    </row>
    <row r="41" ht="15" customHeight="1">
      <c r="A41" s="14" t="n">
        <v>46209</v>
      </c>
      <c r="B41" s="8">
        <f>IFERROR(VLOOKUP($A41,Weekly_Agg!$A:$W,3,FALSE),0)</f>
        <v/>
      </c>
      <c r="C41" s="8">
        <f>C40+B41</f>
        <v/>
      </c>
      <c r="D41" s="8">
        <f>Settings!$C$11*($A41-Settings!B4+1)/Settings!B6</f>
        <v/>
      </c>
      <c r="E41" s="8">
        <f>IFERROR(VLOOKUP($A41,Weekly_Agg!$A:$W,17,FALSE),0)</f>
        <v/>
      </c>
      <c r="F41">
        <f>F40+E41</f>
        <v/>
      </c>
      <c r="G41">
        <f>Settings!$C$20*($A41-Settings!B4+1)/Settings!B6</f>
        <v/>
      </c>
      <c r="H41">
        <f>IFERROR(VLOOKUP($A41,Weekly_Agg!$A:$W,16,FALSE),0)</f>
        <v/>
      </c>
      <c r="I41">
        <f>I40+H41</f>
        <v/>
      </c>
      <c r="J41">
        <f>Settings!$C$19*($A41-Settings!B4+1)</f>
        <v/>
      </c>
      <c r="K41">
        <f>IFERROR(VLOOKUP($A41,Weekly_Agg!$A:$W,12,FALSE),0)</f>
        <v/>
      </c>
      <c r="L41">
        <f>L40+K41</f>
        <v/>
      </c>
      <c r="M41">
        <f>Settings!$C$33*($A41-Settings!B4+1)/Settings!B6</f>
        <v/>
      </c>
      <c r="N41">
        <f>Settings!$C$12</f>
        <v/>
      </c>
      <c r="O41">
        <f>Settings!$C$34</f>
        <v/>
      </c>
    </row>
    <row r="42" ht="15" customHeight="1">
      <c r="A42" s="14" t="n">
        <v>46216</v>
      </c>
      <c r="B42" s="8">
        <f>IFERROR(VLOOKUP($A42,Weekly_Agg!$A:$W,3,FALSE),0)</f>
        <v/>
      </c>
      <c r="C42" s="8">
        <f>C41+B42</f>
        <v/>
      </c>
      <c r="D42" s="8">
        <f>Settings!$C$11*($A42-Settings!B4+1)/Settings!B6</f>
        <v/>
      </c>
      <c r="E42" s="8">
        <f>IFERROR(VLOOKUP($A42,Weekly_Agg!$A:$W,17,FALSE),0)</f>
        <v/>
      </c>
      <c r="F42">
        <f>F41+E42</f>
        <v/>
      </c>
      <c r="G42">
        <f>Settings!$C$20*($A42-Settings!B4+1)/Settings!B6</f>
        <v/>
      </c>
      <c r="H42">
        <f>IFERROR(VLOOKUP($A42,Weekly_Agg!$A:$W,16,FALSE),0)</f>
        <v/>
      </c>
      <c r="I42">
        <f>I41+H42</f>
        <v/>
      </c>
      <c r="J42">
        <f>Settings!$C$19*($A42-Settings!B4+1)</f>
        <v/>
      </c>
      <c r="K42">
        <f>IFERROR(VLOOKUP($A42,Weekly_Agg!$A:$W,12,FALSE),0)</f>
        <v/>
      </c>
      <c r="L42">
        <f>L41+K42</f>
        <v/>
      </c>
      <c r="M42">
        <f>Settings!$C$33*($A42-Settings!B4+1)/Settings!B6</f>
        <v/>
      </c>
      <c r="N42">
        <f>Settings!$C$12</f>
        <v/>
      </c>
      <c r="O42">
        <f>Settings!$C$34</f>
        <v/>
      </c>
    </row>
    <row r="43" ht="15" customHeight="1">
      <c r="A43" s="14" t="n">
        <v>46223</v>
      </c>
      <c r="B43" s="8">
        <f>IFERROR(VLOOKUP($A43,Weekly_Agg!$A:$W,3,FALSE),0)</f>
        <v/>
      </c>
      <c r="C43" s="8">
        <f>C42+B43</f>
        <v/>
      </c>
      <c r="D43" s="8">
        <f>Settings!$C$11*($A43-Settings!B4+1)/Settings!B6</f>
        <v/>
      </c>
      <c r="E43" s="8">
        <f>IFERROR(VLOOKUP($A43,Weekly_Agg!$A:$W,17,FALSE),0)</f>
        <v/>
      </c>
      <c r="F43">
        <f>F42+E43</f>
        <v/>
      </c>
      <c r="G43">
        <f>Settings!$C$20*($A43-Settings!B4+1)/Settings!B6</f>
        <v/>
      </c>
      <c r="H43">
        <f>IFERROR(VLOOKUP($A43,Weekly_Agg!$A:$W,16,FALSE),0)</f>
        <v/>
      </c>
      <c r="I43">
        <f>I42+H43</f>
        <v/>
      </c>
      <c r="J43">
        <f>Settings!$C$19*($A43-Settings!B4+1)</f>
        <v/>
      </c>
      <c r="K43">
        <f>IFERROR(VLOOKUP($A43,Weekly_Agg!$A:$W,12,FALSE),0)</f>
        <v/>
      </c>
      <c r="L43">
        <f>L42+K43</f>
        <v/>
      </c>
      <c r="M43">
        <f>Settings!$C$33*($A43-Settings!B4+1)/Settings!B6</f>
        <v/>
      </c>
      <c r="N43">
        <f>Settings!$C$12</f>
        <v/>
      </c>
      <c r="O43">
        <f>Settings!$C$34</f>
        <v/>
      </c>
    </row>
    <row r="44" ht="15" customHeight="1">
      <c r="A44" s="14" t="n">
        <v>46230</v>
      </c>
      <c r="B44" s="8">
        <f>IFERROR(VLOOKUP($A44,Weekly_Agg!$A:$W,3,FALSE),0)</f>
        <v/>
      </c>
      <c r="C44" s="8">
        <f>C43+B44</f>
        <v/>
      </c>
      <c r="D44" s="8">
        <f>Settings!$C$11*($A44-Settings!B4+1)/Settings!B6</f>
        <v/>
      </c>
      <c r="E44" s="8">
        <f>IFERROR(VLOOKUP($A44,Weekly_Agg!$A:$W,17,FALSE),0)</f>
        <v/>
      </c>
      <c r="F44">
        <f>F43+E44</f>
        <v/>
      </c>
      <c r="G44">
        <f>Settings!$C$20*($A44-Settings!B4+1)/Settings!B6</f>
        <v/>
      </c>
      <c r="H44">
        <f>IFERROR(VLOOKUP($A44,Weekly_Agg!$A:$W,16,FALSE),0)</f>
        <v/>
      </c>
      <c r="I44">
        <f>I43+H44</f>
        <v/>
      </c>
      <c r="J44">
        <f>Settings!$C$19*($A44-Settings!B4+1)</f>
        <v/>
      </c>
      <c r="K44">
        <f>IFERROR(VLOOKUP($A44,Weekly_Agg!$A:$W,12,FALSE),0)</f>
        <v/>
      </c>
      <c r="L44">
        <f>L43+K44</f>
        <v/>
      </c>
      <c r="M44">
        <f>Settings!$C$33*($A44-Settings!B4+1)/Settings!B6</f>
        <v/>
      </c>
      <c r="N44">
        <f>Settings!$C$12</f>
        <v/>
      </c>
      <c r="O44">
        <f>Settings!$C$34</f>
        <v/>
      </c>
    </row>
    <row r="45" ht="15" customHeight="1">
      <c r="A45" s="14" t="n">
        <v>46237</v>
      </c>
      <c r="B45" s="8">
        <f>IFERROR(VLOOKUP($A45,Weekly_Agg!$A:$W,3,FALSE),0)</f>
        <v/>
      </c>
      <c r="C45" s="8">
        <f>C44+B45</f>
        <v/>
      </c>
      <c r="D45" s="8">
        <f>Settings!$C$11*($A45-Settings!B4+1)/Settings!B6</f>
        <v/>
      </c>
      <c r="E45" s="8">
        <f>IFERROR(VLOOKUP($A45,Weekly_Agg!$A:$W,17,FALSE),0)</f>
        <v/>
      </c>
      <c r="F45">
        <f>F44+E45</f>
        <v/>
      </c>
      <c r="G45">
        <f>Settings!$C$20*($A45-Settings!B4+1)/Settings!B6</f>
        <v/>
      </c>
      <c r="H45">
        <f>IFERROR(VLOOKUP($A45,Weekly_Agg!$A:$W,16,FALSE),0)</f>
        <v/>
      </c>
      <c r="I45">
        <f>I44+H45</f>
        <v/>
      </c>
      <c r="J45">
        <f>Settings!$C$19*($A45-Settings!B4+1)</f>
        <v/>
      </c>
      <c r="K45">
        <f>IFERROR(VLOOKUP($A45,Weekly_Agg!$A:$W,12,FALSE),0)</f>
        <v/>
      </c>
      <c r="L45">
        <f>L44+K45</f>
        <v/>
      </c>
      <c r="M45">
        <f>Settings!$C$33*($A45-Settings!B4+1)/Settings!B6</f>
        <v/>
      </c>
      <c r="N45">
        <f>Settings!$C$12</f>
        <v/>
      </c>
      <c r="O45">
        <f>Settings!$C$34</f>
        <v/>
      </c>
    </row>
    <row r="46" ht="15" customHeight="1">
      <c r="A46" s="14" t="n">
        <v>46244</v>
      </c>
      <c r="B46" s="8">
        <f>IFERROR(VLOOKUP($A46,Weekly_Agg!$A:$W,3,FALSE),0)</f>
        <v/>
      </c>
      <c r="C46" s="8">
        <f>C45+B46</f>
        <v/>
      </c>
      <c r="D46" s="8">
        <f>Settings!$C$11*($A46-Settings!B4+1)/Settings!B6</f>
        <v/>
      </c>
      <c r="E46" s="8">
        <f>IFERROR(VLOOKUP($A46,Weekly_Agg!$A:$W,17,FALSE),0)</f>
        <v/>
      </c>
      <c r="F46">
        <f>F45+E46</f>
        <v/>
      </c>
      <c r="G46">
        <f>Settings!$C$20*($A46-Settings!B4+1)/Settings!B6</f>
        <v/>
      </c>
      <c r="H46">
        <f>IFERROR(VLOOKUP($A46,Weekly_Agg!$A:$W,16,FALSE),0)</f>
        <v/>
      </c>
      <c r="I46">
        <f>I45+H46</f>
        <v/>
      </c>
      <c r="J46">
        <f>Settings!$C$19*($A46-Settings!B4+1)</f>
        <v/>
      </c>
      <c r="K46">
        <f>IFERROR(VLOOKUP($A46,Weekly_Agg!$A:$W,12,FALSE),0)</f>
        <v/>
      </c>
      <c r="L46">
        <f>L45+K46</f>
        <v/>
      </c>
      <c r="M46">
        <f>Settings!$C$33*($A46-Settings!B4+1)/Settings!B6</f>
        <v/>
      </c>
      <c r="N46">
        <f>Settings!$C$12</f>
        <v/>
      </c>
      <c r="O46">
        <f>Settings!$C$34</f>
        <v/>
      </c>
    </row>
    <row r="47" ht="15" customHeight="1">
      <c r="A47" s="14" t="n">
        <v>46251</v>
      </c>
      <c r="B47" s="8">
        <f>IFERROR(VLOOKUP($A47,Weekly_Agg!$A:$W,3,FALSE),0)</f>
        <v/>
      </c>
      <c r="C47" s="8">
        <f>C46+B47</f>
        <v/>
      </c>
      <c r="D47" s="8">
        <f>Settings!$C$11*($A47-Settings!B4+1)/Settings!B6</f>
        <v/>
      </c>
      <c r="E47" s="8">
        <f>IFERROR(VLOOKUP($A47,Weekly_Agg!$A:$W,17,FALSE),0)</f>
        <v/>
      </c>
      <c r="F47">
        <f>F46+E47</f>
        <v/>
      </c>
      <c r="G47">
        <f>Settings!$C$20*($A47-Settings!B4+1)/Settings!B6</f>
        <v/>
      </c>
      <c r="H47">
        <f>IFERROR(VLOOKUP($A47,Weekly_Agg!$A:$W,16,FALSE),0)</f>
        <v/>
      </c>
      <c r="I47">
        <f>I46+H47</f>
        <v/>
      </c>
      <c r="J47">
        <f>Settings!$C$19*($A47-Settings!B4+1)</f>
        <v/>
      </c>
      <c r="K47">
        <f>IFERROR(VLOOKUP($A47,Weekly_Agg!$A:$W,12,FALSE),0)</f>
        <v/>
      </c>
      <c r="L47">
        <f>L46+K47</f>
        <v/>
      </c>
      <c r="M47">
        <f>Settings!$C$33*($A47-Settings!B4+1)/Settings!B6</f>
        <v/>
      </c>
      <c r="N47">
        <f>Settings!$C$12</f>
        <v/>
      </c>
      <c r="O47">
        <f>Settings!$C$34</f>
        <v/>
      </c>
    </row>
    <row r="48" ht="15" customHeight="1">
      <c r="A48" s="14" t="n">
        <v>46258</v>
      </c>
      <c r="B48" s="8">
        <f>IFERROR(VLOOKUP($A48,Weekly_Agg!$A:$W,3,FALSE),0)</f>
        <v/>
      </c>
      <c r="C48" s="8">
        <f>C47+B48</f>
        <v/>
      </c>
      <c r="D48" s="8">
        <f>Settings!$C$11*($A48-Settings!B4+1)/Settings!B6</f>
        <v/>
      </c>
      <c r="E48" s="8">
        <f>IFERROR(VLOOKUP($A48,Weekly_Agg!$A:$W,17,FALSE),0)</f>
        <v/>
      </c>
      <c r="F48">
        <f>F47+E48</f>
        <v/>
      </c>
      <c r="G48">
        <f>Settings!$C$20*($A48-Settings!B4+1)/Settings!B6</f>
        <v/>
      </c>
      <c r="H48">
        <f>IFERROR(VLOOKUP($A48,Weekly_Agg!$A:$W,16,FALSE),0)</f>
        <v/>
      </c>
      <c r="I48">
        <f>I47+H48</f>
        <v/>
      </c>
      <c r="J48">
        <f>Settings!$C$19*($A48-Settings!B4+1)</f>
        <v/>
      </c>
      <c r="K48">
        <f>IFERROR(VLOOKUP($A48,Weekly_Agg!$A:$W,12,FALSE),0)</f>
        <v/>
      </c>
      <c r="L48">
        <f>L47+K48</f>
        <v/>
      </c>
      <c r="M48">
        <f>Settings!$C$33*($A48-Settings!B4+1)/Settings!B6</f>
        <v/>
      </c>
      <c r="N48">
        <f>Settings!$C$12</f>
        <v/>
      </c>
      <c r="O48">
        <f>Settings!$C$34</f>
        <v/>
      </c>
    </row>
    <row r="49" ht="15" customHeight="1">
      <c r="A49" s="14" t="n">
        <v>46265</v>
      </c>
      <c r="B49" s="8">
        <f>IFERROR(VLOOKUP($A49,Weekly_Agg!$A:$W,3,FALSE),0)</f>
        <v/>
      </c>
      <c r="C49" s="8">
        <f>C48+B49</f>
        <v/>
      </c>
      <c r="D49" s="8">
        <f>Settings!$C$11*($A49-Settings!B4+1)/Settings!B6</f>
        <v/>
      </c>
      <c r="E49" s="8">
        <f>IFERROR(VLOOKUP($A49,Weekly_Agg!$A:$W,17,FALSE),0)</f>
        <v/>
      </c>
      <c r="F49">
        <f>F48+E49</f>
        <v/>
      </c>
      <c r="G49">
        <f>Settings!$C$20*($A49-Settings!B4+1)/Settings!B6</f>
        <v/>
      </c>
      <c r="H49">
        <f>IFERROR(VLOOKUP($A49,Weekly_Agg!$A:$W,16,FALSE),0)</f>
        <v/>
      </c>
      <c r="I49">
        <f>I48+H49</f>
        <v/>
      </c>
      <c r="J49">
        <f>Settings!$C$19*($A49-Settings!B4+1)</f>
        <v/>
      </c>
      <c r="K49">
        <f>IFERROR(VLOOKUP($A49,Weekly_Agg!$A:$W,12,FALSE),0)</f>
        <v/>
      </c>
      <c r="L49">
        <f>L48+K49</f>
        <v/>
      </c>
      <c r="M49">
        <f>Settings!$C$33*($A49-Settings!B4+1)/Settings!B6</f>
        <v/>
      </c>
      <c r="N49">
        <f>Settings!$C$12</f>
        <v/>
      </c>
      <c r="O49">
        <f>Settings!$C$34</f>
        <v/>
      </c>
    </row>
    <row r="50" ht="15" customHeight="1">
      <c r="A50" s="14" t="n">
        <v>46272</v>
      </c>
      <c r="B50" s="8">
        <f>IFERROR(VLOOKUP($A50,Weekly_Agg!$A:$W,3,FALSE),0)</f>
        <v/>
      </c>
      <c r="C50" s="8">
        <f>C49+B50</f>
        <v/>
      </c>
      <c r="D50" s="8">
        <f>Settings!$C$11*($A50-Settings!B4+1)/Settings!B6</f>
        <v/>
      </c>
      <c r="E50" s="8">
        <f>IFERROR(VLOOKUP($A50,Weekly_Agg!$A:$W,17,FALSE),0)</f>
        <v/>
      </c>
      <c r="F50">
        <f>F49+E50</f>
        <v/>
      </c>
      <c r="G50">
        <f>Settings!$C$20*($A50-Settings!B4+1)/Settings!B6</f>
        <v/>
      </c>
      <c r="H50">
        <f>IFERROR(VLOOKUP($A50,Weekly_Agg!$A:$W,16,FALSE),0)</f>
        <v/>
      </c>
      <c r="I50">
        <f>I49+H50</f>
        <v/>
      </c>
      <c r="J50">
        <f>Settings!$C$19*($A50-Settings!B4+1)</f>
        <v/>
      </c>
      <c r="K50">
        <f>IFERROR(VLOOKUP($A50,Weekly_Agg!$A:$W,12,FALSE),0)</f>
        <v/>
      </c>
      <c r="L50">
        <f>L49+K50</f>
        <v/>
      </c>
      <c r="M50">
        <f>Settings!$C$33*($A50-Settings!B4+1)/Settings!B6</f>
        <v/>
      </c>
      <c r="N50">
        <f>Settings!$C$12</f>
        <v/>
      </c>
      <c r="O50">
        <f>Settings!$C$34</f>
        <v/>
      </c>
    </row>
    <row r="51" ht="15" customHeight="1">
      <c r="A51" s="14" t="n">
        <v>46279</v>
      </c>
      <c r="B51" s="8">
        <f>IFERROR(VLOOKUP($A51,Weekly_Agg!$A:$W,3,FALSE),0)</f>
        <v/>
      </c>
      <c r="C51" s="8">
        <f>C50+B51</f>
        <v/>
      </c>
      <c r="D51" s="8">
        <f>Settings!$C$11*($A51-Settings!B4+1)/Settings!B6</f>
        <v/>
      </c>
      <c r="E51" s="8">
        <f>IFERROR(VLOOKUP($A51,Weekly_Agg!$A:$W,17,FALSE),0)</f>
        <v/>
      </c>
      <c r="F51">
        <f>F50+E51</f>
        <v/>
      </c>
      <c r="G51">
        <f>Settings!$C$20*($A51-Settings!B4+1)/Settings!B6</f>
        <v/>
      </c>
      <c r="H51">
        <f>IFERROR(VLOOKUP($A51,Weekly_Agg!$A:$W,16,FALSE),0)</f>
        <v/>
      </c>
      <c r="I51">
        <f>I50+H51</f>
        <v/>
      </c>
      <c r="J51">
        <f>Settings!$C$19*($A51-Settings!B4+1)</f>
        <v/>
      </c>
      <c r="K51">
        <f>IFERROR(VLOOKUP($A51,Weekly_Agg!$A:$W,12,FALSE),0)</f>
        <v/>
      </c>
      <c r="L51">
        <f>L50+K51</f>
        <v/>
      </c>
      <c r="M51">
        <f>Settings!$C$33*($A51-Settings!B4+1)/Settings!B6</f>
        <v/>
      </c>
      <c r="N51">
        <f>Settings!$C$12</f>
        <v/>
      </c>
      <c r="O51">
        <f>Settings!$C$34</f>
        <v/>
      </c>
    </row>
    <row r="52" ht="15" customHeight="1">
      <c r="A52" s="14" t="n">
        <v>46286</v>
      </c>
      <c r="B52" s="8">
        <f>IFERROR(VLOOKUP($A52,Weekly_Agg!$A:$W,3,FALSE),0)</f>
        <v/>
      </c>
      <c r="C52" s="8">
        <f>C51+B52</f>
        <v/>
      </c>
      <c r="D52" s="8">
        <f>Settings!$C$11*($A52-Settings!B4+1)/Settings!B6</f>
        <v/>
      </c>
      <c r="E52" s="8">
        <f>IFERROR(VLOOKUP($A52,Weekly_Agg!$A:$W,17,FALSE),0)</f>
        <v/>
      </c>
      <c r="F52">
        <f>F51+E52</f>
        <v/>
      </c>
      <c r="G52">
        <f>Settings!$C$20*($A52-Settings!B4+1)/Settings!B6</f>
        <v/>
      </c>
      <c r="H52">
        <f>IFERROR(VLOOKUP($A52,Weekly_Agg!$A:$W,16,FALSE),0)</f>
        <v/>
      </c>
      <c r="I52">
        <f>I51+H52</f>
        <v/>
      </c>
      <c r="J52">
        <f>Settings!$C$19*($A52-Settings!B4+1)</f>
        <v/>
      </c>
      <c r="K52">
        <f>IFERROR(VLOOKUP($A52,Weekly_Agg!$A:$W,12,FALSE),0)</f>
        <v/>
      </c>
      <c r="L52">
        <f>L51+K52</f>
        <v/>
      </c>
      <c r="M52">
        <f>Settings!$C$33*($A52-Settings!B4+1)/Settings!B6</f>
        <v/>
      </c>
      <c r="N52">
        <f>Settings!$C$12</f>
        <v/>
      </c>
      <c r="O52">
        <f>Settings!$C$34</f>
        <v/>
      </c>
    </row>
    <row r="53" ht="15" customHeight="1">
      <c r="A53" s="14" t="n">
        <v>46293</v>
      </c>
      <c r="B53" s="8">
        <f>IFERROR(VLOOKUP($A53,Weekly_Agg!$A:$W,3,FALSE),0)</f>
        <v/>
      </c>
      <c r="C53" s="8">
        <f>C52+B53</f>
        <v/>
      </c>
      <c r="D53" s="8">
        <f>Settings!$C$11*($A53-Settings!B4+1)/Settings!B6</f>
        <v/>
      </c>
      <c r="E53" s="8">
        <f>IFERROR(VLOOKUP($A53,Weekly_Agg!$A:$W,17,FALSE),0)</f>
        <v/>
      </c>
      <c r="F53">
        <f>F52+E53</f>
        <v/>
      </c>
      <c r="G53">
        <f>Settings!$C$20*($A53-Settings!B4+1)/Settings!B6</f>
        <v/>
      </c>
      <c r="H53">
        <f>IFERROR(VLOOKUP($A53,Weekly_Agg!$A:$W,16,FALSE),0)</f>
        <v/>
      </c>
      <c r="I53">
        <f>I52+H53</f>
        <v/>
      </c>
      <c r="J53">
        <f>Settings!$C$19*($A53-Settings!B4+1)</f>
        <v/>
      </c>
      <c r="K53">
        <f>IFERROR(VLOOKUP($A53,Weekly_Agg!$A:$W,12,FALSE),0)</f>
        <v/>
      </c>
      <c r="L53">
        <f>L52+K53</f>
        <v/>
      </c>
      <c r="M53">
        <f>Settings!$C$33*($A53-Settings!B4+1)/Settings!B6</f>
        <v/>
      </c>
      <c r="N53">
        <f>Settings!$C$12</f>
        <v/>
      </c>
      <c r="O53">
        <f>Settings!$C$34</f>
        <v/>
      </c>
    </row>
    <row r="54" ht="15" customHeight="1">
      <c r="A54" s="14" t="n">
        <v>46300</v>
      </c>
      <c r="B54" s="8">
        <f>IFERROR(VLOOKUP($A54,Weekly_Agg!$A:$W,3,FALSE),0)</f>
        <v/>
      </c>
      <c r="C54" s="8">
        <f>C53+B54</f>
        <v/>
      </c>
      <c r="D54" s="8">
        <f>Settings!$C$11*($A54-Settings!B4+1)/Settings!B6</f>
        <v/>
      </c>
      <c r="E54" s="8">
        <f>IFERROR(VLOOKUP($A54,Weekly_Agg!$A:$W,17,FALSE),0)</f>
        <v/>
      </c>
      <c r="F54">
        <f>F53+E54</f>
        <v/>
      </c>
      <c r="G54">
        <f>Settings!$C$20*($A54-Settings!B4+1)/Settings!B6</f>
        <v/>
      </c>
      <c r="H54">
        <f>IFERROR(VLOOKUP($A54,Weekly_Agg!$A:$W,16,FALSE),0)</f>
        <v/>
      </c>
      <c r="I54">
        <f>I53+H54</f>
        <v/>
      </c>
      <c r="J54">
        <f>Settings!$C$19*($A54-Settings!B4+1)</f>
        <v/>
      </c>
      <c r="K54">
        <f>IFERROR(VLOOKUP($A54,Weekly_Agg!$A:$W,12,FALSE),0)</f>
        <v/>
      </c>
      <c r="L54">
        <f>L53+K54</f>
        <v/>
      </c>
      <c r="M54">
        <f>Settings!$C$33*($A54-Settings!B4+1)/Settings!B6</f>
        <v/>
      </c>
      <c r="N54">
        <f>Settings!$C$12</f>
        <v/>
      </c>
      <c r="O54">
        <f>Settings!$C$34</f>
        <v/>
      </c>
    </row>
    <row r="55" ht="15" customHeight="1">
      <c r="A55" s="14" t="n">
        <v>46307</v>
      </c>
      <c r="B55" s="8">
        <f>IFERROR(VLOOKUP($A55,Weekly_Agg!$A:$W,3,FALSE),0)</f>
        <v/>
      </c>
      <c r="C55" s="8">
        <f>C54+B55</f>
        <v/>
      </c>
      <c r="D55" s="8">
        <f>Settings!$C$11*($A55-Settings!B4+1)/Settings!B6</f>
        <v/>
      </c>
      <c r="E55" s="8">
        <f>IFERROR(VLOOKUP($A55,Weekly_Agg!$A:$W,17,FALSE),0)</f>
        <v/>
      </c>
      <c r="F55">
        <f>F54+E55</f>
        <v/>
      </c>
      <c r="G55">
        <f>Settings!$C$20*($A55-Settings!B4+1)/Settings!B6</f>
        <v/>
      </c>
      <c r="H55">
        <f>IFERROR(VLOOKUP($A55,Weekly_Agg!$A:$W,16,FALSE),0)</f>
        <v/>
      </c>
      <c r="I55">
        <f>I54+H55</f>
        <v/>
      </c>
      <c r="J55">
        <f>Settings!$C$19*($A55-Settings!B4+1)</f>
        <v/>
      </c>
      <c r="K55">
        <f>IFERROR(VLOOKUP($A55,Weekly_Agg!$A:$W,12,FALSE),0)</f>
        <v/>
      </c>
      <c r="L55">
        <f>L54+K55</f>
        <v/>
      </c>
      <c r="M55">
        <f>Settings!$C$33*($A55-Settings!B4+1)/Settings!B6</f>
        <v/>
      </c>
      <c r="N55">
        <f>Settings!$C$12</f>
        <v/>
      </c>
      <c r="O55">
        <f>Settings!$C$34</f>
        <v/>
      </c>
    </row>
    <row r="56" ht="15" customHeight="1">
      <c r="A56" s="14" t="n">
        <v>46314</v>
      </c>
      <c r="B56" s="8">
        <f>IFERROR(VLOOKUP($A56,Weekly_Agg!$A:$W,3,FALSE),0)</f>
        <v/>
      </c>
      <c r="C56" s="8">
        <f>C55+B56</f>
        <v/>
      </c>
      <c r="D56" s="8">
        <f>Settings!$C$11*($A56-Settings!B4+1)/Settings!B6</f>
        <v/>
      </c>
      <c r="E56" s="8">
        <f>IFERROR(VLOOKUP($A56,Weekly_Agg!$A:$W,17,FALSE),0)</f>
        <v/>
      </c>
      <c r="F56">
        <f>F55+E56</f>
        <v/>
      </c>
      <c r="G56">
        <f>Settings!$C$20*($A56-Settings!B4+1)/Settings!B6</f>
        <v/>
      </c>
      <c r="H56">
        <f>IFERROR(VLOOKUP($A56,Weekly_Agg!$A:$W,16,FALSE),0)</f>
        <v/>
      </c>
      <c r="I56">
        <f>I55+H56</f>
        <v/>
      </c>
      <c r="J56">
        <f>Settings!$C$19*($A56-Settings!B4+1)</f>
        <v/>
      </c>
      <c r="K56">
        <f>IFERROR(VLOOKUP($A56,Weekly_Agg!$A:$W,12,FALSE),0)</f>
        <v/>
      </c>
      <c r="L56">
        <f>L55+K56</f>
        <v/>
      </c>
      <c r="M56">
        <f>Settings!$C$33*($A56-Settings!B4+1)/Settings!B6</f>
        <v/>
      </c>
      <c r="N56">
        <f>Settings!$C$12</f>
        <v/>
      </c>
      <c r="O56">
        <f>Settings!$C$34</f>
        <v/>
      </c>
    </row>
    <row r="57" ht="15" customHeight="1">
      <c r="A57" s="14" t="n">
        <v>46321</v>
      </c>
      <c r="B57" s="8">
        <f>IFERROR(VLOOKUP($A57,Weekly_Agg!$A:$W,3,FALSE),0)</f>
        <v/>
      </c>
      <c r="C57" s="8">
        <f>C56+B57</f>
        <v/>
      </c>
      <c r="D57" s="8">
        <f>Settings!$C$11*($A57-Settings!B4+1)/Settings!B6</f>
        <v/>
      </c>
      <c r="E57" s="8">
        <f>IFERROR(VLOOKUP($A57,Weekly_Agg!$A:$W,17,FALSE),0)</f>
        <v/>
      </c>
      <c r="F57">
        <f>F56+E57</f>
        <v/>
      </c>
      <c r="G57">
        <f>Settings!$C$20*($A57-Settings!B4+1)/Settings!B6</f>
        <v/>
      </c>
      <c r="H57">
        <f>IFERROR(VLOOKUP($A57,Weekly_Agg!$A:$W,16,FALSE),0)</f>
        <v/>
      </c>
      <c r="I57">
        <f>I56+H57</f>
        <v/>
      </c>
      <c r="J57">
        <f>Settings!$C$19*($A57-Settings!B4+1)</f>
        <v/>
      </c>
      <c r="K57">
        <f>IFERROR(VLOOKUP($A57,Weekly_Agg!$A:$W,12,FALSE),0)</f>
        <v/>
      </c>
      <c r="L57">
        <f>L56+K57</f>
        <v/>
      </c>
      <c r="M57">
        <f>Settings!$C$33*($A57-Settings!B4+1)/Settings!B6</f>
        <v/>
      </c>
      <c r="N57">
        <f>Settings!$C$12</f>
        <v/>
      </c>
      <c r="O57">
        <f>Settings!$C$34</f>
        <v/>
      </c>
    </row>
    <row r="58" ht="15" customHeight="1">
      <c r="A58" s="14" t="n">
        <v>46328</v>
      </c>
      <c r="B58" s="8">
        <f>IFERROR(VLOOKUP($A58,Weekly_Agg!$A:$W,3,FALSE),0)</f>
        <v/>
      </c>
      <c r="C58" s="8">
        <f>C57+B58</f>
        <v/>
      </c>
      <c r="D58" s="8">
        <f>Settings!$C$11*($A58-Settings!B4+1)/Settings!B6</f>
        <v/>
      </c>
      <c r="E58" s="8">
        <f>IFERROR(VLOOKUP($A58,Weekly_Agg!$A:$W,17,FALSE),0)</f>
        <v/>
      </c>
      <c r="F58">
        <f>F57+E58</f>
        <v/>
      </c>
      <c r="G58">
        <f>Settings!$C$20*($A58-Settings!B4+1)/Settings!B6</f>
        <v/>
      </c>
      <c r="H58">
        <f>IFERROR(VLOOKUP($A58,Weekly_Agg!$A:$W,16,FALSE),0)</f>
        <v/>
      </c>
      <c r="I58">
        <f>I57+H58</f>
        <v/>
      </c>
      <c r="J58">
        <f>Settings!$C$19*($A58-Settings!B4+1)</f>
        <v/>
      </c>
      <c r="K58">
        <f>IFERROR(VLOOKUP($A58,Weekly_Agg!$A:$W,12,FALSE),0)</f>
        <v/>
      </c>
      <c r="L58">
        <f>L57+K58</f>
        <v/>
      </c>
      <c r="M58">
        <f>Settings!$C$33*($A58-Settings!B4+1)/Settings!B6</f>
        <v/>
      </c>
      <c r="N58">
        <f>Settings!$C$12</f>
        <v/>
      </c>
      <c r="O58">
        <f>Settings!$C$34</f>
        <v/>
      </c>
    </row>
    <row r="59" ht="15" customHeight="1">
      <c r="A59" s="14" t="n">
        <v>46335</v>
      </c>
      <c r="B59" s="8">
        <f>IFERROR(VLOOKUP($A59,Weekly_Agg!$A:$W,3,FALSE),0)</f>
        <v/>
      </c>
      <c r="C59" s="8">
        <f>C58+B59</f>
        <v/>
      </c>
      <c r="D59" s="8">
        <f>Settings!$C$11*($A59-Settings!B4+1)/Settings!B6</f>
        <v/>
      </c>
      <c r="E59" s="8">
        <f>IFERROR(VLOOKUP($A59,Weekly_Agg!$A:$W,17,FALSE),0)</f>
        <v/>
      </c>
      <c r="F59">
        <f>F58+E59</f>
        <v/>
      </c>
      <c r="G59">
        <f>Settings!$C$20*($A59-Settings!B4+1)/Settings!B6</f>
        <v/>
      </c>
      <c r="H59">
        <f>IFERROR(VLOOKUP($A59,Weekly_Agg!$A:$W,16,FALSE),0)</f>
        <v/>
      </c>
      <c r="I59">
        <f>I58+H59</f>
        <v/>
      </c>
      <c r="J59">
        <f>Settings!$C$19*($A59-Settings!B4+1)</f>
        <v/>
      </c>
      <c r="K59">
        <f>IFERROR(VLOOKUP($A59,Weekly_Agg!$A:$W,12,FALSE),0)</f>
        <v/>
      </c>
      <c r="L59">
        <f>L58+K59</f>
        <v/>
      </c>
      <c r="M59">
        <f>Settings!$C$33*($A59-Settings!B4+1)/Settings!B6</f>
        <v/>
      </c>
      <c r="N59">
        <f>Settings!$C$12</f>
        <v/>
      </c>
      <c r="O59">
        <f>Settings!$C$34</f>
        <v/>
      </c>
    </row>
    <row r="60" ht="15" customHeight="1">
      <c r="A60" s="14" t="n">
        <v>46342</v>
      </c>
      <c r="B60" s="8">
        <f>IFERROR(VLOOKUP($A60,Weekly_Agg!$A:$W,3,FALSE),0)</f>
        <v/>
      </c>
      <c r="C60" s="8">
        <f>C59+B60</f>
        <v/>
      </c>
      <c r="D60" s="8">
        <f>Settings!$C$11*($A60-Settings!B4+1)/Settings!B6</f>
        <v/>
      </c>
      <c r="E60" s="8">
        <f>IFERROR(VLOOKUP($A60,Weekly_Agg!$A:$W,17,FALSE),0)</f>
        <v/>
      </c>
      <c r="F60">
        <f>F59+E60</f>
        <v/>
      </c>
      <c r="G60">
        <f>Settings!$C$20*($A60-Settings!B4+1)/Settings!B6</f>
        <v/>
      </c>
      <c r="H60">
        <f>IFERROR(VLOOKUP($A60,Weekly_Agg!$A:$W,16,FALSE),0)</f>
        <v/>
      </c>
      <c r="I60">
        <f>I59+H60</f>
        <v/>
      </c>
      <c r="J60">
        <f>Settings!$C$19*($A60-Settings!B4+1)</f>
        <v/>
      </c>
      <c r="K60">
        <f>IFERROR(VLOOKUP($A60,Weekly_Agg!$A:$W,12,FALSE),0)</f>
        <v/>
      </c>
      <c r="L60">
        <f>L59+K60</f>
        <v/>
      </c>
      <c r="M60">
        <f>Settings!$C$33*($A60-Settings!B4+1)/Settings!B6</f>
        <v/>
      </c>
      <c r="N60">
        <f>Settings!$C$12</f>
        <v/>
      </c>
      <c r="O60">
        <f>Settings!$C$34</f>
        <v/>
      </c>
    </row>
    <row r="61" ht="15" customHeight="1">
      <c r="A61" s="14" t="n">
        <v>46349</v>
      </c>
      <c r="B61" s="8">
        <f>IFERROR(VLOOKUP($A61,Weekly_Agg!$A:$W,3,FALSE),0)</f>
        <v/>
      </c>
      <c r="C61" s="8">
        <f>C60+B61</f>
        <v/>
      </c>
      <c r="D61" s="8">
        <f>Settings!$C$11*($A61-Settings!B4+1)/Settings!B6</f>
        <v/>
      </c>
      <c r="E61" s="8">
        <f>IFERROR(VLOOKUP($A61,Weekly_Agg!$A:$W,17,FALSE),0)</f>
        <v/>
      </c>
      <c r="F61">
        <f>F60+E61</f>
        <v/>
      </c>
      <c r="G61">
        <f>Settings!$C$20*($A61-Settings!B4+1)/Settings!B6</f>
        <v/>
      </c>
      <c r="H61">
        <f>IFERROR(VLOOKUP($A61,Weekly_Agg!$A:$W,16,FALSE),0)</f>
        <v/>
      </c>
      <c r="I61">
        <f>I60+H61</f>
        <v/>
      </c>
      <c r="J61">
        <f>Settings!$C$19*($A61-Settings!B4+1)</f>
        <v/>
      </c>
      <c r="K61">
        <f>IFERROR(VLOOKUP($A61,Weekly_Agg!$A:$W,12,FALSE),0)</f>
        <v/>
      </c>
      <c r="L61">
        <f>L60+K61</f>
        <v/>
      </c>
      <c r="M61">
        <f>Settings!$C$33*($A61-Settings!B4+1)/Settings!B6</f>
        <v/>
      </c>
      <c r="N61">
        <f>Settings!$C$12</f>
        <v/>
      </c>
      <c r="O61">
        <f>Settings!$C$34</f>
        <v/>
      </c>
    </row>
    <row r="62" ht="15" customHeight="1">
      <c r="A62" s="14" t="n">
        <v>46356</v>
      </c>
      <c r="B62" s="8">
        <f>IFERROR(VLOOKUP($A62,Weekly_Agg!$A:$W,3,FALSE),0)</f>
        <v/>
      </c>
      <c r="C62" s="8">
        <f>C61+B62</f>
        <v/>
      </c>
      <c r="D62" s="8">
        <f>Settings!$C$11*($A62-Settings!B4+1)/Settings!B6</f>
        <v/>
      </c>
      <c r="E62" s="8">
        <f>IFERROR(VLOOKUP($A62,Weekly_Agg!$A:$W,17,FALSE),0)</f>
        <v/>
      </c>
      <c r="F62">
        <f>F61+E62</f>
        <v/>
      </c>
      <c r="G62">
        <f>Settings!$C$20*($A62-Settings!B4+1)/Settings!B6</f>
        <v/>
      </c>
      <c r="H62">
        <f>IFERROR(VLOOKUP($A62,Weekly_Agg!$A:$W,16,FALSE),0)</f>
        <v/>
      </c>
      <c r="I62">
        <f>I61+H62</f>
        <v/>
      </c>
      <c r="J62">
        <f>Settings!$C$19*($A62-Settings!B4+1)</f>
        <v/>
      </c>
      <c r="K62">
        <f>IFERROR(VLOOKUP($A62,Weekly_Agg!$A:$W,12,FALSE),0)</f>
        <v/>
      </c>
      <c r="L62">
        <f>L61+K62</f>
        <v/>
      </c>
      <c r="M62">
        <f>Settings!$C$33*($A62-Settings!B4+1)/Settings!B6</f>
        <v/>
      </c>
      <c r="N62">
        <f>Settings!$C$12</f>
        <v/>
      </c>
      <c r="O62">
        <f>Settings!$C$34</f>
        <v/>
      </c>
    </row>
    <row r="63" ht="15" customHeight="1">
      <c r="A63" s="14" t="n">
        <v>46363</v>
      </c>
      <c r="B63" s="8">
        <f>IFERROR(VLOOKUP($A63,Weekly_Agg!$A:$W,3,FALSE),0)</f>
        <v/>
      </c>
      <c r="C63" s="8">
        <f>C62+B63</f>
        <v/>
      </c>
      <c r="D63" s="8">
        <f>Settings!$C$11*($A63-Settings!B4+1)/Settings!B6</f>
        <v/>
      </c>
      <c r="E63" s="8">
        <f>IFERROR(VLOOKUP($A63,Weekly_Agg!$A:$W,17,FALSE),0)</f>
        <v/>
      </c>
      <c r="F63">
        <f>F62+E63</f>
        <v/>
      </c>
      <c r="G63">
        <f>Settings!$C$20*($A63-Settings!B4+1)/Settings!B6</f>
        <v/>
      </c>
      <c r="H63">
        <f>IFERROR(VLOOKUP($A63,Weekly_Agg!$A:$W,16,FALSE),0)</f>
        <v/>
      </c>
      <c r="I63">
        <f>I62+H63</f>
        <v/>
      </c>
      <c r="J63">
        <f>Settings!$C$19*($A63-Settings!B4+1)</f>
        <v/>
      </c>
      <c r="K63">
        <f>IFERROR(VLOOKUP($A63,Weekly_Agg!$A:$W,12,FALSE),0)</f>
        <v/>
      </c>
      <c r="L63">
        <f>L62+K63</f>
        <v/>
      </c>
      <c r="M63">
        <f>Settings!$C$33*($A63-Settings!B4+1)/Settings!B6</f>
        <v/>
      </c>
      <c r="N63">
        <f>Settings!$C$12</f>
        <v/>
      </c>
      <c r="O63">
        <f>Settings!$C$34</f>
        <v/>
      </c>
    </row>
    <row r="64" ht="15" customHeight="1">
      <c r="A64" s="14" t="n">
        <v>46370</v>
      </c>
      <c r="B64" s="8">
        <f>IFERROR(VLOOKUP($A64,Weekly_Agg!$A:$W,3,FALSE),0)</f>
        <v/>
      </c>
      <c r="C64" s="8">
        <f>C63+B64</f>
        <v/>
      </c>
      <c r="D64" s="8">
        <f>Settings!$C$11*($A64-Settings!B4+1)/Settings!B6</f>
        <v/>
      </c>
      <c r="E64" s="8">
        <f>IFERROR(VLOOKUP($A64,Weekly_Agg!$A:$W,17,FALSE),0)</f>
        <v/>
      </c>
      <c r="F64">
        <f>F63+E64</f>
        <v/>
      </c>
      <c r="G64">
        <f>Settings!$C$20*($A64-Settings!B4+1)/Settings!B6</f>
        <v/>
      </c>
      <c r="H64">
        <f>IFERROR(VLOOKUP($A64,Weekly_Agg!$A:$W,16,FALSE),0)</f>
        <v/>
      </c>
      <c r="I64">
        <f>I63+H64</f>
        <v/>
      </c>
      <c r="J64">
        <f>Settings!$C$19*($A64-Settings!B4+1)</f>
        <v/>
      </c>
      <c r="K64">
        <f>IFERROR(VLOOKUP($A64,Weekly_Agg!$A:$W,12,FALSE),0)</f>
        <v/>
      </c>
      <c r="L64">
        <f>L63+K64</f>
        <v/>
      </c>
      <c r="M64">
        <f>Settings!$C$33*($A64-Settings!B4+1)/Settings!B6</f>
        <v/>
      </c>
      <c r="N64">
        <f>Settings!$C$12</f>
        <v/>
      </c>
      <c r="O64">
        <f>Settings!$C$34</f>
        <v/>
      </c>
    </row>
    <row r="65" ht="15" customHeight="1">
      <c r="A65" s="14" t="n">
        <v>46377</v>
      </c>
      <c r="B65" s="8">
        <f>IFERROR(VLOOKUP($A65,Weekly_Agg!$A:$W,3,FALSE),0)</f>
        <v/>
      </c>
      <c r="C65" s="8">
        <f>C64+B65</f>
        <v/>
      </c>
      <c r="D65" s="8">
        <f>Settings!$C$11*($A65-Settings!B4+1)/Settings!B6</f>
        <v/>
      </c>
      <c r="E65" s="8">
        <f>IFERROR(VLOOKUP($A65,Weekly_Agg!$A:$W,17,FALSE),0)</f>
        <v/>
      </c>
      <c r="F65">
        <f>F64+E65</f>
        <v/>
      </c>
      <c r="G65">
        <f>Settings!$C$20*($A65-Settings!B4+1)/Settings!B6</f>
        <v/>
      </c>
      <c r="H65">
        <f>IFERROR(VLOOKUP($A65,Weekly_Agg!$A:$W,16,FALSE),0)</f>
        <v/>
      </c>
      <c r="I65">
        <f>I64+H65</f>
        <v/>
      </c>
      <c r="J65">
        <f>Settings!$C$19*($A65-Settings!B4+1)</f>
        <v/>
      </c>
      <c r="K65">
        <f>IFERROR(VLOOKUP($A65,Weekly_Agg!$A:$W,12,FALSE),0)</f>
        <v/>
      </c>
      <c r="L65">
        <f>L64+K65</f>
        <v/>
      </c>
      <c r="M65">
        <f>Settings!$C$33*($A65-Settings!B4+1)/Settings!B6</f>
        <v/>
      </c>
      <c r="N65">
        <f>Settings!$C$12</f>
        <v/>
      </c>
      <c r="O65">
        <f>Settings!$C$34</f>
        <v/>
      </c>
    </row>
    <row r="66" ht="15" customHeight="1">
      <c r="A66" s="14" t="n">
        <v>46384</v>
      </c>
      <c r="B66" s="8">
        <f>IFERROR(VLOOKUP($A66,Weekly_Agg!$A:$W,3,FALSE),0)</f>
        <v/>
      </c>
      <c r="C66" s="8">
        <f>C65+B66</f>
        <v/>
      </c>
      <c r="D66" s="8">
        <f>Settings!$C$11*($A66-Settings!B4+1)/Settings!B6</f>
        <v/>
      </c>
      <c r="E66" s="8">
        <f>IFERROR(VLOOKUP($A66,Weekly_Agg!$A:$W,17,FALSE),0)</f>
        <v/>
      </c>
      <c r="F66">
        <f>F65+E66</f>
        <v/>
      </c>
      <c r="G66">
        <f>Settings!$C$20*($A66-Settings!B4+1)/Settings!B6</f>
        <v/>
      </c>
      <c r="H66">
        <f>IFERROR(VLOOKUP($A66,Weekly_Agg!$A:$W,16,FALSE),0)</f>
        <v/>
      </c>
      <c r="I66">
        <f>I65+H66</f>
        <v/>
      </c>
      <c r="J66">
        <f>Settings!$C$19*($A66-Settings!B4+1)</f>
        <v/>
      </c>
      <c r="K66">
        <f>IFERROR(VLOOKUP($A66,Weekly_Agg!$A:$W,12,FALSE),0)</f>
        <v/>
      </c>
      <c r="L66">
        <f>L65+K66</f>
        <v/>
      </c>
      <c r="M66">
        <f>Settings!$C$33*($A66-Settings!B4+1)/Settings!B6</f>
        <v/>
      </c>
      <c r="N66">
        <f>Settings!$C$12</f>
        <v/>
      </c>
      <c r="O66">
        <f>Settings!$C$34</f>
        <v/>
      </c>
    </row>
    <row r="67"/>
    <row r="68"/>
    <row r="69"/>
    <row r="70"/>
    <row r="71"/>
    <row r="72">
      <c r="A72" s="7" t="inlineStr">
        <is>
          <t>WeekStart</t>
        </is>
      </c>
      <c r="B72" s="7" t="inlineStr">
        <is>
          <t>WorkHours</t>
        </is>
      </c>
      <c r="C72" s="7" t="inlineStr">
        <is>
          <t>Target55</t>
        </is>
      </c>
      <c r="D72" s="7" t="inlineStr">
        <is>
          <t>Spike60</t>
        </is>
      </c>
    </row>
    <row r="73" ht="15" customHeight="1">
      <c r="A73" s="14" t="n">
        <v>46027</v>
      </c>
      <c r="B73" s="8">
        <f>IFERROR(VLOOKUP($A73,Weekly_Agg!$A:$W,2,FALSE),"")</f>
        <v/>
      </c>
      <c r="C73" s="8">
        <f>Settings!$C$13</f>
        <v/>
      </c>
      <c r="D73" s="8">
        <f>Settings!$C$14</f>
        <v/>
      </c>
    </row>
    <row r="74" ht="15" customHeight="1">
      <c r="A74" s="14" t="n">
        <v>46034</v>
      </c>
      <c r="B74" s="8">
        <f>IFERROR(VLOOKUP($A74,Weekly_Agg!$A:$W,2,FALSE),"")</f>
        <v/>
      </c>
      <c r="C74" s="8">
        <f>Settings!$C$13</f>
        <v/>
      </c>
      <c r="D74" s="8">
        <f>Settings!$C$14</f>
        <v/>
      </c>
    </row>
    <row r="75" ht="15" customHeight="1">
      <c r="A75" s="14" t="n">
        <v>46041</v>
      </c>
      <c r="B75" s="8">
        <f>IFERROR(VLOOKUP($A75,Weekly_Agg!$A:$W,2,FALSE),"")</f>
        <v/>
      </c>
      <c r="C75" s="8">
        <f>Settings!$C$13</f>
        <v/>
      </c>
      <c r="D75" s="8">
        <f>Settings!$C$14</f>
        <v/>
      </c>
    </row>
    <row r="76" ht="15" customHeight="1">
      <c r="A76" s="14" t="n">
        <v>46048</v>
      </c>
      <c r="B76" s="8">
        <f>IFERROR(VLOOKUP($A76,Weekly_Agg!$A:$W,2,FALSE),"")</f>
        <v/>
      </c>
      <c r="C76" s="8">
        <f>Settings!$C$13</f>
        <v/>
      </c>
      <c r="D76" s="8">
        <f>Settings!$C$14</f>
        <v/>
      </c>
    </row>
    <row r="77" ht="15" customHeight="1">
      <c r="A77" s="14" t="n">
        <v>46055</v>
      </c>
      <c r="B77" s="8">
        <f>IFERROR(VLOOKUP($A77,Weekly_Agg!$A:$W,2,FALSE),"")</f>
        <v/>
      </c>
      <c r="C77" s="8">
        <f>Settings!$C$13</f>
        <v/>
      </c>
      <c r="D77" s="8">
        <f>Settings!$C$14</f>
        <v/>
      </c>
    </row>
    <row r="78" ht="15" customHeight="1">
      <c r="A78" s="14" t="n">
        <v>46062</v>
      </c>
      <c r="B78" s="8">
        <f>IFERROR(VLOOKUP($A78,Weekly_Agg!$A:$W,2,FALSE),"")</f>
        <v/>
      </c>
      <c r="C78" s="8">
        <f>Settings!$C$13</f>
        <v/>
      </c>
      <c r="D78" s="8">
        <f>Settings!$C$14</f>
        <v/>
      </c>
    </row>
    <row r="79" ht="15" customHeight="1">
      <c r="A79" s="14" t="n">
        <v>46069</v>
      </c>
      <c r="B79" s="8">
        <f>IFERROR(VLOOKUP($A79,Weekly_Agg!$A:$W,2,FALSE),"")</f>
        <v/>
      </c>
      <c r="C79" s="8">
        <f>Settings!$C$13</f>
        <v/>
      </c>
      <c r="D79" s="8">
        <f>Settings!$C$14</f>
        <v/>
      </c>
    </row>
    <row r="80" ht="15" customHeight="1">
      <c r="A80" s="14" t="n">
        <v>46076</v>
      </c>
      <c r="B80" s="8">
        <f>IFERROR(VLOOKUP($A80,Weekly_Agg!$A:$W,2,FALSE),"")</f>
        <v/>
      </c>
      <c r="C80" s="8">
        <f>Settings!$C$13</f>
        <v/>
      </c>
      <c r="D80" s="8">
        <f>Settings!$C$14</f>
        <v/>
      </c>
    </row>
    <row r="81" ht="15" customHeight="1">
      <c r="A81" s="14" t="n">
        <v>46083</v>
      </c>
      <c r="B81" s="8">
        <f>IFERROR(VLOOKUP($A81,Weekly_Agg!$A:$W,2,FALSE),"")</f>
        <v/>
      </c>
      <c r="C81" s="8">
        <f>Settings!$C$13</f>
        <v/>
      </c>
      <c r="D81" s="8">
        <f>Settings!$C$14</f>
        <v/>
      </c>
    </row>
    <row r="82" ht="15" customHeight="1">
      <c r="A82" s="14" t="n">
        <v>46090</v>
      </c>
      <c r="B82" s="8">
        <f>IFERROR(VLOOKUP($A82,Weekly_Agg!$A:$W,2,FALSE),"")</f>
        <v/>
      </c>
      <c r="C82" s="8">
        <f>Settings!$C$13</f>
        <v/>
      </c>
      <c r="D82" s="8">
        <f>Settings!$C$14</f>
        <v/>
      </c>
    </row>
    <row r="83" ht="15" customHeight="1">
      <c r="A83" s="14" t="n">
        <v>46097</v>
      </c>
      <c r="B83" s="8">
        <f>IFERROR(VLOOKUP($A83,Weekly_Agg!$A:$W,2,FALSE),"")</f>
        <v/>
      </c>
      <c r="C83" s="8">
        <f>Settings!$C$13</f>
        <v/>
      </c>
      <c r="D83" s="8">
        <f>Settings!$C$14</f>
        <v/>
      </c>
    </row>
    <row r="84" ht="15" customHeight="1">
      <c r="A84" s="14" t="n">
        <v>46104</v>
      </c>
      <c r="B84" s="8">
        <f>IFERROR(VLOOKUP($A84,Weekly_Agg!$A:$W,2,FALSE),"")</f>
        <v/>
      </c>
      <c r="C84" s="8">
        <f>Settings!$C$13</f>
        <v/>
      </c>
      <c r="D84" s="8">
        <f>Settings!$C$14</f>
        <v/>
      </c>
    </row>
    <row r="85" ht="15" customHeight="1">
      <c r="A85" s="14" t="n">
        <v>46111</v>
      </c>
      <c r="B85" s="8">
        <f>IFERROR(VLOOKUP($A85,Weekly_Agg!$A:$W,2,FALSE),"")</f>
        <v/>
      </c>
      <c r="C85" s="8">
        <f>Settings!$C$13</f>
        <v/>
      </c>
      <c r="D85" s="8">
        <f>Settings!$C$14</f>
        <v/>
      </c>
    </row>
    <row r="86" ht="15" customHeight="1">
      <c r="A86" s="14" t="n">
        <v>46118</v>
      </c>
      <c r="B86" s="8">
        <f>IFERROR(VLOOKUP($A86,Weekly_Agg!$A:$W,2,FALSE),"")</f>
        <v/>
      </c>
      <c r="C86" s="8">
        <f>Settings!$C$13</f>
        <v/>
      </c>
      <c r="D86" s="8">
        <f>Settings!$C$14</f>
        <v/>
      </c>
    </row>
    <row r="87" ht="15" customHeight="1">
      <c r="A87" s="14" t="n">
        <v>46125</v>
      </c>
      <c r="B87" s="8">
        <f>IFERROR(VLOOKUP($A87,Weekly_Agg!$A:$W,2,FALSE),"")</f>
        <v/>
      </c>
      <c r="C87" s="8">
        <f>Settings!$C$13</f>
        <v/>
      </c>
      <c r="D87" s="8">
        <f>Settings!$C$14</f>
        <v/>
      </c>
    </row>
    <row r="88" ht="15" customHeight="1">
      <c r="A88" s="14" t="n">
        <v>46132</v>
      </c>
      <c r="B88" s="8">
        <f>IFERROR(VLOOKUP($A88,Weekly_Agg!$A:$W,2,FALSE),"")</f>
        <v/>
      </c>
      <c r="C88" s="8">
        <f>Settings!$C$13</f>
        <v/>
      </c>
      <c r="D88" s="8">
        <f>Settings!$C$14</f>
        <v/>
      </c>
    </row>
    <row r="89" ht="15" customHeight="1">
      <c r="A89" s="14" t="n">
        <v>46139</v>
      </c>
      <c r="B89" s="8">
        <f>IFERROR(VLOOKUP($A89,Weekly_Agg!$A:$W,2,FALSE),"")</f>
        <v/>
      </c>
      <c r="C89" s="8">
        <f>Settings!$C$13</f>
        <v/>
      </c>
      <c r="D89" s="8">
        <f>Settings!$C$14</f>
        <v/>
      </c>
    </row>
    <row r="90" ht="15" customHeight="1">
      <c r="A90" s="14" t="n">
        <v>46146</v>
      </c>
      <c r="B90" s="8">
        <f>IFERROR(VLOOKUP($A90,Weekly_Agg!$A:$W,2,FALSE),"")</f>
        <v/>
      </c>
      <c r="C90" s="8">
        <f>Settings!$C$13</f>
        <v/>
      </c>
      <c r="D90" s="8">
        <f>Settings!$C$14</f>
        <v/>
      </c>
    </row>
    <row r="91" ht="15" customHeight="1">
      <c r="A91" s="14" t="n">
        <v>46153</v>
      </c>
      <c r="B91" s="8">
        <f>IFERROR(VLOOKUP($A91,Weekly_Agg!$A:$W,2,FALSE),"")</f>
        <v/>
      </c>
      <c r="C91" s="8">
        <f>Settings!$C$13</f>
        <v/>
      </c>
      <c r="D91" s="8">
        <f>Settings!$C$14</f>
        <v/>
      </c>
    </row>
    <row r="92" ht="15" customHeight="1">
      <c r="A92" s="14" t="n">
        <v>46160</v>
      </c>
      <c r="B92" s="8">
        <f>IFERROR(VLOOKUP($A92,Weekly_Agg!$A:$W,2,FALSE),"")</f>
        <v/>
      </c>
      <c r="C92" s="8">
        <f>Settings!$C$13</f>
        <v/>
      </c>
      <c r="D92" s="8">
        <f>Settings!$C$14</f>
        <v/>
      </c>
    </row>
    <row r="93" ht="15" customHeight="1">
      <c r="A93" s="14" t="n">
        <v>46167</v>
      </c>
      <c r="B93" s="8">
        <f>IFERROR(VLOOKUP($A93,Weekly_Agg!$A:$W,2,FALSE),"")</f>
        <v/>
      </c>
      <c r="C93" s="8">
        <f>Settings!$C$13</f>
        <v/>
      </c>
      <c r="D93" s="8">
        <f>Settings!$C$14</f>
        <v/>
      </c>
    </row>
    <row r="94" ht="15" customHeight="1">
      <c r="A94" s="14" t="n">
        <v>46174</v>
      </c>
      <c r="B94" s="8">
        <f>IFERROR(VLOOKUP($A94,Weekly_Agg!$A:$W,2,FALSE),"")</f>
        <v/>
      </c>
      <c r="C94" s="8">
        <f>Settings!$C$13</f>
        <v/>
      </c>
      <c r="D94" s="8">
        <f>Settings!$C$14</f>
        <v/>
      </c>
    </row>
    <row r="95" ht="15" customHeight="1">
      <c r="A95" s="14" t="n">
        <v>46181</v>
      </c>
      <c r="B95" s="8">
        <f>IFERROR(VLOOKUP($A95,Weekly_Agg!$A:$W,2,FALSE),"")</f>
        <v/>
      </c>
      <c r="C95" s="8">
        <f>Settings!$C$13</f>
        <v/>
      </c>
      <c r="D95" s="8">
        <f>Settings!$C$14</f>
        <v/>
      </c>
    </row>
    <row r="96" ht="15" customHeight="1">
      <c r="A96" s="14" t="n">
        <v>46188</v>
      </c>
      <c r="B96" s="8">
        <f>IFERROR(VLOOKUP($A96,Weekly_Agg!$A:$W,2,FALSE),"")</f>
        <v/>
      </c>
      <c r="C96" s="8">
        <f>Settings!$C$13</f>
        <v/>
      </c>
      <c r="D96" s="8">
        <f>Settings!$C$14</f>
        <v/>
      </c>
    </row>
    <row r="97" ht="15" customHeight="1">
      <c r="A97" s="14" t="n">
        <v>46195</v>
      </c>
      <c r="B97" s="8">
        <f>IFERROR(VLOOKUP($A97,Weekly_Agg!$A:$W,2,FALSE),"")</f>
        <v/>
      </c>
      <c r="C97" s="8">
        <f>Settings!$C$13</f>
        <v/>
      </c>
      <c r="D97" s="8">
        <f>Settings!$C$14</f>
        <v/>
      </c>
    </row>
    <row r="98" ht="15" customHeight="1">
      <c r="A98" s="14" t="n">
        <v>46202</v>
      </c>
      <c r="B98" s="8">
        <f>IFERROR(VLOOKUP($A98,Weekly_Agg!$A:$W,2,FALSE),"")</f>
        <v/>
      </c>
      <c r="C98" s="8">
        <f>Settings!$C$13</f>
        <v/>
      </c>
      <c r="D98" s="8">
        <f>Settings!$C$14</f>
        <v/>
      </c>
    </row>
    <row r="99" ht="15" customHeight="1">
      <c r="A99" s="14" t="n">
        <v>46209</v>
      </c>
      <c r="B99" s="8">
        <f>IFERROR(VLOOKUP($A99,Weekly_Agg!$A:$W,2,FALSE),"")</f>
        <v/>
      </c>
      <c r="C99" s="8">
        <f>Settings!$C$13</f>
        <v/>
      </c>
      <c r="D99" s="8">
        <f>Settings!$C$14</f>
        <v/>
      </c>
    </row>
    <row r="100" ht="15" customHeight="1">
      <c r="A100" s="14" t="n">
        <v>46216</v>
      </c>
      <c r="B100" s="8">
        <f>IFERROR(VLOOKUP($A100,Weekly_Agg!$A:$W,2,FALSE),"")</f>
        <v/>
      </c>
      <c r="C100" s="8">
        <f>Settings!$C$13</f>
        <v/>
      </c>
      <c r="D100" s="8">
        <f>Settings!$C$14</f>
        <v/>
      </c>
    </row>
    <row r="101" ht="15" customHeight="1">
      <c r="A101" s="14" t="n">
        <v>46223</v>
      </c>
      <c r="B101" s="8">
        <f>IFERROR(VLOOKUP($A101,Weekly_Agg!$A:$W,2,FALSE),"")</f>
        <v/>
      </c>
      <c r="C101" s="8">
        <f>Settings!$C$13</f>
        <v/>
      </c>
      <c r="D101" s="8">
        <f>Settings!$C$14</f>
        <v/>
      </c>
    </row>
    <row r="102" ht="15" customHeight="1">
      <c r="A102" s="14" t="n">
        <v>46230</v>
      </c>
      <c r="B102" s="8">
        <f>IFERROR(VLOOKUP($A102,Weekly_Agg!$A:$W,2,FALSE),"")</f>
        <v/>
      </c>
      <c r="C102" s="8">
        <f>Settings!$C$13</f>
        <v/>
      </c>
      <c r="D102" s="8">
        <f>Settings!$C$14</f>
        <v/>
      </c>
    </row>
    <row r="103" ht="15" customHeight="1">
      <c r="A103" s="14" t="n">
        <v>46237</v>
      </c>
      <c r="B103" s="8">
        <f>IFERROR(VLOOKUP($A103,Weekly_Agg!$A:$W,2,FALSE),"")</f>
        <v/>
      </c>
      <c r="C103" s="8">
        <f>Settings!$C$13</f>
        <v/>
      </c>
      <c r="D103" s="8">
        <f>Settings!$C$14</f>
        <v/>
      </c>
    </row>
    <row r="104" ht="15" customHeight="1">
      <c r="A104" s="14" t="n">
        <v>46244</v>
      </c>
      <c r="B104" s="8">
        <f>IFERROR(VLOOKUP($A104,Weekly_Agg!$A:$W,2,FALSE),"")</f>
        <v/>
      </c>
      <c r="C104" s="8">
        <f>Settings!$C$13</f>
        <v/>
      </c>
      <c r="D104" s="8">
        <f>Settings!$C$14</f>
        <v/>
      </c>
    </row>
    <row r="105" ht="15" customHeight="1">
      <c r="A105" s="14" t="n">
        <v>46251</v>
      </c>
      <c r="B105" s="8">
        <f>IFERROR(VLOOKUP($A105,Weekly_Agg!$A:$W,2,FALSE),"")</f>
        <v/>
      </c>
      <c r="C105" s="8">
        <f>Settings!$C$13</f>
        <v/>
      </c>
      <c r="D105" s="8">
        <f>Settings!$C$14</f>
        <v/>
      </c>
    </row>
    <row r="106" ht="15" customHeight="1">
      <c r="A106" s="14" t="n">
        <v>46258</v>
      </c>
      <c r="B106" s="8">
        <f>IFERROR(VLOOKUP($A106,Weekly_Agg!$A:$W,2,FALSE),"")</f>
        <v/>
      </c>
      <c r="C106" s="8">
        <f>Settings!$C$13</f>
        <v/>
      </c>
      <c r="D106" s="8">
        <f>Settings!$C$14</f>
        <v/>
      </c>
    </row>
    <row r="107" ht="15" customHeight="1">
      <c r="A107" s="14" t="n">
        <v>46265</v>
      </c>
      <c r="B107" s="8">
        <f>IFERROR(VLOOKUP($A107,Weekly_Agg!$A:$W,2,FALSE),"")</f>
        <v/>
      </c>
      <c r="C107" s="8">
        <f>Settings!$C$13</f>
        <v/>
      </c>
      <c r="D107" s="8">
        <f>Settings!$C$14</f>
        <v/>
      </c>
    </row>
    <row r="108" ht="15" customHeight="1">
      <c r="A108" s="14" t="n">
        <v>46272</v>
      </c>
      <c r="B108" s="8">
        <f>IFERROR(VLOOKUP($A108,Weekly_Agg!$A:$W,2,FALSE),"")</f>
        <v/>
      </c>
      <c r="C108" s="8">
        <f>Settings!$C$13</f>
        <v/>
      </c>
      <c r="D108" s="8">
        <f>Settings!$C$14</f>
        <v/>
      </c>
    </row>
    <row r="109" ht="15" customHeight="1">
      <c r="A109" s="14" t="n">
        <v>46279</v>
      </c>
      <c r="B109" s="8">
        <f>IFERROR(VLOOKUP($A109,Weekly_Agg!$A:$W,2,FALSE),"")</f>
        <v/>
      </c>
      <c r="C109" s="8">
        <f>Settings!$C$13</f>
        <v/>
      </c>
      <c r="D109" s="8">
        <f>Settings!$C$14</f>
        <v/>
      </c>
    </row>
    <row r="110" ht="15" customHeight="1">
      <c r="A110" s="14" t="n">
        <v>46286</v>
      </c>
      <c r="B110" s="8">
        <f>IFERROR(VLOOKUP($A110,Weekly_Agg!$A:$W,2,FALSE),"")</f>
        <v/>
      </c>
      <c r="C110" s="8">
        <f>Settings!$C$13</f>
        <v/>
      </c>
      <c r="D110" s="8">
        <f>Settings!$C$14</f>
        <v/>
      </c>
    </row>
    <row r="111" ht="15" customHeight="1">
      <c r="A111" s="14" t="n">
        <v>46293</v>
      </c>
      <c r="B111" s="8">
        <f>IFERROR(VLOOKUP($A111,Weekly_Agg!$A:$W,2,FALSE),"")</f>
        <v/>
      </c>
      <c r="C111" s="8">
        <f>Settings!$C$13</f>
        <v/>
      </c>
      <c r="D111" s="8">
        <f>Settings!$C$14</f>
        <v/>
      </c>
    </row>
    <row r="112" ht="15" customHeight="1">
      <c r="A112" s="14" t="n">
        <v>46300</v>
      </c>
      <c r="B112" s="8">
        <f>IFERROR(VLOOKUP($A112,Weekly_Agg!$A:$W,2,FALSE),"")</f>
        <v/>
      </c>
      <c r="C112" s="8">
        <f>Settings!$C$13</f>
        <v/>
      </c>
      <c r="D112" s="8">
        <f>Settings!$C$14</f>
        <v/>
      </c>
    </row>
    <row r="113" ht="15" customHeight="1">
      <c r="A113" s="14" t="n">
        <v>46307</v>
      </c>
      <c r="B113" s="8">
        <f>IFERROR(VLOOKUP($A113,Weekly_Agg!$A:$W,2,FALSE),"")</f>
        <v/>
      </c>
      <c r="C113" s="8">
        <f>Settings!$C$13</f>
        <v/>
      </c>
      <c r="D113" s="8">
        <f>Settings!$C$14</f>
        <v/>
      </c>
    </row>
    <row r="114" ht="15" customHeight="1">
      <c r="A114" s="14" t="n">
        <v>46314</v>
      </c>
      <c r="B114" s="8">
        <f>IFERROR(VLOOKUP($A114,Weekly_Agg!$A:$W,2,FALSE),"")</f>
        <v/>
      </c>
      <c r="C114" s="8">
        <f>Settings!$C$13</f>
        <v/>
      </c>
      <c r="D114" s="8">
        <f>Settings!$C$14</f>
        <v/>
      </c>
    </row>
    <row r="115" ht="15" customHeight="1">
      <c r="A115" s="14" t="n">
        <v>46321</v>
      </c>
      <c r="B115" s="8">
        <f>IFERROR(VLOOKUP($A115,Weekly_Agg!$A:$W,2,FALSE),"")</f>
        <v/>
      </c>
      <c r="C115" s="8">
        <f>Settings!$C$13</f>
        <v/>
      </c>
      <c r="D115" s="8">
        <f>Settings!$C$14</f>
        <v/>
      </c>
    </row>
    <row r="116" ht="15" customHeight="1">
      <c r="A116" s="14" t="n">
        <v>46328</v>
      </c>
      <c r="B116" s="8">
        <f>IFERROR(VLOOKUP($A116,Weekly_Agg!$A:$W,2,FALSE),"")</f>
        <v/>
      </c>
      <c r="C116" s="8">
        <f>Settings!$C$13</f>
        <v/>
      </c>
      <c r="D116" s="8">
        <f>Settings!$C$14</f>
        <v/>
      </c>
    </row>
    <row r="117" ht="15" customHeight="1">
      <c r="A117" s="14" t="n">
        <v>46335</v>
      </c>
      <c r="B117" s="8">
        <f>IFERROR(VLOOKUP($A117,Weekly_Agg!$A:$W,2,FALSE),"")</f>
        <v/>
      </c>
      <c r="C117" s="8">
        <f>Settings!$C$13</f>
        <v/>
      </c>
      <c r="D117" s="8">
        <f>Settings!$C$14</f>
        <v/>
      </c>
    </row>
    <row r="118" ht="15" customHeight="1">
      <c r="A118" s="14" t="n">
        <v>46342</v>
      </c>
      <c r="B118" s="8">
        <f>IFERROR(VLOOKUP($A118,Weekly_Agg!$A:$W,2,FALSE),"")</f>
        <v/>
      </c>
      <c r="C118" s="8">
        <f>Settings!$C$13</f>
        <v/>
      </c>
      <c r="D118" s="8">
        <f>Settings!$C$14</f>
        <v/>
      </c>
    </row>
    <row r="119" ht="15" customHeight="1">
      <c r="A119" s="14" t="n">
        <v>46349</v>
      </c>
      <c r="B119" s="8">
        <f>IFERROR(VLOOKUP($A119,Weekly_Agg!$A:$W,2,FALSE),"")</f>
        <v/>
      </c>
      <c r="C119" s="8">
        <f>Settings!$C$13</f>
        <v/>
      </c>
      <c r="D119" s="8">
        <f>Settings!$C$14</f>
        <v/>
      </c>
    </row>
    <row r="120" ht="15" customHeight="1">
      <c r="A120" s="14" t="n">
        <v>46356</v>
      </c>
      <c r="B120" s="8">
        <f>IFERROR(VLOOKUP($A120,Weekly_Agg!$A:$W,2,FALSE),"")</f>
        <v/>
      </c>
      <c r="C120" s="8">
        <f>Settings!$C$13</f>
        <v/>
      </c>
      <c r="D120" s="8">
        <f>Settings!$C$14</f>
        <v/>
      </c>
    </row>
    <row r="121" ht="15" customHeight="1">
      <c r="A121" s="14" t="n">
        <v>46363</v>
      </c>
      <c r="B121" s="8">
        <f>IFERROR(VLOOKUP($A121,Weekly_Agg!$A:$W,2,FALSE),"")</f>
        <v/>
      </c>
      <c r="C121" s="8">
        <f>Settings!$C$13</f>
        <v/>
      </c>
      <c r="D121" s="8">
        <f>Settings!$C$14</f>
        <v/>
      </c>
    </row>
    <row r="122" ht="15" customHeight="1">
      <c r="A122" s="14" t="n">
        <v>46370</v>
      </c>
      <c r="B122" s="8">
        <f>IFERROR(VLOOKUP($A122,Weekly_Agg!$A:$W,2,FALSE),"")</f>
        <v/>
      </c>
      <c r="C122" s="8">
        <f>Settings!$C$13</f>
        <v/>
      </c>
      <c r="D122" s="8">
        <f>Settings!$C$14</f>
        <v/>
      </c>
    </row>
    <row r="123" ht="15" customHeight="1">
      <c r="A123" s="14" t="n">
        <v>46377</v>
      </c>
      <c r="B123" s="8">
        <f>IFERROR(VLOOKUP($A123,Weekly_Agg!$A:$W,2,FALSE),"")</f>
        <v/>
      </c>
      <c r="C123" s="8">
        <f>Settings!$C$13</f>
        <v/>
      </c>
      <c r="D123" s="8">
        <f>Settings!$C$14</f>
        <v/>
      </c>
    </row>
    <row r="124" ht="15" customHeight="1">
      <c r="A124" s="14" t="n">
        <v>46384</v>
      </c>
      <c r="B124" s="8">
        <f>IFERROR(VLOOKUP($A124,Weekly_Agg!$A:$W,2,FALSE),"")</f>
        <v/>
      </c>
      <c r="C124" s="8">
        <f>Settings!$C$13</f>
        <v/>
      </c>
      <c r="D124" s="8">
        <f>Settings!$C$14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10" defaultRowHeight="16"/>
  <sheetData>
    <row r="1" ht="19" customHeight="1">
      <c r="A1" s="1" t="inlineStr">
        <is>
          <t>Dashboard Charts (plan vs actual)</t>
        </is>
      </c>
    </row>
    <row r="2" ht="15" customHeight="1">
      <c r="H2" t="inlineStr">
        <is>
          <t>RelationshipActive?</t>
        </is>
      </c>
      <c r="I2">
        <f>IF(COUNTIFS(Raw_Events!$G:$G,"RELATIONSHIP_START")=0,0,IF(MAXIFS(Raw_Events!$C:$C,Raw_Events!$G:$G,"RELATIONSHIP_START")&gt;IF(COUNTIFS(Raw_Events!$G:$G,"RELATIONSHIP_END")=0,DATE(1900,1,1),MAXIFS(Raw_Events!$C:$C,Raw_Events!$G:$G,"RELATIONSHIP_END")),1,0))</f>
        <v/>
      </c>
      <c r="O2" s="32" t="inlineStr">
        <is>
          <t>Progress (YTD / targets)</t>
        </is>
      </c>
    </row>
    <row r="3">
      <c r="A3" s="32" t="inlineStr">
        <is>
          <t>Expenses</t>
        </is>
      </c>
      <c r="H3" t="inlineStr">
        <is>
          <t>As-of date</t>
        </is>
      </c>
      <c r="I3">
        <f>Settings!B7</f>
        <v/>
      </c>
      <c r="O3" s="31" t="inlineStr">
        <is>
          <t>Metric</t>
        </is>
      </c>
      <c r="P3" s="31" t="inlineStr">
        <is>
          <t>Actual</t>
        </is>
      </c>
      <c r="Q3" s="31" t="inlineStr">
        <is>
          <t>Target</t>
        </is>
      </c>
      <c r="R3" s="31" t="inlineStr">
        <is>
          <t>Pct</t>
        </is>
      </c>
    </row>
    <row r="4" ht="32" customHeight="1">
      <c r="A4" s="31" t="inlineStr">
        <is>
          <t>WeekStart</t>
        </is>
      </c>
      <c r="B4" s="31" t="inlineStr">
        <is>
          <t>WeekExpense</t>
        </is>
      </c>
      <c r="C4" s="31" t="inlineStr">
        <is>
          <t>WeeklyCap</t>
        </is>
      </c>
      <c r="D4" s="31" t="inlineStr">
        <is>
          <t>CumExpenses</t>
        </is>
      </c>
      <c r="E4" s="31" t="inlineStr">
        <is>
          <t>TargetCumExpenses</t>
        </is>
      </c>
      <c r="O4" t="inlineStr">
        <is>
          <t>Expenses (YTD, cap)</t>
        </is>
      </c>
      <c r="P4">
        <f>Dashboard!E3</f>
        <v/>
      </c>
      <c r="Q4">
        <f>Settings!$C$11</f>
        <v/>
      </c>
      <c r="R4" s="33">
        <f>IF(Q4=0,"",P4/Q4)</f>
        <v/>
      </c>
    </row>
    <row r="5" ht="15" customHeight="1">
      <c r="A5" s="17">
        <f>Dashboard!A15</f>
        <v/>
      </c>
      <c r="B5">
        <f>Dashboard!B15</f>
        <v/>
      </c>
      <c r="C5">
        <f>Dashboard!N15</f>
        <v/>
      </c>
      <c r="D5">
        <f>Dashboard!C15</f>
        <v/>
      </c>
      <c r="E5">
        <f>Dashboard!D15</f>
        <v/>
      </c>
      <c r="O5" t="inlineStr">
        <is>
          <t>Cigarettes (YTD, cap)</t>
        </is>
      </c>
      <c r="P5">
        <f>Dashboard!E4</f>
        <v/>
      </c>
      <c r="Q5">
        <f>Settings!$C$20</f>
        <v/>
      </c>
      <c r="R5" s="33">
        <f>IF(Q5=0,"",P5/Q5)</f>
        <v/>
      </c>
    </row>
    <row r="6" ht="15" customHeight="1">
      <c r="A6" s="17">
        <f>Dashboard!A16</f>
        <v/>
      </c>
      <c r="B6">
        <f>Dashboard!B16</f>
        <v/>
      </c>
      <c r="C6">
        <f>Dashboard!N16</f>
        <v/>
      </c>
      <c r="D6">
        <f>Dashboard!C16</f>
        <v/>
      </c>
      <c r="E6">
        <f>Dashboard!D16</f>
        <v/>
      </c>
      <c r="O6" t="inlineStr">
        <is>
          <t>Alcohol avg (std/day, cap)</t>
        </is>
      </c>
      <c r="P6">
        <f>Dashboard!E5</f>
        <v/>
      </c>
      <c r="Q6">
        <f>Settings!$C$19</f>
        <v/>
      </c>
      <c r="R6" s="33">
        <f>IF(Q6=0,"",P6/Q6)</f>
        <v/>
      </c>
    </row>
    <row r="7" ht="15" customHeight="1">
      <c r="A7" s="17">
        <f>Dashboard!A17</f>
        <v/>
      </c>
      <c r="B7">
        <f>Dashboard!B17</f>
        <v/>
      </c>
      <c r="C7">
        <f>Dashboard!N17</f>
        <v/>
      </c>
      <c r="D7">
        <f>Dashboard!C17</f>
        <v/>
      </c>
      <c r="E7">
        <f>Dashboard!D17</f>
        <v/>
      </c>
      <c r="O7" t="inlineStr">
        <is>
          <t>Training hours (YTD)</t>
        </is>
      </c>
      <c r="P7">
        <f>Dashboard!E8</f>
        <v/>
      </c>
      <c r="Q7">
        <f>Settings!$C$25</f>
        <v/>
      </c>
      <c r="R7" s="33">
        <f>IF(Q7=0,"",P7/Q7)</f>
        <v/>
      </c>
    </row>
    <row r="8" ht="15" customHeight="1">
      <c r="A8" s="17">
        <f>Dashboard!A18</f>
        <v/>
      </c>
      <c r="B8">
        <f>Dashboard!B18</f>
        <v/>
      </c>
      <c r="C8">
        <f>Dashboard!N18</f>
        <v/>
      </c>
      <c r="D8">
        <f>Dashboard!C18</f>
        <v/>
      </c>
      <c r="E8">
        <f>Dashboard!D18</f>
        <v/>
      </c>
      <c r="O8" t="inlineStr">
        <is>
          <t>Books finished (YTD)</t>
        </is>
      </c>
      <c r="P8">
        <f>COUNTIFS(Raw_Events!$G:$G,"BOOK_FINISHED",Raw_Events!$C:$C,"&gt;="&amp;Settings!$B$4,Raw_Events!$C:$C,"&lt;="&amp;Settings!$B$5)</f>
        <v/>
      </c>
      <c r="Q8">
        <f>Settings!$C$24</f>
        <v/>
      </c>
      <c r="R8" s="33">
        <f>IF(Q8=0,"",P8/Q8)</f>
        <v/>
      </c>
    </row>
    <row r="9" ht="15" customHeight="1">
      <c r="A9" s="17">
        <f>Dashboard!A19</f>
        <v/>
      </c>
      <c r="B9">
        <f>Dashboard!B19</f>
        <v/>
      </c>
      <c r="C9">
        <f>Dashboard!N19</f>
        <v/>
      </c>
      <c r="D9">
        <f>Dashboard!C19</f>
        <v/>
      </c>
      <c r="E9">
        <f>Dashboard!D19</f>
        <v/>
      </c>
      <c r="O9" t="inlineStr">
        <is>
          <t>Ideas (YTD)</t>
        </is>
      </c>
      <c r="P9">
        <f>Dashboard!E9</f>
        <v/>
      </c>
      <c r="Q9">
        <f>Settings!$C$33</f>
        <v/>
      </c>
      <c r="R9" s="33">
        <f>IF(Q9=0,"",P9/Q9)</f>
        <v/>
      </c>
    </row>
    <row r="10" ht="15" customHeight="1">
      <c r="A10" s="17">
        <f>Dashboard!A20</f>
        <v/>
      </c>
      <c r="B10">
        <f>Dashboard!B20</f>
        <v/>
      </c>
      <c r="C10">
        <f>Dashboard!N20</f>
        <v/>
      </c>
      <c r="D10">
        <f>Dashboard!C20</f>
        <v/>
      </c>
      <c r="E10">
        <f>Dashboard!D20</f>
        <v/>
      </c>
      <c r="O10" t="inlineStr">
        <is>
          <t>New activities (YTD)</t>
        </is>
      </c>
      <c r="P10">
        <f>SUMIFS(Weekly_Agg!$U:$U,Weekly_Agg!$A:$A,"&gt;="&amp;Settings!$B$4,Weekly_Agg!$A:$A,"&lt;="&amp;Settings!$B$5)</f>
        <v/>
      </c>
      <c r="Q10">
        <f>Settings!$C$31</f>
        <v/>
      </c>
      <c r="R10" s="33">
        <f>IF(Q10=0,"",P10/Q10)</f>
        <v/>
      </c>
    </row>
    <row r="11" ht="15" customHeight="1">
      <c r="A11" s="17">
        <f>Dashboard!A21</f>
        <v/>
      </c>
      <c r="B11">
        <f>Dashboard!B21</f>
        <v/>
      </c>
      <c r="C11">
        <f>Dashboard!N21</f>
        <v/>
      </c>
      <c r="D11">
        <f>Dashboard!C21</f>
        <v/>
      </c>
      <c r="E11">
        <f>Dashboard!D21</f>
        <v/>
      </c>
      <c r="O11" t="inlineStr">
        <is>
          <t>Travel nights (YTD)</t>
        </is>
      </c>
      <c r="P11">
        <f>SUMIFS(Weekly_Agg!$V:$V,Weekly_Agg!$A:$A,"&gt;="&amp;Settings!$B$4,Weekly_Agg!$A:$A,"&lt;="&amp;Settings!$B$5)</f>
        <v/>
      </c>
      <c r="Q11">
        <f>Settings!$C$32</f>
        <v/>
      </c>
      <c r="R11" s="33">
        <f>IF(Q11=0,"",P11/Q11)</f>
        <v/>
      </c>
    </row>
    <row r="12" ht="15" customHeight="1">
      <c r="A12" s="17">
        <f>Dashboard!A22</f>
        <v/>
      </c>
      <c r="B12">
        <f>Dashboard!B22</f>
        <v/>
      </c>
      <c r="C12">
        <f>Dashboard!N22</f>
        <v/>
      </c>
      <c r="D12">
        <f>Dashboard!C22</f>
        <v/>
      </c>
      <c r="E12">
        <f>Dashboard!D22</f>
        <v/>
      </c>
      <c r="O12" t="inlineStr">
        <is>
          <t>People met 2+ (Social)</t>
        </is>
      </c>
      <c r="P12">
        <f>Dashboard!E10</f>
        <v/>
      </c>
      <c r="Q12">
        <f>Settings!$C$35</f>
        <v/>
      </c>
      <c r="R12" s="33">
        <f>IF(Q12=0,"",P12/Q12)</f>
        <v/>
      </c>
    </row>
    <row r="13" ht="15" customHeight="1">
      <c r="A13" s="17">
        <f>Dashboard!A23</f>
        <v/>
      </c>
      <c r="B13">
        <f>Dashboard!B23</f>
        <v/>
      </c>
      <c r="C13">
        <f>Dashboard!N23</f>
        <v/>
      </c>
      <c r="D13">
        <f>Dashboard!C23</f>
        <v/>
      </c>
      <c r="E13">
        <f>Dashboard!D23</f>
        <v/>
      </c>
      <c r="O13" t="inlineStr">
        <is>
          <t>People met 5+ (Social)</t>
        </is>
      </c>
      <c r="P13">
        <f>Dashboard!E11</f>
        <v/>
      </c>
      <c r="Q13">
        <f>Settings!$C$36</f>
        <v/>
      </c>
      <c r="R13" s="33">
        <f>IF(Q13=0,"",P13/Q13)</f>
        <v/>
      </c>
    </row>
    <row r="14" ht="15" customHeight="1">
      <c r="A14" s="17">
        <f>Dashboard!A24</f>
        <v/>
      </c>
      <c r="B14">
        <f>Dashboard!B24</f>
        <v/>
      </c>
      <c r="C14">
        <f>Dashboard!N24</f>
        <v/>
      </c>
      <c r="D14">
        <f>Dashboard!C24</f>
        <v/>
      </c>
      <c r="E14">
        <f>Dashboard!D24</f>
        <v/>
      </c>
      <c r="O14" t="inlineStr">
        <is>
          <t>Pro contacts (unique)</t>
        </is>
      </c>
      <c r="P14">
        <f>Dashboard!E12</f>
        <v/>
      </c>
      <c r="Q14">
        <f>Settings!$C$26</f>
        <v/>
      </c>
      <c r="R14" s="33">
        <f>IF(Q14=0,"",P14/Q14)</f>
        <v/>
      </c>
    </row>
    <row r="15" ht="15" customHeight="1">
      <c r="A15" s="17">
        <f>Dashboard!A25</f>
        <v/>
      </c>
      <c r="B15">
        <f>Dashboard!B25</f>
        <v/>
      </c>
      <c r="C15">
        <f>Dashboard!N25</f>
        <v/>
      </c>
      <c r="D15">
        <f>Dashboard!C25</f>
        <v/>
      </c>
      <c r="E15">
        <f>Dashboard!D25</f>
        <v/>
      </c>
      <c r="O15" t="inlineStr">
        <is>
          <t>Sex partners (unique)</t>
        </is>
      </c>
      <c r="P15">
        <f>Dashboard!E13</f>
        <v/>
      </c>
      <c r="Q15">
        <f>Settings!$C$38</f>
        <v/>
      </c>
      <c r="R15" s="33">
        <f>IF(Q15=0,"",P15/Q15)</f>
        <v/>
      </c>
    </row>
    <row r="16" ht="15" customHeight="1">
      <c r="A16" s="17">
        <f>Dashboard!A26</f>
        <v/>
      </c>
      <c r="B16">
        <f>Dashboard!B26</f>
        <v/>
      </c>
      <c r="C16">
        <f>Dashboard!N26</f>
        <v/>
      </c>
      <c r="D16">
        <f>Dashboard!C26</f>
        <v/>
      </c>
      <c r="E16">
        <f>Dashboard!D26</f>
        <v/>
      </c>
      <c r="O16" t="inlineStr">
        <is>
          <t>Unhealthy meals/snacks (YTD, cap)</t>
        </is>
      </c>
      <c r="P16">
        <f>SUMIFS(Weekly_Agg!$R:$R,Weekly_Agg!$A:$A,"&gt;="&amp;Settings!$B$4,Weekly_Agg!$A:$A,"&lt;="&amp;Settings!$B$5)</f>
        <v/>
      </c>
      <c r="Q16">
        <f>Settings!$C$21</f>
        <v/>
      </c>
      <c r="R16" s="33">
        <f>IF(Q16=0,"",P16/Q16)</f>
        <v/>
      </c>
    </row>
    <row r="17" ht="15" customHeight="1">
      <c r="A17" s="17">
        <f>Dashboard!A27</f>
        <v/>
      </c>
      <c r="B17">
        <f>Dashboard!B27</f>
        <v/>
      </c>
      <c r="C17">
        <f>Dashboard!N27</f>
        <v/>
      </c>
      <c r="D17">
        <f>Dashboard!C27</f>
        <v/>
      </c>
      <c r="E17">
        <f>Dashboard!D27</f>
        <v/>
      </c>
      <c r="O17" t="inlineStr">
        <is>
          <t>Workouts skipped (YTD, cap)</t>
        </is>
      </c>
      <c r="P17">
        <f>SUMIFS(Weekly_Agg!$Z:$Z,Weekly_Agg!$A:$A,"&gt;="&amp;Settings!$B$4,Weekly_Agg!$A:$A,"&lt;="&amp;Settings!$B$5)</f>
        <v/>
      </c>
      <c r="Q17">
        <f>Settings!$C$22</f>
        <v/>
      </c>
      <c r="R17" s="33">
        <f>IF(Q17=0,"",P17/Q17)</f>
        <v/>
      </c>
    </row>
    <row r="18" ht="15" customHeight="1">
      <c r="A18" s="17">
        <f>Dashboard!A28</f>
        <v/>
      </c>
      <c r="B18">
        <f>Dashboard!B28</f>
        <v/>
      </c>
      <c r="C18">
        <f>Dashboard!N28</f>
        <v/>
      </c>
      <c r="D18">
        <f>Dashboard!C28</f>
        <v/>
      </c>
      <c r="E18">
        <f>Dashboard!D28</f>
        <v/>
      </c>
      <c r="O18" t="inlineStr">
        <is>
          <t>Lean body weight gain (kg)</t>
        </is>
      </c>
      <c r="P18">
        <f>IFERROR(LOOKUP(2,1/(Body_Metrics!$C$3:$C$1000&lt;&gt;""),Body_Metrics!$C$3:$C$1000)-INDEX(Body_Metrics!$C$3:$C$1000,MATCH(TRUE,Body_Metrics!$C$3:$C$1000&lt;&gt;"",0)),"")</f>
        <v/>
      </c>
      <c r="Q18">
        <f>Settings!$C$23</f>
        <v/>
      </c>
      <c r="R18" s="33">
        <f>IF(Q18=0,"",P18/Q18)</f>
        <v/>
      </c>
    </row>
    <row r="19" ht="15" customHeight="1">
      <c r="A19" s="17">
        <f>Dashboard!A29</f>
        <v/>
      </c>
      <c r="B19">
        <f>Dashboard!B29</f>
        <v/>
      </c>
      <c r="C19">
        <f>Dashboard!N29</f>
        <v/>
      </c>
      <c r="D19">
        <f>Dashboard!C29</f>
        <v/>
      </c>
      <c r="E19">
        <f>Dashboard!D29</f>
        <v/>
      </c>
    </row>
    <row r="20" ht="15" customHeight="1">
      <c r="A20" s="17">
        <f>Dashboard!A30</f>
        <v/>
      </c>
      <c r="B20">
        <f>Dashboard!B30</f>
        <v/>
      </c>
      <c r="C20">
        <f>Dashboard!N30</f>
        <v/>
      </c>
      <c r="D20">
        <f>Dashboard!C30</f>
        <v/>
      </c>
      <c r="E20">
        <f>Dashboard!D30</f>
        <v/>
      </c>
    </row>
    <row r="21" ht="15" customHeight="1">
      <c r="A21" s="17">
        <f>Dashboard!A31</f>
        <v/>
      </c>
      <c r="B21">
        <f>Dashboard!B31</f>
        <v/>
      </c>
      <c r="C21">
        <f>Dashboard!N31</f>
        <v/>
      </c>
      <c r="D21">
        <f>Dashboard!C31</f>
        <v/>
      </c>
      <c r="E21">
        <f>Dashboard!D31</f>
        <v/>
      </c>
    </row>
    <row r="22" ht="15" customHeight="1">
      <c r="A22" s="17">
        <f>Dashboard!A32</f>
        <v/>
      </c>
      <c r="B22">
        <f>Dashboard!B32</f>
        <v/>
      </c>
      <c r="C22">
        <f>Dashboard!N32</f>
        <v/>
      </c>
      <c r="D22">
        <f>Dashboard!C32</f>
        <v/>
      </c>
      <c r="E22">
        <f>Dashboard!D32</f>
        <v/>
      </c>
    </row>
    <row r="23" ht="15" customHeight="1">
      <c r="A23" s="17">
        <f>Dashboard!A33</f>
        <v/>
      </c>
      <c r="B23">
        <f>Dashboard!B33</f>
        <v/>
      </c>
      <c r="C23">
        <f>Dashboard!N33</f>
        <v/>
      </c>
      <c r="D23">
        <f>Dashboard!C33</f>
        <v/>
      </c>
      <c r="E23">
        <f>Dashboard!D33</f>
        <v/>
      </c>
    </row>
    <row r="24" ht="15" customHeight="1">
      <c r="A24" s="17">
        <f>Dashboard!A34</f>
        <v/>
      </c>
      <c r="B24">
        <f>Dashboard!B34</f>
        <v/>
      </c>
      <c r="C24">
        <f>Dashboard!N34</f>
        <v/>
      </c>
      <c r="D24">
        <f>Dashboard!C34</f>
        <v/>
      </c>
      <c r="E24">
        <f>Dashboard!D34</f>
        <v/>
      </c>
    </row>
    <row r="25" ht="15" customHeight="1">
      <c r="A25" s="17">
        <f>Dashboard!A35</f>
        <v/>
      </c>
      <c r="B25">
        <f>Dashboard!B35</f>
        <v/>
      </c>
      <c r="C25">
        <f>Dashboard!N35</f>
        <v/>
      </c>
      <c r="D25">
        <f>Dashboard!C35</f>
        <v/>
      </c>
      <c r="E25">
        <f>Dashboard!D35</f>
        <v/>
      </c>
    </row>
    <row r="26" ht="15" customHeight="1">
      <c r="A26" s="17">
        <f>Dashboard!A36</f>
        <v/>
      </c>
      <c r="B26">
        <f>Dashboard!B36</f>
        <v/>
      </c>
      <c r="C26">
        <f>Dashboard!N36</f>
        <v/>
      </c>
      <c r="D26">
        <f>Dashboard!C36</f>
        <v/>
      </c>
      <c r="E26">
        <f>Dashboard!D36</f>
        <v/>
      </c>
    </row>
    <row r="27" ht="15" customHeight="1">
      <c r="A27" s="17">
        <f>Dashboard!A37</f>
        <v/>
      </c>
      <c r="B27">
        <f>Dashboard!B37</f>
        <v/>
      </c>
      <c r="C27">
        <f>Dashboard!N37</f>
        <v/>
      </c>
      <c r="D27">
        <f>Dashboard!C37</f>
        <v/>
      </c>
      <c r="E27">
        <f>Dashboard!D37</f>
        <v/>
      </c>
    </row>
    <row r="28" ht="15" customHeight="1">
      <c r="A28" s="17">
        <f>Dashboard!A38</f>
        <v/>
      </c>
      <c r="B28">
        <f>Dashboard!B38</f>
        <v/>
      </c>
      <c r="C28">
        <f>Dashboard!N38</f>
        <v/>
      </c>
      <c r="D28">
        <f>Dashboard!C38</f>
        <v/>
      </c>
      <c r="E28">
        <f>Dashboard!D38</f>
        <v/>
      </c>
    </row>
    <row r="29" ht="15" customHeight="1">
      <c r="A29" s="17">
        <f>Dashboard!A39</f>
        <v/>
      </c>
      <c r="B29">
        <f>Dashboard!B39</f>
        <v/>
      </c>
      <c r="C29">
        <f>Dashboard!N39</f>
        <v/>
      </c>
      <c r="D29">
        <f>Dashboard!C39</f>
        <v/>
      </c>
      <c r="E29">
        <f>Dashboard!D39</f>
        <v/>
      </c>
    </row>
    <row r="30" ht="15" customHeight="1">
      <c r="A30" s="17">
        <f>Dashboard!A40</f>
        <v/>
      </c>
      <c r="B30">
        <f>Dashboard!B40</f>
        <v/>
      </c>
      <c r="C30">
        <f>Dashboard!N40</f>
        <v/>
      </c>
      <c r="D30">
        <f>Dashboard!C40</f>
        <v/>
      </c>
      <c r="E30">
        <f>Dashboard!D40</f>
        <v/>
      </c>
    </row>
    <row r="31" ht="15" customHeight="1">
      <c r="A31" s="17">
        <f>Dashboard!A41</f>
        <v/>
      </c>
      <c r="B31">
        <f>Dashboard!B41</f>
        <v/>
      </c>
      <c r="C31">
        <f>Dashboard!N41</f>
        <v/>
      </c>
      <c r="D31">
        <f>Dashboard!C41</f>
        <v/>
      </c>
      <c r="E31">
        <f>Dashboard!D41</f>
        <v/>
      </c>
    </row>
    <row r="32" ht="15" customHeight="1">
      <c r="A32" s="17">
        <f>Dashboard!A42</f>
        <v/>
      </c>
      <c r="B32">
        <f>Dashboard!B42</f>
        <v/>
      </c>
      <c r="C32">
        <f>Dashboard!N42</f>
        <v/>
      </c>
      <c r="D32">
        <f>Dashboard!C42</f>
        <v/>
      </c>
      <c r="E32">
        <f>Dashboard!D42</f>
        <v/>
      </c>
    </row>
    <row r="33" ht="15" customHeight="1">
      <c r="A33" s="17">
        <f>Dashboard!A43</f>
        <v/>
      </c>
      <c r="B33">
        <f>Dashboard!B43</f>
        <v/>
      </c>
      <c r="C33">
        <f>Dashboard!N43</f>
        <v/>
      </c>
      <c r="D33">
        <f>Dashboard!C43</f>
        <v/>
      </c>
      <c r="E33">
        <f>Dashboard!D43</f>
        <v/>
      </c>
    </row>
    <row r="34" ht="15" customHeight="1">
      <c r="A34" s="17">
        <f>Dashboard!A44</f>
        <v/>
      </c>
      <c r="B34">
        <f>Dashboard!B44</f>
        <v/>
      </c>
      <c r="C34">
        <f>Dashboard!N44</f>
        <v/>
      </c>
      <c r="D34">
        <f>Dashboard!C44</f>
        <v/>
      </c>
      <c r="E34">
        <f>Dashboard!D44</f>
        <v/>
      </c>
    </row>
    <row r="35" ht="15" customHeight="1">
      <c r="A35" s="17">
        <f>Dashboard!A45</f>
        <v/>
      </c>
      <c r="B35">
        <f>Dashboard!B45</f>
        <v/>
      </c>
      <c r="C35">
        <f>Dashboard!N45</f>
        <v/>
      </c>
      <c r="D35">
        <f>Dashboard!C45</f>
        <v/>
      </c>
      <c r="E35">
        <f>Dashboard!D45</f>
        <v/>
      </c>
    </row>
    <row r="36" ht="15" customHeight="1">
      <c r="A36" s="17">
        <f>Dashboard!A46</f>
        <v/>
      </c>
      <c r="B36">
        <f>Dashboard!B46</f>
        <v/>
      </c>
      <c r="C36">
        <f>Dashboard!N46</f>
        <v/>
      </c>
      <c r="D36">
        <f>Dashboard!C46</f>
        <v/>
      </c>
      <c r="E36">
        <f>Dashboard!D46</f>
        <v/>
      </c>
    </row>
    <row r="37" ht="15" customHeight="1">
      <c r="A37" s="17">
        <f>Dashboard!A47</f>
        <v/>
      </c>
      <c r="B37">
        <f>Dashboard!B47</f>
        <v/>
      </c>
      <c r="C37">
        <f>Dashboard!N47</f>
        <v/>
      </c>
      <c r="D37">
        <f>Dashboard!C47</f>
        <v/>
      </c>
      <c r="E37">
        <f>Dashboard!D47</f>
        <v/>
      </c>
    </row>
    <row r="38" ht="15" customHeight="1">
      <c r="A38" s="17">
        <f>Dashboard!A48</f>
        <v/>
      </c>
      <c r="B38">
        <f>Dashboard!B48</f>
        <v/>
      </c>
      <c r="C38">
        <f>Dashboard!N48</f>
        <v/>
      </c>
      <c r="D38">
        <f>Dashboard!C48</f>
        <v/>
      </c>
      <c r="E38">
        <f>Dashboard!D48</f>
        <v/>
      </c>
    </row>
    <row r="39" ht="15" customHeight="1">
      <c r="A39" s="17">
        <f>Dashboard!A49</f>
        <v/>
      </c>
      <c r="B39">
        <f>Dashboard!B49</f>
        <v/>
      </c>
      <c r="C39">
        <f>Dashboard!N49</f>
        <v/>
      </c>
      <c r="D39">
        <f>Dashboard!C49</f>
        <v/>
      </c>
      <c r="E39">
        <f>Dashboard!D49</f>
        <v/>
      </c>
    </row>
    <row r="40" ht="15" customHeight="1">
      <c r="A40" s="17">
        <f>Dashboard!A50</f>
        <v/>
      </c>
      <c r="B40">
        <f>Dashboard!B50</f>
        <v/>
      </c>
      <c r="C40">
        <f>Dashboard!N50</f>
        <v/>
      </c>
      <c r="D40">
        <f>Dashboard!C50</f>
        <v/>
      </c>
      <c r="E40">
        <f>Dashboard!D50</f>
        <v/>
      </c>
    </row>
    <row r="41" ht="15" customHeight="1">
      <c r="A41" s="17">
        <f>Dashboard!A51</f>
        <v/>
      </c>
      <c r="B41">
        <f>Dashboard!B51</f>
        <v/>
      </c>
      <c r="C41">
        <f>Dashboard!N51</f>
        <v/>
      </c>
      <c r="D41">
        <f>Dashboard!C51</f>
        <v/>
      </c>
      <c r="E41">
        <f>Dashboard!D51</f>
        <v/>
      </c>
    </row>
    <row r="42" ht="15" customHeight="1">
      <c r="A42" s="17">
        <f>Dashboard!A52</f>
        <v/>
      </c>
      <c r="B42">
        <f>Dashboard!B52</f>
        <v/>
      </c>
      <c r="C42">
        <f>Dashboard!N52</f>
        <v/>
      </c>
      <c r="D42">
        <f>Dashboard!C52</f>
        <v/>
      </c>
      <c r="E42">
        <f>Dashboard!D52</f>
        <v/>
      </c>
    </row>
    <row r="43" ht="15" customHeight="1">
      <c r="A43" s="17">
        <f>Dashboard!A53</f>
        <v/>
      </c>
      <c r="B43">
        <f>Dashboard!B53</f>
        <v/>
      </c>
      <c r="C43">
        <f>Dashboard!N53</f>
        <v/>
      </c>
      <c r="D43">
        <f>Dashboard!C53</f>
        <v/>
      </c>
      <c r="E43">
        <f>Dashboard!D53</f>
        <v/>
      </c>
    </row>
    <row r="44" ht="15" customHeight="1">
      <c r="A44" s="17">
        <f>Dashboard!A54</f>
        <v/>
      </c>
      <c r="B44">
        <f>Dashboard!B54</f>
        <v/>
      </c>
      <c r="C44">
        <f>Dashboard!N54</f>
        <v/>
      </c>
      <c r="D44">
        <f>Dashboard!C54</f>
        <v/>
      </c>
      <c r="E44">
        <f>Dashboard!D54</f>
        <v/>
      </c>
    </row>
    <row r="45" ht="15" customHeight="1">
      <c r="A45" s="17">
        <f>Dashboard!A55</f>
        <v/>
      </c>
      <c r="B45">
        <f>Dashboard!B55</f>
        <v/>
      </c>
      <c r="C45">
        <f>Dashboard!N55</f>
        <v/>
      </c>
      <c r="D45">
        <f>Dashboard!C55</f>
        <v/>
      </c>
      <c r="E45">
        <f>Dashboard!D55</f>
        <v/>
      </c>
    </row>
    <row r="46" ht="15" customHeight="1">
      <c r="A46" s="17">
        <f>Dashboard!A56</f>
        <v/>
      </c>
      <c r="B46">
        <f>Dashboard!B56</f>
        <v/>
      </c>
      <c r="C46">
        <f>Dashboard!N56</f>
        <v/>
      </c>
      <c r="D46">
        <f>Dashboard!C56</f>
        <v/>
      </c>
      <c r="E46">
        <f>Dashboard!D56</f>
        <v/>
      </c>
    </row>
    <row r="47" ht="15" customHeight="1">
      <c r="A47" s="17">
        <f>Dashboard!A57</f>
        <v/>
      </c>
      <c r="B47">
        <f>Dashboard!B57</f>
        <v/>
      </c>
      <c r="C47">
        <f>Dashboard!N57</f>
        <v/>
      </c>
      <c r="D47">
        <f>Dashboard!C57</f>
        <v/>
      </c>
      <c r="E47">
        <f>Dashboard!D57</f>
        <v/>
      </c>
    </row>
    <row r="48" ht="15" customHeight="1">
      <c r="A48" s="17">
        <f>Dashboard!A58</f>
        <v/>
      </c>
      <c r="B48">
        <f>Dashboard!B58</f>
        <v/>
      </c>
      <c r="C48">
        <f>Dashboard!N58</f>
        <v/>
      </c>
      <c r="D48">
        <f>Dashboard!C58</f>
        <v/>
      </c>
      <c r="E48">
        <f>Dashboard!D58</f>
        <v/>
      </c>
    </row>
    <row r="49" ht="15" customHeight="1">
      <c r="A49" s="17">
        <f>Dashboard!A59</f>
        <v/>
      </c>
      <c r="B49">
        <f>Dashboard!B59</f>
        <v/>
      </c>
      <c r="C49">
        <f>Dashboard!N59</f>
        <v/>
      </c>
      <c r="D49">
        <f>Dashboard!C59</f>
        <v/>
      </c>
      <c r="E49">
        <f>Dashboard!D59</f>
        <v/>
      </c>
    </row>
    <row r="50" ht="15" customHeight="1">
      <c r="A50" s="17">
        <f>Dashboard!A60</f>
        <v/>
      </c>
      <c r="B50">
        <f>Dashboard!B60</f>
        <v/>
      </c>
      <c r="C50">
        <f>Dashboard!N60</f>
        <v/>
      </c>
      <c r="D50">
        <f>Dashboard!C60</f>
        <v/>
      </c>
      <c r="E50">
        <f>Dashboard!D60</f>
        <v/>
      </c>
    </row>
    <row r="51" ht="15" customHeight="1">
      <c r="A51" s="17">
        <f>Dashboard!A61</f>
        <v/>
      </c>
      <c r="B51">
        <f>Dashboard!B61</f>
        <v/>
      </c>
      <c r="C51">
        <f>Dashboard!N61</f>
        <v/>
      </c>
      <c r="D51">
        <f>Dashboard!C61</f>
        <v/>
      </c>
      <c r="E51">
        <f>Dashboard!D61</f>
        <v/>
      </c>
    </row>
    <row r="52" ht="15" customHeight="1">
      <c r="A52" s="17">
        <f>Dashboard!A62</f>
        <v/>
      </c>
      <c r="B52">
        <f>Dashboard!B62</f>
        <v/>
      </c>
      <c r="C52">
        <f>Dashboard!N62</f>
        <v/>
      </c>
      <c r="D52">
        <f>Dashboard!C62</f>
        <v/>
      </c>
      <c r="E52">
        <f>Dashboard!D62</f>
        <v/>
      </c>
    </row>
    <row r="53" ht="15" customHeight="1">
      <c r="A53" s="17">
        <f>Dashboard!A63</f>
        <v/>
      </c>
      <c r="B53">
        <f>Dashboard!B63</f>
        <v/>
      </c>
      <c r="C53">
        <f>Dashboard!N63</f>
        <v/>
      </c>
      <c r="D53">
        <f>Dashboard!C63</f>
        <v/>
      </c>
      <c r="E53">
        <f>Dashboard!D63</f>
        <v/>
      </c>
    </row>
    <row r="54" ht="15" customHeight="1">
      <c r="A54" s="17">
        <f>Dashboard!A64</f>
        <v/>
      </c>
      <c r="B54">
        <f>Dashboard!B64</f>
        <v/>
      </c>
      <c r="C54">
        <f>Dashboard!N64</f>
        <v/>
      </c>
      <c r="D54">
        <f>Dashboard!C64</f>
        <v/>
      </c>
      <c r="E54">
        <f>Dashboard!D64</f>
        <v/>
      </c>
    </row>
    <row r="55" ht="15" customHeight="1">
      <c r="A55" s="17">
        <f>Dashboard!A65</f>
        <v/>
      </c>
      <c r="B55">
        <f>Dashboard!B65</f>
        <v/>
      </c>
      <c r="C55">
        <f>Dashboard!N65</f>
        <v/>
      </c>
      <c r="D55">
        <f>Dashboard!C65</f>
        <v/>
      </c>
      <c r="E55">
        <f>Dashboard!D65</f>
        <v/>
      </c>
    </row>
    <row r="56" ht="15" customHeight="1">
      <c r="A56" s="17">
        <f>Dashboard!A66</f>
        <v/>
      </c>
      <c r="B56">
        <f>Dashboard!B66</f>
        <v/>
      </c>
      <c r="C56">
        <f>Dashboard!N66</f>
        <v/>
      </c>
      <c r="D56">
        <f>Dashboard!C66</f>
        <v/>
      </c>
      <c r="E56">
        <f>Dashboard!D66</f>
        <v/>
      </c>
    </row>
    <row r="57"/>
    <row r="58"/>
    <row r="59"/>
    <row r="60" ht="15" customHeight="1">
      <c r="A60" s="32" t="inlineStr">
        <is>
          <t>Cigarettes</t>
        </is>
      </c>
    </row>
    <row r="61" ht="32" customHeight="1">
      <c r="A61" s="31" t="inlineStr">
        <is>
          <t>WeekStart</t>
        </is>
      </c>
      <c r="B61" s="31" t="inlineStr">
        <is>
          <t>WeekCigarettes</t>
        </is>
      </c>
      <c r="C61" s="31" t="inlineStr">
        <is>
          <t>CumCigarettes</t>
        </is>
      </c>
      <c r="D61" s="31" t="inlineStr">
        <is>
          <t>TargetCumCigs</t>
        </is>
      </c>
    </row>
    <row r="62" ht="15" customHeight="1">
      <c r="A62">
        <f>Dashboard!A15</f>
        <v/>
      </c>
      <c r="B62">
        <f>Dashboard!E15</f>
        <v/>
      </c>
      <c r="C62">
        <f>Dashboard!F15</f>
        <v/>
      </c>
      <c r="D62">
        <f>Dashboard!G15</f>
        <v/>
      </c>
    </row>
    <row r="63" ht="15" customHeight="1">
      <c r="A63">
        <f>Dashboard!A16</f>
        <v/>
      </c>
      <c r="B63">
        <f>Dashboard!E16</f>
        <v/>
      </c>
      <c r="C63">
        <f>Dashboard!F16</f>
        <v/>
      </c>
      <c r="D63">
        <f>Dashboard!G16</f>
        <v/>
      </c>
    </row>
    <row r="64" ht="15" customHeight="1">
      <c r="A64">
        <f>Dashboard!A17</f>
        <v/>
      </c>
      <c r="B64">
        <f>Dashboard!E17</f>
        <v/>
      </c>
      <c r="C64">
        <f>Dashboard!F17</f>
        <v/>
      </c>
      <c r="D64">
        <f>Dashboard!G17</f>
        <v/>
      </c>
    </row>
    <row r="65" ht="15" customHeight="1">
      <c r="A65">
        <f>Dashboard!A18</f>
        <v/>
      </c>
      <c r="B65">
        <f>Dashboard!E18</f>
        <v/>
      </c>
      <c r="C65">
        <f>Dashboard!F18</f>
        <v/>
      </c>
      <c r="D65">
        <f>Dashboard!G18</f>
        <v/>
      </c>
    </row>
    <row r="66" ht="15" customHeight="1">
      <c r="A66">
        <f>Dashboard!A19</f>
        <v/>
      </c>
      <c r="B66">
        <f>Dashboard!E19</f>
        <v/>
      </c>
      <c r="C66">
        <f>Dashboard!F19</f>
        <v/>
      </c>
      <c r="D66">
        <f>Dashboard!G19</f>
        <v/>
      </c>
    </row>
    <row r="67" ht="15" customHeight="1">
      <c r="A67">
        <f>Dashboard!A20</f>
        <v/>
      </c>
      <c r="B67">
        <f>Dashboard!E20</f>
        <v/>
      </c>
      <c r="C67">
        <f>Dashboard!F20</f>
        <v/>
      </c>
      <c r="D67">
        <f>Dashboard!G20</f>
        <v/>
      </c>
    </row>
    <row r="68" ht="15" customHeight="1">
      <c r="A68">
        <f>Dashboard!A21</f>
        <v/>
      </c>
      <c r="B68">
        <f>Dashboard!E21</f>
        <v/>
      </c>
      <c r="C68">
        <f>Dashboard!F21</f>
        <v/>
      </c>
      <c r="D68">
        <f>Dashboard!G21</f>
        <v/>
      </c>
    </row>
    <row r="69" ht="15" customHeight="1">
      <c r="A69">
        <f>Dashboard!A22</f>
        <v/>
      </c>
      <c r="B69">
        <f>Dashboard!E22</f>
        <v/>
      </c>
      <c r="C69">
        <f>Dashboard!F22</f>
        <v/>
      </c>
      <c r="D69">
        <f>Dashboard!G22</f>
        <v/>
      </c>
    </row>
    <row r="70" ht="15" customHeight="1">
      <c r="A70">
        <f>Dashboard!A23</f>
        <v/>
      </c>
      <c r="B70">
        <f>Dashboard!E23</f>
        <v/>
      </c>
      <c r="C70">
        <f>Dashboard!F23</f>
        <v/>
      </c>
      <c r="D70">
        <f>Dashboard!G23</f>
        <v/>
      </c>
    </row>
    <row r="71" ht="15" customHeight="1">
      <c r="A71">
        <f>Dashboard!A24</f>
        <v/>
      </c>
      <c r="B71">
        <f>Dashboard!E24</f>
        <v/>
      </c>
      <c r="C71">
        <f>Dashboard!F24</f>
        <v/>
      </c>
      <c r="D71">
        <f>Dashboard!G24</f>
        <v/>
      </c>
    </row>
    <row r="72" ht="15" customHeight="1">
      <c r="A72">
        <f>Dashboard!A25</f>
        <v/>
      </c>
      <c r="B72">
        <f>Dashboard!E25</f>
        <v/>
      </c>
      <c r="C72">
        <f>Dashboard!F25</f>
        <v/>
      </c>
      <c r="D72">
        <f>Dashboard!G25</f>
        <v/>
      </c>
    </row>
    <row r="73" ht="15" customHeight="1">
      <c r="A73">
        <f>Dashboard!A26</f>
        <v/>
      </c>
      <c r="B73">
        <f>Dashboard!E26</f>
        <v/>
      </c>
      <c r="C73">
        <f>Dashboard!F26</f>
        <v/>
      </c>
      <c r="D73">
        <f>Dashboard!G26</f>
        <v/>
      </c>
    </row>
    <row r="74" ht="15" customHeight="1">
      <c r="A74">
        <f>Dashboard!A27</f>
        <v/>
      </c>
      <c r="B74">
        <f>Dashboard!E27</f>
        <v/>
      </c>
      <c r="C74">
        <f>Dashboard!F27</f>
        <v/>
      </c>
      <c r="D74">
        <f>Dashboard!G27</f>
        <v/>
      </c>
    </row>
    <row r="75" ht="15" customHeight="1">
      <c r="A75">
        <f>Dashboard!A28</f>
        <v/>
      </c>
      <c r="B75">
        <f>Dashboard!E28</f>
        <v/>
      </c>
      <c r="C75">
        <f>Dashboard!F28</f>
        <v/>
      </c>
      <c r="D75">
        <f>Dashboard!G28</f>
        <v/>
      </c>
    </row>
    <row r="76" ht="15" customHeight="1">
      <c r="A76">
        <f>Dashboard!A29</f>
        <v/>
      </c>
      <c r="B76">
        <f>Dashboard!E29</f>
        <v/>
      </c>
      <c r="C76">
        <f>Dashboard!F29</f>
        <v/>
      </c>
      <c r="D76">
        <f>Dashboard!G29</f>
        <v/>
      </c>
    </row>
    <row r="77" ht="15" customHeight="1">
      <c r="A77">
        <f>Dashboard!A30</f>
        <v/>
      </c>
      <c r="B77">
        <f>Dashboard!E30</f>
        <v/>
      </c>
      <c r="C77">
        <f>Dashboard!F30</f>
        <v/>
      </c>
      <c r="D77">
        <f>Dashboard!G30</f>
        <v/>
      </c>
    </row>
    <row r="78" ht="15" customHeight="1">
      <c r="A78">
        <f>Dashboard!A31</f>
        <v/>
      </c>
      <c r="B78">
        <f>Dashboard!E31</f>
        <v/>
      </c>
      <c r="C78">
        <f>Dashboard!F31</f>
        <v/>
      </c>
      <c r="D78">
        <f>Dashboard!G31</f>
        <v/>
      </c>
    </row>
    <row r="79" ht="15" customHeight="1">
      <c r="A79">
        <f>Dashboard!A32</f>
        <v/>
      </c>
      <c r="B79">
        <f>Dashboard!E32</f>
        <v/>
      </c>
      <c r="C79">
        <f>Dashboard!F32</f>
        <v/>
      </c>
      <c r="D79">
        <f>Dashboard!G32</f>
        <v/>
      </c>
    </row>
    <row r="80" ht="15" customHeight="1">
      <c r="A80">
        <f>Dashboard!A33</f>
        <v/>
      </c>
      <c r="B80">
        <f>Dashboard!E33</f>
        <v/>
      </c>
      <c r="C80">
        <f>Dashboard!F33</f>
        <v/>
      </c>
      <c r="D80">
        <f>Dashboard!G33</f>
        <v/>
      </c>
    </row>
    <row r="81" ht="15" customHeight="1">
      <c r="A81">
        <f>Dashboard!A34</f>
        <v/>
      </c>
      <c r="B81">
        <f>Dashboard!E34</f>
        <v/>
      </c>
      <c r="C81">
        <f>Dashboard!F34</f>
        <v/>
      </c>
      <c r="D81">
        <f>Dashboard!G34</f>
        <v/>
      </c>
    </row>
    <row r="82" ht="15" customHeight="1">
      <c r="A82">
        <f>Dashboard!A35</f>
        <v/>
      </c>
      <c r="B82">
        <f>Dashboard!E35</f>
        <v/>
      </c>
      <c r="C82">
        <f>Dashboard!F35</f>
        <v/>
      </c>
      <c r="D82">
        <f>Dashboard!G35</f>
        <v/>
      </c>
    </row>
    <row r="83" ht="15" customHeight="1">
      <c r="A83">
        <f>Dashboard!A36</f>
        <v/>
      </c>
      <c r="B83">
        <f>Dashboard!E36</f>
        <v/>
      </c>
      <c r="C83">
        <f>Dashboard!F36</f>
        <v/>
      </c>
      <c r="D83">
        <f>Dashboard!G36</f>
        <v/>
      </c>
    </row>
    <row r="84" ht="15" customHeight="1">
      <c r="A84">
        <f>Dashboard!A37</f>
        <v/>
      </c>
      <c r="B84">
        <f>Dashboard!E37</f>
        <v/>
      </c>
      <c r="C84">
        <f>Dashboard!F37</f>
        <v/>
      </c>
      <c r="D84">
        <f>Dashboard!G37</f>
        <v/>
      </c>
    </row>
    <row r="85" ht="15" customHeight="1">
      <c r="A85">
        <f>Dashboard!A38</f>
        <v/>
      </c>
      <c r="B85">
        <f>Dashboard!E38</f>
        <v/>
      </c>
      <c r="C85">
        <f>Dashboard!F38</f>
        <v/>
      </c>
      <c r="D85">
        <f>Dashboard!G38</f>
        <v/>
      </c>
    </row>
    <row r="86" ht="15" customHeight="1">
      <c r="A86">
        <f>Dashboard!A39</f>
        <v/>
      </c>
      <c r="B86">
        <f>Dashboard!E39</f>
        <v/>
      </c>
      <c r="C86">
        <f>Dashboard!F39</f>
        <v/>
      </c>
      <c r="D86">
        <f>Dashboard!G39</f>
        <v/>
      </c>
    </row>
    <row r="87" ht="15" customHeight="1">
      <c r="A87">
        <f>Dashboard!A40</f>
        <v/>
      </c>
      <c r="B87">
        <f>Dashboard!E40</f>
        <v/>
      </c>
      <c r="C87">
        <f>Dashboard!F40</f>
        <v/>
      </c>
      <c r="D87">
        <f>Dashboard!G40</f>
        <v/>
      </c>
    </row>
    <row r="88" ht="15" customHeight="1">
      <c r="A88">
        <f>Dashboard!A41</f>
        <v/>
      </c>
      <c r="B88">
        <f>Dashboard!E41</f>
        <v/>
      </c>
      <c r="C88">
        <f>Dashboard!F41</f>
        <v/>
      </c>
      <c r="D88">
        <f>Dashboard!G41</f>
        <v/>
      </c>
    </row>
    <row r="89" ht="15" customHeight="1">
      <c r="A89">
        <f>Dashboard!A42</f>
        <v/>
      </c>
      <c r="B89">
        <f>Dashboard!E42</f>
        <v/>
      </c>
      <c r="C89">
        <f>Dashboard!F42</f>
        <v/>
      </c>
      <c r="D89">
        <f>Dashboard!G42</f>
        <v/>
      </c>
    </row>
    <row r="90" ht="15" customHeight="1">
      <c r="A90">
        <f>Dashboard!A43</f>
        <v/>
      </c>
      <c r="B90">
        <f>Dashboard!E43</f>
        <v/>
      </c>
      <c r="C90">
        <f>Dashboard!F43</f>
        <v/>
      </c>
      <c r="D90">
        <f>Dashboard!G43</f>
        <v/>
      </c>
    </row>
    <row r="91" ht="15" customHeight="1">
      <c r="A91">
        <f>Dashboard!A44</f>
        <v/>
      </c>
      <c r="B91">
        <f>Dashboard!E44</f>
        <v/>
      </c>
      <c r="C91">
        <f>Dashboard!F44</f>
        <v/>
      </c>
      <c r="D91">
        <f>Dashboard!G44</f>
        <v/>
      </c>
    </row>
    <row r="92" ht="15" customHeight="1">
      <c r="A92">
        <f>Dashboard!A45</f>
        <v/>
      </c>
      <c r="B92">
        <f>Dashboard!E45</f>
        <v/>
      </c>
      <c r="C92">
        <f>Dashboard!F45</f>
        <v/>
      </c>
      <c r="D92">
        <f>Dashboard!G45</f>
        <v/>
      </c>
    </row>
    <row r="93" ht="15" customHeight="1">
      <c r="A93">
        <f>Dashboard!A46</f>
        <v/>
      </c>
      <c r="B93">
        <f>Dashboard!E46</f>
        <v/>
      </c>
      <c r="C93">
        <f>Dashboard!F46</f>
        <v/>
      </c>
      <c r="D93">
        <f>Dashboard!G46</f>
        <v/>
      </c>
    </row>
    <row r="94" ht="15" customHeight="1">
      <c r="A94">
        <f>Dashboard!A47</f>
        <v/>
      </c>
      <c r="B94">
        <f>Dashboard!E47</f>
        <v/>
      </c>
      <c r="C94">
        <f>Dashboard!F47</f>
        <v/>
      </c>
      <c r="D94">
        <f>Dashboard!G47</f>
        <v/>
      </c>
    </row>
    <row r="95" ht="15" customHeight="1">
      <c r="A95">
        <f>Dashboard!A48</f>
        <v/>
      </c>
      <c r="B95">
        <f>Dashboard!E48</f>
        <v/>
      </c>
      <c r="C95">
        <f>Dashboard!F48</f>
        <v/>
      </c>
      <c r="D95">
        <f>Dashboard!G48</f>
        <v/>
      </c>
    </row>
    <row r="96" ht="15" customHeight="1">
      <c r="A96">
        <f>Dashboard!A49</f>
        <v/>
      </c>
      <c r="B96">
        <f>Dashboard!E49</f>
        <v/>
      </c>
      <c r="C96">
        <f>Dashboard!F49</f>
        <v/>
      </c>
      <c r="D96">
        <f>Dashboard!G49</f>
        <v/>
      </c>
    </row>
    <row r="97" ht="15" customHeight="1">
      <c r="A97">
        <f>Dashboard!A50</f>
        <v/>
      </c>
      <c r="B97">
        <f>Dashboard!E50</f>
        <v/>
      </c>
      <c r="C97">
        <f>Dashboard!F50</f>
        <v/>
      </c>
      <c r="D97">
        <f>Dashboard!G50</f>
        <v/>
      </c>
    </row>
    <row r="98" ht="15" customHeight="1">
      <c r="A98">
        <f>Dashboard!A51</f>
        <v/>
      </c>
      <c r="B98">
        <f>Dashboard!E51</f>
        <v/>
      </c>
      <c r="C98">
        <f>Dashboard!F51</f>
        <v/>
      </c>
      <c r="D98">
        <f>Dashboard!G51</f>
        <v/>
      </c>
    </row>
    <row r="99" ht="15" customHeight="1">
      <c r="A99">
        <f>Dashboard!A52</f>
        <v/>
      </c>
      <c r="B99">
        <f>Dashboard!E52</f>
        <v/>
      </c>
      <c r="C99">
        <f>Dashboard!F52</f>
        <v/>
      </c>
      <c r="D99">
        <f>Dashboard!G52</f>
        <v/>
      </c>
    </row>
    <row r="100" ht="15" customHeight="1">
      <c r="A100">
        <f>Dashboard!A53</f>
        <v/>
      </c>
      <c r="B100">
        <f>Dashboard!E53</f>
        <v/>
      </c>
      <c r="C100">
        <f>Dashboard!F53</f>
        <v/>
      </c>
      <c r="D100">
        <f>Dashboard!G53</f>
        <v/>
      </c>
    </row>
    <row r="101" ht="15" customHeight="1">
      <c r="A101">
        <f>Dashboard!A54</f>
        <v/>
      </c>
      <c r="B101">
        <f>Dashboard!E54</f>
        <v/>
      </c>
      <c r="C101">
        <f>Dashboard!F54</f>
        <v/>
      </c>
      <c r="D101">
        <f>Dashboard!G54</f>
        <v/>
      </c>
    </row>
    <row r="102" ht="15" customHeight="1">
      <c r="A102">
        <f>Dashboard!A55</f>
        <v/>
      </c>
      <c r="B102">
        <f>Dashboard!E55</f>
        <v/>
      </c>
      <c r="C102">
        <f>Dashboard!F55</f>
        <v/>
      </c>
      <c r="D102">
        <f>Dashboard!G55</f>
        <v/>
      </c>
    </row>
    <row r="103" ht="15" customHeight="1">
      <c r="A103">
        <f>Dashboard!A56</f>
        <v/>
      </c>
      <c r="B103">
        <f>Dashboard!E56</f>
        <v/>
      </c>
      <c r="C103">
        <f>Dashboard!F56</f>
        <v/>
      </c>
      <c r="D103">
        <f>Dashboard!G56</f>
        <v/>
      </c>
    </row>
    <row r="104" ht="15" customHeight="1">
      <c r="A104">
        <f>Dashboard!A57</f>
        <v/>
      </c>
      <c r="B104">
        <f>Dashboard!E57</f>
        <v/>
      </c>
      <c r="C104">
        <f>Dashboard!F57</f>
        <v/>
      </c>
      <c r="D104">
        <f>Dashboard!G57</f>
        <v/>
      </c>
    </row>
    <row r="105" ht="15" customHeight="1">
      <c r="A105">
        <f>Dashboard!A58</f>
        <v/>
      </c>
      <c r="B105">
        <f>Dashboard!E58</f>
        <v/>
      </c>
      <c r="C105">
        <f>Dashboard!F58</f>
        <v/>
      </c>
      <c r="D105">
        <f>Dashboard!G58</f>
        <v/>
      </c>
    </row>
    <row r="106" ht="15" customHeight="1">
      <c r="A106">
        <f>Dashboard!A59</f>
        <v/>
      </c>
      <c r="B106">
        <f>Dashboard!E59</f>
        <v/>
      </c>
      <c r="C106">
        <f>Dashboard!F59</f>
        <v/>
      </c>
      <c r="D106">
        <f>Dashboard!G59</f>
        <v/>
      </c>
    </row>
    <row r="107" ht="15" customHeight="1">
      <c r="A107">
        <f>Dashboard!A60</f>
        <v/>
      </c>
      <c r="B107">
        <f>Dashboard!E60</f>
        <v/>
      </c>
      <c r="C107">
        <f>Dashboard!F60</f>
        <v/>
      </c>
      <c r="D107">
        <f>Dashboard!G60</f>
        <v/>
      </c>
    </row>
    <row r="108" ht="15" customHeight="1">
      <c r="A108">
        <f>Dashboard!A61</f>
        <v/>
      </c>
      <c r="B108">
        <f>Dashboard!E61</f>
        <v/>
      </c>
      <c r="C108">
        <f>Dashboard!F61</f>
        <v/>
      </c>
      <c r="D108">
        <f>Dashboard!G61</f>
        <v/>
      </c>
    </row>
    <row r="109" ht="15" customHeight="1">
      <c r="A109">
        <f>Dashboard!A62</f>
        <v/>
      </c>
      <c r="B109">
        <f>Dashboard!E62</f>
        <v/>
      </c>
      <c r="C109">
        <f>Dashboard!F62</f>
        <v/>
      </c>
      <c r="D109">
        <f>Dashboard!G62</f>
        <v/>
      </c>
    </row>
    <row r="110" ht="15" customHeight="1">
      <c r="A110">
        <f>Dashboard!A63</f>
        <v/>
      </c>
      <c r="B110">
        <f>Dashboard!E63</f>
        <v/>
      </c>
      <c r="C110">
        <f>Dashboard!F63</f>
        <v/>
      </c>
      <c r="D110">
        <f>Dashboard!G63</f>
        <v/>
      </c>
    </row>
    <row r="111" ht="15" customHeight="1">
      <c r="A111">
        <f>Dashboard!A64</f>
        <v/>
      </c>
      <c r="B111">
        <f>Dashboard!E64</f>
        <v/>
      </c>
      <c r="C111">
        <f>Dashboard!F64</f>
        <v/>
      </c>
      <c r="D111">
        <f>Dashboard!G64</f>
        <v/>
      </c>
    </row>
    <row r="112" ht="15" customHeight="1">
      <c r="A112">
        <f>Dashboard!A65</f>
        <v/>
      </c>
      <c r="B112">
        <f>Dashboard!E65</f>
        <v/>
      </c>
      <c r="C112">
        <f>Dashboard!F65</f>
        <v/>
      </c>
      <c r="D112">
        <f>Dashboard!G65</f>
        <v/>
      </c>
    </row>
    <row r="113" ht="15" customHeight="1">
      <c r="A113">
        <f>Dashboard!A66</f>
        <v/>
      </c>
      <c r="B113">
        <f>Dashboard!E66</f>
        <v/>
      </c>
      <c r="C113">
        <f>Dashboard!F66</f>
        <v/>
      </c>
      <c r="D113">
        <f>Dashboard!G66</f>
        <v/>
      </c>
    </row>
    <row r="114"/>
    <row r="115" ht="15" customHeight="1">
      <c r="A115" s="32" t="inlineStr">
        <is>
          <t>Alcohol</t>
        </is>
      </c>
    </row>
    <row r="116" ht="32" customHeight="1">
      <c r="A116" s="31" t="inlineStr">
        <is>
          <t>WeekStart</t>
        </is>
      </c>
      <c r="B116" s="31" t="inlineStr">
        <is>
          <t>WeekAlcoholStd</t>
        </is>
      </c>
      <c r="C116" s="31" t="inlineStr">
        <is>
          <t>CumAlcoholStd</t>
        </is>
      </c>
      <c r="D116" s="31" t="inlineStr">
        <is>
          <t>TargetCumAlcoholStd</t>
        </is>
      </c>
    </row>
    <row r="117" ht="15" customHeight="1">
      <c r="A117">
        <f>Dashboard!A15</f>
        <v/>
      </c>
      <c r="B117">
        <f>Dashboard!H15</f>
        <v/>
      </c>
      <c r="C117">
        <f>Dashboard!I15</f>
        <v/>
      </c>
      <c r="D117">
        <f>Dashboard!J15</f>
        <v/>
      </c>
    </row>
    <row r="118" ht="15" customHeight="1">
      <c r="A118">
        <f>Dashboard!A16</f>
        <v/>
      </c>
      <c r="B118">
        <f>Dashboard!H16</f>
        <v/>
      </c>
      <c r="C118">
        <f>Dashboard!I16</f>
        <v/>
      </c>
      <c r="D118">
        <f>Dashboard!J16</f>
        <v/>
      </c>
    </row>
    <row r="119" ht="15" customHeight="1">
      <c r="A119">
        <f>Dashboard!A17</f>
        <v/>
      </c>
      <c r="B119">
        <f>Dashboard!H17</f>
        <v/>
      </c>
      <c r="C119">
        <f>Dashboard!I17</f>
        <v/>
      </c>
      <c r="D119">
        <f>Dashboard!J17</f>
        <v/>
      </c>
    </row>
    <row r="120" ht="15" customHeight="1">
      <c r="A120">
        <f>Dashboard!A18</f>
        <v/>
      </c>
      <c r="B120">
        <f>Dashboard!H18</f>
        <v/>
      </c>
      <c r="C120">
        <f>Dashboard!I18</f>
        <v/>
      </c>
      <c r="D120">
        <f>Dashboard!J18</f>
        <v/>
      </c>
    </row>
    <row r="121" ht="15" customHeight="1">
      <c r="A121">
        <f>Dashboard!A19</f>
        <v/>
      </c>
      <c r="B121">
        <f>Dashboard!H19</f>
        <v/>
      </c>
      <c r="C121">
        <f>Dashboard!I19</f>
        <v/>
      </c>
      <c r="D121">
        <f>Dashboard!J19</f>
        <v/>
      </c>
    </row>
    <row r="122" ht="15" customHeight="1">
      <c r="A122">
        <f>Dashboard!A20</f>
        <v/>
      </c>
      <c r="B122">
        <f>Dashboard!H20</f>
        <v/>
      </c>
      <c r="C122">
        <f>Dashboard!I20</f>
        <v/>
      </c>
      <c r="D122">
        <f>Dashboard!J20</f>
        <v/>
      </c>
    </row>
    <row r="123" ht="15" customHeight="1">
      <c r="A123">
        <f>Dashboard!A21</f>
        <v/>
      </c>
      <c r="B123">
        <f>Dashboard!H21</f>
        <v/>
      </c>
      <c r="C123">
        <f>Dashboard!I21</f>
        <v/>
      </c>
      <c r="D123">
        <f>Dashboard!J21</f>
        <v/>
      </c>
    </row>
    <row r="124" ht="15" customHeight="1">
      <c r="A124">
        <f>Dashboard!A22</f>
        <v/>
      </c>
      <c r="B124">
        <f>Dashboard!H22</f>
        <v/>
      </c>
      <c r="C124">
        <f>Dashboard!I22</f>
        <v/>
      </c>
      <c r="D124">
        <f>Dashboard!J22</f>
        <v/>
      </c>
    </row>
    <row r="125" ht="15" customHeight="1">
      <c r="A125">
        <f>Dashboard!A23</f>
        <v/>
      </c>
      <c r="B125">
        <f>Dashboard!H23</f>
        <v/>
      </c>
      <c r="C125">
        <f>Dashboard!I23</f>
        <v/>
      </c>
      <c r="D125">
        <f>Dashboard!J23</f>
        <v/>
      </c>
    </row>
    <row r="126" ht="15" customHeight="1">
      <c r="A126">
        <f>Dashboard!A24</f>
        <v/>
      </c>
      <c r="B126">
        <f>Dashboard!H24</f>
        <v/>
      </c>
      <c r="C126">
        <f>Dashboard!I24</f>
        <v/>
      </c>
      <c r="D126">
        <f>Dashboard!J24</f>
        <v/>
      </c>
    </row>
    <row r="127" ht="15" customHeight="1">
      <c r="A127">
        <f>Dashboard!A25</f>
        <v/>
      </c>
      <c r="B127">
        <f>Dashboard!H25</f>
        <v/>
      </c>
      <c r="C127">
        <f>Dashboard!I25</f>
        <v/>
      </c>
      <c r="D127">
        <f>Dashboard!J25</f>
        <v/>
      </c>
    </row>
    <row r="128" ht="15" customHeight="1">
      <c r="A128">
        <f>Dashboard!A26</f>
        <v/>
      </c>
      <c r="B128">
        <f>Dashboard!H26</f>
        <v/>
      </c>
      <c r="C128">
        <f>Dashboard!I26</f>
        <v/>
      </c>
      <c r="D128">
        <f>Dashboard!J26</f>
        <v/>
      </c>
    </row>
    <row r="129" ht="15" customHeight="1">
      <c r="A129">
        <f>Dashboard!A27</f>
        <v/>
      </c>
      <c r="B129">
        <f>Dashboard!H27</f>
        <v/>
      </c>
      <c r="C129">
        <f>Dashboard!I27</f>
        <v/>
      </c>
      <c r="D129">
        <f>Dashboard!J27</f>
        <v/>
      </c>
    </row>
    <row r="130" ht="15" customHeight="1">
      <c r="A130">
        <f>Dashboard!A28</f>
        <v/>
      </c>
      <c r="B130">
        <f>Dashboard!H28</f>
        <v/>
      </c>
      <c r="C130">
        <f>Dashboard!I28</f>
        <v/>
      </c>
      <c r="D130">
        <f>Dashboard!J28</f>
        <v/>
      </c>
    </row>
    <row r="131" ht="15" customHeight="1">
      <c r="A131">
        <f>Dashboard!A29</f>
        <v/>
      </c>
      <c r="B131">
        <f>Dashboard!H29</f>
        <v/>
      </c>
      <c r="C131">
        <f>Dashboard!I29</f>
        <v/>
      </c>
      <c r="D131">
        <f>Dashboard!J29</f>
        <v/>
      </c>
    </row>
    <row r="132" ht="15" customHeight="1">
      <c r="A132">
        <f>Dashboard!A30</f>
        <v/>
      </c>
      <c r="B132">
        <f>Dashboard!H30</f>
        <v/>
      </c>
      <c r="C132">
        <f>Dashboard!I30</f>
        <v/>
      </c>
      <c r="D132">
        <f>Dashboard!J30</f>
        <v/>
      </c>
    </row>
    <row r="133" ht="15" customHeight="1">
      <c r="A133">
        <f>Dashboard!A31</f>
        <v/>
      </c>
      <c r="B133">
        <f>Dashboard!H31</f>
        <v/>
      </c>
      <c r="C133">
        <f>Dashboard!I31</f>
        <v/>
      </c>
      <c r="D133">
        <f>Dashboard!J31</f>
        <v/>
      </c>
    </row>
    <row r="134" ht="15" customHeight="1">
      <c r="A134">
        <f>Dashboard!A32</f>
        <v/>
      </c>
      <c r="B134">
        <f>Dashboard!H32</f>
        <v/>
      </c>
      <c r="C134">
        <f>Dashboard!I32</f>
        <v/>
      </c>
      <c r="D134">
        <f>Dashboard!J32</f>
        <v/>
      </c>
    </row>
    <row r="135" ht="15" customHeight="1">
      <c r="A135">
        <f>Dashboard!A33</f>
        <v/>
      </c>
      <c r="B135">
        <f>Dashboard!H33</f>
        <v/>
      </c>
      <c r="C135">
        <f>Dashboard!I33</f>
        <v/>
      </c>
      <c r="D135">
        <f>Dashboard!J33</f>
        <v/>
      </c>
    </row>
    <row r="136" ht="15" customHeight="1">
      <c r="A136">
        <f>Dashboard!A34</f>
        <v/>
      </c>
      <c r="B136">
        <f>Dashboard!H34</f>
        <v/>
      </c>
      <c r="C136">
        <f>Dashboard!I34</f>
        <v/>
      </c>
      <c r="D136">
        <f>Dashboard!J34</f>
        <v/>
      </c>
    </row>
    <row r="137" ht="15" customHeight="1">
      <c r="A137">
        <f>Dashboard!A35</f>
        <v/>
      </c>
      <c r="B137">
        <f>Dashboard!H35</f>
        <v/>
      </c>
      <c r="C137">
        <f>Dashboard!I35</f>
        <v/>
      </c>
      <c r="D137">
        <f>Dashboard!J35</f>
        <v/>
      </c>
    </row>
    <row r="138" ht="15" customHeight="1">
      <c r="A138">
        <f>Dashboard!A36</f>
        <v/>
      </c>
      <c r="B138">
        <f>Dashboard!H36</f>
        <v/>
      </c>
      <c r="C138">
        <f>Dashboard!I36</f>
        <v/>
      </c>
      <c r="D138">
        <f>Dashboard!J36</f>
        <v/>
      </c>
    </row>
    <row r="139" ht="15" customHeight="1">
      <c r="A139">
        <f>Dashboard!A37</f>
        <v/>
      </c>
      <c r="B139">
        <f>Dashboard!H37</f>
        <v/>
      </c>
      <c r="C139">
        <f>Dashboard!I37</f>
        <v/>
      </c>
      <c r="D139">
        <f>Dashboard!J37</f>
        <v/>
      </c>
    </row>
    <row r="140" ht="15" customHeight="1">
      <c r="A140">
        <f>Dashboard!A38</f>
        <v/>
      </c>
      <c r="B140">
        <f>Dashboard!H38</f>
        <v/>
      </c>
      <c r="C140">
        <f>Dashboard!I38</f>
        <v/>
      </c>
      <c r="D140">
        <f>Dashboard!J38</f>
        <v/>
      </c>
    </row>
    <row r="141" ht="15" customHeight="1">
      <c r="A141">
        <f>Dashboard!A39</f>
        <v/>
      </c>
      <c r="B141">
        <f>Dashboard!H39</f>
        <v/>
      </c>
      <c r="C141">
        <f>Dashboard!I39</f>
        <v/>
      </c>
      <c r="D141">
        <f>Dashboard!J39</f>
        <v/>
      </c>
    </row>
    <row r="142" ht="15" customHeight="1">
      <c r="A142">
        <f>Dashboard!A40</f>
        <v/>
      </c>
      <c r="B142">
        <f>Dashboard!H40</f>
        <v/>
      </c>
      <c r="C142">
        <f>Dashboard!I40</f>
        <v/>
      </c>
      <c r="D142">
        <f>Dashboard!J40</f>
        <v/>
      </c>
    </row>
    <row r="143" ht="15" customHeight="1">
      <c r="A143">
        <f>Dashboard!A41</f>
        <v/>
      </c>
      <c r="B143">
        <f>Dashboard!H41</f>
        <v/>
      </c>
      <c r="C143">
        <f>Dashboard!I41</f>
        <v/>
      </c>
      <c r="D143">
        <f>Dashboard!J41</f>
        <v/>
      </c>
    </row>
    <row r="144" ht="15" customHeight="1">
      <c r="A144">
        <f>Dashboard!A42</f>
        <v/>
      </c>
      <c r="B144">
        <f>Dashboard!H42</f>
        <v/>
      </c>
      <c r="C144">
        <f>Dashboard!I42</f>
        <v/>
      </c>
      <c r="D144">
        <f>Dashboard!J42</f>
        <v/>
      </c>
    </row>
    <row r="145" ht="15" customHeight="1">
      <c r="A145">
        <f>Dashboard!A43</f>
        <v/>
      </c>
      <c r="B145">
        <f>Dashboard!H43</f>
        <v/>
      </c>
      <c r="C145">
        <f>Dashboard!I43</f>
        <v/>
      </c>
      <c r="D145">
        <f>Dashboard!J43</f>
        <v/>
      </c>
    </row>
    <row r="146" ht="15" customHeight="1">
      <c r="A146">
        <f>Dashboard!A44</f>
        <v/>
      </c>
      <c r="B146">
        <f>Dashboard!H44</f>
        <v/>
      </c>
      <c r="C146">
        <f>Dashboard!I44</f>
        <v/>
      </c>
      <c r="D146">
        <f>Dashboard!J44</f>
        <v/>
      </c>
    </row>
    <row r="147" ht="15" customHeight="1">
      <c r="A147">
        <f>Dashboard!A45</f>
        <v/>
      </c>
      <c r="B147">
        <f>Dashboard!H45</f>
        <v/>
      </c>
      <c r="C147">
        <f>Dashboard!I45</f>
        <v/>
      </c>
      <c r="D147">
        <f>Dashboard!J45</f>
        <v/>
      </c>
    </row>
    <row r="148" ht="15" customHeight="1">
      <c r="A148">
        <f>Dashboard!A46</f>
        <v/>
      </c>
      <c r="B148">
        <f>Dashboard!H46</f>
        <v/>
      </c>
      <c r="C148">
        <f>Dashboard!I46</f>
        <v/>
      </c>
      <c r="D148">
        <f>Dashboard!J46</f>
        <v/>
      </c>
    </row>
    <row r="149" ht="15" customHeight="1">
      <c r="A149">
        <f>Dashboard!A47</f>
        <v/>
      </c>
      <c r="B149">
        <f>Dashboard!H47</f>
        <v/>
      </c>
      <c r="C149">
        <f>Dashboard!I47</f>
        <v/>
      </c>
      <c r="D149">
        <f>Dashboard!J47</f>
        <v/>
      </c>
    </row>
    <row r="150" ht="15" customHeight="1">
      <c r="A150">
        <f>Dashboard!A48</f>
        <v/>
      </c>
      <c r="B150">
        <f>Dashboard!H48</f>
        <v/>
      </c>
      <c r="C150">
        <f>Dashboard!I48</f>
        <v/>
      </c>
      <c r="D150">
        <f>Dashboard!J48</f>
        <v/>
      </c>
    </row>
    <row r="151" ht="15" customHeight="1">
      <c r="A151">
        <f>Dashboard!A49</f>
        <v/>
      </c>
      <c r="B151">
        <f>Dashboard!H49</f>
        <v/>
      </c>
      <c r="C151">
        <f>Dashboard!I49</f>
        <v/>
      </c>
      <c r="D151">
        <f>Dashboard!J49</f>
        <v/>
      </c>
    </row>
    <row r="152" ht="15" customHeight="1">
      <c r="A152">
        <f>Dashboard!A50</f>
        <v/>
      </c>
      <c r="B152">
        <f>Dashboard!H50</f>
        <v/>
      </c>
      <c r="C152">
        <f>Dashboard!I50</f>
        <v/>
      </c>
      <c r="D152">
        <f>Dashboard!J50</f>
        <v/>
      </c>
    </row>
    <row r="153" ht="15" customHeight="1">
      <c r="A153">
        <f>Dashboard!A51</f>
        <v/>
      </c>
      <c r="B153">
        <f>Dashboard!H51</f>
        <v/>
      </c>
      <c r="C153">
        <f>Dashboard!I51</f>
        <v/>
      </c>
      <c r="D153">
        <f>Dashboard!J51</f>
        <v/>
      </c>
    </row>
    <row r="154" ht="15" customHeight="1">
      <c r="A154">
        <f>Dashboard!A52</f>
        <v/>
      </c>
      <c r="B154">
        <f>Dashboard!H52</f>
        <v/>
      </c>
      <c r="C154">
        <f>Dashboard!I52</f>
        <v/>
      </c>
      <c r="D154">
        <f>Dashboard!J52</f>
        <v/>
      </c>
    </row>
    <row r="155" ht="15" customHeight="1">
      <c r="A155">
        <f>Dashboard!A53</f>
        <v/>
      </c>
      <c r="B155">
        <f>Dashboard!H53</f>
        <v/>
      </c>
      <c r="C155">
        <f>Dashboard!I53</f>
        <v/>
      </c>
      <c r="D155">
        <f>Dashboard!J53</f>
        <v/>
      </c>
    </row>
    <row r="156" ht="15" customHeight="1">
      <c r="A156">
        <f>Dashboard!A54</f>
        <v/>
      </c>
      <c r="B156">
        <f>Dashboard!H54</f>
        <v/>
      </c>
      <c r="C156">
        <f>Dashboard!I54</f>
        <v/>
      </c>
      <c r="D156">
        <f>Dashboard!J54</f>
        <v/>
      </c>
    </row>
    <row r="157" ht="15" customHeight="1">
      <c r="A157">
        <f>Dashboard!A55</f>
        <v/>
      </c>
      <c r="B157">
        <f>Dashboard!H55</f>
        <v/>
      </c>
      <c r="C157">
        <f>Dashboard!I55</f>
        <v/>
      </c>
      <c r="D157">
        <f>Dashboard!J55</f>
        <v/>
      </c>
    </row>
    <row r="158" ht="15" customHeight="1">
      <c r="A158">
        <f>Dashboard!A56</f>
        <v/>
      </c>
      <c r="B158">
        <f>Dashboard!H56</f>
        <v/>
      </c>
      <c r="C158">
        <f>Dashboard!I56</f>
        <v/>
      </c>
      <c r="D158">
        <f>Dashboard!J56</f>
        <v/>
      </c>
    </row>
    <row r="159" ht="15" customHeight="1">
      <c r="A159">
        <f>Dashboard!A57</f>
        <v/>
      </c>
      <c r="B159">
        <f>Dashboard!H57</f>
        <v/>
      </c>
      <c r="C159">
        <f>Dashboard!I57</f>
        <v/>
      </c>
      <c r="D159">
        <f>Dashboard!J57</f>
        <v/>
      </c>
    </row>
    <row r="160" ht="15" customHeight="1">
      <c r="A160">
        <f>Dashboard!A58</f>
        <v/>
      </c>
      <c r="B160">
        <f>Dashboard!H58</f>
        <v/>
      </c>
      <c r="C160">
        <f>Dashboard!I58</f>
        <v/>
      </c>
      <c r="D160">
        <f>Dashboard!J58</f>
        <v/>
      </c>
    </row>
    <row r="161" ht="15" customHeight="1">
      <c r="A161">
        <f>Dashboard!A59</f>
        <v/>
      </c>
      <c r="B161">
        <f>Dashboard!H59</f>
        <v/>
      </c>
      <c r="C161">
        <f>Dashboard!I59</f>
        <v/>
      </c>
      <c r="D161">
        <f>Dashboard!J59</f>
        <v/>
      </c>
    </row>
    <row r="162" ht="15" customHeight="1">
      <c r="A162">
        <f>Dashboard!A60</f>
        <v/>
      </c>
      <c r="B162">
        <f>Dashboard!H60</f>
        <v/>
      </c>
      <c r="C162">
        <f>Dashboard!I60</f>
        <v/>
      </c>
      <c r="D162">
        <f>Dashboard!J60</f>
        <v/>
      </c>
    </row>
    <row r="163" ht="15" customHeight="1">
      <c r="A163">
        <f>Dashboard!A61</f>
        <v/>
      </c>
      <c r="B163">
        <f>Dashboard!H61</f>
        <v/>
      </c>
      <c r="C163">
        <f>Dashboard!I61</f>
        <v/>
      </c>
      <c r="D163">
        <f>Dashboard!J61</f>
        <v/>
      </c>
    </row>
    <row r="164" ht="15" customHeight="1">
      <c r="A164">
        <f>Dashboard!A62</f>
        <v/>
      </c>
      <c r="B164">
        <f>Dashboard!H62</f>
        <v/>
      </c>
      <c r="C164">
        <f>Dashboard!I62</f>
        <v/>
      </c>
      <c r="D164">
        <f>Dashboard!J62</f>
        <v/>
      </c>
    </row>
    <row r="165" ht="15" customHeight="1">
      <c r="A165">
        <f>Dashboard!A63</f>
        <v/>
      </c>
      <c r="B165">
        <f>Dashboard!H63</f>
        <v/>
      </c>
      <c r="C165">
        <f>Dashboard!I63</f>
        <v/>
      </c>
      <c r="D165">
        <f>Dashboard!J63</f>
        <v/>
      </c>
    </row>
    <row r="166" ht="15" customHeight="1">
      <c r="A166">
        <f>Dashboard!A64</f>
        <v/>
      </c>
      <c r="B166">
        <f>Dashboard!H64</f>
        <v/>
      </c>
      <c r="C166">
        <f>Dashboard!I64</f>
        <v/>
      </c>
      <c r="D166">
        <f>Dashboard!J64</f>
        <v/>
      </c>
    </row>
    <row r="167" ht="15" customHeight="1">
      <c r="A167">
        <f>Dashboard!A65</f>
        <v/>
      </c>
      <c r="B167">
        <f>Dashboard!H65</f>
        <v/>
      </c>
      <c r="C167">
        <f>Dashboard!I65</f>
        <v/>
      </c>
      <c r="D167">
        <f>Dashboard!J65</f>
        <v/>
      </c>
    </row>
    <row r="168" ht="15" customHeight="1">
      <c r="A168">
        <f>Dashboard!A66</f>
        <v/>
      </c>
      <c r="B168">
        <f>Dashboard!H66</f>
        <v/>
      </c>
      <c r="C168">
        <f>Dashboard!I66</f>
        <v/>
      </c>
      <c r="D168">
        <f>Dashboard!J66</f>
        <v/>
      </c>
    </row>
    <row r="169"/>
    <row r="170" ht="15" customHeight="1">
      <c r="A170" s="32" t="inlineStr">
        <is>
          <t>Ideas</t>
        </is>
      </c>
    </row>
    <row r="171" ht="32" customHeight="1">
      <c r="A171" s="31" t="inlineStr">
        <is>
          <t>WeekStart</t>
        </is>
      </c>
      <c r="B171" s="31" t="inlineStr">
        <is>
          <t>WeekIdeas</t>
        </is>
      </c>
      <c r="C171" s="31" t="inlineStr">
        <is>
          <t>WeeklyTarget</t>
        </is>
      </c>
      <c r="D171" s="31" t="inlineStr">
        <is>
          <t>CumIdeas</t>
        </is>
      </c>
      <c r="E171" s="31" t="inlineStr">
        <is>
          <t>TargetCumIdeas</t>
        </is>
      </c>
    </row>
    <row r="172" ht="15" customHeight="1">
      <c r="A172">
        <f>Dashboard!A15</f>
        <v/>
      </c>
      <c r="B172">
        <f>Dashboard!K15</f>
        <v/>
      </c>
      <c r="C172">
        <f>Dashboard!O15</f>
        <v/>
      </c>
      <c r="D172">
        <f>Dashboard!L15</f>
        <v/>
      </c>
      <c r="E172">
        <f>Dashboard!M15</f>
        <v/>
      </c>
    </row>
    <row r="173" ht="15" customHeight="1">
      <c r="A173">
        <f>Dashboard!A16</f>
        <v/>
      </c>
      <c r="B173">
        <f>Dashboard!K16</f>
        <v/>
      </c>
      <c r="C173">
        <f>Dashboard!O16</f>
        <v/>
      </c>
      <c r="D173">
        <f>Dashboard!L16</f>
        <v/>
      </c>
      <c r="E173">
        <f>Dashboard!M16</f>
        <v/>
      </c>
    </row>
    <row r="174" ht="15" customHeight="1">
      <c r="A174">
        <f>Dashboard!A17</f>
        <v/>
      </c>
      <c r="B174">
        <f>Dashboard!K17</f>
        <v/>
      </c>
      <c r="C174">
        <f>Dashboard!O17</f>
        <v/>
      </c>
      <c r="D174">
        <f>Dashboard!L17</f>
        <v/>
      </c>
      <c r="E174">
        <f>Dashboard!M17</f>
        <v/>
      </c>
    </row>
    <row r="175" ht="15" customHeight="1">
      <c r="A175">
        <f>Dashboard!A18</f>
        <v/>
      </c>
      <c r="B175">
        <f>Dashboard!K18</f>
        <v/>
      </c>
      <c r="C175">
        <f>Dashboard!O18</f>
        <v/>
      </c>
      <c r="D175">
        <f>Dashboard!L18</f>
        <v/>
      </c>
      <c r="E175">
        <f>Dashboard!M18</f>
        <v/>
      </c>
    </row>
    <row r="176" ht="15" customHeight="1">
      <c r="A176">
        <f>Dashboard!A19</f>
        <v/>
      </c>
      <c r="B176">
        <f>Dashboard!K19</f>
        <v/>
      </c>
      <c r="C176">
        <f>Dashboard!O19</f>
        <v/>
      </c>
      <c r="D176">
        <f>Dashboard!L19</f>
        <v/>
      </c>
      <c r="E176">
        <f>Dashboard!M19</f>
        <v/>
      </c>
    </row>
    <row r="177" ht="15" customHeight="1">
      <c r="A177">
        <f>Dashboard!A20</f>
        <v/>
      </c>
      <c r="B177">
        <f>Dashboard!K20</f>
        <v/>
      </c>
      <c r="C177">
        <f>Dashboard!O20</f>
        <v/>
      </c>
      <c r="D177">
        <f>Dashboard!L20</f>
        <v/>
      </c>
      <c r="E177">
        <f>Dashboard!M20</f>
        <v/>
      </c>
    </row>
    <row r="178" ht="15" customHeight="1">
      <c r="A178">
        <f>Dashboard!A21</f>
        <v/>
      </c>
      <c r="B178">
        <f>Dashboard!K21</f>
        <v/>
      </c>
      <c r="C178">
        <f>Dashboard!O21</f>
        <v/>
      </c>
      <c r="D178">
        <f>Dashboard!L21</f>
        <v/>
      </c>
      <c r="E178">
        <f>Dashboard!M21</f>
        <v/>
      </c>
    </row>
    <row r="179" ht="15" customHeight="1">
      <c r="A179">
        <f>Dashboard!A22</f>
        <v/>
      </c>
      <c r="B179">
        <f>Dashboard!K22</f>
        <v/>
      </c>
      <c r="C179">
        <f>Dashboard!O22</f>
        <v/>
      </c>
      <c r="D179">
        <f>Dashboard!L22</f>
        <v/>
      </c>
      <c r="E179">
        <f>Dashboard!M22</f>
        <v/>
      </c>
    </row>
    <row r="180" ht="15" customHeight="1">
      <c r="A180">
        <f>Dashboard!A23</f>
        <v/>
      </c>
      <c r="B180">
        <f>Dashboard!K23</f>
        <v/>
      </c>
      <c r="C180">
        <f>Dashboard!O23</f>
        <v/>
      </c>
      <c r="D180">
        <f>Dashboard!L23</f>
        <v/>
      </c>
      <c r="E180">
        <f>Dashboard!M23</f>
        <v/>
      </c>
    </row>
    <row r="181" ht="15" customHeight="1">
      <c r="A181">
        <f>Dashboard!A24</f>
        <v/>
      </c>
      <c r="B181">
        <f>Dashboard!K24</f>
        <v/>
      </c>
      <c r="C181">
        <f>Dashboard!O24</f>
        <v/>
      </c>
      <c r="D181">
        <f>Dashboard!L24</f>
        <v/>
      </c>
      <c r="E181">
        <f>Dashboard!M24</f>
        <v/>
      </c>
    </row>
    <row r="182" ht="15" customHeight="1">
      <c r="A182">
        <f>Dashboard!A25</f>
        <v/>
      </c>
      <c r="B182">
        <f>Dashboard!K25</f>
        <v/>
      </c>
      <c r="C182">
        <f>Dashboard!O25</f>
        <v/>
      </c>
      <c r="D182">
        <f>Dashboard!L25</f>
        <v/>
      </c>
      <c r="E182">
        <f>Dashboard!M25</f>
        <v/>
      </c>
    </row>
    <row r="183" ht="15" customHeight="1">
      <c r="A183">
        <f>Dashboard!A26</f>
        <v/>
      </c>
      <c r="B183">
        <f>Dashboard!K26</f>
        <v/>
      </c>
      <c r="C183">
        <f>Dashboard!O26</f>
        <v/>
      </c>
      <c r="D183">
        <f>Dashboard!L26</f>
        <v/>
      </c>
      <c r="E183">
        <f>Dashboard!M26</f>
        <v/>
      </c>
    </row>
    <row r="184" ht="15" customHeight="1">
      <c r="A184">
        <f>Dashboard!A27</f>
        <v/>
      </c>
      <c r="B184">
        <f>Dashboard!K27</f>
        <v/>
      </c>
      <c r="C184">
        <f>Dashboard!O27</f>
        <v/>
      </c>
      <c r="D184">
        <f>Dashboard!L27</f>
        <v/>
      </c>
      <c r="E184">
        <f>Dashboard!M27</f>
        <v/>
      </c>
    </row>
    <row r="185" ht="15" customHeight="1">
      <c r="A185">
        <f>Dashboard!A28</f>
        <v/>
      </c>
      <c r="B185">
        <f>Dashboard!K28</f>
        <v/>
      </c>
      <c r="C185">
        <f>Dashboard!O28</f>
        <v/>
      </c>
      <c r="D185">
        <f>Dashboard!L28</f>
        <v/>
      </c>
      <c r="E185">
        <f>Dashboard!M28</f>
        <v/>
      </c>
    </row>
    <row r="186" ht="15" customHeight="1">
      <c r="A186">
        <f>Dashboard!A29</f>
        <v/>
      </c>
      <c r="B186">
        <f>Dashboard!K29</f>
        <v/>
      </c>
      <c r="C186">
        <f>Dashboard!O29</f>
        <v/>
      </c>
      <c r="D186">
        <f>Dashboard!L29</f>
        <v/>
      </c>
      <c r="E186">
        <f>Dashboard!M29</f>
        <v/>
      </c>
    </row>
    <row r="187" ht="15" customHeight="1">
      <c r="A187">
        <f>Dashboard!A30</f>
        <v/>
      </c>
      <c r="B187">
        <f>Dashboard!K30</f>
        <v/>
      </c>
      <c r="C187">
        <f>Dashboard!O30</f>
        <v/>
      </c>
      <c r="D187">
        <f>Dashboard!L30</f>
        <v/>
      </c>
      <c r="E187">
        <f>Dashboard!M30</f>
        <v/>
      </c>
    </row>
    <row r="188" ht="15" customHeight="1">
      <c r="A188">
        <f>Dashboard!A31</f>
        <v/>
      </c>
      <c r="B188">
        <f>Dashboard!K31</f>
        <v/>
      </c>
      <c r="C188">
        <f>Dashboard!O31</f>
        <v/>
      </c>
      <c r="D188">
        <f>Dashboard!L31</f>
        <v/>
      </c>
      <c r="E188">
        <f>Dashboard!M31</f>
        <v/>
      </c>
    </row>
    <row r="189" ht="15" customHeight="1">
      <c r="A189">
        <f>Dashboard!A32</f>
        <v/>
      </c>
      <c r="B189">
        <f>Dashboard!K32</f>
        <v/>
      </c>
      <c r="C189">
        <f>Dashboard!O32</f>
        <v/>
      </c>
      <c r="D189">
        <f>Dashboard!L32</f>
        <v/>
      </c>
      <c r="E189">
        <f>Dashboard!M32</f>
        <v/>
      </c>
    </row>
    <row r="190" ht="15" customHeight="1">
      <c r="A190">
        <f>Dashboard!A33</f>
        <v/>
      </c>
      <c r="B190">
        <f>Dashboard!K33</f>
        <v/>
      </c>
      <c r="C190">
        <f>Dashboard!O33</f>
        <v/>
      </c>
      <c r="D190">
        <f>Dashboard!L33</f>
        <v/>
      </c>
      <c r="E190">
        <f>Dashboard!M33</f>
        <v/>
      </c>
    </row>
    <row r="191" ht="15" customHeight="1">
      <c r="A191">
        <f>Dashboard!A34</f>
        <v/>
      </c>
      <c r="B191">
        <f>Dashboard!K34</f>
        <v/>
      </c>
      <c r="C191">
        <f>Dashboard!O34</f>
        <v/>
      </c>
      <c r="D191">
        <f>Dashboard!L34</f>
        <v/>
      </c>
      <c r="E191">
        <f>Dashboard!M34</f>
        <v/>
      </c>
    </row>
    <row r="192" ht="15" customHeight="1">
      <c r="A192">
        <f>Dashboard!A35</f>
        <v/>
      </c>
      <c r="B192">
        <f>Dashboard!K35</f>
        <v/>
      </c>
      <c r="C192">
        <f>Dashboard!O35</f>
        <v/>
      </c>
      <c r="D192">
        <f>Dashboard!L35</f>
        <v/>
      </c>
      <c r="E192">
        <f>Dashboard!M35</f>
        <v/>
      </c>
    </row>
    <row r="193" ht="15" customHeight="1">
      <c r="A193">
        <f>Dashboard!A36</f>
        <v/>
      </c>
      <c r="B193">
        <f>Dashboard!K36</f>
        <v/>
      </c>
      <c r="C193">
        <f>Dashboard!O36</f>
        <v/>
      </c>
      <c r="D193">
        <f>Dashboard!L36</f>
        <v/>
      </c>
      <c r="E193">
        <f>Dashboard!M36</f>
        <v/>
      </c>
    </row>
    <row r="194" ht="15" customHeight="1">
      <c r="A194">
        <f>Dashboard!A37</f>
        <v/>
      </c>
      <c r="B194">
        <f>Dashboard!K37</f>
        <v/>
      </c>
      <c r="C194">
        <f>Dashboard!O37</f>
        <v/>
      </c>
      <c r="D194">
        <f>Dashboard!L37</f>
        <v/>
      </c>
      <c r="E194">
        <f>Dashboard!M37</f>
        <v/>
      </c>
    </row>
    <row r="195" ht="15" customHeight="1">
      <c r="A195">
        <f>Dashboard!A38</f>
        <v/>
      </c>
      <c r="B195">
        <f>Dashboard!K38</f>
        <v/>
      </c>
      <c r="C195">
        <f>Dashboard!O38</f>
        <v/>
      </c>
      <c r="D195">
        <f>Dashboard!L38</f>
        <v/>
      </c>
      <c r="E195">
        <f>Dashboard!M38</f>
        <v/>
      </c>
    </row>
    <row r="196" ht="15" customHeight="1">
      <c r="A196">
        <f>Dashboard!A39</f>
        <v/>
      </c>
      <c r="B196">
        <f>Dashboard!K39</f>
        <v/>
      </c>
      <c r="C196">
        <f>Dashboard!O39</f>
        <v/>
      </c>
      <c r="D196">
        <f>Dashboard!L39</f>
        <v/>
      </c>
      <c r="E196">
        <f>Dashboard!M39</f>
        <v/>
      </c>
    </row>
    <row r="197" ht="15" customHeight="1">
      <c r="A197">
        <f>Dashboard!A40</f>
        <v/>
      </c>
      <c r="B197">
        <f>Dashboard!K40</f>
        <v/>
      </c>
      <c r="C197">
        <f>Dashboard!O40</f>
        <v/>
      </c>
      <c r="D197">
        <f>Dashboard!L40</f>
        <v/>
      </c>
      <c r="E197">
        <f>Dashboard!M40</f>
        <v/>
      </c>
    </row>
    <row r="198" ht="15" customHeight="1">
      <c r="A198">
        <f>Dashboard!A41</f>
        <v/>
      </c>
      <c r="B198">
        <f>Dashboard!K41</f>
        <v/>
      </c>
      <c r="C198">
        <f>Dashboard!O41</f>
        <v/>
      </c>
      <c r="D198">
        <f>Dashboard!L41</f>
        <v/>
      </c>
      <c r="E198">
        <f>Dashboard!M41</f>
        <v/>
      </c>
    </row>
    <row r="199" ht="15" customHeight="1">
      <c r="A199">
        <f>Dashboard!A42</f>
        <v/>
      </c>
      <c r="B199">
        <f>Dashboard!K42</f>
        <v/>
      </c>
      <c r="C199">
        <f>Dashboard!O42</f>
        <v/>
      </c>
      <c r="D199">
        <f>Dashboard!L42</f>
        <v/>
      </c>
      <c r="E199">
        <f>Dashboard!M42</f>
        <v/>
      </c>
    </row>
    <row r="200" ht="15" customHeight="1">
      <c r="A200">
        <f>Dashboard!A43</f>
        <v/>
      </c>
      <c r="B200">
        <f>Dashboard!K43</f>
        <v/>
      </c>
      <c r="C200">
        <f>Dashboard!O43</f>
        <v/>
      </c>
      <c r="D200">
        <f>Dashboard!L43</f>
        <v/>
      </c>
      <c r="E200">
        <f>Dashboard!M43</f>
        <v/>
      </c>
    </row>
    <row r="201" ht="15" customHeight="1">
      <c r="A201">
        <f>Dashboard!A44</f>
        <v/>
      </c>
      <c r="B201">
        <f>Dashboard!K44</f>
        <v/>
      </c>
      <c r="C201">
        <f>Dashboard!O44</f>
        <v/>
      </c>
      <c r="D201">
        <f>Dashboard!L44</f>
        <v/>
      </c>
      <c r="E201">
        <f>Dashboard!M44</f>
        <v/>
      </c>
    </row>
    <row r="202" ht="15" customHeight="1">
      <c r="A202">
        <f>Dashboard!A45</f>
        <v/>
      </c>
      <c r="B202">
        <f>Dashboard!K45</f>
        <v/>
      </c>
      <c r="C202">
        <f>Dashboard!O45</f>
        <v/>
      </c>
      <c r="D202">
        <f>Dashboard!L45</f>
        <v/>
      </c>
      <c r="E202">
        <f>Dashboard!M45</f>
        <v/>
      </c>
    </row>
    <row r="203" ht="15" customHeight="1">
      <c r="A203">
        <f>Dashboard!A46</f>
        <v/>
      </c>
      <c r="B203">
        <f>Dashboard!K46</f>
        <v/>
      </c>
      <c r="C203">
        <f>Dashboard!O46</f>
        <v/>
      </c>
      <c r="D203">
        <f>Dashboard!L46</f>
        <v/>
      </c>
      <c r="E203">
        <f>Dashboard!M46</f>
        <v/>
      </c>
    </row>
    <row r="204" ht="15" customHeight="1">
      <c r="A204">
        <f>Dashboard!A47</f>
        <v/>
      </c>
      <c r="B204">
        <f>Dashboard!K47</f>
        <v/>
      </c>
      <c r="C204">
        <f>Dashboard!O47</f>
        <v/>
      </c>
      <c r="D204">
        <f>Dashboard!L47</f>
        <v/>
      </c>
      <c r="E204">
        <f>Dashboard!M47</f>
        <v/>
      </c>
    </row>
    <row r="205" ht="15" customHeight="1">
      <c r="A205">
        <f>Dashboard!A48</f>
        <v/>
      </c>
      <c r="B205">
        <f>Dashboard!K48</f>
        <v/>
      </c>
      <c r="C205">
        <f>Dashboard!O48</f>
        <v/>
      </c>
      <c r="D205">
        <f>Dashboard!L48</f>
        <v/>
      </c>
      <c r="E205">
        <f>Dashboard!M48</f>
        <v/>
      </c>
    </row>
    <row r="206" ht="15" customHeight="1">
      <c r="A206">
        <f>Dashboard!A49</f>
        <v/>
      </c>
      <c r="B206">
        <f>Dashboard!K49</f>
        <v/>
      </c>
      <c r="C206">
        <f>Dashboard!O49</f>
        <v/>
      </c>
      <c r="D206">
        <f>Dashboard!L49</f>
        <v/>
      </c>
      <c r="E206">
        <f>Dashboard!M49</f>
        <v/>
      </c>
    </row>
    <row r="207" ht="15" customHeight="1">
      <c r="A207">
        <f>Dashboard!A50</f>
        <v/>
      </c>
      <c r="B207">
        <f>Dashboard!K50</f>
        <v/>
      </c>
      <c r="C207">
        <f>Dashboard!O50</f>
        <v/>
      </c>
      <c r="D207">
        <f>Dashboard!L50</f>
        <v/>
      </c>
      <c r="E207">
        <f>Dashboard!M50</f>
        <v/>
      </c>
    </row>
    <row r="208" ht="15" customHeight="1">
      <c r="A208">
        <f>Dashboard!A51</f>
        <v/>
      </c>
      <c r="B208">
        <f>Dashboard!K51</f>
        <v/>
      </c>
      <c r="C208">
        <f>Dashboard!O51</f>
        <v/>
      </c>
      <c r="D208">
        <f>Dashboard!L51</f>
        <v/>
      </c>
      <c r="E208">
        <f>Dashboard!M51</f>
        <v/>
      </c>
    </row>
    <row r="209" ht="15" customHeight="1">
      <c r="A209">
        <f>Dashboard!A52</f>
        <v/>
      </c>
      <c r="B209">
        <f>Dashboard!K52</f>
        <v/>
      </c>
      <c r="C209">
        <f>Dashboard!O52</f>
        <v/>
      </c>
      <c r="D209">
        <f>Dashboard!L52</f>
        <v/>
      </c>
      <c r="E209">
        <f>Dashboard!M52</f>
        <v/>
      </c>
    </row>
    <row r="210" ht="15" customHeight="1">
      <c r="A210">
        <f>Dashboard!A53</f>
        <v/>
      </c>
      <c r="B210">
        <f>Dashboard!K53</f>
        <v/>
      </c>
      <c r="C210">
        <f>Dashboard!O53</f>
        <v/>
      </c>
      <c r="D210">
        <f>Dashboard!L53</f>
        <v/>
      </c>
      <c r="E210">
        <f>Dashboard!M53</f>
        <v/>
      </c>
    </row>
    <row r="211" ht="15" customHeight="1">
      <c r="A211">
        <f>Dashboard!A54</f>
        <v/>
      </c>
      <c r="B211">
        <f>Dashboard!K54</f>
        <v/>
      </c>
      <c r="C211">
        <f>Dashboard!O54</f>
        <v/>
      </c>
      <c r="D211">
        <f>Dashboard!L54</f>
        <v/>
      </c>
      <c r="E211">
        <f>Dashboard!M54</f>
        <v/>
      </c>
    </row>
    <row r="212" ht="15" customHeight="1">
      <c r="A212">
        <f>Dashboard!A55</f>
        <v/>
      </c>
      <c r="B212">
        <f>Dashboard!K55</f>
        <v/>
      </c>
      <c r="C212">
        <f>Dashboard!O55</f>
        <v/>
      </c>
      <c r="D212">
        <f>Dashboard!L55</f>
        <v/>
      </c>
      <c r="E212">
        <f>Dashboard!M55</f>
        <v/>
      </c>
    </row>
    <row r="213" ht="15" customHeight="1">
      <c r="A213">
        <f>Dashboard!A56</f>
        <v/>
      </c>
      <c r="B213">
        <f>Dashboard!K56</f>
        <v/>
      </c>
      <c r="C213">
        <f>Dashboard!O56</f>
        <v/>
      </c>
      <c r="D213">
        <f>Dashboard!L56</f>
        <v/>
      </c>
      <c r="E213">
        <f>Dashboard!M56</f>
        <v/>
      </c>
    </row>
    <row r="214" ht="15" customHeight="1">
      <c r="A214">
        <f>Dashboard!A57</f>
        <v/>
      </c>
      <c r="B214">
        <f>Dashboard!K57</f>
        <v/>
      </c>
      <c r="C214">
        <f>Dashboard!O57</f>
        <v/>
      </c>
      <c r="D214">
        <f>Dashboard!L57</f>
        <v/>
      </c>
      <c r="E214">
        <f>Dashboard!M57</f>
        <v/>
      </c>
    </row>
    <row r="215" ht="15" customHeight="1">
      <c r="A215">
        <f>Dashboard!A58</f>
        <v/>
      </c>
      <c r="B215">
        <f>Dashboard!K58</f>
        <v/>
      </c>
      <c r="C215">
        <f>Dashboard!O58</f>
        <v/>
      </c>
      <c r="D215">
        <f>Dashboard!L58</f>
        <v/>
      </c>
      <c r="E215">
        <f>Dashboard!M58</f>
        <v/>
      </c>
    </row>
    <row r="216" ht="15" customHeight="1">
      <c r="A216">
        <f>Dashboard!A59</f>
        <v/>
      </c>
      <c r="B216">
        <f>Dashboard!K59</f>
        <v/>
      </c>
      <c r="C216">
        <f>Dashboard!O59</f>
        <v/>
      </c>
      <c r="D216">
        <f>Dashboard!L59</f>
        <v/>
      </c>
      <c r="E216">
        <f>Dashboard!M59</f>
        <v/>
      </c>
    </row>
    <row r="217" ht="15" customHeight="1">
      <c r="A217">
        <f>Dashboard!A60</f>
        <v/>
      </c>
      <c r="B217">
        <f>Dashboard!K60</f>
        <v/>
      </c>
      <c r="C217">
        <f>Dashboard!O60</f>
        <v/>
      </c>
      <c r="D217">
        <f>Dashboard!L60</f>
        <v/>
      </c>
      <c r="E217">
        <f>Dashboard!M60</f>
        <v/>
      </c>
    </row>
    <row r="218" ht="15" customHeight="1">
      <c r="A218">
        <f>Dashboard!A61</f>
        <v/>
      </c>
      <c r="B218">
        <f>Dashboard!K61</f>
        <v/>
      </c>
      <c r="C218">
        <f>Dashboard!O61</f>
        <v/>
      </c>
      <c r="D218">
        <f>Dashboard!L61</f>
        <v/>
      </c>
      <c r="E218">
        <f>Dashboard!M61</f>
        <v/>
      </c>
    </row>
    <row r="219" ht="15" customHeight="1">
      <c r="A219">
        <f>Dashboard!A62</f>
        <v/>
      </c>
      <c r="B219">
        <f>Dashboard!K62</f>
        <v/>
      </c>
      <c r="C219">
        <f>Dashboard!O62</f>
        <v/>
      </c>
      <c r="D219">
        <f>Dashboard!L62</f>
        <v/>
      </c>
      <c r="E219">
        <f>Dashboard!M62</f>
        <v/>
      </c>
    </row>
    <row r="220" ht="15" customHeight="1">
      <c r="A220">
        <f>Dashboard!A63</f>
        <v/>
      </c>
      <c r="B220">
        <f>Dashboard!K63</f>
        <v/>
      </c>
      <c r="C220">
        <f>Dashboard!O63</f>
        <v/>
      </c>
      <c r="D220">
        <f>Dashboard!L63</f>
        <v/>
      </c>
      <c r="E220">
        <f>Dashboard!M63</f>
        <v/>
      </c>
    </row>
    <row r="221" ht="15" customHeight="1">
      <c r="A221">
        <f>Dashboard!A64</f>
        <v/>
      </c>
      <c r="B221">
        <f>Dashboard!K64</f>
        <v/>
      </c>
      <c r="C221">
        <f>Dashboard!O64</f>
        <v/>
      </c>
      <c r="D221">
        <f>Dashboard!L64</f>
        <v/>
      </c>
      <c r="E221">
        <f>Dashboard!M64</f>
        <v/>
      </c>
    </row>
    <row r="222" ht="15" customHeight="1">
      <c r="A222">
        <f>Dashboard!A65</f>
        <v/>
      </c>
      <c r="B222">
        <f>Dashboard!K65</f>
        <v/>
      </c>
      <c r="C222">
        <f>Dashboard!O65</f>
        <v/>
      </c>
      <c r="D222">
        <f>Dashboard!L65</f>
        <v/>
      </c>
      <c r="E222">
        <f>Dashboard!M65</f>
        <v/>
      </c>
    </row>
    <row r="223" ht="15" customHeight="1">
      <c r="A223">
        <f>Dashboard!A66</f>
        <v/>
      </c>
      <c r="B223">
        <f>Dashboard!K66</f>
        <v/>
      </c>
      <c r="C223">
        <f>Dashboard!O66</f>
        <v/>
      </c>
      <c r="D223">
        <f>Dashboard!L66</f>
        <v/>
      </c>
      <c r="E223">
        <f>Dashboard!M66</f>
        <v/>
      </c>
    </row>
    <row r="224"/>
    <row r="225"/>
    <row r="226"/>
    <row r="227"/>
    <row r="228"/>
    <row r="229"/>
    <row r="230"/>
    <row r="231"/>
    <row r="232"/>
    <row r="233"/>
    <row r="234"/>
    <row r="235" ht="15" customHeight="1">
      <c r="A235" s="32" t="inlineStr">
        <is>
          <t>Training</t>
        </is>
      </c>
    </row>
    <row r="236" ht="48" customHeight="1">
      <c r="A236" s="31" t="inlineStr">
        <is>
          <t>WeekStart</t>
        </is>
      </c>
      <c r="B236" s="31" t="inlineStr">
        <is>
          <t>CumTrainingHours</t>
        </is>
      </c>
      <c r="C236" s="31" t="inlineStr">
        <is>
          <t>TargetCumTrainingHours</t>
        </is>
      </c>
    </row>
    <row r="237" ht="15" customHeight="1">
      <c r="A237">
        <f>Dashboard!A15</f>
        <v/>
      </c>
      <c r="B237">
        <f>SUMIFS(Weekly_Agg!$K:$K,Weekly_Agg!$A:$A,"&gt;="&amp;Settings!$B$4,Weekly_Agg!$A:$A,"&lt;="&amp;A237)/60</f>
        <v/>
      </c>
      <c r="C237">
        <f>Settings!$C$25*(A237-Settings!$B$4+1)/Settings!$B$6</f>
        <v/>
      </c>
    </row>
    <row r="238" ht="15" customHeight="1">
      <c r="A238">
        <f>Dashboard!A16</f>
        <v/>
      </c>
      <c r="B238">
        <f>SUMIFS(Weekly_Agg!$K:$K,Weekly_Agg!$A:$A,"&gt;="&amp;Settings!$B$4,Weekly_Agg!$A:$A,"&lt;="&amp;A238)/60</f>
        <v/>
      </c>
      <c r="C238">
        <f>Settings!$C$25*(A238-Settings!$B$4+1)/Settings!$B$6</f>
        <v/>
      </c>
    </row>
    <row r="239" ht="15" customHeight="1">
      <c r="A239">
        <f>Dashboard!A17</f>
        <v/>
      </c>
      <c r="B239">
        <f>SUMIFS(Weekly_Agg!$K:$K,Weekly_Agg!$A:$A,"&gt;="&amp;Settings!$B$4,Weekly_Agg!$A:$A,"&lt;="&amp;A239)/60</f>
        <v/>
      </c>
      <c r="C239">
        <f>Settings!$C$25*(A239-Settings!$B$4+1)/Settings!$B$6</f>
        <v/>
      </c>
    </row>
    <row r="240" ht="15" customHeight="1">
      <c r="A240">
        <f>Dashboard!A18</f>
        <v/>
      </c>
      <c r="B240">
        <f>SUMIFS(Weekly_Agg!$K:$K,Weekly_Agg!$A:$A,"&gt;="&amp;Settings!$B$4,Weekly_Agg!$A:$A,"&lt;="&amp;A240)/60</f>
        <v/>
      </c>
      <c r="C240">
        <f>Settings!$C$25*(A240-Settings!$B$4+1)/Settings!$B$6</f>
        <v/>
      </c>
    </row>
    <row r="241" ht="15" customHeight="1">
      <c r="A241">
        <f>Dashboard!A19</f>
        <v/>
      </c>
      <c r="B241">
        <f>SUMIFS(Weekly_Agg!$K:$K,Weekly_Agg!$A:$A,"&gt;="&amp;Settings!$B$4,Weekly_Agg!$A:$A,"&lt;="&amp;A241)/60</f>
        <v/>
      </c>
      <c r="C241">
        <f>Settings!$C$25*(A241-Settings!$B$4+1)/Settings!$B$6</f>
        <v/>
      </c>
    </row>
    <row r="242" ht="15" customHeight="1">
      <c r="A242">
        <f>Dashboard!A20</f>
        <v/>
      </c>
      <c r="B242">
        <f>SUMIFS(Weekly_Agg!$K:$K,Weekly_Agg!$A:$A,"&gt;="&amp;Settings!$B$4,Weekly_Agg!$A:$A,"&lt;="&amp;A242)/60</f>
        <v/>
      </c>
      <c r="C242">
        <f>Settings!$C$25*(A242-Settings!$B$4+1)/Settings!$B$6</f>
        <v/>
      </c>
    </row>
    <row r="243" ht="15" customHeight="1">
      <c r="A243">
        <f>Dashboard!A21</f>
        <v/>
      </c>
      <c r="B243">
        <f>SUMIFS(Weekly_Agg!$K:$K,Weekly_Agg!$A:$A,"&gt;="&amp;Settings!$B$4,Weekly_Agg!$A:$A,"&lt;="&amp;A243)/60</f>
        <v/>
      </c>
      <c r="C243">
        <f>Settings!$C$25*(A243-Settings!$B$4+1)/Settings!$B$6</f>
        <v/>
      </c>
    </row>
    <row r="244" ht="15" customHeight="1">
      <c r="A244">
        <f>Dashboard!A22</f>
        <v/>
      </c>
      <c r="B244">
        <f>SUMIFS(Weekly_Agg!$K:$K,Weekly_Agg!$A:$A,"&gt;="&amp;Settings!$B$4,Weekly_Agg!$A:$A,"&lt;="&amp;A244)/60</f>
        <v/>
      </c>
      <c r="C244">
        <f>Settings!$C$25*(A244-Settings!$B$4+1)/Settings!$B$6</f>
        <v/>
      </c>
    </row>
    <row r="245" ht="15" customHeight="1">
      <c r="A245">
        <f>Dashboard!A23</f>
        <v/>
      </c>
      <c r="B245">
        <f>SUMIFS(Weekly_Agg!$K:$K,Weekly_Agg!$A:$A,"&gt;="&amp;Settings!$B$4,Weekly_Agg!$A:$A,"&lt;="&amp;A245)/60</f>
        <v/>
      </c>
      <c r="C245">
        <f>Settings!$C$25*(A245-Settings!$B$4+1)/Settings!$B$6</f>
        <v/>
      </c>
    </row>
    <row r="246" ht="15" customHeight="1">
      <c r="A246">
        <f>Dashboard!A24</f>
        <v/>
      </c>
      <c r="B246">
        <f>SUMIFS(Weekly_Agg!$K:$K,Weekly_Agg!$A:$A,"&gt;="&amp;Settings!$B$4,Weekly_Agg!$A:$A,"&lt;="&amp;A246)/60</f>
        <v/>
      </c>
      <c r="C246">
        <f>Settings!$C$25*(A246-Settings!$B$4+1)/Settings!$B$6</f>
        <v/>
      </c>
    </row>
    <row r="247" ht="15" customHeight="1">
      <c r="A247">
        <f>Dashboard!A25</f>
        <v/>
      </c>
      <c r="B247">
        <f>SUMIFS(Weekly_Agg!$K:$K,Weekly_Agg!$A:$A,"&gt;="&amp;Settings!$B$4,Weekly_Agg!$A:$A,"&lt;="&amp;A247)/60</f>
        <v/>
      </c>
      <c r="C247">
        <f>Settings!$C$25*(A247-Settings!$B$4+1)/Settings!$B$6</f>
        <v/>
      </c>
    </row>
    <row r="248" ht="15" customHeight="1">
      <c r="A248">
        <f>Dashboard!A26</f>
        <v/>
      </c>
      <c r="B248">
        <f>SUMIFS(Weekly_Agg!$K:$K,Weekly_Agg!$A:$A,"&gt;="&amp;Settings!$B$4,Weekly_Agg!$A:$A,"&lt;="&amp;A248)/60</f>
        <v/>
      </c>
      <c r="C248">
        <f>Settings!$C$25*(A248-Settings!$B$4+1)/Settings!$B$6</f>
        <v/>
      </c>
    </row>
    <row r="249" ht="15" customHeight="1">
      <c r="A249">
        <f>Dashboard!A27</f>
        <v/>
      </c>
      <c r="B249">
        <f>SUMIFS(Weekly_Agg!$K:$K,Weekly_Agg!$A:$A,"&gt;="&amp;Settings!$B$4,Weekly_Agg!$A:$A,"&lt;="&amp;A249)/60</f>
        <v/>
      </c>
      <c r="C249">
        <f>Settings!$C$25*(A249-Settings!$B$4+1)/Settings!$B$6</f>
        <v/>
      </c>
    </row>
    <row r="250" ht="15" customHeight="1">
      <c r="A250">
        <f>Dashboard!A28</f>
        <v/>
      </c>
      <c r="B250">
        <f>SUMIFS(Weekly_Agg!$K:$K,Weekly_Agg!$A:$A,"&gt;="&amp;Settings!$B$4,Weekly_Agg!$A:$A,"&lt;="&amp;A250)/60</f>
        <v/>
      </c>
      <c r="C250">
        <f>Settings!$C$25*(A250-Settings!$B$4+1)/Settings!$B$6</f>
        <v/>
      </c>
    </row>
    <row r="251" ht="15" customHeight="1">
      <c r="A251">
        <f>Dashboard!A29</f>
        <v/>
      </c>
      <c r="B251">
        <f>SUMIFS(Weekly_Agg!$K:$K,Weekly_Agg!$A:$A,"&gt;="&amp;Settings!$B$4,Weekly_Agg!$A:$A,"&lt;="&amp;A251)/60</f>
        <v/>
      </c>
      <c r="C251">
        <f>Settings!$C$25*(A251-Settings!$B$4+1)/Settings!$B$6</f>
        <v/>
      </c>
    </row>
    <row r="252" ht="15" customHeight="1">
      <c r="A252">
        <f>Dashboard!A30</f>
        <v/>
      </c>
      <c r="B252">
        <f>SUMIFS(Weekly_Agg!$K:$K,Weekly_Agg!$A:$A,"&gt;="&amp;Settings!$B$4,Weekly_Agg!$A:$A,"&lt;="&amp;A252)/60</f>
        <v/>
      </c>
      <c r="C252">
        <f>Settings!$C$25*(A252-Settings!$B$4+1)/Settings!$B$6</f>
        <v/>
      </c>
    </row>
    <row r="253" ht="15" customHeight="1">
      <c r="A253">
        <f>Dashboard!A31</f>
        <v/>
      </c>
      <c r="B253">
        <f>SUMIFS(Weekly_Agg!$K:$K,Weekly_Agg!$A:$A,"&gt;="&amp;Settings!$B$4,Weekly_Agg!$A:$A,"&lt;="&amp;A253)/60</f>
        <v/>
      </c>
      <c r="C253">
        <f>Settings!$C$25*(A253-Settings!$B$4+1)/Settings!$B$6</f>
        <v/>
      </c>
    </row>
    <row r="254" ht="15" customHeight="1">
      <c r="A254">
        <f>Dashboard!A32</f>
        <v/>
      </c>
      <c r="B254">
        <f>SUMIFS(Weekly_Agg!$K:$K,Weekly_Agg!$A:$A,"&gt;="&amp;Settings!$B$4,Weekly_Agg!$A:$A,"&lt;="&amp;A254)/60</f>
        <v/>
      </c>
      <c r="C254">
        <f>Settings!$C$25*(A254-Settings!$B$4+1)/Settings!$B$6</f>
        <v/>
      </c>
    </row>
    <row r="255" ht="15" customHeight="1">
      <c r="A255">
        <f>Dashboard!A33</f>
        <v/>
      </c>
      <c r="B255">
        <f>SUMIFS(Weekly_Agg!$K:$K,Weekly_Agg!$A:$A,"&gt;="&amp;Settings!$B$4,Weekly_Agg!$A:$A,"&lt;="&amp;A255)/60</f>
        <v/>
      </c>
      <c r="C255">
        <f>Settings!$C$25*(A255-Settings!$B$4+1)/Settings!$B$6</f>
        <v/>
      </c>
    </row>
    <row r="256" ht="15" customHeight="1">
      <c r="A256">
        <f>Dashboard!A34</f>
        <v/>
      </c>
      <c r="B256">
        <f>SUMIFS(Weekly_Agg!$K:$K,Weekly_Agg!$A:$A,"&gt;="&amp;Settings!$B$4,Weekly_Agg!$A:$A,"&lt;="&amp;A256)/60</f>
        <v/>
      </c>
      <c r="C256">
        <f>Settings!$C$25*(A256-Settings!$B$4+1)/Settings!$B$6</f>
        <v/>
      </c>
    </row>
    <row r="257" ht="15" customHeight="1">
      <c r="A257">
        <f>Dashboard!A35</f>
        <v/>
      </c>
      <c r="B257">
        <f>SUMIFS(Weekly_Agg!$K:$K,Weekly_Agg!$A:$A,"&gt;="&amp;Settings!$B$4,Weekly_Agg!$A:$A,"&lt;="&amp;A257)/60</f>
        <v/>
      </c>
      <c r="C257">
        <f>Settings!$C$25*(A257-Settings!$B$4+1)/Settings!$B$6</f>
        <v/>
      </c>
    </row>
    <row r="258" ht="15" customHeight="1">
      <c r="A258">
        <f>Dashboard!A36</f>
        <v/>
      </c>
      <c r="B258">
        <f>SUMIFS(Weekly_Agg!$K:$K,Weekly_Agg!$A:$A,"&gt;="&amp;Settings!$B$4,Weekly_Agg!$A:$A,"&lt;="&amp;A258)/60</f>
        <v/>
      </c>
      <c r="C258">
        <f>Settings!$C$25*(A258-Settings!$B$4+1)/Settings!$B$6</f>
        <v/>
      </c>
    </row>
    <row r="259" ht="15" customHeight="1">
      <c r="A259">
        <f>Dashboard!A37</f>
        <v/>
      </c>
      <c r="B259">
        <f>SUMIFS(Weekly_Agg!$K:$K,Weekly_Agg!$A:$A,"&gt;="&amp;Settings!$B$4,Weekly_Agg!$A:$A,"&lt;="&amp;A259)/60</f>
        <v/>
      </c>
      <c r="C259">
        <f>Settings!$C$25*(A259-Settings!$B$4+1)/Settings!$B$6</f>
        <v/>
      </c>
    </row>
    <row r="260" ht="15" customHeight="1">
      <c r="A260">
        <f>Dashboard!A38</f>
        <v/>
      </c>
      <c r="B260">
        <f>SUMIFS(Weekly_Agg!$K:$K,Weekly_Agg!$A:$A,"&gt;="&amp;Settings!$B$4,Weekly_Agg!$A:$A,"&lt;="&amp;A260)/60</f>
        <v/>
      </c>
      <c r="C260">
        <f>Settings!$C$25*(A260-Settings!$B$4+1)/Settings!$B$6</f>
        <v/>
      </c>
    </row>
    <row r="261" ht="15" customHeight="1">
      <c r="A261">
        <f>Dashboard!A39</f>
        <v/>
      </c>
      <c r="B261">
        <f>SUMIFS(Weekly_Agg!$K:$K,Weekly_Agg!$A:$A,"&gt;="&amp;Settings!$B$4,Weekly_Agg!$A:$A,"&lt;="&amp;A261)/60</f>
        <v/>
      </c>
      <c r="C261">
        <f>Settings!$C$25*(A261-Settings!$B$4+1)/Settings!$B$6</f>
        <v/>
      </c>
    </row>
    <row r="262" ht="15" customHeight="1">
      <c r="A262">
        <f>Dashboard!A40</f>
        <v/>
      </c>
      <c r="B262">
        <f>SUMIFS(Weekly_Agg!$K:$K,Weekly_Agg!$A:$A,"&gt;="&amp;Settings!$B$4,Weekly_Agg!$A:$A,"&lt;="&amp;A262)/60</f>
        <v/>
      </c>
      <c r="C262">
        <f>Settings!$C$25*(A262-Settings!$B$4+1)/Settings!$B$6</f>
        <v/>
      </c>
    </row>
    <row r="263" ht="15" customHeight="1">
      <c r="A263">
        <f>Dashboard!A41</f>
        <v/>
      </c>
      <c r="B263">
        <f>SUMIFS(Weekly_Agg!$K:$K,Weekly_Agg!$A:$A,"&gt;="&amp;Settings!$B$4,Weekly_Agg!$A:$A,"&lt;="&amp;A263)/60</f>
        <v/>
      </c>
      <c r="C263">
        <f>Settings!$C$25*(A263-Settings!$B$4+1)/Settings!$B$6</f>
        <v/>
      </c>
    </row>
    <row r="264" ht="15" customHeight="1">
      <c r="A264">
        <f>Dashboard!A42</f>
        <v/>
      </c>
      <c r="B264">
        <f>SUMIFS(Weekly_Agg!$K:$K,Weekly_Agg!$A:$A,"&gt;="&amp;Settings!$B$4,Weekly_Agg!$A:$A,"&lt;="&amp;A264)/60</f>
        <v/>
      </c>
      <c r="C264">
        <f>Settings!$C$25*(A264-Settings!$B$4+1)/Settings!$B$6</f>
        <v/>
      </c>
    </row>
    <row r="265" ht="15" customHeight="1">
      <c r="A265">
        <f>Dashboard!A43</f>
        <v/>
      </c>
      <c r="B265">
        <f>SUMIFS(Weekly_Agg!$K:$K,Weekly_Agg!$A:$A,"&gt;="&amp;Settings!$B$4,Weekly_Agg!$A:$A,"&lt;="&amp;A265)/60</f>
        <v/>
      </c>
      <c r="C265">
        <f>Settings!$C$25*(A265-Settings!$B$4+1)/Settings!$B$6</f>
        <v/>
      </c>
    </row>
    <row r="266" ht="15" customHeight="1">
      <c r="A266">
        <f>Dashboard!A44</f>
        <v/>
      </c>
      <c r="B266">
        <f>SUMIFS(Weekly_Agg!$K:$K,Weekly_Agg!$A:$A,"&gt;="&amp;Settings!$B$4,Weekly_Agg!$A:$A,"&lt;="&amp;A266)/60</f>
        <v/>
      </c>
      <c r="C266">
        <f>Settings!$C$25*(A266-Settings!$B$4+1)/Settings!$B$6</f>
        <v/>
      </c>
    </row>
    <row r="267" ht="15" customHeight="1">
      <c r="A267">
        <f>Dashboard!A45</f>
        <v/>
      </c>
      <c r="B267">
        <f>SUMIFS(Weekly_Agg!$K:$K,Weekly_Agg!$A:$A,"&gt;="&amp;Settings!$B$4,Weekly_Agg!$A:$A,"&lt;="&amp;A267)/60</f>
        <v/>
      </c>
      <c r="C267">
        <f>Settings!$C$25*(A267-Settings!$B$4+1)/Settings!$B$6</f>
        <v/>
      </c>
    </row>
    <row r="268" ht="15" customHeight="1">
      <c r="A268">
        <f>Dashboard!A46</f>
        <v/>
      </c>
      <c r="B268">
        <f>SUMIFS(Weekly_Agg!$K:$K,Weekly_Agg!$A:$A,"&gt;="&amp;Settings!$B$4,Weekly_Agg!$A:$A,"&lt;="&amp;A268)/60</f>
        <v/>
      </c>
      <c r="C268">
        <f>Settings!$C$25*(A268-Settings!$B$4+1)/Settings!$B$6</f>
        <v/>
      </c>
    </row>
    <row r="269" ht="15" customHeight="1">
      <c r="A269">
        <f>Dashboard!A47</f>
        <v/>
      </c>
      <c r="B269">
        <f>SUMIFS(Weekly_Agg!$K:$K,Weekly_Agg!$A:$A,"&gt;="&amp;Settings!$B$4,Weekly_Agg!$A:$A,"&lt;="&amp;A269)/60</f>
        <v/>
      </c>
      <c r="C269">
        <f>Settings!$C$25*(A269-Settings!$B$4+1)/Settings!$B$6</f>
        <v/>
      </c>
    </row>
    <row r="270" ht="15" customHeight="1">
      <c r="A270">
        <f>Dashboard!A48</f>
        <v/>
      </c>
      <c r="B270">
        <f>SUMIFS(Weekly_Agg!$K:$K,Weekly_Agg!$A:$A,"&gt;="&amp;Settings!$B$4,Weekly_Agg!$A:$A,"&lt;="&amp;A270)/60</f>
        <v/>
      </c>
      <c r="C270">
        <f>Settings!$C$25*(A270-Settings!$B$4+1)/Settings!$B$6</f>
        <v/>
      </c>
    </row>
    <row r="271" ht="15" customHeight="1">
      <c r="A271">
        <f>Dashboard!A49</f>
        <v/>
      </c>
      <c r="B271">
        <f>SUMIFS(Weekly_Agg!$K:$K,Weekly_Agg!$A:$A,"&gt;="&amp;Settings!$B$4,Weekly_Agg!$A:$A,"&lt;="&amp;A271)/60</f>
        <v/>
      </c>
      <c r="C271">
        <f>Settings!$C$25*(A271-Settings!$B$4+1)/Settings!$B$6</f>
        <v/>
      </c>
    </row>
    <row r="272" ht="15" customHeight="1">
      <c r="A272">
        <f>Dashboard!A50</f>
        <v/>
      </c>
      <c r="B272">
        <f>SUMIFS(Weekly_Agg!$K:$K,Weekly_Agg!$A:$A,"&gt;="&amp;Settings!$B$4,Weekly_Agg!$A:$A,"&lt;="&amp;A272)/60</f>
        <v/>
      </c>
      <c r="C272">
        <f>Settings!$C$25*(A272-Settings!$B$4+1)/Settings!$B$6</f>
        <v/>
      </c>
    </row>
    <row r="273" ht="15" customHeight="1">
      <c r="A273">
        <f>Dashboard!A51</f>
        <v/>
      </c>
      <c r="B273">
        <f>SUMIFS(Weekly_Agg!$K:$K,Weekly_Agg!$A:$A,"&gt;="&amp;Settings!$B$4,Weekly_Agg!$A:$A,"&lt;="&amp;A273)/60</f>
        <v/>
      </c>
      <c r="C273">
        <f>Settings!$C$25*(A273-Settings!$B$4+1)/Settings!$B$6</f>
        <v/>
      </c>
    </row>
    <row r="274" ht="15" customHeight="1">
      <c r="A274">
        <f>Dashboard!A52</f>
        <v/>
      </c>
      <c r="B274">
        <f>SUMIFS(Weekly_Agg!$K:$K,Weekly_Agg!$A:$A,"&gt;="&amp;Settings!$B$4,Weekly_Agg!$A:$A,"&lt;="&amp;A274)/60</f>
        <v/>
      </c>
      <c r="C274">
        <f>Settings!$C$25*(A274-Settings!$B$4+1)/Settings!$B$6</f>
        <v/>
      </c>
    </row>
    <row r="275" ht="15" customHeight="1">
      <c r="A275">
        <f>Dashboard!A53</f>
        <v/>
      </c>
      <c r="B275">
        <f>SUMIFS(Weekly_Agg!$K:$K,Weekly_Agg!$A:$A,"&gt;="&amp;Settings!$B$4,Weekly_Agg!$A:$A,"&lt;="&amp;A275)/60</f>
        <v/>
      </c>
      <c r="C275">
        <f>Settings!$C$25*(A275-Settings!$B$4+1)/Settings!$B$6</f>
        <v/>
      </c>
    </row>
    <row r="276" ht="15" customHeight="1">
      <c r="A276">
        <f>Dashboard!A54</f>
        <v/>
      </c>
      <c r="B276">
        <f>SUMIFS(Weekly_Agg!$K:$K,Weekly_Agg!$A:$A,"&gt;="&amp;Settings!$B$4,Weekly_Agg!$A:$A,"&lt;="&amp;A276)/60</f>
        <v/>
      </c>
      <c r="C276">
        <f>Settings!$C$25*(A276-Settings!$B$4+1)/Settings!$B$6</f>
        <v/>
      </c>
    </row>
    <row r="277" ht="15" customHeight="1">
      <c r="A277">
        <f>Dashboard!A55</f>
        <v/>
      </c>
      <c r="B277">
        <f>SUMIFS(Weekly_Agg!$K:$K,Weekly_Agg!$A:$A,"&gt;="&amp;Settings!$B$4,Weekly_Agg!$A:$A,"&lt;="&amp;A277)/60</f>
        <v/>
      </c>
      <c r="C277">
        <f>Settings!$C$25*(A277-Settings!$B$4+1)/Settings!$B$6</f>
        <v/>
      </c>
    </row>
    <row r="278" ht="15" customHeight="1">
      <c r="A278">
        <f>Dashboard!A56</f>
        <v/>
      </c>
      <c r="B278">
        <f>SUMIFS(Weekly_Agg!$K:$K,Weekly_Agg!$A:$A,"&gt;="&amp;Settings!$B$4,Weekly_Agg!$A:$A,"&lt;="&amp;A278)/60</f>
        <v/>
      </c>
      <c r="C278">
        <f>Settings!$C$25*(A278-Settings!$B$4+1)/Settings!$B$6</f>
        <v/>
      </c>
    </row>
    <row r="279" ht="15" customHeight="1">
      <c r="A279">
        <f>Dashboard!A57</f>
        <v/>
      </c>
      <c r="B279">
        <f>SUMIFS(Weekly_Agg!$K:$K,Weekly_Agg!$A:$A,"&gt;="&amp;Settings!$B$4,Weekly_Agg!$A:$A,"&lt;="&amp;A279)/60</f>
        <v/>
      </c>
      <c r="C279">
        <f>Settings!$C$25*(A279-Settings!$B$4+1)/Settings!$B$6</f>
        <v/>
      </c>
    </row>
    <row r="280" ht="15" customHeight="1">
      <c r="A280">
        <f>Dashboard!A58</f>
        <v/>
      </c>
      <c r="B280">
        <f>SUMIFS(Weekly_Agg!$K:$K,Weekly_Agg!$A:$A,"&gt;="&amp;Settings!$B$4,Weekly_Agg!$A:$A,"&lt;="&amp;A280)/60</f>
        <v/>
      </c>
      <c r="C280">
        <f>Settings!$C$25*(A280-Settings!$B$4+1)/Settings!$B$6</f>
        <v/>
      </c>
    </row>
    <row r="281" ht="15" customHeight="1">
      <c r="A281">
        <f>Dashboard!A59</f>
        <v/>
      </c>
      <c r="B281">
        <f>SUMIFS(Weekly_Agg!$K:$K,Weekly_Agg!$A:$A,"&gt;="&amp;Settings!$B$4,Weekly_Agg!$A:$A,"&lt;="&amp;A281)/60</f>
        <v/>
      </c>
      <c r="C281">
        <f>Settings!$C$25*(A281-Settings!$B$4+1)/Settings!$B$6</f>
        <v/>
      </c>
    </row>
    <row r="282" ht="15" customHeight="1">
      <c r="A282">
        <f>Dashboard!A60</f>
        <v/>
      </c>
      <c r="B282">
        <f>SUMIFS(Weekly_Agg!$K:$K,Weekly_Agg!$A:$A,"&gt;="&amp;Settings!$B$4,Weekly_Agg!$A:$A,"&lt;="&amp;A282)/60</f>
        <v/>
      </c>
      <c r="C282">
        <f>Settings!$C$25*(A282-Settings!$B$4+1)/Settings!$B$6</f>
        <v/>
      </c>
    </row>
    <row r="283" ht="15" customHeight="1">
      <c r="A283">
        <f>Dashboard!A61</f>
        <v/>
      </c>
      <c r="B283">
        <f>SUMIFS(Weekly_Agg!$K:$K,Weekly_Agg!$A:$A,"&gt;="&amp;Settings!$B$4,Weekly_Agg!$A:$A,"&lt;="&amp;A283)/60</f>
        <v/>
      </c>
      <c r="C283">
        <f>Settings!$C$25*(A283-Settings!$B$4+1)/Settings!$B$6</f>
        <v/>
      </c>
    </row>
    <row r="284" ht="15" customHeight="1">
      <c r="A284">
        <f>Dashboard!A62</f>
        <v/>
      </c>
      <c r="B284">
        <f>SUMIFS(Weekly_Agg!$K:$K,Weekly_Agg!$A:$A,"&gt;="&amp;Settings!$B$4,Weekly_Agg!$A:$A,"&lt;="&amp;A284)/60</f>
        <v/>
      </c>
      <c r="C284">
        <f>Settings!$C$25*(A284-Settings!$B$4+1)/Settings!$B$6</f>
        <v/>
      </c>
    </row>
    <row r="285" ht="15" customHeight="1">
      <c r="A285">
        <f>Dashboard!A63</f>
        <v/>
      </c>
      <c r="B285">
        <f>SUMIFS(Weekly_Agg!$K:$K,Weekly_Agg!$A:$A,"&gt;="&amp;Settings!$B$4,Weekly_Agg!$A:$A,"&lt;="&amp;A285)/60</f>
        <v/>
      </c>
      <c r="C285">
        <f>Settings!$C$25*(A285-Settings!$B$4+1)/Settings!$B$6</f>
        <v/>
      </c>
    </row>
    <row r="286" ht="15" customHeight="1">
      <c r="A286">
        <f>Dashboard!A64</f>
        <v/>
      </c>
      <c r="B286">
        <f>SUMIFS(Weekly_Agg!$K:$K,Weekly_Agg!$A:$A,"&gt;="&amp;Settings!$B$4,Weekly_Agg!$A:$A,"&lt;="&amp;A286)/60</f>
        <v/>
      </c>
      <c r="C286">
        <f>Settings!$C$25*(A286-Settings!$B$4+1)/Settings!$B$6</f>
        <v/>
      </c>
    </row>
    <row r="287" ht="15" customHeight="1">
      <c r="A287">
        <f>Dashboard!A65</f>
        <v/>
      </c>
      <c r="B287">
        <f>SUMIFS(Weekly_Agg!$K:$K,Weekly_Agg!$A:$A,"&gt;="&amp;Settings!$B$4,Weekly_Agg!$A:$A,"&lt;="&amp;A287)/60</f>
        <v/>
      </c>
      <c r="C287">
        <f>Settings!$C$25*(A287-Settings!$B$4+1)/Settings!$B$6</f>
        <v/>
      </c>
    </row>
    <row r="288" ht="15" customHeight="1">
      <c r="A288">
        <f>Dashboard!A66</f>
        <v/>
      </c>
      <c r="B288">
        <f>SUMIFS(Weekly_Agg!$K:$K,Weekly_Agg!$A:$A,"&gt;="&amp;Settings!$B$4,Weekly_Agg!$A:$A,"&lt;="&amp;A288)/60</f>
        <v/>
      </c>
      <c r="C288">
        <f>Settings!$C$25*(A288-Settings!$B$4+1)/Settings!$B$6</f>
        <v/>
      </c>
    </row>
    <row r="289"/>
    <row r="290"/>
    <row r="291"/>
    <row r="292"/>
    <row r="293"/>
    <row r="294"/>
    <row r="295"/>
    <row r="296"/>
    <row r="297"/>
    <row r="298"/>
    <row r="299"/>
    <row r="300" ht="15" customHeight="1">
      <c r="A300" s="32" t="inlineStr">
        <is>
          <t>Travel &amp; New Activities</t>
        </is>
      </c>
    </row>
    <row r="301" ht="32" customHeight="1">
      <c r="A301" s="31" t="inlineStr">
        <is>
          <t>WeekStart</t>
        </is>
      </c>
      <c r="B301" s="31" t="inlineStr">
        <is>
          <t>CumNewActivities</t>
        </is>
      </c>
      <c r="C301" s="31" t="inlineStr">
        <is>
          <t>TargetCumNewActivities</t>
        </is>
      </c>
      <c r="D301" s="31" t="inlineStr">
        <is>
          <t>CumTravelNights</t>
        </is>
      </c>
      <c r="E301" s="31" t="inlineStr">
        <is>
          <t>TargetCumTravelNights</t>
        </is>
      </c>
    </row>
    <row r="302" ht="15" customHeight="1">
      <c r="A302">
        <f>Dashboard!A15</f>
        <v/>
      </c>
      <c r="B302">
        <f>SUMIFS(Weekly_Agg!$U:$U,Weekly_Agg!$A:$A,"&gt;="&amp;Settings!$B$4,Weekly_Agg!$A:$A,"&lt;="&amp;A302)</f>
        <v/>
      </c>
      <c r="C302">
        <f>Settings!$C$31*(A302-Settings!$B$4+1)/Settings!$B$6</f>
        <v/>
      </c>
      <c r="D302">
        <f>SUMIFS(Weekly_Agg!$V:$V,Weekly_Agg!$A:$A,"&gt;="&amp;Settings!$B$4,Weekly_Agg!$A:$A,"&lt;="&amp;A302)</f>
        <v/>
      </c>
      <c r="E302">
        <f>Settings!$C$32*(A302-Settings!$B$4+1)/Settings!$B$6</f>
        <v/>
      </c>
    </row>
    <row r="303" ht="15" customHeight="1">
      <c r="A303">
        <f>Dashboard!A16</f>
        <v/>
      </c>
      <c r="B303">
        <f>SUMIFS(Weekly_Agg!$U:$U,Weekly_Agg!$A:$A,"&gt;="&amp;Settings!$B$4,Weekly_Agg!$A:$A,"&lt;="&amp;A303)</f>
        <v/>
      </c>
      <c r="C303">
        <f>Settings!$C$31*(A303-Settings!$B$4+1)/Settings!$B$6</f>
        <v/>
      </c>
      <c r="D303">
        <f>SUMIFS(Weekly_Agg!$V:$V,Weekly_Agg!$A:$A,"&gt;="&amp;Settings!$B$4,Weekly_Agg!$A:$A,"&lt;="&amp;A303)</f>
        <v/>
      </c>
      <c r="E303">
        <f>Settings!$C$32*(A303-Settings!$B$4+1)/Settings!$B$6</f>
        <v/>
      </c>
    </row>
    <row r="304" ht="15" customHeight="1">
      <c r="A304">
        <f>Dashboard!A17</f>
        <v/>
      </c>
      <c r="B304">
        <f>SUMIFS(Weekly_Agg!$U:$U,Weekly_Agg!$A:$A,"&gt;="&amp;Settings!$B$4,Weekly_Agg!$A:$A,"&lt;="&amp;A304)</f>
        <v/>
      </c>
      <c r="C304">
        <f>Settings!$C$31*(A304-Settings!$B$4+1)/Settings!$B$6</f>
        <v/>
      </c>
      <c r="D304">
        <f>SUMIFS(Weekly_Agg!$V:$V,Weekly_Agg!$A:$A,"&gt;="&amp;Settings!$B$4,Weekly_Agg!$A:$A,"&lt;="&amp;A304)</f>
        <v/>
      </c>
      <c r="E304">
        <f>Settings!$C$32*(A304-Settings!$B$4+1)/Settings!$B$6</f>
        <v/>
      </c>
    </row>
    <row r="305" ht="15" customHeight="1">
      <c r="A305">
        <f>Dashboard!A18</f>
        <v/>
      </c>
      <c r="B305">
        <f>SUMIFS(Weekly_Agg!$U:$U,Weekly_Agg!$A:$A,"&gt;="&amp;Settings!$B$4,Weekly_Agg!$A:$A,"&lt;="&amp;A305)</f>
        <v/>
      </c>
      <c r="C305">
        <f>Settings!$C$31*(A305-Settings!$B$4+1)/Settings!$B$6</f>
        <v/>
      </c>
      <c r="D305">
        <f>SUMIFS(Weekly_Agg!$V:$V,Weekly_Agg!$A:$A,"&gt;="&amp;Settings!$B$4,Weekly_Agg!$A:$A,"&lt;="&amp;A305)</f>
        <v/>
      </c>
      <c r="E305">
        <f>Settings!$C$32*(A305-Settings!$B$4+1)/Settings!$B$6</f>
        <v/>
      </c>
    </row>
    <row r="306" ht="15" customHeight="1">
      <c r="A306">
        <f>Dashboard!A19</f>
        <v/>
      </c>
      <c r="B306">
        <f>SUMIFS(Weekly_Agg!$U:$U,Weekly_Agg!$A:$A,"&gt;="&amp;Settings!$B$4,Weekly_Agg!$A:$A,"&lt;="&amp;A306)</f>
        <v/>
      </c>
      <c r="C306">
        <f>Settings!$C$31*(A306-Settings!$B$4+1)/Settings!$B$6</f>
        <v/>
      </c>
      <c r="D306">
        <f>SUMIFS(Weekly_Agg!$V:$V,Weekly_Agg!$A:$A,"&gt;="&amp;Settings!$B$4,Weekly_Agg!$A:$A,"&lt;="&amp;A306)</f>
        <v/>
      </c>
      <c r="E306">
        <f>Settings!$C$32*(A306-Settings!$B$4+1)/Settings!$B$6</f>
        <v/>
      </c>
    </row>
    <row r="307" ht="15" customHeight="1">
      <c r="A307">
        <f>Dashboard!A20</f>
        <v/>
      </c>
      <c r="B307">
        <f>SUMIFS(Weekly_Agg!$U:$U,Weekly_Agg!$A:$A,"&gt;="&amp;Settings!$B$4,Weekly_Agg!$A:$A,"&lt;="&amp;A307)</f>
        <v/>
      </c>
      <c r="C307">
        <f>Settings!$C$31*(A307-Settings!$B$4+1)/Settings!$B$6</f>
        <v/>
      </c>
      <c r="D307">
        <f>SUMIFS(Weekly_Agg!$V:$V,Weekly_Agg!$A:$A,"&gt;="&amp;Settings!$B$4,Weekly_Agg!$A:$A,"&lt;="&amp;A307)</f>
        <v/>
      </c>
      <c r="E307">
        <f>Settings!$C$32*(A307-Settings!$B$4+1)/Settings!$B$6</f>
        <v/>
      </c>
    </row>
    <row r="308" ht="15" customHeight="1">
      <c r="A308">
        <f>Dashboard!A21</f>
        <v/>
      </c>
      <c r="B308">
        <f>SUMIFS(Weekly_Agg!$U:$U,Weekly_Agg!$A:$A,"&gt;="&amp;Settings!$B$4,Weekly_Agg!$A:$A,"&lt;="&amp;A308)</f>
        <v/>
      </c>
      <c r="C308">
        <f>Settings!$C$31*(A308-Settings!$B$4+1)/Settings!$B$6</f>
        <v/>
      </c>
      <c r="D308">
        <f>SUMIFS(Weekly_Agg!$V:$V,Weekly_Agg!$A:$A,"&gt;="&amp;Settings!$B$4,Weekly_Agg!$A:$A,"&lt;="&amp;A308)</f>
        <v/>
      </c>
      <c r="E308">
        <f>Settings!$C$32*(A308-Settings!$B$4+1)/Settings!$B$6</f>
        <v/>
      </c>
    </row>
    <row r="309" ht="15" customHeight="1">
      <c r="A309">
        <f>Dashboard!A22</f>
        <v/>
      </c>
      <c r="B309">
        <f>SUMIFS(Weekly_Agg!$U:$U,Weekly_Agg!$A:$A,"&gt;="&amp;Settings!$B$4,Weekly_Agg!$A:$A,"&lt;="&amp;A309)</f>
        <v/>
      </c>
      <c r="C309">
        <f>Settings!$C$31*(A309-Settings!$B$4+1)/Settings!$B$6</f>
        <v/>
      </c>
      <c r="D309">
        <f>SUMIFS(Weekly_Agg!$V:$V,Weekly_Agg!$A:$A,"&gt;="&amp;Settings!$B$4,Weekly_Agg!$A:$A,"&lt;="&amp;A309)</f>
        <v/>
      </c>
      <c r="E309">
        <f>Settings!$C$32*(A309-Settings!$B$4+1)/Settings!$B$6</f>
        <v/>
      </c>
    </row>
    <row r="310" ht="15" customHeight="1">
      <c r="A310">
        <f>Dashboard!A23</f>
        <v/>
      </c>
      <c r="B310">
        <f>SUMIFS(Weekly_Agg!$U:$U,Weekly_Agg!$A:$A,"&gt;="&amp;Settings!$B$4,Weekly_Agg!$A:$A,"&lt;="&amp;A310)</f>
        <v/>
      </c>
      <c r="C310">
        <f>Settings!$C$31*(A310-Settings!$B$4+1)/Settings!$B$6</f>
        <v/>
      </c>
      <c r="D310">
        <f>SUMIFS(Weekly_Agg!$V:$V,Weekly_Agg!$A:$A,"&gt;="&amp;Settings!$B$4,Weekly_Agg!$A:$A,"&lt;="&amp;A310)</f>
        <v/>
      </c>
      <c r="E310">
        <f>Settings!$C$32*(A310-Settings!$B$4+1)/Settings!$B$6</f>
        <v/>
      </c>
    </row>
    <row r="311" ht="15" customHeight="1">
      <c r="A311">
        <f>Dashboard!A24</f>
        <v/>
      </c>
      <c r="B311">
        <f>SUMIFS(Weekly_Agg!$U:$U,Weekly_Agg!$A:$A,"&gt;="&amp;Settings!$B$4,Weekly_Agg!$A:$A,"&lt;="&amp;A311)</f>
        <v/>
      </c>
      <c r="C311">
        <f>Settings!$C$31*(A311-Settings!$B$4+1)/Settings!$B$6</f>
        <v/>
      </c>
      <c r="D311">
        <f>SUMIFS(Weekly_Agg!$V:$V,Weekly_Agg!$A:$A,"&gt;="&amp;Settings!$B$4,Weekly_Agg!$A:$A,"&lt;="&amp;A311)</f>
        <v/>
      </c>
      <c r="E311">
        <f>Settings!$C$32*(A311-Settings!$B$4+1)/Settings!$B$6</f>
        <v/>
      </c>
    </row>
    <row r="312" ht="15" customHeight="1">
      <c r="A312">
        <f>Dashboard!A25</f>
        <v/>
      </c>
      <c r="B312">
        <f>SUMIFS(Weekly_Agg!$U:$U,Weekly_Agg!$A:$A,"&gt;="&amp;Settings!$B$4,Weekly_Agg!$A:$A,"&lt;="&amp;A312)</f>
        <v/>
      </c>
      <c r="C312">
        <f>Settings!$C$31*(A312-Settings!$B$4+1)/Settings!$B$6</f>
        <v/>
      </c>
      <c r="D312">
        <f>SUMIFS(Weekly_Agg!$V:$V,Weekly_Agg!$A:$A,"&gt;="&amp;Settings!$B$4,Weekly_Agg!$A:$A,"&lt;="&amp;A312)</f>
        <v/>
      </c>
      <c r="E312">
        <f>Settings!$C$32*(A312-Settings!$B$4+1)/Settings!$B$6</f>
        <v/>
      </c>
    </row>
    <row r="313" ht="15" customHeight="1">
      <c r="A313">
        <f>Dashboard!A26</f>
        <v/>
      </c>
      <c r="B313">
        <f>SUMIFS(Weekly_Agg!$U:$U,Weekly_Agg!$A:$A,"&gt;="&amp;Settings!$B$4,Weekly_Agg!$A:$A,"&lt;="&amp;A313)</f>
        <v/>
      </c>
      <c r="C313">
        <f>Settings!$C$31*(A313-Settings!$B$4+1)/Settings!$B$6</f>
        <v/>
      </c>
      <c r="D313">
        <f>SUMIFS(Weekly_Agg!$V:$V,Weekly_Agg!$A:$A,"&gt;="&amp;Settings!$B$4,Weekly_Agg!$A:$A,"&lt;="&amp;A313)</f>
        <v/>
      </c>
      <c r="E313">
        <f>Settings!$C$32*(A313-Settings!$B$4+1)/Settings!$B$6</f>
        <v/>
      </c>
    </row>
    <row r="314" ht="15" customHeight="1">
      <c r="A314">
        <f>Dashboard!A27</f>
        <v/>
      </c>
      <c r="B314">
        <f>SUMIFS(Weekly_Agg!$U:$U,Weekly_Agg!$A:$A,"&gt;="&amp;Settings!$B$4,Weekly_Agg!$A:$A,"&lt;="&amp;A314)</f>
        <v/>
      </c>
      <c r="C314">
        <f>Settings!$C$31*(A314-Settings!$B$4+1)/Settings!$B$6</f>
        <v/>
      </c>
      <c r="D314">
        <f>SUMIFS(Weekly_Agg!$V:$V,Weekly_Agg!$A:$A,"&gt;="&amp;Settings!$B$4,Weekly_Agg!$A:$A,"&lt;="&amp;A314)</f>
        <v/>
      </c>
      <c r="E314">
        <f>Settings!$C$32*(A314-Settings!$B$4+1)/Settings!$B$6</f>
        <v/>
      </c>
    </row>
    <row r="315" ht="15" customHeight="1">
      <c r="A315">
        <f>Dashboard!A28</f>
        <v/>
      </c>
      <c r="B315">
        <f>SUMIFS(Weekly_Agg!$U:$U,Weekly_Agg!$A:$A,"&gt;="&amp;Settings!$B$4,Weekly_Agg!$A:$A,"&lt;="&amp;A315)</f>
        <v/>
      </c>
      <c r="C315">
        <f>Settings!$C$31*(A315-Settings!$B$4+1)/Settings!$B$6</f>
        <v/>
      </c>
      <c r="D315">
        <f>SUMIFS(Weekly_Agg!$V:$V,Weekly_Agg!$A:$A,"&gt;="&amp;Settings!$B$4,Weekly_Agg!$A:$A,"&lt;="&amp;A315)</f>
        <v/>
      </c>
      <c r="E315">
        <f>Settings!$C$32*(A315-Settings!$B$4+1)/Settings!$B$6</f>
        <v/>
      </c>
    </row>
    <row r="316" ht="15" customHeight="1">
      <c r="A316">
        <f>Dashboard!A29</f>
        <v/>
      </c>
      <c r="B316">
        <f>SUMIFS(Weekly_Agg!$U:$U,Weekly_Agg!$A:$A,"&gt;="&amp;Settings!$B$4,Weekly_Agg!$A:$A,"&lt;="&amp;A316)</f>
        <v/>
      </c>
      <c r="C316">
        <f>Settings!$C$31*(A316-Settings!$B$4+1)/Settings!$B$6</f>
        <v/>
      </c>
      <c r="D316">
        <f>SUMIFS(Weekly_Agg!$V:$V,Weekly_Agg!$A:$A,"&gt;="&amp;Settings!$B$4,Weekly_Agg!$A:$A,"&lt;="&amp;A316)</f>
        <v/>
      </c>
      <c r="E316">
        <f>Settings!$C$32*(A316-Settings!$B$4+1)/Settings!$B$6</f>
        <v/>
      </c>
    </row>
    <row r="317" ht="15" customHeight="1">
      <c r="A317">
        <f>Dashboard!A30</f>
        <v/>
      </c>
      <c r="B317">
        <f>SUMIFS(Weekly_Agg!$U:$U,Weekly_Agg!$A:$A,"&gt;="&amp;Settings!$B$4,Weekly_Agg!$A:$A,"&lt;="&amp;A317)</f>
        <v/>
      </c>
      <c r="C317">
        <f>Settings!$C$31*(A317-Settings!$B$4+1)/Settings!$B$6</f>
        <v/>
      </c>
      <c r="D317">
        <f>SUMIFS(Weekly_Agg!$V:$V,Weekly_Agg!$A:$A,"&gt;="&amp;Settings!$B$4,Weekly_Agg!$A:$A,"&lt;="&amp;A317)</f>
        <v/>
      </c>
      <c r="E317">
        <f>Settings!$C$32*(A317-Settings!$B$4+1)/Settings!$B$6</f>
        <v/>
      </c>
    </row>
    <row r="318" ht="15" customHeight="1">
      <c r="A318">
        <f>Dashboard!A31</f>
        <v/>
      </c>
      <c r="B318">
        <f>SUMIFS(Weekly_Agg!$U:$U,Weekly_Agg!$A:$A,"&gt;="&amp;Settings!$B$4,Weekly_Agg!$A:$A,"&lt;="&amp;A318)</f>
        <v/>
      </c>
      <c r="C318">
        <f>Settings!$C$31*(A318-Settings!$B$4+1)/Settings!$B$6</f>
        <v/>
      </c>
      <c r="D318">
        <f>SUMIFS(Weekly_Agg!$V:$V,Weekly_Agg!$A:$A,"&gt;="&amp;Settings!$B$4,Weekly_Agg!$A:$A,"&lt;="&amp;A318)</f>
        <v/>
      </c>
      <c r="E318">
        <f>Settings!$C$32*(A318-Settings!$B$4+1)/Settings!$B$6</f>
        <v/>
      </c>
    </row>
    <row r="319" ht="15" customHeight="1">
      <c r="A319">
        <f>Dashboard!A32</f>
        <v/>
      </c>
      <c r="B319">
        <f>SUMIFS(Weekly_Agg!$U:$U,Weekly_Agg!$A:$A,"&gt;="&amp;Settings!$B$4,Weekly_Agg!$A:$A,"&lt;="&amp;A319)</f>
        <v/>
      </c>
      <c r="C319">
        <f>Settings!$C$31*(A319-Settings!$B$4+1)/Settings!$B$6</f>
        <v/>
      </c>
      <c r="D319">
        <f>SUMIFS(Weekly_Agg!$V:$V,Weekly_Agg!$A:$A,"&gt;="&amp;Settings!$B$4,Weekly_Agg!$A:$A,"&lt;="&amp;A319)</f>
        <v/>
      </c>
      <c r="E319">
        <f>Settings!$C$32*(A319-Settings!$B$4+1)/Settings!$B$6</f>
        <v/>
      </c>
    </row>
    <row r="320" ht="15" customHeight="1">
      <c r="A320">
        <f>Dashboard!A33</f>
        <v/>
      </c>
      <c r="B320">
        <f>SUMIFS(Weekly_Agg!$U:$U,Weekly_Agg!$A:$A,"&gt;="&amp;Settings!$B$4,Weekly_Agg!$A:$A,"&lt;="&amp;A320)</f>
        <v/>
      </c>
      <c r="C320">
        <f>Settings!$C$31*(A320-Settings!$B$4+1)/Settings!$B$6</f>
        <v/>
      </c>
      <c r="D320">
        <f>SUMIFS(Weekly_Agg!$V:$V,Weekly_Agg!$A:$A,"&gt;="&amp;Settings!$B$4,Weekly_Agg!$A:$A,"&lt;="&amp;A320)</f>
        <v/>
      </c>
      <c r="E320">
        <f>Settings!$C$32*(A320-Settings!$B$4+1)/Settings!$B$6</f>
        <v/>
      </c>
    </row>
    <row r="321" ht="15" customHeight="1">
      <c r="A321">
        <f>Dashboard!A34</f>
        <v/>
      </c>
      <c r="B321">
        <f>SUMIFS(Weekly_Agg!$U:$U,Weekly_Agg!$A:$A,"&gt;="&amp;Settings!$B$4,Weekly_Agg!$A:$A,"&lt;="&amp;A321)</f>
        <v/>
      </c>
      <c r="C321">
        <f>Settings!$C$31*(A321-Settings!$B$4+1)/Settings!$B$6</f>
        <v/>
      </c>
      <c r="D321">
        <f>SUMIFS(Weekly_Agg!$V:$V,Weekly_Agg!$A:$A,"&gt;="&amp;Settings!$B$4,Weekly_Agg!$A:$A,"&lt;="&amp;A321)</f>
        <v/>
      </c>
      <c r="E321">
        <f>Settings!$C$32*(A321-Settings!$B$4+1)/Settings!$B$6</f>
        <v/>
      </c>
    </row>
    <row r="322" ht="15" customHeight="1">
      <c r="A322">
        <f>Dashboard!A35</f>
        <v/>
      </c>
      <c r="B322">
        <f>SUMIFS(Weekly_Agg!$U:$U,Weekly_Agg!$A:$A,"&gt;="&amp;Settings!$B$4,Weekly_Agg!$A:$A,"&lt;="&amp;A322)</f>
        <v/>
      </c>
      <c r="C322">
        <f>Settings!$C$31*(A322-Settings!$B$4+1)/Settings!$B$6</f>
        <v/>
      </c>
      <c r="D322">
        <f>SUMIFS(Weekly_Agg!$V:$V,Weekly_Agg!$A:$A,"&gt;="&amp;Settings!$B$4,Weekly_Agg!$A:$A,"&lt;="&amp;A322)</f>
        <v/>
      </c>
      <c r="E322">
        <f>Settings!$C$32*(A322-Settings!$B$4+1)/Settings!$B$6</f>
        <v/>
      </c>
    </row>
    <row r="323" ht="15" customHeight="1">
      <c r="A323">
        <f>Dashboard!A36</f>
        <v/>
      </c>
      <c r="B323">
        <f>SUMIFS(Weekly_Agg!$U:$U,Weekly_Agg!$A:$A,"&gt;="&amp;Settings!$B$4,Weekly_Agg!$A:$A,"&lt;="&amp;A323)</f>
        <v/>
      </c>
      <c r="C323">
        <f>Settings!$C$31*(A323-Settings!$B$4+1)/Settings!$B$6</f>
        <v/>
      </c>
      <c r="D323">
        <f>SUMIFS(Weekly_Agg!$V:$V,Weekly_Agg!$A:$A,"&gt;="&amp;Settings!$B$4,Weekly_Agg!$A:$A,"&lt;="&amp;A323)</f>
        <v/>
      </c>
      <c r="E323">
        <f>Settings!$C$32*(A323-Settings!$B$4+1)/Settings!$B$6</f>
        <v/>
      </c>
    </row>
    <row r="324" ht="15" customHeight="1">
      <c r="A324">
        <f>Dashboard!A37</f>
        <v/>
      </c>
      <c r="B324">
        <f>SUMIFS(Weekly_Agg!$U:$U,Weekly_Agg!$A:$A,"&gt;="&amp;Settings!$B$4,Weekly_Agg!$A:$A,"&lt;="&amp;A324)</f>
        <v/>
      </c>
      <c r="C324">
        <f>Settings!$C$31*(A324-Settings!$B$4+1)/Settings!$B$6</f>
        <v/>
      </c>
      <c r="D324">
        <f>SUMIFS(Weekly_Agg!$V:$V,Weekly_Agg!$A:$A,"&gt;="&amp;Settings!$B$4,Weekly_Agg!$A:$A,"&lt;="&amp;A324)</f>
        <v/>
      </c>
      <c r="E324">
        <f>Settings!$C$32*(A324-Settings!$B$4+1)/Settings!$B$6</f>
        <v/>
      </c>
    </row>
    <row r="325" ht="15" customHeight="1">
      <c r="A325">
        <f>Dashboard!A38</f>
        <v/>
      </c>
      <c r="B325">
        <f>SUMIFS(Weekly_Agg!$U:$U,Weekly_Agg!$A:$A,"&gt;="&amp;Settings!$B$4,Weekly_Agg!$A:$A,"&lt;="&amp;A325)</f>
        <v/>
      </c>
      <c r="C325">
        <f>Settings!$C$31*(A325-Settings!$B$4+1)/Settings!$B$6</f>
        <v/>
      </c>
      <c r="D325">
        <f>SUMIFS(Weekly_Agg!$V:$V,Weekly_Agg!$A:$A,"&gt;="&amp;Settings!$B$4,Weekly_Agg!$A:$A,"&lt;="&amp;A325)</f>
        <v/>
      </c>
      <c r="E325">
        <f>Settings!$C$32*(A325-Settings!$B$4+1)/Settings!$B$6</f>
        <v/>
      </c>
    </row>
    <row r="326" ht="15" customHeight="1">
      <c r="A326">
        <f>Dashboard!A39</f>
        <v/>
      </c>
      <c r="B326">
        <f>SUMIFS(Weekly_Agg!$U:$U,Weekly_Agg!$A:$A,"&gt;="&amp;Settings!$B$4,Weekly_Agg!$A:$A,"&lt;="&amp;A326)</f>
        <v/>
      </c>
      <c r="C326">
        <f>Settings!$C$31*(A326-Settings!$B$4+1)/Settings!$B$6</f>
        <v/>
      </c>
      <c r="D326">
        <f>SUMIFS(Weekly_Agg!$V:$V,Weekly_Agg!$A:$A,"&gt;="&amp;Settings!$B$4,Weekly_Agg!$A:$A,"&lt;="&amp;A326)</f>
        <v/>
      </c>
      <c r="E326">
        <f>Settings!$C$32*(A326-Settings!$B$4+1)/Settings!$B$6</f>
        <v/>
      </c>
    </row>
    <row r="327" ht="15" customHeight="1">
      <c r="A327">
        <f>Dashboard!A40</f>
        <v/>
      </c>
      <c r="B327">
        <f>SUMIFS(Weekly_Agg!$U:$U,Weekly_Agg!$A:$A,"&gt;="&amp;Settings!$B$4,Weekly_Agg!$A:$A,"&lt;="&amp;A327)</f>
        <v/>
      </c>
      <c r="C327">
        <f>Settings!$C$31*(A327-Settings!$B$4+1)/Settings!$B$6</f>
        <v/>
      </c>
      <c r="D327">
        <f>SUMIFS(Weekly_Agg!$V:$V,Weekly_Agg!$A:$A,"&gt;="&amp;Settings!$B$4,Weekly_Agg!$A:$A,"&lt;="&amp;A327)</f>
        <v/>
      </c>
      <c r="E327">
        <f>Settings!$C$32*(A327-Settings!$B$4+1)/Settings!$B$6</f>
        <v/>
      </c>
    </row>
    <row r="328" ht="15" customHeight="1">
      <c r="A328">
        <f>Dashboard!A41</f>
        <v/>
      </c>
      <c r="B328">
        <f>SUMIFS(Weekly_Agg!$U:$U,Weekly_Agg!$A:$A,"&gt;="&amp;Settings!$B$4,Weekly_Agg!$A:$A,"&lt;="&amp;A328)</f>
        <v/>
      </c>
      <c r="C328">
        <f>Settings!$C$31*(A328-Settings!$B$4+1)/Settings!$B$6</f>
        <v/>
      </c>
      <c r="D328">
        <f>SUMIFS(Weekly_Agg!$V:$V,Weekly_Agg!$A:$A,"&gt;="&amp;Settings!$B$4,Weekly_Agg!$A:$A,"&lt;="&amp;A328)</f>
        <v/>
      </c>
      <c r="E328">
        <f>Settings!$C$32*(A328-Settings!$B$4+1)/Settings!$B$6</f>
        <v/>
      </c>
    </row>
    <row r="329" ht="15" customHeight="1">
      <c r="A329">
        <f>Dashboard!A42</f>
        <v/>
      </c>
      <c r="B329">
        <f>SUMIFS(Weekly_Agg!$U:$U,Weekly_Agg!$A:$A,"&gt;="&amp;Settings!$B$4,Weekly_Agg!$A:$A,"&lt;="&amp;A329)</f>
        <v/>
      </c>
      <c r="C329">
        <f>Settings!$C$31*(A329-Settings!$B$4+1)/Settings!$B$6</f>
        <v/>
      </c>
      <c r="D329">
        <f>SUMIFS(Weekly_Agg!$V:$V,Weekly_Agg!$A:$A,"&gt;="&amp;Settings!$B$4,Weekly_Agg!$A:$A,"&lt;="&amp;A329)</f>
        <v/>
      </c>
      <c r="E329">
        <f>Settings!$C$32*(A329-Settings!$B$4+1)/Settings!$B$6</f>
        <v/>
      </c>
    </row>
    <row r="330" ht="15" customHeight="1">
      <c r="A330">
        <f>Dashboard!A43</f>
        <v/>
      </c>
      <c r="B330">
        <f>SUMIFS(Weekly_Agg!$U:$U,Weekly_Agg!$A:$A,"&gt;="&amp;Settings!$B$4,Weekly_Agg!$A:$A,"&lt;="&amp;A330)</f>
        <v/>
      </c>
      <c r="C330">
        <f>Settings!$C$31*(A330-Settings!$B$4+1)/Settings!$B$6</f>
        <v/>
      </c>
      <c r="D330">
        <f>SUMIFS(Weekly_Agg!$V:$V,Weekly_Agg!$A:$A,"&gt;="&amp;Settings!$B$4,Weekly_Agg!$A:$A,"&lt;="&amp;A330)</f>
        <v/>
      </c>
      <c r="E330">
        <f>Settings!$C$32*(A330-Settings!$B$4+1)/Settings!$B$6</f>
        <v/>
      </c>
    </row>
    <row r="331" ht="15" customHeight="1">
      <c r="A331">
        <f>Dashboard!A44</f>
        <v/>
      </c>
      <c r="B331">
        <f>SUMIFS(Weekly_Agg!$U:$U,Weekly_Agg!$A:$A,"&gt;="&amp;Settings!$B$4,Weekly_Agg!$A:$A,"&lt;="&amp;A331)</f>
        <v/>
      </c>
      <c r="C331">
        <f>Settings!$C$31*(A331-Settings!$B$4+1)/Settings!$B$6</f>
        <v/>
      </c>
      <c r="D331">
        <f>SUMIFS(Weekly_Agg!$V:$V,Weekly_Agg!$A:$A,"&gt;="&amp;Settings!$B$4,Weekly_Agg!$A:$A,"&lt;="&amp;A331)</f>
        <v/>
      </c>
      <c r="E331">
        <f>Settings!$C$32*(A331-Settings!$B$4+1)/Settings!$B$6</f>
        <v/>
      </c>
    </row>
    <row r="332" ht="15" customHeight="1">
      <c r="A332">
        <f>Dashboard!A45</f>
        <v/>
      </c>
      <c r="B332">
        <f>SUMIFS(Weekly_Agg!$U:$U,Weekly_Agg!$A:$A,"&gt;="&amp;Settings!$B$4,Weekly_Agg!$A:$A,"&lt;="&amp;A332)</f>
        <v/>
      </c>
      <c r="C332">
        <f>Settings!$C$31*(A332-Settings!$B$4+1)/Settings!$B$6</f>
        <v/>
      </c>
      <c r="D332">
        <f>SUMIFS(Weekly_Agg!$V:$V,Weekly_Agg!$A:$A,"&gt;="&amp;Settings!$B$4,Weekly_Agg!$A:$A,"&lt;="&amp;A332)</f>
        <v/>
      </c>
      <c r="E332">
        <f>Settings!$C$32*(A332-Settings!$B$4+1)/Settings!$B$6</f>
        <v/>
      </c>
    </row>
    <row r="333" ht="15" customHeight="1">
      <c r="A333">
        <f>Dashboard!A46</f>
        <v/>
      </c>
      <c r="B333">
        <f>SUMIFS(Weekly_Agg!$U:$U,Weekly_Agg!$A:$A,"&gt;="&amp;Settings!$B$4,Weekly_Agg!$A:$A,"&lt;="&amp;A333)</f>
        <v/>
      </c>
      <c r="C333">
        <f>Settings!$C$31*(A333-Settings!$B$4+1)/Settings!$B$6</f>
        <v/>
      </c>
      <c r="D333">
        <f>SUMIFS(Weekly_Agg!$V:$V,Weekly_Agg!$A:$A,"&gt;="&amp;Settings!$B$4,Weekly_Agg!$A:$A,"&lt;="&amp;A333)</f>
        <v/>
      </c>
      <c r="E333">
        <f>Settings!$C$32*(A333-Settings!$B$4+1)/Settings!$B$6</f>
        <v/>
      </c>
    </row>
    <row r="334" ht="15" customHeight="1">
      <c r="A334">
        <f>Dashboard!A47</f>
        <v/>
      </c>
      <c r="B334">
        <f>SUMIFS(Weekly_Agg!$U:$U,Weekly_Agg!$A:$A,"&gt;="&amp;Settings!$B$4,Weekly_Agg!$A:$A,"&lt;="&amp;A334)</f>
        <v/>
      </c>
      <c r="C334">
        <f>Settings!$C$31*(A334-Settings!$B$4+1)/Settings!$B$6</f>
        <v/>
      </c>
      <c r="D334">
        <f>SUMIFS(Weekly_Agg!$V:$V,Weekly_Agg!$A:$A,"&gt;="&amp;Settings!$B$4,Weekly_Agg!$A:$A,"&lt;="&amp;A334)</f>
        <v/>
      </c>
      <c r="E334">
        <f>Settings!$C$32*(A334-Settings!$B$4+1)/Settings!$B$6</f>
        <v/>
      </c>
    </row>
    <row r="335" ht="15" customHeight="1">
      <c r="A335">
        <f>Dashboard!A48</f>
        <v/>
      </c>
      <c r="B335">
        <f>SUMIFS(Weekly_Agg!$U:$U,Weekly_Agg!$A:$A,"&gt;="&amp;Settings!$B$4,Weekly_Agg!$A:$A,"&lt;="&amp;A335)</f>
        <v/>
      </c>
      <c r="C335">
        <f>Settings!$C$31*(A335-Settings!$B$4+1)/Settings!$B$6</f>
        <v/>
      </c>
      <c r="D335">
        <f>SUMIFS(Weekly_Agg!$V:$V,Weekly_Agg!$A:$A,"&gt;="&amp;Settings!$B$4,Weekly_Agg!$A:$A,"&lt;="&amp;A335)</f>
        <v/>
      </c>
      <c r="E335">
        <f>Settings!$C$32*(A335-Settings!$B$4+1)/Settings!$B$6</f>
        <v/>
      </c>
    </row>
    <row r="336" ht="15" customHeight="1">
      <c r="A336">
        <f>Dashboard!A49</f>
        <v/>
      </c>
      <c r="B336">
        <f>SUMIFS(Weekly_Agg!$U:$U,Weekly_Agg!$A:$A,"&gt;="&amp;Settings!$B$4,Weekly_Agg!$A:$A,"&lt;="&amp;A336)</f>
        <v/>
      </c>
      <c r="C336">
        <f>Settings!$C$31*(A336-Settings!$B$4+1)/Settings!$B$6</f>
        <v/>
      </c>
      <c r="D336">
        <f>SUMIFS(Weekly_Agg!$V:$V,Weekly_Agg!$A:$A,"&gt;="&amp;Settings!$B$4,Weekly_Agg!$A:$A,"&lt;="&amp;A336)</f>
        <v/>
      </c>
      <c r="E336">
        <f>Settings!$C$32*(A336-Settings!$B$4+1)/Settings!$B$6</f>
        <v/>
      </c>
    </row>
    <row r="337" ht="15" customHeight="1">
      <c r="A337">
        <f>Dashboard!A50</f>
        <v/>
      </c>
      <c r="B337">
        <f>SUMIFS(Weekly_Agg!$U:$U,Weekly_Agg!$A:$A,"&gt;="&amp;Settings!$B$4,Weekly_Agg!$A:$A,"&lt;="&amp;A337)</f>
        <v/>
      </c>
      <c r="C337">
        <f>Settings!$C$31*(A337-Settings!$B$4+1)/Settings!$B$6</f>
        <v/>
      </c>
      <c r="D337">
        <f>SUMIFS(Weekly_Agg!$V:$V,Weekly_Agg!$A:$A,"&gt;="&amp;Settings!$B$4,Weekly_Agg!$A:$A,"&lt;="&amp;A337)</f>
        <v/>
      </c>
      <c r="E337">
        <f>Settings!$C$32*(A337-Settings!$B$4+1)/Settings!$B$6</f>
        <v/>
      </c>
    </row>
    <row r="338" ht="15" customHeight="1">
      <c r="A338">
        <f>Dashboard!A51</f>
        <v/>
      </c>
      <c r="B338">
        <f>SUMIFS(Weekly_Agg!$U:$U,Weekly_Agg!$A:$A,"&gt;="&amp;Settings!$B$4,Weekly_Agg!$A:$A,"&lt;="&amp;A338)</f>
        <v/>
      </c>
      <c r="C338">
        <f>Settings!$C$31*(A338-Settings!$B$4+1)/Settings!$B$6</f>
        <v/>
      </c>
      <c r="D338">
        <f>SUMIFS(Weekly_Agg!$V:$V,Weekly_Agg!$A:$A,"&gt;="&amp;Settings!$B$4,Weekly_Agg!$A:$A,"&lt;="&amp;A338)</f>
        <v/>
      </c>
      <c r="E338">
        <f>Settings!$C$32*(A338-Settings!$B$4+1)/Settings!$B$6</f>
        <v/>
      </c>
    </row>
    <row r="339" ht="15" customHeight="1">
      <c r="A339">
        <f>Dashboard!A52</f>
        <v/>
      </c>
      <c r="B339">
        <f>SUMIFS(Weekly_Agg!$U:$U,Weekly_Agg!$A:$A,"&gt;="&amp;Settings!$B$4,Weekly_Agg!$A:$A,"&lt;="&amp;A339)</f>
        <v/>
      </c>
      <c r="C339">
        <f>Settings!$C$31*(A339-Settings!$B$4+1)/Settings!$B$6</f>
        <v/>
      </c>
      <c r="D339">
        <f>SUMIFS(Weekly_Agg!$V:$V,Weekly_Agg!$A:$A,"&gt;="&amp;Settings!$B$4,Weekly_Agg!$A:$A,"&lt;="&amp;A339)</f>
        <v/>
      </c>
      <c r="E339">
        <f>Settings!$C$32*(A339-Settings!$B$4+1)/Settings!$B$6</f>
        <v/>
      </c>
    </row>
    <row r="340" ht="15" customHeight="1">
      <c r="A340">
        <f>Dashboard!A53</f>
        <v/>
      </c>
      <c r="B340">
        <f>SUMIFS(Weekly_Agg!$U:$U,Weekly_Agg!$A:$A,"&gt;="&amp;Settings!$B$4,Weekly_Agg!$A:$A,"&lt;="&amp;A340)</f>
        <v/>
      </c>
      <c r="C340">
        <f>Settings!$C$31*(A340-Settings!$B$4+1)/Settings!$B$6</f>
        <v/>
      </c>
      <c r="D340">
        <f>SUMIFS(Weekly_Agg!$V:$V,Weekly_Agg!$A:$A,"&gt;="&amp;Settings!$B$4,Weekly_Agg!$A:$A,"&lt;="&amp;A340)</f>
        <v/>
      </c>
      <c r="E340">
        <f>Settings!$C$32*(A340-Settings!$B$4+1)/Settings!$B$6</f>
        <v/>
      </c>
    </row>
    <row r="341" ht="15" customHeight="1">
      <c r="A341">
        <f>Dashboard!A54</f>
        <v/>
      </c>
      <c r="B341">
        <f>SUMIFS(Weekly_Agg!$U:$U,Weekly_Agg!$A:$A,"&gt;="&amp;Settings!$B$4,Weekly_Agg!$A:$A,"&lt;="&amp;A341)</f>
        <v/>
      </c>
      <c r="C341">
        <f>Settings!$C$31*(A341-Settings!$B$4+1)/Settings!$B$6</f>
        <v/>
      </c>
      <c r="D341">
        <f>SUMIFS(Weekly_Agg!$V:$V,Weekly_Agg!$A:$A,"&gt;="&amp;Settings!$B$4,Weekly_Agg!$A:$A,"&lt;="&amp;A341)</f>
        <v/>
      </c>
      <c r="E341">
        <f>Settings!$C$32*(A341-Settings!$B$4+1)/Settings!$B$6</f>
        <v/>
      </c>
    </row>
    <row r="342" ht="15" customHeight="1">
      <c r="A342">
        <f>Dashboard!A55</f>
        <v/>
      </c>
      <c r="B342">
        <f>SUMIFS(Weekly_Agg!$U:$U,Weekly_Agg!$A:$A,"&gt;="&amp;Settings!$B$4,Weekly_Agg!$A:$A,"&lt;="&amp;A342)</f>
        <v/>
      </c>
      <c r="C342">
        <f>Settings!$C$31*(A342-Settings!$B$4+1)/Settings!$B$6</f>
        <v/>
      </c>
      <c r="D342">
        <f>SUMIFS(Weekly_Agg!$V:$V,Weekly_Agg!$A:$A,"&gt;="&amp;Settings!$B$4,Weekly_Agg!$A:$A,"&lt;="&amp;A342)</f>
        <v/>
      </c>
      <c r="E342">
        <f>Settings!$C$32*(A342-Settings!$B$4+1)/Settings!$B$6</f>
        <v/>
      </c>
    </row>
    <row r="343" ht="15" customHeight="1">
      <c r="A343">
        <f>Dashboard!A56</f>
        <v/>
      </c>
      <c r="B343">
        <f>SUMIFS(Weekly_Agg!$U:$U,Weekly_Agg!$A:$A,"&gt;="&amp;Settings!$B$4,Weekly_Agg!$A:$A,"&lt;="&amp;A343)</f>
        <v/>
      </c>
      <c r="C343">
        <f>Settings!$C$31*(A343-Settings!$B$4+1)/Settings!$B$6</f>
        <v/>
      </c>
      <c r="D343">
        <f>SUMIFS(Weekly_Agg!$V:$V,Weekly_Agg!$A:$A,"&gt;="&amp;Settings!$B$4,Weekly_Agg!$A:$A,"&lt;="&amp;A343)</f>
        <v/>
      </c>
      <c r="E343">
        <f>Settings!$C$32*(A343-Settings!$B$4+1)/Settings!$B$6</f>
        <v/>
      </c>
    </row>
    <row r="344" ht="15" customHeight="1">
      <c r="A344">
        <f>Dashboard!A57</f>
        <v/>
      </c>
      <c r="B344">
        <f>SUMIFS(Weekly_Agg!$U:$U,Weekly_Agg!$A:$A,"&gt;="&amp;Settings!$B$4,Weekly_Agg!$A:$A,"&lt;="&amp;A344)</f>
        <v/>
      </c>
      <c r="C344">
        <f>Settings!$C$31*(A344-Settings!$B$4+1)/Settings!$B$6</f>
        <v/>
      </c>
      <c r="D344">
        <f>SUMIFS(Weekly_Agg!$V:$V,Weekly_Agg!$A:$A,"&gt;="&amp;Settings!$B$4,Weekly_Agg!$A:$A,"&lt;="&amp;A344)</f>
        <v/>
      </c>
      <c r="E344">
        <f>Settings!$C$32*(A344-Settings!$B$4+1)/Settings!$B$6</f>
        <v/>
      </c>
    </row>
    <row r="345" ht="15" customHeight="1">
      <c r="A345">
        <f>Dashboard!A58</f>
        <v/>
      </c>
      <c r="B345">
        <f>SUMIFS(Weekly_Agg!$U:$U,Weekly_Agg!$A:$A,"&gt;="&amp;Settings!$B$4,Weekly_Agg!$A:$A,"&lt;="&amp;A345)</f>
        <v/>
      </c>
      <c r="C345">
        <f>Settings!$C$31*(A345-Settings!$B$4+1)/Settings!$B$6</f>
        <v/>
      </c>
      <c r="D345">
        <f>SUMIFS(Weekly_Agg!$V:$V,Weekly_Agg!$A:$A,"&gt;="&amp;Settings!$B$4,Weekly_Agg!$A:$A,"&lt;="&amp;A345)</f>
        <v/>
      </c>
      <c r="E345">
        <f>Settings!$C$32*(A345-Settings!$B$4+1)/Settings!$B$6</f>
        <v/>
      </c>
    </row>
    <row r="346" ht="15" customHeight="1">
      <c r="A346">
        <f>Dashboard!A59</f>
        <v/>
      </c>
      <c r="B346">
        <f>SUMIFS(Weekly_Agg!$U:$U,Weekly_Agg!$A:$A,"&gt;="&amp;Settings!$B$4,Weekly_Agg!$A:$A,"&lt;="&amp;A346)</f>
        <v/>
      </c>
      <c r="C346">
        <f>Settings!$C$31*(A346-Settings!$B$4+1)/Settings!$B$6</f>
        <v/>
      </c>
      <c r="D346">
        <f>SUMIFS(Weekly_Agg!$V:$V,Weekly_Agg!$A:$A,"&gt;="&amp;Settings!$B$4,Weekly_Agg!$A:$A,"&lt;="&amp;A346)</f>
        <v/>
      </c>
      <c r="E346">
        <f>Settings!$C$32*(A346-Settings!$B$4+1)/Settings!$B$6</f>
        <v/>
      </c>
    </row>
    <row r="347" ht="15" customHeight="1">
      <c r="A347">
        <f>Dashboard!A60</f>
        <v/>
      </c>
      <c r="B347">
        <f>SUMIFS(Weekly_Agg!$U:$U,Weekly_Agg!$A:$A,"&gt;="&amp;Settings!$B$4,Weekly_Agg!$A:$A,"&lt;="&amp;A347)</f>
        <v/>
      </c>
      <c r="C347">
        <f>Settings!$C$31*(A347-Settings!$B$4+1)/Settings!$B$6</f>
        <v/>
      </c>
      <c r="D347">
        <f>SUMIFS(Weekly_Agg!$V:$V,Weekly_Agg!$A:$A,"&gt;="&amp;Settings!$B$4,Weekly_Agg!$A:$A,"&lt;="&amp;A347)</f>
        <v/>
      </c>
      <c r="E347">
        <f>Settings!$C$32*(A347-Settings!$B$4+1)/Settings!$B$6</f>
        <v/>
      </c>
    </row>
    <row r="348" ht="15" customHeight="1">
      <c r="A348">
        <f>Dashboard!A61</f>
        <v/>
      </c>
      <c r="B348">
        <f>SUMIFS(Weekly_Agg!$U:$U,Weekly_Agg!$A:$A,"&gt;="&amp;Settings!$B$4,Weekly_Agg!$A:$A,"&lt;="&amp;A348)</f>
        <v/>
      </c>
      <c r="C348">
        <f>Settings!$C$31*(A348-Settings!$B$4+1)/Settings!$B$6</f>
        <v/>
      </c>
      <c r="D348">
        <f>SUMIFS(Weekly_Agg!$V:$V,Weekly_Agg!$A:$A,"&gt;="&amp;Settings!$B$4,Weekly_Agg!$A:$A,"&lt;="&amp;A348)</f>
        <v/>
      </c>
      <c r="E348">
        <f>Settings!$C$32*(A348-Settings!$B$4+1)/Settings!$B$6</f>
        <v/>
      </c>
    </row>
    <row r="349" ht="15" customHeight="1">
      <c r="A349">
        <f>Dashboard!A62</f>
        <v/>
      </c>
      <c r="B349">
        <f>SUMIFS(Weekly_Agg!$U:$U,Weekly_Agg!$A:$A,"&gt;="&amp;Settings!$B$4,Weekly_Agg!$A:$A,"&lt;="&amp;A349)</f>
        <v/>
      </c>
      <c r="C349">
        <f>Settings!$C$31*(A349-Settings!$B$4+1)/Settings!$B$6</f>
        <v/>
      </c>
      <c r="D349">
        <f>SUMIFS(Weekly_Agg!$V:$V,Weekly_Agg!$A:$A,"&gt;="&amp;Settings!$B$4,Weekly_Agg!$A:$A,"&lt;="&amp;A349)</f>
        <v/>
      </c>
      <c r="E349">
        <f>Settings!$C$32*(A349-Settings!$B$4+1)/Settings!$B$6</f>
        <v/>
      </c>
    </row>
    <row r="350" ht="15" customHeight="1">
      <c r="A350">
        <f>Dashboard!A63</f>
        <v/>
      </c>
      <c r="B350">
        <f>SUMIFS(Weekly_Agg!$U:$U,Weekly_Agg!$A:$A,"&gt;="&amp;Settings!$B$4,Weekly_Agg!$A:$A,"&lt;="&amp;A350)</f>
        <v/>
      </c>
      <c r="C350">
        <f>Settings!$C$31*(A350-Settings!$B$4+1)/Settings!$B$6</f>
        <v/>
      </c>
      <c r="D350">
        <f>SUMIFS(Weekly_Agg!$V:$V,Weekly_Agg!$A:$A,"&gt;="&amp;Settings!$B$4,Weekly_Agg!$A:$A,"&lt;="&amp;A350)</f>
        <v/>
      </c>
      <c r="E350">
        <f>Settings!$C$32*(A350-Settings!$B$4+1)/Settings!$B$6</f>
        <v/>
      </c>
    </row>
    <row r="351" ht="15" customHeight="1">
      <c r="A351">
        <f>Dashboard!A64</f>
        <v/>
      </c>
      <c r="B351">
        <f>SUMIFS(Weekly_Agg!$U:$U,Weekly_Agg!$A:$A,"&gt;="&amp;Settings!$B$4,Weekly_Agg!$A:$A,"&lt;="&amp;A351)</f>
        <v/>
      </c>
      <c r="C351">
        <f>Settings!$C$31*(A351-Settings!$B$4+1)/Settings!$B$6</f>
        <v/>
      </c>
      <c r="D351">
        <f>SUMIFS(Weekly_Agg!$V:$V,Weekly_Agg!$A:$A,"&gt;="&amp;Settings!$B$4,Weekly_Agg!$A:$A,"&lt;="&amp;A351)</f>
        <v/>
      </c>
      <c r="E351">
        <f>Settings!$C$32*(A351-Settings!$B$4+1)/Settings!$B$6</f>
        <v/>
      </c>
    </row>
    <row r="352" ht="15" customHeight="1">
      <c r="A352">
        <f>Dashboard!A65</f>
        <v/>
      </c>
      <c r="B352">
        <f>SUMIFS(Weekly_Agg!$U:$U,Weekly_Agg!$A:$A,"&gt;="&amp;Settings!$B$4,Weekly_Agg!$A:$A,"&lt;="&amp;A352)</f>
        <v/>
      </c>
      <c r="C352">
        <f>Settings!$C$31*(A352-Settings!$B$4+1)/Settings!$B$6</f>
        <v/>
      </c>
      <c r="D352">
        <f>SUMIFS(Weekly_Agg!$V:$V,Weekly_Agg!$A:$A,"&gt;="&amp;Settings!$B$4,Weekly_Agg!$A:$A,"&lt;="&amp;A352)</f>
        <v/>
      </c>
      <c r="E352">
        <f>Settings!$C$32*(A352-Settings!$B$4+1)/Settings!$B$6</f>
        <v/>
      </c>
    </row>
    <row r="353" ht="15" customHeight="1">
      <c r="A353">
        <f>Dashboard!A66</f>
        <v/>
      </c>
      <c r="B353">
        <f>SUMIFS(Weekly_Agg!$U:$U,Weekly_Agg!$A:$A,"&gt;="&amp;Settings!$B$4,Weekly_Agg!$A:$A,"&lt;="&amp;A353)</f>
        <v/>
      </c>
      <c r="C353">
        <f>Settings!$C$31*(A353-Settings!$B$4+1)/Settings!$B$6</f>
        <v/>
      </c>
      <c r="D353">
        <f>SUMIFS(Weekly_Agg!$V:$V,Weekly_Agg!$A:$A,"&gt;="&amp;Settings!$B$4,Weekly_Agg!$A:$A,"&lt;="&amp;A353)</f>
        <v/>
      </c>
      <c r="E353">
        <f>Settings!$C$32*(A353-Settings!$B$4+1)/Settings!$B$6</f>
        <v/>
      </c>
    </row>
    <row r="354"/>
    <row r="355"/>
    <row r="356"/>
    <row r="357"/>
    <row r="358"/>
    <row r="359"/>
    <row r="360" ht="15" customHeight="1">
      <c r="A360" s="32" t="inlineStr">
        <is>
          <t>Dating</t>
        </is>
      </c>
    </row>
    <row r="361">
      <c r="A361" s="31" t="inlineStr">
        <is>
          <t>MonthStart</t>
        </is>
      </c>
      <c r="B361" s="31" t="inlineStr">
        <is>
          <t>Dates</t>
        </is>
      </c>
      <c r="C361" s="31" t="inlineStr">
        <is>
          <t>TargetDates</t>
        </is>
      </c>
    </row>
    <row r="362" ht="15" customHeight="1">
      <c r="A362" s="34">
        <f>Monthly_Agg!A3</f>
        <v/>
      </c>
      <c r="B362">
        <f>Monthly_Agg!I3</f>
        <v/>
      </c>
      <c r="C362">
        <f>IF(A362&lt;DATE(2026,6,1),0,IF($I$2=1,0,Settings!$C$37))</f>
        <v/>
      </c>
    </row>
    <row r="363" ht="15" customHeight="1">
      <c r="A363" s="34">
        <f>Monthly_Agg!A4</f>
        <v/>
      </c>
      <c r="B363">
        <f>Monthly_Agg!I4</f>
        <v/>
      </c>
      <c r="C363">
        <f>IF(A363&lt;DATE(2026,6,1),0,IF($I$2=1,0,Settings!$C$37))</f>
        <v/>
      </c>
    </row>
    <row r="364" ht="15" customHeight="1">
      <c r="A364" s="34">
        <f>Monthly_Agg!A5</f>
        <v/>
      </c>
      <c r="B364">
        <f>Monthly_Agg!I5</f>
        <v/>
      </c>
      <c r="C364">
        <f>IF(A364&lt;DATE(2026,6,1),0,IF($I$2=1,0,Settings!$C$37))</f>
        <v/>
      </c>
    </row>
    <row r="365" ht="15" customHeight="1">
      <c r="A365" s="34">
        <f>Monthly_Agg!A6</f>
        <v/>
      </c>
      <c r="B365">
        <f>Monthly_Agg!I6</f>
        <v/>
      </c>
      <c r="C365">
        <f>IF(A365&lt;DATE(2026,6,1),0,IF($I$2=1,0,Settings!$C$37))</f>
        <v/>
      </c>
    </row>
    <row r="366" ht="15" customHeight="1">
      <c r="A366" s="34">
        <f>Monthly_Agg!A7</f>
        <v/>
      </c>
      <c r="B366">
        <f>Monthly_Agg!I7</f>
        <v/>
      </c>
      <c r="C366">
        <f>IF(A366&lt;DATE(2026,6,1),0,IF($I$2=1,0,Settings!$C$37))</f>
        <v/>
      </c>
    </row>
    <row r="367" ht="15" customHeight="1">
      <c r="A367" s="34">
        <f>Monthly_Agg!A8</f>
        <v/>
      </c>
      <c r="B367">
        <f>Monthly_Agg!I8</f>
        <v/>
      </c>
      <c r="C367">
        <f>IF(A367&lt;DATE(2026,6,1),0,IF($I$2=1,0,Settings!$C$37))</f>
        <v/>
      </c>
    </row>
    <row r="368" ht="15" customHeight="1">
      <c r="A368" s="34">
        <f>Monthly_Agg!A9</f>
        <v/>
      </c>
      <c r="B368">
        <f>Monthly_Agg!I9</f>
        <v/>
      </c>
      <c r="C368">
        <f>IF(A368&lt;DATE(2026,6,1),0,IF($I$2=1,0,Settings!$C$37))</f>
        <v/>
      </c>
    </row>
    <row r="369" ht="15" customHeight="1">
      <c r="A369" s="34">
        <f>Monthly_Agg!A10</f>
        <v/>
      </c>
      <c r="B369">
        <f>Monthly_Agg!I10</f>
        <v/>
      </c>
      <c r="C369">
        <f>IF(A369&lt;DATE(2026,6,1),0,IF($I$2=1,0,Settings!$C$37))</f>
        <v/>
      </c>
    </row>
    <row r="370" ht="15" customHeight="1">
      <c r="A370" s="34">
        <f>Monthly_Agg!A11</f>
        <v/>
      </c>
      <c r="B370">
        <f>Monthly_Agg!I11</f>
        <v/>
      </c>
      <c r="C370">
        <f>IF(A370&lt;DATE(2026,6,1),0,IF($I$2=1,0,Settings!$C$37))</f>
        <v/>
      </c>
    </row>
    <row r="371" ht="15" customHeight="1">
      <c r="A371" s="34">
        <f>Monthly_Agg!A12</f>
        <v/>
      </c>
      <c r="B371">
        <f>Monthly_Agg!I12</f>
        <v/>
      </c>
      <c r="C371">
        <f>IF(A371&lt;DATE(2026,6,1),0,IF($I$2=1,0,Settings!$C$37))</f>
        <v/>
      </c>
    </row>
    <row r="372" ht="15" customHeight="1">
      <c r="A372" s="34">
        <f>Monthly_Agg!A13</f>
        <v/>
      </c>
      <c r="B372">
        <f>Monthly_Agg!I13</f>
        <v/>
      </c>
      <c r="C372">
        <f>IF(A372&lt;DATE(2026,6,1),0,IF($I$2=1,0,Settings!$C$37))</f>
        <v/>
      </c>
    </row>
    <row r="373" ht="15" customHeight="1">
      <c r="A373" s="34">
        <f>Monthly_Agg!A14</f>
        <v/>
      </c>
      <c r="B373">
        <f>Monthly_Agg!I14</f>
        <v/>
      </c>
      <c r="C373">
        <f>IF(A373&lt;DATE(2026,6,1),0,IF($I$2=1,0,Settings!$C$37))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10" defaultRowHeight="16"/>
  <sheetData>
    <row r="1" ht="19" customHeight="1">
      <c r="A1" s="2" t="inlineStr">
        <is>
          <t>Milestones (from 2026 plan)</t>
        </is>
      </c>
    </row>
    <row r="2" ht="32" customHeight="1">
      <c r="A2" s="7" t="inlineStr">
        <is>
          <t>Quarter</t>
        </is>
      </c>
      <c r="B2" s="7" t="inlineStr">
        <is>
          <t>Area</t>
        </is>
      </c>
      <c r="C2" s="7" t="inlineStr">
        <is>
          <t>Milestone</t>
        </is>
      </c>
      <c r="D2" s="7" t="inlineStr">
        <is>
          <t>DueDate</t>
        </is>
      </c>
      <c r="E2" s="7" t="inlineStr">
        <is>
          <t>CompletionCriteria</t>
        </is>
      </c>
      <c r="F2" s="7" t="inlineStr">
        <is>
          <t>AutoComplete?(1/0)</t>
        </is>
      </c>
      <c r="G2" s="31" t="inlineStr">
        <is>
          <t>ManualComplete?(1/0)</t>
        </is>
      </c>
      <c r="H2" s="31" t="inlineStr">
        <is>
          <t>Status</t>
        </is>
      </c>
      <c r="I2" s="31" t="inlineStr">
        <is>
          <t>CompletedDate</t>
        </is>
      </c>
      <c r="J2" s="31" t="inlineStr">
        <is>
          <t>Notes</t>
        </is>
      </c>
      <c r="K2" s="31" t="inlineStr">
        <is>
          <t>PlanRef</t>
        </is>
      </c>
    </row>
    <row r="3" ht="15" customHeight="1">
      <c r="A3" s="8" t="inlineStr">
        <is>
          <t>2026-Q2</t>
        </is>
      </c>
      <c r="B3" s="14" t="inlineStr">
        <is>
          <t>Finance</t>
        </is>
      </c>
      <c r="C3" s="16" t="inlineStr">
        <is>
          <t>Open new foreign bank card</t>
        </is>
      </c>
      <c r="D3" s="16">
        <f>DATE(2026,7,31)</f>
        <v/>
      </c>
      <c r="E3" s="8" t="inlineStr">
        <is>
          <t>Manual completion (opened by July 2026).</t>
        </is>
      </c>
      <c r="F3" s="8" t="n"/>
      <c r="H3">
        <f>IF($G3=1,"Done",IF($F3=1,"Done","Open"))</f>
        <v/>
      </c>
      <c r="K3" t="inlineStr">
        <is>
          <t>Due by July 2026</t>
        </is>
      </c>
    </row>
    <row r="4" ht="15" customHeight="1">
      <c r="A4" s="8" t="inlineStr">
        <is>
          <t>2026-Q1</t>
        </is>
      </c>
      <c r="B4" s="14" t="inlineStr">
        <is>
          <t>Social</t>
        </is>
      </c>
      <c r="C4" s="16" t="inlineStr">
        <is>
          <t>Wardrobe plan executed</t>
        </is>
      </c>
      <c r="D4" s="16">
        <f>DATE(2026,3,31)</f>
        <v/>
      </c>
      <c r="E4" s="8" t="inlineStr">
        <is>
          <t>Manual completion.</t>
        </is>
      </c>
      <c r="F4" s="8" t="n"/>
      <c r="H4">
        <f>IF($G4=1,"Done",IF($F4=1,"Done","Open"))</f>
        <v/>
      </c>
      <c r="K4" t="inlineStr">
        <is>
          <t>Q1</t>
        </is>
      </c>
    </row>
    <row r="5" ht="15" customHeight="1">
      <c r="A5" t="inlineStr">
        <is>
          <t>2026-Q1</t>
        </is>
      </c>
      <c r="B5" s="30" t="inlineStr">
        <is>
          <t>Social</t>
        </is>
      </c>
      <c r="C5" t="inlineStr">
        <is>
          <t>Join 2 recurring communities + attend 6–8 sessions</t>
        </is>
      </c>
      <c r="D5">
        <f>DATE(2026,3,31)</f>
        <v/>
      </c>
      <c r="E5" t="inlineStr">
        <is>
          <t>COMMUNITY_SESSION count in Q1 &gt;=6 (unique communities tracked via tags; manual check for 2 communities).</t>
        </is>
      </c>
      <c r="F5">
        <f>IF(COUNTIFS(Raw_Events!$G:$G,"COMMUNITY_SESSION",Raw_Events!$C:$C,"&gt;="&amp;DATE(2026,1,1),Raw_Events!$C:$C,"&lt;="&amp;DATE(2026,3,31))&gt;=6,1,0)</f>
        <v/>
      </c>
      <c r="H5">
        <f>IF($G5=1,"Done",IF($F5=1,"Done","Open"))</f>
        <v/>
      </c>
      <c r="K5" t="inlineStr">
        <is>
          <t>Q1</t>
        </is>
      </c>
    </row>
    <row r="6" ht="15" customHeight="1">
      <c r="A6" t="inlineStr">
        <is>
          <t>2026-Q1</t>
        </is>
      </c>
      <c r="B6" s="30" t="inlineStr">
        <is>
          <t>Social</t>
        </is>
      </c>
      <c r="C6" t="inlineStr">
        <is>
          <t>Meet 10–20 new people</t>
        </is>
      </c>
      <c r="D6">
        <f>DATE(2026,3,31)</f>
        <v/>
      </c>
      <c r="E6" t="inlineStr">
        <is>
          <t>New Social people (People.FirstMet) in Q1 &gt;=10.</t>
        </is>
      </c>
      <c r="F6">
        <f>IF(COUNTIFS(People!$C$3:$C$500,"Social",People!$D$3:$D$500,"&gt;="&amp;DATE(2026,1,1),People!$D$3:$D$500,"&lt;="&amp;DATE(2026,3,31))&gt;=10,1,0)</f>
        <v/>
      </c>
      <c r="H6">
        <f>IF($G6=1,"Done",IF($F6=1,"Done","Open"))</f>
        <v/>
      </c>
      <c r="K6" t="inlineStr">
        <is>
          <t>Q1</t>
        </is>
      </c>
    </row>
    <row r="7" ht="15" customHeight="1">
      <c r="A7" t="inlineStr">
        <is>
          <t>2026-Q1</t>
        </is>
      </c>
      <c r="B7" s="30" t="inlineStr">
        <is>
          <t>Social</t>
        </is>
      </c>
      <c r="C7" t="inlineStr">
        <is>
          <t>Convert 4–6 into 2nd meetings</t>
        </is>
      </c>
      <c r="D7">
        <f>DATE(2026,3,31)</f>
        <v/>
      </c>
      <c r="E7" t="inlineStr">
        <is>
          <t>Social people first met in Q1 with Meetings2026&gt;=2 &gt;=4.</t>
        </is>
      </c>
      <c r="F7">
        <f>IF(SUMPRODUCT(--(People!$C$3:$C$500="Social"),--(People!$D$3:$D$500&gt;=DATE(2026,1,1)),--(People!$D$3:$D$500&lt;=DATE(2026,3,31)),--(People!$F$3:$F$500&gt;=2))&gt;=4,1,0)</f>
        <v/>
      </c>
      <c r="H7">
        <f>IF($G7=1,"Done",IF($F7=1,"Done","Open"))</f>
        <v/>
      </c>
      <c r="K7" t="inlineStr">
        <is>
          <t>Q1</t>
        </is>
      </c>
    </row>
    <row r="8" ht="15" customHeight="1">
      <c r="A8" t="inlineStr">
        <is>
          <t>2026-Q2</t>
        </is>
      </c>
      <c r="B8" s="30" t="inlineStr">
        <is>
          <t>Social</t>
        </is>
      </c>
      <c r="C8" t="inlineStr">
        <is>
          <t>Living situation invite-ready</t>
        </is>
      </c>
      <c r="D8">
        <f>DATE(2026,6,30)</f>
        <v/>
      </c>
      <c r="E8" t="inlineStr">
        <is>
          <t>Manual completion.</t>
        </is>
      </c>
      <c r="H8">
        <f>IF($G8=1,"Done",IF($F8=1,"Done","Open"))</f>
        <v/>
      </c>
      <c r="K8" t="inlineStr">
        <is>
          <t>Q2</t>
        </is>
      </c>
    </row>
    <row r="9" ht="15" customHeight="1">
      <c r="A9" t="inlineStr">
        <is>
          <t>2026-Q2</t>
        </is>
      </c>
      <c r="B9" s="30" t="inlineStr">
        <is>
          <t>Social</t>
        </is>
      </c>
      <c r="C9" t="inlineStr">
        <is>
          <t>Identify 8 friend-candidates</t>
        </is>
      </c>
      <c r="D9">
        <f>DATE(2026,6,30)</f>
        <v/>
      </c>
      <c r="E9" t="inlineStr">
        <is>
          <t>Manual completion.</t>
        </is>
      </c>
      <c r="H9">
        <f>IF($G9=1,"Done",IF($F9=1,"Done","Open"))</f>
        <v/>
      </c>
      <c r="K9" t="inlineStr">
        <is>
          <t>Q2</t>
        </is>
      </c>
    </row>
    <row r="10" ht="15" customHeight="1">
      <c r="A10" t="inlineStr">
        <is>
          <t>2026-Q2</t>
        </is>
      </c>
      <c r="B10" s="30" t="inlineStr">
        <is>
          <t>Social</t>
        </is>
      </c>
      <c r="C10" t="inlineStr">
        <is>
          <t>Host/organize 2 events</t>
        </is>
      </c>
      <c r="D10">
        <f>DATE(2026,6,30)</f>
        <v/>
      </c>
      <c r="E10" t="inlineStr">
        <is>
          <t>HOSTED_EVENT count in Q2 &gt;=2.</t>
        </is>
      </c>
      <c r="F10">
        <f>IF(COUNTIFS(Raw_Events!$G:$G,"HOSTED_EVENT",Raw_Events!$C:$C,"&gt;="&amp;DATE(2026,4,1),Raw_Events!$C:$C,"&lt;="&amp;DATE(2026,6,30))&gt;=2,1,0)</f>
        <v/>
      </c>
      <c r="H10">
        <f>IF($G10=1,"Done",IF($F10=1,"Done","Open"))</f>
        <v/>
      </c>
      <c r="K10" t="inlineStr">
        <is>
          <t>Q2</t>
        </is>
      </c>
    </row>
    <row r="11" ht="15" customHeight="1">
      <c r="A11" t="inlineStr">
        <is>
          <t>2026-Q2</t>
        </is>
      </c>
      <c r="B11" s="30" t="inlineStr">
        <is>
          <t>Social</t>
        </is>
      </c>
      <c r="C11" t="inlineStr">
        <is>
          <t>Reach cumulative 10–12 people met 2+ times</t>
        </is>
      </c>
      <c r="D11">
        <f>DATE(2026,6,30)</f>
        <v/>
      </c>
      <c r="E11" t="inlineStr">
        <is>
          <t>People met 2+ times (Social) &gt;=10.</t>
        </is>
      </c>
      <c r="F11">
        <f>IF(COUNTIFS(People!$C$3:$C$500,"Social",People!$F$3:$F$500,"&gt;=2")&gt;=10,1,0)</f>
        <v/>
      </c>
      <c r="H11">
        <f>IF($G11=1,"Done",IF($F11=1,"Done","Open"))</f>
        <v/>
      </c>
      <c r="K11" t="inlineStr">
        <is>
          <t>Q2</t>
        </is>
      </c>
    </row>
    <row r="12" ht="15" customHeight="1">
      <c r="A12" t="inlineStr">
        <is>
          <t>2026-Q3</t>
        </is>
      </c>
      <c r="B12" s="30" t="inlineStr">
        <is>
          <t>Social</t>
        </is>
      </c>
      <c r="C12" t="inlineStr">
        <is>
          <t>5 core candidates seen at least monthly</t>
        </is>
      </c>
      <c r="D12">
        <f>DATE(2026,9,30)</f>
        <v/>
      </c>
      <c r="E12" t="inlineStr">
        <is>
          <t>Manual completion.</t>
        </is>
      </c>
      <c r="H12">
        <f>IF($G12=1,"Done",IF($F12=1,"Done","Open"))</f>
        <v/>
      </c>
      <c r="K12" t="inlineStr">
        <is>
          <t>Q3</t>
        </is>
      </c>
    </row>
    <row r="13" ht="15" customHeight="1">
      <c r="A13" t="inlineStr">
        <is>
          <t>2026-Q3</t>
        </is>
      </c>
      <c r="B13" s="30" t="inlineStr">
        <is>
          <t>Social</t>
        </is>
      </c>
      <c r="C13" t="inlineStr">
        <is>
          <t>Reach cumulative 15+ people met 2+ times</t>
        </is>
      </c>
      <c r="D13">
        <f>DATE(2026,9,30)</f>
        <v/>
      </c>
      <c r="E13" t="inlineStr">
        <is>
          <t>People met 2+ times (Social) &gt;=15.</t>
        </is>
      </c>
      <c r="F13">
        <f>IF(COUNTIFS(People!$C$3:$C$500,"Social",People!$F$3:$F$500,"&gt;=2")&gt;=15,1,0)</f>
        <v/>
      </c>
      <c r="H13">
        <f>IF($G13=1,"Done",IF($F13=1,"Done","Open"))</f>
        <v/>
      </c>
      <c r="K13" t="inlineStr">
        <is>
          <t>Q3</t>
        </is>
      </c>
    </row>
    <row r="14" ht="15" customHeight="1">
      <c r="A14" t="inlineStr">
        <is>
          <t>2026-Q4</t>
        </is>
      </c>
      <c r="B14" s="30" t="inlineStr">
        <is>
          <t>Social</t>
        </is>
      </c>
      <c r="C14" t="inlineStr">
        <is>
          <t>5 people hit 5+ meetings threshold</t>
        </is>
      </c>
      <c r="D14">
        <f>DATE(2026,12,31)</f>
        <v/>
      </c>
      <c r="E14" t="inlineStr">
        <is>
          <t>People met 5+ times (Social) &gt;=5.</t>
        </is>
      </c>
      <c r="F14">
        <f>IF(COUNTIFS(People!$C$3:$C$500,"Social",People!$F$3:$F$500,"&gt;=5")&gt;=5,1,0)</f>
        <v/>
      </c>
      <c r="H14">
        <f>IF($G14=1,"Done",IF($F14=1,"Done","Open"))</f>
        <v/>
      </c>
      <c r="K14" t="inlineStr">
        <is>
          <t>Q4</t>
        </is>
      </c>
    </row>
    <row r="15" ht="15" customHeight="1">
      <c r="A15" t="inlineStr">
        <is>
          <t>2026-Q4</t>
        </is>
      </c>
      <c r="B15" s="30" t="inlineStr">
        <is>
          <t>Social</t>
        </is>
      </c>
      <c r="C15" t="inlineStr">
        <is>
          <t>Run 2 hosted events (Q4)</t>
        </is>
      </c>
      <c r="D15">
        <f>DATE(2026,12,31)</f>
        <v/>
      </c>
      <c r="E15" t="inlineStr">
        <is>
          <t>HOSTED_EVENT count in Q4 &gt;=2.</t>
        </is>
      </c>
      <c r="F15">
        <f>IF(COUNTIFS(Raw_Events!$G:$G,"HOSTED_EVENT",Raw_Events!$C:$C,"&gt;="&amp;DATE(2026,10,1),Raw_Events!$C:$C,"&lt;="&amp;DATE(2026,12,31))&gt;=2,1,0)</f>
        <v/>
      </c>
      <c r="H15">
        <f>IF($G15=1,"Done",IF($F15=1,"Done","Open"))</f>
        <v/>
      </c>
      <c r="K15" t="inlineStr">
        <is>
          <t>Q4</t>
        </is>
      </c>
    </row>
    <row r="16" ht="15" customHeight="1">
      <c r="A16" t="inlineStr">
        <is>
          <t>2026-Q1</t>
        </is>
      </c>
      <c r="B16" s="30" t="inlineStr">
        <is>
          <t>Dating</t>
        </is>
      </c>
      <c r="C16" t="inlineStr">
        <is>
          <t>Wardrobe plan executed; grooming baseline stable</t>
        </is>
      </c>
      <c r="D16">
        <f>DATE(2026,3,31)</f>
        <v/>
      </c>
      <c r="E16" t="inlineStr">
        <is>
          <t>Manual completion.</t>
        </is>
      </c>
      <c r="H16">
        <f>IF($G16=1,"Done",IF($F16=1,"Done","Open"))</f>
        <v/>
      </c>
      <c r="K16" t="inlineStr">
        <is>
          <t>Q1</t>
        </is>
      </c>
    </row>
    <row r="17" ht="15" customHeight="1">
      <c r="A17" t="inlineStr">
        <is>
          <t>2026-Q1</t>
        </is>
      </c>
      <c r="B17" s="30" t="inlineStr">
        <is>
          <t>Dating</t>
        </is>
      </c>
      <c r="C17" t="inlineStr">
        <is>
          <t>Photos planned/booked</t>
        </is>
      </c>
      <c r="D17">
        <f>DATE(2026,3,31)</f>
        <v/>
      </c>
      <c r="E17" t="inlineStr">
        <is>
          <t>Manual completion.</t>
        </is>
      </c>
      <c r="H17">
        <f>IF($G17=1,"Done",IF($F17=1,"Done","Open"))</f>
        <v/>
      </c>
      <c r="K17" t="inlineStr">
        <is>
          <t>Q1</t>
        </is>
      </c>
    </row>
    <row r="18" ht="15" customHeight="1">
      <c r="A18" t="inlineStr">
        <is>
          <t>2026-Q1</t>
        </is>
      </c>
      <c r="B18" s="30" t="inlineStr">
        <is>
          <t>Dating</t>
        </is>
      </c>
      <c r="C18" t="inlineStr">
        <is>
          <t>Partner filter + deal-breakers + first-date plan defined</t>
        </is>
      </c>
      <c r="D18">
        <f>DATE(2026,3,31)</f>
        <v/>
      </c>
      <c r="E18" t="inlineStr">
        <is>
          <t>Manual completion.</t>
        </is>
      </c>
      <c r="H18">
        <f>IF($G18=1,"Done",IF($F18=1,"Done","Open"))</f>
        <v/>
      </c>
      <c r="K18" t="inlineStr">
        <is>
          <t>Q1</t>
        </is>
      </c>
    </row>
    <row r="19" ht="15" customHeight="1">
      <c r="A19" t="inlineStr">
        <is>
          <t>2026-Q1</t>
        </is>
      </c>
      <c r="B19" s="30" t="inlineStr">
        <is>
          <t>Dating</t>
        </is>
      </c>
      <c r="C19" t="inlineStr">
        <is>
          <t>Ex-boundary plan written and started</t>
        </is>
      </c>
      <c r="D19">
        <f>DATE(2026,3,31)</f>
        <v/>
      </c>
      <c r="E19" t="inlineStr">
        <is>
          <t>Manual completion.</t>
        </is>
      </c>
      <c r="H19">
        <f>IF($G19=1,"Done",IF($F19=1,"Done","Open"))</f>
        <v/>
      </c>
      <c r="K19" t="inlineStr">
        <is>
          <t>Q1</t>
        </is>
      </c>
    </row>
    <row r="20" ht="15" customHeight="1">
      <c r="A20" t="inlineStr">
        <is>
          <t>2026-Q2</t>
        </is>
      </c>
      <c r="B20" s="30" t="inlineStr">
        <is>
          <t>Dating</t>
        </is>
      </c>
      <c r="C20" t="inlineStr">
        <is>
          <t>Profile live + messaging rhythm established by May</t>
        </is>
      </c>
      <c r="D20">
        <f>DATE(2026,5,31)</f>
        <v/>
      </c>
      <c r="E20" t="inlineStr">
        <is>
          <t>Manual completion.</t>
        </is>
      </c>
      <c r="H20">
        <f>IF($G20=1,"Done",IF($F20=1,"Done","Open"))</f>
        <v/>
      </c>
      <c r="K20" t="inlineStr">
        <is>
          <t>Q2</t>
        </is>
      </c>
    </row>
    <row r="21" ht="15" customHeight="1">
      <c r="A21" t="inlineStr">
        <is>
          <t>2026-Q2</t>
        </is>
      </c>
      <c r="B21" s="30" t="inlineStr">
        <is>
          <t>Dating</t>
        </is>
      </c>
      <c r="C21" t="inlineStr">
        <is>
          <t>Calendar locked for 2 dates/week starting June</t>
        </is>
      </c>
      <c r="D21">
        <f>DATE(2026,6,30)</f>
        <v/>
      </c>
      <c r="E21" t="inlineStr">
        <is>
          <t>Manual completion.</t>
        </is>
      </c>
      <c r="H21">
        <f>IF($G21=1,"Done",IF($F21=1,"Done","Open"))</f>
        <v/>
      </c>
      <c r="K21" t="inlineStr">
        <is>
          <t>Q2</t>
        </is>
      </c>
    </row>
    <row r="22" ht="15" customHeight="1">
      <c r="A22" t="inlineStr">
        <is>
          <t>2026-Q2</t>
        </is>
      </c>
      <c r="B22" s="30" t="inlineStr">
        <is>
          <t>Dating</t>
        </is>
      </c>
      <c r="C22" t="inlineStr">
        <is>
          <t>June target: 8 dates</t>
        </is>
      </c>
      <c r="D22">
        <f>DATE(2026,6,30)</f>
        <v/>
      </c>
      <c r="E22" t="inlineStr">
        <is>
          <t>Monthly_Agg June dates &gt;=8 (unless stop condition).</t>
        </is>
      </c>
      <c r="F22">
        <f>IFERROR(IF(VLOOKUP(DATE(2026,6,1),Monthly_Agg!$A:$N,9,FALSE)&gt;=8,1,0),0)</f>
        <v/>
      </c>
      <c r="H22">
        <f>IF($G22=1,"Done",IF($F22=1,"Done","Open"))</f>
        <v/>
      </c>
      <c r="K22" t="inlineStr">
        <is>
          <t>Q2</t>
        </is>
      </c>
    </row>
    <row r="23" ht="15" customHeight="1">
      <c r="A23" t="inlineStr">
        <is>
          <t>2026-Q3</t>
        </is>
      </c>
      <c r="B23" t="inlineStr">
        <is>
          <t>Dating</t>
        </is>
      </c>
      <c r="C23" t="inlineStr">
        <is>
          <t>At least 1 new sex partner (cumulative)</t>
        </is>
      </c>
      <c r="D23">
        <f>DATE(2026,9,30)</f>
        <v/>
      </c>
      <c r="E23" t="inlineStr">
        <is>
          <t>Distinct Sex partners &gt;=1.</t>
        </is>
      </c>
      <c r="F23">
        <f>IF(COUNTIFS(People!$H$3:$H$500,"&gt;=1")&gt;=1,1,0)</f>
        <v/>
      </c>
      <c r="H23">
        <f>IF($G23=1,"Done",IF($F23=1,"Done","Open"))</f>
        <v/>
      </c>
      <c r="K23" t="inlineStr">
        <is>
          <t>Q3</t>
        </is>
      </c>
    </row>
    <row r="24" ht="15" customHeight="1">
      <c r="A24" t="inlineStr">
        <is>
          <t>2026-Q4</t>
        </is>
      </c>
      <c r="B24" t="inlineStr">
        <is>
          <t>Dating</t>
        </is>
      </c>
      <c r="C24" t="inlineStr">
        <is>
          <t>3 new sex partners (cumulative)</t>
        </is>
      </c>
      <c r="D24">
        <f>DATE(2026,12,31)</f>
        <v/>
      </c>
      <c r="E24" t="inlineStr">
        <is>
          <t>Distinct Sex partners &gt;=3 (stop upon relationship).</t>
        </is>
      </c>
      <c r="F24">
        <f>IF(COUNTIFS(People!$H$3:$H$500,"&gt;=1")&gt;=3,1,0)</f>
        <v/>
      </c>
      <c r="H24">
        <f>IF($G24=1,"Done",IF($F24=1,"Done","Open"))</f>
        <v/>
      </c>
      <c r="K24" t="inlineStr">
        <is>
          <t>Q4</t>
        </is>
      </c>
    </row>
    <row r="25" ht="15" customHeight="1">
      <c r="A25" t="inlineStr">
        <is>
          <t>2026-Q4</t>
        </is>
      </c>
      <c r="B25" t="inlineStr">
        <is>
          <t>Dating</t>
        </is>
      </c>
      <c r="C25" t="inlineStr">
        <is>
          <t>Relationship &gt;3 months (if found)</t>
        </is>
      </c>
      <c r="D25">
        <f>DATE(2026,12,31)</f>
        <v/>
      </c>
      <c r="E25" t="inlineStr">
        <is>
          <t>Duration between RELATIONSHIP_START and end/today &gt;=90 days.</t>
        </is>
      </c>
      <c r="F25">
        <f>IF(COUNTIFS(Raw_Events!$G:$G,"RELATIONSHIP_START")=0,0,IF(IF(COUNTIFS(Raw_Events!$G:$G,"RELATIONSHIP_END")=0,TODAY(),MAXIFS(Raw_Events!$C:$C,Raw_Events!$G:$G,"RELATIONSHIP_END"))-MAXIFS(Raw_Events!$C:$C,Raw_Events!$G:$G,"RELATIONSHIP_START")&gt;=90,1,0))</f>
        <v/>
      </c>
      <c r="H25">
        <f>IF($G25=1,"Done",IF($F25=1,"Done","Open"))</f>
        <v/>
      </c>
      <c r="K25" t="inlineStr">
        <is>
          <t>Q4</t>
        </is>
      </c>
    </row>
    <row r="26" ht="15" customHeight="1">
      <c r="A26" t="inlineStr">
        <is>
          <t>2026-Q1</t>
        </is>
      </c>
      <c r="B26" t="inlineStr">
        <is>
          <t>Career</t>
        </is>
      </c>
      <c r="C26" t="inlineStr">
        <is>
          <t>Training started; 15 hours logged (cum)</t>
        </is>
      </c>
      <c r="D26">
        <f>DATE(2026,3,31)</f>
        <v/>
      </c>
      <c r="E26" t="inlineStr">
        <is>
          <t>Training hours cumulative &gt;=15.</t>
        </is>
      </c>
      <c r="F26">
        <f>IF(Quarterly_Agg!$D$3&gt;=15,1,0)</f>
        <v/>
      </c>
      <c r="H26">
        <f>IF($G26=1,"Done",IF($F26=1,"Done","Open"))</f>
        <v/>
      </c>
      <c r="K26" t="inlineStr">
        <is>
          <t>Q1</t>
        </is>
      </c>
    </row>
    <row r="27" ht="15" customHeight="1">
      <c r="A27" t="inlineStr">
        <is>
          <t>2026-Q2</t>
        </is>
      </c>
      <c r="B27" t="inlineStr">
        <is>
          <t>Career</t>
        </is>
      </c>
      <c r="C27" t="inlineStr">
        <is>
          <t>45 hours training logged (cum)</t>
        </is>
      </c>
      <c r="D27">
        <f>DATE(2026,6,30)</f>
        <v/>
      </c>
      <c r="E27" t="inlineStr">
        <is>
          <t>Training hours cumulative &gt;=45.</t>
        </is>
      </c>
      <c r="F27">
        <f>IF(Quarterly_Agg!$D$4&gt;=45,1,0)</f>
        <v/>
      </c>
      <c r="H27">
        <f>IF($G27=1,"Done",IF($F27=1,"Done","Open"))</f>
        <v/>
      </c>
      <c r="K27" t="inlineStr">
        <is>
          <t>Q2</t>
        </is>
      </c>
    </row>
    <row r="28" ht="15" customHeight="1">
      <c r="A28" t="inlineStr">
        <is>
          <t>2026-Q3</t>
        </is>
      </c>
      <c r="B28" t="inlineStr">
        <is>
          <t>Career</t>
        </is>
      </c>
      <c r="C28" t="inlineStr">
        <is>
          <t>75 hours training logged (cum)</t>
        </is>
      </c>
      <c r="D28">
        <f>DATE(2026,9,30)</f>
        <v/>
      </c>
      <c r="E28" t="inlineStr">
        <is>
          <t>Training hours cumulative &gt;=75.</t>
        </is>
      </c>
      <c r="F28">
        <f>IF(Quarterly_Agg!$D$5&gt;=75,1,0)</f>
        <v/>
      </c>
      <c r="H28">
        <f>IF($G28=1,"Done",IF($F28=1,"Done","Open"))</f>
        <v/>
      </c>
      <c r="K28" t="inlineStr">
        <is>
          <t>Q3</t>
        </is>
      </c>
    </row>
    <row r="29" ht="15" customHeight="1">
      <c r="A29" t="inlineStr">
        <is>
          <t>2026-Q4</t>
        </is>
      </c>
      <c r="B29" t="inlineStr">
        <is>
          <t>Career</t>
        </is>
      </c>
      <c r="C29" t="inlineStr">
        <is>
          <t>100 hours training complete (cum)</t>
        </is>
      </c>
      <c r="D29">
        <f>DATE(2026,12,31)</f>
        <v/>
      </c>
      <c r="E29" t="inlineStr">
        <is>
          <t>Training hours cumulative &gt;=100.</t>
        </is>
      </c>
      <c r="F29">
        <f>IF(Quarterly_Agg!$D$6&gt;=100,1,0)</f>
        <v/>
      </c>
      <c r="H29">
        <f>IF($G29=1,"Done",IF($F29=1,"Done","Open"))</f>
        <v/>
      </c>
      <c r="K29" t="inlineStr">
        <is>
          <t>Q4</t>
        </is>
      </c>
    </row>
    <row r="30" ht="15" customHeight="1">
      <c r="A30" t="inlineStr">
        <is>
          <t>2026-Q1</t>
        </is>
      </c>
      <c r="B30" t="inlineStr">
        <is>
          <t>Career</t>
        </is>
      </c>
      <c r="C30" t="inlineStr">
        <is>
          <t>Record baseline voice sample</t>
        </is>
      </c>
      <c r="D30">
        <f>DATE(2026,3,31)</f>
        <v/>
      </c>
      <c r="E30" t="inlineStr">
        <is>
          <t>VOICE_SAMPLE exists in Q1.</t>
        </is>
      </c>
      <c r="F30">
        <f>IF(COUNTIFS(Raw_Events!$G:$G,"VOICE_SAMPLE",Raw_Events!$C:$C,"&gt;="&amp;DATE(2026,1,1),Raw_Events!$C:$C,"&lt;="&amp;DATE(2026,3,31))&gt;=1,1,0)</f>
        <v/>
      </c>
      <c r="H30">
        <f>IF($G30=1,"Done",IF($F30=1,"Done","Open"))</f>
        <v/>
      </c>
      <c r="K30" t="inlineStr">
        <is>
          <t>Q1</t>
        </is>
      </c>
    </row>
    <row r="31" ht="15" customHeight="1">
      <c r="A31" t="inlineStr">
        <is>
          <t>2026-Q1</t>
        </is>
      </c>
      <c r="B31" t="inlineStr">
        <is>
          <t>Career</t>
        </is>
      </c>
      <c r="C31" t="inlineStr">
        <is>
          <t>Origination list (10 ideas) + stakeholder conversations</t>
        </is>
      </c>
      <c r="D31">
        <f>DATE(2026,3,31)</f>
        <v/>
      </c>
      <c r="E31" t="inlineStr">
        <is>
          <t>INITIATIVE_IDEA ytd&gt;=10 AND STAKEHOLDER_CHAT in Q1&gt;=1.</t>
        </is>
      </c>
      <c r="F31">
        <f>IF(AND(COUNTIFS(Raw_Events!$G:$G,"INITIATIVE_IDEA",Raw_Events!$C:$C,"&gt;="&amp;Settings!$B$4,Raw_Events!$C:$C,"&lt;="&amp;DATE(2026,3,31))&gt;=10,COUNTIFS(Raw_Events!$G:$G,"STAKEHOLDER_CHAT",Raw_Events!$C:$C,"&gt;="&amp;DATE(2026,1,1),Raw_Events!$C:$C,"&lt;="&amp;DATE(2026,3,31))&gt;=1),1,0)</f>
        <v/>
      </c>
      <c r="H31">
        <f>IF($G31=1,"Done",IF($F31=1,"Done","Open"))</f>
        <v/>
      </c>
      <c r="K31" t="inlineStr">
        <is>
          <t>Q1</t>
        </is>
      </c>
    </row>
    <row r="32" ht="15" customHeight="1">
      <c r="A32" t="inlineStr">
        <is>
          <t>2026-Q2</t>
        </is>
      </c>
      <c r="B32" t="inlineStr">
        <is>
          <t>Career</t>
        </is>
      </c>
      <c r="C32" t="inlineStr">
        <is>
          <t>Initiative #1 presented to VP (cum&gt;=1)</t>
        </is>
      </c>
      <c r="D32">
        <f>DATE(2026,6,30)</f>
        <v/>
      </c>
      <c r="E32" t="inlineStr">
        <is>
          <t>Presented cumulative &gt;=1.</t>
        </is>
      </c>
      <c r="F32">
        <f>IF(Quarterly_Agg!$F$4&gt;=1,1,0)</f>
        <v/>
      </c>
      <c r="H32">
        <f>IF($G32=1,"Done",IF($F32=1,"Done","Open"))</f>
        <v/>
      </c>
      <c r="K32" t="inlineStr">
        <is>
          <t>Q2</t>
        </is>
      </c>
    </row>
    <row r="33" ht="15" customHeight="1">
      <c r="A33" t="inlineStr">
        <is>
          <t>2026-Q3</t>
        </is>
      </c>
      <c r="B33" t="inlineStr">
        <is>
          <t>Career</t>
        </is>
      </c>
      <c r="C33" t="inlineStr">
        <is>
          <t>Initiative #2 presented to VP (cum&gt;=2)</t>
        </is>
      </c>
      <c r="D33">
        <f>DATE(2026,9,30)</f>
        <v/>
      </c>
      <c r="E33" t="inlineStr">
        <is>
          <t>Presented cumulative &gt;=2.</t>
        </is>
      </c>
      <c r="F33">
        <f>IF(Quarterly_Agg!$F$5&gt;=2,1,0)</f>
        <v/>
      </c>
      <c r="H33">
        <f>IF($G33=1,"Done",IF($F33=1,"Done","Open"))</f>
        <v/>
      </c>
      <c r="K33" t="inlineStr">
        <is>
          <t>Q3</t>
        </is>
      </c>
    </row>
    <row r="34" ht="15" customHeight="1">
      <c r="A34" t="inlineStr">
        <is>
          <t>2026-Q2</t>
        </is>
      </c>
      <c r="B34" t="inlineStr">
        <is>
          <t>Career</t>
        </is>
      </c>
      <c r="C34" t="inlineStr">
        <is>
          <t>10 new professional contacts (cum)</t>
        </is>
      </c>
      <c r="D34">
        <f>DATE(2026,6,30)</f>
        <v/>
      </c>
      <c r="E34" t="inlineStr">
        <is>
          <t>Pro contacts cumulative &gt;=10.</t>
        </is>
      </c>
      <c r="F34">
        <f>IF(Quarterly_Agg!$E$4&gt;=10,1,0)</f>
        <v/>
      </c>
      <c r="H34">
        <f>IF($G34=1,"Done",IF($F34=1,"Done","Open"))</f>
        <v/>
      </c>
      <c r="K34" t="inlineStr">
        <is>
          <t>Q2</t>
        </is>
      </c>
    </row>
    <row r="35" ht="15" customHeight="1">
      <c r="A35" t="inlineStr">
        <is>
          <t>2026-Q3</t>
        </is>
      </c>
      <c r="B35" t="inlineStr">
        <is>
          <t>Career</t>
        </is>
      </c>
      <c r="C35" t="inlineStr">
        <is>
          <t>15 new professional contacts (cum)</t>
        </is>
      </c>
      <c r="D35">
        <f>DATE(2026,9,30)</f>
        <v/>
      </c>
      <c r="E35" t="inlineStr">
        <is>
          <t>Pro contacts cumulative &gt;=15.</t>
        </is>
      </c>
      <c r="F35">
        <f>IF(Quarterly_Agg!$E$5&gt;=15,1,0)</f>
        <v/>
      </c>
      <c r="H35">
        <f>IF($G35=1,"Done",IF($F35=1,"Done","Open"))</f>
        <v/>
      </c>
      <c r="K35" t="inlineStr">
        <is>
          <t>Q3</t>
        </is>
      </c>
    </row>
    <row r="36" ht="15" customHeight="1">
      <c r="A36" t="inlineStr">
        <is>
          <t>2026-Q4</t>
        </is>
      </c>
      <c r="B36" t="inlineStr">
        <is>
          <t>Career</t>
        </is>
      </c>
      <c r="C36" t="inlineStr">
        <is>
          <t>20 new professional contacts (cum)</t>
        </is>
      </c>
      <c r="D36">
        <f>DATE(2026,12,31)</f>
        <v/>
      </c>
      <c r="E36" t="inlineStr">
        <is>
          <t>Pro contacts cumulative &gt;=20.</t>
        </is>
      </c>
      <c r="F36">
        <f>IF(Quarterly_Agg!$E$6&gt;=20,1,0)</f>
        <v/>
      </c>
      <c r="H36">
        <f>IF($G36=1,"Done",IF($F36=1,"Done","Open"))</f>
        <v/>
      </c>
      <c r="K36" t="inlineStr">
        <is>
          <t>Q4</t>
        </is>
      </c>
    </row>
    <row r="37" ht="15" customHeight="1">
      <c r="A37" t="inlineStr">
        <is>
          <t>2026-Q1</t>
        </is>
      </c>
      <c r="B37" t="inlineStr">
        <is>
          <t>Hobbies</t>
        </is>
      </c>
      <c r="C37" t="inlineStr">
        <is>
          <t>Anchor hobby sessions 12 (cum)</t>
        </is>
      </c>
      <c r="D37">
        <f>DATE(2026,3,31)</f>
        <v/>
      </c>
      <c r="E37" t="inlineStr">
        <is>
          <t>COOKING_SESSION+PISTOL_SHOOTING_SESSION ytd&lt;=Q1 &gt;=12.</t>
        </is>
      </c>
      <c r="F37">
        <f>IF(COUNTIFS(Raw_Events!$G:$G,"COOKING_SESSION",Raw_Events!$C:$C,"&gt;="&amp;Settings!$B$4,Raw_Events!$C:$C,"&lt;="&amp;DATE(2026,3,31))+COUNTIFS(Raw_Events!$G:$G,"PISTOL_SHOOTING_SESSION",Raw_Events!$C:$C,"&gt;="&amp;Settings!$B$4,Raw_Events!$C:$C,"&lt;="&amp;DATE(2026,3,31))&gt;=12,1,0)</f>
        <v/>
      </c>
      <c r="H37">
        <f>IF($G37=1,"Done",IF($F37=1,"Done","Open"))</f>
        <v/>
      </c>
      <c r="K37" t="inlineStr">
        <is>
          <t>Q1</t>
        </is>
      </c>
    </row>
    <row r="38" ht="15" customHeight="1">
      <c r="A38" t="inlineStr">
        <is>
          <t>2026-Q2</t>
        </is>
      </c>
      <c r="B38" t="inlineStr">
        <is>
          <t>Hobbies</t>
        </is>
      </c>
      <c r="C38" t="inlineStr">
        <is>
          <t>Anchor hobby sessions 24 (cum)</t>
        </is>
      </c>
      <c r="D38">
        <f>DATE(2026,6,30)</f>
        <v/>
      </c>
      <c r="E38" t="inlineStr">
        <is>
          <t>COOKING_SESSION+PISTOL_SHOOTING_SESSION ytd&lt;=Q2 &gt;=24.</t>
        </is>
      </c>
      <c r="F38">
        <f>IF(COUNTIFS(Raw_Events!$G:$G,"COOKING_SESSION",Raw_Events!$C:$C,"&gt;="&amp;Settings!$B$4,Raw_Events!$C:$C,"&lt;="&amp;DATE(2026,6,30))+COUNTIFS(Raw_Events!$G:$G,"PISTOL_SHOOTING_SESSION",Raw_Events!$C:$C,"&gt;="&amp;Settings!$B$4,Raw_Events!$C:$C,"&lt;="&amp;DATE(2026,6,30))&gt;=24,1,0)</f>
        <v/>
      </c>
      <c r="H38">
        <f>IF($G38=1,"Done",IF($F38=1,"Done","Open"))</f>
        <v/>
      </c>
      <c r="K38" t="inlineStr">
        <is>
          <t>Q2</t>
        </is>
      </c>
    </row>
    <row r="39" ht="15" customHeight="1">
      <c r="A39" t="inlineStr">
        <is>
          <t>2026-Q1</t>
        </is>
      </c>
      <c r="B39" t="inlineStr">
        <is>
          <t>Hobbies</t>
        </is>
      </c>
      <c r="C39" t="inlineStr">
        <is>
          <t>Try 2 new activities (cum)</t>
        </is>
      </c>
      <c r="D39">
        <f>DATE(2026,3,31)</f>
        <v/>
      </c>
      <c r="E39" t="inlineStr">
        <is>
          <t>New activities cumulative &gt;=2.</t>
        </is>
      </c>
      <c r="F39">
        <f>IF(Quarterly_Agg!$K$3&gt;=2,1,0)</f>
        <v/>
      </c>
      <c r="H39">
        <f>IF($G39=1,"Done",IF($F39=1,"Done","Open"))</f>
        <v/>
      </c>
      <c r="K39" t="inlineStr">
        <is>
          <t>Q1</t>
        </is>
      </c>
    </row>
    <row r="40" ht="15" customHeight="1">
      <c r="A40" t="inlineStr">
        <is>
          <t>2026-Q2</t>
        </is>
      </c>
      <c r="B40" t="inlineStr">
        <is>
          <t>Hobbies</t>
        </is>
      </c>
      <c r="C40" t="inlineStr">
        <is>
          <t>Try 6 new activities (cum)</t>
        </is>
      </c>
      <c r="D40">
        <f>DATE(2026,6,30)</f>
        <v/>
      </c>
      <c r="E40" t="inlineStr">
        <is>
          <t>New activities cumulative &gt;=6.</t>
        </is>
      </c>
      <c r="F40">
        <f>IF(Quarterly_Agg!$K$4&gt;=6,1,0)</f>
        <v/>
      </c>
      <c r="H40">
        <f>IF($G40=1,"Done",IF($F40=1,"Done","Open"))</f>
        <v/>
      </c>
      <c r="K40" t="inlineStr">
        <is>
          <t>Q2</t>
        </is>
      </c>
    </row>
    <row r="41" ht="15" customHeight="1">
      <c r="A41" t="inlineStr">
        <is>
          <t>2026-Q3</t>
        </is>
      </c>
      <c r="B41" t="inlineStr">
        <is>
          <t>Hobbies</t>
        </is>
      </c>
      <c r="C41" t="inlineStr">
        <is>
          <t>Try 10 new activities (cum)</t>
        </is>
      </c>
      <c r="D41">
        <f>DATE(2026,9,30)</f>
        <v/>
      </c>
      <c r="E41" t="inlineStr">
        <is>
          <t>New activities cumulative &gt;=10.</t>
        </is>
      </c>
      <c r="F41">
        <f>IF(Quarterly_Agg!$K$5&gt;=10,1,0)</f>
        <v/>
      </c>
      <c r="H41">
        <f>IF($G41=1,"Done",IF($F41=1,"Done","Open"))</f>
        <v/>
      </c>
      <c r="K41" t="inlineStr">
        <is>
          <t>Q3</t>
        </is>
      </c>
    </row>
    <row r="42" ht="15" customHeight="1">
      <c r="A42" t="inlineStr">
        <is>
          <t>2026-Q4</t>
        </is>
      </c>
      <c r="B42" t="inlineStr">
        <is>
          <t>Hobbies</t>
        </is>
      </c>
      <c r="C42" t="inlineStr">
        <is>
          <t>Try 12 new activities (cum)</t>
        </is>
      </c>
      <c r="D42">
        <f>DATE(2026,12,31)</f>
        <v/>
      </c>
      <c r="E42" t="inlineStr">
        <is>
          <t>New activities cumulative &gt;=12.</t>
        </is>
      </c>
      <c r="F42">
        <f>IF(Quarterly_Agg!$K$6&gt;=12,1,0)</f>
        <v/>
      </c>
      <c r="H42">
        <f>IF($G42=1,"Done",IF($F42=1,"Done","Open"))</f>
        <v/>
      </c>
      <c r="K42" t="inlineStr">
        <is>
          <t>Q4</t>
        </is>
      </c>
    </row>
    <row r="43" ht="15" customHeight="1">
      <c r="A43" t="inlineStr">
        <is>
          <t>2026-Q1</t>
        </is>
      </c>
      <c r="B43" t="inlineStr">
        <is>
          <t>Hobbies</t>
        </is>
      </c>
      <c r="C43" t="inlineStr">
        <is>
          <t>Reach 125 ideas (cum)</t>
        </is>
      </c>
      <c r="D43">
        <f>DATE(2026,3,31)</f>
        <v/>
      </c>
      <c r="E43" t="inlineStr">
        <is>
          <t>Ideas cumulative &gt;=125.</t>
        </is>
      </c>
      <c r="F43">
        <f>IF(Quarterly_Agg!$J$3&gt;=125,1,0)</f>
        <v/>
      </c>
      <c r="H43">
        <f>IF($G43=1,"Done",IF($F43=1,"Done","Open"))</f>
        <v/>
      </c>
      <c r="K43" t="inlineStr">
        <is>
          <t>Q1</t>
        </is>
      </c>
    </row>
    <row r="44" ht="15" customHeight="1">
      <c r="A44" t="inlineStr">
        <is>
          <t>2026-Q2</t>
        </is>
      </c>
      <c r="B44" t="inlineStr">
        <is>
          <t>Hobbies</t>
        </is>
      </c>
      <c r="C44" t="inlineStr">
        <is>
          <t>Reach 250 ideas (cum)</t>
        </is>
      </c>
      <c r="D44">
        <f>DATE(2026,6,30)</f>
        <v/>
      </c>
      <c r="E44" t="inlineStr">
        <is>
          <t>Ideas cumulative &gt;=250.</t>
        </is>
      </c>
      <c r="F44">
        <f>IF(Quarterly_Agg!$J$4&gt;=250,1,0)</f>
        <v/>
      </c>
      <c r="H44">
        <f>IF($G44=1,"Done",IF($F44=1,"Done","Open"))</f>
        <v/>
      </c>
      <c r="K44" t="inlineStr">
        <is>
          <t>Q2</t>
        </is>
      </c>
    </row>
    <row r="45" ht="15" customHeight="1">
      <c r="A45" t="inlineStr">
        <is>
          <t>2026-Q3</t>
        </is>
      </c>
      <c r="B45" t="inlineStr">
        <is>
          <t>Hobbies</t>
        </is>
      </c>
      <c r="C45" t="inlineStr">
        <is>
          <t>Reach 375 ideas (cum)</t>
        </is>
      </c>
      <c r="D45">
        <f>DATE(2026,9,30)</f>
        <v/>
      </c>
      <c r="E45" t="inlineStr">
        <is>
          <t>Ideas cumulative &gt;=375.</t>
        </is>
      </c>
      <c r="F45">
        <f>IF(Quarterly_Agg!$J$5&gt;=375,1,0)</f>
        <v/>
      </c>
      <c r="H45">
        <f>IF($G45=1,"Done",IF($F45=1,"Done","Open"))</f>
        <v/>
      </c>
      <c r="K45" t="inlineStr">
        <is>
          <t>Q3</t>
        </is>
      </c>
    </row>
    <row r="46" ht="15" customHeight="1">
      <c r="A46" t="inlineStr">
        <is>
          <t>2026-Q4</t>
        </is>
      </c>
      <c r="B46" t="inlineStr">
        <is>
          <t>Hobbies</t>
        </is>
      </c>
      <c r="C46" t="inlineStr">
        <is>
          <t>Finish 500 ideas (cum)</t>
        </is>
      </c>
      <c r="D46">
        <f>DATE(2026,12,31)</f>
        <v/>
      </c>
      <c r="E46" t="inlineStr">
        <is>
          <t>Ideas cumulative &gt;=500.</t>
        </is>
      </c>
      <c r="F46">
        <f>IF(Quarterly_Agg!$J$6&gt;=500,1,0)</f>
        <v/>
      </c>
      <c r="H46">
        <f>IF($G46=1,"Done",IF($F46=1,"Done","Open"))</f>
        <v/>
      </c>
      <c r="K46" t="inlineStr">
        <is>
          <t>Q4</t>
        </is>
      </c>
    </row>
    <row r="47" ht="15" customHeight="1">
      <c r="A47" t="inlineStr">
        <is>
          <t>2026-Q1</t>
        </is>
      </c>
      <c r="B47" t="inlineStr">
        <is>
          <t>Hobbies</t>
        </is>
      </c>
      <c r="C47" t="inlineStr">
        <is>
          <t>Take 3 travel nights (cum)</t>
        </is>
      </c>
      <c r="D47">
        <f>DATE(2026,3,31)</f>
        <v/>
      </c>
      <c r="E47" t="inlineStr">
        <is>
          <t>Travel nights cumulative &gt;=3.</t>
        </is>
      </c>
      <c r="F47">
        <f>IF(Quarterly_Agg!$L$3&gt;=3,1,0)</f>
        <v/>
      </c>
      <c r="H47">
        <f>IF($G47=1,"Done",IF($F47=1,"Done","Open"))</f>
        <v/>
      </c>
      <c r="K47" t="inlineStr">
        <is>
          <t>Q1</t>
        </is>
      </c>
    </row>
    <row r="48" ht="15" customHeight="1">
      <c r="A48" t="inlineStr">
        <is>
          <t>2026-Q3</t>
        </is>
      </c>
      <c r="B48" t="inlineStr">
        <is>
          <t>Hobbies</t>
        </is>
      </c>
      <c r="C48" t="inlineStr">
        <is>
          <t>Take 7 travel nights (cum)</t>
        </is>
      </c>
      <c r="D48">
        <f>DATE(2026,9,30)</f>
        <v/>
      </c>
      <c r="E48" t="inlineStr">
        <is>
          <t>Travel nights cumulative &gt;=7.</t>
        </is>
      </c>
      <c r="F48">
        <f>IF(Quarterly_Agg!$L$5&gt;=7,1,0)</f>
        <v/>
      </c>
      <c r="H48">
        <f>IF($G48=1,"Done",IF($F48=1,"Done","Open"))</f>
        <v/>
      </c>
      <c r="K48" t="inlineStr">
        <is>
          <t>Q3</t>
        </is>
      </c>
    </row>
    <row r="49">
      <c r="A49" t="inlineStr">
        <is>
          <t>2026-Q3</t>
        </is>
      </c>
      <c r="B49" t="inlineStr">
        <is>
          <t>Dating</t>
        </is>
      </c>
      <c r="C49" t="inlineStr">
        <is>
          <t>Improve conversion (more 2nd/3rd dates, fewer dead chats)</t>
        </is>
      </c>
      <c r="D49">
        <f>DATE(2026,9,30)</f>
        <v/>
      </c>
      <c r="E49" t="inlineStr">
        <is>
          <t>Manual completion.</t>
        </is>
      </c>
      <c r="H49">
        <f>IF($G49=1,"Done",IF($F49=1,"Done","Open"))</f>
        <v/>
      </c>
    </row>
    <row r="50">
      <c r="A50" t="inlineStr">
        <is>
          <t>2026-Q3</t>
        </is>
      </c>
      <c r="B50" t="inlineStr">
        <is>
          <t>Dating</t>
        </is>
      </c>
      <c r="C50" t="inlineStr">
        <is>
          <t>1–2 candidates plausibly &gt;3 months</t>
        </is>
      </c>
      <c r="D50">
        <f>DATE(2026,9,30)</f>
        <v/>
      </c>
      <c r="E50" t="inlineStr">
        <is>
          <t>Manual completion.</t>
        </is>
      </c>
      <c r="H50">
        <f>IF($G50=1,"Done",IF($F50=1,"Done","Open"))</f>
        <v/>
      </c>
    </row>
    <row r="51">
      <c r="A51" t="inlineStr">
        <is>
          <t>2026-Q4</t>
        </is>
      </c>
      <c r="B51" t="inlineStr">
        <is>
          <t>Dating</t>
        </is>
      </c>
      <c r="C51" t="inlineStr">
        <is>
          <t>Audit filters + channel mix + execution (if no relationship)</t>
        </is>
      </c>
      <c r="D51">
        <f>DATE(2026,12,31)</f>
        <v/>
      </c>
      <c r="E51" t="inlineStr">
        <is>
          <t>Manual completion.</t>
        </is>
      </c>
      <c r="H51">
        <f>IF($G51=1,"Done",IF($F51=1,"Done","Open"))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2026-01-03T11:24:10Z</dcterms:created>
  <dcterms:modified xmlns:dcterms="http://purl.org/dc/terms/" xmlns:xsi="http://www.w3.org/2001/XMLSchema-instance" xsi:type="dcterms:W3CDTF">2026-01-06T18:24:34Z</dcterms:modified>
  <cp:lastModifiedBy>Microsoft Office User</cp:lastModifiedBy>
</cp:coreProperties>
</file>